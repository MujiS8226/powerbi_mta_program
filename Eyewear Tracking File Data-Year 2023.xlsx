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mta-my.sharepoint.com/personal/charmay_foster_nyct_com/Documents/"/>
    </mc:Choice>
  </mc:AlternateContent>
  <xr:revisionPtr revIDLastSave="0" documentId="8_{C2B8E5B2-D41A-4945-9762-D37B9EBCB758}" xr6:coauthVersionLast="47" xr6:coauthVersionMax="47" xr10:uidLastSave="{00000000-0000-0000-0000-000000000000}"/>
  <bookViews>
    <workbookView xWindow="-110" yWindow="-110" windowWidth="19420" windowHeight="10300" xr2:uid="{6D9910B2-0FB1-44A7-9712-850BBAAF023A}"/>
  </bookViews>
  <sheets>
    <sheet name=" OrderTrackingfromEyeMailbx " sheetId="1" r:id="rId1"/>
  </sheets>
  <externalReferences>
    <externalReference r:id="rId2"/>
    <externalReference r:id="rId3"/>
  </externalReferences>
  <definedNames>
    <definedName name="_xlnm._FilterDatabase" localSheetId="0" hidden="1">' OrderTrackingfromEyeMailbx '!$A$1:$AA$2378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61" i="1" l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G2378" i="1" l="1"/>
  <c r="M2378" i="1"/>
  <c r="P2378" i="1"/>
  <c r="G2367" i="1"/>
  <c r="G2368" i="1"/>
  <c r="G2369" i="1"/>
  <c r="G2370" i="1"/>
  <c r="G2371" i="1"/>
  <c r="G2372" i="1"/>
  <c r="G2373" i="1"/>
  <c r="G2374" i="1"/>
  <c r="G2375" i="1"/>
  <c r="G2376" i="1"/>
  <c r="G2377" i="1"/>
  <c r="M2367" i="1"/>
  <c r="M2368" i="1"/>
  <c r="M2369" i="1"/>
  <c r="M2370" i="1"/>
  <c r="M2371" i="1"/>
  <c r="M2372" i="1"/>
  <c r="M2373" i="1"/>
  <c r="M2374" i="1"/>
  <c r="M2375" i="1"/>
  <c r="M2376" i="1"/>
  <c r="M2377" i="1"/>
  <c r="P2367" i="1"/>
  <c r="P2368" i="1"/>
  <c r="P2369" i="1"/>
  <c r="P2370" i="1"/>
  <c r="P2371" i="1"/>
  <c r="P2372" i="1"/>
  <c r="P2373" i="1"/>
  <c r="P2374" i="1"/>
  <c r="P2375" i="1"/>
  <c r="P2376" i="1"/>
  <c r="P2377" i="1"/>
  <c r="G2366" i="1"/>
  <c r="M2366" i="1"/>
  <c r="P2366" i="1"/>
  <c r="G2365" i="1"/>
  <c r="M2365" i="1"/>
  <c r="P2365" i="1"/>
  <c r="G2364" i="1"/>
  <c r="M2364" i="1"/>
  <c r="P2364" i="1"/>
  <c r="G2363" i="1"/>
  <c r="M2363" i="1"/>
  <c r="P2363" i="1"/>
  <c r="G2362" i="1"/>
  <c r="M2362" i="1"/>
  <c r="P2362" i="1"/>
  <c r="G2361" i="1"/>
  <c r="M2361" i="1"/>
  <c r="P2361" i="1"/>
  <c r="O2360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G2352" i="1"/>
  <c r="G2353" i="1"/>
  <c r="G2354" i="1"/>
  <c r="G2355" i="1"/>
  <c r="G2356" i="1"/>
  <c r="G2357" i="1"/>
  <c r="G2358" i="1"/>
  <c r="G2359" i="1"/>
  <c r="G2360" i="1"/>
  <c r="M2352" i="1"/>
  <c r="M2353" i="1"/>
  <c r="M2354" i="1"/>
  <c r="M2355" i="1"/>
  <c r="M2356" i="1"/>
  <c r="M2357" i="1"/>
  <c r="M2358" i="1"/>
  <c r="M2359" i="1"/>
  <c r="M2360" i="1"/>
  <c r="P2352" i="1"/>
  <c r="P2353" i="1"/>
  <c r="P2354" i="1"/>
  <c r="P2355" i="1"/>
  <c r="P2356" i="1"/>
  <c r="P2357" i="1"/>
  <c r="P2358" i="1"/>
  <c r="P2359" i="1"/>
  <c r="P2360" i="1"/>
  <c r="G2351" i="1"/>
  <c r="M2351" i="1"/>
  <c r="P2351" i="1"/>
  <c r="G2348" i="1"/>
  <c r="G2349" i="1"/>
  <c r="G2350" i="1"/>
  <c r="M2348" i="1"/>
  <c r="M2349" i="1"/>
  <c r="M2350" i="1"/>
  <c r="P2348" i="1"/>
  <c r="P2349" i="1"/>
  <c r="P2350" i="1"/>
  <c r="G2347" i="1"/>
  <c r="M2347" i="1"/>
  <c r="P2347" i="1"/>
  <c r="G2346" i="1"/>
  <c r="M2346" i="1"/>
  <c r="P2346" i="1"/>
  <c r="G2344" i="1"/>
  <c r="G2345" i="1"/>
  <c r="M2344" i="1"/>
  <c r="M2345" i="1"/>
  <c r="P2344" i="1"/>
  <c r="P2345" i="1"/>
  <c r="G2343" i="1"/>
  <c r="M2343" i="1"/>
  <c r="P2343" i="1"/>
  <c r="O2337" i="1"/>
  <c r="O2338" i="1"/>
  <c r="O2339" i="1"/>
  <c r="O2340" i="1"/>
  <c r="O2341" i="1"/>
  <c r="O2342" i="1"/>
  <c r="G2340" i="1"/>
  <c r="G2341" i="1"/>
  <c r="G2342" i="1"/>
  <c r="M2340" i="1"/>
  <c r="M2341" i="1"/>
  <c r="M2342" i="1"/>
  <c r="P2340" i="1"/>
  <c r="P2341" i="1"/>
  <c r="P2342" i="1"/>
  <c r="G2339" i="1"/>
  <c r="M2339" i="1"/>
  <c r="P2339" i="1"/>
  <c r="G2338" i="1"/>
  <c r="M2338" i="1"/>
  <c r="P2338" i="1"/>
  <c r="G2337" i="1"/>
  <c r="M2337" i="1"/>
  <c r="P2337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G2335" i="1"/>
  <c r="G2336" i="1"/>
  <c r="M2335" i="1"/>
  <c r="M2336" i="1"/>
  <c r="P2335" i="1"/>
  <c r="P2336" i="1"/>
  <c r="G2334" i="1"/>
  <c r="M2334" i="1"/>
  <c r="P2334" i="1"/>
  <c r="G2333" i="1"/>
  <c r="M2333" i="1"/>
  <c r="P2333" i="1"/>
  <c r="G2331" i="1"/>
  <c r="G2332" i="1"/>
  <c r="M2331" i="1"/>
  <c r="M2332" i="1"/>
  <c r="P2331" i="1"/>
  <c r="P2332" i="1"/>
  <c r="G2330" i="1"/>
  <c r="M2330" i="1"/>
  <c r="P2330" i="1"/>
  <c r="G2328" i="1"/>
  <c r="G2329" i="1"/>
  <c r="M2328" i="1"/>
  <c r="M2329" i="1"/>
  <c r="P2328" i="1"/>
  <c r="P2329" i="1"/>
  <c r="G2327" i="1"/>
  <c r="M2327" i="1"/>
  <c r="P2327" i="1"/>
  <c r="G2326" i="1"/>
  <c r="M2326" i="1"/>
  <c r="P2326" i="1"/>
  <c r="G2325" i="1"/>
  <c r="M2325" i="1"/>
  <c r="P2325" i="1"/>
  <c r="G2324" i="1"/>
  <c r="M2324" i="1"/>
  <c r="P2324" i="1"/>
  <c r="O2318" i="1"/>
  <c r="O2317" i="1"/>
  <c r="O2297" i="1"/>
  <c r="O2293" i="1"/>
  <c r="O2283" i="1"/>
  <c r="O2279" i="1"/>
  <c r="O2273" i="1"/>
  <c r="O2272" i="1"/>
  <c r="O2251" i="1"/>
  <c r="O2250" i="1"/>
  <c r="O2247" i="1"/>
  <c r="O2232" i="1"/>
  <c r="O2226" i="1"/>
  <c r="O2192" i="1"/>
  <c r="O2152" i="1"/>
  <c r="O2151" i="1"/>
  <c r="O2150" i="1"/>
  <c r="O2149" i="1"/>
  <c r="O2128" i="1"/>
  <c r="O2323" i="1"/>
  <c r="O2322" i="1"/>
  <c r="O2321" i="1"/>
  <c r="O2320" i="1"/>
  <c r="O2319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6" i="1"/>
  <c r="O2295" i="1"/>
  <c r="O2294" i="1"/>
  <c r="O2292" i="1"/>
  <c r="O2291" i="1"/>
  <c r="O2290" i="1"/>
  <c r="O2289" i="1"/>
  <c r="O2288" i="1"/>
  <c r="O2287" i="1"/>
  <c r="O2286" i="1"/>
  <c r="O2285" i="1"/>
  <c r="O2284" i="1"/>
  <c r="O2282" i="1"/>
  <c r="O2281" i="1"/>
  <c r="O2280" i="1"/>
  <c r="O2278" i="1"/>
  <c r="O2277" i="1"/>
  <c r="O2276" i="1"/>
  <c r="O2275" i="1"/>
  <c r="O2274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49" i="1"/>
  <c r="O2248" i="1"/>
  <c r="O2246" i="1"/>
  <c r="O2245" i="1"/>
  <c r="O2244" i="1"/>
  <c r="Y2333" i="1" l="1"/>
  <c r="X2333" i="1"/>
  <c r="W2333" i="1"/>
  <c r="V2333" i="1"/>
  <c r="U2333" i="1"/>
  <c r="T2333" i="1"/>
  <c r="Y2335" i="1"/>
  <c r="X2335" i="1"/>
  <c r="W2335" i="1"/>
  <c r="V2335" i="1"/>
  <c r="U2335" i="1"/>
  <c r="T2335" i="1"/>
  <c r="Y2356" i="1"/>
  <c r="X2356" i="1"/>
  <c r="W2356" i="1"/>
  <c r="V2356" i="1"/>
  <c r="U2356" i="1"/>
  <c r="T2356" i="1"/>
  <c r="Y2366" i="1"/>
  <c r="X2366" i="1"/>
  <c r="W2366" i="1"/>
  <c r="V2366" i="1"/>
  <c r="U2366" i="1"/>
  <c r="T2366" i="1"/>
  <c r="Y2374" i="1"/>
  <c r="X2374" i="1"/>
  <c r="W2374" i="1"/>
  <c r="V2374" i="1"/>
  <c r="U2374" i="1"/>
  <c r="T2374" i="1"/>
  <c r="Y2326" i="1"/>
  <c r="X2326" i="1"/>
  <c r="W2326" i="1"/>
  <c r="V2326" i="1"/>
  <c r="U2326" i="1"/>
  <c r="T2326" i="1"/>
  <c r="Y2328" i="1"/>
  <c r="X2328" i="1"/>
  <c r="W2328" i="1"/>
  <c r="V2328" i="1"/>
  <c r="U2328" i="1"/>
  <c r="T2328" i="1"/>
  <c r="Y2332" i="1"/>
  <c r="X2332" i="1"/>
  <c r="W2332" i="1"/>
  <c r="V2332" i="1"/>
  <c r="U2332" i="1"/>
  <c r="T2332" i="1"/>
  <c r="Y2334" i="1"/>
  <c r="X2334" i="1"/>
  <c r="W2334" i="1"/>
  <c r="V2334" i="1"/>
  <c r="U2334" i="1"/>
  <c r="T2334" i="1"/>
  <c r="Y2349" i="1"/>
  <c r="X2349" i="1"/>
  <c r="W2349" i="1"/>
  <c r="V2349" i="1"/>
  <c r="U2349" i="1"/>
  <c r="T2349" i="1"/>
  <c r="Y2353" i="1"/>
  <c r="X2353" i="1"/>
  <c r="W2353" i="1"/>
  <c r="V2353" i="1"/>
  <c r="U2353" i="1"/>
  <c r="T2353" i="1"/>
  <c r="Y2371" i="1"/>
  <c r="X2371" i="1"/>
  <c r="W2371" i="1"/>
  <c r="V2371" i="1"/>
  <c r="U2371" i="1"/>
  <c r="T2371" i="1"/>
  <c r="Y2331" i="1"/>
  <c r="X2331" i="1"/>
  <c r="V2331" i="1"/>
  <c r="W2331" i="1"/>
  <c r="U2331" i="1"/>
  <c r="T2331" i="1"/>
  <c r="Y2338" i="1"/>
  <c r="X2338" i="1"/>
  <c r="W2338" i="1"/>
  <c r="V2338" i="1"/>
  <c r="U2338" i="1"/>
  <c r="T2338" i="1"/>
  <c r="Y2342" i="1"/>
  <c r="X2342" i="1"/>
  <c r="W2342" i="1"/>
  <c r="V2342" i="1"/>
  <c r="U2342" i="1"/>
  <c r="T2342" i="1"/>
  <c r="Y2348" i="1"/>
  <c r="X2348" i="1"/>
  <c r="W2348" i="1"/>
  <c r="V2348" i="1"/>
  <c r="U2348" i="1"/>
  <c r="T2348" i="1"/>
  <c r="Y2360" i="1"/>
  <c r="X2360" i="1"/>
  <c r="W2360" i="1"/>
  <c r="V2360" i="1"/>
  <c r="U2360" i="1"/>
  <c r="T2360" i="1"/>
  <c r="Y2352" i="1"/>
  <c r="X2352" i="1"/>
  <c r="W2352" i="1"/>
  <c r="V2352" i="1"/>
  <c r="U2352" i="1"/>
  <c r="T2352" i="1"/>
  <c r="Y2362" i="1"/>
  <c r="X2362" i="1"/>
  <c r="W2362" i="1"/>
  <c r="V2362" i="1"/>
  <c r="U2362" i="1"/>
  <c r="R2362" i="1" s="1"/>
  <c r="S2362" i="1" s="1"/>
  <c r="T2362" i="1"/>
  <c r="Y2370" i="1"/>
  <c r="X2370" i="1"/>
  <c r="W2370" i="1"/>
  <c r="V2370" i="1"/>
  <c r="U2370" i="1"/>
  <c r="T2370" i="1"/>
  <c r="Y2378" i="1"/>
  <c r="X2378" i="1"/>
  <c r="W2378" i="1"/>
  <c r="V2378" i="1"/>
  <c r="U2378" i="1"/>
  <c r="T2378" i="1"/>
  <c r="Y2324" i="1"/>
  <c r="X2324" i="1"/>
  <c r="W2324" i="1"/>
  <c r="V2324" i="1"/>
  <c r="U2324" i="1"/>
  <c r="T2324" i="1"/>
  <c r="Y2341" i="1"/>
  <c r="X2341" i="1"/>
  <c r="W2341" i="1"/>
  <c r="V2341" i="1"/>
  <c r="U2341" i="1"/>
  <c r="T2341" i="1"/>
  <c r="Y2345" i="1"/>
  <c r="X2345" i="1"/>
  <c r="W2345" i="1"/>
  <c r="V2345" i="1"/>
  <c r="U2345" i="1"/>
  <c r="T2345" i="1"/>
  <c r="Y2347" i="1"/>
  <c r="X2347" i="1"/>
  <c r="W2347" i="1"/>
  <c r="V2347" i="1"/>
  <c r="U2347" i="1"/>
  <c r="T2347" i="1"/>
  <c r="Y2359" i="1"/>
  <c r="X2359" i="1"/>
  <c r="W2359" i="1"/>
  <c r="V2359" i="1"/>
  <c r="U2359" i="1"/>
  <c r="T2359" i="1"/>
  <c r="Y2365" i="1"/>
  <c r="X2365" i="1"/>
  <c r="W2365" i="1"/>
  <c r="V2365" i="1"/>
  <c r="U2365" i="1"/>
  <c r="T2365" i="1"/>
  <c r="Y2377" i="1"/>
  <c r="X2377" i="1"/>
  <c r="W2377" i="1"/>
  <c r="V2377" i="1"/>
  <c r="U2377" i="1"/>
  <c r="T2377" i="1"/>
  <c r="Y2369" i="1"/>
  <c r="X2369" i="1"/>
  <c r="W2369" i="1"/>
  <c r="V2369" i="1"/>
  <c r="U2369" i="1"/>
  <c r="T2369" i="1"/>
  <c r="Y2329" i="1"/>
  <c r="X2329" i="1"/>
  <c r="W2329" i="1"/>
  <c r="V2329" i="1"/>
  <c r="U2329" i="1"/>
  <c r="T2329" i="1"/>
  <c r="Y2346" i="1"/>
  <c r="X2346" i="1"/>
  <c r="W2346" i="1"/>
  <c r="V2346" i="1"/>
  <c r="U2346" i="1"/>
  <c r="T2346" i="1"/>
  <c r="Y2350" i="1"/>
  <c r="X2350" i="1"/>
  <c r="W2350" i="1"/>
  <c r="V2350" i="1"/>
  <c r="T2350" i="1"/>
  <c r="U2350" i="1"/>
  <c r="Y2354" i="1"/>
  <c r="X2354" i="1"/>
  <c r="W2354" i="1"/>
  <c r="V2354" i="1"/>
  <c r="U2354" i="1"/>
  <c r="T2354" i="1"/>
  <c r="Y2364" i="1"/>
  <c r="X2364" i="1"/>
  <c r="W2364" i="1"/>
  <c r="V2364" i="1"/>
  <c r="U2364" i="1"/>
  <c r="T2364" i="1"/>
  <c r="Y2372" i="1"/>
  <c r="X2372" i="1"/>
  <c r="W2372" i="1"/>
  <c r="V2372" i="1"/>
  <c r="U2372" i="1"/>
  <c r="T2372" i="1"/>
  <c r="Y2327" i="1"/>
  <c r="X2327" i="1"/>
  <c r="W2327" i="1"/>
  <c r="V2327" i="1"/>
  <c r="U2327" i="1"/>
  <c r="T2327" i="1"/>
  <c r="R2327" i="1" s="1"/>
  <c r="S2327" i="1" s="1"/>
  <c r="Y2340" i="1"/>
  <c r="X2340" i="1"/>
  <c r="W2340" i="1"/>
  <c r="V2340" i="1"/>
  <c r="U2340" i="1"/>
  <c r="T2340" i="1"/>
  <c r="Y2344" i="1"/>
  <c r="X2344" i="1"/>
  <c r="W2344" i="1"/>
  <c r="V2344" i="1"/>
  <c r="U2344" i="1"/>
  <c r="T2344" i="1"/>
  <c r="Y2358" i="1"/>
  <c r="X2358" i="1"/>
  <c r="W2358" i="1"/>
  <c r="V2358" i="1"/>
  <c r="U2358" i="1"/>
  <c r="T2358" i="1"/>
  <c r="Y2376" i="1"/>
  <c r="X2376" i="1"/>
  <c r="W2376" i="1"/>
  <c r="V2376" i="1"/>
  <c r="U2376" i="1"/>
  <c r="T2376" i="1"/>
  <c r="Y2368" i="1"/>
  <c r="X2368" i="1"/>
  <c r="W2368" i="1"/>
  <c r="V2368" i="1"/>
  <c r="U2368" i="1"/>
  <c r="T2368" i="1"/>
  <c r="Y2330" i="1"/>
  <c r="X2330" i="1"/>
  <c r="W2330" i="1"/>
  <c r="V2330" i="1"/>
  <c r="U2330" i="1"/>
  <c r="T2330" i="1"/>
  <c r="Y2336" i="1"/>
  <c r="X2336" i="1"/>
  <c r="W2336" i="1"/>
  <c r="V2336" i="1"/>
  <c r="U2336" i="1"/>
  <c r="T2336" i="1"/>
  <c r="Y2339" i="1"/>
  <c r="X2339" i="1"/>
  <c r="W2339" i="1"/>
  <c r="V2339" i="1"/>
  <c r="U2339" i="1"/>
  <c r="T2339" i="1"/>
  <c r="Y2357" i="1"/>
  <c r="X2357" i="1"/>
  <c r="W2357" i="1"/>
  <c r="V2357" i="1"/>
  <c r="U2357" i="1"/>
  <c r="T2357" i="1"/>
  <c r="Y2363" i="1"/>
  <c r="X2363" i="1"/>
  <c r="W2363" i="1"/>
  <c r="V2363" i="1"/>
  <c r="U2363" i="1"/>
  <c r="T2363" i="1"/>
  <c r="Y2375" i="1"/>
  <c r="X2375" i="1"/>
  <c r="W2375" i="1"/>
  <c r="V2375" i="1"/>
  <c r="U2375" i="1"/>
  <c r="T2375" i="1"/>
  <c r="Y2367" i="1"/>
  <c r="X2367" i="1"/>
  <c r="W2367" i="1"/>
  <c r="V2367" i="1"/>
  <c r="U2367" i="1"/>
  <c r="T2367" i="1"/>
  <c r="Y2325" i="1"/>
  <c r="X2325" i="1"/>
  <c r="W2325" i="1"/>
  <c r="V2325" i="1"/>
  <c r="U2325" i="1"/>
  <c r="T2325" i="1"/>
  <c r="Y2337" i="1"/>
  <c r="X2337" i="1"/>
  <c r="W2337" i="1"/>
  <c r="V2337" i="1"/>
  <c r="U2337" i="1"/>
  <c r="T2337" i="1"/>
  <c r="Y2343" i="1"/>
  <c r="X2343" i="1"/>
  <c r="W2343" i="1"/>
  <c r="V2343" i="1"/>
  <c r="U2343" i="1"/>
  <c r="T2343" i="1"/>
  <c r="Y2351" i="1"/>
  <c r="X2351" i="1"/>
  <c r="W2351" i="1"/>
  <c r="V2351" i="1"/>
  <c r="U2351" i="1"/>
  <c r="T2351" i="1"/>
  <c r="Y2355" i="1"/>
  <c r="X2355" i="1"/>
  <c r="W2355" i="1"/>
  <c r="V2355" i="1"/>
  <c r="U2355" i="1"/>
  <c r="T2355" i="1"/>
  <c r="Y2361" i="1"/>
  <c r="X2361" i="1"/>
  <c r="W2361" i="1"/>
  <c r="V2361" i="1"/>
  <c r="U2361" i="1"/>
  <c r="T2361" i="1"/>
  <c r="Y2373" i="1"/>
  <c r="X2373" i="1"/>
  <c r="W2373" i="1"/>
  <c r="V2373" i="1"/>
  <c r="U2373" i="1"/>
  <c r="T2373" i="1"/>
  <c r="G2323" i="1"/>
  <c r="M2323" i="1"/>
  <c r="P2323" i="1"/>
  <c r="G2322" i="1"/>
  <c r="M2322" i="1"/>
  <c r="P2322" i="1"/>
  <c r="G2320" i="1"/>
  <c r="G2321" i="1"/>
  <c r="M2320" i="1"/>
  <c r="M2321" i="1"/>
  <c r="P2320" i="1"/>
  <c r="P2321" i="1"/>
  <c r="G2319" i="1"/>
  <c r="M2319" i="1"/>
  <c r="P2319" i="1"/>
  <c r="G2317" i="1"/>
  <c r="G2318" i="1"/>
  <c r="M2317" i="1"/>
  <c r="M2318" i="1"/>
  <c r="P2317" i="1"/>
  <c r="P2318" i="1"/>
  <c r="G2316" i="1"/>
  <c r="M2316" i="1"/>
  <c r="P2316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G2298" i="1"/>
  <c r="M2298" i="1"/>
  <c r="P2298" i="1"/>
  <c r="G2297" i="1"/>
  <c r="M2297" i="1"/>
  <c r="P2297" i="1"/>
  <c r="G2296" i="1"/>
  <c r="M2296" i="1"/>
  <c r="P2296" i="1"/>
  <c r="G2295" i="1"/>
  <c r="M2295" i="1"/>
  <c r="P2295" i="1"/>
  <c r="G2294" i="1"/>
  <c r="M2294" i="1"/>
  <c r="P2294" i="1"/>
  <c r="G2293" i="1"/>
  <c r="M2293" i="1"/>
  <c r="P2293" i="1"/>
  <c r="G2291" i="1"/>
  <c r="G2292" i="1"/>
  <c r="M2291" i="1"/>
  <c r="M2292" i="1"/>
  <c r="P2291" i="1"/>
  <c r="P2292" i="1"/>
  <c r="G2290" i="1"/>
  <c r="M2290" i="1"/>
  <c r="P2290" i="1"/>
  <c r="G2289" i="1"/>
  <c r="M2289" i="1"/>
  <c r="P2289" i="1"/>
  <c r="G2287" i="1"/>
  <c r="G2288" i="1"/>
  <c r="M2287" i="1"/>
  <c r="M2288" i="1"/>
  <c r="P2287" i="1"/>
  <c r="P2288" i="1"/>
  <c r="G2286" i="1"/>
  <c r="M2286" i="1"/>
  <c r="P2286" i="1"/>
  <c r="G2285" i="1"/>
  <c r="M2285" i="1"/>
  <c r="P2285" i="1"/>
  <c r="G2284" i="1"/>
  <c r="M2284" i="1"/>
  <c r="P2284" i="1"/>
  <c r="G2283" i="1"/>
  <c r="M2283" i="1"/>
  <c r="P2283" i="1"/>
  <c r="G2282" i="1"/>
  <c r="M2282" i="1"/>
  <c r="P2282" i="1"/>
  <c r="G2280" i="1"/>
  <c r="G2281" i="1"/>
  <c r="M2280" i="1"/>
  <c r="M2281" i="1"/>
  <c r="P2280" i="1"/>
  <c r="P2281" i="1"/>
  <c r="G2279" i="1"/>
  <c r="M2279" i="1"/>
  <c r="P2279" i="1"/>
  <c r="G2277" i="1"/>
  <c r="G2278" i="1"/>
  <c r="M2277" i="1"/>
  <c r="M2278" i="1"/>
  <c r="P2277" i="1"/>
  <c r="P2278" i="1"/>
  <c r="G2276" i="1"/>
  <c r="M2276" i="1"/>
  <c r="P2276" i="1"/>
  <c r="G2275" i="1"/>
  <c r="M2275" i="1"/>
  <c r="P2275" i="1"/>
  <c r="G2274" i="1"/>
  <c r="M2274" i="1"/>
  <c r="P2274" i="1"/>
  <c r="R2368" i="1" l="1"/>
  <c r="S2368" i="1" s="1"/>
  <c r="Y2280" i="1"/>
  <c r="X2280" i="1"/>
  <c r="W2280" i="1"/>
  <c r="V2280" i="1"/>
  <c r="U2280" i="1"/>
  <c r="T2280" i="1"/>
  <c r="Y2286" i="1"/>
  <c r="X2286" i="1"/>
  <c r="W2286" i="1"/>
  <c r="V2286" i="1"/>
  <c r="U2286" i="1"/>
  <c r="T2286" i="1"/>
  <c r="Y2292" i="1"/>
  <c r="X2292" i="1"/>
  <c r="W2292" i="1"/>
  <c r="V2292" i="1"/>
  <c r="U2292" i="1"/>
  <c r="T2292" i="1"/>
  <c r="Y2294" i="1"/>
  <c r="X2294" i="1"/>
  <c r="W2294" i="1"/>
  <c r="V2294" i="1"/>
  <c r="U2294" i="1"/>
  <c r="T2294" i="1"/>
  <c r="Y2314" i="1"/>
  <c r="X2314" i="1"/>
  <c r="W2314" i="1"/>
  <c r="V2314" i="1"/>
  <c r="U2314" i="1"/>
  <c r="T2314" i="1"/>
  <c r="Y2306" i="1"/>
  <c r="X2306" i="1"/>
  <c r="W2306" i="1"/>
  <c r="V2306" i="1"/>
  <c r="U2306" i="1"/>
  <c r="T2306" i="1"/>
  <c r="Y2320" i="1"/>
  <c r="X2320" i="1"/>
  <c r="W2320" i="1"/>
  <c r="V2320" i="1"/>
  <c r="U2320" i="1"/>
  <c r="T2320" i="1"/>
  <c r="Y2276" i="1"/>
  <c r="X2276" i="1"/>
  <c r="W2276" i="1"/>
  <c r="V2276" i="1"/>
  <c r="U2276" i="1"/>
  <c r="T2276" i="1"/>
  <c r="Y2284" i="1"/>
  <c r="X2284" i="1"/>
  <c r="W2284" i="1"/>
  <c r="V2284" i="1"/>
  <c r="U2284" i="1"/>
  <c r="T2284" i="1"/>
  <c r="Y2312" i="1"/>
  <c r="X2312" i="1"/>
  <c r="W2312" i="1"/>
  <c r="V2312" i="1"/>
  <c r="U2312" i="1"/>
  <c r="T2312" i="1"/>
  <c r="Y2304" i="1"/>
  <c r="X2304" i="1"/>
  <c r="W2304" i="1"/>
  <c r="V2304" i="1"/>
  <c r="U2304" i="1"/>
  <c r="T2304" i="1"/>
  <c r="Y2316" i="1"/>
  <c r="X2316" i="1"/>
  <c r="W2316" i="1"/>
  <c r="V2316" i="1"/>
  <c r="U2316" i="1"/>
  <c r="T2316" i="1"/>
  <c r="Y2289" i="1"/>
  <c r="X2289" i="1"/>
  <c r="W2289" i="1"/>
  <c r="V2289" i="1"/>
  <c r="U2289" i="1"/>
  <c r="T2289" i="1"/>
  <c r="Y2291" i="1"/>
  <c r="X2291" i="1"/>
  <c r="W2291" i="1"/>
  <c r="V2291" i="1"/>
  <c r="U2291" i="1"/>
  <c r="T2291" i="1"/>
  <c r="Y2297" i="1"/>
  <c r="X2297" i="1"/>
  <c r="W2297" i="1"/>
  <c r="V2297" i="1"/>
  <c r="U2297" i="1"/>
  <c r="T2297" i="1"/>
  <c r="Y2313" i="1"/>
  <c r="X2313" i="1"/>
  <c r="W2313" i="1"/>
  <c r="V2313" i="1"/>
  <c r="U2313" i="1"/>
  <c r="T2313" i="1"/>
  <c r="Y2305" i="1"/>
  <c r="X2305" i="1"/>
  <c r="W2305" i="1"/>
  <c r="V2305" i="1"/>
  <c r="U2305" i="1"/>
  <c r="T2305" i="1"/>
  <c r="Y2274" i="1"/>
  <c r="X2274" i="1"/>
  <c r="W2274" i="1"/>
  <c r="V2274" i="1"/>
  <c r="U2274" i="1"/>
  <c r="T2274" i="1"/>
  <c r="Y2282" i="1"/>
  <c r="X2282" i="1"/>
  <c r="W2282" i="1"/>
  <c r="V2282" i="1"/>
  <c r="U2282" i="1"/>
  <c r="T2282" i="1"/>
  <c r="Y2288" i="1"/>
  <c r="X2288" i="1"/>
  <c r="W2288" i="1"/>
  <c r="V2288" i="1"/>
  <c r="U2288" i="1"/>
  <c r="T2288" i="1"/>
  <c r="Y2290" i="1"/>
  <c r="X2290" i="1"/>
  <c r="W2290" i="1"/>
  <c r="V2290" i="1"/>
  <c r="U2290" i="1"/>
  <c r="T2290" i="1"/>
  <c r="Y2298" i="1"/>
  <c r="X2298" i="1"/>
  <c r="W2298" i="1"/>
  <c r="V2298" i="1"/>
  <c r="U2298" i="1"/>
  <c r="T2298" i="1"/>
  <c r="Y2310" i="1"/>
  <c r="X2310" i="1"/>
  <c r="W2310" i="1"/>
  <c r="V2310" i="1"/>
  <c r="U2310" i="1"/>
  <c r="T2310" i="1"/>
  <c r="Y2302" i="1"/>
  <c r="X2302" i="1"/>
  <c r="W2302" i="1"/>
  <c r="V2302" i="1"/>
  <c r="U2302" i="1"/>
  <c r="T2302" i="1"/>
  <c r="Y2322" i="1"/>
  <c r="X2322" i="1"/>
  <c r="W2322" i="1"/>
  <c r="V2322" i="1"/>
  <c r="U2322" i="1"/>
  <c r="T2322" i="1"/>
  <c r="Y2278" i="1"/>
  <c r="X2278" i="1"/>
  <c r="W2278" i="1"/>
  <c r="V2278" i="1"/>
  <c r="U2278" i="1"/>
  <c r="T2278" i="1"/>
  <c r="Y2296" i="1"/>
  <c r="X2296" i="1"/>
  <c r="W2296" i="1"/>
  <c r="V2296" i="1"/>
  <c r="U2296" i="1"/>
  <c r="T2296" i="1"/>
  <c r="Y2308" i="1"/>
  <c r="X2308" i="1"/>
  <c r="W2308" i="1"/>
  <c r="V2308" i="1"/>
  <c r="U2308" i="1"/>
  <c r="T2308" i="1"/>
  <c r="Y2300" i="1"/>
  <c r="X2300" i="1"/>
  <c r="W2300" i="1"/>
  <c r="V2300" i="1"/>
  <c r="U2300" i="1"/>
  <c r="T2300" i="1"/>
  <c r="Y2318" i="1"/>
  <c r="X2318" i="1"/>
  <c r="W2318" i="1"/>
  <c r="V2318" i="1"/>
  <c r="T2318" i="1"/>
  <c r="U2318" i="1"/>
  <c r="Y2279" i="1"/>
  <c r="X2279" i="1"/>
  <c r="W2279" i="1"/>
  <c r="V2279" i="1"/>
  <c r="U2279" i="1"/>
  <c r="T2279" i="1"/>
  <c r="Y2295" i="1"/>
  <c r="X2295" i="1"/>
  <c r="W2295" i="1"/>
  <c r="V2295" i="1"/>
  <c r="U2295" i="1"/>
  <c r="T2295" i="1"/>
  <c r="Y2311" i="1"/>
  <c r="X2311" i="1"/>
  <c r="W2311" i="1"/>
  <c r="V2311" i="1"/>
  <c r="U2311" i="1"/>
  <c r="T2311" i="1"/>
  <c r="Y2303" i="1"/>
  <c r="X2303" i="1"/>
  <c r="W2303" i="1"/>
  <c r="V2303" i="1"/>
  <c r="U2303" i="1"/>
  <c r="T2303" i="1"/>
  <c r="Y2319" i="1"/>
  <c r="X2319" i="1"/>
  <c r="W2319" i="1"/>
  <c r="V2319" i="1"/>
  <c r="U2319" i="1"/>
  <c r="T2319" i="1"/>
  <c r="Y2285" i="1"/>
  <c r="X2285" i="1"/>
  <c r="W2285" i="1"/>
  <c r="V2285" i="1"/>
  <c r="U2285" i="1"/>
  <c r="T2285" i="1"/>
  <c r="Y2287" i="1"/>
  <c r="X2287" i="1"/>
  <c r="W2287" i="1"/>
  <c r="V2287" i="1"/>
  <c r="U2287" i="1"/>
  <c r="T2287" i="1"/>
  <c r="Y2293" i="1"/>
  <c r="X2293" i="1"/>
  <c r="W2293" i="1"/>
  <c r="V2293" i="1"/>
  <c r="U2293" i="1"/>
  <c r="T2293" i="1"/>
  <c r="Y2309" i="1"/>
  <c r="X2309" i="1"/>
  <c r="W2309" i="1"/>
  <c r="V2309" i="1"/>
  <c r="U2309" i="1"/>
  <c r="T2309" i="1"/>
  <c r="Y2301" i="1"/>
  <c r="X2301" i="1"/>
  <c r="W2301" i="1"/>
  <c r="V2301" i="1"/>
  <c r="U2301" i="1"/>
  <c r="T2301" i="1"/>
  <c r="Y2275" i="1"/>
  <c r="X2275" i="1"/>
  <c r="W2275" i="1"/>
  <c r="V2275" i="1"/>
  <c r="U2275" i="1"/>
  <c r="T2275" i="1"/>
  <c r="Y2277" i="1"/>
  <c r="X2277" i="1"/>
  <c r="W2277" i="1"/>
  <c r="V2277" i="1"/>
  <c r="U2277" i="1"/>
  <c r="T2277" i="1"/>
  <c r="Y2281" i="1"/>
  <c r="X2281" i="1"/>
  <c r="W2281" i="1"/>
  <c r="V2281" i="1"/>
  <c r="U2281" i="1"/>
  <c r="T2281" i="1"/>
  <c r="Y2283" i="1"/>
  <c r="X2283" i="1"/>
  <c r="W2283" i="1"/>
  <c r="V2283" i="1"/>
  <c r="U2283" i="1"/>
  <c r="T2283" i="1"/>
  <c r="Y2315" i="1"/>
  <c r="X2315" i="1"/>
  <c r="V2315" i="1"/>
  <c r="W2315" i="1"/>
  <c r="U2315" i="1"/>
  <c r="T2315" i="1"/>
  <c r="Y2307" i="1"/>
  <c r="X2307" i="1"/>
  <c r="W2307" i="1"/>
  <c r="V2307" i="1"/>
  <c r="U2307" i="1"/>
  <c r="T2307" i="1"/>
  <c r="Y2299" i="1"/>
  <c r="X2299" i="1"/>
  <c r="W2299" i="1"/>
  <c r="V2299" i="1"/>
  <c r="U2299" i="1"/>
  <c r="T2299" i="1"/>
  <c r="Y2317" i="1"/>
  <c r="X2317" i="1"/>
  <c r="W2317" i="1"/>
  <c r="V2317" i="1"/>
  <c r="U2317" i="1"/>
  <c r="T2317" i="1"/>
  <c r="Y2321" i="1"/>
  <c r="X2321" i="1"/>
  <c r="W2321" i="1"/>
  <c r="V2321" i="1"/>
  <c r="U2321" i="1"/>
  <c r="T2321" i="1"/>
  <c r="Y2323" i="1"/>
  <c r="X2323" i="1"/>
  <c r="V2323" i="1"/>
  <c r="W2323" i="1"/>
  <c r="U2323" i="1"/>
  <c r="T2323" i="1"/>
  <c r="R2369" i="1"/>
  <c r="S2369" i="1" s="1"/>
  <c r="R2371" i="1"/>
  <c r="S2371" i="1" s="1"/>
  <c r="R2352" i="1"/>
  <c r="S2352" i="1" s="1"/>
  <c r="R2351" i="1"/>
  <c r="S2351" i="1" s="1"/>
  <c r="R2348" i="1"/>
  <c r="S2348" i="1" s="1"/>
  <c r="R2370" i="1"/>
  <c r="S2370" i="1" s="1"/>
  <c r="R2347" i="1"/>
  <c r="S2347" i="1" s="1"/>
  <c r="R2350" i="1"/>
  <c r="S2350" i="1" s="1"/>
  <c r="R2372" i="1"/>
  <c r="S2372" i="1" s="1"/>
  <c r="R2355" i="1"/>
  <c r="S2355" i="1" s="1"/>
  <c r="R2330" i="1"/>
  <c r="S2330" i="1" s="1"/>
  <c r="R2349" i="1"/>
  <c r="S2349" i="1" s="1"/>
  <c r="R2360" i="1"/>
  <c r="S2360" i="1" s="1"/>
  <c r="R2364" i="1"/>
  <c r="S2364" i="1" s="1"/>
  <c r="R2378" i="1"/>
  <c r="S2378" i="1" s="1"/>
  <c r="R2329" i="1"/>
  <c r="S2329" i="1" s="1"/>
  <c r="R2377" i="1"/>
  <c r="S2377" i="1" s="1"/>
  <c r="R2356" i="1"/>
  <c r="S2356" i="1" s="1"/>
  <c r="R2374" i="1"/>
  <c r="S2374" i="1" s="1"/>
  <c r="R2373" i="1"/>
  <c r="S2373" i="1" s="1"/>
  <c r="R2367" i="1"/>
  <c r="S2367" i="1" s="1"/>
  <c r="R2366" i="1"/>
  <c r="S2366" i="1" s="1"/>
  <c r="R2375" i="1"/>
  <c r="S2375" i="1" s="1"/>
  <c r="R2376" i="1"/>
  <c r="S2376" i="1" s="1"/>
  <c r="R2363" i="1"/>
  <c r="S2363" i="1" s="1"/>
  <c r="R2365" i="1"/>
  <c r="S2365" i="1" s="1"/>
  <c r="R2359" i="1"/>
  <c r="S2359" i="1" s="1"/>
  <c r="R2361" i="1"/>
  <c r="S2361" i="1" s="1"/>
  <c r="R2335" i="1"/>
  <c r="S2335" i="1" s="1"/>
  <c r="R2358" i="1"/>
  <c r="S2358" i="1" s="1"/>
  <c r="R2357" i="1"/>
  <c r="S2357" i="1" s="1"/>
  <c r="R2344" i="1"/>
  <c r="S2344" i="1" s="1"/>
  <c r="R2339" i="1"/>
  <c r="S2339" i="1" s="1"/>
  <c r="R2354" i="1"/>
  <c r="S2354" i="1" s="1"/>
  <c r="R2341" i="1"/>
  <c r="S2341" i="1" s="1"/>
  <c r="R2353" i="1"/>
  <c r="S2353" i="1" s="1"/>
  <c r="R2345" i="1"/>
  <c r="S2345" i="1" s="1"/>
  <c r="R2338" i="1"/>
  <c r="S2338" i="1" s="1"/>
  <c r="R2346" i="1"/>
  <c r="S2346" i="1" s="1"/>
  <c r="R2342" i="1"/>
  <c r="S2342" i="1" s="1"/>
  <c r="R2337" i="1"/>
  <c r="S2337" i="1" s="1"/>
  <c r="R2343" i="1"/>
  <c r="S2343" i="1" s="1"/>
  <c r="R2340" i="1"/>
  <c r="S2340" i="1" s="1"/>
  <c r="R2336" i="1"/>
  <c r="S2336" i="1" s="1"/>
  <c r="R2332" i="1"/>
  <c r="S2332" i="1" s="1"/>
  <c r="R2334" i="1"/>
  <c r="S2334" i="1" s="1"/>
  <c r="R2333" i="1"/>
  <c r="S2333" i="1" s="1"/>
  <c r="R2328" i="1"/>
  <c r="S2328" i="1" s="1"/>
  <c r="R2331" i="1"/>
  <c r="S2331" i="1" s="1"/>
  <c r="R2325" i="1"/>
  <c r="S2325" i="1" s="1"/>
  <c r="R2326" i="1"/>
  <c r="S2326" i="1" s="1"/>
  <c r="R2324" i="1"/>
  <c r="S2324" i="1" s="1"/>
  <c r="R2313" i="1" l="1"/>
  <c r="S2313" i="1" s="1"/>
  <c r="R2299" i="1"/>
  <c r="S2299" i="1" s="1"/>
  <c r="R2309" i="1"/>
  <c r="S2309" i="1" s="1"/>
  <c r="R2319" i="1"/>
  <c r="S2319" i="1" s="1"/>
  <c r="R2308" i="1"/>
  <c r="S2308" i="1" s="1"/>
  <c r="R2316" i="1"/>
  <c r="S2316" i="1" s="1"/>
  <c r="R2295" i="1"/>
  <c r="S2295" i="1" s="1"/>
  <c r="R2323" i="1"/>
  <c r="S2323" i="1" s="1"/>
  <c r="R2307" i="1"/>
  <c r="S2307" i="1" s="1"/>
  <c r="R2321" i="1"/>
  <c r="S2321" i="1" s="1"/>
  <c r="R2311" i="1"/>
  <c r="S2311" i="1" s="1"/>
  <c r="R2301" i="1"/>
  <c r="S2301" i="1" s="1"/>
  <c r="R2302" i="1"/>
  <c r="S2302" i="1" s="1"/>
  <c r="R2312" i="1"/>
  <c r="S2312" i="1" s="1"/>
  <c r="R2306" i="1"/>
  <c r="S2306" i="1" s="1"/>
  <c r="R2314" i="1"/>
  <c r="S2314" i="1" s="1"/>
  <c r="R2297" i="1"/>
  <c r="S2297" i="1" s="1"/>
  <c r="R2318" i="1"/>
  <c r="S2318" i="1" s="1"/>
  <c r="R2317" i="1"/>
  <c r="S2317" i="1" s="1"/>
  <c r="R2292" i="1"/>
  <c r="S2292" i="1" s="1"/>
  <c r="R2322" i="1"/>
  <c r="S2322" i="1" s="1"/>
  <c r="R2320" i="1"/>
  <c r="S2320" i="1" s="1"/>
  <c r="R2277" i="1"/>
  <c r="S2277" i="1" s="1"/>
  <c r="R2285" i="1"/>
  <c r="S2285" i="1" s="1"/>
  <c r="R2287" i="1"/>
  <c r="S2287" i="1" s="1"/>
  <c r="R2291" i="1"/>
  <c r="S2291" i="1" s="1"/>
  <c r="R2310" i="1"/>
  <c r="S2310" i="1" s="1"/>
  <c r="R2315" i="1"/>
  <c r="S2315" i="1" s="1"/>
  <c r="R2305" i="1"/>
  <c r="S2305" i="1" s="1"/>
  <c r="R2304" i="1"/>
  <c r="S2304" i="1" s="1"/>
  <c r="R2303" i="1"/>
  <c r="S2303" i="1" s="1"/>
  <c r="R2300" i="1"/>
  <c r="S2300" i="1" s="1"/>
  <c r="R2298" i="1"/>
  <c r="S2298" i="1" s="1"/>
  <c r="R2296" i="1"/>
  <c r="S2296" i="1" s="1"/>
  <c r="R2284" i="1"/>
  <c r="S2284" i="1" s="1"/>
  <c r="R2289" i="1"/>
  <c r="S2289" i="1" s="1"/>
  <c r="R2294" i="1"/>
  <c r="S2294" i="1" s="1"/>
  <c r="R2293" i="1"/>
  <c r="S2293" i="1" s="1"/>
  <c r="R2286" i="1"/>
  <c r="S2286" i="1" s="1"/>
  <c r="R2288" i="1"/>
  <c r="S2288" i="1" s="1"/>
  <c r="R2290" i="1"/>
  <c r="S2290" i="1" s="1"/>
  <c r="R2278" i="1"/>
  <c r="S2278" i="1" s="1"/>
  <c r="R2283" i="1"/>
  <c r="S2283" i="1" s="1"/>
  <c r="R2282" i="1"/>
  <c r="S2282" i="1" s="1"/>
  <c r="R2279" i="1"/>
  <c r="S2279" i="1" s="1"/>
  <c r="R2276" i="1"/>
  <c r="S2276" i="1" s="1"/>
  <c r="R2280" i="1"/>
  <c r="S2280" i="1" s="1"/>
  <c r="R2281" i="1"/>
  <c r="S2281" i="1" s="1"/>
  <c r="R2274" i="1"/>
  <c r="S2274" i="1" s="1"/>
  <c r="R2275" i="1"/>
  <c r="S2275" i="1" s="1"/>
  <c r="G2272" i="1" l="1"/>
  <c r="G2273" i="1"/>
  <c r="M2272" i="1"/>
  <c r="M2273" i="1"/>
  <c r="P2272" i="1"/>
  <c r="P2273" i="1"/>
  <c r="G2271" i="1"/>
  <c r="M2271" i="1"/>
  <c r="P2271" i="1"/>
  <c r="G2270" i="1"/>
  <c r="M2270" i="1"/>
  <c r="P2270" i="1"/>
  <c r="G2269" i="1"/>
  <c r="M2269" i="1"/>
  <c r="P2269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G2256" i="1"/>
  <c r="M2256" i="1"/>
  <c r="P2256" i="1"/>
  <c r="G2255" i="1"/>
  <c r="M2255" i="1"/>
  <c r="P2255" i="1"/>
  <c r="Y2271" i="1" l="1"/>
  <c r="X2271" i="1"/>
  <c r="W2271" i="1"/>
  <c r="V2271" i="1"/>
  <c r="U2271" i="1"/>
  <c r="T2271" i="1"/>
  <c r="Y2263" i="1"/>
  <c r="X2263" i="1"/>
  <c r="W2263" i="1"/>
  <c r="V2263" i="1"/>
  <c r="U2263" i="1"/>
  <c r="T2263" i="1"/>
  <c r="Y2262" i="1"/>
  <c r="X2262" i="1"/>
  <c r="W2262" i="1"/>
  <c r="V2262" i="1"/>
  <c r="U2262" i="1"/>
  <c r="T2262" i="1"/>
  <c r="X2261" i="1"/>
  <c r="Y2261" i="1"/>
  <c r="W2261" i="1"/>
  <c r="V2261" i="1"/>
  <c r="U2261" i="1"/>
  <c r="T2261" i="1"/>
  <c r="Y2268" i="1"/>
  <c r="X2268" i="1"/>
  <c r="W2268" i="1"/>
  <c r="V2268" i="1"/>
  <c r="U2268" i="1"/>
  <c r="T2268" i="1"/>
  <c r="Y2260" i="1"/>
  <c r="X2260" i="1"/>
  <c r="W2260" i="1"/>
  <c r="V2260" i="1"/>
  <c r="U2260" i="1"/>
  <c r="T2260" i="1"/>
  <c r="Y2267" i="1"/>
  <c r="X2267" i="1"/>
  <c r="V2267" i="1"/>
  <c r="W2267" i="1"/>
  <c r="U2267" i="1"/>
  <c r="T2267" i="1"/>
  <c r="Y2259" i="1"/>
  <c r="W2259" i="1"/>
  <c r="X2259" i="1"/>
  <c r="V2259" i="1"/>
  <c r="U2259" i="1"/>
  <c r="T2259" i="1"/>
  <c r="Y2269" i="1"/>
  <c r="X2269" i="1"/>
  <c r="W2269" i="1"/>
  <c r="V2269" i="1"/>
  <c r="U2269" i="1"/>
  <c r="T2269" i="1"/>
  <c r="Y2255" i="1"/>
  <c r="X2255" i="1"/>
  <c r="V2255" i="1"/>
  <c r="W2255" i="1"/>
  <c r="U2255" i="1"/>
  <c r="T2255" i="1"/>
  <c r="Y2266" i="1"/>
  <c r="X2266" i="1"/>
  <c r="W2266" i="1"/>
  <c r="V2266" i="1"/>
  <c r="U2266" i="1"/>
  <c r="T2266" i="1"/>
  <c r="Y2265" i="1"/>
  <c r="X2265" i="1"/>
  <c r="W2265" i="1"/>
  <c r="V2265" i="1"/>
  <c r="U2265" i="1"/>
  <c r="T2265" i="1"/>
  <c r="Y2257" i="1"/>
  <c r="X2257" i="1"/>
  <c r="W2257" i="1"/>
  <c r="V2257" i="1"/>
  <c r="U2257" i="1"/>
  <c r="T2257" i="1"/>
  <c r="Y2273" i="1"/>
  <c r="X2273" i="1"/>
  <c r="W2273" i="1"/>
  <c r="V2273" i="1"/>
  <c r="U2273" i="1"/>
  <c r="T2273" i="1"/>
  <c r="Y2256" i="1"/>
  <c r="X2256" i="1"/>
  <c r="W2256" i="1"/>
  <c r="V2256" i="1"/>
  <c r="U2256" i="1"/>
  <c r="T2256" i="1"/>
  <c r="Y2258" i="1"/>
  <c r="W2258" i="1"/>
  <c r="X2258" i="1"/>
  <c r="V2258" i="1"/>
  <c r="U2258" i="1"/>
  <c r="T2258" i="1"/>
  <c r="Y2264" i="1"/>
  <c r="X2264" i="1"/>
  <c r="W2264" i="1"/>
  <c r="V2264" i="1"/>
  <c r="U2264" i="1"/>
  <c r="T2264" i="1"/>
  <c r="Y2270" i="1"/>
  <c r="X2270" i="1"/>
  <c r="W2270" i="1"/>
  <c r="V2270" i="1"/>
  <c r="U2270" i="1"/>
  <c r="T2270" i="1"/>
  <c r="Y2272" i="1"/>
  <c r="X2272" i="1"/>
  <c r="W2272" i="1"/>
  <c r="V2272" i="1"/>
  <c r="U2272" i="1"/>
  <c r="T2272" i="1"/>
  <c r="R2267" i="1" l="1"/>
  <c r="S2267" i="1" s="1"/>
  <c r="R2266" i="1"/>
  <c r="S2266" i="1" s="1"/>
  <c r="R2257" i="1"/>
  <c r="S2257" i="1" s="1"/>
  <c r="R2260" i="1"/>
  <c r="S2260" i="1" s="1"/>
  <c r="R2258" i="1"/>
  <c r="S2258" i="1" s="1"/>
  <c r="R2265" i="1"/>
  <c r="S2265" i="1" s="1"/>
  <c r="R2259" i="1"/>
  <c r="S2259" i="1" s="1"/>
  <c r="R2270" i="1"/>
  <c r="S2270" i="1" s="1"/>
  <c r="R2272" i="1"/>
  <c r="S2272" i="1" s="1"/>
  <c r="R2271" i="1"/>
  <c r="S2271" i="1" s="1"/>
  <c r="R2273" i="1"/>
  <c r="S2273" i="1" s="1"/>
  <c r="R2263" i="1"/>
  <c r="S2263" i="1" s="1"/>
  <c r="R2268" i="1"/>
  <c r="S2268" i="1" s="1"/>
  <c r="R2269" i="1"/>
  <c r="S2269" i="1" s="1"/>
  <c r="R2264" i="1"/>
  <c r="S2264" i="1" s="1"/>
  <c r="R2262" i="1"/>
  <c r="S2262" i="1" s="1"/>
  <c r="R2261" i="1"/>
  <c r="S2261" i="1" s="1"/>
  <c r="R2256" i="1"/>
  <c r="S2256" i="1" s="1"/>
  <c r="R2255" i="1"/>
  <c r="S2255" i="1" s="1"/>
  <c r="G2254" i="1" l="1"/>
  <c r="M2254" i="1"/>
  <c r="P2254" i="1"/>
  <c r="G2253" i="1"/>
  <c r="M2253" i="1"/>
  <c r="P2253" i="1"/>
  <c r="G2252" i="1"/>
  <c r="M2252" i="1"/>
  <c r="P2252" i="1"/>
  <c r="G2251" i="1"/>
  <c r="M2251" i="1"/>
  <c r="P2251" i="1"/>
  <c r="G2250" i="1"/>
  <c r="M2250" i="1"/>
  <c r="P2250" i="1"/>
  <c r="G2249" i="1"/>
  <c r="M2249" i="1"/>
  <c r="P2249" i="1"/>
  <c r="G2248" i="1"/>
  <c r="M2248" i="1"/>
  <c r="P2248" i="1"/>
  <c r="G2247" i="1"/>
  <c r="M2247" i="1"/>
  <c r="P2247" i="1"/>
  <c r="G2245" i="1"/>
  <c r="G2246" i="1"/>
  <c r="M2245" i="1"/>
  <c r="M2246" i="1"/>
  <c r="P2245" i="1"/>
  <c r="P2246" i="1"/>
  <c r="G2244" i="1"/>
  <c r="M2244" i="1"/>
  <c r="P2244" i="1"/>
  <c r="O2218" i="1"/>
  <c r="O2219" i="1"/>
  <c r="O2220" i="1"/>
  <c r="O2221" i="1"/>
  <c r="O2222" i="1"/>
  <c r="O2223" i="1"/>
  <c r="O2224" i="1"/>
  <c r="O2225" i="1"/>
  <c r="O2227" i="1"/>
  <c r="O2228" i="1"/>
  <c r="O2229" i="1"/>
  <c r="O2230" i="1"/>
  <c r="O2231" i="1"/>
  <c r="O2233" i="1"/>
  <c r="O2234" i="1"/>
  <c r="O2235" i="1"/>
  <c r="O2236" i="1"/>
  <c r="O2237" i="1"/>
  <c r="O2238" i="1"/>
  <c r="O2239" i="1"/>
  <c r="O2240" i="1"/>
  <c r="O2241" i="1"/>
  <c r="O2242" i="1"/>
  <c r="O2243" i="1"/>
  <c r="G2243" i="1"/>
  <c r="M2243" i="1"/>
  <c r="P2243" i="1"/>
  <c r="G2242" i="1"/>
  <c r="M2242" i="1"/>
  <c r="P2242" i="1"/>
  <c r="G2241" i="1"/>
  <c r="M2241" i="1"/>
  <c r="P2241" i="1"/>
  <c r="G2234" i="1"/>
  <c r="G2235" i="1"/>
  <c r="G2236" i="1"/>
  <c r="G2237" i="1"/>
  <c r="G2238" i="1"/>
  <c r="G2239" i="1"/>
  <c r="G2240" i="1"/>
  <c r="M2234" i="1"/>
  <c r="M2235" i="1"/>
  <c r="M2236" i="1"/>
  <c r="M2237" i="1"/>
  <c r="M2238" i="1"/>
  <c r="M2239" i="1"/>
  <c r="M2240" i="1"/>
  <c r="P2234" i="1"/>
  <c r="P2235" i="1"/>
  <c r="P2236" i="1"/>
  <c r="P2237" i="1"/>
  <c r="P2238" i="1"/>
  <c r="P2239" i="1"/>
  <c r="P2240" i="1"/>
  <c r="G2233" i="1"/>
  <c r="M2233" i="1"/>
  <c r="P2233" i="1"/>
  <c r="G2231" i="1"/>
  <c r="G2232" i="1"/>
  <c r="M2231" i="1"/>
  <c r="M2232" i="1"/>
  <c r="P2231" i="1"/>
  <c r="P2232" i="1"/>
  <c r="G2230" i="1"/>
  <c r="M2230" i="1"/>
  <c r="P2230" i="1"/>
  <c r="G2229" i="1"/>
  <c r="M2229" i="1"/>
  <c r="P2229" i="1"/>
  <c r="G2228" i="1"/>
  <c r="M2228" i="1"/>
  <c r="P2228" i="1"/>
  <c r="G2226" i="1"/>
  <c r="G2227" i="1"/>
  <c r="M2226" i="1"/>
  <c r="M2227" i="1"/>
  <c r="P2226" i="1"/>
  <c r="P2227" i="1"/>
  <c r="G2225" i="1"/>
  <c r="M2225" i="1"/>
  <c r="P2225" i="1"/>
  <c r="G2224" i="1"/>
  <c r="M2224" i="1"/>
  <c r="P2224" i="1"/>
  <c r="G2223" i="1"/>
  <c r="M2223" i="1"/>
  <c r="P2223" i="1"/>
  <c r="G2222" i="1"/>
  <c r="M2222" i="1"/>
  <c r="P2222" i="1"/>
  <c r="G2219" i="1"/>
  <c r="G2220" i="1"/>
  <c r="G2221" i="1"/>
  <c r="M2219" i="1"/>
  <c r="M2220" i="1"/>
  <c r="M2221" i="1"/>
  <c r="P2219" i="1"/>
  <c r="P2220" i="1"/>
  <c r="P2221" i="1"/>
  <c r="G2218" i="1"/>
  <c r="M2218" i="1"/>
  <c r="P2218" i="1"/>
  <c r="O2209" i="1"/>
  <c r="O2210" i="1"/>
  <c r="O2211" i="1"/>
  <c r="O2212" i="1"/>
  <c r="O2213" i="1"/>
  <c r="O2214" i="1"/>
  <c r="O2215" i="1"/>
  <c r="O2216" i="1"/>
  <c r="O2217" i="1"/>
  <c r="G2217" i="1"/>
  <c r="M2217" i="1"/>
  <c r="P2217" i="1"/>
  <c r="G2211" i="1"/>
  <c r="G2212" i="1"/>
  <c r="G2213" i="1"/>
  <c r="G2214" i="1"/>
  <c r="G2215" i="1"/>
  <c r="G2216" i="1"/>
  <c r="M2211" i="1"/>
  <c r="M2212" i="1"/>
  <c r="M2213" i="1"/>
  <c r="M2214" i="1"/>
  <c r="M2215" i="1"/>
  <c r="M2216" i="1"/>
  <c r="P2211" i="1"/>
  <c r="P2212" i="1"/>
  <c r="P2213" i="1"/>
  <c r="P2214" i="1"/>
  <c r="P2215" i="1"/>
  <c r="P2216" i="1"/>
  <c r="G2210" i="1"/>
  <c r="M2210" i="1"/>
  <c r="P2210" i="1"/>
  <c r="G2209" i="1"/>
  <c r="M2209" i="1"/>
  <c r="P2209" i="1"/>
  <c r="O2206" i="1"/>
  <c r="O2207" i="1"/>
  <c r="O2208" i="1"/>
  <c r="G2207" i="1"/>
  <c r="G2208" i="1"/>
  <c r="M2207" i="1"/>
  <c r="M2208" i="1"/>
  <c r="P2207" i="1"/>
  <c r="P2208" i="1"/>
  <c r="G2206" i="1"/>
  <c r="M2206" i="1"/>
  <c r="P2206" i="1"/>
  <c r="O2204" i="1"/>
  <c r="O2205" i="1"/>
  <c r="G2205" i="1"/>
  <c r="M2205" i="1"/>
  <c r="P2205" i="1"/>
  <c r="G2204" i="1"/>
  <c r="M2204" i="1"/>
  <c r="P2204" i="1"/>
  <c r="O2203" i="1"/>
  <c r="G2203" i="1"/>
  <c r="M2203" i="1"/>
  <c r="P2203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3" i="1"/>
  <c r="O2194" i="1"/>
  <c r="O2195" i="1"/>
  <c r="O2196" i="1"/>
  <c r="O2197" i="1"/>
  <c r="O2198" i="1"/>
  <c r="O2199" i="1"/>
  <c r="O2200" i="1"/>
  <c r="O2201" i="1"/>
  <c r="O2202" i="1"/>
  <c r="G2202" i="1"/>
  <c r="M2202" i="1"/>
  <c r="P2202" i="1"/>
  <c r="G2201" i="1"/>
  <c r="M2201" i="1"/>
  <c r="P2201" i="1"/>
  <c r="G2200" i="1"/>
  <c r="M2200" i="1"/>
  <c r="P2200" i="1"/>
  <c r="G2199" i="1"/>
  <c r="M2199" i="1"/>
  <c r="P2199" i="1"/>
  <c r="G2195" i="1"/>
  <c r="G2196" i="1"/>
  <c r="G2197" i="1"/>
  <c r="G2198" i="1"/>
  <c r="M2195" i="1"/>
  <c r="M2196" i="1"/>
  <c r="M2197" i="1"/>
  <c r="M2198" i="1"/>
  <c r="P2195" i="1"/>
  <c r="P2196" i="1"/>
  <c r="P2197" i="1"/>
  <c r="P2198" i="1"/>
  <c r="G2194" i="1"/>
  <c r="M2194" i="1"/>
  <c r="P2194" i="1"/>
  <c r="Y2220" i="1" l="1"/>
  <c r="X2220" i="1"/>
  <c r="W2220" i="1"/>
  <c r="V2220" i="1"/>
  <c r="U2220" i="1"/>
  <c r="T2220" i="1"/>
  <c r="Y2228" i="1"/>
  <c r="X2228" i="1"/>
  <c r="W2228" i="1"/>
  <c r="V2228" i="1"/>
  <c r="U2228" i="1"/>
  <c r="T2228" i="1"/>
  <c r="Y2240" i="1"/>
  <c r="X2240" i="1"/>
  <c r="W2240" i="1"/>
  <c r="V2240" i="1"/>
  <c r="U2240" i="1"/>
  <c r="T2240" i="1"/>
  <c r="Y2244" i="1"/>
  <c r="X2244" i="1"/>
  <c r="W2244" i="1"/>
  <c r="V2244" i="1"/>
  <c r="U2244" i="1"/>
  <c r="T2244" i="1"/>
  <c r="Y2252" i="1"/>
  <c r="X2252" i="1"/>
  <c r="W2252" i="1"/>
  <c r="V2252" i="1"/>
  <c r="U2252" i="1"/>
  <c r="T2252" i="1"/>
  <c r="Y2201" i="1"/>
  <c r="X2201" i="1"/>
  <c r="W2201" i="1"/>
  <c r="V2201" i="1"/>
  <c r="U2201" i="1"/>
  <c r="T2201" i="1"/>
  <c r="Y2210" i="1"/>
  <c r="X2210" i="1"/>
  <c r="W2210" i="1"/>
  <c r="V2210" i="1"/>
  <c r="U2210" i="1"/>
  <c r="T2210" i="1"/>
  <c r="Y2216" i="1"/>
  <c r="X2216" i="1"/>
  <c r="W2216" i="1"/>
  <c r="V2216" i="1"/>
  <c r="U2216" i="1"/>
  <c r="T2216" i="1"/>
  <c r="Y2219" i="1"/>
  <c r="X2219" i="1"/>
  <c r="W2219" i="1"/>
  <c r="V2219" i="1"/>
  <c r="U2219" i="1"/>
  <c r="T2219" i="1"/>
  <c r="Y2223" i="1"/>
  <c r="X2223" i="1"/>
  <c r="V2223" i="1"/>
  <c r="W2223" i="1"/>
  <c r="U2223" i="1"/>
  <c r="T2223" i="1"/>
  <c r="Y2239" i="1"/>
  <c r="X2239" i="1"/>
  <c r="W2239" i="1"/>
  <c r="V2239" i="1"/>
  <c r="U2239" i="1"/>
  <c r="T2239" i="1"/>
  <c r="Y2247" i="1"/>
  <c r="X2247" i="1"/>
  <c r="W2247" i="1"/>
  <c r="V2247" i="1"/>
  <c r="U2247" i="1"/>
  <c r="T2247" i="1"/>
  <c r="Y2204" i="1"/>
  <c r="X2204" i="1"/>
  <c r="W2204" i="1"/>
  <c r="V2204" i="1"/>
  <c r="U2204" i="1"/>
  <c r="T2204" i="1"/>
  <c r="Y2206" i="1"/>
  <c r="X2206" i="1"/>
  <c r="W2206" i="1"/>
  <c r="V2206" i="1"/>
  <c r="U2206" i="1"/>
  <c r="T2206" i="1"/>
  <c r="Y2250" i="1"/>
  <c r="X2250" i="1"/>
  <c r="W2250" i="1"/>
  <c r="V2250" i="1"/>
  <c r="U2250" i="1"/>
  <c r="T2250" i="1"/>
  <c r="Y2197" i="1"/>
  <c r="X2197" i="1"/>
  <c r="W2197" i="1"/>
  <c r="V2197" i="1"/>
  <c r="U2197" i="1"/>
  <c r="T2197" i="1"/>
  <c r="Y2199" i="1"/>
  <c r="X2199" i="1"/>
  <c r="W2199" i="1"/>
  <c r="V2199" i="1"/>
  <c r="U2199" i="1"/>
  <c r="T2199" i="1"/>
  <c r="Y2214" i="1"/>
  <c r="X2214" i="1"/>
  <c r="W2214" i="1"/>
  <c r="V2214" i="1"/>
  <c r="U2214" i="1"/>
  <c r="T2214" i="1"/>
  <c r="Y2227" i="1"/>
  <c r="W2227" i="1"/>
  <c r="X2227" i="1"/>
  <c r="V2227" i="1"/>
  <c r="U2227" i="1"/>
  <c r="T2227" i="1"/>
  <c r="Y2229" i="1"/>
  <c r="X2229" i="1"/>
  <c r="W2229" i="1"/>
  <c r="V2229" i="1"/>
  <c r="U2229" i="1"/>
  <c r="T2229" i="1"/>
  <c r="Y2231" i="1"/>
  <c r="X2231" i="1"/>
  <c r="W2231" i="1"/>
  <c r="V2231" i="1"/>
  <c r="U2231" i="1"/>
  <c r="T2231" i="1"/>
  <c r="Y2237" i="1"/>
  <c r="X2237" i="1"/>
  <c r="W2237" i="1"/>
  <c r="V2237" i="1"/>
  <c r="U2237" i="1"/>
  <c r="T2237" i="1"/>
  <c r="Y2253" i="1"/>
  <c r="X2253" i="1"/>
  <c r="W2253" i="1"/>
  <c r="V2253" i="1"/>
  <c r="U2253" i="1"/>
  <c r="T2253" i="1"/>
  <c r="Y2232" i="1"/>
  <c r="X2232" i="1"/>
  <c r="W2232" i="1"/>
  <c r="V2232" i="1"/>
  <c r="U2232" i="1"/>
  <c r="T2232" i="1"/>
  <c r="Y2238" i="1"/>
  <c r="X2238" i="1"/>
  <c r="W2238" i="1"/>
  <c r="V2238" i="1"/>
  <c r="U2238" i="1"/>
  <c r="T2238" i="1"/>
  <c r="Y2194" i="1"/>
  <c r="W2194" i="1"/>
  <c r="X2194" i="1"/>
  <c r="V2194" i="1"/>
  <c r="U2194" i="1"/>
  <c r="T2194" i="1"/>
  <c r="Y2196" i="1"/>
  <c r="X2196" i="1"/>
  <c r="W2196" i="1"/>
  <c r="V2196" i="1"/>
  <c r="U2196" i="1"/>
  <c r="T2196" i="1"/>
  <c r="Y2202" i="1"/>
  <c r="X2202" i="1"/>
  <c r="W2202" i="1"/>
  <c r="V2202" i="1"/>
  <c r="U2202" i="1"/>
  <c r="T2202" i="1"/>
  <c r="Y2213" i="1"/>
  <c r="X2213" i="1"/>
  <c r="W2213" i="1"/>
  <c r="V2213" i="1"/>
  <c r="U2213" i="1"/>
  <c r="T2213" i="1"/>
  <c r="Y2224" i="1"/>
  <c r="X2224" i="1"/>
  <c r="W2224" i="1"/>
  <c r="V2224" i="1"/>
  <c r="U2224" i="1"/>
  <c r="T2224" i="1"/>
  <c r="Y2226" i="1"/>
  <c r="W2226" i="1"/>
  <c r="X2226" i="1"/>
  <c r="V2226" i="1"/>
  <c r="U2226" i="1"/>
  <c r="T2226" i="1"/>
  <c r="Y2236" i="1"/>
  <c r="X2236" i="1"/>
  <c r="W2236" i="1"/>
  <c r="V2236" i="1"/>
  <c r="U2236" i="1"/>
  <c r="T2236" i="1"/>
  <c r="Y2246" i="1"/>
  <c r="X2246" i="1"/>
  <c r="W2246" i="1"/>
  <c r="V2246" i="1"/>
  <c r="U2246" i="1"/>
  <c r="T2246" i="1"/>
  <c r="Y2248" i="1"/>
  <c r="X2248" i="1"/>
  <c r="W2248" i="1"/>
  <c r="V2248" i="1"/>
  <c r="U2248" i="1"/>
  <c r="T2248" i="1"/>
  <c r="Y2215" i="1"/>
  <c r="X2215" i="1"/>
  <c r="W2215" i="1"/>
  <c r="V2215" i="1"/>
  <c r="U2215" i="1"/>
  <c r="T2215" i="1"/>
  <c r="Y2242" i="1"/>
  <c r="X2242" i="1"/>
  <c r="W2242" i="1"/>
  <c r="V2242" i="1"/>
  <c r="U2242" i="1"/>
  <c r="T2242" i="1"/>
  <c r="Y2205" i="1"/>
  <c r="X2205" i="1"/>
  <c r="W2205" i="1"/>
  <c r="V2205" i="1"/>
  <c r="U2205" i="1"/>
  <c r="T2205" i="1"/>
  <c r="Y2212" i="1"/>
  <c r="X2212" i="1"/>
  <c r="W2212" i="1"/>
  <c r="V2212" i="1"/>
  <c r="U2212" i="1"/>
  <c r="T2212" i="1"/>
  <c r="Y2235" i="1"/>
  <c r="X2235" i="1"/>
  <c r="W2235" i="1"/>
  <c r="V2235" i="1"/>
  <c r="U2235" i="1"/>
  <c r="T2235" i="1"/>
  <c r="Y2243" i="1"/>
  <c r="X2243" i="1"/>
  <c r="W2243" i="1"/>
  <c r="V2243" i="1"/>
  <c r="U2243" i="1"/>
  <c r="T2243" i="1"/>
  <c r="Y2245" i="1"/>
  <c r="X2245" i="1"/>
  <c r="W2245" i="1"/>
  <c r="V2245" i="1"/>
  <c r="U2245" i="1"/>
  <c r="T2245" i="1"/>
  <c r="Y2251" i="1"/>
  <c r="X2251" i="1"/>
  <c r="W2251" i="1"/>
  <c r="V2251" i="1"/>
  <c r="U2251" i="1"/>
  <c r="T2251" i="1"/>
  <c r="Y2198" i="1"/>
  <c r="X2198" i="1"/>
  <c r="W2198" i="1"/>
  <c r="V2198" i="1"/>
  <c r="U2198" i="1"/>
  <c r="T2198" i="1"/>
  <c r="Y2218" i="1"/>
  <c r="X2218" i="1"/>
  <c r="W2218" i="1"/>
  <c r="V2218" i="1"/>
  <c r="U2218" i="1"/>
  <c r="T2218" i="1"/>
  <c r="Y2195" i="1"/>
  <c r="W2195" i="1"/>
  <c r="X2195" i="1"/>
  <c r="V2195" i="1"/>
  <c r="U2195" i="1"/>
  <c r="T2195" i="1"/>
  <c r="Y2200" i="1"/>
  <c r="X2200" i="1"/>
  <c r="W2200" i="1"/>
  <c r="V2200" i="1"/>
  <c r="U2200" i="1"/>
  <c r="T2200" i="1"/>
  <c r="Y2203" i="1"/>
  <c r="X2203" i="1"/>
  <c r="W2203" i="1"/>
  <c r="V2203" i="1"/>
  <c r="U2203" i="1"/>
  <c r="T2203" i="1"/>
  <c r="Y2208" i="1"/>
  <c r="X2208" i="1"/>
  <c r="W2208" i="1"/>
  <c r="U2208" i="1"/>
  <c r="V2208" i="1"/>
  <c r="T2208" i="1"/>
  <c r="Y2209" i="1"/>
  <c r="X2209" i="1"/>
  <c r="W2209" i="1"/>
  <c r="V2209" i="1"/>
  <c r="U2209" i="1"/>
  <c r="T2209" i="1"/>
  <c r="Y2211" i="1"/>
  <c r="X2211" i="1"/>
  <c r="W2211" i="1"/>
  <c r="V2211" i="1"/>
  <c r="U2211" i="1"/>
  <c r="T2211" i="1"/>
  <c r="Y2217" i="1"/>
  <c r="X2217" i="1"/>
  <c r="W2217" i="1"/>
  <c r="V2217" i="1"/>
  <c r="U2217" i="1"/>
  <c r="T2217" i="1"/>
  <c r="Y2222" i="1"/>
  <c r="X2222" i="1"/>
  <c r="W2222" i="1"/>
  <c r="V2222" i="1"/>
  <c r="T2222" i="1"/>
  <c r="U2222" i="1"/>
  <c r="Y2230" i="1"/>
  <c r="X2230" i="1"/>
  <c r="W2230" i="1"/>
  <c r="V2230" i="1"/>
  <c r="U2230" i="1"/>
  <c r="T2230" i="1"/>
  <c r="Y2234" i="1"/>
  <c r="X2234" i="1"/>
  <c r="W2234" i="1"/>
  <c r="V2234" i="1"/>
  <c r="U2234" i="1"/>
  <c r="T2234" i="1"/>
  <c r="Y2254" i="1"/>
  <c r="X2254" i="1"/>
  <c r="W2254" i="1"/>
  <c r="V2254" i="1"/>
  <c r="U2254" i="1"/>
  <c r="T2254" i="1"/>
  <c r="Y2207" i="1"/>
  <c r="X2207" i="1"/>
  <c r="W2207" i="1"/>
  <c r="V2207" i="1"/>
  <c r="U2207" i="1"/>
  <c r="T2207" i="1"/>
  <c r="Y2221" i="1"/>
  <c r="X2221" i="1"/>
  <c r="W2221" i="1"/>
  <c r="V2221" i="1"/>
  <c r="U2221" i="1"/>
  <c r="T2221" i="1"/>
  <c r="Y2225" i="1"/>
  <c r="X2225" i="1"/>
  <c r="W2225" i="1"/>
  <c r="V2225" i="1"/>
  <c r="U2225" i="1"/>
  <c r="T2225" i="1"/>
  <c r="Y2233" i="1"/>
  <c r="X2233" i="1"/>
  <c r="W2233" i="1"/>
  <c r="V2233" i="1"/>
  <c r="U2233" i="1"/>
  <c r="T2233" i="1"/>
  <c r="Y2241" i="1"/>
  <c r="X2241" i="1"/>
  <c r="W2241" i="1"/>
  <c r="V2241" i="1"/>
  <c r="U2241" i="1"/>
  <c r="T2241" i="1"/>
  <c r="Y2249" i="1"/>
  <c r="X2249" i="1"/>
  <c r="W2249" i="1"/>
  <c r="V2249" i="1"/>
  <c r="U2249" i="1"/>
  <c r="T2249" i="1"/>
  <c r="R2239" i="1" l="1"/>
  <c r="S2239" i="1" s="1"/>
  <c r="R2246" i="1"/>
  <c r="S2246" i="1" s="1"/>
  <c r="R2234" i="1"/>
  <c r="S2234" i="1" s="1"/>
  <c r="R2198" i="1"/>
  <c r="S2198" i="1" s="1"/>
  <c r="R2195" i="1"/>
  <c r="S2195" i="1" s="1"/>
  <c r="R2247" i="1"/>
  <c r="S2247" i="1" s="1"/>
  <c r="R2226" i="1"/>
  <c r="S2226" i="1" s="1"/>
  <c r="R2236" i="1"/>
  <c r="S2236" i="1" s="1"/>
  <c r="R2209" i="1"/>
  <c r="S2209" i="1" s="1"/>
  <c r="R2231" i="1"/>
  <c r="S2231" i="1" s="1"/>
  <c r="R2220" i="1"/>
  <c r="S2220" i="1" s="1"/>
  <c r="R2244" i="1"/>
  <c r="S2244" i="1" s="1"/>
  <c r="R2238" i="1"/>
  <c r="S2238" i="1" s="1"/>
  <c r="R2252" i="1"/>
  <c r="S2252" i="1" s="1"/>
  <c r="R2227" i="1"/>
  <c r="S2227" i="1" s="1"/>
  <c r="R2241" i="1"/>
  <c r="S2241" i="1" s="1"/>
  <c r="R2254" i="1"/>
  <c r="S2254" i="1" s="1"/>
  <c r="R2211" i="1"/>
  <c r="S2211" i="1" s="1"/>
  <c r="R2219" i="1"/>
  <c r="S2219" i="1" s="1"/>
  <c r="R2253" i="1"/>
  <c r="S2253" i="1" s="1"/>
  <c r="R2232" i="1"/>
  <c r="S2232" i="1" s="1"/>
  <c r="R2251" i="1"/>
  <c r="S2251" i="1" s="1"/>
  <c r="R2237" i="1"/>
  <c r="S2237" i="1" s="1"/>
  <c r="R2249" i="1"/>
  <c r="S2249" i="1" s="1"/>
  <c r="R2250" i="1"/>
  <c r="S2250" i="1" s="1"/>
  <c r="R2248" i="1"/>
  <c r="S2248" i="1" s="1"/>
  <c r="R2245" i="1"/>
  <c r="S2245" i="1" s="1"/>
  <c r="R2240" i="1"/>
  <c r="S2240" i="1" s="1"/>
  <c r="R2243" i="1"/>
  <c r="S2243" i="1" s="1"/>
  <c r="R2208" i="1"/>
  <c r="S2208" i="1" s="1"/>
  <c r="R2242" i="1"/>
  <c r="S2242" i="1" s="1"/>
  <c r="R2230" i="1"/>
  <c r="S2230" i="1" s="1"/>
  <c r="R2235" i="1"/>
  <c r="S2235" i="1" s="1"/>
  <c r="R2229" i="1"/>
  <c r="S2229" i="1" s="1"/>
  <c r="R2233" i="1"/>
  <c r="S2233" i="1" s="1"/>
  <c r="R2228" i="1"/>
  <c r="S2228" i="1" s="1"/>
  <c r="R2225" i="1"/>
  <c r="S2225" i="1" s="1"/>
  <c r="R2224" i="1"/>
  <c r="S2224" i="1" s="1"/>
  <c r="R2223" i="1"/>
  <c r="S2223" i="1" s="1"/>
  <c r="R2222" i="1"/>
  <c r="S2222" i="1" s="1"/>
  <c r="R2214" i="1"/>
  <c r="S2214" i="1" s="1"/>
  <c r="R2221" i="1"/>
  <c r="S2221" i="1" s="1"/>
  <c r="R2212" i="1"/>
  <c r="S2212" i="1" s="1"/>
  <c r="R2210" i="1"/>
  <c r="S2210" i="1" s="1"/>
  <c r="R2216" i="1"/>
  <c r="S2216" i="1" s="1"/>
  <c r="R2217" i="1"/>
  <c r="S2217" i="1" s="1"/>
  <c r="R2218" i="1"/>
  <c r="S2218" i="1" s="1"/>
  <c r="R2215" i="1"/>
  <c r="S2215" i="1" s="1"/>
  <c r="R2213" i="1"/>
  <c r="S2213" i="1" s="1"/>
  <c r="R2207" i="1"/>
  <c r="S2207" i="1" s="1"/>
  <c r="R2206" i="1"/>
  <c r="S2206" i="1" s="1"/>
  <c r="R2205" i="1"/>
  <c r="S2205" i="1" s="1"/>
  <c r="R2204" i="1"/>
  <c r="S2204" i="1" s="1"/>
  <c r="R2203" i="1"/>
  <c r="S2203" i="1" s="1"/>
  <c r="R2202" i="1"/>
  <c r="S2202" i="1" s="1"/>
  <c r="R2201" i="1"/>
  <c r="S2201" i="1" s="1"/>
  <c r="R2199" i="1"/>
  <c r="S2199" i="1" s="1"/>
  <c r="R2200" i="1"/>
  <c r="S2200" i="1" s="1"/>
  <c r="R2196" i="1"/>
  <c r="S2196" i="1" s="1"/>
  <c r="R2197" i="1"/>
  <c r="S2197" i="1" s="1"/>
  <c r="R2194" i="1"/>
  <c r="S2194" i="1" s="1"/>
  <c r="G2193" i="1" l="1"/>
  <c r="M2193" i="1"/>
  <c r="P2193" i="1"/>
  <c r="G2192" i="1"/>
  <c r="M2192" i="1"/>
  <c r="P2192" i="1"/>
  <c r="G2191" i="1"/>
  <c r="M2191" i="1"/>
  <c r="P2191" i="1"/>
  <c r="G2190" i="1"/>
  <c r="M2190" i="1"/>
  <c r="P2190" i="1"/>
  <c r="G2189" i="1"/>
  <c r="M2189" i="1"/>
  <c r="P2189" i="1"/>
  <c r="G2182" i="1"/>
  <c r="G2183" i="1"/>
  <c r="G2184" i="1"/>
  <c r="G2185" i="1"/>
  <c r="G2186" i="1"/>
  <c r="G2187" i="1"/>
  <c r="G2188" i="1"/>
  <c r="M2182" i="1"/>
  <c r="M2183" i="1"/>
  <c r="M2184" i="1"/>
  <c r="M2185" i="1"/>
  <c r="M2186" i="1"/>
  <c r="M2187" i="1"/>
  <c r="M2188" i="1"/>
  <c r="P2182" i="1"/>
  <c r="P2183" i="1"/>
  <c r="P2184" i="1"/>
  <c r="P2185" i="1"/>
  <c r="P2186" i="1"/>
  <c r="P2187" i="1"/>
  <c r="P2188" i="1"/>
  <c r="G2181" i="1"/>
  <c r="M2181" i="1"/>
  <c r="P2181" i="1"/>
  <c r="G2180" i="1"/>
  <c r="M2180" i="1"/>
  <c r="P2180" i="1"/>
  <c r="G2179" i="1"/>
  <c r="M2179" i="1"/>
  <c r="P2179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G2174" i="1"/>
  <c r="G2175" i="1"/>
  <c r="G2176" i="1"/>
  <c r="G2177" i="1"/>
  <c r="G2178" i="1"/>
  <c r="M2174" i="1"/>
  <c r="M2175" i="1"/>
  <c r="M2176" i="1"/>
  <c r="M2177" i="1"/>
  <c r="M2178" i="1"/>
  <c r="P2174" i="1"/>
  <c r="P2175" i="1"/>
  <c r="P2176" i="1"/>
  <c r="P2177" i="1"/>
  <c r="P2178" i="1"/>
  <c r="G2173" i="1"/>
  <c r="M2173" i="1"/>
  <c r="P2173" i="1"/>
  <c r="G2172" i="1"/>
  <c r="M2172" i="1"/>
  <c r="P2172" i="1"/>
  <c r="G2171" i="1"/>
  <c r="M2171" i="1"/>
  <c r="P2171" i="1"/>
  <c r="G2169" i="1"/>
  <c r="G2170" i="1"/>
  <c r="M2169" i="1"/>
  <c r="M2170" i="1"/>
  <c r="P2169" i="1"/>
  <c r="P2170" i="1"/>
  <c r="G2168" i="1"/>
  <c r="M2168" i="1"/>
  <c r="P2168" i="1"/>
  <c r="G2167" i="1"/>
  <c r="M2167" i="1"/>
  <c r="P2167" i="1"/>
  <c r="G2166" i="1"/>
  <c r="M2166" i="1"/>
  <c r="P2166" i="1"/>
  <c r="G2163" i="1"/>
  <c r="G2164" i="1"/>
  <c r="G2165" i="1"/>
  <c r="M2163" i="1"/>
  <c r="M2164" i="1"/>
  <c r="M2165" i="1"/>
  <c r="P2163" i="1"/>
  <c r="P2164" i="1"/>
  <c r="P2165" i="1"/>
  <c r="G2162" i="1"/>
  <c r="M2162" i="1"/>
  <c r="P2162" i="1"/>
  <c r="O2147" i="1"/>
  <c r="O2148" i="1"/>
  <c r="O2153" i="1"/>
  <c r="O2154" i="1"/>
  <c r="O2155" i="1"/>
  <c r="O2156" i="1"/>
  <c r="O2157" i="1"/>
  <c r="O2158" i="1"/>
  <c r="O2159" i="1"/>
  <c r="O2160" i="1"/>
  <c r="O2161" i="1"/>
  <c r="G2160" i="1"/>
  <c r="G2161" i="1"/>
  <c r="M2160" i="1"/>
  <c r="M2161" i="1"/>
  <c r="P2160" i="1"/>
  <c r="P2161" i="1"/>
  <c r="G2159" i="1"/>
  <c r="M2159" i="1"/>
  <c r="P2159" i="1"/>
  <c r="G2156" i="1"/>
  <c r="G2157" i="1"/>
  <c r="G2158" i="1"/>
  <c r="M2157" i="1"/>
  <c r="M2158" i="1"/>
  <c r="P2157" i="1"/>
  <c r="P2158" i="1"/>
  <c r="M2156" i="1"/>
  <c r="P2156" i="1"/>
  <c r="G2155" i="1"/>
  <c r="M2155" i="1"/>
  <c r="P2155" i="1"/>
  <c r="G2154" i="1"/>
  <c r="M2154" i="1"/>
  <c r="P2154" i="1"/>
  <c r="G2153" i="1"/>
  <c r="M2153" i="1"/>
  <c r="P2153" i="1"/>
  <c r="G2152" i="1"/>
  <c r="M2152" i="1"/>
  <c r="P2152" i="1"/>
  <c r="G2151" i="1"/>
  <c r="M2151" i="1"/>
  <c r="P2151" i="1"/>
  <c r="G2150" i="1"/>
  <c r="M2150" i="1"/>
  <c r="P2150" i="1"/>
  <c r="G2149" i="1"/>
  <c r="M2149" i="1"/>
  <c r="P2149" i="1"/>
  <c r="G2148" i="1"/>
  <c r="M2148" i="1"/>
  <c r="P2148" i="1"/>
  <c r="G2147" i="1"/>
  <c r="M2147" i="1"/>
  <c r="P2147" i="1"/>
  <c r="O2145" i="1"/>
  <c r="O2146" i="1"/>
  <c r="G2146" i="1"/>
  <c r="M2146" i="1"/>
  <c r="P2146" i="1"/>
  <c r="G2145" i="1"/>
  <c r="M2145" i="1"/>
  <c r="P2145" i="1"/>
  <c r="O2126" i="1"/>
  <c r="O2127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G2143" i="1"/>
  <c r="G2144" i="1"/>
  <c r="M2143" i="1"/>
  <c r="M2144" i="1"/>
  <c r="P2143" i="1"/>
  <c r="P2144" i="1"/>
  <c r="G2140" i="1"/>
  <c r="G2141" i="1"/>
  <c r="G2142" i="1"/>
  <c r="M2140" i="1"/>
  <c r="M2141" i="1"/>
  <c r="M2142" i="1"/>
  <c r="P2140" i="1"/>
  <c r="P2141" i="1"/>
  <c r="P2142" i="1"/>
  <c r="G2139" i="1"/>
  <c r="M2139" i="1"/>
  <c r="P2139" i="1"/>
  <c r="G2138" i="1"/>
  <c r="M2138" i="1"/>
  <c r="P2138" i="1"/>
  <c r="G2137" i="1"/>
  <c r="M2137" i="1"/>
  <c r="P2137" i="1"/>
  <c r="G2129" i="1"/>
  <c r="G2130" i="1"/>
  <c r="G2131" i="1"/>
  <c r="G2132" i="1"/>
  <c r="G2133" i="1"/>
  <c r="G2134" i="1"/>
  <c r="G2135" i="1"/>
  <c r="G2136" i="1"/>
  <c r="M2129" i="1"/>
  <c r="M2130" i="1"/>
  <c r="M2131" i="1"/>
  <c r="M2132" i="1"/>
  <c r="M2133" i="1"/>
  <c r="M2134" i="1"/>
  <c r="M2135" i="1"/>
  <c r="M2136" i="1"/>
  <c r="P2129" i="1"/>
  <c r="P2130" i="1"/>
  <c r="P2131" i="1"/>
  <c r="P2132" i="1"/>
  <c r="P2133" i="1"/>
  <c r="P2134" i="1"/>
  <c r="P2135" i="1"/>
  <c r="P2136" i="1"/>
  <c r="G2128" i="1"/>
  <c r="M2128" i="1"/>
  <c r="P2128" i="1"/>
  <c r="G2127" i="1"/>
  <c r="M2127" i="1"/>
  <c r="P2127" i="1"/>
  <c r="G2126" i="1"/>
  <c r="M2126" i="1"/>
  <c r="P2126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G2117" i="1"/>
  <c r="G2118" i="1"/>
  <c r="G2119" i="1"/>
  <c r="G2120" i="1"/>
  <c r="G2121" i="1"/>
  <c r="G2122" i="1"/>
  <c r="G2123" i="1"/>
  <c r="G2124" i="1"/>
  <c r="G2125" i="1"/>
  <c r="M2117" i="1"/>
  <c r="M2118" i="1"/>
  <c r="M2119" i="1"/>
  <c r="M2120" i="1"/>
  <c r="M2121" i="1"/>
  <c r="M2122" i="1"/>
  <c r="M2123" i="1"/>
  <c r="M2124" i="1"/>
  <c r="M2125" i="1"/>
  <c r="P2117" i="1"/>
  <c r="P2118" i="1"/>
  <c r="P2119" i="1"/>
  <c r="P2120" i="1"/>
  <c r="P2121" i="1"/>
  <c r="P2122" i="1"/>
  <c r="P2123" i="1"/>
  <c r="P2124" i="1"/>
  <c r="P2125" i="1"/>
  <c r="G2116" i="1"/>
  <c r="M2116" i="1"/>
  <c r="P2116" i="1"/>
  <c r="G2115" i="1"/>
  <c r="M2115" i="1"/>
  <c r="P2115" i="1"/>
  <c r="G2114" i="1"/>
  <c r="M2114" i="1"/>
  <c r="P2114" i="1"/>
  <c r="G2113" i="1"/>
  <c r="M2113" i="1"/>
  <c r="P2113" i="1"/>
  <c r="G2112" i="1"/>
  <c r="M2112" i="1"/>
  <c r="P2112" i="1"/>
  <c r="O2108" i="1"/>
  <c r="O2109" i="1"/>
  <c r="O2110" i="1"/>
  <c r="O2111" i="1"/>
  <c r="G2109" i="1"/>
  <c r="G2110" i="1"/>
  <c r="G2111" i="1"/>
  <c r="M2109" i="1"/>
  <c r="M2110" i="1"/>
  <c r="M2111" i="1"/>
  <c r="P2109" i="1"/>
  <c r="P2110" i="1"/>
  <c r="P2111" i="1"/>
  <c r="G2108" i="1"/>
  <c r="M2108" i="1"/>
  <c r="P2108" i="1"/>
  <c r="O2103" i="1"/>
  <c r="O2104" i="1"/>
  <c r="O2105" i="1"/>
  <c r="O2106" i="1"/>
  <c r="O2107" i="1"/>
  <c r="G2107" i="1"/>
  <c r="M2107" i="1"/>
  <c r="P2107" i="1"/>
  <c r="G2106" i="1"/>
  <c r="M2106" i="1"/>
  <c r="P2106" i="1"/>
  <c r="G2105" i="1"/>
  <c r="M2105" i="1"/>
  <c r="P2105" i="1"/>
  <c r="G2104" i="1"/>
  <c r="M2104" i="1"/>
  <c r="P2104" i="1"/>
  <c r="O2096" i="1"/>
  <c r="O2097" i="1"/>
  <c r="O2098" i="1"/>
  <c r="O2099" i="1"/>
  <c r="O2100" i="1"/>
  <c r="O2101" i="1"/>
  <c r="O2102" i="1"/>
  <c r="G2103" i="1"/>
  <c r="M2103" i="1"/>
  <c r="P2103" i="1"/>
  <c r="G2102" i="1"/>
  <c r="M2102" i="1"/>
  <c r="P2102" i="1"/>
  <c r="G2101" i="1"/>
  <c r="M2101" i="1"/>
  <c r="P2101" i="1"/>
  <c r="G2100" i="1"/>
  <c r="M2100" i="1"/>
  <c r="P2100" i="1"/>
  <c r="G2099" i="1"/>
  <c r="M2099" i="1"/>
  <c r="P2099" i="1"/>
  <c r="G2098" i="1"/>
  <c r="M2098" i="1"/>
  <c r="P2098" i="1"/>
  <c r="G2097" i="1"/>
  <c r="M2097" i="1"/>
  <c r="P2097" i="1"/>
  <c r="G2096" i="1"/>
  <c r="M2096" i="1"/>
  <c r="P2096" i="1"/>
  <c r="O2088" i="1"/>
  <c r="O2089" i="1"/>
  <c r="O2090" i="1"/>
  <c r="O2091" i="1"/>
  <c r="O2092" i="1"/>
  <c r="O2093" i="1"/>
  <c r="O2094" i="1"/>
  <c r="O2095" i="1"/>
  <c r="G2092" i="1"/>
  <c r="G2093" i="1"/>
  <c r="G2094" i="1"/>
  <c r="G2095" i="1"/>
  <c r="M2092" i="1"/>
  <c r="M2093" i="1"/>
  <c r="M2094" i="1"/>
  <c r="M2095" i="1"/>
  <c r="P2092" i="1"/>
  <c r="P2093" i="1"/>
  <c r="P2094" i="1"/>
  <c r="P2095" i="1"/>
  <c r="G2091" i="1"/>
  <c r="M2091" i="1"/>
  <c r="P2091" i="1"/>
  <c r="G2090" i="1"/>
  <c r="M2090" i="1"/>
  <c r="P2090" i="1"/>
  <c r="G2089" i="1"/>
  <c r="M2089" i="1"/>
  <c r="P2089" i="1"/>
  <c r="G2088" i="1"/>
  <c r="M2088" i="1"/>
  <c r="P2088" i="1"/>
  <c r="Y2097" i="1" l="1"/>
  <c r="X2097" i="1"/>
  <c r="W2097" i="1"/>
  <c r="V2097" i="1"/>
  <c r="U2097" i="1"/>
  <c r="T2097" i="1"/>
  <c r="Y2113" i="1"/>
  <c r="X2113" i="1"/>
  <c r="W2113" i="1"/>
  <c r="V2113" i="1"/>
  <c r="U2113" i="1"/>
  <c r="T2113" i="1"/>
  <c r="Y2121" i="1"/>
  <c r="X2121" i="1"/>
  <c r="W2121" i="1"/>
  <c r="V2121" i="1"/>
  <c r="U2121" i="1"/>
  <c r="T2121" i="1"/>
  <c r="Y2127" i="1"/>
  <c r="X2127" i="1"/>
  <c r="V2127" i="1"/>
  <c r="W2127" i="1"/>
  <c r="U2127" i="1"/>
  <c r="T2127" i="1"/>
  <c r="Y2133" i="1"/>
  <c r="X2133" i="1"/>
  <c r="W2133" i="1"/>
  <c r="V2133" i="1"/>
  <c r="U2133" i="1"/>
  <c r="T2133" i="1"/>
  <c r="Y2145" i="1"/>
  <c r="X2145" i="1"/>
  <c r="W2145" i="1"/>
  <c r="V2145" i="1"/>
  <c r="U2145" i="1"/>
  <c r="T2145" i="1"/>
  <c r="Y2147" i="1"/>
  <c r="X2147" i="1"/>
  <c r="W2147" i="1"/>
  <c r="V2147" i="1"/>
  <c r="U2147" i="1"/>
  <c r="T2147" i="1"/>
  <c r="Y2155" i="1"/>
  <c r="X2155" i="1"/>
  <c r="W2155" i="1"/>
  <c r="V2155" i="1"/>
  <c r="U2155" i="1"/>
  <c r="T2155" i="1"/>
  <c r="Y2161" i="1"/>
  <c r="X2161" i="1"/>
  <c r="W2161" i="1"/>
  <c r="V2161" i="1"/>
  <c r="U2161" i="1"/>
  <c r="T2161" i="1"/>
  <c r="Y2162" i="1"/>
  <c r="X2162" i="1"/>
  <c r="W2162" i="1"/>
  <c r="V2162" i="1"/>
  <c r="U2162" i="1"/>
  <c r="T2162" i="1"/>
  <c r="Y2178" i="1"/>
  <c r="X2178" i="1"/>
  <c r="W2178" i="1"/>
  <c r="V2178" i="1"/>
  <c r="U2178" i="1"/>
  <c r="T2178" i="1"/>
  <c r="Y2183" i="1"/>
  <c r="X2183" i="1"/>
  <c r="W2183" i="1"/>
  <c r="V2183" i="1"/>
  <c r="U2183" i="1"/>
  <c r="T2183" i="1"/>
  <c r="Y2191" i="1"/>
  <c r="X2191" i="1"/>
  <c r="W2191" i="1"/>
  <c r="V2191" i="1"/>
  <c r="U2191" i="1"/>
  <c r="T2191" i="1"/>
  <c r="Y2116" i="1"/>
  <c r="X2116" i="1"/>
  <c r="W2116" i="1"/>
  <c r="V2116" i="1"/>
  <c r="U2116" i="1"/>
  <c r="T2116" i="1"/>
  <c r="Y2120" i="1"/>
  <c r="X2120" i="1"/>
  <c r="W2120" i="1"/>
  <c r="V2120" i="1"/>
  <c r="U2120" i="1"/>
  <c r="T2120" i="1"/>
  <c r="Y2132" i="1"/>
  <c r="X2132" i="1"/>
  <c r="W2132" i="1"/>
  <c r="V2132" i="1"/>
  <c r="U2132" i="1"/>
  <c r="T2132" i="1"/>
  <c r="Y2138" i="1"/>
  <c r="X2138" i="1"/>
  <c r="W2138" i="1"/>
  <c r="V2138" i="1"/>
  <c r="U2138" i="1"/>
  <c r="T2138" i="1"/>
  <c r="Y2142" i="1"/>
  <c r="X2142" i="1"/>
  <c r="W2142" i="1"/>
  <c r="V2142" i="1"/>
  <c r="U2142" i="1"/>
  <c r="T2142" i="1"/>
  <c r="Y2144" i="1"/>
  <c r="X2144" i="1"/>
  <c r="W2144" i="1"/>
  <c r="V2144" i="1"/>
  <c r="U2144" i="1"/>
  <c r="T2144" i="1"/>
  <c r="Y2150" i="1"/>
  <c r="X2150" i="1"/>
  <c r="W2150" i="1"/>
  <c r="V2150" i="1"/>
  <c r="U2150" i="1"/>
  <c r="T2150" i="1"/>
  <c r="Y2160" i="1"/>
  <c r="X2160" i="1"/>
  <c r="W2160" i="1"/>
  <c r="V2160" i="1"/>
  <c r="U2160" i="1"/>
  <c r="T2160" i="1"/>
  <c r="Y2173" i="1"/>
  <c r="X2173" i="1"/>
  <c r="W2173" i="1"/>
  <c r="V2173" i="1"/>
  <c r="U2173" i="1"/>
  <c r="T2173" i="1"/>
  <c r="Y2177" i="1"/>
  <c r="X2177" i="1"/>
  <c r="W2177" i="1"/>
  <c r="V2177" i="1"/>
  <c r="U2177" i="1"/>
  <c r="T2177" i="1"/>
  <c r="Y2182" i="1"/>
  <c r="X2182" i="1"/>
  <c r="W2182" i="1"/>
  <c r="V2182" i="1"/>
  <c r="U2182" i="1"/>
  <c r="T2182" i="1"/>
  <c r="Y2103" i="1"/>
  <c r="X2103" i="1"/>
  <c r="W2103" i="1"/>
  <c r="V2103" i="1"/>
  <c r="U2103" i="1"/>
  <c r="T2103" i="1"/>
  <c r="Y2106" i="1"/>
  <c r="X2106" i="1"/>
  <c r="W2106" i="1"/>
  <c r="V2106" i="1"/>
  <c r="U2106" i="1"/>
  <c r="T2106" i="1"/>
  <c r="Y2111" i="1"/>
  <c r="X2111" i="1"/>
  <c r="W2111" i="1"/>
  <c r="V2111" i="1"/>
  <c r="U2111" i="1"/>
  <c r="T2111" i="1"/>
  <c r="Y2119" i="1"/>
  <c r="X2119" i="1"/>
  <c r="W2119" i="1"/>
  <c r="V2119" i="1"/>
  <c r="U2119" i="1"/>
  <c r="T2119" i="1"/>
  <c r="Y2131" i="1"/>
  <c r="W2131" i="1"/>
  <c r="V2131" i="1"/>
  <c r="X2131" i="1"/>
  <c r="U2131" i="1"/>
  <c r="T2131" i="1"/>
  <c r="Y2141" i="1"/>
  <c r="X2141" i="1"/>
  <c r="W2141" i="1"/>
  <c r="V2141" i="1"/>
  <c r="U2141" i="1"/>
  <c r="T2141" i="1"/>
  <c r="Y2143" i="1"/>
  <c r="X2143" i="1"/>
  <c r="W2143" i="1"/>
  <c r="V2143" i="1"/>
  <c r="U2143" i="1"/>
  <c r="T2143" i="1"/>
  <c r="Y2153" i="1"/>
  <c r="X2153" i="1"/>
  <c r="W2153" i="1"/>
  <c r="V2153" i="1"/>
  <c r="U2153" i="1"/>
  <c r="T2153" i="1"/>
  <c r="Y2168" i="1"/>
  <c r="X2168" i="1"/>
  <c r="W2168" i="1"/>
  <c r="V2168" i="1"/>
  <c r="U2168" i="1"/>
  <c r="T2168" i="1"/>
  <c r="Y2176" i="1"/>
  <c r="X2176" i="1"/>
  <c r="W2176" i="1"/>
  <c r="V2176" i="1"/>
  <c r="U2176" i="1"/>
  <c r="T2176" i="1"/>
  <c r="Y2181" i="1"/>
  <c r="X2181" i="1"/>
  <c r="V2181" i="1"/>
  <c r="W2181" i="1"/>
  <c r="U2181" i="1"/>
  <c r="T2181" i="1"/>
  <c r="Y2189" i="1"/>
  <c r="X2189" i="1"/>
  <c r="W2189" i="1"/>
  <c r="V2189" i="1"/>
  <c r="U2189" i="1"/>
  <c r="T2189" i="1"/>
  <c r="Y2100" i="1"/>
  <c r="X2100" i="1"/>
  <c r="W2100" i="1"/>
  <c r="V2100" i="1"/>
  <c r="U2100" i="1"/>
  <c r="T2100" i="1"/>
  <c r="Y2090" i="1"/>
  <c r="X2090" i="1"/>
  <c r="W2090" i="1"/>
  <c r="V2090" i="1"/>
  <c r="U2090" i="1"/>
  <c r="T2090" i="1"/>
  <c r="Y2098" i="1"/>
  <c r="W2098" i="1"/>
  <c r="X2098" i="1"/>
  <c r="V2098" i="1"/>
  <c r="U2098" i="1"/>
  <c r="T2098" i="1"/>
  <c r="Y2110" i="1"/>
  <c r="X2110" i="1"/>
  <c r="W2110" i="1"/>
  <c r="V2110" i="1"/>
  <c r="U2110" i="1"/>
  <c r="T2110" i="1"/>
  <c r="Y2114" i="1"/>
  <c r="X2114" i="1"/>
  <c r="W2114" i="1"/>
  <c r="V2114" i="1"/>
  <c r="U2114" i="1"/>
  <c r="T2114" i="1"/>
  <c r="Y2118" i="1"/>
  <c r="X2118" i="1"/>
  <c r="W2118" i="1"/>
  <c r="V2118" i="1"/>
  <c r="U2118" i="1"/>
  <c r="T2118" i="1"/>
  <c r="Y2128" i="1"/>
  <c r="X2128" i="1"/>
  <c r="W2128" i="1"/>
  <c r="V2128" i="1"/>
  <c r="U2128" i="1"/>
  <c r="T2128" i="1"/>
  <c r="Y2130" i="1"/>
  <c r="W2130" i="1"/>
  <c r="X2130" i="1"/>
  <c r="V2130" i="1"/>
  <c r="U2130" i="1"/>
  <c r="T2130" i="1"/>
  <c r="Y2140" i="1"/>
  <c r="X2140" i="1"/>
  <c r="W2140" i="1"/>
  <c r="V2140" i="1"/>
  <c r="U2140" i="1"/>
  <c r="T2140" i="1"/>
  <c r="Y2146" i="1"/>
  <c r="X2146" i="1"/>
  <c r="W2146" i="1"/>
  <c r="V2146" i="1"/>
  <c r="U2146" i="1"/>
  <c r="T2146" i="1"/>
  <c r="Y2148" i="1"/>
  <c r="X2148" i="1"/>
  <c r="W2148" i="1"/>
  <c r="V2148" i="1"/>
  <c r="U2148" i="1"/>
  <c r="T2148" i="1"/>
  <c r="Y2156" i="1"/>
  <c r="X2156" i="1"/>
  <c r="W2156" i="1"/>
  <c r="V2156" i="1"/>
  <c r="U2156" i="1"/>
  <c r="T2156" i="1"/>
  <c r="Y2171" i="1"/>
  <c r="X2171" i="1"/>
  <c r="V2171" i="1"/>
  <c r="W2171" i="1"/>
  <c r="U2171" i="1"/>
  <c r="T2171" i="1"/>
  <c r="Y2175" i="1"/>
  <c r="X2175" i="1"/>
  <c r="W2175" i="1"/>
  <c r="V2175" i="1"/>
  <c r="U2175" i="1"/>
  <c r="T2175" i="1"/>
  <c r="Y2188" i="1"/>
  <c r="X2188" i="1"/>
  <c r="W2188" i="1"/>
  <c r="V2188" i="1"/>
  <c r="U2188" i="1"/>
  <c r="T2188" i="1"/>
  <c r="Y2192" i="1"/>
  <c r="X2192" i="1"/>
  <c r="W2192" i="1"/>
  <c r="V2192" i="1"/>
  <c r="U2192" i="1"/>
  <c r="T2192" i="1"/>
  <c r="Y2095" i="1"/>
  <c r="X2095" i="1"/>
  <c r="W2095" i="1"/>
  <c r="V2095" i="1"/>
  <c r="U2095" i="1"/>
  <c r="T2095" i="1"/>
  <c r="Y2101" i="1"/>
  <c r="X2101" i="1"/>
  <c r="W2101" i="1"/>
  <c r="V2101" i="1"/>
  <c r="U2101" i="1"/>
  <c r="T2101" i="1"/>
  <c r="Y2104" i="1"/>
  <c r="X2104" i="1"/>
  <c r="W2104" i="1"/>
  <c r="V2104" i="1"/>
  <c r="U2104" i="1"/>
  <c r="T2104" i="1"/>
  <c r="Y2109" i="1"/>
  <c r="X2109" i="1"/>
  <c r="W2109" i="1"/>
  <c r="V2109" i="1"/>
  <c r="U2109" i="1"/>
  <c r="T2109" i="1"/>
  <c r="Y2125" i="1"/>
  <c r="X2125" i="1"/>
  <c r="W2125" i="1"/>
  <c r="V2125" i="1"/>
  <c r="U2125" i="1"/>
  <c r="T2125" i="1"/>
  <c r="Y2117" i="1"/>
  <c r="X2117" i="1"/>
  <c r="W2117" i="1"/>
  <c r="V2117" i="1"/>
  <c r="U2117" i="1"/>
  <c r="T2117" i="1"/>
  <c r="Y2129" i="1"/>
  <c r="X2129" i="1"/>
  <c r="W2129" i="1"/>
  <c r="V2129" i="1"/>
  <c r="U2129" i="1"/>
  <c r="T2129" i="1"/>
  <c r="Y2139" i="1"/>
  <c r="X2139" i="1"/>
  <c r="W2139" i="1"/>
  <c r="V2139" i="1"/>
  <c r="U2139" i="1"/>
  <c r="T2139" i="1"/>
  <c r="Y2151" i="1"/>
  <c r="X2151" i="1"/>
  <c r="W2151" i="1"/>
  <c r="V2151" i="1"/>
  <c r="U2151" i="1"/>
  <c r="T2151" i="1"/>
  <c r="Y2159" i="1"/>
  <c r="X2159" i="1"/>
  <c r="V2159" i="1"/>
  <c r="W2159" i="1"/>
  <c r="U2159" i="1"/>
  <c r="T2159" i="1"/>
  <c r="Y2166" i="1"/>
  <c r="X2166" i="1"/>
  <c r="W2166" i="1"/>
  <c r="V2166" i="1"/>
  <c r="U2166" i="1"/>
  <c r="T2166" i="1"/>
  <c r="Y2174" i="1"/>
  <c r="X2174" i="1"/>
  <c r="W2174" i="1"/>
  <c r="V2174" i="1"/>
  <c r="U2174" i="1"/>
  <c r="T2174" i="1"/>
  <c r="Y2179" i="1"/>
  <c r="X2179" i="1"/>
  <c r="W2179" i="1"/>
  <c r="V2179" i="1"/>
  <c r="U2179" i="1"/>
  <c r="T2179" i="1"/>
  <c r="Y2187" i="1"/>
  <c r="X2187" i="1"/>
  <c r="W2187" i="1"/>
  <c r="V2187" i="1"/>
  <c r="U2187" i="1"/>
  <c r="T2187" i="1"/>
  <c r="Y2089" i="1"/>
  <c r="X2089" i="1"/>
  <c r="W2089" i="1"/>
  <c r="V2089" i="1"/>
  <c r="U2089" i="1"/>
  <c r="T2089" i="1"/>
  <c r="Y2088" i="1"/>
  <c r="X2088" i="1"/>
  <c r="W2088" i="1"/>
  <c r="V2088" i="1"/>
  <c r="U2088" i="1"/>
  <c r="T2088" i="1"/>
  <c r="Y2094" i="1"/>
  <c r="X2094" i="1"/>
  <c r="W2094" i="1"/>
  <c r="V2094" i="1"/>
  <c r="T2094" i="1"/>
  <c r="U2094" i="1"/>
  <c r="Y2096" i="1"/>
  <c r="X2096" i="1"/>
  <c r="W2096" i="1"/>
  <c r="V2096" i="1"/>
  <c r="U2096" i="1"/>
  <c r="T2096" i="1"/>
  <c r="Y2107" i="1"/>
  <c r="X2107" i="1"/>
  <c r="W2107" i="1"/>
  <c r="V2107" i="1"/>
  <c r="U2107" i="1"/>
  <c r="T2107" i="1"/>
  <c r="Y2108" i="1"/>
  <c r="X2108" i="1"/>
  <c r="W2108" i="1"/>
  <c r="V2108" i="1"/>
  <c r="U2108" i="1"/>
  <c r="T2108" i="1"/>
  <c r="Y2112" i="1"/>
  <c r="X2112" i="1"/>
  <c r="W2112" i="1"/>
  <c r="V2112" i="1"/>
  <c r="U2112" i="1"/>
  <c r="T2112" i="1"/>
  <c r="Y2124" i="1"/>
  <c r="X2124" i="1"/>
  <c r="W2124" i="1"/>
  <c r="V2124" i="1"/>
  <c r="U2124" i="1"/>
  <c r="T2124" i="1"/>
  <c r="Y2126" i="1"/>
  <c r="X2126" i="1"/>
  <c r="W2126" i="1"/>
  <c r="V2126" i="1"/>
  <c r="T2126" i="1"/>
  <c r="U2126" i="1"/>
  <c r="Y2136" i="1"/>
  <c r="X2136" i="1"/>
  <c r="W2136" i="1"/>
  <c r="V2136" i="1"/>
  <c r="U2136" i="1"/>
  <c r="T2136" i="1"/>
  <c r="Y2154" i="1"/>
  <c r="X2154" i="1"/>
  <c r="W2154" i="1"/>
  <c r="V2154" i="1"/>
  <c r="U2154" i="1"/>
  <c r="T2154" i="1"/>
  <c r="Y2165" i="1"/>
  <c r="X2165" i="1"/>
  <c r="W2165" i="1"/>
  <c r="V2165" i="1"/>
  <c r="U2165" i="1"/>
  <c r="T2165" i="1"/>
  <c r="Y2186" i="1"/>
  <c r="X2186" i="1"/>
  <c r="W2186" i="1"/>
  <c r="V2186" i="1"/>
  <c r="U2186" i="1"/>
  <c r="T2186" i="1"/>
  <c r="Y2190" i="1"/>
  <c r="X2190" i="1"/>
  <c r="W2190" i="1"/>
  <c r="V2190" i="1"/>
  <c r="T2190" i="1"/>
  <c r="U2190" i="1"/>
  <c r="Y2099" i="1"/>
  <c r="W2099" i="1"/>
  <c r="X2099" i="1"/>
  <c r="V2099" i="1"/>
  <c r="U2099" i="1"/>
  <c r="T2099" i="1"/>
  <c r="Y2115" i="1"/>
  <c r="X2115" i="1"/>
  <c r="W2115" i="1"/>
  <c r="V2115" i="1"/>
  <c r="U2115" i="1"/>
  <c r="T2115" i="1"/>
  <c r="Y2123" i="1"/>
  <c r="X2123" i="1"/>
  <c r="W2123" i="1"/>
  <c r="V2123" i="1"/>
  <c r="U2123" i="1"/>
  <c r="T2123" i="1"/>
  <c r="Y2135" i="1"/>
  <c r="X2135" i="1"/>
  <c r="W2135" i="1"/>
  <c r="V2135" i="1"/>
  <c r="U2135" i="1"/>
  <c r="T2135" i="1"/>
  <c r="Y2137" i="1"/>
  <c r="X2137" i="1"/>
  <c r="W2137" i="1"/>
  <c r="V2137" i="1"/>
  <c r="U2137" i="1"/>
  <c r="T2137" i="1"/>
  <c r="Y2149" i="1"/>
  <c r="X2149" i="1"/>
  <c r="W2149" i="1"/>
  <c r="V2149" i="1"/>
  <c r="U2149" i="1"/>
  <c r="T2149" i="1"/>
  <c r="Y2158" i="1"/>
  <c r="X2158" i="1"/>
  <c r="W2158" i="1"/>
  <c r="V2158" i="1"/>
  <c r="T2158" i="1"/>
  <c r="U2158" i="1"/>
  <c r="Y2164" i="1"/>
  <c r="X2164" i="1"/>
  <c r="W2164" i="1"/>
  <c r="V2164" i="1"/>
  <c r="U2164" i="1"/>
  <c r="T2164" i="1"/>
  <c r="Y2170" i="1"/>
  <c r="X2170" i="1"/>
  <c r="W2170" i="1"/>
  <c r="V2170" i="1"/>
  <c r="U2170" i="1"/>
  <c r="T2170" i="1"/>
  <c r="Y2172" i="1"/>
  <c r="X2172" i="1"/>
  <c r="W2172" i="1"/>
  <c r="V2172" i="1"/>
  <c r="U2172" i="1"/>
  <c r="T2172" i="1"/>
  <c r="Y2185" i="1"/>
  <c r="X2185" i="1"/>
  <c r="W2185" i="1"/>
  <c r="V2185" i="1"/>
  <c r="U2185" i="1"/>
  <c r="T2185" i="1"/>
  <c r="Y2193" i="1"/>
  <c r="X2193" i="1"/>
  <c r="W2193" i="1"/>
  <c r="V2193" i="1"/>
  <c r="U2193" i="1"/>
  <c r="T2193" i="1"/>
  <c r="Y2091" i="1"/>
  <c r="X2091" i="1"/>
  <c r="V2091" i="1"/>
  <c r="W2091" i="1"/>
  <c r="U2091" i="1"/>
  <c r="T2091" i="1"/>
  <c r="Y2093" i="1"/>
  <c r="X2093" i="1"/>
  <c r="W2093" i="1"/>
  <c r="V2093" i="1"/>
  <c r="U2093" i="1"/>
  <c r="T2093" i="1"/>
  <c r="Y2092" i="1"/>
  <c r="X2092" i="1"/>
  <c r="W2092" i="1"/>
  <c r="V2092" i="1"/>
  <c r="U2092" i="1"/>
  <c r="T2092" i="1"/>
  <c r="Y2102" i="1"/>
  <c r="X2102" i="1"/>
  <c r="W2102" i="1"/>
  <c r="V2102" i="1"/>
  <c r="U2102" i="1"/>
  <c r="T2102" i="1"/>
  <c r="Y2105" i="1"/>
  <c r="X2105" i="1"/>
  <c r="W2105" i="1"/>
  <c r="V2105" i="1"/>
  <c r="U2105" i="1"/>
  <c r="T2105" i="1"/>
  <c r="Y2122" i="1"/>
  <c r="X2122" i="1"/>
  <c r="W2122" i="1"/>
  <c r="V2122" i="1"/>
  <c r="U2122" i="1"/>
  <c r="T2122" i="1"/>
  <c r="Y2134" i="1"/>
  <c r="X2134" i="1"/>
  <c r="W2134" i="1"/>
  <c r="V2134" i="1"/>
  <c r="U2134" i="1"/>
  <c r="T2134" i="1"/>
  <c r="Y2152" i="1"/>
  <c r="X2152" i="1"/>
  <c r="W2152" i="1"/>
  <c r="V2152" i="1"/>
  <c r="U2152" i="1"/>
  <c r="T2152" i="1"/>
  <c r="Y2157" i="1"/>
  <c r="X2157" i="1"/>
  <c r="W2157" i="1"/>
  <c r="V2157" i="1"/>
  <c r="U2157" i="1"/>
  <c r="T2157" i="1"/>
  <c r="Y2163" i="1"/>
  <c r="X2163" i="1"/>
  <c r="W2163" i="1"/>
  <c r="V2163" i="1"/>
  <c r="U2163" i="1"/>
  <c r="T2163" i="1"/>
  <c r="Y2167" i="1"/>
  <c r="X2167" i="1"/>
  <c r="W2167" i="1"/>
  <c r="V2167" i="1"/>
  <c r="U2167" i="1"/>
  <c r="T2167" i="1"/>
  <c r="Y2169" i="1"/>
  <c r="X2169" i="1"/>
  <c r="W2169" i="1"/>
  <c r="V2169" i="1"/>
  <c r="U2169" i="1"/>
  <c r="T2169" i="1"/>
  <c r="Y2180" i="1"/>
  <c r="X2180" i="1"/>
  <c r="W2180" i="1"/>
  <c r="V2180" i="1"/>
  <c r="U2180" i="1"/>
  <c r="T2180" i="1"/>
  <c r="Y2184" i="1"/>
  <c r="X2184" i="1"/>
  <c r="W2184" i="1"/>
  <c r="V2184" i="1"/>
  <c r="U2184" i="1"/>
  <c r="T2184" i="1"/>
  <c r="O2084" i="1"/>
  <c r="O2085" i="1"/>
  <c r="O2086" i="1"/>
  <c r="O2087" i="1"/>
  <c r="G2087" i="1"/>
  <c r="M2087" i="1"/>
  <c r="P2087" i="1"/>
  <c r="Y2087" i="1" l="1"/>
  <c r="X2087" i="1"/>
  <c r="W2087" i="1"/>
  <c r="V2087" i="1"/>
  <c r="U2087" i="1"/>
  <c r="T2087" i="1"/>
  <c r="R2132" i="1"/>
  <c r="S2132" i="1" s="1"/>
  <c r="R2133" i="1"/>
  <c r="S2133" i="1" s="1"/>
  <c r="R2134" i="1"/>
  <c r="S2134" i="1" s="1"/>
  <c r="R2179" i="1"/>
  <c r="S2179" i="1" s="1"/>
  <c r="R2129" i="1"/>
  <c r="S2129" i="1" s="1"/>
  <c r="R2131" i="1"/>
  <c r="S2131" i="1" s="1"/>
  <c r="R2136" i="1"/>
  <c r="S2136" i="1" s="1"/>
  <c r="R2135" i="1"/>
  <c r="S2135" i="1" s="1"/>
  <c r="R2130" i="1"/>
  <c r="S2130" i="1" s="1"/>
  <c r="R2182" i="1"/>
  <c r="S2182" i="1" s="1"/>
  <c r="R2092" i="1"/>
  <c r="S2092" i="1" s="1"/>
  <c r="R2120" i="1"/>
  <c r="S2120" i="1" s="1"/>
  <c r="R2178" i="1"/>
  <c r="S2178" i="1" s="1"/>
  <c r="R2122" i="1"/>
  <c r="S2122" i="1" s="1"/>
  <c r="R2175" i="1"/>
  <c r="S2175" i="1" s="1"/>
  <c r="R2176" i="1"/>
  <c r="S2176" i="1" s="1"/>
  <c r="R2125" i="1"/>
  <c r="S2125" i="1" s="1"/>
  <c r="R2165" i="1"/>
  <c r="S2165" i="1" s="1"/>
  <c r="R2189" i="1"/>
  <c r="S2189" i="1" s="1"/>
  <c r="R2163" i="1"/>
  <c r="S2163" i="1" s="1"/>
  <c r="R2167" i="1"/>
  <c r="S2167" i="1" s="1"/>
  <c r="R2158" i="1"/>
  <c r="S2158" i="1" s="1"/>
  <c r="R2174" i="1"/>
  <c r="S2174" i="1" s="1"/>
  <c r="R2169" i="1"/>
  <c r="S2169" i="1" s="1"/>
  <c r="R2119" i="1"/>
  <c r="S2119" i="1" s="1"/>
  <c r="R2117" i="1"/>
  <c r="S2117" i="1" s="1"/>
  <c r="R2121" i="1"/>
  <c r="S2121" i="1" s="1"/>
  <c r="R2140" i="1"/>
  <c r="S2140" i="1" s="1"/>
  <c r="R2161" i="1"/>
  <c r="S2161" i="1" s="1"/>
  <c r="R2123" i="1"/>
  <c r="S2123" i="1" s="1"/>
  <c r="R2114" i="1"/>
  <c r="S2114" i="1" s="1"/>
  <c r="R2155" i="1"/>
  <c r="S2155" i="1" s="1"/>
  <c r="R2153" i="1"/>
  <c r="S2153" i="1" s="1"/>
  <c r="R2190" i="1"/>
  <c r="S2190" i="1" s="1"/>
  <c r="R2193" i="1"/>
  <c r="S2193" i="1" s="1"/>
  <c r="R2142" i="1"/>
  <c r="S2142" i="1" s="1"/>
  <c r="R2160" i="1"/>
  <c r="S2160" i="1" s="1"/>
  <c r="R2192" i="1"/>
  <c r="S2192" i="1" s="1"/>
  <c r="R2124" i="1"/>
  <c r="S2124" i="1" s="1"/>
  <c r="R2144" i="1"/>
  <c r="S2144" i="1" s="1"/>
  <c r="R2126" i="1"/>
  <c r="S2126" i="1" s="1"/>
  <c r="R2188" i="1"/>
  <c r="S2188" i="1" s="1"/>
  <c r="R2185" i="1"/>
  <c r="S2185" i="1" s="1"/>
  <c r="R2191" i="1"/>
  <c r="S2191" i="1" s="1"/>
  <c r="R2164" i="1"/>
  <c r="S2164" i="1" s="1"/>
  <c r="R2187" i="1"/>
  <c r="S2187" i="1" s="1"/>
  <c r="R2186" i="1"/>
  <c r="S2186" i="1" s="1"/>
  <c r="R2184" i="1"/>
  <c r="S2184" i="1" s="1"/>
  <c r="R2183" i="1"/>
  <c r="S2183" i="1" s="1"/>
  <c r="R2181" i="1"/>
  <c r="S2181" i="1" s="1"/>
  <c r="R2109" i="1"/>
  <c r="S2109" i="1" s="1"/>
  <c r="R2095" i="1"/>
  <c r="S2095" i="1" s="1"/>
  <c r="R2180" i="1"/>
  <c r="S2180" i="1" s="1"/>
  <c r="R2177" i="1"/>
  <c r="S2177" i="1" s="1"/>
  <c r="R2143" i="1"/>
  <c r="S2143" i="1" s="1"/>
  <c r="R2173" i="1"/>
  <c r="S2173" i="1" s="1"/>
  <c r="R2157" i="1"/>
  <c r="S2157" i="1" s="1"/>
  <c r="R2172" i="1"/>
  <c r="S2172" i="1" s="1"/>
  <c r="R2100" i="1"/>
  <c r="S2100" i="1" s="1"/>
  <c r="R2171" i="1"/>
  <c r="S2171" i="1" s="1"/>
  <c r="R2170" i="1"/>
  <c r="S2170" i="1" s="1"/>
  <c r="R2168" i="1"/>
  <c r="S2168" i="1" s="1"/>
  <c r="R2166" i="1"/>
  <c r="S2166" i="1" s="1"/>
  <c r="R2162" i="1"/>
  <c r="S2162" i="1" s="1"/>
  <c r="R2159" i="1"/>
  <c r="S2159" i="1" s="1"/>
  <c r="R2093" i="1"/>
  <c r="S2093" i="1" s="1"/>
  <c r="R2118" i="1"/>
  <c r="S2118" i="1" s="1"/>
  <c r="R2156" i="1"/>
  <c r="S2156" i="1" s="1"/>
  <c r="R2154" i="1"/>
  <c r="S2154" i="1" s="1"/>
  <c r="R2148" i="1"/>
  <c r="S2148" i="1" s="1"/>
  <c r="R2151" i="1"/>
  <c r="S2151" i="1" s="1"/>
  <c r="R2145" i="1"/>
  <c r="S2145" i="1" s="1"/>
  <c r="R2152" i="1"/>
  <c r="S2152" i="1" s="1"/>
  <c r="R2110" i="1"/>
  <c r="S2110" i="1" s="1"/>
  <c r="R2111" i="1"/>
  <c r="S2111" i="1" s="1"/>
  <c r="R2150" i="1"/>
  <c r="S2150" i="1" s="1"/>
  <c r="R2141" i="1"/>
  <c r="S2141" i="1" s="1"/>
  <c r="R2149" i="1"/>
  <c r="S2149" i="1" s="1"/>
  <c r="R2098" i="1"/>
  <c r="S2098" i="1" s="1"/>
  <c r="R2147" i="1"/>
  <c r="S2147" i="1" s="1"/>
  <c r="R2146" i="1"/>
  <c r="S2146" i="1" s="1"/>
  <c r="R2139" i="1"/>
  <c r="S2139" i="1" s="1"/>
  <c r="R2137" i="1"/>
  <c r="S2137" i="1" s="1"/>
  <c r="R2138" i="1"/>
  <c r="S2138" i="1" s="1"/>
  <c r="R2128" i="1"/>
  <c r="S2128" i="1" s="1"/>
  <c r="R2127" i="1"/>
  <c r="S2127" i="1" s="1"/>
  <c r="R2116" i="1"/>
  <c r="S2116" i="1" s="1"/>
  <c r="R2113" i="1"/>
  <c r="S2113" i="1" s="1"/>
  <c r="R2112" i="1"/>
  <c r="S2112" i="1" s="1"/>
  <c r="R2115" i="1"/>
  <c r="S2115" i="1" s="1"/>
  <c r="R2108" i="1"/>
  <c r="S2108" i="1" s="1"/>
  <c r="R2105" i="1"/>
  <c r="S2105" i="1" s="1"/>
  <c r="R2107" i="1"/>
  <c r="S2107" i="1" s="1"/>
  <c r="R2094" i="1"/>
  <c r="S2094" i="1" s="1"/>
  <c r="R2106" i="1"/>
  <c r="S2106" i="1" s="1"/>
  <c r="R2104" i="1"/>
  <c r="S2104" i="1" s="1"/>
  <c r="R2103" i="1"/>
  <c r="S2103" i="1" s="1"/>
  <c r="R2096" i="1"/>
  <c r="S2096" i="1" s="1"/>
  <c r="R2101" i="1"/>
  <c r="S2101" i="1" s="1"/>
  <c r="R2102" i="1"/>
  <c r="S2102" i="1" s="1"/>
  <c r="R2099" i="1"/>
  <c r="S2099" i="1" s="1"/>
  <c r="R2089" i="1"/>
  <c r="S2089" i="1" s="1"/>
  <c r="R2097" i="1"/>
  <c r="S2097" i="1" s="1"/>
  <c r="R2091" i="1"/>
  <c r="S2091" i="1" s="1"/>
  <c r="R2090" i="1"/>
  <c r="S2090" i="1" s="1"/>
  <c r="R2088" i="1"/>
  <c r="S2088" i="1" s="1"/>
  <c r="G2086" i="1"/>
  <c r="M2086" i="1"/>
  <c r="P2086" i="1"/>
  <c r="G2085" i="1"/>
  <c r="M2085" i="1"/>
  <c r="P2085" i="1"/>
  <c r="G2084" i="1"/>
  <c r="M2084" i="1"/>
  <c r="P2084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G2083" i="1"/>
  <c r="M2083" i="1"/>
  <c r="P2083" i="1"/>
  <c r="G2082" i="1"/>
  <c r="M2082" i="1"/>
  <c r="P2082" i="1"/>
  <c r="G2081" i="1"/>
  <c r="M2081" i="1"/>
  <c r="P2081" i="1"/>
  <c r="G2080" i="1"/>
  <c r="M2080" i="1"/>
  <c r="P2080" i="1"/>
  <c r="G2076" i="1"/>
  <c r="G2077" i="1"/>
  <c r="G2078" i="1"/>
  <c r="G2079" i="1"/>
  <c r="M2076" i="1"/>
  <c r="M2077" i="1"/>
  <c r="M2078" i="1"/>
  <c r="M2079" i="1"/>
  <c r="P2076" i="1"/>
  <c r="P2077" i="1"/>
  <c r="P2078" i="1"/>
  <c r="P2079" i="1"/>
  <c r="G2075" i="1"/>
  <c r="M2075" i="1"/>
  <c r="P2075" i="1"/>
  <c r="G2073" i="1"/>
  <c r="G2074" i="1"/>
  <c r="M2073" i="1"/>
  <c r="M2074" i="1"/>
  <c r="P2073" i="1"/>
  <c r="P2074" i="1"/>
  <c r="G2072" i="1"/>
  <c r="M2072" i="1"/>
  <c r="P2072" i="1"/>
  <c r="G2071" i="1"/>
  <c r="M2071" i="1"/>
  <c r="P2071" i="1"/>
  <c r="G2070" i="1"/>
  <c r="M2070" i="1"/>
  <c r="P2070" i="1"/>
  <c r="G2069" i="1"/>
  <c r="M2069" i="1"/>
  <c r="P2069" i="1"/>
  <c r="O2064" i="1"/>
  <c r="O2065" i="1"/>
  <c r="O2066" i="1"/>
  <c r="O2067" i="1"/>
  <c r="O2068" i="1"/>
  <c r="G2068" i="1"/>
  <c r="M2068" i="1"/>
  <c r="P2068" i="1"/>
  <c r="G2067" i="1"/>
  <c r="M2067" i="1"/>
  <c r="P2067" i="1"/>
  <c r="G2066" i="1"/>
  <c r="M2066" i="1"/>
  <c r="P2066" i="1"/>
  <c r="G2065" i="1"/>
  <c r="M2065" i="1"/>
  <c r="P2065" i="1"/>
  <c r="G2064" i="1"/>
  <c r="M2064" i="1"/>
  <c r="P2064" i="1"/>
  <c r="O2055" i="1"/>
  <c r="O2056" i="1"/>
  <c r="O2057" i="1"/>
  <c r="O2058" i="1"/>
  <c r="O2059" i="1"/>
  <c r="O2060" i="1"/>
  <c r="O2061" i="1"/>
  <c r="O2062" i="1"/>
  <c r="O2063" i="1"/>
  <c r="G2062" i="1"/>
  <c r="G2056" i="1"/>
  <c r="G2057" i="1"/>
  <c r="G2058" i="1"/>
  <c r="G2059" i="1"/>
  <c r="G2060" i="1"/>
  <c r="G2061" i="1"/>
  <c r="G2063" i="1"/>
  <c r="M2056" i="1"/>
  <c r="M2057" i="1"/>
  <c r="M2058" i="1"/>
  <c r="M2059" i="1"/>
  <c r="M2060" i="1"/>
  <c r="M2061" i="1"/>
  <c r="M2062" i="1"/>
  <c r="M2063" i="1"/>
  <c r="P2056" i="1"/>
  <c r="P2057" i="1"/>
  <c r="P2058" i="1"/>
  <c r="P2059" i="1"/>
  <c r="P2060" i="1"/>
  <c r="P2061" i="1"/>
  <c r="P2062" i="1"/>
  <c r="P2063" i="1"/>
  <c r="G2055" i="1"/>
  <c r="M2055" i="1"/>
  <c r="P2055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G2054" i="1"/>
  <c r="M2054" i="1"/>
  <c r="P2054" i="1"/>
  <c r="G2053" i="1"/>
  <c r="M2053" i="1"/>
  <c r="P2053" i="1"/>
  <c r="G2052" i="1"/>
  <c r="M2052" i="1"/>
  <c r="P2052" i="1"/>
  <c r="G2051" i="1"/>
  <c r="M2051" i="1"/>
  <c r="P2051" i="1"/>
  <c r="G2043" i="1"/>
  <c r="G2044" i="1"/>
  <c r="G2045" i="1"/>
  <c r="G2046" i="1"/>
  <c r="G2047" i="1"/>
  <c r="G2048" i="1"/>
  <c r="G2049" i="1"/>
  <c r="G2050" i="1"/>
  <c r="M2043" i="1"/>
  <c r="M2044" i="1"/>
  <c r="M2045" i="1"/>
  <c r="M2046" i="1"/>
  <c r="M2047" i="1"/>
  <c r="M2048" i="1"/>
  <c r="M2049" i="1"/>
  <c r="M2050" i="1"/>
  <c r="P2043" i="1"/>
  <c r="P2044" i="1"/>
  <c r="P2045" i="1"/>
  <c r="P2046" i="1"/>
  <c r="P2047" i="1"/>
  <c r="P2048" i="1"/>
  <c r="P2049" i="1"/>
  <c r="P2050" i="1"/>
  <c r="G2042" i="1"/>
  <c r="M2042" i="1"/>
  <c r="P2042" i="1"/>
  <c r="G2041" i="1"/>
  <c r="M2041" i="1"/>
  <c r="P2041" i="1"/>
  <c r="G2038" i="1"/>
  <c r="G2039" i="1"/>
  <c r="G2040" i="1"/>
  <c r="M2038" i="1"/>
  <c r="M2039" i="1"/>
  <c r="M2040" i="1"/>
  <c r="P2038" i="1"/>
  <c r="P2039" i="1"/>
  <c r="P2040" i="1"/>
  <c r="G2037" i="1"/>
  <c r="M2037" i="1"/>
  <c r="P2037" i="1"/>
  <c r="G2036" i="1"/>
  <c r="M2036" i="1"/>
  <c r="P2036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Y2067" i="1" l="1"/>
  <c r="X2067" i="1"/>
  <c r="W2067" i="1"/>
  <c r="V2067" i="1"/>
  <c r="U2067" i="1"/>
  <c r="T2067" i="1"/>
  <c r="Y2074" i="1"/>
  <c r="X2074" i="1"/>
  <c r="W2074" i="1"/>
  <c r="V2074" i="1"/>
  <c r="U2074" i="1"/>
  <c r="T2074" i="1"/>
  <c r="Y2081" i="1"/>
  <c r="X2081" i="1"/>
  <c r="W2081" i="1"/>
  <c r="V2081" i="1"/>
  <c r="U2081" i="1"/>
  <c r="T2081" i="1"/>
  <c r="Y2060" i="1"/>
  <c r="X2060" i="1"/>
  <c r="W2060" i="1"/>
  <c r="V2060" i="1"/>
  <c r="U2060" i="1"/>
  <c r="T2060" i="1"/>
  <c r="Y2019" i="1"/>
  <c r="X2019" i="1"/>
  <c r="W2019" i="1"/>
  <c r="V2019" i="1"/>
  <c r="U2019" i="1"/>
  <c r="T2019" i="1"/>
  <c r="Y2059" i="1"/>
  <c r="X2059" i="1"/>
  <c r="V2059" i="1"/>
  <c r="W2059" i="1"/>
  <c r="U2059" i="1"/>
  <c r="T2059" i="1"/>
  <c r="Y2050" i="1"/>
  <c r="X2050" i="1"/>
  <c r="W2050" i="1"/>
  <c r="V2050" i="1"/>
  <c r="U2050" i="1"/>
  <c r="T2050" i="1"/>
  <c r="Y2058" i="1"/>
  <c r="X2058" i="1"/>
  <c r="W2058" i="1"/>
  <c r="V2058" i="1"/>
  <c r="U2058" i="1"/>
  <c r="T2058" i="1"/>
  <c r="Y2065" i="1"/>
  <c r="X2065" i="1"/>
  <c r="W2065" i="1"/>
  <c r="V2065" i="1"/>
  <c r="U2065" i="1"/>
  <c r="T2065" i="1"/>
  <c r="Y2082" i="1"/>
  <c r="X2082" i="1"/>
  <c r="W2082" i="1"/>
  <c r="V2082" i="1"/>
  <c r="U2082" i="1"/>
  <c r="T2082" i="1"/>
  <c r="Y2085" i="1"/>
  <c r="X2085" i="1"/>
  <c r="W2085" i="1"/>
  <c r="V2085" i="1"/>
  <c r="U2085" i="1"/>
  <c r="T2085" i="1"/>
  <c r="Y2029" i="1"/>
  <c r="X2029" i="1"/>
  <c r="W2029" i="1"/>
  <c r="V2029" i="1"/>
  <c r="U2029" i="1"/>
  <c r="T2029" i="1"/>
  <c r="Y2021" i="1"/>
  <c r="X2021" i="1"/>
  <c r="W2021" i="1"/>
  <c r="V2021" i="1"/>
  <c r="U2021" i="1"/>
  <c r="T2021" i="1"/>
  <c r="Y2037" i="1"/>
  <c r="X2037" i="1"/>
  <c r="W2037" i="1"/>
  <c r="V2037" i="1"/>
  <c r="U2037" i="1"/>
  <c r="T2037" i="1"/>
  <c r="Y2071" i="1"/>
  <c r="X2071" i="1"/>
  <c r="W2071" i="1"/>
  <c r="V2071" i="1"/>
  <c r="U2071" i="1"/>
  <c r="T2071" i="1"/>
  <c r="Y2049" i="1"/>
  <c r="X2049" i="1"/>
  <c r="W2049" i="1"/>
  <c r="V2049" i="1"/>
  <c r="U2049" i="1"/>
  <c r="T2049" i="1"/>
  <c r="Y2051" i="1"/>
  <c r="X2051" i="1"/>
  <c r="W2051" i="1"/>
  <c r="V2051" i="1"/>
  <c r="U2051" i="1"/>
  <c r="T2051" i="1"/>
  <c r="Y2055" i="1"/>
  <c r="X2055" i="1"/>
  <c r="W2055" i="1"/>
  <c r="V2055" i="1"/>
  <c r="U2055" i="1"/>
  <c r="T2055" i="1"/>
  <c r="Y2057" i="1"/>
  <c r="X2057" i="1"/>
  <c r="W2057" i="1"/>
  <c r="V2057" i="1"/>
  <c r="U2057" i="1"/>
  <c r="T2057" i="1"/>
  <c r="Y2068" i="1"/>
  <c r="X2068" i="1"/>
  <c r="W2068" i="1"/>
  <c r="V2068" i="1"/>
  <c r="U2068" i="1"/>
  <c r="T2068" i="1"/>
  <c r="Y2069" i="1"/>
  <c r="X2069" i="1"/>
  <c r="W2069" i="1"/>
  <c r="V2069" i="1"/>
  <c r="U2069" i="1"/>
  <c r="T2069" i="1"/>
  <c r="Y2079" i="1"/>
  <c r="X2079" i="1"/>
  <c r="W2079" i="1"/>
  <c r="V2079" i="1"/>
  <c r="U2079" i="1"/>
  <c r="T2079" i="1"/>
  <c r="Y2039" i="1"/>
  <c r="X2039" i="1"/>
  <c r="W2039" i="1"/>
  <c r="V2039" i="1"/>
  <c r="U2039" i="1"/>
  <c r="T2039" i="1"/>
  <c r="Y2045" i="1"/>
  <c r="X2045" i="1"/>
  <c r="W2045" i="1"/>
  <c r="V2045" i="1"/>
  <c r="U2045" i="1"/>
  <c r="T2045" i="1"/>
  <c r="Y2028" i="1"/>
  <c r="X2028" i="1"/>
  <c r="W2028" i="1"/>
  <c r="V2028" i="1"/>
  <c r="U2028" i="1"/>
  <c r="T2028" i="1"/>
  <c r="Y2020" i="1"/>
  <c r="X2020" i="1"/>
  <c r="W2020" i="1"/>
  <c r="V2020" i="1"/>
  <c r="U2020" i="1"/>
  <c r="T2020" i="1"/>
  <c r="Y2073" i="1"/>
  <c r="X2073" i="1"/>
  <c r="W2073" i="1"/>
  <c r="V2073" i="1"/>
  <c r="U2073" i="1"/>
  <c r="T2073" i="1"/>
  <c r="Y2033" i="1"/>
  <c r="W2033" i="1"/>
  <c r="X2033" i="1"/>
  <c r="V2033" i="1"/>
  <c r="U2033" i="1"/>
  <c r="T2033" i="1"/>
  <c r="Y2025" i="1"/>
  <c r="X2025" i="1"/>
  <c r="W2025" i="1"/>
  <c r="V2025" i="1"/>
  <c r="U2025" i="1"/>
  <c r="T2025" i="1"/>
  <c r="Y2048" i="1"/>
  <c r="X2048" i="1"/>
  <c r="W2048" i="1"/>
  <c r="V2048" i="1"/>
  <c r="U2048" i="1"/>
  <c r="T2048" i="1"/>
  <c r="Y2054" i="1"/>
  <c r="X2054" i="1"/>
  <c r="W2054" i="1"/>
  <c r="V2054" i="1"/>
  <c r="U2054" i="1"/>
  <c r="T2054" i="1"/>
  <c r="Y2056" i="1"/>
  <c r="X2056" i="1"/>
  <c r="W2056" i="1"/>
  <c r="V2056" i="1"/>
  <c r="U2056" i="1"/>
  <c r="T2056" i="1"/>
  <c r="Y2072" i="1"/>
  <c r="X2072" i="1"/>
  <c r="W2072" i="1"/>
  <c r="V2072" i="1"/>
  <c r="U2072" i="1"/>
  <c r="T2072" i="1"/>
  <c r="Y2078" i="1"/>
  <c r="X2078" i="1"/>
  <c r="W2078" i="1"/>
  <c r="V2078" i="1"/>
  <c r="U2078" i="1"/>
  <c r="T2078" i="1"/>
  <c r="Y2080" i="1"/>
  <c r="X2080" i="1"/>
  <c r="W2080" i="1"/>
  <c r="V2080" i="1"/>
  <c r="U2080" i="1"/>
  <c r="T2080" i="1"/>
  <c r="Y2061" i="1"/>
  <c r="X2061" i="1"/>
  <c r="W2061" i="1"/>
  <c r="V2061" i="1"/>
  <c r="U2061" i="1"/>
  <c r="T2061" i="1"/>
  <c r="Y2038" i="1"/>
  <c r="X2038" i="1"/>
  <c r="W2038" i="1"/>
  <c r="V2038" i="1"/>
  <c r="U2038" i="1"/>
  <c r="T2038" i="1"/>
  <c r="Y2042" i="1"/>
  <c r="X2042" i="1"/>
  <c r="W2042" i="1"/>
  <c r="V2042" i="1"/>
  <c r="U2042" i="1"/>
  <c r="T2042" i="1"/>
  <c r="Y2044" i="1"/>
  <c r="X2044" i="1"/>
  <c r="W2044" i="1"/>
  <c r="V2044" i="1"/>
  <c r="U2044" i="1"/>
  <c r="T2044" i="1"/>
  <c r="Y2034" i="1"/>
  <c r="X2034" i="1"/>
  <c r="W2034" i="1"/>
  <c r="V2034" i="1"/>
  <c r="U2034" i="1"/>
  <c r="T2034" i="1"/>
  <c r="Y2026" i="1"/>
  <c r="X2026" i="1"/>
  <c r="W2026" i="1"/>
  <c r="V2026" i="1"/>
  <c r="U2026" i="1"/>
  <c r="T2026" i="1"/>
  <c r="Y2018" i="1"/>
  <c r="X2018" i="1"/>
  <c r="W2018" i="1"/>
  <c r="V2018" i="1"/>
  <c r="U2018" i="1"/>
  <c r="T2018" i="1"/>
  <c r="Y2032" i="1"/>
  <c r="W2032" i="1"/>
  <c r="X2032" i="1"/>
  <c r="V2032" i="1"/>
  <c r="U2032" i="1"/>
  <c r="T2032" i="1"/>
  <c r="Y2024" i="1"/>
  <c r="X2024" i="1"/>
  <c r="W2024" i="1"/>
  <c r="V2024" i="1"/>
  <c r="U2024" i="1"/>
  <c r="T2024" i="1"/>
  <c r="Y2031" i="1"/>
  <c r="X2031" i="1"/>
  <c r="W2031" i="1"/>
  <c r="V2031" i="1"/>
  <c r="U2031" i="1"/>
  <c r="T2031" i="1"/>
  <c r="Y2023" i="1"/>
  <c r="X2023" i="1"/>
  <c r="W2023" i="1"/>
  <c r="V2023" i="1"/>
  <c r="U2023" i="1"/>
  <c r="T2023" i="1"/>
  <c r="Y2041" i="1"/>
  <c r="X2041" i="1"/>
  <c r="W2041" i="1"/>
  <c r="V2041" i="1"/>
  <c r="U2041" i="1"/>
  <c r="T2041" i="1"/>
  <c r="Y2047" i="1"/>
  <c r="X2047" i="1"/>
  <c r="W2047" i="1"/>
  <c r="V2047" i="1"/>
  <c r="U2047" i="1"/>
  <c r="T2047" i="1"/>
  <c r="Y2063" i="1"/>
  <c r="X2063" i="1"/>
  <c r="W2063" i="1"/>
  <c r="V2063" i="1"/>
  <c r="U2063" i="1"/>
  <c r="T2063" i="1"/>
  <c r="Y2066" i="1"/>
  <c r="W2066" i="1"/>
  <c r="X2066" i="1"/>
  <c r="V2066" i="1"/>
  <c r="U2066" i="1"/>
  <c r="T2066" i="1"/>
  <c r="Y2075" i="1"/>
  <c r="X2075" i="1"/>
  <c r="V2075" i="1"/>
  <c r="W2075" i="1"/>
  <c r="U2075" i="1"/>
  <c r="T2075" i="1"/>
  <c r="Y2077" i="1"/>
  <c r="X2077" i="1"/>
  <c r="W2077" i="1"/>
  <c r="V2077" i="1"/>
  <c r="U2077" i="1"/>
  <c r="T2077" i="1"/>
  <c r="Y2083" i="1"/>
  <c r="X2083" i="1"/>
  <c r="W2083" i="1"/>
  <c r="V2083" i="1"/>
  <c r="U2083" i="1"/>
  <c r="T2083" i="1"/>
  <c r="Y2086" i="1"/>
  <c r="X2086" i="1"/>
  <c r="W2086" i="1"/>
  <c r="V2086" i="1"/>
  <c r="U2086" i="1"/>
  <c r="T2086" i="1"/>
  <c r="Y2064" i="1"/>
  <c r="X2064" i="1"/>
  <c r="W2064" i="1"/>
  <c r="V2064" i="1"/>
  <c r="U2064" i="1"/>
  <c r="T2064" i="1"/>
  <c r="Y2084" i="1"/>
  <c r="X2084" i="1"/>
  <c r="W2084" i="1"/>
  <c r="V2084" i="1"/>
  <c r="U2084" i="1"/>
  <c r="T2084" i="1"/>
  <c r="Y2035" i="1"/>
  <c r="X2035" i="1"/>
  <c r="W2035" i="1"/>
  <c r="V2035" i="1"/>
  <c r="U2035" i="1"/>
  <c r="T2035" i="1"/>
  <c r="Y2027" i="1"/>
  <c r="X2027" i="1"/>
  <c r="W2027" i="1"/>
  <c r="V2027" i="1"/>
  <c r="U2027" i="1"/>
  <c r="T2027" i="1"/>
  <c r="Y2043" i="1"/>
  <c r="X2043" i="1"/>
  <c r="W2043" i="1"/>
  <c r="V2043" i="1"/>
  <c r="U2043" i="1"/>
  <c r="T2043" i="1"/>
  <c r="Y2053" i="1"/>
  <c r="X2053" i="1"/>
  <c r="W2053" i="1"/>
  <c r="V2053" i="1"/>
  <c r="U2053" i="1"/>
  <c r="T2053" i="1"/>
  <c r="Y2030" i="1"/>
  <c r="X2030" i="1"/>
  <c r="W2030" i="1"/>
  <c r="V2030" i="1"/>
  <c r="U2030" i="1"/>
  <c r="T2030" i="1"/>
  <c r="Y2022" i="1"/>
  <c r="X2022" i="1"/>
  <c r="W2022" i="1"/>
  <c r="V2022" i="1"/>
  <c r="U2022" i="1"/>
  <c r="T2022" i="1"/>
  <c r="Y2036" i="1"/>
  <c r="X2036" i="1"/>
  <c r="W2036" i="1"/>
  <c r="V2036" i="1"/>
  <c r="U2036" i="1"/>
  <c r="T2036" i="1"/>
  <c r="Y2040" i="1"/>
  <c r="X2040" i="1"/>
  <c r="W2040" i="1"/>
  <c r="V2040" i="1"/>
  <c r="U2040" i="1"/>
  <c r="T2040" i="1"/>
  <c r="Y2046" i="1"/>
  <c r="X2046" i="1"/>
  <c r="W2046" i="1"/>
  <c r="V2046" i="1"/>
  <c r="U2046" i="1"/>
  <c r="T2046" i="1"/>
  <c r="Y2052" i="1"/>
  <c r="X2052" i="1"/>
  <c r="W2052" i="1"/>
  <c r="V2052" i="1"/>
  <c r="U2052" i="1"/>
  <c r="T2052" i="1"/>
  <c r="Y2062" i="1"/>
  <c r="X2062" i="1"/>
  <c r="W2062" i="1"/>
  <c r="V2062" i="1"/>
  <c r="T2062" i="1"/>
  <c r="U2062" i="1"/>
  <c r="Y2070" i="1"/>
  <c r="X2070" i="1"/>
  <c r="W2070" i="1"/>
  <c r="V2070" i="1"/>
  <c r="U2070" i="1"/>
  <c r="T2070" i="1"/>
  <c r="Y2076" i="1"/>
  <c r="X2076" i="1"/>
  <c r="W2076" i="1"/>
  <c r="V2076" i="1"/>
  <c r="U2076" i="1"/>
  <c r="T2076" i="1"/>
  <c r="R2087" i="1"/>
  <c r="S2087" i="1" s="1"/>
  <c r="G2017" i="1"/>
  <c r="M2017" i="1"/>
  <c r="P2017" i="1"/>
  <c r="G2016" i="1"/>
  <c r="M2016" i="1"/>
  <c r="P2016" i="1"/>
  <c r="Y2016" i="1" l="1"/>
  <c r="X2016" i="1"/>
  <c r="W2016" i="1"/>
  <c r="U2016" i="1"/>
  <c r="V2016" i="1"/>
  <c r="T2016" i="1"/>
  <c r="Y2017" i="1"/>
  <c r="X2017" i="1"/>
  <c r="W2017" i="1"/>
  <c r="V2017" i="1"/>
  <c r="U2017" i="1"/>
  <c r="T2017" i="1"/>
  <c r="R2069" i="1"/>
  <c r="S2069" i="1" s="1"/>
  <c r="R2043" i="1"/>
  <c r="S2043" i="1" s="1"/>
  <c r="R2046" i="1"/>
  <c r="S2046" i="1" s="1"/>
  <c r="R2047" i="1"/>
  <c r="S2047" i="1" s="1"/>
  <c r="R2056" i="1"/>
  <c r="S2056" i="1" s="1"/>
  <c r="R2050" i="1"/>
  <c r="S2050" i="1" s="1"/>
  <c r="R2048" i="1"/>
  <c r="S2048" i="1" s="1"/>
  <c r="R2049" i="1"/>
  <c r="S2049" i="1" s="1"/>
  <c r="R2044" i="1"/>
  <c r="S2044" i="1" s="1"/>
  <c r="R2045" i="1"/>
  <c r="S2045" i="1" s="1"/>
  <c r="R2076" i="1"/>
  <c r="S2076" i="1" s="1"/>
  <c r="R2079" i="1"/>
  <c r="S2079" i="1" s="1"/>
  <c r="R2062" i="1"/>
  <c r="S2062" i="1" s="1"/>
  <c r="R2061" i="1"/>
  <c r="S2061" i="1" s="1"/>
  <c r="R2059" i="1"/>
  <c r="S2059" i="1" s="1"/>
  <c r="R2073" i="1"/>
  <c r="S2073" i="1" s="1"/>
  <c r="R2077" i="1"/>
  <c r="S2077" i="1" s="1"/>
  <c r="R2084" i="1"/>
  <c r="S2084" i="1" s="1"/>
  <c r="R2078" i="1"/>
  <c r="S2078" i="1" s="1"/>
  <c r="R2063" i="1"/>
  <c r="S2063" i="1" s="1"/>
  <c r="R2082" i="1"/>
  <c r="S2082" i="1" s="1"/>
  <c r="R2058" i="1"/>
  <c r="S2058" i="1" s="1"/>
  <c r="R2051" i="1"/>
  <c r="S2051" i="1" s="1"/>
  <c r="R2060" i="1"/>
  <c r="S2060" i="1" s="1"/>
  <c r="R2027" i="1"/>
  <c r="S2027" i="1" s="1"/>
  <c r="R2074" i="1"/>
  <c r="S2074" i="1" s="1"/>
  <c r="R2086" i="1"/>
  <c r="S2086" i="1" s="1"/>
  <c r="R2072" i="1"/>
  <c r="S2072" i="1" s="1"/>
  <c r="R2083" i="1"/>
  <c r="S2083" i="1" s="1"/>
  <c r="R2085" i="1"/>
  <c r="S2085" i="1" s="1"/>
  <c r="R2081" i="1"/>
  <c r="S2081" i="1" s="1"/>
  <c r="R2080" i="1"/>
  <c r="S2080" i="1" s="1"/>
  <c r="R2075" i="1"/>
  <c r="S2075" i="1" s="1"/>
  <c r="R2070" i="1"/>
  <c r="S2070" i="1" s="1"/>
  <c r="R2071" i="1"/>
  <c r="S2071" i="1" s="1"/>
  <c r="R2039" i="1"/>
  <c r="S2039" i="1" s="1"/>
  <c r="R2030" i="1"/>
  <c r="S2030" i="1" s="1"/>
  <c r="R2036" i="1"/>
  <c r="S2036" i="1" s="1"/>
  <c r="R2066" i="1"/>
  <c r="S2066" i="1" s="1"/>
  <c r="R2038" i="1"/>
  <c r="S2038" i="1" s="1"/>
  <c r="R2068" i="1"/>
  <c r="S2068" i="1" s="1"/>
  <c r="R2067" i="1"/>
  <c r="S2067" i="1" s="1"/>
  <c r="R2053" i="1"/>
  <c r="S2053" i="1" s="1"/>
  <c r="R2055" i="1"/>
  <c r="S2055" i="1" s="1"/>
  <c r="R2064" i="1"/>
  <c r="S2064" i="1" s="1"/>
  <c r="R2065" i="1"/>
  <c r="S2065" i="1" s="1"/>
  <c r="R2057" i="1"/>
  <c r="S2057" i="1" s="1"/>
  <c r="R2054" i="1"/>
  <c r="S2054" i="1" s="1"/>
  <c r="R2052" i="1"/>
  <c r="S2052" i="1" s="1"/>
  <c r="R2020" i="1"/>
  <c r="S2020" i="1" s="1"/>
  <c r="R2041" i="1"/>
  <c r="S2041" i="1" s="1"/>
  <c r="R2040" i="1"/>
  <c r="S2040" i="1" s="1"/>
  <c r="R2042" i="1"/>
  <c r="S2042" i="1" s="1"/>
  <c r="R2037" i="1"/>
  <c r="S2037" i="1" s="1"/>
  <c r="R2022" i="1"/>
  <c r="S2022" i="1" s="1"/>
  <c r="R2025" i="1"/>
  <c r="S2025" i="1" s="1"/>
  <c r="R2021" i="1"/>
  <c r="S2021" i="1" s="1"/>
  <c r="R2029" i="1"/>
  <c r="S2029" i="1" s="1"/>
  <c r="R2026" i="1"/>
  <c r="S2026" i="1" s="1"/>
  <c r="R2033" i="1"/>
  <c r="S2033" i="1" s="1"/>
  <c r="R2031" i="1"/>
  <c r="S2031" i="1" s="1"/>
  <c r="R2028" i="1"/>
  <c r="S2028" i="1" s="1"/>
  <c r="R2034" i="1"/>
  <c r="S2034" i="1" s="1"/>
  <c r="R2023" i="1"/>
  <c r="S2023" i="1" s="1"/>
  <c r="R2019" i="1"/>
  <c r="S2019" i="1" s="1"/>
  <c r="R2032" i="1"/>
  <c r="S2032" i="1" s="1"/>
  <c r="R2035" i="1"/>
  <c r="S2035" i="1" s="1"/>
  <c r="R2024" i="1"/>
  <c r="S2024" i="1" s="1"/>
  <c r="R2018" i="1"/>
  <c r="S2018" i="1" s="1"/>
  <c r="G2011" i="1"/>
  <c r="G2012" i="1"/>
  <c r="G2013" i="1"/>
  <c r="G2014" i="1"/>
  <c r="G2015" i="1"/>
  <c r="M2011" i="1"/>
  <c r="M2012" i="1"/>
  <c r="M2013" i="1"/>
  <c r="M2014" i="1"/>
  <c r="M2015" i="1"/>
  <c r="P2011" i="1"/>
  <c r="P2012" i="1"/>
  <c r="P2013" i="1"/>
  <c r="P2014" i="1"/>
  <c r="P2015" i="1"/>
  <c r="G2010" i="1"/>
  <c r="M2010" i="1"/>
  <c r="P2010" i="1"/>
  <c r="G2009" i="1"/>
  <c r="M2009" i="1"/>
  <c r="P2009" i="1"/>
  <c r="G2008" i="1"/>
  <c r="M2008" i="1"/>
  <c r="P2008" i="1"/>
  <c r="G2007" i="1"/>
  <c r="M2007" i="1"/>
  <c r="P2007" i="1"/>
  <c r="G2006" i="1"/>
  <c r="M2006" i="1"/>
  <c r="P2006" i="1"/>
  <c r="G2005" i="1"/>
  <c r="M2005" i="1"/>
  <c r="P2005" i="1"/>
  <c r="G2004" i="1"/>
  <c r="M2004" i="1"/>
  <c r="P2004" i="1"/>
  <c r="G2003" i="1"/>
  <c r="M2003" i="1"/>
  <c r="P2003" i="1"/>
  <c r="G1996" i="1"/>
  <c r="G1997" i="1"/>
  <c r="G1998" i="1"/>
  <c r="G1999" i="1"/>
  <c r="G2000" i="1"/>
  <c r="G2001" i="1"/>
  <c r="G2002" i="1"/>
  <c r="M1996" i="1"/>
  <c r="M1997" i="1"/>
  <c r="M1998" i="1"/>
  <c r="M1999" i="1"/>
  <c r="M2000" i="1"/>
  <c r="M2001" i="1"/>
  <c r="M2002" i="1"/>
  <c r="P1996" i="1"/>
  <c r="P1997" i="1"/>
  <c r="P1998" i="1"/>
  <c r="P1999" i="1"/>
  <c r="P2000" i="1"/>
  <c r="P2001" i="1"/>
  <c r="P2002" i="1"/>
  <c r="G1995" i="1"/>
  <c r="M1995" i="1"/>
  <c r="P1995" i="1"/>
  <c r="O1994" i="1"/>
  <c r="G1994" i="1"/>
  <c r="M1994" i="1"/>
  <c r="P1994" i="1"/>
  <c r="O1989" i="1"/>
  <c r="O1990" i="1"/>
  <c r="O1991" i="1"/>
  <c r="O1992" i="1"/>
  <c r="O1993" i="1"/>
  <c r="P1989" i="1"/>
  <c r="G1993" i="1"/>
  <c r="M1993" i="1"/>
  <c r="P1993" i="1"/>
  <c r="M1989" i="1"/>
  <c r="G1989" i="1"/>
  <c r="G1990" i="1"/>
  <c r="G1991" i="1"/>
  <c r="G1992" i="1"/>
  <c r="M1990" i="1"/>
  <c r="M1991" i="1"/>
  <c r="M1992" i="1"/>
  <c r="P1990" i="1"/>
  <c r="P1991" i="1"/>
  <c r="P1992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G1988" i="1"/>
  <c r="M1988" i="1"/>
  <c r="P1988" i="1"/>
  <c r="G1987" i="1"/>
  <c r="M1987" i="1"/>
  <c r="P1987" i="1"/>
  <c r="G1986" i="1"/>
  <c r="M1986" i="1"/>
  <c r="P1986" i="1"/>
  <c r="G1985" i="1"/>
  <c r="M1985" i="1"/>
  <c r="P1985" i="1"/>
  <c r="G1984" i="1"/>
  <c r="M1984" i="1"/>
  <c r="P1984" i="1"/>
  <c r="Y1992" i="1" l="1"/>
  <c r="X1992" i="1"/>
  <c r="W1992" i="1"/>
  <c r="V1992" i="1"/>
  <c r="U1992" i="1"/>
  <c r="T1992" i="1"/>
  <c r="Y2001" i="1"/>
  <c r="X2001" i="1"/>
  <c r="W2001" i="1"/>
  <c r="V2001" i="1"/>
  <c r="U2001" i="1"/>
  <c r="T2001" i="1"/>
  <c r="Y1996" i="1"/>
  <c r="X1996" i="1"/>
  <c r="W1996" i="1"/>
  <c r="V1996" i="1"/>
  <c r="U1996" i="1"/>
  <c r="T1996" i="1"/>
  <c r="Y2008" i="1"/>
  <c r="X2008" i="1"/>
  <c r="W2008" i="1"/>
  <c r="V2008" i="1"/>
  <c r="U2008" i="1"/>
  <c r="T2008" i="1"/>
  <c r="Y2012" i="1"/>
  <c r="X2012" i="1"/>
  <c r="W2012" i="1"/>
  <c r="V2012" i="1"/>
  <c r="U2012" i="1"/>
  <c r="T2012" i="1"/>
  <c r="Y1984" i="1"/>
  <c r="X1984" i="1"/>
  <c r="W1984" i="1"/>
  <c r="V1984" i="1"/>
  <c r="U1984" i="1"/>
  <c r="T1984" i="1"/>
  <c r="Y1995" i="1"/>
  <c r="X1995" i="1"/>
  <c r="W1995" i="1"/>
  <c r="V1995" i="1"/>
  <c r="U1995" i="1"/>
  <c r="T1995" i="1"/>
  <c r="Y2003" i="1"/>
  <c r="X2003" i="1"/>
  <c r="W2003" i="1"/>
  <c r="V2003" i="1"/>
  <c r="U2003" i="1"/>
  <c r="T2003" i="1"/>
  <c r="Y2011" i="1"/>
  <c r="X2011" i="1"/>
  <c r="W2011" i="1"/>
  <c r="V2011" i="1"/>
  <c r="U2011" i="1"/>
  <c r="T2011" i="1"/>
  <c r="Y1987" i="1"/>
  <c r="X1987" i="1"/>
  <c r="W1987" i="1"/>
  <c r="V1987" i="1"/>
  <c r="U1987" i="1"/>
  <c r="T1987" i="1"/>
  <c r="Y1989" i="1"/>
  <c r="X1989" i="1"/>
  <c r="W1989" i="1"/>
  <c r="V1989" i="1"/>
  <c r="U1989" i="1"/>
  <c r="T1989" i="1"/>
  <c r="Y2002" i="1"/>
  <c r="X2002" i="1"/>
  <c r="W2002" i="1"/>
  <c r="V2002" i="1"/>
  <c r="U2002" i="1"/>
  <c r="T2002" i="1"/>
  <c r="Y2006" i="1"/>
  <c r="X2006" i="1"/>
  <c r="W2006" i="1"/>
  <c r="V2006" i="1"/>
  <c r="U2006" i="1"/>
  <c r="T2006" i="1"/>
  <c r="Y2009" i="1"/>
  <c r="X2009" i="1"/>
  <c r="W2009" i="1"/>
  <c r="V2009" i="1"/>
  <c r="U2009" i="1"/>
  <c r="T2009" i="1"/>
  <c r="Y1985" i="1"/>
  <c r="X1985" i="1"/>
  <c r="W1985" i="1"/>
  <c r="V1985" i="1"/>
  <c r="U1985" i="1"/>
  <c r="T1985" i="1"/>
  <c r="Y1991" i="1"/>
  <c r="X1991" i="1"/>
  <c r="W1991" i="1"/>
  <c r="V1991" i="1"/>
  <c r="U1991" i="1"/>
  <c r="T1991" i="1"/>
  <c r="Y1993" i="1"/>
  <c r="X1993" i="1"/>
  <c r="W1993" i="1"/>
  <c r="V1993" i="1"/>
  <c r="U1993" i="1"/>
  <c r="T1993" i="1"/>
  <c r="Y2000" i="1"/>
  <c r="X2000" i="1"/>
  <c r="W2000" i="1"/>
  <c r="V2000" i="1"/>
  <c r="U2000" i="1"/>
  <c r="T2000" i="1"/>
  <c r="Y2004" i="1"/>
  <c r="X2004" i="1"/>
  <c r="W2004" i="1"/>
  <c r="V2004" i="1"/>
  <c r="U2004" i="1"/>
  <c r="T2004" i="1"/>
  <c r="Y1988" i="1"/>
  <c r="X1988" i="1"/>
  <c r="W1988" i="1"/>
  <c r="V1988" i="1"/>
  <c r="U1988" i="1"/>
  <c r="T1988" i="1"/>
  <c r="Y1990" i="1"/>
  <c r="X1990" i="1"/>
  <c r="W1990" i="1"/>
  <c r="V1990" i="1"/>
  <c r="U1990" i="1"/>
  <c r="T1990" i="1"/>
  <c r="Y1994" i="1"/>
  <c r="X1994" i="1"/>
  <c r="W1994" i="1"/>
  <c r="V1994" i="1"/>
  <c r="U1994" i="1"/>
  <c r="T1994" i="1"/>
  <c r="Y1999" i="1"/>
  <c r="X1999" i="1"/>
  <c r="W1999" i="1"/>
  <c r="V1999" i="1"/>
  <c r="U1999" i="1"/>
  <c r="T1999" i="1"/>
  <c r="Y2007" i="1"/>
  <c r="X2007" i="1"/>
  <c r="W2007" i="1"/>
  <c r="V2007" i="1"/>
  <c r="U2007" i="1"/>
  <c r="T2007" i="1"/>
  <c r="Y2015" i="1"/>
  <c r="X2015" i="1"/>
  <c r="W2015" i="1"/>
  <c r="V2015" i="1"/>
  <c r="U2015" i="1"/>
  <c r="T2015" i="1"/>
  <c r="Y2010" i="1"/>
  <c r="X2010" i="1"/>
  <c r="W2010" i="1"/>
  <c r="V2010" i="1"/>
  <c r="U2010" i="1"/>
  <c r="T2010" i="1"/>
  <c r="Y2014" i="1"/>
  <c r="X2014" i="1"/>
  <c r="W2014" i="1"/>
  <c r="V2014" i="1"/>
  <c r="U2014" i="1"/>
  <c r="T2014" i="1"/>
  <c r="Y1998" i="1"/>
  <c r="X1998" i="1"/>
  <c r="W1998" i="1"/>
  <c r="V1998" i="1"/>
  <c r="U1998" i="1"/>
  <c r="T1998" i="1"/>
  <c r="Y1986" i="1"/>
  <c r="X1986" i="1"/>
  <c r="W1986" i="1"/>
  <c r="V1986" i="1"/>
  <c r="U1986" i="1"/>
  <c r="T1986" i="1"/>
  <c r="Y1997" i="1"/>
  <c r="X1997" i="1"/>
  <c r="W1997" i="1"/>
  <c r="V1997" i="1"/>
  <c r="U1997" i="1"/>
  <c r="T1997" i="1"/>
  <c r="Y2005" i="1"/>
  <c r="X2005" i="1"/>
  <c r="W2005" i="1"/>
  <c r="V2005" i="1"/>
  <c r="U2005" i="1"/>
  <c r="T2005" i="1"/>
  <c r="Y2013" i="1"/>
  <c r="X2013" i="1"/>
  <c r="W2013" i="1"/>
  <c r="V2013" i="1"/>
  <c r="U2013" i="1"/>
  <c r="T2013" i="1"/>
  <c r="R2016" i="1"/>
  <c r="S2016" i="1" s="1"/>
  <c r="R2017" i="1"/>
  <c r="S2017" i="1" s="1"/>
  <c r="G1979" i="1"/>
  <c r="G1980" i="1"/>
  <c r="G1981" i="1"/>
  <c r="G1982" i="1"/>
  <c r="G1983" i="1"/>
  <c r="M1979" i="1"/>
  <c r="M1980" i="1"/>
  <c r="M1981" i="1"/>
  <c r="M1982" i="1"/>
  <c r="M1983" i="1"/>
  <c r="P1979" i="1"/>
  <c r="P1980" i="1"/>
  <c r="P1981" i="1"/>
  <c r="P1982" i="1"/>
  <c r="P1983" i="1"/>
  <c r="G1978" i="1"/>
  <c r="M1978" i="1"/>
  <c r="P1978" i="1"/>
  <c r="G1977" i="1"/>
  <c r="M1977" i="1"/>
  <c r="P1977" i="1"/>
  <c r="G1976" i="1"/>
  <c r="M1976" i="1"/>
  <c r="P1976" i="1"/>
  <c r="G1975" i="1"/>
  <c r="M1975" i="1"/>
  <c r="P1975" i="1"/>
  <c r="G1974" i="1"/>
  <c r="G1967" i="1"/>
  <c r="G1965" i="1"/>
  <c r="G1966" i="1"/>
  <c r="G1968" i="1"/>
  <c r="G1969" i="1"/>
  <c r="G1970" i="1"/>
  <c r="G1971" i="1"/>
  <c r="G1972" i="1"/>
  <c r="G1973" i="1"/>
  <c r="M1965" i="1"/>
  <c r="M1966" i="1"/>
  <c r="M1967" i="1"/>
  <c r="M1968" i="1"/>
  <c r="M1969" i="1"/>
  <c r="M1970" i="1"/>
  <c r="M1971" i="1"/>
  <c r="M1972" i="1"/>
  <c r="M1973" i="1"/>
  <c r="M1974" i="1"/>
  <c r="P1965" i="1"/>
  <c r="P1966" i="1"/>
  <c r="P1967" i="1"/>
  <c r="P1968" i="1"/>
  <c r="P1969" i="1"/>
  <c r="P1970" i="1"/>
  <c r="P1971" i="1"/>
  <c r="P1972" i="1"/>
  <c r="P1973" i="1"/>
  <c r="P1974" i="1"/>
  <c r="G1964" i="1"/>
  <c r="M1964" i="1"/>
  <c r="P1964" i="1"/>
  <c r="G1963" i="1"/>
  <c r="M1963" i="1"/>
  <c r="P1963" i="1"/>
  <c r="G1962" i="1"/>
  <c r="M1962" i="1"/>
  <c r="P1962" i="1"/>
  <c r="G1961" i="1"/>
  <c r="M1961" i="1"/>
  <c r="P1961" i="1"/>
  <c r="G1960" i="1"/>
  <c r="M1960" i="1"/>
  <c r="P1960" i="1"/>
  <c r="G1958" i="1"/>
  <c r="G1959" i="1"/>
  <c r="M1958" i="1"/>
  <c r="M1959" i="1"/>
  <c r="P1958" i="1"/>
  <c r="P1959" i="1"/>
  <c r="G1957" i="1"/>
  <c r="M1957" i="1"/>
  <c r="P1957" i="1"/>
  <c r="G1956" i="1"/>
  <c r="M1956" i="1"/>
  <c r="P1956" i="1"/>
  <c r="O1950" i="1"/>
  <c r="O1951" i="1"/>
  <c r="O1952" i="1"/>
  <c r="O1953" i="1"/>
  <c r="O1954" i="1"/>
  <c r="O1955" i="1"/>
  <c r="G1955" i="1"/>
  <c r="M1955" i="1"/>
  <c r="P1955" i="1"/>
  <c r="G1954" i="1"/>
  <c r="M1954" i="1"/>
  <c r="P1954" i="1"/>
  <c r="G1953" i="1"/>
  <c r="M1953" i="1"/>
  <c r="P1953" i="1"/>
  <c r="G1952" i="1"/>
  <c r="M1952" i="1"/>
  <c r="P1952" i="1"/>
  <c r="G1951" i="1"/>
  <c r="M1951" i="1"/>
  <c r="P1951" i="1"/>
  <c r="G1950" i="1"/>
  <c r="M1950" i="1"/>
  <c r="P1950" i="1"/>
  <c r="O1940" i="1"/>
  <c r="O1941" i="1"/>
  <c r="O1942" i="1"/>
  <c r="O1943" i="1"/>
  <c r="O1944" i="1"/>
  <c r="O1945" i="1"/>
  <c r="O1946" i="1"/>
  <c r="O1947" i="1"/>
  <c r="O1948" i="1"/>
  <c r="O1949" i="1"/>
  <c r="G1941" i="1"/>
  <c r="G1942" i="1"/>
  <c r="G1943" i="1"/>
  <c r="G1944" i="1"/>
  <c r="G1945" i="1"/>
  <c r="G1946" i="1"/>
  <c r="G1947" i="1"/>
  <c r="G1948" i="1"/>
  <c r="G1949" i="1"/>
  <c r="M1941" i="1"/>
  <c r="M1942" i="1"/>
  <c r="M1943" i="1"/>
  <c r="M1944" i="1"/>
  <c r="M1945" i="1"/>
  <c r="M1946" i="1"/>
  <c r="M1947" i="1"/>
  <c r="M1948" i="1"/>
  <c r="M1949" i="1"/>
  <c r="P1941" i="1"/>
  <c r="P1942" i="1"/>
  <c r="P1943" i="1"/>
  <c r="P1944" i="1"/>
  <c r="P1945" i="1"/>
  <c r="P1946" i="1"/>
  <c r="P1947" i="1"/>
  <c r="P1948" i="1"/>
  <c r="P1949" i="1"/>
  <c r="G1940" i="1"/>
  <c r="M1940" i="1"/>
  <c r="P1940" i="1"/>
  <c r="O1938" i="1"/>
  <c r="O1939" i="1"/>
  <c r="G1939" i="1"/>
  <c r="M1939" i="1"/>
  <c r="P1939" i="1"/>
  <c r="G1938" i="1"/>
  <c r="M1938" i="1"/>
  <c r="P1938" i="1"/>
  <c r="O1928" i="1"/>
  <c r="O1929" i="1"/>
  <c r="O1930" i="1"/>
  <c r="O1931" i="1"/>
  <c r="O1932" i="1"/>
  <c r="O1933" i="1"/>
  <c r="O1934" i="1"/>
  <c r="O1935" i="1"/>
  <c r="O1936" i="1"/>
  <c r="O1937" i="1"/>
  <c r="G1935" i="1"/>
  <c r="G1936" i="1"/>
  <c r="G1937" i="1"/>
  <c r="M1935" i="1"/>
  <c r="M1936" i="1"/>
  <c r="M1937" i="1"/>
  <c r="P1935" i="1"/>
  <c r="P1936" i="1"/>
  <c r="P1937" i="1"/>
  <c r="G1934" i="1"/>
  <c r="M1934" i="1"/>
  <c r="P1934" i="1"/>
  <c r="G1933" i="1"/>
  <c r="M1933" i="1"/>
  <c r="P1933" i="1"/>
  <c r="G1932" i="1"/>
  <c r="M1932" i="1"/>
  <c r="P1932" i="1"/>
  <c r="G1931" i="1"/>
  <c r="M1931" i="1"/>
  <c r="P1931" i="1"/>
  <c r="G1930" i="1"/>
  <c r="M1930" i="1"/>
  <c r="P1930" i="1"/>
  <c r="G1929" i="1"/>
  <c r="M1929" i="1"/>
  <c r="P1929" i="1"/>
  <c r="G1928" i="1"/>
  <c r="M1928" i="1"/>
  <c r="P1928" i="1"/>
  <c r="O1921" i="1"/>
  <c r="O1922" i="1"/>
  <c r="O1923" i="1"/>
  <c r="O1924" i="1"/>
  <c r="O1925" i="1"/>
  <c r="O1926" i="1"/>
  <c r="O1927" i="1"/>
  <c r="G1926" i="1"/>
  <c r="G1927" i="1"/>
  <c r="M1926" i="1"/>
  <c r="M1927" i="1"/>
  <c r="P1926" i="1"/>
  <c r="P1927" i="1"/>
  <c r="G1925" i="1"/>
  <c r="M1925" i="1"/>
  <c r="P1925" i="1"/>
  <c r="G1924" i="1"/>
  <c r="M1924" i="1"/>
  <c r="P1924" i="1"/>
  <c r="G1923" i="1"/>
  <c r="M1923" i="1"/>
  <c r="P1923" i="1"/>
  <c r="G1922" i="1"/>
  <c r="M1922" i="1"/>
  <c r="P1922" i="1"/>
  <c r="G1921" i="1"/>
  <c r="M1921" i="1"/>
  <c r="P1921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G1914" i="1"/>
  <c r="G1915" i="1"/>
  <c r="G1916" i="1"/>
  <c r="G1917" i="1"/>
  <c r="G1918" i="1"/>
  <c r="G1919" i="1"/>
  <c r="G1920" i="1"/>
  <c r="M1915" i="1"/>
  <c r="M1916" i="1"/>
  <c r="M1917" i="1"/>
  <c r="M1918" i="1"/>
  <c r="M1919" i="1"/>
  <c r="M1920" i="1"/>
  <c r="P1915" i="1"/>
  <c r="P1916" i="1"/>
  <c r="P1917" i="1"/>
  <c r="P1918" i="1"/>
  <c r="P1919" i="1"/>
  <c r="P1920" i="1"/>
  <c r="M1914" i="1"/>
  <c r="P1914" i="1"/>
  <c r="G1913" i="1"/>
  <c r="M1913" i="1"/>
  <c r="P1913" i="1"/>
  <c r="G1909" i="1"/>
  <c r="G1910" i="1"/>
  <c r="G1911" i="1"/>
  <c r="G1912" i="1"/>
  <c r="M1909" i="1"/>
  <c r="M1910" i="1"/>
  <c r="M1911" i="1"/>
  <c r="M1912" i="1"/>
  <c r="P1909" i="1"/>
  <c r="P1910" i="1"/>
  <c r="P1911" i="1"/>
  <c r="P1912" i="1"/>
  <c r="G1908" i="1"/>
  <c r="M1908" i="1"/>
  <c r="P1908" i="1"/>
  <c r="G1907" i="1"/>
  <c r="M1907" i="1"/>
  <c r="P1907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G1894" i="1"/>
  <c r="M1894" i="1"/>
  <c r="P1894" i="1"/>
  <c r="G1893" i="1"/>
  <c r="M1893" i="1"/>
  <c r="P1893" i="1"/>
  <c r="G1888" i="1"/>
  <c r="G1889" i="1"/>
  <c r="G1890" i="1"/>
  <c r="G1891" i="1"/>
  <c r="G1892" i="1"/>
  <c r="M1888" i="1"/>
  <c r="M1889" i="1"/>
  <c r="M1890" i="1"/>
  <c r="M1891" i="1"/>
  <c r="M1892" i="1"/>
  <c r="P1888" i="1"/>
  <c r="P1889" i="1"/>
  <c r="P1890" i="1"/>
  <c r="P1891" i="1"/>
  <c r="P1892" i="1"/>
  <c r="G1887" i="1"/>
  <c r="M1887" i="1"/>
  <c r="P1887" i="1"/>
  <c r="G1886" i="1"/>
  <c r="M1886" i="1"/>
  <c r="P1886" i="1"/>
  <c r="M1885" i="1"/>
  <c r="G1884" i="1"/>
  <c r="G1885" i="1"/>
  <c r="M1884" i="1"/>
  <c r="P1884" i="1"/>
  <c r="P1885" i="1"/>
  <c r="G1883" i="1"/>
  <c r="M1883" i="1"/>
  <c r="P1883" i="1"/>
  <c r="G1881" i="1"/>
  <c r="G1882" i="1"/>
  <c r="M1881" i="1"/>
  <c r="M1882" i="1"/>
  <c r="P1881" i="1"/>
  <c r="P1882" i="1"/>
  <c r="G1880" i="1"/>
  <c r="M1880" i="1"/>
  <c r="P1880" i="1"/>
  <c r="G1879" i="1"/>
  <c r="M1879" i="1"/>
  <c r="P1879" i="1"/>
  <c r="G1878" i="1"/>
  <c r="M1878" i="1"/>
  <c r="P1878" i="1"/>
  <c r="G1877" i="1"/>
  <c r="M1877" i="1"/>
  <c r="P1877" i="1"/>
  <c r="G1876" i="1"/>
  <c r="M1876" i="1"/>
  <c r="P1876" i="1"/>
  <c r="G1875" i="1"/>
  <c r="M1875" i="1"/>
  <c r="P1875" i="1"/>
  <c r="G1874" i="1"/>
  <c r="M1874" i="1"/>
  <c r="P1874" i="1"/>
  <c r="G1871" i="1"/>
  <c r="G1872" i="1"/>
  <c r="G1873" i="1"/>
  <c r="M1871" i="1"/>
  <c r="M1872" i="1"/>
  <c r="M1873" i="1"/>
  <c r="P1871" i="1"/>
  <c r="P1872" i="1"/>
  <c r="P1873" i="1"/>
  <c r="G1870" i="1"/>
  <c r="M1870" i="1"/>
  <c r="P1870" i="1"/>
  <c r="G1869" i="1"/>
  <c r="M1869" i="1"/>
  <c r="P1869" i="1"/>
  <c r="G1868" i="1"/>
  <c r="M1868" i="1"/>
  <c r="P1868" i="1"/>
  <c r="G1867" i="1"/>
  <c r="M1867" i="1"/>
  <c r="P1867" i="1"/>
  <c r="O1863" i="1"/>
  <c r="O1864" i="1"/>
  <c r="O1865" i="1"/>
  <c r="O1866" i="1"/>
  <c r="G1866" i="1"/>
  <c r="M1866" i="1"/>
  <c r="P1866" i="1"/>
  <c r="G1865" i="1"/>
  <c r="M1865" i="1"/>
  <c r="P1865" i="1"/>
  <c r="G1864" i="1"/>
  <c r="M1864" i="1"/>
  <c r="P1864" i="1"/>
  <c r="G1863" i="1"/>
  <c r="M1863" i="1"/>
  <c r="P1863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G1862" i="1"/>
  <c r="M1862" i="1"/>
  <c r="P1862" i="1"/>
  <c r="G1861" i="1"/>
  <c r="M1861" i="1"/>
  <c r="P1861" i="1"/>
  <c r="G1860" i="1"/>
  <c r="M1860" i="1"/>
  <c r="P1860" i="1"/>
  <c r="G1859" i="1"/>
  <c r="M1859" i="1"/>
  <c r="P1859" i="1"/>
  <c r="G1858" i="1"/>
  <c r="M1858" i="1"/>
  <c r="P1858" i="1"/>
  <c r="G1856" i="1"/>
  <c r="G1857" i="1"/>
  <c r="M1856" i="1"/>
  <c r="M1857" i="1"/>
  <c r="P1856" i="1"/>
  <c r="P1857" i="1"/>
  <c r="G1852" i="1"/>
  <c r="G1853" i="1"/>
  <c r="G1854" i="1"/>
  <c r="G1855" i="1"/>
  <c r="M1852" i="1"/>
  <c r="M1853" i="1"/>
  <c r="M1854" i="1"/>
  <c r="M1855" i="1"/>
  <c r="P1852" i="1"/>
  <c r="P1853" i="1"/>
  <c r="P1854" i="1"/>
  <c r="P1855" i="1"/>
  <c r="G1851" i="1"/>
  <c r="M1851" i="1"/>
  <c r="P1851" i="1"/>
  <c r="G1850" i="1"/>
  <c r="M1850" i="1"/>
  <c r="P1850" i="1"/>
  <c r="G1849" i="1"/>
  <c r="M1849" i="1"/>
  <c r="P1849" i="1"/>
  <c r="O1842" i="1"/>
  <c r="O1843" i="1"/>
  <c r="O1844" i="1"/>
  <c r="O1845" i="1"/>
  <c r="O1846" i="1"/>
  <c r="O1847" i="1"/>
  <c r="G1848" i="1"/>
  <c r="M1848" i="1"/>
  <c r="P1848" i="1"/>
  <c r="G1847" i="1"/>
  <c r="M1847" i="1"/>
  <c r="P1847" i="1"/>
  <c r="G1846" i="1"/>
  <c r="M1846" i="1"/>
  <c r="P1846" i="1"/>
  <c r="G1845" i="1"/>
  <c r="M1845" i="1"/>
  <c r="P1845" i="1"/>
  <c r="G1844" i="1"/>
  <c r="M1844" i="1"/>
  <c r="P1844" i="1"/>
  <c r="G1843" i="1"/>
  <c r="M1843" i="1"/>
  <c r="P1843" i="1"/>
  <c r="G1842" i="1"/>
  <c r="M1842" i="1"/>
  <c r="P1842" i="1"/>
  <c r="O1841" i="1"/>
  <c r="G1841" i="1"/>
  <c r="M1841" i="1"/>
  <c r="P1841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G1840" i="1"/>
  <c r="M1840" i="1"/>
  <c r="P1840" i="1"/>
  <c r="G1839" i="1"/>
  <c r="M1839" i="1"/>
  <c r="P1839" i="1"/>
  <c r="G1838" i="1"/>
  <c r="M1838" i="1"/>
  <c r="P1838" i="1"/>
  <c r="G1837" i="1"/>
  <c r="M1837" i="1"/>
  <c r="P1837" i="1"/>
  <c r="G1836" i="1"/>
  <c r="M1836" i="1"/>
  <c r="P1836" i="1"/>
  <c r="G1835" i="1"/>
  <c r="M1835" i="1"/>
  <c r="P1835" i="1"/>
  <c r="G1834" i="1"/>
  <c r="M1834" i="1"/>
  <c r="P1834" i="1"/>
  <c r="G1833" i="1"/>
  <c r="M1833" i="1"/>
  <c r="P1833" i="1"/>
  <c r="G1831" i="1"/>
  <c r="G1832" i="1"/>
  <c r="M1831" i="1"/>
  <c r="M1832" i="1"/>
  <c r="P1831" i="1"/>
  <c r="P1832" i="1"/>
  <c r="G1830" i="1"/>
  <c r="M1830" i="1"/>
  <c r="P1830" i="1"/>
  <c r="Y1832" i="1" l="1"/>
  <c r="X1832" i="1"/>
  <c r="W1832" i="1"/>
  <c r="V1832" i="1"/>
  <c r="U1832" i="1"/>
  <c r="T1832" i="1"/>
  <c r="Y1834" i="1"/>
  <c r="X1834" i="1"/>
  <c r="W1834" i="1"/>
  <c r="V1834" i="1"/>
  <c r="U1834" i="1"/>
  <c r="T1834" i="1"/>
  <c r="Y1855" i="1"/>
  <c r="X1855" i="1"/>
  <c r="W1855" i="1"/>
  <c r="V1855" i="1"/>
  <c r="U1855" i="1"/>
  <c r="T1855" i="1"/>
  <c r="Y1861" i="1"/>
  <c r="X1861" i="1"/>
  <c r="W1861" i="1"/>
  <c r="V1861" i="1"/>
  <c r="U1861" i="1"/>
  <c r="T1861" i="1"/>
  <c r="Y1902" i="1"/>
  <c r="X1902" i="1"/>
  <c r="W1902" i="1"/>
  <c r="V1902" i="1"/>
  <c r="T1902" i="1"/>
  <c r="U1902" i="1"/>
  <c r="Y1933" i="1"/>
  <c r="X1933" i="1"/>
  <c r="W1933" i="1"/>
  <c r="V1933" i="1"/>
  <c r="U1933" i="1"/>
  <c r="T1933" i="1"/>
  <c r="Y1937" i="1"/>
  <c r="X1937" i="1"/>
  <c r="W1937" i="1"/>
  <c r="V1937" i="1"/>
  <c r="U1937" i="1"/>
  <c r="T1937" i="1"/>
  <c r="Y1945" i="1"/>
  <c r="X1945" i="1"/>
  <c r="W1945" i="1"/>
  <c r="V1945" i="1"/>
  <c r="U1945" i="1"/>
  <c r="T1945" i="1"/>
  <c r="Y1959" i="1"/>
  <c r="X1959" i="1"/>
  <c r="W1959" i="1"/>
  <c r="V1959" i="1"/>
  <c r="U1959" i="1"/>
  <c r="T1959" i="1"/>
  <c r="Y1971" i="1"/>
  <c r="W1971" i="1"/>
  <c r="X1971" i="1"/>
  <c r="V1971" i="1"/>
  <c r="U1971" i="1"/>
  <c r="T1971" i="1"/>
  <c r="Y1836" i="1"/>
  <c r="X1836" i="1"/>
  <c r="W1836" i="1"/>
  <c r="V1836" i="1"/>
  <c r="U1836" i="1"/>
  <c r="T1836" i="1"/>
  <c r="Y1866" i="1"/>
  <c r="X1866" i="1"/>
  <c r="W1866" i="1"/>
  <c r="V1866" i="1"/>
  <c r="U1866" i="1"/>
  <c r="T1866" i="1"/>
  <c r="Y1870" i="1"/>
  <c r="X1870" i="1"/>
  <c r="W1870" i="1"/>
  <c r="V1870" i="1"/>
  <c r="T1870" i="1"/>
  <c r="U1870" i="1"/>
  <c r="Y1878" i="1"/>
  <c r="X1878" i="1"/>
  <c r="W1878" i="1"/>
  <c r="V1878" i="1"/>
  <c r="U1878" i="1"/>
  <c r="T1878" i="1"/>
  <c r="Y1886" i="1"/>
  <c r="X1886" i="1"/>
  <c r="W1886" i="1"/>
  <c r="V1886" i="1"/>
  <c r="U1886" i="1"/>
  <c r="T1886" i="1"/>
  <c r="Y1894" i="1"/>
  <c r="X1894" i="1"/>
  <c r="W1894" i="1"/>
  <c r="V1894" i="1"/>
  <c r="U1894" i="1"/>
  <c r="T1894" i="1"/>
  <c r="Y1904" i="1"/>
  <c r="X1904" i="1"/>
  <c r="W1904" i="1"/>
  <c r="V1904" i="1"/>
  <c r="U1904" i="1"/>
  <c r="T1904" i="1"/>
  <c r="Y1896" i="1"/>
  <c r="X1896" i="1"/>
  <c r="W1896" i="1"/>
  <c r="V1896" i="1"/>
  <c r="U1896" i="1"/>
  <c r="T1896" i="1"/>
  <c r="Y1912" i="1"/>
  <c r="X1912" i="1"/>
  <c r="W1912" i="1"/>
  <c r="V1912" i="1"/>
  <c r="U1912" i="1"/>
  <c r="T1912" i="1"/>
  <c r="Y1915" i="1"/>
  <c r="X1915" i="1"/>
  <c r="W1915" i="1"/>
  <c r="V1915" i="1"/>
  <c r="U1915" i="1"/>
  <c r="T1915" i="1"/>
  <c r="Y1924" i="1"/>
  <c r="X1924" i="1"/>
  <c r="W1924" i="1"/>
  <c r="V1924" i="1"/>
  <c r="U1924" i="1"/>
  <c r="T1924" i="1"/>
  <c r="Y1926" i="1"/>
  <c r="X1926" i="1"/>
  <c r="W1926" i="1"/>
  <c r="V1926" i="1"/>
  <c r="U1926" i="1"/>
  <c r="T1926" i="1"/>
  <c r="Y1947" i="1"/>
  <c r="X1947" i="1"/>
  <c r="V1947" i="1"/>
  <c r="W1947" i="1"/>
  <c r="U1947" i="1"/>
  <c r="T1947" i="1"/>
  <c r="Y1963" i="1"/>
  <c r="X1963" i="1"/>
  <c r="V1963" i="1"/>
  <c r="W1963" i="1"/>
  <c r="U1963" i="1"/>
  <c r="T1963" i="1"/>
  <c r="Y1973" i="1"/>
  <c r="X1973" i="1"/>
  <c r="W1973" i="1"/>
  <c r="V1973" i="1"/>
  <c r="U1973" i="1"/>
  <c r="T1973" i="1"/>
  <c r="Y1965" i="1"/>
  <c r="X1965" i="1"/>
  <c r="W1965" i="1"/>
  <c r="V1965" i="1"/>
  <c r="U1965" i="1"/>
  <c r="T1965" i="1"/>
  <c r="Y1979" i="1"/>
  <c r="X1979" i="1"/>
  <c r="W1979" i="1"/>
  <c r="V1979" i="1"/>
  <c r="U1979" i="1"/>
  <c r="T1979" i="1"/>
  <c r="Y1839" i="1"/>
  <c r="X1839" i="1"/>
  <c r="W1839" i="1"/>
  <c r="V1839" i="1"/>
  <c r="U1839" i="1"/>
  <c r="T1839" i="1"/>
  <c r="Y1844" i="1"/>
  <c r="X1844" i="1"/>
  <c r="W1844" i="1"/>
  <c r="V1844" i="1"/>
  <c r="U1844" i="1"/>
  <c r="T1844" i="1"/>
  <c r="Y1850" i="1"/>
  <c r="X1850" i="1"/>
  <c r="W1850" i="1"/>
  <c r="V1850" i="1"/>
  <c r="U1850" i="1"/>
  <c r="T1850" i="1"/>
  <c r="Y1858" i="1"/>
  <c r="X1858" i="1"/>
  <c r="W1858" i="1"/>
  <c r="V1858" i="1"/>
  <c r="U1858" i="1"/>
  <c r="T1858" i="1"/>
  <c r="Y1903" i="1"/>
  <c r="X1903" i="1"/>
  <c r="W1903" i="1"/>
  <c r="V1903" i="1"/>
  <c r="U1903" i="1"/>
  <c r="T1903" i="1"/>
  <c r="Y1895" i="1"/>
  <c r="X1895" i="1"/>
  <c r="W1895" i="1"/>
  <c r="V1895" i="1"/>
  <c r="U1895" i="1"/>
  <c r="T1895" i="1"/>
  <c r="Y1911" i="1"/>
  <c r="X1911" i="1"/>
  <c r="W1911" i="1"/>
  <c r="V1911" i="1"/>
  <c r="U1911" i="1"/>
  <c r="T1911" i="1"/>
  <c r="Y1913" i="1"/>
  <c r="X1913" i="1"/>
  <c r="W1913" i="1"/>
  <c r="V1913" i="1"/>
  <c r="U1913" i="1"/>
  <c r="T1913" i="1"/>
  <c r="Y1930" i="1"/>
  <c r="X1930" i="1"/>
  <c r="W1930" i="1"/>
  <c r="V1930" i="1"/>
  <c r="U1930" i="1"/>
  <c r="T1930" i="1"/>
  <c r="Y1946" i="1"/>
  <c r="X1946" i="1"/>
  <c r="W1946" i="1"/>
  <c r="V1946" i="1"/>
  <c r="U1946" i="1"/>
  <c r="T1946" i="1"/>
  <c r="Y1952" i="1"/>
  <c r="X1952" i="1"/>
  <c r="W1952" i="1"/>
  <c r="V1952" i="1"/>
  <c r="U1952" i="1"/>
  <c r="T1952" i="1"/>
  <c r="Y1972" i="1"/>
  <c r="X1972" i="1"/>
  <c r="W1972" i="1"/>
  <c r="V1972" i="1"/>
  <c r="U1972" i="1"/>
  <c r="T1972" i="1"/>
  <c r="Y1831" i="1"/>
  <c r="X1831" i="1"/>
  <c r="W1831" i="1"/>
  <c r="V1831" i="1"/>
  <c r="U1831" i="1"/>
  <c r="T1831" i="1"/>
  <c r="Y1837" i="1"/>
  <c r="X1837" i="1"/>
  <c r="W1837" i="1"/>
  <c r="V1837" i="1"/>
  <c r="U1837" i="1"/>
  <c r="T1837" i="1"/>
  <c r="Y1842" i="1"/>
  <c r="X1842" i="1"/>
  <c r="W1842" i="1"/>
  <c r="V1842" i="1"/>
  <c r="U1842" i="1"/>
  <c r="T1842" i="1"/>
  <c r="Y1854" i="1"/>
  <c r="X1854" i="1"/>
  <c r="W1854" i="1"/>
  <c r="V1854" i="1"/>
  <c r="U1854" i="1"/>
  <c r="T1854" i="1"/>
  <c r="Y1879" i="1"/>
  <c r="X1879" i="1"/>
  <c r="W1879" i="1"/>
  <c r="V1879" i="1"/>
  <c r="U1879" i="1"/>
  <c r="T1879" i="1"/>
  <c r="Y1881" i="1"/>
  <c r="X1881" i="1"/>
  <c r="W1881" i="1"/>
  <c r="V1881" i="1"/>
  <c r="U1881" i="1"/>
  <c r="T1881" i="1"/>
  <c r="Y1884" i="1"/>
  <c r="X1884" i="1"/>
  <c r="W1884" i="1"/>
  <c r="V1884" i="1"/>
  <c r="U1884" i="1"/>
  <c r="T1884" i="1"/>
  <c r="Y1887" i="1"/>
  <c r="X1887" i="1"/>
  <c r="W1887" i="1"/>
  <c r="V1887" i="1"/>
  <c r="U1887" i="1"/>
  <c r="T1887" i="1"/>
  <c r="Y1891" i="1"/>
  <c r="X1891" i="1"/>
  <c r="W1891" i="1"/>
  <c r="V1891" i="1"/>
  <c r="U1891" i="1"/>
  <c r="T1891" i="1"/>
  <c r="Y1901" i="1"/>
  <c r="X1901" i="1"/>
  <c r="W1901" i="1"/>
  <c r="V1901" i="1"/>
  <c r="U1901" i="1"/>
  <c r="T1901" i="1"/>
  <c r="Y1909" i="1"/>
  <c r="X1909" i="1"/>
  <c r="W1909" i="1"/>
  <c r="V1909" i="1"/>
  <c r="U1909" i="1"/>
  <c r="T1909" i="1"/>
  <c r="Y1920" i="1"/>
  <c r="X1920" i="1"/>
  <c r="W1920" i="1"/>
  <c r="V1920" i="1"/>
  <c r="U1920" i="1"/>
  <c r="T1920" i="1"/>
  <c r="Y1925" i="1"/>
  <c r="X1925" i="1"/>
  <c r="W1925" i="1"/>
  <c r="V1925" i="1"/>
  <c r="U1925" i="1"/>
  <c r="T1925" i="1"/>
  <c r="Y1928" i="1"/>
  <c r="X1928" i="1"/>
  <c r="W1928" i="1"/>
  <c r="V1928" i="1"/>
  <c r="U1928" i="1"/>
  <c r="T1928" i="1"/>
  <c r="Y1936" i="1"/>
  <c r="X1936" i="1"/>
  <c r="W1936" i="1"/>
  <c r="V1936" i="1"/>
  <c r="U1936" i="1"/>
  <c r="T1936" i="1"/>
  <c r="Y1938" i="1"/>
  <c r="X1938" i="1"/>
  <c r="W1938" i="1"/>
  <c r="V1938" i="1"/>
  <c r="U1938" i="1"/>
  <c r="T1938" i="1"/>
  <c r="Y1940" i="1"/>
  <c r="X1940" i="1"/>
  <c r="W1940" i="1"/>
  <c r="V1940" i="1"/>
  <c r="U1940" i="1"/>
  <c r="T1940" i="1"/>
  <c r="Y1944" i="1"/>
  <c r="X1944" i="1"/>
  <c r="W1944" i="1"/>
  <c r="V1944" i="1"/>
  <c r="U1944" i="1"/>
  <c r="T1944" i="1"/>
  <c r="Y1950" i="1"/>
  <c r="X1950" i="1"/>
  <c r="W1950" i="1"/>
  <c r="V1950" i="1"/>
  <c r="U1950" i="1"/>
  <c r="T1950" i="1"/>
  <c r="Y1956" i="1"/>
  <c r="X1956" i="1"/>
  <c r="W1956" i="1"/>
  <c r="V1956" i="1"/>
  <c r="U1956" i="1"/>
  <c r="T1956" i="1"/>
  <c r="Y1958" i="1"/>
  <c r="X1958" i="1"/>
  <c r="W1958" i="1"/>
  <c r="V1958" i="1"/>
  <c r="U1958" i="1"/>
  <c r="T1958" i="1"/>
  <c r="Y1964" i="1"/>
  <c r="X1964" i="1"/>
  <c r="W1964" i="1"/>
  <c r="V1964" i="1"/>
  <c r="U1964" i="1"/>
  <c r="T1964" i="1"/>
  <c r="Y1970" i="1"/>
  <c r="X1970" i="1"/>
  <c r="W1970" i="1"/>
  <c r="V1970" i="1"/>
  <c r="U1970" i="1"/>
  <c r="T1970" i="1"/>
  <c r="Y1847" i="1"/>
  <c r="W1847" i="1"/>
  <c r="X1847" i="1"/>
  <c r="V1847" i="1"/>
  <c r="U1847" i="1"/>
  <c r="T1847" i="1"/>
  <c r="Y1922" i="1"/>
  <c r="X1922" i="1"/>
  <c r="W1922" i="1"/>
  <c r="V1922" i="1"/>
  <c r="U1922" i="1"/>
  <c r="T1922" i="1"/>
  <c r="Y1840" i="1"/>
  <c r="X1840" i="1"/>
  <c r="W1840" i="1"/>
  <c r="V1840" i="1"/>
  <c r="U1840" i="1"/>
  <c r="T1840" i="1"/>
  <c r="Y1890" i="1"/>
  <c r="X1890" i="1"/>
  <c r="W1890" i="1"/>
  <c r="V1890" i="1"/>
  <c r="U1890" i="1"/>
  <c r="T1890" i="1"/>
  <c r="Y1900" i="1"/>
  <c r="X1900" i="1"/>
  <c r="W1900" i="1"/>
  <c r="V1900" i="1"/>
  <c r="U1900" i="1"/>
  <c r="T1900" i="1"/>
  <c r="Y1914" i="1"/>
  <c r="X1914" i="1"/>
  <c r="W1914" i="1"/>
  <c r="V1914" i="1"/>
  <c r="U1914" i="1"/>
  <c r="T1914" i="1"/>
  <c r="Y1919" i="1"/>
  <c r="X1919" i="1"/>
  <c r="W1919" i="1"/>
  <c r="V1919" i="1"/>
  <c r="U1919" i="1"/>
  <c r="T1919" i="1"/>
  <c r="Y1931" i="1"/>
  <c r="X1931" i="1"/>
  <c r="V1931" i="1"/>
  <c r="W1931" i="1"/>
  <c r="U1931" i="1"/>
  <c r="T1931" i="1"/>
  <c r="Y1935" i="1"/>
  <c r="X1935" i="1"/>
  <c r="W1935" i="1"/>
  <c r="V1935" i="1"/>
  <c r="U1935" i="1"/>
  <c r="T1935" i="1"/>
  <c r="Y1943" i="1"/>
  <c r="X1943" i="1"/>
  <c r="W1943" i="1"/>
  <c r="V1943" i="1"/>
  <c r="U1943" i="1"/>
  <c r="T1943" i="1"/>
  <c r="Y1953" i="1"/>
  <c r="X1953" i="1"/>
  <c r="W1953" i="1"/>
  <c r="V1953" i="1"/>
  <c r="U1953" i="1"/>
  <c r="T1953" i="1"/>
  <c r="Y1969" i="1"/>
  <c r="X1969" i="1"/>
  <c r="W1969" i="1"/>
  <c r="V1969" i="1"/>
  <c r="U1969" i="1"/>
  <c r="T1969" i="1"/>
  <c r="Y1975" i="1"/>
  <c r="W1975" i="1"/>
  <c r="V1975" i="1"/>
  <c r="X1975" i="1"/>
  <c r="U1975" i="1"/>
  <c r="T1975" i="1"/>
  <c r="Y1983" i="1"/>
  <c r="X1983" i="1"/>
  <c r="W1983" i="1"/>
  <c r="V1983" i="1"/>
  <c r="U1983" i="1"/>
  <c r="T1983" i="1"/>
  <c r="Y1848" i="1"/>
  <c r="X1848" i="1"/>
  <c r="W1848" i="1"/>
  <c r="V1848" i="1"/>
  <c r="U1848" i="1"/>
  <c r="T1848" i="1"/>
  <c r="Y1852" i="1"/>
  <c r="X1852" i="1"/>
  <c r="W1852" i="1"/>
  <c r="V1852" i="1"/>
  <c r="U1852" i="1"/>
  <c r="T1852" i="1"/>
  <c r="Y1856" i="1"/>
  <c r="X1856" i="1"/>
  <c r="W1856" i="1"/>
  <c r="V1856" i="1"/>
  <c r="U1856" i="1"/>
  <c r="T1856" i="1"/>
  <c r="Y1862" i="1"/>
  <c r="X1862" i="1"/>
  <c r="W1862" i="1"/>
  <c r="V1862" i="1"/>
  <c r="U1862" i="1"/>
  <c r="T1862" i="1"/>
  <c r="Y1865" i="1"/>
  <c r="X1865" i="1"/>
  <c r="W1865" i="1"/>
  <c r="V1865" i="1"/>
  <c r="U1865" i="1"/>
  <c r="T1865" i="1"/>
  <c r="Y1869" i="1"/>
  <c r="X1869" i="1"/>
  <c r="W1869" i="1"/>
  <c r="V1869" i="1"/>
  <c r="U1869" i="1"/>
  <c r="T1869" i="1"/>
  <c r="Y1873" i="1"/>
  <c r="X1873" i="1"/>
  <c r="W1873" i="1"/>
  <c r="V1873" i="1"/>
  <c r="U1873" i="1"/>
  <c r="T1873" i="1"/>
  <c r="Y1877" i="1"/>
  <c r="X1877" i="1"/>
  <c r="W1877" i="1"/>
  <c r="V1877" i="1"/>
  <c r="U1877" i="1"/>
  <c r="T1877" i="1"/>
  <c r="Y1889" i="1"/>
  <c r="X1889" i="1"/>
  <c r="W1889" i="1"/>
  <c r="V1889" i="1"/>
  <c r="U1889" i="1"/>
  <c r="T1889" i="1"/>
  <c r="Y1893" i="1"/>
  <c r="X1893" i="1"/>
  <c r="W1893" i="1"/>
  <c r="V1893" i="1"/>
  <c r="U1893" i="1"/>
  <c r="T1893" i="1"/>
  <c r="Y1899" i="1"/>
  <c r="X1899" i="1"/>
  <c r="W1899" i="1"/>
  <c r="V1899" i="1"/>
  <c r="U1899" i="1"/>
  <c r="T1899" i="1"/>
  <c r="Y1918" i="1"/>
  <c r="X1918" i="1"/>
  <c r="W1918" i="1"/>
  <c r="V1918" i="1"/>
  <c r="U1918" i="1"/>
  <c r="T1918" i="1"/>
  <c r="Y1923" i="1"/>
  <c r="X1923" i="1"/>
  <c r="W1923" i="1"/>
  <c r="V1923" i="1"/>
  <c r="U1923" i="1"/>
  <c r="T1923" i="1"/>
  <c r="Y1934" i="1"/>
  <c r="X1934" i="1"/>
  <c r="W1934" i="1"/>
  <c r="V1934" i="1"/>
  <c r="T1934" i="1"/>
  <c r="U1934" i="1"/>
  <c r="Y1942" i="1"/>
  <c r="X1942" i="1"/>
  <c r="W1942" i="1"/>
  <c r="V1942" i="1"/>
  <c r="U1942" i="1"/>
  <c r="T1942" i="1"/>
  <c r="Y1962" i="1"/>
  <c r="X1962" i="1"/>
  <c r="W1962" i="1"/>
  <c r="V1962" i="1"/>
  <c r="U1962" i="1"/>
  <c r="T1962" i="1"/>
  <c r="Y1968" i="1"/>
  <c r="X1968" i="1"/>
  <c r="W1968" i="1"/>
  <c r="V1968" i="1"/>
  <c r="U1968" i="1"/>
  <c r="T1968" i="1"/>
  <c r="Y1978" i="1"/>
  <c r="X1978" i="1"/>
  <c r="W1978" i="1"/>
  <c r="V1978" i="1"/>
  <c r="U1978" i="1"/>
  <c r="T1978" i="1"/>
  <c r="Y1982" i="1"/>
  <c r="X1982" i="1"/>
  <c r="W1982" i="1"/>
  <c r="V1982" i="1"/>
  <c r="U1982" i="1"/>
  <c r="T1982" i="1"/>
  <c r="Y1864" i="1"/>
  <c r="X1864" i="1"/>
  <c r="W1864" i="1"/>
  <c r="V1864" i="1"/>
  <c r="U1864" i="1"/>
  <c r="T1864" i="1"/>
  <c r="Y1868" i="1"/>
  <c r="X1868" i="1"/>
  <c r="W1868" i="1"/>
  <c r="V1868" i="1"/>
  <c r="U1868" i="1"/>
  <c r="T1868" i="1"/>
  <c r="Y1876" i="1"/>
  <c r="X1876" i="1"/>
  <c r="W1876" i="1"/>
  <c r="V1876" i="1"/>
  <c r="U1876" i="1"/>
  <c r="T1876" i="1"/>
  <c r="Y1882" i="1"/>
  <c r="X1882" i="1"/>
  <c r="W1882" i="1"/>
  <c r="V1882" i="1"/>
  <c r="U1882" i="1"/>
  <c r="T1882" i="1"/>
  <c r="Y1892" i="1"/>
  <c r="X1892" i="1"/>
  <c r="W1892" i="1"/>
  <c r="V1892" i="1"/>
  <c r="U1892" i="1"/>
  <c r="T1892" i="1"/>
  <c r="Y1908" i="1"/>
  <c r="X1908" i="1"/>
  <c r="W1908" i="1"/>
  <c r="V1908" i="1"/>
  <c r="U1908" i="1"/>
  <c r="T1908" i="1"/>
  <c r="Y1910" i="1"/>
  <c r="X1910" i="1"/>
  <c r="W1910" i="1"/>
  <c r="V1910" i="1"/>
  <c r="U1910" i="1"/>
  <c r="T1910" i="1"/>
  <c r="Y1955" i="1"/>
  <c r="X1955" i="1"/>
  <c r="W1955" i="1"/>
  <c r="V1955" i="1"/>
  <c r="U1955" i="1"/>
  <c r="T1955" i="1"/>
  <c r="Y1961" i="1"/>
  <c r="X1961" i="1"/>
  <c r="W1961" i="1"/>
  <c r="V1961" i="1"/>
  <c r="U1961" i="1"/>
  <c r="T1961" i="1"/>
  <c r="Y1977" i="1"/>
  <c r="X1977" i="1"/>
  <c r="W1977" i="1"/>
  <c r="V1977" i="1"/>
  <c r="U1977" i="1"/>
  <c r="T1977" i="1"/>
  <c r="Y1859" i="1"/>
  <c r="X1859" i="1"/>
  <c r="W1859" i="1"/>
  <c r="V1859" i="1"/>
  <c r="U1859" i="1"/>
  <c r="T1859" i="1"/>
  <c r="Y1835" i="1"/>
  <c r="X1835" i="1"/>
  <c r="W1835" i="1"/>
  <c r="V1835" i="1"/>
  <c r="U1835" i="1"/>
  <c r="T1835" i="1"/>
  <c r="Y1830" i="1"/>
  <c r="X1830" i="1"/>
  <c r="W1830" i="1"/>
  <c r="V1830" i="1"/>
  <c r="U1830" i="1"/>
  <c r="T1830" i="1"/>
  <c r="Y1838" i="1"/>
  <c r="X1838" i="1"/>
  <c r="W1838" i="1"/>
  <c r="V1838" i="1"/>
  <c r="T1838" i="1"/>
  <c r="U1838" i="1"/>
  <c r="Y1843" i="1"/>
  <c r="W1843" i="1"/>
  <c r="X1843" i="1"/>
  <c r="V1843" i="1"/>
  <c r="U1843" i="1"/>
  <c r="T1843" i="1"/>
  <c r="Y1849" i="1"/>
  <c r="X1849" i="1"/>
  <c r="W1849" i="1"/>
  <c r="V1849" i="1"/>
  <c r="U1849" i="1"/>
  <c r="T1849" i="1"/>
  <c r="Y1872" i="1"/>
  <c r="X1872" i="1"/>
  <c r="W1872" i="1"/>
  <c r="V1872" i="1"/>
  <c r="U1872" i="1"/>
  <c r="T1872" i="1"/>
  <c r="Y1880" i="1"/>
  <c r="X1880" i="1"/>
  <c r="W1880" i="1"/>
  <c r="V1880" i="1"/>
  <c r="U1880" i="1"/>
  <c r="T1880" i="1"/>
  <c r="Y1885" i="1"/>
  <c r="X1885" i="1"/>
  <c r="W1885" i="1"/>
  <c r="V1885" i="1"/>
  <c r="U1885" i="1"/>
  <c r="T1885" i="1"/>
  <c r="Y1888" i="1"/>
  <c r="X1888" i="1"/>
  <c r="W1888" i="1"/>
  <c r="V1888" i="1"/>
  <c r="U1888" i="1"/>
  <c r="T1888" i="1"/>
  <c r="Y1906" i="1"/>
  <c r="X1906" i="1"/>
  <c r="W1906" i="1"/>
  <c r="V1906" i="1"/>
  <c r="U1906" i="1"/>
  <c r="T1906" i="1"/>
  <c r="Y1898" i="1"/>
  <c r="X1898" i="1"/>
  <c r="W1898" i="1"/>
  <c r="V1898" i="1"/>
  <c r="U1898" i="1"/>
  <c r="T1898" i="1"/>
  <c r="Y1917" i="1"/>
  <c r="X1917" i="1"/>
  <c r="W1917" i="1"/>
  <c r="V1917" i="1"/>
  <c r="U1917" i="1"/>
  <c r="T1917" i="1"/>
  <c r="Y1929" i="1"/>
  <c r="X1929" i="1"/>
  <c r="W1929" i="1"/>
  <c r="V1929" i="1"/>
  <c r="U1929" i="1"/>
  <c r="T1929" i="1"/>
  <c r="Y1939" i="1"/>
  <c r="X1939" i="1"/>
  <c r="W1939" i="1"/>
  <c r="V1939" i="1"/>
  <c r="U1939" i="1"/>
  <c r="T1939" i="1"/>
  <c r="Y1949" i="1"/>
  <c r="X1949" i="1"/>
  <c r="W1949" i="1"/>
  <c r="V1949" i="1"/>
  <c r="U1949" i="1"/>
  <c r="T1949" i="1"/>
  <c r="Y1941" i="1"/>
  <c r="X1941" i="1"/>
  <c r="W1941" i="1"/>
  <c r="V1941" i="1"/>
  <c r="U1941" i="1"/>
  <c r="T1941" i="1"/>
  <c r="Y1951" i="1"/>
  <c r="X1951" i="1"/>
  <c r="W1951" i="1"/>
  <c r="V1951" i="1"/>
  <c r="U1951" i="1"/>
  <c r="T1951" i="1"/>
  <c r="Y1957" i="1"/>
  <c r="X1957" i="1"/>
  <c r="W1957" i="1"/>
  <c r="V1957" i="1"/>
  <c r="U1957" i="1"/>
  <c r="T1957" i="1"/>
  <c r="Y1967" i="1"/>
  <c r="X1967" i="1"/>
  <c r="W1967" i="1"/>
  <c r="V1967" i="1"/>
  <c r="U1967" i="1"/>
  <c r="T1967" i="1"/>
  <c r="Y1981" i="1"/>
  <c r="X1981" i="1"/>
  <c r="W1981" i="1"/>
  <c r="V1981" i="1"/>
  <c r="U1981" i="1"/>
  <c r="T1981" i="1"/>
  <c r="Y1845" i="1"/>
  <c r="X1845" i="1"/>
  <c r="W1845" i="1"/>
  <c r="V1845" i="1"/>
  <c r="U1845" i="1"/>
  <c r="T1845" i="1"/>
  <c r="Y1851" i="1"/>
  <c r="X1851" i="1"/>
  <c r="W1851" i="1"/>
  <c r="V1851" i="1"/>
  <c r="U1851" i="1"/>
  <c r="T1851" i="1"/>
  <c r="Y1853" i="1"/>
  <c r="X1853" i="1"/>
  <c r="W1853" i="1"/>
  <c r="V1853" i="1"/>
  <c r="U1853" i="1"/>
  <c r="T1853" i="1"/>
  <c r="Y1857" i="1"/>
  <c r="X1857" i="1"/>
  <c r="W1857" i="1"/>
  <c r="V1857" i="1"/>
  <c r="U1857" i="1"/>
  <c r="T1857" i="1"/>
  <c r="Y1874" i="1"/>
  <c r="X1874" i="1"/>
  <c r="W1874" i="1"/>
  <c r="V1874" i="1"/>
  <c r="U1874" i="1"/>
  <c r="T1874" i="1"/>
  <c r="Y1833" i="1"/>
  <c r="X1833" i="1"/>
  <c r="W1833" i="1"/>
  <c r="V1833" i="1"/>
  <c r="U1833" i="1"/>
  <c r="T1833" i="1"/>
  <c r="Y1841" i="1"/>
  <c r="X1841" i="1"/>
  <c r="W1841" i="1"/>
  <c r="V1841" i="1"/>
  <c r="U1841" i="1"/>
  <c r="T1841" i="1"/>
  <c r="Y1846" i="1"/>
  <c r="X1846" i="1"/>
  <c r="W1846" i="1"/>
  <c r="V1846" i="1"/>
  <c r="U1846" i="1"/>
  <c r="T1846" i="1"/>
  <c r="Y1860" i="1"/>
  <c r="X1860" i="1"/>
  <c r="W1860" i="1"/>
  <c r="V1860" i="1"/>
  <c r="U1860" i="1"/>
  <c r="T1860" i="1"/>
  <c r="Y1863" i="1"/>
  <c r="X1863" i="1"/>
  <c r="W1863" i="1"/>
  <c r="V1863" i="1"/>
  <c r="U1863" i="1"/>
  <c r="T1863" i="1"/>
  <c r="Y1867" i="1"/>
  <c r="X1867" i="1"/>
  <c r="W1867" i="1"/>
  <c r="V1867" i="1"/>
  <c r="U1867" i="1"/>
  <c r="T1867" i="1"/>
  <c r="Y1871" i="1"/>
  <c r="X1871" i="1"/>
  <c r="W1871" i="1"/>
  <c r="V1871" i="1"/>
  <c r="U1871" i="1"/>
  <c r="T1871" i="1"/>
  <c r="Y1875" i="1"/>
  <c r="X1875" i="1"/>
  <c r="W1875" i="1"/>
  <c r="V1875" i="1"/>
  <c r="U1875" i="1"/>
  <c r="T1875" i="1"/>
  <c r="Y1883" i="1"/>
  <c r="X1883" i="1"/>
  <c r="W1883" i="1"/>
  <c r="V1883" i="1"/>
  <c r="U1883" i="1"/>
  <c r="T1883" i="1"/>
  <c r="Y1905" i="1"/>
  <c r="X1905" i="1"/>
  <c r="W1905" i="1"/>
  <c r="V1905" i="1"/>
  <c r="U1905" i="1"/>
  <c r="T1905" i="1"/>
  <c r="Y1897" i="1"/>
  <c r="X1897" i="1"/>
  <c r="W1897" i="1"/>
  <c r="V1897" i="1"/>
  <c r="U1897" i="1"/>
  <c r="T1897" i="1"/>
  <c r="Y1907" i="1"/>
  <c r="W1907" i="1"/>
  <c r="X1907" i="1"/>
  <c r="V1907" i="1"/>
  <c r="U1907" i="1"/>
  <c r="T1907" i="1"/>
  <c r="Y1916" i="1"/>
  <c r="X1916" i="1"/>
  <c r="W1916" i="1"/>
  <c r="V1916" i="1"/>
  <c r="U1916" i="1"/>
  <c r="T1916" i="1"/>
  <c r="Y1921" i="1"/>
  <c r="X1921" i="1"/>
  <c r="W1921" i="1"/>
  <c r="V1921" i="1"/>
  <c r="U1921" i="1"/>
  <c r="T1921" i="1"/>
  <c r="Y1927" i="1"/>
  <c r="X1927" i="1"/>
  <c r="W1927" i="1"/>
  <c r="V1927" i="1"/>
  <c r="U1927" i="1"/>
  <c r="T1927" i="1"/>
  <c r="Y1932" i="1"/>
  <c r="X1932" i="1"/>
  <c r="W1932" i="1"/>
  <c r="V1932" i="1"/>
  <c r="U1932" i="1"/>
  <c r="T1932" i="1"/>
  <c r="Y1948" i="1"/>
  <c r="X1948" i="1"/>
  <c r="W1948" i="1"/>
  <c r="V1948" i="1"/>
  <c r="U1948" i="1"/>
  <c r="T1948" i="1"/>
  <c r="Y1954" i="1"/>
  <c r="X1954" i="1"/>
  <c r="W1954" i="1"/>
  <c r="V1954" i="1"/>
  <c r="U1954" i="1"/>
  <c r="T1954" i="1"/>
  <c r="Y1960" i="1"/>
  <c r="X1960" i="1"/>
  <c r="W1960" i="1"/>
  <c r="V1960" i="1"/>
  <c r="U1960" i="1"/>
  <c r="T1960" i="1"/>
  <c r="Y1974" i="1"/>
  <c r="X1974" i="1"/>
  <c r="W1974" i="1"/>
  <c r="V1974" i="1"/>
  <c r="U1974" i="1"/>
  <c r="T1974" i="1"/>
  <c r="Y1966" i="1"/>
  <c r="X1966" i="1"/>
  <c r="W1966" i="1"/>
  <c r="V1966" i="1"/>
  <c r="T1966" i="1"/>
  <c r="U1966" i="1"/>
  <c r="Y1976" i="1"/>
  <c r="X1976" i="1"/>
  <c r="W1976" i="1"/>
  <c r="V1976" i="1"/>
  <c r="U1976" i="1"/>
  <c r="T1976" i="1"/>
  <c r="Y1980" i="1"/>
  <c r="X1980" i="1"/>
  <c r="W1980" i="1"/>
  <c r="V1980" i="1"/>
  <c r="U1980" i="1"/>
  <c r="T1980" i="1"/>
  <c r="R2009" i="1"/>
  <c r="S2009" i="1" s="1"/>
  <c r="R1985" i="1"/>
  <c r="S1985" i="1" s="1"/>
  <c r="R1992" i="1"/>
  <c r="S1992" i="1" s="1"/>
  <c r="R2002" i="1"/>
  <c r="S2002" i="1" s="1"/>
  <c r="R1987" i="1"/>
  <c r="S1987" i="1" s="1"/>
  <c r="R2006" i="1"/>
  <c r="S2006" i="1" s="1"/>
  <c r="R2010" i="1"/>
  <c r="S2010" i="1" s="1"/>
  <c r="R1999" i="1"/>
  <c r="S1999" i="1" s="1"/>
  <c r="R2004" i="1"/>
  <c r="S2004" i="1" s="1"/>
  <c r="R2013" i="1"/>
  <c r="S2013" i="1" s="1"/>
  <c r="R2007" i="1"/>
  <c r="S2007" i="1" s="1"/>
  <c r="R1988" i="1"/>
  <c r="S1988" i="1" s="1"/>
  <c r="R1991" i="1"/>
  <c r="S1991" i="1" s="1"/>
  <c r="R1997" i="1"/>
  <c r="S1997" i="1" s="1"/>
  <c r="R2015" i="1"/>
  <c r="S2015" i="1" s="1"/>
  <c r="R1990" i="1"/>
  <c r="S1990" i="1" s="1"/>
  <c r="R1993" i="1"/>
  <c r="S1993" i="1" s="1"/>
  <c r="R2001" i="1"/>
  <c r="S2001" i="1" s="1"/>
  <c r="R1989" i="1"/>
  <c r="S1989" i="1" s="1"/>
  <c r="R1994" i="1"/>
  <c r="S1994" i="1" s="1"/>
  <c r="R2000" i="1"/>
  <c r="S2000" i="1" s="1"/>
  <c r="R1986" i="1"/>
  <c r="S1986" i="1" s="1"/>
  <c r="R2014" i="1"/>
  <c r="S2014" i="1" s="1"/>
  <c r="R1995" i="1"/>
  <c r="S1995" i="1" s="1"/>
  <c r="R1996" i="1"/>
  <c r="S1996" i="1" s="1"/>
  <c r="R2005" i="1"/>
  <c r="S2005" i="1" s="1"/>
  <c r="R2003" i="1"/>
  <c r="S2003" i="1" s="1"/>
  <c r="R2008" i="1"/>
  <c r="S2008" i="1" s="1"/>
  <c r="R1998" i="1"/>
  <c r="S1998" i="1" s="1"/>
  <c r="R2011" i="1"/>
  <c r="S2011" i="1" s="1"/>
  <c r="R2012" i="1"/>
  <c r="S2012" i="1" s="1"/>
  <c r="R1984" i="1"/>
  <c r="S1984" i="1" s="1"/>
  <c r="G1829" i="1"/>
  <c r="M1829" i="1"/>
  <c r="P1829" i="1"/>
  <c r="G1827" i="1"/>
  <c r="G1828" i="1"/>
  <c r="M1827" i="1"/>
  <c r="M1828" i="1"/>
  <c r="P1827" i="1"/>
  <c r="P1828" i="1"/>
  <c r="G1826" i="1"/>
  <c r="M1826" i="1"/>
  <c r="P1826" i="1"/>
  <c r="R1956" i="1" l="1"/>
  <c r="S1956" i="1" s="1"/>
  <c r="Y1828" i="1"/>
  <c r="X1828" i="1"/>
  <c r="W1828" i="1"/>
  <c r="V1828" i="1"/>
  <c r="U1828" i="1"/>
  <c r="T1828" i="1"/>
  <c r="Y1826" i="1"/>
  <c r="X1826" i="1"/>
  <c r="W1826" i="1"/>
  <c r="V1826" i="1"/>
  <c r="U1826" i="1"/>
  <c r="T1826" i="1"/>
  <c r="Y1829" i="1"/>
  <c r="X1829" i="1"/>
  <c r="W1829" i="1"/>
  <c r="V1829" i="1"/>
  <c r="U1829" i="1"/>
  <c r="T1829" i="1"/>
  <c r="Y1827" i="1"/>
  <c r="X1827" i="1"/>
  <c r="W1827" i="1"/>
  <c r="V1827" i="1"/>
  <c r="U1827" i="1"/>
  <c r="T1827" i="1"/>
  <c r="R1935" i="1"/>
  <c r="S1935" i="1" s="1"/>
  <c r="R1968" i="1"/>
  <c r="S1968" i="1" s="1"/>
  <c r="R1890" i="1"/>
  <c r="S1890" i="1" s="1"/>
  <c r="R1954" i="1"/>
  <c r="S1954" i="1" s="1"/>
  <c r="R1899" i="1"/>
  <c r="S1899" i="1" s="1"/>
  <c r="R1976" i="1"/>
  <c r="S1976" i="1" s="1"/>
  <c r="R1974" i="1"/>
  <c r="S1974" i="1" s="1"/>
  <c r="R1927" i="1"/>
  <c r="S1927" i="1" s="1"/>
  <c r="R1980" i="1"/>
  <c r="S1980" i="1" s="1"/>
  <c r="R1971" i="1"/>
  <c r="S1971" i="1" s="1"/>
  <c r="R1965" i="1"/>
  <c r="S1965" i="1" s="1"/>
  <c r="R1895" i="1"/>
  <c r="S1895" i="1" s="1"/>
  <c r="R1887" i="1"/>
  <c r="S1887" i="1" s="1"/>
  <c r="R1947" i="1"/>
  <c r="S1947" i="1" s="1"/>
  <c r="R1910" i="1"/>
  <c r="S1910" i="1" s="1"/>
  <c r="R1945" i="1"/>
  <c r="S1945" i="1" s="1"/>
  <c r="R1946" i="1"/>
  <c r="S1946" i="1" s="1"/>
  <c r="R1897" i="1"/>
  <c r="S1897" i="1" s="1"/>
  <c r="R1970" i="1"/>
  <c r="S1970" i="1" s="1"/>
  <c r="R1906" i="1"/>
  <c r="S1906" i="1" s="1"/>
  <c r="R1888" i="1"/>
  <c r="S1888" i="1" s="1"/>
  <c r="R1969" i="1"/>
  <c r="S1969" i="1" s="1"/>
  <c r="R1944" i="1"/>
  <c r="S1944" i="1" s="1"/>
  <c r="R1911" i="1"/>
  <c r="S1911" i="1" s="1"/>
  <c r="R1979" i="1"/>
  <c r="S1979" i="1" s="1"/>
  <c r="R1942" i="1"/>
  <c r="S1942" i="1" s="1"/>
  <c r="R1901" i="1"/>
  <c r="S1901" i="1" s="1"/>
  <c r="R1905" i="1"/>
  <c r="S1905" i="1" s="1"/>
  <c r="R1983" i="1"/>
  <c r="S1983" i="1" s="1"/>
  <c r="R1958" i="1"/>
  <c r="S1958" i="1" s="1"/>
  <c r="R1943" i="1"/>
  <c r="S1943" i="1" s="1"/>
  <c r="R1909" i="1"/>
  <c r="S1909" i="1" s="1"/>
  <c r="R1981" i="1"/>
  <c r="S1981" i="1" s="1"/>
  <c r="R1966" i="1"/>
  <c r="S1966" i="1" s="1"/>
  <c r="R1941" i="1"/>
  <c r="S1941" i="1" s="1"/>
  <c r="R1967" i="1"/>
  <c r="S1967" i="1" s="1"/>
  <c r="R1977" i="1"/>
  <c r="S1977" i="1" s="1"/>
  <c r="R1923" i="1"/>
  <c r="S1923" i="1" s="1"/>
  <c r="R1903" i="1"/>
  <c r="S1903" i="1" s="1"/>
  <c r="R1952" i="1"/>
  <c r="S1952" i="1" s="1"/>
  <c r="R1896" i="1"/>
  <c r="S1896" i="1" s="1"/>
  <c r="R1982" i="1"/>
  <c r="S1982" i="1" s="1"/>
  <c r="R1978" i="1"/>
  <c r="S1978" i="1" s="1"/>
  <c r="R1926" i="1"/>
  <c r="S1926" i="1" s="1"/>
  <c r="R1973" i="1"/>
  <c r="S1973" i="1" s="1"/>
  <c r="R1904" i="1"/>
  <c r="S1904" i="1" s="1"/>
  <c r="R1907" i="1"/>
  <c r="S1907" i="1" s="1"/>
  <c r="R1938" i="1"/>
  <c r="S1938" i="1" s="1"/>
  <c r="R1920" i="1"/>
  <c r="S1920" i="1" s="1"/>
  <c r="R1975" i="1"/>
  <c r="S1975" i="1" s="1"/>
  <c r="R1962" i="1"/>
  <c r="S1962" i="1" s="1"/>
  <c r="R1961" i="1"/>
  <c r="S1961" i="1" s="1"/>
  <c r="R1964" i="1"/>
  <c r="S1964" i="1" s="1"/>
  <c r="R1972" i="1"/>
  <c r="S1972" i="1" s="1"/>
  <c r="R1963" i="1"/>
  <c r="S1963" i="1" s="1"/>
  <c r="R1873" i="1"/>
  <c r="S1873" i="1" s="1"/>
  <c r="R1917" i="1"/>
  <c r="S1917" i="1" s="1"/>
  <c r="R1960" i="1"/>
  <c r="S1960" i="1" s="1"/>
  <c r="R1959" i="1"/>
  <c r="S1959" i="1" s="1"/>
  <c r="R1957" i="1"/>
  <c r="S1957" i="1" s="1"/>
  <c r="R1885" i="1"/>
  <c r="S1885" i="1" s="1"/>
  <c r="R1900" i="1"/>
  <c r="S1900" i="1" s="1"/>
  <c r="R1950" i="1"/>
  <c r="S1950" i="1" s="1"/>
  <c r="R1898" i="1"/>
  <c r="S1898" i="1" s="1"/>
  <c r="R1912" i="1"/>
  <c r="S1912" i="1" s="1"/>
  <c r="R1955" i="1"/>
  <c r="S1955" i="1" s="1"/>
  <c r="R1953" i="1"/>
  <c r="S1953" i="1" s="1"/>
  <c r="R1884" i="1"/>
  <c r="S1884" i="1" s="1"/>
  <c r="R1889" i="1"/>
  <c r="S1889" i="1" s="1"/>
  <c r="R1893" i="1"/>
  <c r="S1893" i="1" s="1"/>
  <c r="R1951" i="1"/>
  <c r="S1951" i="1" s="1"/>
  <c r="R1940" i="1"/>
  <c r="S1940" i="1" s="1"/>
  <c r="R1936" i="1"/>
  <c r="S1936" i="1" s="1"/>
  <c r="R1949" i="1"/>
  <c r="S1949" i="1" s="1"/>
  <c r="R1948" i="1"/>
  <c r="S1948" i="1" s="1"/>
  <c r="R1939" i="1"/>
  <c r="S1939" i="1" s="1"/>
  <c r="R1937" i="1"/>
  <c r="S1937" i="1" s="1"/>
  <c r="R1932" i="1"/>
  <c r="S1932" i="1" s="1"/>
  <c r="R1933" i="1"/>
  <c r="S1933" i="1" s="1"/>
  <c r="R1934" i="1"/>
  <c r="S1934" i="1" s="1"/>
  <c r="R1929" i="1"/>
  <c r="S1929" i="1" s="1"/>
  <c r="R1931" i="1"/>
  <c r="S1931" i="1" s="1"/>
  <c r="R1930" i="1"/>
  <c r="S1930" i="1" s="1"/>
  <c r="R1922" i="1"/>
  <c r="S1922" i="1" s="1"/>
  <c r="R1928" i="1"/>
  <c r="S1928" i="1" s="1"/>
  <c r="R1925" i="1"/>
  <c r="S1925" i="1" s="1"/>
  <c r="R1924" i="1"/>
  <c r="S1924" i="1" s="1"/>
  <c r="R1872" i="1"/>
  <c r="S1872" i="1" s="1"/>
  <c r="R1921" i="1"/>
  <c r="S1921" i="1" s="1"/>
  <c r="R1915" i="1"/>
  <c r="S1915" i="1" s="1"/>
  <c r="R1919" i="1"/>
  <c r="S1919" i="1" s="1"/>
  <c r="R1918" i="1"/>
  <c r="S1918" i="1" s="1"/>
  <c r="R1916" i="1"/>
  <c r="S1916" i="1" s="1"/>
  <c r="R1891" i="1"/>
  <c r="S1891" i="1" s="1"/>
  <c r="R1865" i="1"/>
  <c r="S1865" i="1" s="1"/>
  <c r="R1854" i="1"/>
  <c r="S1854" i="1" s="1"/>
  <c r="R1914" i="1"/>
  <c r="S1914" i="1" s="1"/>
  <c r="R1886" i="1"/>
  <c r="S1886" i="1" s="1"/>
  <c r="R1908" i="1"/>
  <c r="S1908" i="1" s="1"/>
  <c r="R1913" i="1"/>
  <c r="S1913" i="1" s="1"/>
  <c r="R1902" i="1"/>
  <c r="S1902" i="1" s="1"/>
  <c r="R1882" i="1"/>
  <c r="S1882" i="1" s="1"/>
  <c r="R1859" i="1"/>
  <c r="S1859" i="1" s="1"/>
  <c r="R1894" i="1"/>
  <c r="S1894" i="1" s="1"/>
  <c r="R1892" i="1"/>
  <c r="S1892" i="1" s="1"/>
  <c r="R1883" i="1"/>
  <c r="S1883" i="1" s="1"/>
  <c r="R1860" i="1"/>
  <c r="S1860" i="1" s="1"/>
  <c r="R1871" i="1"/>
  <c r="S1871" i="1" s="1"/>
  <c r="R1881" i="1"/>
  <c r="S1881" i="1" s="1"/>
  <c r="R1879" i="1"/>
  <c r="S1879" i="1" s="1"/>
  <c r="R1876" i="1"/>
  <c r="S1876" i="1" s="1"/>
  <c r="R1880" i="1"/>
  <c r="S1880" i="1" s="1"/>
  <c r="R1877" i="1"/>
  <c r="S1877" i="1" s="1"/>
  <c r="R1878" i="1"/>
  <c r="S1878" i="1" s="1"/>
  <c r="R1875" i="1"/>
  <c r="S1875" i="1" s="1"/>
  <c r="R1853" i="1"/>
  <c r="S1853" i="1" s="1"/>
  <c r="R1874" i="1"/>
  <c r="S1874" i="1" s="1"/>
  <c r="R1870" i="1"/>
  <c r="S1870" i="1" s="1"/>
  <c r="R1869" i="1"/>
  <c r="S1869" i="1" s="1"/>
  <c r="R1868" i="1"/>
  <c r="S1868" i="1" s="1"/>
  <c r="R1867" i="1"/>
  <c r="S1867" i="1" s="1"/>
  <c r="R1866" i="1"/>
  <c r="S1866" i="1" s="1"/>
  <c r="R1864" i="1"/>
  <c r="S1864" i="1" s="1"/>
  <c r="R1858" i="1"/>
  <c r="S1858" i="1" s="1"/>
  <c r="R1862" i="1"/>
  <c r="S1862" i="1" s="1"/>
  <c r="R1863" i="1"/>
  <c r="S1863" i="1" s="1"/>
  <c r="R1861" i="1"/>
  <c r="S1861" i="1" s="1"/>
  <c r="R1857" i="1"/>
  <c r="S1857" i="1" s="1"/>
  <c r="R1850" i="1"/>
  <c r="S1850" i="1" s="1"/>
  <c r="R1852" i="1"/>
  <c r="S1852" i="1" s="1"/>
  <c r="R1855" i="1"/>
  <c r="S1855" i="1" s="1"/>
  <c r="R1856" i="1"/>
  <c r="S1856" i="1" s="1"/>
  <c r="R1851" i="1"/>
  <c r="S1851" i="1" s="1"/>
  <c r="R1849" i="1"/>
  <c r="S1849" i="1" s="1"/>
  <c r="R1848" i="1"/>
  <c r="S1848" i="1" s="1"/>
  <c r="R1847" i="1"/>
  <c r="S1847" i="1" s="1"/>
  <c r="R1846" i="1"/>
  <c r="S1846" i="1" s="1"/>
  <c r="R1845" i="1"/>
  <c r="S1845" i="1" s="1"/>
  <c r="R1844" i="1"/>
  <c r="S1844" i="1" s="1"/>
  <c r="R1843" i="1"/>
  <c r="S1843" i="1" s="1"/>
  <c r="R1842" i="1"/>
  <c r="S1842" i="1" s="1"/>
  <c r="R1841" i="1"/>
  <c r="S1841" i="1" s="1"/>
  <c r="R1840" i="1"/>
  <c r="S1840" i="1" s="1"/>
  <c r="R1839" i="1"/>
  <c r="S1839" i="1" s="1"/>
  <c r="R1838" i="1"/>
  <c r="S1838" i="1" s="1"/>
  <c r="R1837" i="1"/>
  <c r="S1837" i="1" s="1"/>
  <c r="R1836" i="1"/>
  <c r="S1836" i="1" s="1"/>
  <c r="R1835" i="1"/>
  <c r="S1835" i="1" s="1"/>
  <c r="R1834" i="1"/>
  <c r="S1834" i="1" s="1"/>
  <c r="R1833" i="1"/>
  <c r="S1833" i="1" s="1"/>
  <c r="R1832" i="1"/>
  <c r="S1832" i="1" s="1"/>
  <c r="R1831" i="1"/>
  <c r="S1831" i="1" s="1"/>
  <c r="R1830" i="1"/>
  <c r="S1830" i="1" s="1"/>
  <c r="G1818" i="1"/>
  <c r="G1819" i="1"/>
  <c r="G1820" i="1"/>
  <c r="G1821" i="1"/>
  <c r="G1822" i="1"/>
  <c r="G1823" i="1"/>
  <c r="G1824" i="1"/>
  <c r="G1825" i="1"/>
  <c r="M1818" i="1"/>
  <c r="M1819" i="1"/>
  <c r="M1820" i="1"/>
  <c r="M1821" i="1"/>
  <c r="M1822" i="1"/>
  <c r="M1823" i="1"/>
  <c r="M1824" i="1"/>
  <c r="M1825" i="1"/>
  <c r="P1818" i="1"/>
  <c r="P1819" i="1"/>
  <c r="P1820" i="1"/>
  <c r="P1821" i="1"/>
  <c r="P1822" i="1"/>
  <c r="P1823" i="1"/>
  <c r="P1824" i="1"/>
  <c r="P1825" i="1"/>
  <c r="G1813" i="1"/>
  <c r="G1814" i="1"/>
  <c r="G1815" i="1"/>
  <c r="G1816" i="1"/>
  <c r="G1817" i="1"/>
  <c r="M1813" i="1"/>
  <c r="M1814" i="1"/>
  <c r="M1815" i="1"/>
  <c r="M1816" i="1"/>
  <c r="M1817" i="1"/>
  <c r="P1813" i="1"/>
  <c r="P1814" i="1"/>
  <c r="P1815" i="1"/>
  <c r="P1816" i="1"/>
  <c r="P1817" i="1"/>
  <c r="G1808" i="1"/>
  <c r="G1809" i="1"/>
  <c r="G1810" i="1"/>
  <c r="G1811" i="1"/>
  <c r="G1812" i="1"/>
  <c r="M1808" i="1"/>
  <c r="M1809" i="1"/>
  <c r="M1810" i="1"/>
  <c r="M1811" i="1"/>
  <c r="M1812" i="1"/>
  <c r="P1808" i="1"/>
  <c r="P1809" i="1"/>
  <c r="P1810" i="1"/>
  <c r="P1811" i="1"/>
  <c r="P1812" i="1"/>
  <c r="G1806" i="1"/>
  <c r="G1807" i="1"/>
  <c r="M1806" i="1"/>
  <c r="M1807" i="1"/>
  <c r="P1806" i="1"/>
  <c r="P1807" i="1"/>
  <c r="G1801" i="1"/>
  <c r="G1802" i="1"/>
  <c r="G1803" i="1"/>
  <c r="G1804" i="1"/>
  <c r="G1805" i="1"/>
  <c r="M1801" i="1"/>
  <c r="M1802" i="1"/>
  <c r="M1803" i="1"/>
  <c r="M1804" i="1"/>
  <c r="M1805" i="1"/>
  <c r="P1801" i="1"/>
  <c r="P1802" i="1"/>
  <c r="P1803" i="1"/>
  <c r="P1804" i="1"/>
  <c r="P1805" i="1"/>
  <c r="G1798" i="1"/>
  <c r="G1799" i="1"/>
  <c r="G1800" i="1"/>
  <c r="M1798" i="1"/>
  <c r="M1799" i="1"/>
  <c r="M1800" i="1"/>
  <c r="P1798" i="1"/>
  <c r="P1799" i="1"/>
  <c r="P1800" i="1"/>
  <c r="G1795" i="1"/>
  <c r="G1796" i="1"/>
  <c r="G1797" i="1"/>
  <c r="M1795" i="1"/>
  <c r="M1796" i="1"/>
  <c r="M1797" i="1"/>
  <c r="P1795" i="1"/>
  <c r="P1796" i="1"/>
  <c r="P1797" i="1"/>
  <c r="G1794" i="1"/>
  <c r="M1794" i="1"/>
  <c r="P1794" i="1"/>
  <c r="G1793" i="1"/>
  <c r="M1793" i="1"/>
  <c r="P1793" i="1"/>
  <c r="G1792" i="1"/>
  <c r="M1792" i="1"/>
  <c r="P1792" i="1"/>
  <c r="G1790" i="1"/>
  <c r="G1791" i="1"/>
  <c r="M1790" i="1"/>
  <c r="M1791" i="1"/>
  <c r="P1790" i="1"/>
  <c r="P1791" i="1"/>
  <c r="G1786" i="1"/>
  <c r="G1787" i="1"/>
  <c r="G1788" i="1"/>
  <c r="G1789" i="1"/>
  <c r="M1786" i="1"/>
  <c r="M1787" i="1"/>
  <c r="M1788" i="1"/>
  <c r="M1789" i="1"/>
  <c r="P1786" i="1"/>
  <c r="P1787" i="1"/>
  <c r="P1788" i="1"/>
  <c r="P1789" i="1"/>
  <c r="G1783" i="1"/>
  <c r="G1784" i="1"/>
  <c r="G1785" i="1"/>
  <c r="M1783" i="1"/>
  <c r="M1784" i="1"/>
  <c r="M1785" i="1"/>
  <c r="P1783" i="1"/>
  <c r="P1784" i="1"/>
  <c r="P1785" i="1"/>
  <c r="G1778" i="1"/>
  <c r="G1779" i="1"/>
  <c r="G1780" i="1"/>
  <c r="G1781" i="1"/>
  <c r="G1782" i="1"/>
  <c r="M1778" i="1"/>
  <c r="M1779" i="1"/>
  <c r="M1780" i="1"/>
  <c r="M1781" i="1"/>
  <c r="M1782" i="1"/>
  <c r="P1778" i="1"/>
  <c r="P1779" i="1"/>
  <c r="P1780" i="1"/>
  <c r="P1781" i="1"/>
  <c r="P1782" i="1"/>
  <c r="G1776" i="1"/>
  <c r="G1777" i="1"/>
  <c r="M1776" i="1"/>
  <c r="M1777" i="1"/>
  <c r="P1776" i="1"/>
  <c r="P1777" i="1"/>
  <c r="G1772" i="1"/>
  <c r="G1773" i="1"/>
  <c r="G1774" i="1"/>
  <c r="G1775" i="1"/>
  <c r="M1772" i="1"/>
  <c r="M1773" i="1"/>
  <c r="M1774" i="1"/>
  <c r="M1775" i="1"/>
  <c r="P1772" i="1"/>
  <c r="P1773" i="1"/>
  <c r="P1774" i="1"/>
  <c r="P1775" i="1"/>
  <c r="G1767" i="1"/>
  <c r="G1768" i="1"/>
  <c r="G1769" i="1"/>
  <c r="G1770" i="1"/>
  <c r="G1771" i="1"/>
  <c r="M1767" i="1"/>
  <c r="M1768" i="1"/>
  <c r="M1769" i="1"/>
  <c r="M1770" i="1"/>
  <c r="M1771" i="1"/>
  <c r="P1767" i="1"/>
  <c r="P1768" i="1"/>
  <c r="P1769" i="1"/>
  <c r="P1770" i="1"/>
  <c r="P1771" i="1"/>
  <c r="G1764" i="1"/>
  <c r="G1765" i="1"/>
  <c r="G1766" i="1"/>
  <c r="M1764" i="1"/>
  <c r="M1765" i="1"/>
  <c r="M1766" i="1"/>
  <c r="P1764" i="1"/>
  <c r="P1765" i="1"/>
  <c r="P1766" i="1"/>
  <c r="G1761" i="1"/>
  <c r="G1762" i="1"/>
  <c r="G1763" i="1"/>
  <c r="M1761" i="1"/>
  <c r="M1762" i="1"/>
  <c r="M1763" i="1"/>
  <c r="P1761" i="1"/>
  <c r="P1762" i="1"/>
  <c r="P1763" i="1"/>
  <c r="G1758" i="1"/>
  <c r="G1759" i="1"/>
  <c r="G1760" i="1"/>
  <c r="M1758" i="1"/>
  <c r="M1759" i="1"/>
  <c r="M1760" i="1"/>
  <c r="P1758" i="1"/>
  <c r="P1759" i="1"/>
  <c r="P1760" i="1"/>
  <c r="G1756" i="1"/>
  <c r="G1757" i="1"/>
  <c r="M1756" i="1"/>
  <c r="M1757" i="1"/>
  <c r="P1756" i="1"/>
  <c r="P1757" i="1"/>
  <c r="G1753" i="1"/>
  <c r="G1754" i="1"/>
  <c r="G1755" i="1"/>
  <c r="M1753" i="1"/>
  <c r="M1754" i="1"/>
  <c r="M1755" i="1"/>
  <c r="P1753" i="1"/>
  <c r="P1754" i="1"/>
  <c r="P1755" i="1"/>
  <c r="G1752" i="1"/>
  <c r="M1752" i="1"/>
  <c r="P1752" i="1"/>
  <c r="G1750" i="1"/>
  <c r="G1751" i="1"/>
  <c r="M1750" i="1"/>
  <c r="M1751" i="1"/>
  <c r="P1750" i="1"/>
  <c r="P1751" i="1"/>
  <c r="G1749" i="1"/>
  <c r="M1749" i="1"/>
  <c r="P1749" i="1"/>
  <c r="G1748" i="1"/>
  <c r="M1748" i="1"/>
  <c r="P1748" i="1"/>
  <c r="G1747" i="1"/>
  <c r="M1747" i="1"/>
  <c r="P1747" i="1"/>
  <c r="G1746" i="1"/>
  <c r="M1746" i="1"/>
  <c r="P1746" i="1"/>
  <c r="G1745" i="1"/>
  <c r="M1745" i="1"/>
  <c r="P1745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G1744" i="1"/>
  <c r="M1744" i="1"/>
  <c r="P1744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G1730" i="1"/>
  <c r="M1730" i="1"/>
  <c r="P1730" i="1"/>
  <c r="G1729" i="1"/>
  <c r="M1729" i="1"/>
  <c r="P1729" i="1"/>
  <c r="G1728" i="1"/>
  <c r="M1728" i="1"/>
  <c r="P1728" i="1"/>
  <c r="G1727" i="1"/>
  <c r="M1727" i="1"/>
  <c r="P1727" i="1"/>
  <c r="G1726" i="1"/>
  <c r="M1726" i="1"/>
  <c r="P1726" i="1"/>
  <c r="G1725" i="1"/>
  <c r="M1725" i="1"/>
  <c r="P1725" i="1"/>
  <c r="G1724" i="1"/>
  <c r="M1724" i="1"/>
  <c r="P1724" i="1"/>
  <c r="O1718" i="1"/>
  <c r="O1719" i="1"/>
  <c r="O1720" i="1"/>
  <c r="O1721" i="1"/>
  <c r="O1722" i="1"/>
  <c r="O1723" i="1"/>
  <c r="G1723" i="1"/>
  <c r="M1723" i="1"/>
  <c r="P1723" i="1"/>
  <c r="G1722" i="1"/>
  <c r="M1722" i="1"/>
  <c r="P1722" i="1"/>
  <c r="G1721" i="1"/>
  <c r="M1721" i="1"/>
  <c r="P1721" i="1"/>
  <c r="G1720" i="1"/>
  <c r="M1720" i="1"/>
  <c r="P1720" i="1"/>
  <c r="G1719" i="1"/>
  <c r="M1719" i="1"/>
  <c r="P1719" i="1"/>
  <c r="G1718" i="1"/>
  <c r="M1718" i="1"/>
  <c r="P1718" i="1"/>
  <c r="O1715" i="1"/>
  <c r="O1716" i="1"/>
  <c r="O1717" i="1"/>
  <c r="G1716" i="1"/>
  <c r="G1717" i="1"/>
  <c r="M1716" i="1"/>
  <c r="M1717" i="1"/>
  <c r="P1716" i="1"/>
  <c r="P1717" i="1"/>
  <c r="G1715" i="1"/>
  <c r="M1715" i="1"/>
  <c r="P1715" i="1"/>
  <c r="O1705" i="1"/>
  <c r="O1706" i="1"/>
  <c r="O1707" i="1"/>
  <c r="O1708" i="1"/>
  <c r="O1709" i="1"/>
  <c r="O1710" i="1"/>
  <c r="O1711" i="1"/>
  <c r="O1712" i="1"/>
  <c r="O1713" i="1"/>
  <c r="O1714" i="1"/>
  <c r="G1709" i="1"/>
  <c r="G1710" i="1"/>
  <c r="G1711" i="1"/>
  <c r="G1712" i="1"/>
  <c r="G1713" i="1"/>
  <c r="G1714" i="1"/>
  <c r="M1709" i="1"/>
  <c r="M1710" i="1"/>
  <c r="M1711" i="1"/>
  <c r="M1712" i="1"/>
  <c r="M1713" i="1"/>
  <c r="M1714" i="1"/>
  <c r="P1709" i="1"/>
  <c r="P1710" i="1"/>
  <c r="P1711" i="1"/>
  <c r="P1712" i="1"/>
  <c r="P1713" i="1"/>
  <c r="P1714" i="1"/>
  <c r="G1708" i="1"/>
  <c r="M1708" i="1"/>
  <c r="P1708" i="1"/>
  <c r="G1707" i="1"/>
  <c r="M1707" i="1"/>
  <c r="P1707" i="1"/>
  <c r="G1706" i="1"/>
  <c r="M1706" i="1"/>
  <c r="P1706" i="1"/>
  <c r="G1705" i="1"/>
  <c r="M1705" i="1"/>
  <c r="P1705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G1704" i="1"/>
  <c r="P1704" i="1"/>
  <c r="G1703" i="1"/>
  <c r="P1703" i="1"/>
  <c r="G1702" i="1"/>
  <c r="P1702" i="1"/>
  <c r="G1701" i="1"/>
  <c r="P1701" i="1"/>
  <c r="G1700" i="1"/>
  <c r="P1700" i="1"/>
  <c r="G1699" i="1"/>
  <c r="P1699" i="1"/>
  <c r="G1698" i="1"/>
  <c r="P1698" i="1"/>
  <c r="G1697" i="1"/>
  <c r="P1697" i="1"/>
  <c r="G1696" i="1"/>
  <c r="P1696" i="1"/>
  <c r="G1695" i="1"/>
  <c r="P1695" i="1"/>
  <c r="G1689" i="1"/>
  <c r="G1690" i="1"/>
  <c r="G1691" i="1"/>
  <c r="G1692" i="1"/>
  <c r="G1693" i="1"/>
  <c r="G1694" i="1"/>
  <c r="P1689" i="1"/>
  <c r="P1690" i="1"/>
  <c r="P1691" i="1"/>
  <c r="P1692" i="1"/>
  <c r="P1693" i="1"/>
  <c r="P1694" i="1"/>
  <c r="G1688" i="1"/>
  <c r="P1688" i="1"/>
  <c r="G1687" i="1"/>
  <c r="P1687" i="1"/>
  <c r="G1686" i="1"/>
  <c r="P1686" i="1"/>
  <c r="G1685" i="1"/>
  <c r="P1685" i="1"/>
  <c r="G1684" i="1"/>
  <c r="P1684" i="1"/>
  <c r="G1683" i="1"/>
  <c r="P1683" i="1"/>
  <c r="G1682" i="1"/>
  <c r="P1682" i="1"/>
  <c r="Y1699" i="1" l="1"/>
  <c r="X1699" i="1"/>
  <c r="W1699" i="1"/>
  <c r="V1699" i="1"/>
  <c r="U1699" i="1"/>
  <c r="T1699" i="1"/>
  <c r="Y1635" i="1"/>
  <c r="X1635" i="1"/>
  <c r="W1635" i="1"/>
  <c r="V1635" i="1"/>
  <c r="U1635" i="1"/>
  <c r="T1635" i="1"/>
  <c r="Y1587" i="1"/>
  <c r="W1587" i="1"/>
  <c r="X1587" i="1"/>
  <c r="V1587" i="1"/>
  <c r="U1587" i="1"/>
  <c r="T1587" i="1"/>
  <c r="Y1523" i="1"/>
  <c r="X1523" i="1"/>
  <c r="W1523" i="1"/>
  <c r="V1523" i="1"/>
  <c r="U1523" i="1"/>
  <c r="T1523" i="1"/>
  <c r="Y1459" i="1"/>
  <c r="X1459" i="1"/>
  <c r="W1459" i="1"/>
  <c r="V1459" i="1"/>
  <c r="U1459" i="1"/>
  <c r="T1459" i="1"/>
  <c r="Y1403" i="1"/>
  <c r="X1403" i="1"/>
  <c r="W1403" i="1"/>
  <c r="V1403" i="1"/>
  <c r="U1403" i="1"/>
  <c r="T1403" i="1"/>
  <c r="Y1339" i="1"/>
  <c r="W1339" i="1"/>
  <c r="X1339" i="1"/>
  <c r="V1339" i="1"/>
  <c r="U1339" i="1"/>
  <c r="T1339" i="1"/>
  <c r="Y1291" i="1"/>
  <c r="X1291" i="1"/>
  <c r="W1291" i="1"/>
  <c r="V1291" i="1"/>
  <c r="U1291" i="1"/>
  <c r="T1291" i="1"/>
  <c r="Y1227" i="1"/>
  <c r="X1227" i="1"/>
  <c r="W1227" i="1"/>
  <c r="V1227" i="1"/>
  <c r="U1227" i="1"/>
  <c r="T1227" i="1"/>
  <c r="Y1163" i="1"/>
  <c r="X1163" i="1"/>
  <c r="W1163" i="1"/>
  <c r="V1163" i="1"/>
  <c r="U1163" i="1"/>
  <c r="T1163" i="1"/>
  <c r="Y1115" i="1"/>
  <c r="X1115" i="1"/>
  <c r="W1115" i="1"/>
  <c r="V1115" i="1"/>
  <c r="U1115" i="1"/>
  <c r="T1115" i="1"/>
  <c r="Y1059" i="1"/>
  <c r="X1059" i="1"/>
  <c r="W1059" i="1"/>
  <c r="V1059" i="1"/>
  <c r="U1059" i="1"/>
  <c r="T1059" i="1"/>
  <c r="Y1003" i="1"/>
  <c r="X1003" i="1"/>
  <c r="W1003" i="1"/>
  <c r="V1003" i="1"/>
  <c r="U1003" i="1"/>
  <c r="T1003" i="1"/>
  <c r="Y931" i="1"/>
  <c r="X931" i="1"/>
  <c r="W931" i="1"/>
  <c r="V931" i="1"/>
  <c r="U931" i="1"/>
  <c r="T931" i="1"/>
  <c r="Y867" i="1"/>
  <c r="X867" i="1"/>
  <c r="W867" i="1"/>
  <c r="V867" i="1"/>
  <c r="U867" i="1"/>
  <c r="T867" i="1"/>
  <c r="Y803" i="1"/>
  <c r="X803" i="1"/>
  <c r="W803" i="1"/>
  <c r="V803" i="1"/>
  <c r="U803" i="1"/>
  <c r="T803" i="1"/>
  <c r="Y739" i="1"/>
  <c r="X739" i="1"/>
  <c r="W739" i="1"/>
  <c r="V739" i="1"/>
  <c r="U739" i="1"/>
  <c r="T739" i="1"/>
  <c r="Y691" i="1"/>
  <c r="X691" i="1"/>
  <c r="W691" i="1"/>
  <c r="V691" i="1"/>
  <c r="U691" i="1"/>
  <c r="T691" i="1"/>
  <c r="Y627" i="1"/>
  <c r="X627" i="1"/>
  <c r="W627" i="1"/>
  <c r="V627" i="1"/>
  <c r="U627" i="1"/>
  <c r="T627" i="1"/>
  <c r="Y571" i="1"/>
  <c r="W571" i="1"/>
  <c r="X571" i="1"/>
  <c r="V571" i="1"/>
  <c r="U571" i="1"/>
  <c r="T571" i="1"/>
  <c r="Y507" i="1"/>
  <c r="X507" i="1"/>
  <c r="W507" i="1"/>
  <c r="V507" i="1"/>
  <c r="U507" i="1"/>
  <c r="T507" i="1"/>
  <c r="Y459" i="1"/>
  <c r="X459" i="1"/>
  <c r="W459" i="1"/>
  <c r="V459" i="1"/>
  <c r="U459" i="1"/>
  <c r="T459" i="1"/>
  <c r="Y395" i="1"/>
  <c r="X395" i="1"/>
  <c r="W395" i="1"/>
  <c r="V395" i="1"/>
  <c r="U395" i="1"/>
  <c r="T395" i="1"/>
  <c r="Y323" i="1"/>
  <c r="X323" i="1"/>
  <c r="W323" i="1"/>
  <c r="V323" i="1"/>
  <c r="U323" i="1"/>
  <c r="T323" i="1"/>
  <c r="Y267" i="1"/>
  <c r="X267" i="1"/>
  <c r="W267" i="1"/>
  <c r="V267" i="1"/>
  <c r="U267" i="1"/>
  <c r="T267" i="1"/>
  <c r="Y195" i="1"/>
  <c r="X195" i="1"/>
  <c r="W195" i="1"/>
  <c r="V195" i="1"/>
  <c r="U195" i="1"/>
  <c r="T195" i="1"/>
  <c r="Y139" i="1"/>
  <c r="X139" i="1"/>
  <c r="W139" i="1"/>
  <c r="V139" i="1"/>
  <c r="U139" i="1"/>
  <c r="T139" i="1"/>
  <c r="Y75" i="1"/>
  <c r="X75" i="1"/>
  <c r="W75" i="1"/>
  <c r="V75" i="1"/>
  <c r="U75" i="1"/>
  <c r="T75" i="1"/>
  <c r="Y27" i="1"/>
  <c r="X27" i="1"/>
  <c r="W27" i="1"/>
  <c r="V27" i="1"/>
  <c r="U27" i="1"/>
  <c r="T27" i="1"/>
  <c r="Y1706" i="1"/>
  <c r="X1706" i="1"/>
  <c r="W1706" i="1"/>
  <c r="V1706" i="1"/>
  <c r="U1706" i="1"/>
  <c r="T1706" i="1"/>
  <c r="Y1712" i="1"/>
  <c r="X1712" i="1"/>
  <c r="W1712" i="1"/>
  <c r="V1712" i="1"/>
  <c r="U1712" i="1"/>
  <c r="T1712" i="1"/>
  <c r="Y1729" i="1"/>
  <c r="X1729" i="1"/>
  <c r="W1729" i="1"/>
  <c r="V1729" i="1"/>
  <c r="U1729" i="1"/>
  <c r="T1729" i="1"/>
  <c r="Y1746" i="1"/>
  <c r="X1746" i="1"/>
  <c r="W1746" i="1"/>
  <c r="V1746" i="1"/>
  <c r="U1746" i="1"/>
  <c r="T1746" i="1"/>
  <c r="Y1754" i="1"/>
  <c r="X1754" i="1"/>
  <c r="W1754" i="1"/>
  <c r="V1754" i="1"/>
  <c r="U1754" i="1"/>
  <c r="T1754" i="1"/>
  <c r="Y1756" i="1"/>
  <c r="X1756" i="1"/>
  <c r="W1756" i="1"/>
  <c r="V1756" i="1"/>
  <c r="U1756" i="1"/>
  <c r="T1756" i="1"/>
  <c r="Y1758" i="1"/>
  <c r="X1758" i="1"/>
  <c r="W1758" i="1"/>
  <c r="V1758" i="1"/>
  <c r="U1758" i="1"/>
  <c r="T1758" i="1"/>
  <c r="Y1762" i="1"/>
  <c r="X1762" i="1"/>
  <c r="W1762" i="1"/>
  <c r="V1762" i="1"/>
  <c r="U1762" i="1"/>
  <c r="T1762" i="1"/>
  <c r="Y1766" i="1"/>
  <c r="X1766" i="1"/>
  <c r="W1766" i="1"/>
  <c r="V1766" i="1"/>
  <c r="U1766" i="1"/>
  <c r="T1766" i="1"/>
  <c r="Y1778" i="1"/>
  <c r="X1778" i="1"/>
  <c r="W1778" i="1"/>
  <c r="V1778" i="1"/>
  <c r="U1778" i="1"/>
  <c r="T1778" i="1"/>
  <c r="Y1794" i="1"/>
  <c r="X1794" i="1"/>
  <c r="W1794" i="1"/>
  <c r="V1794" i="1"/>
  <c r="U1794" i="1"/>
  <c r="T1794" i="1"/>
  <c r="Y1798" i="1"/>
  <c r="X1798" i="1"/>
  <c r="W1798" i="1"/>
  <c r="V1798" i="1"/>
  <c r="U1798" i="1"/>
  <c r="T1798" i="1"/>
  <c r="Y1810" i="1"/>
  <c r="X1810" i="1"/>
  <c r="W1810" i="1"/>
  <c r="V1810" i="1"/>
  <c r="U1810" i="1"/>
  <c r="T1810" i="1"/>
  <c r="Y1814" i="1"/>
  <c r="X1814" i="1"/>
  <c r="W1814" i="1"/>
  <c r="V1814" i="1"/>
  <c r="U1814" i="1"/>
  <c r="T1814" i="1"/>
  <c r="Y1824" i="1"/>
  <c r="X1824" i="1"/>
  <c r="W1824" i="1"/>
  <c r="V1824" i="1"/>
  <c r="U1824" i="1"/>
  <c r="T1824" i="1"/>
  <c r="Y1651" i="1"/>
  <c r="W1651" i="1"/>
  <c r="X1651" i="1"/>
  <c r="V1651" i="1"/>
  <c r="U1651" i="1"/>
  <c r="T1651" i="1"/>
  <c r="Y1579" i="1"/>
  <c r="X1579" i="1"/>
  <c r="W1579" i="1"/>
  <c r="V1579" i="1"/>
  <c r="U1579" i="1"/>
  <c r="T1579" i="1"/>
  <c r="Y1515" i="1"/>
  <c r="X1515" i="1"/>
  <c r="W1515" i="1"/>
  <c r="V1515" i="1"/>
  <c r="U1515" i="1"/>
  <c r="T1515" i="1"/>
  <c r="Y1435" i="1"/>
  <c r="X1435" i="1"/>
  <c r="W1435" i="1"/>
  <c r="V1435" i="1"/>
  <c r="U1435" i="1"/>
  <c r="T1435" i="1"/>
  <c r="Y1371" i="1"/>
  <c r="X1371" i="1"/>
  <c r="W1371" i="1"/>
  <c r="V1371" i="1"/>
  <c r="U1371" i="1"/>
  <c r="T1371" i="1"/>
  <c r="Y1315" i="1"/>
  <c r="X1315" i="1"/>
  <c r="W1315" i="1"/>
  <c r="V1315" i="1"/>
  <c r="U1315" i="1"/>
  <c r="T1315" i="1"/>
  <c r="Y1235" i="1"/>
  <c r="X1235" i="1"/>
  <c r="W1235" i="1"/>
  <c r="V1235" i="1"/>
  <c r="U1235" i="1"/>
  <c r="T1235" i="1"/>
  <c r="Y1171" i="1"/>
  <c r="W1171" i="1"/>
  <c r="X1171" i="1"/>
  <c r="V1171" i="1"/>
  <c r="U1171" i="1"/>
  <c r="T1171" i="1"/>
  <c r="Y1099" i="1"/>
  <c r="X1099" i="1"/>
  <c r="W1099" i="1"/>
  <c r="V1099" i="1"/>
  <c r="U1099" i="1"/>
  <c r="T1099" i="1"/>
  <c r="Y1027" i="1"/>
  <c r="X1027" i="1"/>
  <c r="W1027" i="1"/>
  <c r="V1027" i="1"/>
  <c r="U1027" i="1"/>
  <c r="T1027" i="1"/>
  <c r="Y971" i="1"/>
  <c r="X971" i="1"/>
  <c r="W971" i="1"/>
  <c r="V971" i="1"/>
  <c r="U971" i="1"/>
  <c r="T971" i="1"/>
  <c r="Y899" i="1"/>
  <c r="X899" i="1"/>
  <c r="W899" i="1"/>
  <c r="V899" i="1"/>
  <c r="U899" i="1"/>
  <c r="T899" i="1"/>
  <c r="Y835" i="1"/>
  <c r="X835" i="1"/>
  <c r="W835" i="1"/>
  <c r="V835" i="1"/>
  <c r="U835" i="1"/>
  <c r="T835" i="1"/>
  <c r="Y763" i="1"/>
  <c r="X763" i="1"/>
  <c r="W763" i="1"/>
  <c r="V763" i="1"/>
  <c r="U763" i="1"/>
  <c r="T763" i="1"/>
  <c r="Y683" i="1"/>
  <c r="X683" i="1"/>
  <c r="W683" i="1"/>
  <c r="V683" i="1"/>
  <c r="U683" i="1"/>
  <c r="T683" i="1"/>
  <c r="Y619" i="1"/>
  <c r="X619" i="1"/>
  <c r="W619" i="1"/>
  <c r="V619" i="1"/>
  <c r="U619" i="1"/>
  <c r="T619" i="1"/>
  <c r="Y555" i="1"/>
  <c r="X555" i="1"/>
  <c r="W555" i="1"/>
  <c r="V555" i="1"/>
  <c r="U555" i="1"/>
  <c r="T555" i="1"/>
  <c r="Y499" i="1"/>
  <c r="X499" i="1"/>
  <c r="W499" i="1"/>
  <c r="V499" i="1"/>
  <c r="U499" i="1"/>
  <c r="T499" i="1"/>
  <c r="Y427" i="1"/>
  <c r="X427" i="1"/>
  <c r="W427" i="1"/>
  <c r="V427" i="1"/>
  <c r="U427" i="1"/>
  <c r="T427" i="1"/>
  <c r="Y355" i="1"/>
  <c r="X355" i="1"/>
  <c r="W355" i="1"/>
  <c r="V355" i="1"/>
  <c r="U355" i="1"/>
  <c r="T355" i="1"/>
  <c r="Y291" i="1"/>
  <c r="X291" i="1"/>
  <c r="W291" i="1"/>
  <c r="V291" i="1"/>
  <c r="U291" i="1"/>
  <c r="T291" i="1"/>
  <c r="Y235" i="1"/>
  <c r="X235" i="1"/>
  <c r="W235" i="1"/>
  <c r="V235" i="1"/>
  <c r="U235" i="1"/>
  <c r="T235" i="1"/>
  <c r="Y163" i="1"/>
  <c r="X163" i="1"/>
  <c r="W163" i="1"/>
  <c r="V163" i="1"/>
  <c r="U163" i="1"/>
  <c r="T163" i="1"/>
  <c r="Y91" i="1"/>
  <c r="X91" i="1"/>
  <c r="W91" i="1"/>
  <c r="V91" i="1"/>
  <c r="U91" i="1"/>
  <c r="T91" i="1"/>
  <c r="Y19" i="1"/>
  <c r="X19" i="1"/>
  <c r="W19" i="1"/>
  <c r="V19" i="1"/>
  <c r="U19" i="1"/>
  <c r="T19" i="1"/>
  <c r="Y1723" i="1"/>
  <c r="X1723" i="1"/>
  <c r="W1723" i="1"/>
  <c r="V1723" i="1"/>
  <c r="U1723" i="1"/>
  <c r="T1723" i="1"/>
  <c r="Y1698" i="1"/>
  <c r="X1698" i="1"/>
  <c r="W1698" i="1"/>
  <c r="V1698" i="1"/>
  <c r="U1698" i="1"/>
  <c r="T1698" i="1"/>
  <c r="Y1690" i="1"/>
  <c r="X1690" i="1"/>
  <c r="W1690" i="1"/>
  <c r="V1690" i="1"/>
  <c r="U1690" i="1"/>
  <c r="T1690" i="1"/>
  <c r="Y1682" i="1"/>
  <c r="X1682" i="1"/>
  <c r="W1682" i="1"/>
  <c r="V1682" i="1"/>
  <c r="U1682" i="1"/>
  <c r="T1682" i="1"/>
  <c r="Y1674" i="1"/>
  <c r="X1674" i="1"/>
  <c r="W1674" i="1"/>
  <c r="V1674" i="1"/>
  <c r="U1674" i="1"/>
  <c r="T1674" i="1"/>
  <c r="Y1666" i="1"/>
  <c r="X1666" i="1"/>
  <c r="W1666" i="1"/>
  <c r="V1666" i="1"/>
  <c r="U1666" i="1"/>
  <c r="T1666" i="1"/>
  <c r="Y1658" i="1"/>
  <c r="X1658" i="1"/>
  <c r="W1658" i="1"/>
  <c r="V1658" i="1"/>
  <c r="U1658" i="1"/>
  <c r="T1658" i="1"/>
  <c r="Y1650" i="1"/>
  <c r="X1650" i="1"/>
  <c r="W1650" i="1"/>
  <c r="V1650" i="1"/>
  <c r="U1650" i="1"/>
  <c r="T1650" i="1"/>
  <c r="Y1642" i="1"/>
  <c r="X1642" i="1"/>
  <c r="W1642" i="1"/>
  <c r="V1642" i="1"/>
  <c r="U1642" i="1"/>
  <c r="T1642" i="1"/>
  <c r="Y1634" i="1"/>
  <c r="X1634" i="1"/>
  <c r="W1634" i="1"/>
  <c r="V1634" i="1"/>
  <c r="U1634" i="1"/>
  <c r="T1634" i="1"/>
  <c r="Y1626" i="1"/>
  <c r="X1626" i="1"/>
  <c r="W1626" i="1"/>
  <c r="V1626" i="1"/>
  <c r="U1626" i="1"/>
  <c r="T1626" i="1"/>
  <c r="Y1618" i="1"/>
  <c r="X1618" i="1"/>
  <c r="W1618" i="1"/>
  <c r="V1618" i="1"/>
  <c r="U1618" i="1"/>
  <c r="T1618" i="1"/>
  <c r="Y1610" i="1"/>
  <c r="X1610" i="1"/>
  <c r="W1610" i="1"/>
  <c r="V1610" i="1"/>
  <c r="U1610" i="1"/>
  <c r="T1610" i="1"/>
  <c r="Y1602" i="1"/>
  <c r="X1602" i="1"/>
  <c r="W1602" i="1"/>
  <c r="V1602" i="1"/>
  <c r="U1602" i="1"/>
  <c r="T1602" i="1"/>
  <c r="Y1594" i="1"/>
  <c r="X1594" i="1"/>
  <c r="W1594" i="1"/>
  <c r="V1594" i="1"/>
  <c r="U1594" i="1"/>
  <c r="T1594" i="1"/>
  <c r="Y1586" i="1"/>
  <c r="X1586" i="1"/>
  <c r="W1586" i="1"/>
  <c r="V1586" i="1"/>
  <c r="U1586" i="1"/>
  <c r="T1586" i="1"/>
  <c r="Y1578" i="1"/>
  <c r="X1578" i="1"/>
  <c r="W1578" i="1"/>
  <c r="V1578" i="1"/>
  <c r="U1578" i="1"/>
  <c r="T1578" i="1"/>
  <c r="Y1570" i="1"/>
  <c r="X1570" i="1"/>
  <c r="W1570" i="1"/>
  <c r="V1570" i="1"/>
  <c r="U1570" i="1"/>
  <c r="T1570" i="1"/>
  <c r="Y1562" i="1"/>
  <c r="X1562" i="1"/>
  <c r="W1562" i="1"/>
  <c r="V1562" i="1"/>
  <c r="U1562" i="1"/>
  <c r="T1562" i="1"/>
  <c r="Y1554" i="1"/>
  <c r="X1554" i="1"/>
  <c r="W1554" i="1"/>
  <c r="V1554" i="1"/>
  <c r="U1554" i="1"/>
  <c r="T1554" i="1"/>
  <c r="Y1546" i="1"/>
  <c r="X1546" i="1"/>
  <c r="W1546" i="1"/>
  <c r="V1546" i="1"/>
  <c r="U1546" i="1"/>
  <c r="T1546" i="1"/>
  <c r="Y1538" i="1"/>
  <c r="X1538" i="1"/>
  <c r="W1538" i="1"/>
  <c r="V1538" i="1"/>
  <c r="U1538" i="1"/>
  <c r="T1538" i="1"/>
  <c r="Y1530" i="1"/>
  <c r="X1530" i="1"/>
  <c r="W1530" i="1"/>
  <c r="V1530" i="1"/>
  <c r="U1530" i="1"/>
  <c r="T1530" i="1"/>
  <c r="Y1522" i="1"/>
  <c r="X1522" i="1"/>
  <c r="W1522" i="1"/>
  <c r="V1522" i="1"/>
  <c r="U1522" i="1"/>
  <c r="T1522" i="1"/>
  <c r="Y1514" i="1"/>
  <c r="X1514" i="1"/>
  <c r="W1514" i="1"/>
  <c r="V1514" i="1"/>
  <c r="U1514" i="1"/>
  <c r="T1514" i="1"/>
  <c r="Y1506" i="1"/>
  <c r="X1506" i="1"/>
  <c r="W1506" i="1"/>
  <c r="V1506" i="1"/>
  <c r="U1506" i="1"/>
  <c r="T1506" i="1"/>
  <c r="Y1498" i="1"/>
  <c r="X1498" i="1"/>
  <c r="W1498" i="1"/>
  <c r="V1498" i="1"/>
  <c r="U1498" i="1"/>
  <c r="T1498" i="1"/>
  <c r="Y1490" i="1"/>
  <c r="X1490" i="1"/>
  <c r="W1490" i="1"/>
  <c r="V1490" i="1"/>
  <c r="U1490" i="1"/>
  <c r="T1490" i="1"/>
  <c r="Y1482" i="1"/>
  <c r="X1482" i="1"/>
  <c r="W1482" i="1"/>
  <c r="V1482" i="1"/>
  <c r="U1482" i="1"/>
  <c r="T1482" i="1"/>
  <c r="Y1474" i="1"/>
  <c r="X1474" i="1"/>
  <c r="W1474" i="1"/>
  <c r="V1474" i="1"/>
  <c r="U1474" i="1"/>
  <c r="T1474" i="1"/>
  <c r="Y1466" i="1"/>
  <c r="X1466" i="1"/>
  <c r="W1466" i="1"/>
  <c r="V1466" i="1"/>
  <c r="U1466" i="1"/>
  <c r="T1466" i="1"/>
  <c r="Y1458" i="1"/>
  <c r="X1458" i="1"/>
  <c r="W1458" i="1"/>
  <c r="V1458" i="1"/>
  <c r="U1458" i="1"/>
  <c r="T1458" i="1"/>
  <c r="Y1450" i="1"/>
  <c r="X1450" i="1"/>
  <c r="W1450" i="1"/>
  <c r="V1450" i="1"/>
  <c r="U1450" i="1"/>
  <c r="T1450" i="1"/>
  <c r="Y1442" i="1"/>
  <c r="X1442" i="1"/>
  <c r="W1442" i="1"/>
  <c r="V1442" i="1"/>
  <c r="U1442" i="1"/>
  <c r="T1442" i="1"/>
  <c r="Y1434" i="1"/>
  <c r="X1434" i="1"/>
  <c r="W1434" i="1"/>
  <c r="V1434" i="1"/>
  <c r="U1434" i="1"/>
  <c r="T1434" i="1"/>
  <c r="Y1426" i="1"/>
  <c r="X1426" i="1"/>
  <c r="W1426" i="1"/>
  <c r="V1426" i="1"/>
  <c r="U1426" i="1"/>
  <c r="T1426" i="1"/>
  <c r="Y1418" i="1"/>
  <c r="X1418" i="1"/>
  <c r="W1418" i="1"/>
  <c r="V1418" i="1"/>
  <c r="U1418" i="1"/>
  <c r="T1418" i="1"/>
  <c r="Y1410" i="1"/>
  <c r="X1410" i="1"/>
  <c r="W1410" i="1"/>
  <c r="V1410" i="1"/>
  <c r="U1410" i="1"/>
  <c r="T1410" i="1"/>
  <c r="Y1402" i="1"/>
  <c r="X1402" i="1"/>
  <c r="W1402" i="1"/>
  <c r="V1402" i="1"/>
  <c r="U1402" i="1"/>
  <c r="T1402" i="1"/>
  <c r="Y1394" i="1"/>
  <c r="X1394" i="1"/>
  <c r="W1394" i="1"/>
  <c r="V1394" i="1"/>
  <c r="U1394" i="1"/>
  <c r="T1394" i="1"/>
  <c r="Y1386" i="1"/>
  <c r="X1386" i="1"/>
  <c r="W1386" i="1"/>
  <c r="V1386" i="1"/>
  <c r="U1386" i="1"/>
  <c r="T1386" i="1"/>
  <c r="Y1378" i="1"/>
  <c r="X1378" i="1"/>
  <c r="W1378" i="1"/>
  <c r="V1378" i="1"/>
  <c r="U1378" i="1"/>
  <c r="T1378" i="1"/>
  <c r="Y1370" i="1"/>
  <c r="X1370" i="1"/>
  <c r="W1370" i="1"/>
  <c r="V1370" i="1"/>
  <c r="U1370" i="1"/>
  <c r="T1370" i="1"/>
  <c r="Y1362" i="1"/>
  <c r="X1362" i="1"/>
  <c r="W1362" i="1"/>
  <c r="V1362" i="1"/>
  <c r="U1362" i="1"/>
  <c r="T1362" i="1"/>
  <c r="Y1354" i="1"/>
  <c r="X1354" i="1"/>
  <c r="W1354" i="1"/>
  <c r="V1354" i="1"/>
  <c r="U1354" i="1"/>
  <c r="T1354" i="1"/>
  <c r="Y1346" i="1"/>
  <c r="X1346" i="1"/>
  <c r="W1346" i="1"/>
  <c r="V1346" i="1"/>
  <c r="U1346" i="1"/>
  <c r="T1346" i="1"/>
  <c r="Y1338" i="1"/>
  <c r="X1338" i="1"/>
  <c r="W1338" i="1"/>
  <c r="V1338" i="1"/>
  <c r="U1338" i="1"/>
  <c r="T1338" i="1"/>
  <c r="Y1330" i="1"/>
  <c r="X1330" i="1"/>
  <c r="W1330" i="1"/>
  <c r="V1330" i="1"/>
  <c r="U1330" i="1"/>
  <c r="T1330" i="1"/>
  <c r="Y1322" i="1"/>
  <c r="X1322" i="1"/>
  <c r="W1322" i="1"/>
  <c r="V1322" i="1"/>
  <c r="U1322" i="1"/>
  <c r="T1322" i="1"/>
  <c r="Y1314" i="1"/>
  <c r="X1314" i="1"/>
  <c r="W1314" i="1"/>
  <c r="V1314" i="1"/>
  <c r="U1314" i="1"/>
  <c r="T1314" i="1"/>
  <c r="Y1306" i="1"/>
  <c r="X1306" i="1"/>
  <c r="W1306" i="1"/>
  <c r="V1306" i="1"/>
  <c r="U1306" i="1"/>
  <c r="T1306" i="1"/>
  <c r="Y1298" i="1"/>
  <c r="X1298" i="1"/>
  <c r="W1298" i="1"/>
  <c r="V1298" i="1"/>
  <c r="U1298" i="1"/>
  <c r="T1298" i="1"/>
  <c r="Y1290" i="1"/>
  <c r="X1290" i="1"/>
  <c r="W1290" i="1"/>
  <c r="V1290" i="1"/>
  <c r="U1290" i="1"/>
  <c r="T1290" i="1"/>
  <c r="Y1282" i="1"/>
  <c r="X1282" i="1"/>
  <c r="W1282" i="1"/>
  <c r="V1282" i="1"/>
  <c r="U1282" i="1"/>
  <c r="T1282" i="1"/>
  <c r="Y1274" i="1"/>
  <c r="X1274" i="1"/>
  <c r="W1274" i="1"/>
  <c r="V1274" i="1"/>
  <c r="U1274" i="1"/>
  <c r="T1274" i="1"/>
  <c r="Y1266" i="1"/>
  <c r="X1266" i="1"/>
  <c r="W1266" i="1"/>
  <c r="V1266" i="1"/>
  <c r="U1266" i="1"/>
  <c r="T1266" i="1"/>
  <c r="Y1258" i="1"/>
  <c r="X1258" i="1"/>
  <c r="W1258" i="1"/>
  <c r="V1258" i="1"/>
  <c r="U1258" i="1"/>
  <c r="T1258" i="1"/>
  <c r="Y1250" i="1"/>
  <c r="X1250" i="1"/>
  <c r="W1250" i="1"/>
  <c r="V1250" i="1"/>
  <c r="U1250" i="1"/>
  <c r="T1250" i="1"/>
  <c r="Y1242" i="1"/>
  <c r="X1242" i="1"/>
  <c r="W1242" i="1"/>
  <c r="V1242" i="1"/>
  <c r="U1242" i="1"/>
  <c r="T1242" i="1"/>
  <c r="Y1234" i="1"/>
  <c r="X1234" i="1"/>
  <c r="W1234" i="1"/>
  <c r="V1234" i="1"/>
  <c r="U1234" i="1"/>
  <c r="T1234" i="1"/>
  <c r="Y1226" i="1"/>
  <c r="X1226" i="1"/>
  <c r="W1226" i="1"/>
  <c r="V1226" i="1"/>
  <c r="U1226" i="1"/>
  <c r="T1226" i="1"/>
  <c r="Y1218" i="1"/>
  <c r="X1218" i="1"/>
  <c r="W1218" i="1"/>
  <c r="V1218" i="1"/>
  <c r="U1218" i="1"/>
  <c r="T1218" i="1"/>
  <c r="Y1210" i="1"/>
  <c r="X1210" i="1"/>
  <c r="W1210" i="1"/>
  <c r="V1210" i="1"/>
  <c r="U1210" i="1"/>
  <c r="T1210" i="1"/>
  <c r="Y1202" i="1"/>
  <c r="X1202" i="1"/>
  <c r="W1202" i="1"/>
  <c r="V1202" i="1"/>
  <c r="U1202" i="1"/>
  <c r="T1202" i="1"/>
  <c r="Y1194" i="1"/>
  <c r="X1194" i="1"/>
  <c r="W1194" i="1"/>
  <c r="V1194" i="1"/>
  <c r="U1194" i="1"/>
  <c r="T1194" i="1"/>
  <c r="Y1186" i="1"/>
  <c r="X1186" i="1"/>
  <c r="W1186" i="1"/>
  <c r="V1186" i="1"/>
  <c r="U1186" i="1"/>
  <c r="T1186" i="1"/>
  <c r="Y1178" i="1"/>
  <c r="X1178" i="1"/>
  <c r="W1178" i="1"/>
  <c r="V1178" i="1"/>
  <c r="U1178" i="1"/>
  <c r="T1178" i="1"/>
  <c r="Y1170" i="1"/>
  <c r="X1170" i="1"/>
  <c r="W1170" i="1"/>
  <c r="V1170" i="1"/>
  <c r="U1170" i="1"/>
  <c r="T1170" i="1"/>
  <c r="Y1162" i="1"/>
  <c r="X1162" i="1"/>
  <c r="W1162" i="1"/>
  <c r="V1162" i="1"/>
  <c r="U1162" i="1"/>
  <c r="T1162" i="1"/>
  <c r="Y1154" i="1"/>
  <c r="X1154" i="1"/>
  <c r="W1154" i="1"/>
  <c r="V1154" i="1"/>
  <c r="U1154" i="1"/>
  <c r="T1154" i="1"/>
  <c r="Y1146" i="1"/>
  <c r="X1146" i="1"/>
  <c r="W1146" i="1"/>
  <c r="V1146" i="1"/>
  <c r="U1146" i="1"/>
  <c r="T1146" i="1"/>
  <c r="Y1138" i="1"/>
  <c r="X1138" i="1"/>
  <c r="W1138" i="1"/>
  <c r="V1138" i="1"/>
  <c r="U1138" i="1"/>
  <c r="T1138" i="1"/>
  <c r="Y1130" i="1"/>
  <c r="X1130" i="1"/>
  <c r="W1130" i="1"/>
  <c r="V1130" i="1"/>
  <c r="U1130" i="1"/>
  <c r="T1130" i="1"/>
  <c r="Y1122" i="1"/>
  <c r="X1122" i="1"/>
  <c r="W1122" i="1"/>
  <c r="V1122" i="1"/>
  <c r="U1122" i="1"/>
  <c r="T1122" i="1"/>
  <c r="Y1114" i="1"/>
  <c r="X1114" i="1"/>
  <c r="W1114" i="1"/>
  <c r="V1114" i="1"/>
  <c r="U1114" i="1"/>
  <c r="T1114" i="1"/>
  <c r="Y1106" i="1"/>
  <c r="X1106" i="1"/>
  <c r="W1106" i="1"/>
  <c r="V1106" i="1"/>
  <c r="U1106" i="1"/>
  <c r="T1106" i="1"/>
  <c r="Y1098" i="1"/>
  <c r="X1098" i="1"/>
  <c r="W1098" i="1"/>
  <c r="V1098" i="1"/>
  <c r="U1098" i="1"/>
  <c r="T1098" i="1"/>
  <c r="Y1090" i="1"/>
  <c r="X1090" i="1"/>
  <c r="W1090" i="1"/>
  <c r="V1090" i="1"/>
  <c r="U1090" i="1"/>
  <c r="T1090" i="1"/>
  <c r="Y1082" i="1"/>
  <c r="X1082" i="1"/>
  <c r="W1082" i="1"/>
  <c r="V1082" i="1"/>
  <c r="U1082" i="1"/>
  <c r="T1082" i="1"/>
  <c r="Y1074" i="1"/>
  <c r="X1074" i="1"/>
  <c r="W1074" i="1"/>
  <c r="V1074" i="1"/>
  <c r="U1074" i="1"/>
  <c r="T1074" i="1"/>
  <c r="Y1066" i="1"/>
  <c r="X1066" i="1"/>
  <c r="W1066" i="1"/>
  <c r="V1066" i="1"/>
  <c r="U1066" i="1"/>
  <c r="T1066" i="1"/>
  <c r="Y1058" i="1"/>
  <c r="X1058" i="1"/>
  <c r="W1058" i="1"/>
  <c r="V1058" i="1"/>
  <c r="U1058" i="1"/>
  <c r="T1058" i="1"/>
  <c r="Y1050" i="1"/>
  <c r="X1050" i="1"/>
  <c r="W1050" i="1"/>
  <c r="V1050" i="1"/>
  <c r="U1050" i="1"/>
  <c r="T1050" i="1"/>
  <c r="Y1042" i="1"/>
  <c r="X1042" i="1"/>
  <c r="W1042" i="1"/>
  <c r="V1042" i="1"/>
  <c r="U1042" i="1"/>
  <c r="T1042" i="1"/>
  <c r="Y1034" i="1"/>
  <c r="X1034" i="1"/>
  <c r="W1034" i="1"/>
  <c r="V1034" i="1"/>
  <c r="U1034" i="1"/>
  <c r="T1034" i="1"/>
  <c r="Y1026" i="1"/>
  <c r="X1026" i="1"/>
  <c r="W1026" i="1"/>
  <c r="V1026" i="1"/>
  <c r="U1026" i="1"/>
  <c r="T1026" i="1"/>
  <c r="Y1018" i="1"/>
  <c r="X1018" i="1"/>
  <c r="W1018" i="1"/>
  <c r="V1018" i="1"/>
  <c r="U1018" i="1"/>
  <c r="T1018" i="1"/>
  <c r="Y1010" i="1"/>
  <c r="X1010" i="1"/>
  <c r="W1010" i="1"/>
  <c r="V1010" i="1"/>
  <c r="U1010" i="1"/>
  <c r="T1010" i="1"/>
  <c r="Y1002" i="1"/>
  <c r="X1002" i="1"/>
  <c r="W1002" i="1"/>
  <c r="V1002" i="1"/>
  <c r="U1002" i="1"/>
  <c r="T1002" i="1"/>
  <c r="Y994" i="1"/>
  <c r="X994" i="1"/>
  <c r="W994" i="1"/>
  <c r="V994" i="1"/>
  <c r="U994" i="1"/>
  <c r="T994" i="1"/>
  <c r="Y986" i="1"/>
  <c r="X986" i="1"/>
  <c r="W986" i="1"/>
  <c r="V986" i="1"/>
  <c r="U986" i="1"/>
  <c r="T986" i="1"/>
  <c r="Y978" i="1"/>
  <c r="X978" i="1"/>
  <c r="W978" i="1"/>
  <c r="V978" i="1"/>
  <c r="U978" i="1"/>
  <c r="T978" i="1"/>
  <c r="Y970" i="1"/>
  <c r="X970" i="1"/>
  <c r="W970" i="1"/>
  <c r="V970" i="1"/>
  <c r="U970" i="1"/>
  <c r="T970" i="1"/>
  <c r="Y962" i="1"/>
  <c r="X962" i="1"/>
  <c r="W962" i="1"/>
  <c r="V962" i="1"/>
  <c r="U962" i="1"/>
  <c r="T962" i="1"/>
  <c r="Y954" i="1"/>
  <c r="X954" i="1"/>
  <c r="W954" i="1"/>
  <c r="V954" i="1"/>
  <c r="U954" i="1"/>
  <c r="T954" i="1"/>
  <c r="Y946" i="1"/>
  <c r="X946" i="1"/>
  <c r="W946" i="1"/>
  <c r="V946" i="1"/>
  <c r="U946" i="1"/>
  <c r="T946" i="1"/>
  <c r="Y938" i="1"/>
  <c r="X938" i="1"/>
  <c r="W938" i="1"/>
  <c r="V938" i="1"/>
  <c r="U938" i="1"/>
  <c r="T938" i="1"/>
  <c r="Y930" i="1"/>
  <c r="X930" i="1"/>
  <c r="W930" i="1"/>
  <c r="V930" i="1"/>
  <c r="U930" i="1"/>
  <c r="T930" i="1"/>
  <c r="Y922" i="1"/>
  <c r="X922" i="1"/>
  <c r="W922" i="1"/>
  <c r="V922" i="1"/>
  <c r="U922" i="1"/>
  <c r="T922" i="1"/>
  <c r="Y914" i="1"/>
  <c r="X914" i="1"/>
  <c r="W914" i="1"/>
  <c r="V914" i="1"/>
  <c r="U914" i="1"/>
  <c r="T914" i="1"/>
  <c r="Y906" i="1"/>
  <c r="X906" i="1"/>
  <c r="W906" i="1"/>
  <c r="V906" i="1"/>
  <c r="U906" i="1"/>
  <c r="T906" i="1"/>
  <c r="Y898" i="1"/>
  <c r="X898" i="1"/>
  <c r="W898" i="1"/>
  <c r="V898" i="1"/>
  <c r="U898" i="1"/>
  <c r="T898" i="1"/>
  <c r="Y890" i="1"/>
  <c r="X890" i="1"/>
  <c r="W890" i="1"/>
  <c r="V890" i="1"/>
  <c r="U890" i="1"/>
  <c r="T890" i="1"/>
  <c r="Y882" i="1"/>
  <c r="X882" i="1"/>
  <c r="W882" i="1"/>
  <c r="V882" i="1"/>
  <c r="U882" i="1"/>
  <c r="T882" i="1"/>
  <c r="Y874" i="1"/>
  <c r="X874" i="1"/>
  <c r="W874" i="1"/>
  <c r="V874" i="1"/>
  <c r="U874" i="1"/>
  <c r="T874" i="1"/>
  <c r="Y866" i="1"/>
  <c r="X866" i="1"/>
  <c r="W866" i="1"/>
  <c r="V866" i="1"/>
  <c r="U866" i="1"/>
  <c r="T866" i="1"/>
  <c r="Y858" i="1"/>
  <c r="X858" i="1"/>
  <c r="W858" i="1"/>
  <c r="V858" i="1"/>
  <c r="U858" i="1"/>
  <c r="T858" i="1"/>
  <c r="Y850" i="1"/>
  <c r="X850" i="1"/>
  <c r="W850" i="1"/>
  <c r="V850" i="1"/>
  <c r="U850" i="1"/>
  <c r="T850" i="1"/>
  <c r="Y842" i="1"/>
  <c r="X842" i="1"/>
  <c r="W842" i="1"/>
  <c r="V842" i="1"/>
  <c r="U842" i="1"/>
  <c r="T842" i="1"/>
  <c r="Y834" i="1"/>
  <c r="X834" i="1"/>
  <c r="W834" i="1"/>
  <c r="V834" i="1"/>
  <c r="U834" i="1"/>
  <c r="T834" i="1"/>
  <c r="Y826" i="1"/>
  <c r="X826" i="1"/>
  <c r="W826" i="1"/>
  <c r="V826" i="1"/>
  <c r="U826" i="1"/>
  <c r="T826" i="1"/>
  <c r="Y818" i="1"/>
  <c r="X818" i="1"/>
  <c r="W818" i="1"/>
  <c r="V818" i="1"/>
  <c r="U818" i="1"/>
  <c r="T818" i="1"/>
  <c r="Y810" i="1"/>
  <c r="X810" i="1"/>
  <c r="W810" i="1"/>
  <c r="V810" i="1"/>
  <c r="U810" i="1"/>
  <c r="T810" i="1"/>
  <c r="Y802" i="1"/>
  <c r="X802" i="1"/>
  <c r="W802" i="1"/>
  <c r="V802" i="1"/>
  <c r="U802" i="1"/>
  <c r="T802" i="1"/>
  <c r="Y794" i="1"/>
  <c r="X794" i="1"/>
  <c r="W794" i="1"/>
  <c r="V794" i="1"/>
  <c r="U794" i="1"/>
  <c r="T794" i="1"/>
  <c r="Y786" i="1"/>
  <c r="X786" i="1"/>
  <c r="W786" i="1"/>
  <c r="V786" i="1"/>
  <c r="U786" i="1"/>
  <c r="T786" i="1"/>
  <c r="Y778" i="1"/>
  <c r="X778" i="1"/>
  <c r="W778" i="1"/>
  <c r="V778" i="1"/>
  <c r="U778" i="1"/>
  <c r="T778" i="1"/>
  <c r="Y770" i="1"/>
  <c r="X770" i="1"/>
  <c r="W770" i="1"/>
  <c r="V770" i="1"/>
  <c r="U770" i="1"/>
  <c r="T770" i="1"/>
  <c r="Y762" i="1"/>
  <c r="X762" i="1"/>
  <c r="W762" i="1"/>
  <c r="V762" i="1"/>
  <c r="U762" i="1"/>
  <c r="T762" i="1"/>
  <c r="Y754" i="1"/>
  <c r="X754" i="1"/>
  <c r="W754" i="1"/>
  <c r="V754" i="1"/>
  <c r="U754" i="1"/>
  <c r="T754" i="1"/>
  <c r="Y746" i="1"/>
  <c r="X746" i="1"/>
  <c r="W746" i="1"/>
  <c r="V746" i="1"/>
  <c r="U746" i="1"/>
  <c r="T746" i="1"/>
  <c r="Y738" i="1"/>
  <c r="X738" i="1"/>
  <c r="W738" i="1"/>
  <c r="V738" i="1"/>
  <c r="U738" i="1"/>
  <c r="T738" i="1"/>
  <c r="Y730" i="1"/>
  <c r="X730" i="1"/>
  <c r="W730" i="1"/>
  <c r="V730" i="1"/>
  <c r="U730" i="1"/>
  <c r="T730" i="1"/>
  <c r="Y722" i="1"/>
  <c r="X722" i="1"/>
  <c r="W722" i="1"/>
  <c r="V722" i="1"/>
  <c r="U722" i="1"/>
  <c r="T722" i="1"/>
  <c r="Y714" i="1"/>
  <c r="X714" i="1"/>
  <c r="W714" i="1"/>
  <c r="V714" i="1"/>
  <c r="U714" i="1"/>
  <c r="T714" i="1"/>
  <c r="Y706" i="1"/>
  <c r="X706" i="1"/>
  <c r="W706" i="1"/>
  <c r="V706" i="1"/>
  <c r="U706" i="1"/>
  <c r="T706" i="1"/>
  <c r="Y698" i="1"/>
  <c r="X698" i="1"/>
  <c r="W698" i="1"/>
  <c r="V698" i="1"/>
  <c r="U698" i="1"/>
  <c r="T698" i="1"/>
  <c r="Y690" i="1"/>
  <c r="X690" i="1"/>
  <c r="W690" i="1"/>
  <c r="V690" i="1"/>
  <c r="U690" i="1"/>
  <c r="T690" i="1"/>
  <c r="Y682" i="1"/>
  <c r="X682" i="1"/>
  <c r="W682" i="1"/>
  <c r="V682" i="1"/>
  <c r="U682" i="1"/>
  <c r="T682" i="1"/>
  <c r="Y674" i="1"/>
  <c r="X674" i="1"/>
  <c r="W674" i="1"/>
  <c r="V674" i="1"/>
  <c r="U674" i="1"/>
  <c r="T674" i="1"/>
  <c r="Y666" i="1"/>
  <c r="X666" i="1"/>
  <c r="W666" i="1"/>
  <c r="V666" i="1"/>
  <c r="U666" i="1"/>
  <c r="T666" i="1"/>
  <c r="Y658" i="1"/>
  <c r="X658" i="1"/>
  <c r="W658" i="1"/>
  <c r="V658" i="1"/>
  <c r="U658" i="1"/>
  <c r="T658" i="1"/>
  <c r="Y650" i="1"/>
  <c r="X650" i="1"/>
  <c r="W650" i="1"/>
  <c r="V650" i="1"/>
  <c r="U650" i="1"/>
  <c r="T650" i="1"/>
  <c r="Y642" i="1"/>
  <c r="X642" i="1"/>
  <c r="W642" i="1"/>
  <c r="V642" i="1"/>
  <c r="U642" i="1"/>
  <c r="T642" i="1"/>
  <c r="Y634" i="1"/>
  <c r="X634" i="1"/>
  <c r="W634" i="1"/>
  <c r="V634" i="1"/>
  <c r="U634" i="1"/>
  <c r="T634" i="1"/>
  <c r="Y626" i="1"/>
  <c r="X626" i="1"/>
  <c r="W626" i="1"/>
  <c r="V626" i="1"/>
  <c r="U626" i="1"/>
  <c r="T626" i="1"/>
  <c r="Y618" i="1"/>
  <c r="X618" i="1"/>
  <c r="W618" i="1"/>
  <c r="V618" i="1"/>
  <c r="U618" i="1"/>
  <c r="T618" i="1"/>
  <c r="Y610" i="1"/>
  <c r="X610" i="1"/>
  <c r="W610" i="1"/>
  <c r="V610" i="1"/>
  <c r="U610" i="1"/>
  <c r="T610" i="1"/>
  <c r="Y602" i="1"/>
  <c r="X602" i="1"/>
  <c r="W602" i="1"/>
  <c r="V602" i="1"/>
  <c r="U602" i="1"/>
  <c r="T602" i="1"/>
  <c r="Y594" i="1"/>
  <c r="X594" i="1"/>
  <c r="W594" i="1"/>
  <c r="V594" i="1"/>
  <c r="U594" i="1"/>
  <c r="T594" i="1"/>
  <c r="Y586" i="1"/>
  <c r="X586" i="1"/>
  <c r="W586" i="1"/>
  <c r="V586" i="1"/>
  <c r="U586" i="1"/>
  <c r="T586" i="1"/>
  <c r="Y578" i="1"/>
  <c r="X578" i="1"/>
  <c r="W578" i="1"/>
  <c r="V578" i="1"/>
  <c r="U578" i="1"/>
  <c r="T578" i="1"/>
  <c r="Y570" i="1"/>
  <c r="X570" i="1"/>
  <c r="W570" i="1"/>
  <c r="V570" i="1"/>
  <c r="U570" i="1"/>
  <c r="T570" i="1"/>
  <c r="Y562" i="1"/>
  <c r="X562" i="1"/>
  <c r="W562" i="1"/>
  <c r="V562" i="1"/>
  <c r="U562" i="1"/>
  <c r="T562" i="1"/>
  <c r="Y554" i="1"/>
  <c r="X554" i="1"/>
  <c r="W554" i="1"/>
  <c r="V554" i="1"/>
  <c r="U554" i="1"/>
  <c r="T554" i="1"/>
  <c r="Y546" i="1"/>
  <c r="X546" i="1"/>
  <c r="W546" i="1"/>
  <c r="V546" i="1"/>
  <c r="U546" i="1"/>
  <c r="T546" i="1"/>
  <c r="Y538" i="1"/>
  <c r="X538" i="1"/>
  <c r="W538" i="1"/>
  <c r="V538" i="1"/>
  <c r="U538" i="1"/>
  <c r="T538" i="1"/>
  <c r="Y530" i="1"/>
  <c r="X530" i="1"/>
  <c r="W530" i="1"/>
  <c r="V530" i="1"/>
  <c r="U530" i="1"/>
  <c r="T530" i="1"/>
  <c r="Y522" i="1"/>
  <c r="X522" i="1"/>
  <c r="W522" i="1"/>
  <c r="V522" i="1"/>
  <c r="U522" i="1"/>
  <c r="T522" i="1"/>
  <c r="Y514" i="1"/>
  <c r="X514" i="1"/>
  <c r="W514" i="1"/>
  <c r="V514" i="1"/>
  <c r="U514" i="1"/>
  <c r="T514" i="1"/>
  <c r="Y506" i="1"/>
  <c r="X506" i="1"/>
  <c r="W506" i="1"/>
  <c r="V506" i="1"/>
  <c r="U506" i="1"/>
  <c r="T506" i="1"/>
  <c r="Y498" i="1"/>
  <c r="X498" i="1"/>
  <c r="W498" i="1"/>
  <c r="V498" i="1"/>
  <c r="U498" i="1"/>
  <c r="T498" i="1"/>
  <c r="Y490" i="1"/>
  <c r="X490" i="1"/>
  <c r="W490" i="1"/>
  <c r="V490" i="1"/>
  <c r="U490" i="1"/>
  <c r="T490" i="1"/>
  <c r="Y482" i="1"/>
  <c r="X482" i="1"/>
  <c r="W482" i="1"/>
  <c r="V482" i="1"/>
  <c r="U482" i="1"/>
  <c r="T482" i="1"/>
  <c r="Y474" i="1"/>
  <c r="X474" i="1"/>
  <c r="W474" i="1"/>
  <c r="V474" i="1"/>
  <c r="U474" i="1"/>
  <c r="T474" i="1"/>
  <c r="Y466" i="1"/>
  <c r="X466" i="1"/>
  <c r="W466" i="1"/>
  <c r="V466" i="1"/>
  <c r="U466" i="1"/>
  <c r="T466" i="1"/>
  <c r="Y458" i="1"/>
  <c r="X458" i="1"/>
  <c r="W458" i="1"/>
  <c r="V458" i="1"/>
  <c r="U458" i="1"/>
  <c r="T458" i="1"/>
  <c r="Y450" i="1"/>
  <c r="X450" i="1"/>
  <c r="W450" i="1"/>
  <c r="V450" i="1"/>
  <c r="U450" i="1"/>
  <c r="T450" i="1"/>
  <c r="Y442" i="1"/>
  <c r="X442" i="1"/>
  <c r="W442" i="1"/>
  <c r="V442" i="1"/>
  <c r="U442" i="1"/>
  <c r="T442" i="1"/>
  <c r="Y434" i="1"/>
  <c r="X434" i="1"/>
  <c r="W434" i="1"/>
  <c r="V434" i="1"/>
  <c r="U434" i="1"/>
  <c r="T434" i="1"/>
  <c r="Y426" i="1"/>
  <c r="X426" i="1"/>
  <c r="W426" i="1"/>
  <c r="V426" i="1"/>
  <c r="U426" i="1"/>
  <c r="T426" i="1"/>
  <c r="Y418" i="1"/>
  <c r="X418" i="1"/>
  <c r="W418" i="1"/>
  <c r="V418" i="1"/>
  <c r="U418" i="1"/>
  <c r="T418" i="1"/>
  <c r="Y410" i="1"/>
  <c r="X410" i="1"/>
  <c r="W410" i="1"/>
  <c r="V410" i="1"/>
  <c r="U410" i="1"/>
  <c r="T410" i="1"/>
  <c r="Y402" i="1"/>
  <c r="X402" i="1"/>
  <c r="W402" i="1"/>
  <c r="V402" i="1"/>
  <c r="U402" i="1"/>
  <c r="T402" i="1"/>
  <c r="Y394" i="1"/>
  <c r="X394" i="1"/>
  <c r="W394" i="1"/>
  <c r="V394" i="1"/>
  <c r="U394" i="1"/>
  <c r="T394" i="1"/>
  <c r="Y386" i="1"/>
  <c r="X386" i="1"/>
  <c r="W386" i="1"/>
  <c r="V386" i="1"/>
  <c r="U386" i="1"/>
  <c r="T386" i="1"/>
  <c r="Y378" i="1"/>
  <c r="X378" i="1"/>
  <c r="W378" i="1"/>
  <c r="V378" i="1"/>
  <c r="U378" i="1"/>
  <c r="T378" i="1"/>
  <c r="Y370" i="1"/>
  <c r="X370" i="1"/>
  <c r="W370" i="1"/>
  <c r="V370" i="1"/>
  <c r="U370" i="1"/>
  <c r="T370" i="1"/>
  <c r="Y362" i="1"/>
  <c r="X362" i="1"/>
  <c r="W362" i="1"/>
  <c r="V362" i="1"/>
  <c r="U362" i="1"/>
  <c r="T362" i="1"/>
  <c r="Y354" i="1"/>
  <c r="X354" i="1"/>
  <c r="W354" i="1"/>
  <c r="V354" i="1"/>
  <c r="U354" i="1"/>
  <c r="T354" i="1"/>
  <c r="Y346" i="1"/>
  <c r="X346" i="1"/>
  <c r="W346" i="1"/>
  <c r="V346" i="1"/>
  <c r="U346" i="1"/>
  <c r="T346" i="1"/>
  <c r="Y338" i="1"/>
  <c r="X338" i="1"/>
  <c r="W338" i="1"/>
  <c r="V338" i="1"/>
  <c r="U338" i="1"/>
  <c r="T338" i="1"/>
  <c r="Y330" i="1"/>
  <c r="X330" i="1"/>
  <c r="W330" i="1"/>
  <c r="V330" i="1"/>
  <c r="U330" i="1"/>
  <c r="T330" i="1"/>
  <c r="Y322" i="1"/>
  <c r="X322" i="1"/>
  <c r="W322" i="1"/>
  <c r="V322" i="1"/>
  <c r="U322" i="1"/>
  <c r="T322" i="1"/>
  <c r="Y314" i="1"/>
  <c r="X314" i="1"/>
  <c r="W314" i="1"/>
  <c r="V314" i="1"/>
  <c r="U314" i="1"/>
  <c r="T314" i="1"/>
  <c r="Y306" i="1"/>
  <c r="X306" i="1"/>
  <c r="W306" i="1"/>
  <c r="V306" i="1"/>
  <c r="U306" i="1"/>
  <c r="T306" i="1"/>
  <c r="Y298" i="1"/>
  <c r="X298" i="1"/>
  <c r="W298" i="1"/>
  <c r="V298" i="1"/>
  <c r="U298" i="1"/>
  <c r="T298" i="1"/>
  <c r="Y290" i="1"/>
  <c r="X290" i="1"/>
  <c r="W290" i="1"/>
  <c r="V290" i="1"/>
  <c r="U290" i="1"/>
  <c r="T290" i="1"/>
  <c r="Y282" i="1"/>
  <c r="X282" i="1"/>
  <c r="W282" i="1"/>
  <c r="V282" i="1"/>
  <c r="U282" i="1"/>
  <c r="T282" i="1"/>
  <c r="Y274" i="1"/>
  <c r="X274" i="1"/>
  <c r="W274" i="1"/>
  <c r="V274" i="1"/>
  <c r="U274" i="1"/>
  <c r="T274" i="1"/>
  <c r="Y266" i="1"/>
  <c r="X266" i="1"/>
  <c r="W266" i="1"/>
  <c r="V266" i="1"/>
  <c r="U266" i="1"/>
  <c r="T266" i="1"/>
  <c r="Y258" i="1"/>
  <c r="X258" i="1"/>
  <c r="W258" i="1"/>
  <c r="V258" i="1"/>
  <c r="U258" i="1"/>
  <c r="T258" i="1"/>
  <c r="Y250" i="1"/>
  <c r="X250" i="1"/>
  <c r="W250" i="1"/>
  <c r="V250" i="1"/>
  <c r="U250" i="1"/>
  <c r="T250" i="1"/>
  <c r="Y242" i="1"/>
  <c r="X242" i="1"/>
  <c r="W242" i="1"/>
  <c r="V242" i="1"/>
  <c r="U242" i="1"/>
  <c r="T242" i="1"/>
  <c r="Y234" i="1"/>
  <c r="X234" i="1"/>
  <c r="W234" i="1"/>
  <c r="V234" i="1"/>
  <c r="U234" i="1"/>
  <c r="T234" i="1"/>
  <c r="Y226" i="1"/>
  <c r="X226" i="1"/>
  <c r="W226" i="1"/>
  <c r="V226" i="1"/>
  <c r="U226" i="1"/>
  <c r="T226" i="1"/>
  <c r="Y218" i="1"/>
  <c r="X218" i="1"/>
  <c r="W218" i="1"/>
  <c r="V218" i="1"/>
  <c r="U218" i="1"/>
  <c r="T218" i="1"/>
  <c r="Y210" i="1"/>
  <c r="X210" i="1"/>
  <c r="W210" i="1"/>
  <c r="V210" i="1"/>
  <c r="U210" i="1"/>
  <c r="T210" i="1"/>
  <c r="Y202" i="1"/>
  <c r="X202" i="1"/>
  <c r="W202" i="1"/>
  <c r="V202" i="1"/>
  <c r="U202" i="1"/>
  <c r="T202" i="1"/>
  <c r="Y194" i="1"/>
  <c r="X194" i="1"/>
  <c r="W194" i="1"/>
  <c r="V194" i="1"/>
  <c r="U194" i="1"/>
  <c r="T194" i="1"/>
  <c r="Y186" i="1"/>
  <c r="X186" i="1"/>
  <c r="W186" i="1"/>
  <c r="V186" i="1"/>
  <c r="U186" i="1"/>
  <c r="T186" i="1"/>
  <c r="Y178" i="1"/>
  <c r="X178" i="1"/>
  <c r="W178" i="1"/>
  <c r="V178" i="1"/>
  <c r="U178" i="1"/>
  <c r="T178" i="1"/>
  <c r="Y170" i="1"/>
  <c r="X170" i="1"/>
  <c r="W170" i="1"/>
  <c r="V170" i="1"/>
  <c r="U170" i="1"/>
  <c r="T170" i="1"/>
  <c r="Y162" i="1"/>
  <c r="X162" i="1"/>
  <c r="W162" i="1"/>
  <c r="V162" i="1"/>
  <c r="U162" i="1"/>
  <c r="T162" i="1"/>
  <c r="Y154" i="1"/>
  <c r="X154" i="1"/>
  <c r="W154" i="1"/>
  <c r="V154" i="1"/>
  <c r="U154" i="1"/>
  <c r="T154" i="1"/>
  <c r="Y146" i="1"/>
  <c r="X146" i="1"/>
  <c r="W146" i="1"/>
  <c r="V146" i="1"/>
  <c r="U146" i="1"/>
  <c r="T146" i="1"/>
  <c r="Y138" i="1"/>
  <c r="X138" i="1"/>
  <c r="W138" i="1"/>
  <c r="V138" i="1"/>
  <c r="U138" i="1"/>
  <c r="T138" i="1"/>
  <c r="Y130" i="1"/>
  <c r="X130" i="1"/>
  <c r="W130" i="1"/>
  <c r="V130" i="1"/>
  <c r="U130" i="1"/>
  <c r="T130" i="1"/>
  <c r="Y122" i="1"/>
  <c r="X122" i="1"/>
  <c r="W122" i="1"/>
  <c r="V122" i="1"/>
  <c r="U122" i="1"/>
  <c r="T122" i="1"/>
  <c r="Y114" i="1"/>
  <c r="X114" i="1"/>
  <c r="W114" i="1"/>
  <c r="V114" i="1"/>
  <c r="U114" i="1"/>
  <c r="T114" i="1"/>
  <c r="Y106" i="1"/>
  <c r="X106" i="1"/>
  <c r="W106" i="1"/>
  <c r="V106" i="1"/>
  <c r="U106" i="1"/>
  <c r="T106" i="1"/>
  <c r="Y98" i="1"/>
  <c r="X98" i="1"/>
  <c r="W98" i="1"/>
  <c r="V98" i="1"/>
  <c r="U98" i="1"/>
  <c r="T98" i="1"/>
  <c r="Y90" i="1"/>
  <c r="X90" i="1"/>
  <c r="W90" i="1"/>
  <c r="V90" i="1"/>
  <c r="U90" i="1"/>
  <c r="T90" i="1"/>
  <c r="Y82" i="1"/>
  <c r="X82" i="1"/>
  <c r="W82" i="1"/>
  <c r="V82" i="1"/>
  <c r="U82" i="1"/>
  <c r="T82" i="1"/>
  <c r="Y74" i="1"/>
  <c r="X74" i="1"/>
  <c r="W74" i="1"/>
  <c r="V74" i="1"/>
  <c r="U74" i="1"/>
  <c r="T74" i="1"/>
  <c r="Y66" i="1"/>
  <c r="X66" i="1"/>
  <c r="W66" i="1"/>
  <c r="V66" i="1"/>
  <c r="U66" i="1"/>
  <c r="T66" i="1"/>
  <c r="Y58" i="1"/>
  <c r="X58" i="1"/>
  <c r="W58" i="1"/>
  <c r="V58" i="1"/>
  <c r="U58" i="1"/>
  <c r="T58" i="1"/>
  <c r="Y50" i="1"/>
  <c r="X50" i="1"/>
  <c r="W50" i="1"/>
  <c r="V50" i="1"/>
  <c r="U50" i="1"/>
  <c r="T50" i="1"/>
  <c r="Y42" i="1"/>
  <c r="X42" i="1"/>
  <c r="W42" i="1"/>
  <c r="V42" i="1"/>
  <c r="U42" i="1"/>
  <c r="T42" i="1"/>
  <c r="Y34" i="1"/>
  <c r="X34" i="1"/>
  <c r="W34" i="1"/>
  <c r="V34" i="1"/>
  <c r="U34" i="1"/>
  <c r="T34" i="1"/>
  <c r="Y26" i="1"/>
  <c r="X26" i="1"/>
  <c r="W26" i="1"/>
  <c r="V26" i="1"/>
  <c r="U26" i="1"/>
  <c r="T26" i="1"/>
  <c r="Y18" i="1"/>
  <c r="X18" i="1"/>
  <c r="W18" i="1"/>
  <c r="V18" i="1"/>
  <c r="U18" i="1"/>
  <c r="T18" i="1"/>
  <c r="Y10" i="1"/>
  <c r="X10" i="1"/>
  <c r="W10" i="1"/>
  <c r="V10" i="1"/>
  <c r="U10" i="1"/>
  <c r="T10" i="1"/>
  <c r="Y2" i="1"/>
  <c r="X2" i="1"/>
  <c r="W2" i="1"/>
  <c r="V2" i="1"/>
  <c r="U2" i="1"/>
  <c r="T2" i="1"/>
  <c r="Y1711" i="1"/>
  <c r="X1711" i="1"/>
  <c r="V1711" i="1"/>
  <c r="W1711" i="1"/>
  <c r="U1711" i="1"/>
  <c r="T1711" i="1"/>
  <c r="Y1717" i="1"/>
  <c r="X1717" i="1"/>
  <c r="W1717" i="1"/>
  <c r="V1717" i="1"/>
  <c r="U1717" i="1"/>
  <c r="T1717" i="1"/>
  <c r="Y1718" i="1"/>
  <c r="X1718" i="1"/>
  <c r="W1718" i="1"/>
  <c r="V1718" i="1"/>
  <c r="U1718" i="1"/>
  <c r="T1718" i="1"/>
  <c r="Y1724" i="1"/>
  <c r="X1724" i="1"/>
  <c r="W1724" i="1"/>
  <c r="V1724" i="1"/>
  <c r="U1724" i="1"/>
  <c r="T1724" i="1"/>
  <c r="Y1736" i="1"/>
  <c r="X1736" i="1"/>
  <c r="W1736" i="1"/>
  <c r="V1736" i="1"/>
  <c r="U1736" i="1"/>
  <c r="T1736" i="1"/>
  <c r="Y1749" i="1"/>
  <c r="X1749" i="1"/>
  <c r="W1749" i="1"/>
  <c r="V1749" i="1"/>
  <c r="U1749" i="1"/>
  <c r="T1749" i="1"/>
  <c r="Y1753" i="1"/>
  <c r="X1753" i="1"/>
  <c r="W1753" i="1"/>
  <c r="V1753" i="1"/>
  <c r="U1753" i="1"/>
  <c r="T1753" i="1"/>
  <c r="Y1761" i="1"/>
  <c r="X1761" i="1"/>
  <c r="W1761" i="1"/>
  <c r="V1761" i="1"/>
  <c r="U1761" i="1"/>
  <c r="T1761" i="1"/>
  <c r="Y1765" i="1"/>
  <c r="X1765" i="1"/>
  <c r="W1765" i="1"/>
  <c r="V1765" i="1"/>
  <c r="U1765" i="1"/>
  <c r="T1765" i="1"/>
  <c r="Y1775" i="1"/>
  <c r="X1775" i="1"/>
  <c r="V1775" i="1"/>
  <c r="W1775" i="1"/>
  <c r="U1775" i="1"/>
  <c r="T1775" i="1"/>
  <c r="Y1785" i="1"/>
  <c r="X1785" i="1"/>
  <c r="W1785" i="1"/>
  <c r="V1785" i="1"/>
  <c r="U1785" i="1"/>
  <c r="T1785" i="1"/>
  <c r="Y1805" i="1"/>
  <c r="X1805" i="1"/>
  <c r="W1805" i="1"/>
  <c r="V1805" i="1"/>
  <c r="U1805" i="1"/>
  <c r="T1805" i="1"/>
  <c r="Y1809" i="1"/>
  <c r="X1809" i="1"/>
  <c r="W1809" i="1"/>
  <c r="V1809" i="1"/>
  <c r="U1809" i="1"/>
  <c r="T1809" i="1"/>
  <c r="Y1813" i="1"/>
  <c r="X1813" i="1"/>
  <c r="W1813" i="1"/>
  <c r="V1813" i="1"/>
  <c r="U1813" i="1"/>
  <c r="T1813" i="1"/>
  <c r="Y1823" i="1"/>
  <c r="X1823" i="1"/>
  <c r="W1823" i="1"/>
  <c r="V1823" i="1"/>
  <c r="U1823" i="1"/>
  <c r="T1823" i="1"/>
  <c r="Y1675" i="1"/>
  <c r="X1675" i="1"/>
  <c r="W1675" i="1"/>
  <c r="V1675" i="1"/>
  <c r="U1675" i="1"/>
  <c r="T1675" i="1"/>
  <c r="Y1611" i="1"/>
  <c r="X1611" i="1"/>
  <c r="W1611" i="1"/>
  <c r="V1611" i="1"/>
  <c r="U1611" i="1"/>
  <c r="T1611" i="1"/>
  <c r="Y1539" i="1"/>
  <c r="X1539" i="1"/>
  <c r="W1539" i="1"/>
  <c r="V1539" i="1"/>
  <c r="U1539" i="1"/>
  <c r="T1539" i="1"/>
  <c r="Y1475" i="1"/>
  <c r="X1475" i="1"/>
  <c r="W1475" i="1"/>
  <c r="V1475" i="1"/>
  <c r="U1475" i="1"/>
  <c r="T1475" i="1"/>
  <c r="Y1395" i="1"/>
  <c r="X1395" i="1"/>
  <c r="W1395" i="1"/>
  <c r="V1395" i="1"/>
  <c r="U1395" i="1"/>
  <c r="T1395" i="1"/>
  <c r="Y1267" i="1"/>
  <c r="X1267" i="1"/>
  <c r="W1267" i="1"/>
  <c r="V1267" i="1"/>
  <c r="U1267" i="1"/>
  <c r="T1267" i="1"/>
  <c r="Y1211" i="1"/>
  <c r="X1211" i="1"/>
  <c r="W1211" i="1"/>
  <c r="V1211" i="1"/>
  <c r="U1211" i="1"/>
  <c r="T1211" i="1"/>
  <c r="Y1147" i="1"/>
  <c r="X1147" i="1"/>
  <c r="W1147" i="1"/>
  <c r="V1147" i="1"/>
  <c r="U1147" i="1"/>
  <c r="T1147" i="1"/>
  <c r="Y1083" i="1"/>
  <c r="W1083" i="1"/>
  <c r="X1083" i="1"/>
  <c r="V1083" i="1"/>
  <c r="U1083" i="1"/>
  <c r="T1083" i="1"/>
  <c r="Y1019" i="1"/>
  <c r="X1019" i="1"/>
  <c r="W1019" i="1"/>
  <c r="V1019" i="1"/>
  <c r="U1019" i="1"/>
  <c r="T1019" i="1"/>
  <c r="Y955" i="1"/>
  <c r="X955" i="1"/>
  <c r="W955" i="1"/>
  <c r="V955" i="1"/>
  <c r="U955" i="1"/>
  <c r="T955" i="1"/>
  <c r="Y891" i="1"/>
  <c r="X891" i="1"/>
  <c r="W891" i="1"/>
  <c r="V891" i="1"/>
  <c r="U891" i="1"/>
  <c r="T891" i="1"/>
  <c r="Y827" i="1"/>
  <c r="W827" i="1"/>
  <c r="X827" i="1"/>
  <c r="V827" i="1"/>
  <c r="U827" i="1"/>
  <c r="T827" i="1"/>
  <c r="Y779" i="1"/>
  <c r="X779" i="1"/>
  <c r="W779" i="1"/>
  <c r="V779" i="1"/>
  <c r="U779" i="1"/>
  <c r="T779" i="1"/>
  <c r="Y723" i="1"/>
  <c r="X723" i="1"/>
  <c r="W723" i="1"/>
  <c r="V723" i="1"/>
  <c r="U723" i="1"/>
  <c r="T723" i="1"/>
  <c r="Y659" i="1"/>
  <c r="W659" i="1"/>
  <c r="X659" i="1"/>
  <c r="V659" i="1"/>
  <c r="U659" i="1"/>
  <c r="T659" i="1"/>
  <c r="Y603" i="1"/>
  <c r="X603" i="1"/>
  <c r="W603" i="1"/>
  <c r="V603" i="1"/>
  <c r="U603" i="1"/>
  <c r="T603" i="1"/>
  <c r="Y539" i="1"/>
  <c r="X539" i="1"/>
  <c r="W539" i="1"/>
  <c r="V539" i="1"/>
  <c r="U539" i="1"/>
  <c r="T539" i="1"/>
  <c r="Y475" i="1"/>
  <c r="X475" i="1"/>
  <c r="W475" i="1"/>
  <c r="V475" i="1"/>
  <c r="U475" i="1"/>
  <c r="T475" i="1"/>
  <c r="Y403" i="1"/>
  <c r="X403" i="1"/>
  <c r="W403" i="1"/>
  <c r="V403" i="1"/>
  <c r="U403" i="1"/>
  <c r="T403" i="1"/>
  <c r="Y339" i="1"/>
  <c r="X339" i="1"/>
  <c r="W339" i="1"/>
  <c r="V339" i="1"/>
  <c r="U339" i="1"/>
  <c r="T339" i="1"/>
  <c r="Y283" i="1"/>
  <c r="X283" i="1"/>
  <c r="W283" i="1"/>
  <c r="V283" i="1"/>
  <c r="U283" i="1"/>
  <c r="T283" i="1"/>
  <c r="Y211" i="1"/>
  <c r="X211" i="1"/>
  <c r="W211" i="1"/>
  <c r="V211" i="1"/>
  <c r="U211" i="1"/>
  <c r="T211" i="1"/>
  <c r="Y155" i="1"/>
  <c r="X155" i="1"/>
  <c r="W155" i="1"/>
  <c r="V155" i="1"/>
  <c r="U155" i="1"/>
  <c r="T155" i="1"/>
  <c r="Y107" i="1"/>
  <c r="X107" i="1"/>
  <c r="W107" i="1"/>
  <c r="V107" i="1"/>
  <c r="U107" i="1"/>
  <c r="T107" i="1"/>
  <c r="Y43" i="1"/>
  <c r="X43" i="1"/>
  <c r="W43" i="1"/>
  <c r="V43" i="1"/>
  <c r="U43" i="1"/>
  <c r="T43" i="1"/>
  <c r="Y1697" i="1"/>
  <c r="X1697" i="1"/>
  <c r="W1697" i="1"/>
  <c r="V1697" i="1"/>
  <c r="U1697" i="1"/>
  <c r="T1697" i="1"/>
  <c r="Y1689" i="1"/>
  <c r="X1689" i="1"/>
  <c r="W1689" i="1"/>
  <c r="V1689" i="1"/>
  <c r="U1689" i="1"/>
  <c r="T1689" i="1"/>
  <c r="Y1681" i="1"/>
  <c r="X1681" i="1"/>
  <c r="W1681" i="1"/>
  <c r="V1681" i="1"/>
  <c r="U1681" i="1"/>
  <c r="T1681" i="1"/>
  <c r="Y1673" i="1"/>
  <c r="X1673" i="1"/>
  <c r="W1673" i="1"/>
  <c r="V1673" i="1"/>
  <c r="U1673" i="1"/>
  <c r="T1673" i="1"/>
  <c r="Y1665" i="1"/>
  <c r="X1665" i="1"/>
  <c r="W1665" i="1"/>
  <c r="V1665" i="1"/>
  <c r="U1665" i="1"/>
  <c r="T1665" i="1"/>
  <c r="Y1657" i="1"/>
  <c r="X1657" i="1"/>
  <c r="W1657" i="1"/>
  <c r="V1657" i="1"/>
  <c r="U1657" i="1"/>
  <c r="T1657" i="1"/>
  <c r="Y1649" i="1"/>
  <c r="X1649" i="1"/>
  <c r="W1649" i="1"/>
  <c r="V1649" i="1"/>
  <c r="U1649" i="1"/>
  <c r="T1649" i="1"/>
  <c r="Y1641" i="1"/>
  <c r="X1641" i="1"/>
  <c r="W1641" i="1"/>
  <c r="V1641" i="1"/>
  <c r="U1641" i="1"/>
  <c r="T1641" i="1"/>
  <c r="Y1633" i="1"/>
  <c r="X1633" i="1"/>
  <c r="W1633" i="1"/>
  <c r="V1633" i="1"/>
  <c r="U1633" i="1"/>
  <c r="T1633" i="1"/>
  <c r="Y1625" i="1"/>
  <c r="X1625" i="1"/>
  <c r="W1625" i="1"/>
  <c r="V1625" i="1"/>
  <c r="U1625" i="1"/>
  <c r="T1625" i="1"/>
  <c r="Y1617" i="1"/>
  <c r="X1617" i="1"/>
  <c r="W1617" i="1"/>
  <c r="V1617" i="1"/>
  <c r="U1617" i="1"/>
  <c r="T1617" i="1"/>
  <c r="Y1609" i="1"/>
  <c r="X1609" i="1"/>
  <c r="W1609" i="1"/>
  <c r="V1609" i="1"/>
  <c r="U1609" i="1"/>
  <c r="T1609" i="1"/>
  <c r="Y1601" i="1"/>
  <c r="X1601" i="1"/>
  <c r="W1601" i="1"/>
  <c r="V1601" i="1"/>
  <c r="U1601" i="1"/>
  <c r="T1601" i="1"/>
  <c r="Y1593" i="1"/>
  <c r="X1593" i="1"/>
  <c r="W1593" i="1"/>
  <c r="V1593" i="1"/>
  <c r="U1593" i="1"/>
  <c r="T1593" i="1"/>
  <c r="Y1585" i="1"/>
  <c r="X1585" i="1"/>
  <c r="W1585" i="1"/>
  <c r="V1585" i="1"/>
  <c r="U1585" i="1"/>
  <c r="T1585" i="1"/>
  <c r="Y1577" i="1"/>
  <c r="X1577" i="1"/>
  <c r="W1577" i="1"/>
  <c r="V1577" i="1"/>
  <c r="U1577" i="1"/>
  <c r="T1577" i="1"/>
  <c r="Y1569" i="1"/>
  <c r="X1569" i="1"/>
  <c r="W1569" i="1"/>
  <c r="V1569" i="1"/>
  <c r="U1569" i="1"/>
  <c r="T1569" i="1"/>
  <c r="Y1561" i="1"/>
  <c r="X1561" i="1"/>
  <c r="W1561" i="1"/>
  <c r="V1561" i="1"/>
  <c r="U1561" i="1"/>
  <c r="T1561" i="1"/>
  <c r="Y1553" i="1"/>
  <c r="X1553" i="1"/>
  <c r="W1553" i="1"/>
  <c r="V1553" i="1"/>
  <c r="U1553" i="1"/>
  <c r="T1553" i="1"/>
  <c r="Y1545" i="1"/>
  <c r="X1545" i="1"/>
  <c r="W1545" i="1"/>
  <c r="V1545" i="1"/>
  <c r="U1545" i="1"/>
  <c r="T1545" i="1"/>
  <c r="Y1537" i="1"/>
  <c r="X1537" i="1"/>
  <c r="W1537" i="1"/>
  <c r="V1537" i="1"/>
  <c r="U1537" i="1"/>
  <c r="T1537" i="1"/>
  <c r="Y1529" i="1"/>
  <c r="X1529" i="1"/>
  <c r="W1529" i="1"/>
  <c r="V1529" i="1"/>
  <c r="U1529" i="1"/>
  <c r="T1529" i="1"/>
  <c r="Y1521" i="1"/>
  <c r="X1521" i="1"/>
  <c r="W1521" i="1"/>
  <c r="V1521" i="1"/>
  <c r="U1521" i="1"/>
  <c r="T1521" i="1"/>
  <c r="Y1513" i="1"/>
  <c r="W1513" i="1"/>
  <c r="X1513" i="1"/>
  <c r="V1513" i="1"/>
  <c r="U1513" i="1"/>
  <c r="T1513" i="1"/>
  <c r="Y1505" i="1"/>
  <c r="X1505" i="1"/>
  <c r="W1505" i="1"/>
  <c r="V1505" i="1"/>
  <c r="U1505" i="1"/>
  <c r="T1505" i="1"/>
  <c r="Y1497" i="1"/>
  <c r="X1497" i="1"/>
  <c r="W1497" i="1"/>
  <c r="V1497" i="1"/>
  <c r="U1497" i="1"/>
  <c r="T1497" i="1"/>
  <c r="Y1489" i="1"/>
  <c r="W1489" i="1"/>
  <c r="X1489" i="1"/>
  <c r="V1489" i="1"/>
  <c r="U1489" i="1"/>
  <c r="T1489" i="1"/>
  <c r="Y1481" i="1"/>
  <c r="X1481" i="1"/>
  <c r="W1481" i="1"/>
  <c r="V1481" i="1"/>
  <c r="U1481" i="1"/>
  <c r="T1481" i="1"/>
  <c r="Y1473" i="1"/>
  <c r="X1473" i="1"/>
  <c r="W1473" i="1"/>
  <c r="V1473" i="1"/>
  <c r="U1473" i="1"/>
  <c r="T1473" i="1"/>
  <c r="Y1465" i="1"/>
  <c r="X1465" i="1"/>
  <c r="W1465" i="1"/>
  <c r="V1465" i="1"/>
  <c r="U1465" i="1"/>
  <c r="T1465" i="1"/>
  <c r="Y1457" i="1"/>
  <c r="X1457" i="1"/>
  <c r="W1457" i="1"/>
  <c r="V1457" i="1"/>
  <c r="U1457" i="1"/>
  <c r="T1457" i="1"/>
  <c r="Y1449" i="1"/>
  <c r="X1449" i="1"/>
  <c r="W1449" i="1"/>
  <c r="V1449" i="1"/>
  <c r="U1449" i="1"/>
  <c r="T1449" i="1"/>
  <c r="Y1441" i="1"/>
  <c r="X1441" i="1"/>
  <c r="W1441" i="1"/>
  <c r="V1441" i="1"/>
  <c r="U1441" i="1"/>
  <c r="T1441" i="1"/>
  <c r="Y1433" i="1"/>
  <c r="X1433" i="1"/>
  <c r="W1433" i="1"/>
  <c r="V1433" i="1"/>
  <c r="U1433" i="1"/>
  <c r="T1433" i="1"/>
  <c r="Y1425" i="1"/>
  <c r="W1425" i="1"/>
  <c r="X1425" i="1"/>
  <c r="V1425" i="1"/>
  <c r="U1425" i="1"/>
  <c r="T1425" i="1"/>
  <c r="Y1417" i="1"/>
  <c r="X1417" i="1"/>
  <c r="W1417" i="1"/>
  <c r="V1417" i="1"/>
  <c r="U1417" i="1"/>
  <c r="T1417" i="1"/>
  <c r="Y1409" i="1"/>
  <c r="X1409" i="1"/>
  <c r="W1409" i="1"/>
  <c r="V1409" i="1"/>
  <c r="U1409" i="1"/>
  <c r="T1409" i="1"/>
  <c r="Y1401" i="1"/>
  <c r="X1401" i="1"/>
  <c r="W1401" i="1"/>
  <c r="V1401" i="1"/>
  <c r="U1401" i="1"/>
  <c r="T1401" i="1"/>
  <c r="Y1393" i="1"/>
  <c r="X1393" i="1"/>
  <c r="W1393" i="1"/>
  <c r="V1393" i="1"/>
  <c r="U1393" i="1"/>
  <c r="T1393" i="1"/>
  <c r="Y1385" i="1"/>
  <c r="X1385" i="1"/>
  <c r="W1385" i="1"/>
  <c r="V1385" i="1"/>
  <c r="U1385" i="1"/>
  <c r="T1385" i="1"/>
  <c r="Y1377" i="1"/>
  <c r="X1377" i="1"/>
  <c r="W1377" i="1"/>
  <c r="V1377" i="1"/>
  <c r="U1377" i="1"/>
  <c r="T1377" i="1"/>
  <c r="Y1369" i="1"/>
  <c r="X1369" i="1"/>
  <c r="W1369" i="1"/>
  <c r="V1369" i="1"/>
  <c r="U1369" i="1"/>
  <c r="T1369" i="1"/>
  <c r="Y1361" i="1"/>
  <c r="X1361" i="1"/>
  <c r="W1361" i="1"/>
  <c r="V1361" i="1"/>
  <c r="U1361" i="1"/>
  <c r="T1361" i="1"/>
  <c r="Y1353" i="1"/>
  <c r="X1353" i="1"/>
  <c r="W1353" i="1"/>
  <c r="V1353" i="1"/>
  <c r="U1353" i="1"/>
  <c r="T1353" i="1"/>
  <c r="Y1345" i="1"/>
  <c r="X1345" i="1"/>
  <c r="W1345" i="1"/>
  <c r="V1345" i="1"/>
  <c r="U1345" i="1"/>
  <c r="T1345" i="1"/>
  <c r="Y1337" i="1"/>
  <c r="X1337" i="1"/>
  <c r="W1337" i="1"/>
  <c r="V1337" i="1"/>
  <c r="U1337" i="1"/>
  <c r="T1337" i="1"/>
  <c r="Y1329" i="1"/>
  <c r="X1329" i="1"/>
  <c r="W1329" i="1"/>
  <c r="V1329" i="1"/>
  <c r="U1329" i="1"/>
  <c r="T1329" i="1"/>
  <c r="Y1321" i="1"/>
  <c r="W1321" i="1"/>
  <c r="X1321" i="1"/>
  <c r="V1321" i="1"/>
  <c r="U1321" i="1"/>
  <c r="T1321" i="1"/>
  <c r="Y1313" i="1"/>
  <c r="X1313" i="1"/>
  <c r="W1313" i="1"/>
  <c r="V1313" i="1"/>
  <c r="U1313" i="1"/>
  <c r="T1313" i="1"/>
  <c r="Y1305" i="1"/>
  <c r="X1305" i="1"/>
  <c r="W1305" i="1"/>
  <c r="V1305" i="1"/>
  <c r="U1305" i="1"/>
  <c r="T1305" i="1"/>
  <c r="Y1297" i="1"/>
  <c r="X1297" i="1"/>
  <c r="W1297" i="1"/>
  <c r="V1297" i="1"/>
  <c r="U1297" i="1"/>
  <c r="T1297" i="1"/>
  <c r="Y1289" i="1"/>
  <c r="X1289" i="1"/>
  <c r="W1289" i="1"/>
  <c r="V1289" i="1"/>
  <c r="U1289" i="1"/>
  <c r="T1289" i="1"/>
  <c r="Y1281" i="1"/>
  <c r="X1281" i="1"/>
  <c r="W1281" i="1"/>
  <c r="V1281" i="1"/>
  <c r="U1281" i="1"/>
  <c r="T1281" i="1"/>
  <c r="Y1273" i="1"/>
  <c r="X1273" i="1"/>
  <c r="W1273" i="1"/>
  <c r="V1273" i="1"/>
  <c r="U1273" i="1"/>
  <c r="T1273" i="1"/>
  <c r="Y1265" i="1"/>
  <c r="X1265" i="1"/>
  <c r="W1265" i="1"/>
  <c r="V1265" i="1"/>
  <c r="U1265" i="1"/>
  <c r="T1265" i="1"/>
  <c r="Y1257" i="1"/>
  <c r="W1257" i="1"/>
  <c r="X1257" i="1"/>
  <c r="V1257" i="1"/>
  <c r="U1257" i="1"/>
  <c r="T1257" i="1"/>
  <c r="Y1249" i="1"/>
  <c r="X1249" i="1"/>
  <c r="W1249" i="1"/>
  <c r="V1249" i="1"/>
  <c r="U1249" i="1"/>
  <c r="T1249" i="1"/>
  <c r="Y1241" i="1"/>
  <c r="X1241" i="1"/>
  <c r="W1241" i="1"/>
  <c r="V1241" i="1"/>
  <c r="U1241" i="1"/>
  <c r="T1241" i="1"/>
  <c r="Y1233" i="1"/>
  <c r="W1233" i="1"/>
  <c r="X1233" i="1"/>
  <c r="V1233" i="1"/>
  <c r="U1233" i="1"/>
  <c r="T1233" i="1"/>
  <c r="Y1225" i="1"/>
  <c r="X1225" i="1"/>
  <c r="W1225" i="1"/>
  <c r="V1225" i="1"/>
  <c r="U1225" i="1"/>
  <c r="T1225" i="1"/>
  <c r="Y1217" i="1"/>
  <c r="X1217" i="1"/>
  <c r="W1217" i="1"/>
  <c r="V1217" i="1"/>
  <c r="U1217" i="1"/>
  <c r="T1217" i="1"/>
  <c r="Y1209" i="1"/>
  <c r="X1209" i="1"/>
  <c r="W1209" i="1"/>
  <c r="V1209" i="1"/>
  <c r="U1209" i="1"/>
  <c r="T1209" i="1"/>
  <c r="Y1201" i="1"/>
  <c r="X1201" i="1"/>
  <c r="W1201" i="1"/>
  <c r="V1201" i="1"/>
  <c r="U1201" i="1"/>
  <c r="T1201" i="1"/>
  <c r="Y1193" i="1"/>
  <c r="X1193" i="1"/>
  <c r="W1193" i="1"/>
  <c r="V1193" i="1"/>
  <c r="U1193" i="1"/>
  <c r="T1193" i="1"/>
  <c r="Y1185" i="1"/>
  <c r="X1185" i="1"/>
  <c r="W1185" i="1"/>
  <c r="V1185" i="1"/>
  <c r="U1185" i="1"/>
  <c r="T1185" i="1"/>
  <c r="Y1177" i="1"/>
  <c r="X1177" i="1"/>
  <c r="W1177" i="1"/>
  <c r="V1177" i="1"/>
  <c r="U1177" i="1"/>
  <c r="T1177" i="1"/>
  <c r="Y1169" i="1"/>
  <c r="W1169" i="1"/>
  <c r="X1169" i="1"/>
  <c r="V1169" i="1"/>
  <c r="U1169" i="1"/>
  <c r="T1169" i="1"/>
  <c r="Y1161" i="1"/>
  <c r="X1161" i="1"/>
  <c r="W1161" i="1"/>
  <c r="V1161" i="1"/>
  <c r="U1161" i="1"/>
  <c r="T1161" i="1"/>
  <c r="Y1153" i="1"/>
  <c r="X1153" i="1"/>
  <c r="W1153" i="1"/>
  <c r="V1153" i="1"/>
  <c r="U1153" i="1"/>
  <c r="T1153" i="1"/>
  <c r="Y1145" i="1"/>
  <c r="X1145" i="1"/>
  <c r="W1145" i="1"/>
  <c r="V1145" i="1"/>
  <c r="U1145" i="1"/>
  <c r="T1145" i="1"/>
  <c r="Y1137" i="1"/>
  <c r="X1137" i="1"/>
  <c r="W1137" i="1"/>
  <c r="V1137" i="1"/>
  <c r="U1137" i="1"/>
  <c r="T1137" i="1"/>
  <c r="Y1129" i="1"/>
  <c r="X1129" i="1"/>
  <c r="W1129" i="1"/>
  <c r="V1129" i="1"/>
  <c r="U1129" i="1"/>
  <c r="T1129" i="1"/>
  <c r="Y1121" i="1"/>
  <c r="X1121" i="1"/>
  <c r="W1121" i="1"/>
  <c r="V1121" i="1"/>
  <c r="U1121" i="1"/>
  <c r="T1121" i="1"/>
  <c r="Y1113" i="1"/>
  <c r="X1113" i="1"/>
  <c r="W1113" i="1"/>
  <c r="V1113" i="1"/>
  <c r="U1113" i="1"/>
  <c r="T1113" i="1"/>
  <c r="Y1105" i="1"/>
  <c r="X1105" i="1"/>
  <c r="W1105" i="1"/>
  <c r="V1105" i="1"/>
  <c r="U1105" i="1"/>
  <c r="T1105" i="1"/>
  <c r="Y1097" i="1"/>
  <c r="X1097" i="1"/>
  <c r="W1097" i="1"/>
  <c r="V1097" i="1"/>
  <c r="U1097" i="1"/>
  <c r="T1097" i="1"/>
  <c r="Y1089" i="1"/>
  <c r="X1089" i="1"/>
  <c r="W1089" i="1"/>
  <c r="V1089" i="1"/>
  <c r="U1089" i="1"/>
  <c r="T1089" i="1"/>
  <c r="Y1081" i="1"/>
  <c r="X1081" i="1"/>
  <c r="W1081" i="1"/>
  <c r="V1081" i="1"/>
  <c r="U1081" i="1"/>
  <c r="T1081" i="1"/>
  <c r="Y1073" i="1"/>
  <c r="X1073" i="1"/>
  <c r="W1073" i="1"/>
  <c r="V1073" i="1"/>
  <c r="U1073" i="1"/>
  <c r="T1073" i="1"/>
  <c r="Y1065" i="1"/>
  <c r="W1065" i="1"/>
  <c r="X1065" i="1"/>
  <c r="V1065" i="1"/>
  <c r="U1065" i="1"/>
  <c r="T1065" i="1"/>
  <c r="Y1057" i="1"/>
  <c r="X1057" i="1"/>
  <c r="W1057" i="1"/>
  <c r="V1057" i="1"/>
  <c r="U1057" i="1"/>
  <c r="T1057" i="1"/>
  <c r="Y1049" i="1"/>
  <c r="X1049" i="1"/>
  <c r="W1049" i="1"/>
  <c r="V1049" i="1"/>
  <c r="U1049" i="1"/>
  <c r="T1049" i="1"/>
  <c r="Y1041" i="1"/>
  <c r="X1041" i="1"/>
  <c r="W1041" i="1"/>
  <c r="V1041" i="1"/>
  <c r="U1041" i="1"/>
  <c r="T1041" i="1"/>
  <c r="Y1033" i="1"/>
  <c r="X1033" i="1"/>
  <c r="W1033" i="1"/>
  <c r="V1033" i="1"/>
  <c r="U1033" i="1"/>
  <c r="T1033" i="1"/>
  <c r="Y1025" i="1"/>
  <c r="X1025" i="1"/>
  <c r="W1025" i="1"/>
  <c r="V1025" i="1"/>
  <c r="U1025" i="1"/>
  <c r="T1025" i="1"/>
  <c r="Y1017" i="1"/>
  <c r="X1017" i="1"/>
  <c r="W1017" i="1"/>
  <c r="V1017" i="1"/>
  <c r="U1017" i="1"/>
  <c r="T1017" i="1"/>
  <c r="Y1009" i="1"/>
  <c r="X1009" i="1"/>
  <c r="W1009" i="1"/>
  <c r="V1009" i="1"/>
  <c r="U1009" i="1"/>
  <c r="T1009" i="1"/>
  <c r="Y1001" i="1"/>
  <c r="W1001" i="1"/>
  <c r="X1001" i="1"/>
  <c r="V1001" i="1"/>
  <c r="U1001" i="1"/>
  <c r="T1001" i="1"/>
  <c r="Y993" i="1"/>
  <c r="X993" i="1"/>
  <c r="W993" i="1"/>
  <c r="V993" i="1"/>
  <c r="U993" i="1"/>
  <c r="T993" i="1"/>
  <c r="Y985" i="1"/>
  <c r="X985" i="1"/>
  <c r="W985" i="1"/>
  <c r="V985" i="1"/>
  <c r="U985" i="1"/>
  <c r="T985" i="1"/>
  <c r="Y977" i="1"/>
  <c r="W977" i="1"/>
  <c r="X977" i="1"/>
  <c r="V977" i="1"/>
  <c r="U977" i="1"/>
  <c r="T977" i="1"/>
  <c r="Y969" i="1"/>
  <c r="X969" i="1"/>
  <c r="W969" i="1"/>
  <c r="V969" i="1"/>
  <c r="U969" i="1"/>
  <c r="T969" i="1"/>
  <c r="Y961" i="1"/>
  <c r="X961" i="1"/>
  <c r="W961" i="1"/>
  <c r="V961" i="1"/>
  <c r="U961" i="1"/>
  <c r="T961" i="1"/>
  <c r="Y953" i="1"/>
  <c r="X953" i="1"/>
  <c r="W953" i="1"/>
  <c r="V953" i="1"/>
  <c r="U953" i="1"/>
  <c r="T953" i="1"/>
  <c r="Y945" i="1"/>
  <c r="X945" i="1"/>
  <c r="W945" i="1"/>
  <c r="V945" i="1"/>
  <c r="U945" i="1"/>
  <c r="T945" i="1"/>
  <c r="Y937" i="1"/>
  <c r="X937" i="1"/>
  <c r="W937" i="1"/>
  <c r="V937" i="1"/>
  <c r="U937" i="1"/>
  <c r="T937" i="1"/>
  <c r="Y929" i="1"/>
  <c r="X929" i="1"/>
  <c r="W929" i="1"/>
  <c r="V929" i="1"/>
  <c r="U929" i="1"/>
  <c r="T929" i="1"/>
  <c r="Y921" i="1"/>
  <c r="X921" i="1"/>
  <c r="W921" i="1"/>
  <c r="V921" i="1"/>
  <c r="U921" i="1"/>
  <c r="T921" i="1"/>
  <c r="Y913" i="1"/>
  <c r="W913" i="1"/>
  <c r="X913" i="1"/>
  <c r="V913" i="1"/>
  <c r="U913" i="1"/>
  <c r="T913" i="1"/>
  <c r="Y905" i="1"/>
  <c r="X905" i="1"/>
  <c r="W905" i="1"/>
  <c r="V905" i="1"/>
  <c r="U905" i="1"/>
  <c r="T905" i="1"/>
  <c r="Y897" i="1"/>
  <c r="X897" i="1"/>
  <c r="W897" i="1"/>
  <c r="V897" i="1"/>
  <c r="U897" i="1"/>
  <c r="T897" i="1"/>
  <c r="Y889" i="1"/>
  <c r="X889" i="1"/>
  <c r="W889" i="1"/>
  <c r="V889" i="1"/>
  <c r="U889" i="1"/>
  <c r="T889" i="1"/>
  <c r="Y881" i="1"/>
  <c r="X881" i="1"/>
  <c r="W881" i="1"/>
  <c r="V881" i="1"/>
  <c r="U881" i="1"/>
  <c r="T881" i="1"/>
  <c r="Y873" i="1"/>
  <c r="X873" i="1"/>
  <c r="W873" i="1"/>
  <c r="V873" i="1"/>
  <c r="U873" i="1"/>
  <c r="T873" i="1"/>
  <c r="Y865" i="1"/>
  <c r="X865" i="1"/>
  <c r="W865" i="1"/>
  <c r="V865" i="1"/>
  <c r="U865" i="1"/>
  <c r="T865" i="1"/>
  <c r="Y857" i="1"/>
  <c r="X857" i="1"/>
  <c r="W857" i="1"/>
  <c r="V857" i="1"/>
  <c r="U857" i="1"/>
  <c r="T857" i="1"/>
  <c r="Y849" i="1"/>
  <c r="X849" i="1"/>
  <c r="W849" i="1"/>
  <c r="V849" i="1"/>
  <c r="U849" i="1"/>
  <c r="T849" i="1"/>
  <c r="Y841" i="1"/>
  <c r="X841" i="1"/>
  <c r="W841" i="1"/>
  <c r="V841" i="1"/>
  <c r="U841" i="1"/>
  <c r="T841" i="1"/>
  <c r="Y833" i="1"/>
  <c r="X833" i="1"/>
  <c r="W833" i="1"/>
  <c r="V833" i="1"/>
  <c r="U833" i="1"/>
  <c r="T833" i="1"/>
  <c r="Y825" i="1"/>
  <c r="X825" i="1"/>
  <c r="W825" i="1"/>
  <c r="V825" i="1"/>
  <c r="U825" i="1"/>
  <c r="T825" i="1"/>
  <c r="Y817" i="1"/>
  <c r="X817" i="1"/>
  <c r="W817" i="1"/>
  <c r="V817" i="1"/>
  <c r="U817" i="1"/>
  <c r="T817" i="1"/>
  <c r="Y809" i="1"/>
  <c r="W809" i="1"/>
  <c r="X809" i="1"/>
  <c r="V809" i="1"/>
  <c r="U809" i="1"/>
  <c r="T809" i="1"/>
  <c r="Y801" i="1"/>
  <c r="X801" i="1"/>
  <c r="W801" i="1"/>
  <c r="V801" i="1"/>
  <c r="U801" i="1"/>
  <c r="T801" i="1"/>
  <c r="Y793" i="1"/>
  <c r="X793" i="1"/>
  <c r="W793" i="1"/>
  <c r="V793" i="1"/>
  <c r="U793" i="1"/>
  <c r="T793" i="1"/>
  <c r="Y785" i="1"/>
  <c r="X785" i="1"/>
  <c r="W785" i="1"/>
  <c r="V785" i="1"/>
  <c r="U785" i="1"/>
  <c r="T785" i="1"/>
  <c r="Y777" i="1"/>
  <c r="X777" i="1"/>
  <c r="W777" i="1"/>
  <c r="V777" i="1"/>
  <c r="U777" i="1"/>
  <c r="T777" i="1"/>
  <c r="Y769" i="1"/>
  <c r="X769" i="1"/>
  <c r="W769" i="1"/>
  <c r="V769" i="1"/>
  <c r="U769" i="1"/>
  <c r="T769" i="1"/>
  <c r="Y761" i="1"/>
  <c r="X761" i="1"/>
  <c r="W761" i="1"/>
  <c r="V761" i="1"/>
  <c r="U761" i="1"/>
  <c r="T761" i="1"/>
  <c r="Y753" i="1"/>
  <c r="X753" i="1"/>
  <c r="W753" i="1"/>
  <c r="V753" i="1"/>
  <c r="U753" i="1"/>
  <c r="T753" i="1"/>
  <c r="Y745" i="1"/>
  <c r="W745" i="1"/>
  <c r="X745" i="1"/>
  <c r="V745" i="1"/>
  <c r="U745" i="1"/>
  <c r="T745" i="1"/>
  <c r="Y737" i="1"/>
  <c r="X737" i="1"/>
  <c r="W737" i="1"/>
  <c r="V737" i="1"/>
  <c r="U737" i="1"/>
  <c r="T737" i="1"/>
  <c r="Y729" i="1"/>
  <c r="X729" i="1"/>
  <c r="W729" i="1"/>
  <c r="V729" i="1"/>
  <c r="U729" i="1"/>
  <c r="T729" i="1"/>
  <c r="Y721" i="1"/>
  <c r="W721" i="1"/>
  <c r="X721" i="1"/>
  <c r="V721" i="1"/>
  <c r="U721" i="1"/>
  <c r="T721" i="1"/>
  <c r="Y713" i="1"/>
  <c r="X713" i="1"/>
  <c r="W713" i="1"/>
  <c r="V713" i="1"/>
  <c r="U713" i="1"/>
  <c r="T713" i="1"/>
  <c r="Y705" i="1"/>
  <c r="X705" i="1"/>
  <c r="W705" i="1"/>
  <c r="V705" i="1"/>
  <c r="U705" i="1"/>
  <c r="T705" i="1"/>
  <c r="Y697" i="1"/>
  <c r="X697" i="1"/>
  <c r="W697" i="1"/>
  <c r="V697" i="1"/>
  <c r="U697" i="1"/>
  <c r="T697" i="1"/>
  <c r="Y689" i="1"/>
  <c r="X689" i="1"/>
  <c r="W689" i="1"/>
  <c r="V689" i="1"/>
  <c r="U689" i="1"/>
  <c r="T689" i="1"/>
  <c r="Y681" i="1"/>
  <c r="X681" i="1"/>
  <c r="W681" i="1"/>
  <c r="V681" i="1"/>
  <c r="U681" i="1"/>
  <c r="T681" i="1"/>
  <c r="Y673" i="1"/>
  <c r="X673" i="1"/>
  <c r="W673" i="1"/>
  <c r="V673" i="1"/>
  <c r="U673" i="1"/>
  <c r="T673" i="1"/>
  <c r="Y665" i="1"/>
  <c r="X665" i="1"/>
  <c r="W665" i="1"/>
  <c r="V665" i="1"/>
  <c r="U665" i="1"/>
  <c r="T665" i="1"/>
  <c r="Y657" i="1"/>
  <c r="W657" i="1"/>
  <c r="X657" i="1"/>
  <c r="V657" i="1"/>
  <c r="U657" i="1"/>
  <c r="T657" i="1"/>
  <c r="Y649" i="1"/>
  <c r="X649" i="1"/>
  <c r="W649" i="1"/>
  <c r="V649" i="1"/>
  <c r="U649" i="1"/>
  <c r="T649" i="1"/>
  <c r="Y641" i="1"/>
  <c r="X641" i="1"/>
  <c r="W641" i="1"/>
  <c r="V641" i="1"/>
  <c r="U641" i="1"/>
  <c r="T641" i="1"/>
  <c r="Y633" i="1"/>
  <c r="X633" i="1"/>
  <c r="W633" i="1"/>
  <c r="V633" i="1"/>
  <c r="U633" i="1"/>
  <c r="T633" i="1"/>
  <c r="Y625" i="1"/>
  <c r="X625" i="1"/>
  <c r="W625" i="1"/>
  <c r="V625" i="1"/>
  <c r="U625" i="1"/>
  <c r="T625" i="1"/>
  <c r="Y617" i="1"/>
  <c r="X617" i="1"/>
  <c r="W617" i="1"/>
  <c r="V617" i="1"/>
  <c r="U617" i="1"/>
  <c r="T617" i="1"/>
  <c r="Y609" i="1"/>
  <c r="X609" i="1"/>
  <c r="W609" i="1"/>
  <c r="V609" i="1"/>
  <c r="U609" i="1"/>
  <c r="T609" i="1"/>
  <c r="Y601" i="1"/>
  <c r="X601" i="1"/>
  <c r="W601" i="1"/>
  <c r="V601" i="1"/>
  <c r="U601" i="1"/>
  <c r="T601" i="1"/>
  <c r="Y593" i="1"/>
  <c r="X593" i="1"/>
  <c r="W593" i="1"/>
  <c r="V593" i="1"/>
  <c r="U593" i="1"/>
  <c r="T593" i="1"/>
  <c r="Y585" i="1"/>
  <c r="X585" i="1"/>
  <c r="W585" i="1"/>
  <c r="V585" i="1"/>
  <c r="U585" i="1"/>
  <c r="T585" i="1"/>
  <c r="Y577" i="1"/>
  <c r="X577" i="1"/>
  <c r="W577" i="1"/>
  <c r="V577" i="1"/>
  <c r="U577" i="1"/>
  <c r="T577" i="1"/>
  <c r="Y569" i="1"/>
  <c r="X569" i="1"/>
  <c r="W569" i="1"/>
  <c r="V569" i="1"/>
  <c r="U569" i="1"/>
  <c r="T569" i="1"/>
  <c r="Y561" i="1"/>
  <c r="X561" i="1"/>
  <c r="W561" i="1"/>
  <c r="V561" i="1"/>
  <c r="U561" i="1"/>
  <c r="T561" i="1"/>
  <c r="Y553" i="1"/>
  <c r="W553" i="1"/>
  <c r="X553" i="1"/>
  <c r="V553" i="1"/>
  <c r="U553" i="1"/>
  <c r="T553" i="1"/>
  <c r="Y545" i="1"/>
  <c r="X545" i="1"/>
  <c r="W545" i="1"/>
  <c r="V545" i="1"/>
  <c r="U545" i="1"/>
  <c r="T545" i="1"/>
  <c r="Y537" i="1"/>
  <c r="X537" i="1"/>
  <c r="W537" i="1"/>
  <c r="V537" i="1"/>
  <c r="U537" i="1"/>
  <c r="T537" i="1"/>
  <c r="Y529" i="1"/>
  <c r="X529" i="1"/>
  <c r="W529" i="1"/>
  <c r="V529" i="1"/>
  <c r="U529" i="1"/>
  <c r="T529" i="1"/>
  <c r="Y521" i="1"/>
  <c r="X521" i="1"/>
  <c r="W521" i="1"/>
  <c r="V521" i="1"/>
  <c r="U521" i="1"/>
  <c r="T521" i="1"/>
  <c r="Y513" i="1"/>
  <c r="X513" i="1"/>
  <c r="W513" i="1"/>
  <c r="V513" i="1"/>
  <c r="U513" i="1"/>
  <c r="T513" i="1"/>
  <c r="Y505" i="1"/>
  <c r="X505" i="1"/>
  <c r="W505" i="1"/>
  <c r="V505" i="1"/>
  <c r="U505" i="1"/>
  <c r="T505" i="1"/>
  <c r="Y497" i="1"/>
  <c r="X497" i="1"/>
  <c r="W497" i="1"/>
  <c r="V497" i="1"/>
  <c r="U497" i="1"/>
  <c r="T497" i="1"/>
  <c r="Y489" i="1"/>
  <c r="X489" i="1"/>
  <c r="W489" i="1"/>
  <c r="V489" i="1"/>
  <c r="U489" i="1"/>
  <c r="T489" i="1"/>
  <c r="Y481" i="1"/>
  <c r="X481" i="1"/>
  <c r="W481" i="1"/>
  <c r="V481" i="1"/>
  <c r="U481" i="1"/>
  <c r="T481" i="1"/>
  <c r="Y473" i="1"/>
  <c r="X473" i="1"/>
  <c r="W473" i="1"/>
  <c r="V473" i="1"/>
  <c r="U473" i="1"/>
  <c r="T473" i="1"/>
  <c r="Y465" i="1"/>
  <c r="W465" i="1"/>
  <c r="X465" i="1"/>
  <c r="V465" i="1"/>
  <c r="U465" i="1"/>
  <c r="T465" i="1"/>
  <c r="Y457" i="1"/>
  <c r="X457" i="1"/>
  <c r="W457" i="1"/>
  <c r="V457" i="1"/>
  <c r="U457" i="1"/>
  <c r="T457" i="1"/>
  <c r="Y449" i="1"/>
  <c r="X449" i="1"/>
  <c r="W449" i="1"/>
  <c r="V449" i="1"/>
  <c r="U449" i="1"/>
  <c r="T449" i="1"/>
  <c r="Y441" i="1"/>
  <c r="X441" i="1"/>
  <c r="W441" i="1"/>
  <c r="V441" i="1"/>
  <c r="U441" i="1"/>
  <c r="T441" i="1"/>
  <c r="Y433" i="1"/>
  <c r="W433" i="1"/>
  <c r="X433" i="1"/>
  <c r="V433" i="1"/>
  <c r="U433" i="1"/>
  <c r="T433" i="1"/>
  <c r="Y425" i="1"/>
  <c r="X425" i="1"/>
  <c r="W425" i="1"/>
  <c r="V425" i="1"/>
  <c r="U425" i="1"/>
  <c r="T425" i="1"/>
  <c r="Y417" i="1"/>
  <c r="X417" i="1"/>
  <c r="W417" i="1"/>
  <c r="V417" i="1"/>
  <c r="U417" i="1"/>
  <c r="T417" i="1"/>
  <c r="Y409" i="1"/>
  <c r="X409" i="1"/>
  <c r="W409" i="1"/>
  <c r="V409" i="1"/>
  <c r="U409" i="1"/>
  <c r="T409" i="1"/>
  <c r="Y401" i="1"/>
  <c r="X401" i="1"/>
  <c r="W401" i="1"/>
  <c r="V401" i="1"/>
  <c r="U401" i="1"/>
  <c r="T401" i="1"/>
  <c r="Y393" i="1"/>
  <c r="X393" i="1"/>
  <c r="W393" i="1"/>
  <c r="V393" i="1"/>
  <c r="U393" i="1"/>
  <c r="T393" i="1"/>
  <c r="Y385" i="1"/>
  <c r="X385" i="1"/>
  <c r="W385" i="1"/>
  <c r="V385" i="1"/>
  <c r="U385" i="1"/>
  <c r="T385" i="1"/>
  <c r="Y377" i="1"/>
  <c r="X377" i="1"/>
  <c r="W377" i="1"/>
  <c r="V377" i="1"/>
  <c r="U377" i="1"/>
  <c r="T377" i="1"/>
  <c r="Y369" i="1"/>
  <c r="X369" i="1"/>
  <c r="W369" i="1"/>
  <c r="V369" i="1"/>
  <c r="U369" i="1"/>
  <c r="T369" i="1"/>
  <c r="Y361" i="1"/>
  <c r="X361" i="1"/>
  <c r="W361" i="1"/>
  <c r="V361" i="1"/>
  <c r="U361" i="1"/>
  <c r="T361" i="1"/>
  <c r="Y353" i="1"/>
  <c r="X353" i="1"/>
  <c r="W353" i="1"/>
  <c r="V353" i="1"/>
  <c r="U353" i="1"/>
  <c r="T353" i="1"/>
  <c r="Y345" i="1"/>
  <c r="X345" i="1"/>
  <c r="W345" i="1"/>
  <c r="V345" i="1"/>
  <c r="U345" i="1"/>
  <c r="T345" i="1"/>
  <c r="Y337" i="1"/>
  <c r="W337" i="1"/>
  <c r="X337" i="1"/>
  <c r="V337" i="1"/>
  <c r="U337" i="1"/>
  <c r="T337" i="1"/>
  <c r="Y329" i="1"/>
  <c r="X329" i="1"/>
  <c r="W329" i="1"/>
  <c r="V329" i="1"/>
  <c r="U329" i="1"/>
  <c r="T329" i="1"/>
  <c r="Y321" i="1"/>
  <c r="X321" i="1"/>
  <c r="W321" i="1"/>
  <c r="V321" i="1"/>
  <c r="U321" i="1"/>
  <c r="T321" i="1"/>
  <c r="Y313" i="1"/>
  <c r="X313" i="1"/>
  <c r="W313" i="1"/>
  <c r="V313" i="1"/>
  <c r="U313" i="1"/>
  <c r="T313" i="1"/>
  <c r="Y305" i="1"/>
  <c r="W305" i="1"/>
  <c r="X305" i="1"/>
  <c r="V305" i="1"/>
  <c r="U305" i="1"/>
  <c r="T305" i="1"/>
  <c r="Y297" i="1"/>
  <c r="X297" i="1"/>
  <c r="W297" i="1"/>
  <c r="V297" i="1"/>
  <c r="U297" i="1"/>
  <c r="T297" i="1"/>
  <c r="Y289" i="1"/>
  <c r="X289" i="1"/>
  <c r="W289" i="1"/>
  <c r="V289" i="1"/>
  <c r="U289" i="1"/>
  <c r="T289" i="1"/>
  <c r="Y281" i="1"/>
  <c r="X281" i="1"/>
  <c r="W281" i="1"/>
  <c r="V281" i="1"/>
  <c r="U281" i="1"/>
  <c r="T281" i="1"/>
  <c r="Y273" i="1"/>
  <c r="X273" i="1"/>
  <c r="W273" i="1"/>
  <c r="V273" i="1"/>
  <c r="U273" i="1"/>
  <c r="T273" i="1"/>
  <c r="Y265" i="1"/>
  <c r="X265" i="1"/>
  <c r="W265" i="1"/>
  <c r="V265" i="1"/>
  <c r="U265" i="1"/>
  <c r="T265" i="1"/>
  <c r="Y257" i="1"/>
  <c r="X257" i="1"/>
  <c r="W257" i="1"/>
  <c r="V257" i="1"/>
  <c r="U257" i="1"/>
  <c r="T257" i="1"/>
  <c r="Y249" i="1"/>
  <c r="X249" i="1"/>
  <c r="W249" i="1"/>
  <c r="V249" i="1"/>
  <c r="U249" i="1"/>
  <c r="T249" i="1"/>
  <c r="Y241" i="1"/>
  <c r="X241" i="1"/>
  <c r="W241" i="1"/>
  <c r="V241" i="1"/>
  <c r="U241" i="1"/>
  <c r="T241" i="1"/>
  <c r="Y233" i="1"/>
  <c r="X233" i="1"/>
  <c r="W233" i="1"/>
  <c r="V233" i="1"/>
  <c r="U233" i="1"/>
  <c r="T233" i="1"/>
  <c r="Y225" i="1"/>
  <c r="X225" i="1"/>
  <c r="W225" i="1"/>
  <c r="V225" i="1"/>
  <c r="U225" i="1"/>
  <c r="T225" i="1"/>
  <c r="Y217" i="1"/>
  <c r="X217" i="1"/>
  <c r="W217" i="1"/>
  <c r="V217" i="1"/>
  <c r="U217" i="1"/>
  <c r="T217" i="1"/>
  <c r="Y209" i="1"/>
  <c r="W209" i="1"/>
  <c r="X209" i="1"/>
  <c r="V209" i="1"/>
  <c r="U209" i="1"/>
  <c r="T209" i="1"/>
  <c r="Y201" i="1"/>
  <c r="X201" i="1"/>
  <c r="W201" i="1"/>
  <c r="V201" i="1"/>
  <c r="U201" i="1"/>
  <c r="T201" i="1"/>
  <c r="Y193" i="1"/>
  <c r="X193" i="1"/>
  <c r="W193" i="1"/>
  <c r="V193" i="1"/>
  <c r="U193" i="1"/>
  <c r="T193" i="1"/>
  <c r="Y185" i="1"/>
  <c r="X185" i="1"/>
  <c r="W185" i="1"/>
  <c r="V185" i="1"/>
  <c r="U185" i="1"/>
  <c r="T185" i="1"/>
  <c r="Y177" i="1"/>
  <c r="W177" i="1"/>
  <c r="X177" i="1"/>
  <c r="V177" i="1"/>
  <c r="U177" i="1"/>
  <c r="T177" i="1"/>
  <c r="Y169" i="1"/>
  <c r="X169" i="1"/>
  <c r="W169" i="1"/>
  <c r="V169" i="1"/>
  <c r="U169" i="1"/>
  <c r="T169" i="1"/>
  <c r="Y161" i="1"/>
  <c r="X161" i="1"/>
  <c r="W161" i="1"/>
  <c r="V161" i="1"/>
  <c r="U161" i="1"/>
  <c r="T161" i="1"/>
  <c r="Y153" i="1"/>
  <c r="X153" i="1"/>
  <c r="W153" i="1"/>
  <c r="V153" i="1"/>
  <c r="U153" i="1"/>
  <c r="T153" i="1"/>
  <c r="Y145" i="1"/>
  <c r="X145" i="1"/>
  <c r="W145" i="1"/>
  <c r="V145" i="1"/>
  <c r="U145" i="1"/>
  <c r="T145" i="1"/>
  <c r="Y137" i="1"/>
  <c r="X137" i="1"/>
  <c r="W137" i="1"/>
  <c r="V137" i="1"/>
  <c r="U137" i="1"/>
  <c r="T137" i="1"/>
  <c r="Y129" i="1"/>
  <c r="X129" i="1"/>
  <c r="W129" i="1"/>
  <c r="V129" i="1"/>
  <c r="U129" i="1"/>
  <c r="T129" i="1"/>
  <c r="Y121" i="1"/>
  <c r="X121" i="1"/>
  <c r="W121" i="1"/>
  <c r="V121" i="1"/>
  <c r="U121" i="1"/>
  <c r="T121" i="1"/>
  <c r="Y113" i="1"/>
  <c r="X113" i="1"/>
  <c r="W113" i="1"/>
  <c r="V113" i="1"/>
  <c r="U113" i="1"/>
  <c r="T113" i="1"/>
  <c r="Y105" i="1"/>
  <c r="X105" i="1"/>
  <c r="W105" i="1"/>
  <c r="V105" i="1"/>
  <c r="U105" i="1"/>
  <c r="T105" i="1"/>
  <c r="Y97" i="1"/>
  <c r="X97" i="1"/>
  <c r="W97" i="1"/>
  <c r="V97" i="1"/>
  <c r="U97" i="1"/>
  <c r="T97" i="1"/>
  <c r="Y89" i="1"/>
  <c r="X89" i="1"/>
  <c r="W89" i="1"/>
  <c r="V89" i="1"/>
  <c r="U89" i="1"/>
  <c r="T89" i="1"/>
  <c r="Y81" i="1"/>
  <c r="W81" i="1"/>
  <c r="X81" i="1"/>
  <c r="V81" i="1"/>
  <c r="U81" i="1"/>
  <c r="T81" i="1"/>
  <c r="Y73" i="1"/>
  <c r="X73" i="1"/>
  <c r="W73" i="1"/>
  <c r="V73" i="1"/>
  <c r="U73" i="1"/>
  <c r="T73" i="1"/>
  <c r="Y65" i="1"/>
  <c r="X65" i="1"/>
  <c r="W65" i="1"/>
  <c r="V65" i="1"/>
  <c r="U65" i="1"/>
  <c r="T65" i="1"/>
  <c r="Y57" i="1"/>
  <c r="X57" i="1"/>
  <c r="W57" i="1"/>
  <c r="V57" i="1"/>
  <c r="U57" i="1"/>
  <c r="T57" i="1"/>
  <c r="Y49" i="1"/>
  <c r="W49" i="1"/>
  <c r="X49" i="1"/>
  <c r="V49" i="1"/>
  <c r="U49" i="1"/>
  <c r="T49" i="1"/>
  <c r="Y41" i="1"/>
  <c r="X41" i="1"/>
  <c r="W41" i="1"/>
  <c r="V41" i="1"/>
  <c r="U41" i="1"/>
  <c r="T41" i="1"/>
  <c r="Y33" i="1"/>
  <c r="X33" i="1"/>
  <c r="W33" i="1"/>
  <c r="V33" i="1"/>
  <c r="U33" i="1"/>
  <c r="T33" i="1"/>
  <c r="Y25" i="1"/>
  <c r="X25" i="1"/>
  <c r="W25" i="1"/>
  <c r="V25" i="1"/>
  <c r="U25" i="1"/>
  <c r="T25" i="1"/>
  <c r="Y17" i="1"/>
  <c r="X17" i="1"/>
  <c r="W17" i="1"/>
  <c r="V17" i="1"/>
  <c r="U17" i="1"/>
  <c r="T17" i="1"/>
  <c r="Y9" i="1"/>
  <c r="X9" i="1"/>
  <c r="W9" i="1"/>
  <c r="V9" i="1"/>
  <c r="U9" i="1"/>
  <c r="T9" i="1"/>
  <c r="Y1710" i="1"/>
  <c r="X1710" i="1"/>
  <c r="W1710" i="1"/>
  <c r="V1710" i="1"/>
  <c r="T1710" i="1"/>
  <c r="U1710" i="1"/>
  <c r="Y1716" i="1"/>
  <c r="X1716" i="1"/>
  <c r="W1716" i="1"/>
  <c r="V1716" i="1"/>
  <c r="U1716" i="1"/>
  <c r="T1716" i="1"/>
  <c r="Y1721" i="1"/>
  <c r="X1721" i="1"/>
  <c r="W1721" i="1"/>
  <c r="V1721" i="1"/>
  <c r="U1721" i="1"/>
  <c r="T1721" i="1"/>
  <c r="Y1727" i="1"/>
  <c r="X1727" i="1"/>
  <c r="W1727" i="1"/>
  <c r="V1727" i="1"/>
  <c r="U1727" i="1"/>
  <c r="T1727" i="1"/>
  <c r="Y1743" i="1"/>
  <c r="X1743" i="1"/>
  <c r="W1743" i="1"/>
  <c r="V1743" i="1"/>
  <c r="U1743" i="1"/>
  <c r="T1743" i="1"/>
  <c r="Y1735" i="1"/>
  <c r="X1735" i="1"/>
  <c r="W1735" i="1"/>
  <c r="V1735" i="1"/>
  <c r="U1735" i="1"/>
  <c r="T1735" i="1"/>
  <c r="Y1752" i="1"/>
  <c r="X1752" i="1"/>
  <c r="W1752" i="1"/>
  <c r="V1752" i="1"/>
  <c r="U1752" i="1"/>
  <c r="T1752" i="1"/>
  <c r="Y1764" i="1"/>
  <c r="X1764" i="1"/>
  <c r="W1764" i="1"/>
  <c r="V1764" i="1"/>
  <c r="U1764" i="1"/>
  <c r="T1764" i="1"/>
  <c r="Y1774" i="1"/>
  <c r="X1774" i="1"/>
  <c r="W1774" i="1"/>
  <c r="V1774" i="1"/>
  <c r="U1774" i="1"/>
  <c r="T1774" i="1"/>
  <c r="X1784" i="1"/>
  <c r="Y1784" i="1"/>
  <c r="W1784" i="1"/>
  <c r="V1784" i="1"/>
  <c r="U1784" i="1"/>
  <c r="T1784" i="1"/>
  <c r="Y1792" i="1"/>
  <c r="X1792" i="1"/>
  <c r="W1792" i="1"/>
  <c r="V1792" i="1"/>
  <c r="U1792" i="1"/>
  <c r="T1792" i="1"/>
  <c r="Y1804" i="1"/>
  <c r="X1804" i="1"/>
  <c r="W1804" i="1"/>
  <c r="V1804" i="1"/>
  <c r="U1804" i="1"/>
  <c r="T1804" i="1"/>
  <c r="Y1808" i="1"/>
  <c r="X1808" i="1"/>
  <c r="W1808" i="1"/>
  <c r="V1808" i="1"/>
  <c r="U1808" i="1"/>
  <c r="T1808" i="1"/>
  <c r="Y1822" i="1"/>
  <c r="X1822" i="1"/>
  <c r="W1822" i="1"/>
  <c r="V1822" i="1"/>
  <c r="U1822" i="1"/>
  <c r="T1822" i="1"/>
  <c r="Y1659" i="1"/>
  <c r="X1659" i="1"/>
  <c r="W1659" i="1"/>
  <c r="V1659" i="1"/>
  <c r="U1659" i="1"/>
  <c r="T1659" i="1"/>
  <c r="Y1595" i="1"/>
  <c r="X1595" i="1"/>
  <c r="W1595" i="1"/>
  <c r="V1595" i="1"/>
  <c r="U1595" i="1"/>
  <c r="T1595" i="1"/>
  <c r="Y1531" i="1"/>
  <c r="X1531" i="1"/>
  <c r="W1531" i="1"/>
  <c r="V1531" i="1"/>
  <c r="U1531" i="1"/>
  <c r="T1531" i="1"/>
  <c r="Y1467" i="1"/>
  <c r="X1467" i="1"/>
  <c r="W1467" i="1"/>
  <c r="V1467" i="1"/>
  <c r="U1467" i="1"/>
  <c r="T1467" i="1"/>
  <c r="Y1411" i="1"/>
  <c r="X1411" i="1"/>
  <c r="W1411" i="1"/>
  <c r="V1411" i="1"/>
  <c r="U1411" i="1"/>
  <c r="T1411" i="1"/>
  <c r="Y1347" i="1"/>
  <c r="X1347" i="1"/>
  <c r="W1347" i="1"/>
  <c r="V1347" i="1"/>
  <c r="U1347" i="1"/>
  <c r="T1347" i="1"/>
  <c r="Y1283" i="1"/>
  <c r="X1283" i="1"/>
  <c r="W1283" i="1"/>
  <c r="V1283" i="1"/>
  <c r="U1283" i="1"/>
  <c r="T1283" i="1"/>
  <c r="Y1219" i="1"/>
  <c r="X1219" i="1"/>
  <c r="W1219" i="1"/>
  <c r="V1219" i="1"/>
  <c r="U1219" i="1"/>
  <c r="T1219" i="1"/>
  <c r="Y1155" i="1"/>
  <c r="X1155" i="1"/>
  <c r="W1155" i="1"/>
  <c r="V1155" i="1"/>
  <c r="U1155" i="1"/>
  <c r="T1155" i="1"/>
  <c r="Y1091" i="1"/>
  <c r="X1091" i="1"/>
  <c r="W1091" i="1"/>
  <c r="V1091" i="1"/>
  <c r="U1091" i="1"/>
  <c r="T1091" i="1"/>
  <c r="Y1035" i="1"/>
  <c r="X1035" i="1"/>
  <c r="W1035" i="1"/>
  <c r="V1035" i="1"/>
  <c r="U1035" i="1"/>
  <c r="T1035" i="1"/>
  <c r="Y987" i="1"/>
  <c r="X987" i="1"/>
  <c r="W987" i="1"/>
  <c r="V987" i="1"/>
  <c r="U987" i="1"/>
  <c r="T987" i="1"/>
  <c r="Y939" i="1"/>
  <c r="X939" i="1"/>
  <c r="W939" i="1"/>
  <c r="V939" i="1"/>
  <c r="U939" i="1"/>
  <c r="T939" i="1"/>
  <c r="Y883" i="1"/>
  <c r="X883" i="1"/>
  <c r="W883" i="1"/>
  <c r="V883" i="1"/>
  <c r="U883" i="1"/>
  <c r="T883" i="1"/>
  <c r="Y819" i="1"/>
  <c r="X819" i="1"/>
  <c r="W819" i="1"/>
  <c r="V819" i="1"/>
  <c r="U819" i="1"/>
  <c r="T819" i="1"/>
  <c r="Y755" i="1"/>
  <c r="X755" i="1"/>
  <c r="W755" i="1"/>
  <c r="V755" i="1"/>
  <c r="U755" i="1"/>
  <c r="T755" i="1"/>
  <c r="Y699" i="1"/>
  <c r="X699" i="1"/>
  <c r="W699" i="1"/>
  <c r="V699" i="1"/>
  <c r="U699" i="1"/>
  <c r="T699" i="1"/>
  <c r="Y643" i="1"/>
  <c r="X643" i="1"/>
  <c r="W643" i="1"/>
  <c r="V643" i="1"/>
  <c r="U643" i="1"/>
  <c r="T643" i="1"/>
  <c r="Y579" i="1"/>
  <c r="X579" i="1"/>
  <c r="W579" i="1"/>
  <c r="V579" i="1"/>
  <c r="U579" i="1"/>
  <c r="T579" i="1"/>
  <c r="Y515" i="1"/>
  <c r="X515" i="1"/>
  <c r="W515" i="1"/>
  <c r="V515" i="1"/>
  <c r="U515" i="1"/>
  <c r="T515" i="1"/>
  <c r="Y451" i="1"/>
  <c r="X451" i="1"/>
  <c r="W451" i="1"/>
  <c r="V451" i="1"/>
  <c r="U451" i="1"/>
  <c r="T451" i="1"/>
  <c r="Y387" i="1"/>
  <c r="X387" i="1"/>
  <c r="W387" i="1"/>
  <c r="V387" i="1"/>
  <c r="U387" i="1"/>
  <c r="T387" i="1"/>
  <c r="Y331" i="1"/>
  <c r="X331" i="1"/>
  <c r="W331" i="1"/>
  <c r="V331" i="1"/>
  <c r="U331" i="1"/>
  <c r="T331" i="1"/>
  <c r="Y259" i="1"/>
  <c r="X259" i="1"/>
  <c r="W259" i="1"/>
  <c r="V259" i="1"/>
  <c r="U259" i="1"/>
  <c r="T259" i="1"/>
  <c r="Y203" i="1"/>
  <c r="X203" i="1"/>
  <c r="W203" i="1"/>
  <c r="V203" i="1"/>
  <c r="U203" i="1"/>
  <c r="T203" i="1"/>
  <c r="Y131" i="1"/>
  <c r="X131" i="1"/>
  <c r="W131" i="1"/>
  <c r="V131" i="1"/>
  <c r="U131" i="1"/>
  <c r="T131" i="1"/>
  <c r="Y67" i="1"/>
  <c r="X67" i="1"/>
  <c r="W67" i="1"/>
  <c r="V67" i="1"/>
  <c r="U67" i="1"/>
  <c r="T67" i="1"/>
  <c r="Y3" i="1"/>
  <c r="X3" i="1"/>
  <c r="W3" i="1"/>
  <c r="V3" i="1"/>
  <c r="U3" i="1"/>
  <c r="T3" i="1"/>
  <c r="Y1696" i="1"/>
  <c r="X1696" i="1"/>
  <c r="W1696" i="1"/>
  <c r="U1696" i="1"/>
  <c r="T1696" i="1"/>
  <c r="V1696" i="1"/>
  <c r="Y1688" i="1"/>
  <c r="X1688" i="1"/>
  <c r="W1688" i="1"/>
  <c r="V1688" i="1"/>
  <c r="U1688" i="1"/>
  <c r="T1688" i="1"/>
  <c r="Y1672" i="1"/>
  <c r="X1672" i="1"/>
  <c r="W1672" i="1"/>
  <c r="V1672" i="1"/>
  <c r="U1672" i="1"/>
  <c r="T1672" i="1"/>
  <c r="Y1656" i="1"/>
  <c r="X1656" i="1"/>
  <c r="W1656" i="1"/>
  <c r="V1656" i="1"/>
  <c r="U1656" i="1"/>
  <c r="T1656" i="1"/>
  <c r="Y1640" i="1"/>
  <c r="X1640" i="1"/>
  <c r="W1640" i="1"/>
  <c r="V1640" i="1"/>
  <c r="U1640" i="1"/>
  <c r="T1640" i="1"/>
  <c r="Y1624" i="1"/>
  <c r="X1624" i="1"/>
  <c r="W1624" i="1"/>
  <c r="V1624" i="1"/>
  <c r="U1624" i="1"/>
  <c r="T1624" i="1"/>
  <c r="Y1608" i="1"/>
  <c r="X1608" i="1"/>
  <c r="W1608" i="1"/>
  <c r="V1608" i="1"/>
  <c r="U1608" i="1"/>
  <c r="T1608" i="1"/>
  <c r="Y1592" i="1"/>
  <c r="X1592" i="1"/>
  <c r="W1592" i="1"/>
  <c r="V1592" i="1"/>
  <c r="U1592" i="1"/>
  <c r="T1592" i="1"/>
  <c r="Y1576" i="1"/>
  <c r="X1576" i="1"/>
  <c r="W1576" i="1"/>
  <c r="V1576" i="1"/>
  <c r="U1576" i="1"/>
  <c r="T1576" i="1"/>
  <c r="Y1560" i="1"/>
  <c r="X1560" i="1"/>
  <c r="W1560" i="1"/>
  <c r="V1560" i="1"/>
  <c r="U1560" i="1"/>
  <c r="T1560" i="1"/>
  <c r="Y1552" i="1"/>
  <c r="X1552" i="1"/>
  <c r="W1552" i="1"/>
  <c r="V1552" i="1"/>
  <c r="U1552" i="1"/>
  <c r="T1552" i="1"/>
  <c r="Y1536" i="1"/>
  <c r="X1536" i="1"/>
  <c r="W1536" i="1"/>
  <c r="V1536" i="1"/>
  <c r="U1536" i="1"/>
  <c r="T1536" i="1"/>
  <c r="Y1520" i="1"/>
  <c r="X1520" i="1"/>
  <c r="W1520" i="1"/>
  <c r="V1520" i="1"/>
  <c r="U1520" i="1"/>
  <c r="T1520" i="1"/>
  <c r="Y1504" i="1"/>
  <c r="X1504" i="1"/>
  <c r="W1504" i="1"/>
  <c r="U1504" i="1"/>
  <c r="V1504" i="1"/>
  <c r="T1504" i="1"/>
  <c r="Y1488" i="1"/>
  <c r="X1488" i="1"/>
  <c r="W1488" i="1"/>
  <c r="V1488" i="1"/>
  <c r="U1488" i="1"/>
  <c r="T1488" i="1"/>
  <c r="Y1472" i="1"/>
  <c r="W1472" i="1"/>
  <c r="X1472" i="1"/>
  <c r="V1472" i="1"/>
  <c r="U1472" i="1"/>
  <c r="T1472" i="1"/>
  <c r="Y1456" i="1"/>
  <c r="X1456" i="1"/>
  <c r="W1456" i="1"/>
  <c r="V1456" i="1"/>
  <c r="U1456" i="1"/>
  <c r="T1456" i="1"/>
  <c r="Y1432" i="1"/>
  <c r="X1432" i="1"/>
  <c r="W1432" i="1"/>
  <c r="V1432" i="1"/>
  <c r="U1432" i="1"/>
  <c r="T1432" i="1"/>
  <c r="Y1408" i="1"/>
  <c r="W1408" i="1"/>
  <c r="X1408" i="1"/>
  <c r="V1408" i="1"/>
  <c r="U1408" i="1"/>
  <c r="T1408" i="1"/>
  <c r="Y1384" i="1"/>
  <c r="X1384" i="1"/>
  <c r="W1384" i="1"/>
  <c r="V1384" i="1"/>
  <c r="U1384" i="1"/>
  <c r="T1384" i="1"/>
  <c r="Y1368" i="1"/>
  <c r="X1368" i="1"/>
  <c r="W1368" i="1"/>
  <c r="V1368" i="1"/>
  <c r="U1368" i="1"/>
  <c r="T1368" i="1"/>
  <c r="Y1352" i="1"/>
  <c r="X1352" i="1"/>
  <c r="W1352" i="1"/>
  <c r="V1352" i="1"/>
  <c r="U1352" i="1"/>
  <c r="T1352" i="1"/>
  <c r="Y1336" i="1"/>
  <c r="X1336" i="1"/>
  <c r="W1336" i="1"/>
  <c r="V1336" i="1"/>
  <c r="U1336" i="1"/>
  <c r="T1336" i="1"/>
  <c r="Y1312" i="1"/>
  <c r="X1312" i="1"/>
  <c r="W1312" i="1"/>
  <c r="V1312" i="1"/>
  <c r="U1312" i="1"/>
  <c r="T1312" i="1"/>
  <c r="Y1296" i="1"/>
  <c r="X1296" i="1"/>
  <c r="W1296" i="1"/>
  <c r="V1296" i="1"/>
  <c r="U1296" i="1"/>
  <c r="T1296" i="1"/>
  <c r="Y1280" i="1"/>
  <c r="X1280" i="1"/>
  <c r="W1280" i="1"/>
  <c r="V1280" i="1"/>
  <c r="U1280" i="1"/>
  <c r="T1280" i="1"/>
  <c r="Y1264" i="1"/>
  <c r="X1264" i="1"/>
  <c r="W1264" i="1"/>
  <c r="V1264" i="1"/>
  <c r="U1264" i="1"/>
  <c r="T1264" i="1"/>
  <c r="Y1240" i="1"/>
  <c r="X1240" i="1"/>
  <c r="W1240" i="1"/>
  <c r="V1240" i="1"/>
  <c r="U1240" i="1"/>
  <c r="T1240" i="1"/>
  <c r="Y1224" i="1"/>
  <c r="X1224" i="1"/>
  <c r="W1224" i="1"/>
  <c r="V1224" i="1"/>
  <c r="U1224" i="1"/>
  <c r="T1224" i="1"/>
  <c r="Y1208" i="1"/>
  <c r="X1208" i="1"/>
  <c r="W1208" i="1"/>
  <c r="V1208" i="1"/>
  <c r="U1208" i="1"/>
  <c r="T1208" i="1"/>
  <c r="Y1192" i="1"/>
  <c r="X1192" i="1"/>
  <c r="W1192" i="1"/>
  <c r="V1192" i="1"/>
  <c r="U1192" i="1"/>
  <c r="T1192" i="1"/>
  <c r="Y1168" i="1"/>
  <c r="X1168" i="1"/>
  <c r="W1168" i="1"/>
  <c r="V1168" i="1"/>
  <c r="U1168" i="1"/>
  <c r="T1168" i="1"/>
  <c r="Y1152" i="1"/>
  <c r="W1152" i="1"/>
  <c r="X1152" i="1"/>
  <c r="V1152" i="1"/>
  <c r="U1152" i="1"/>
  <c r="T1152" i="1"/>
  <c r="Y1136" i="1"/>
  <c r="X1136" i="1"/>
  <c r="W1136" i="1"/>
  <c r="V1136" i="1"/>
  <c r="U1136" i="1"/>
  <c r="T1136" i="1"/>
  <c r="Y1112" i="1"/>
  <c r="X1112" i="1"/>
  <c r="W1112" i="1"/>
  <c r="V1112" i="1"/>
  <c r="U1112" i="1"/>
  <c r="T1112" i="1"/>
  <c r="Y1096" i="1"/>
  <c r="X1096" i="1"/>
  <c r="W1096" i="1"/>
  <c r="V1096" i="1"/>
  <c r="U1096" i="1"/>
  <c r="T1096" i="1"/>
  <c r="Y1080" i="1"/>
  <c r="X1080" i="1"/>
  <c r="W1080" i="1"/>
  <c r="V1080" i="1"/>
  <c r="U1080" i="1"/>
  <c r="T1080" i="1"/>
  <c r="Y1064" i="1"/>
  <c r="W1064" i="1"/>
  <c r="X1064" i="1"/>
  <c r="V1064" i="1"/>
  <c r="U1064" i="1"/>
  <c r="T1064" i="1"/>
  <c r="Y1048" i="1"/>
  <c r="X1048" i="1"/>
  <c r="W1048" i="1"/>
  <c r="V1048" i="1"/>
  <c r="U1048" i="1"/>
  <c r="T1048" i="1"/>
  <c r="Y1032" i="1"/>
  <c r="X1032" i="1"/>
  <c r="W1032" i="1"/>
  <c r="V1032" i="1"/>
  <c r="U1032" i="1"/>
  <c r="T1032" i="1"/>
  <c r="Y1016" i="1"/>
  <c r="X1016" i="1"/>
  <c r="W1016" i="1"/>
  <c r="V1016" i="1"/>
  <c r="U1016" i="1"/>
  <c r="T1016" i="1"/>
  <c r="Y1008" i="1"/>
  <c r="X1008" i="1"/>
  <c r="W1008" i="1"/>
  <c r="V1008" i="1"/>
  <c r="U1008" i="1"/>
  <c r="T1008" i="1"/>
  <c r="Y1000" i="1"/>
  <c r="W1000" i="1"/>
  <c r="X1000" i="1"/>
  <c r="V1000" i="1"/>
  <c r="U1000" i="1"/>
  <c r="T1000" i="1"/>
  <c r="Y992" i="1"/>
  <c r="X992" i="1"/>
  <c r="W992" i="1"/>
  <c r="U992" i="1"/>
  <c r="V992" i="1"/>
  <c r="T992" i="1"/>
  <c r="Y984" i="1"/>
  <c r="X984" i="1"/>
  <c r="W984" i="1"/>
  <c r="V984" i="1"/>
  <c r="U984" i="1"/>
  <c r="T984" i="1"/>
  <c r="Y976" i="1"/>
  <c r="X976" i="1"/>
  <c r="W976" i="1"/>
  <c r="V976" i="1"/>
  <c r="U976" i="1"/>
  <c r="T976" i="1"/>
  <c r="Y968" i="1"/>
  <c r="X968" i="1"/>
  <c r="W968" i="1"/>
  <c r="V968" i="1"/>
  <c r="U968" i="1"/>
  <c r="T968" i="1"/>
  <c r="Y960" i="1"/>
  <c r="W960" i="1"/>
  <c r="X960" i="1"/>
  <c r="V960" i="1"/>
  <c r="U960" i="1"/>
  <c r="T960" i="1"/>
  <c r="Y944" i="1"/>
  <c r="X944" i="1"/>
  <c r="W944" i="1"/>
  <c r="V944" i="1"/>
  <c r="U944" i="1"/>
  <c r="T944" i="1"/>
  <c r="Y936" i="1"/>
  <c r="X936" i="1"/>
  <c r="W936" i="1"/>
  <c r="V936" i="1"/>
  <c r="U936" i="1"/>
  <c r="T936" i="1"/>
  <c r="Y928" i="1"/>
  <c r="X928" i="1"/>
  <c r="W928" i="1"/>
  <c r="V928" i="1"/>
  <c r="U928" i="1"/>
  <c r="T928" i="1"/>
  <c r="Y920" i="1"/>
  <c r="X920" i="1"/>
  <c r="W920" i="1"/>
  <c r="V920" i="1"/>
  <c r="U920" i="1"/>
  <c r="T920" i="1"/>
  <c r="Y912" i="1"/>
  <c r="X912" i="1"/>
  <c r="W912" i="1"/>
  <c r="V912" i="1"/>
  <c r="U912" i="1"/>
  <c r="T912" i="1"/>
  <c r="Y904" i="1"/>
  <c r="X904" i="1"/>
  <c r="W904" i="1"/>
  <c r="V904" i="1"/>
  <c r="U904" i="1"/>
  <c r="T904" i="1"/>
  <c r="Y896" i="1"/>
  <c r="W896" i="1"/>
  <c r="X896" i="1"/>
  <c r="V896" i="1"/>
  <c r="U896" i="1"/>
  <c r="T896" i="1"/>
  <c r="Y888" i="1"/>
  <c r="X888" i="1"/>
  <c r="W888" i="1"/>
  <c r="V888" i="1"/>
  <c r="U888" i="1"/>
  <c r="T888" i="1"/>
  <c r="Y880" i="1"/>
  <c r="X880" i="1"/>
  <c r="W880" i="1"/>
  <c r="V880" i="1"/>
  <c r="U880" i="1"/>
  <c r="T880" i="1"/>
  <c r="Y872" i="1"/>
  <c r="X872" i="1"/>
  <c r="W872" i="1"/>
  <c r="V872" i="1"/>
  <c r="U872" i="1"/>
  <c r="T872" i="1"/>
  <c r="Y864" i="1"/>
  <c r="X864" i="1"/>
  <c r="W864" i="1"/>
  <c r="V864" i="1"/>
  <c r="U864" i="1"/>
  <c r="T864" i="1"/>
  <c r="Y856" i="1"/>
  <c r="X856" i="1"/>
  <c r="W856" i="1"/>
  <c r="V856" i="1"/>
  <c r="U856" i="1"/>
  <c r="T856" i="1"/>
  <c r="Y848" i="1"/>
  <c r="X848" i="1"/>
  <c r="W848" i="1"/>
  <c r="V848" i="1"/>
  <c r="U848" i="1"/>
  <c r="T848" i="1"/>
  <c r="Y840" i="1"/>
  <c r="X840" i="1"/>
  <c r="W840" i="1"/>
  <c r="V840" i="1"/>
  <c r="U840" i="1"/>
  <c r="T840" i="1"/>
  <c r="Y832" i="1"/>
  <c r="W832" i="1"/>
  <c r="X832" i="1"/>
  <c r="V832" i="1"/>
  <c r="U832" i="1"/>
  <c r="T832" i="1"/>
  <c r="Y824" i="1"/>
  <c r="X824" i="1"/>
  <c r="W824" i="1"/>
  <c r="V824" i="1"/>
  <c r="U824" i="1"/>
  <c r="T824" i="1"/>
  <c r="Y816" i="1"/>
  <c r="X816" i="1"/>
  <c r="W816" i="1"/>
  <c r="V816" i="1"/>
  <c r="U816" i="1"/>
  <c r="T816" i="1"/>
  <c r="Y808" i="1"/>
  <c r="W808" i="1"/>
  <c r="X808" i="1"/>
  <c r="V808" i="1"/>
  <c r="U808" i="1"/>
  <c r="T808" i="1"/>
  <c r="Y800" i="1"/>
  <c r="X800" i="1"/>
  <c r="W800" i="1"/>
  <c r="V800" i="1"/>
  <c r="U800" i="1"/>
  <c r="T800" i="1"/>
  <c r="Y792" i="1"/>
  <c r="X792" i="1"/>
  <c r="W792" i="1"/>
  <c r="V792" i="1"/>
  <c r="U792" i="1"/>
  <c r="T792" i="1"/>
  <c r="Y784" i="1"/>
  <c r="X784" i="1"/>
  <c r="W784" i="1"/>
  <c r="V784" i="1"/>
  <c r="U784" i="1"/>
  <c r="T784" i="1"/>
  <c r="Y776" i="1"/>
  <c r="X776" i="1"/>
  <c r="W776" i="1"/>
  <c r="V776" i="1"/>
  <c r="U776" i="1"/>
  <c r="T776" i="1"/>
  <c r="Y768" i="1"/>
  <c r="X768" i="1"/>
  <c r="W768" i="1"/>
  <c r="V768" i="1"/>
  <c r="U768" i="1"/>
  <c r="T768" i="1"/>
  <c r="Y760" i="1"/>
  <c r="X760" i="1"/>
  <c r="W760" i="1"/>
  <c r="V760" i="1"/>
  <c r="T760" i="1"/>
  <c r="U760" i="1"/>
  <c r="Y752" i="1"/>
  <c r="X752" i="1"/>
  <c r="W752" i="1"/>
  <c r="V752" i="1"/>
  <c r="U752" i="1"/>
  <c r="T752" i="1"/>
  <c r="Y744" i="1"/>
  <c r="W744" i="1"/>
  <c r="X744" i="1"/>
  <c r="V744" i="1"/>
  <c r="U744" i="1"/>
  <c r="T744" i="1"/>
  <c r="Y736" i="1"/>
  <c r="X736" i="1"/>
  <c r="W736" i="1"/>
  <c r="V736" i="1"/>
  <c r="U736" i="1"/>
  <c r="T736" i="1"/>
  <c r="Y728" i="1"/>
  <c r="X728" i="1"/>
  <c r="W728" i="1"/>
  <c r="V728" i="1"/>
  <c r="U728" i="1"/>
  <c r="T728" i="1"/>
  <c r="Y720" i="1"/>
  <c r="X720" i="1"/>
  <c r="W720" i="1"/>
  <c r="V720" i="1"/>
  <c r="U720" i="1"/>
  <c r="T720" i="1"/>
  <c r="Y712" i="1"/>
  <c r="X712" i="1"/>
  <c r="W712" i="1"/>
  <c r="V712" i="1"/>
  <c r="U712" i="1"/>
  <c r="T712" i="1"/>
  <c r="Y704" i="1"/>
  <c r="W704" i="1"/>
  <c r="X704" i="1"/>
  <c r="V704" i="1"/>
  <c r="U704" i="1"/>
  <c r="T704" i="1"/>
  <c r="Y696" i="1"/>
  <c r="X696" i="1"/>
  <c r="W696" i="1"/>
  <c r="V696" i="1"/>
  <c r="U696" i="1"/>
  <c r="T696" i="1"/>
  <c r="Y688" i="1"/>
  <c r="X688" i="1"/>
  <c r="W688" i="1"/>
  <c r="V688" i="1"/>
  <c r="U688" i="1"/>
  <c r="T688" i="1"/>
  <c r="Y680" i="1"/>
  <c r="X680" i="1"/>
  <c r="W680" i="1"/>
  <c r="V680" i="1"/>
  <c r="U680" i="1"/>
  <c r="T680" i="1"/>
  <c r="Y672" i="1"/>
  <c r="X672" i="1"/>
  <c r="W672" i="1"/>
  <c r="U672" i="1"/>
  <c r="V672" i="1"/>
  <c r="T672" i="1"/>
  <c r="Y664" i="1"/>
  <c r="X664" i="1"/>
  <c r="W664" i="1"/>
  <c r="V664" i="1"/>
  <c r="U664" i="1"/>
  <c r="T664" i="1"/>
  <c r="Y656" i="1"/>
  <c r="X656" i="1"/>
  <c r="W656" i="1"/>
  <c r="V656" i="1"/>
  <c r="U656" i="1"/>
  <c r="T656" i="1"/>
  <c r="Y648" i="1"/>
  <c r="X648" i="1"/>
  <c r="W648" i="1"/>
  <c r="V648" i="1"/>
  <c r="U648" i="1"/>
  <c r="T648" i="1"/>
  <c r="Y640" i="1"/>
  <c r="W640" i="1"/>
  <c r="X640" i="1"/>
  <c r="V640" i="1"/>
  <c r="U640" i="1"/>
  <c r="T640" i="1"/>
  <c r="Y632" i="1"/>
  <c r="X632" i="1"/>
  <c r="W632" i="1"/>
  <c r="V632" i="1"/>
  <c r="U632" i="1"/>
  <c r="T632" i="1"/>
  <c r="Y624" i="1"/>
  <c r="X624" i="1"/>
  <c r="W624" i="1"/>
  <c r="V624" i="1"/>
  <c r="U624" i="1"/>
  <c r="T624" i="1"/>
  <c r="Y616" i="1"/>
  <c r="X616" i="1"/>
  <c r="W616" i="1"/>
  <c r="V616" i="1"/>
  <c r="U616" i="1"/>
  <c r="T616" i="1"/>
  <c r="Y608" i="1"/>
  <c r="X608" i="1"/>
  <c r="W608" i="1"/>
  <c r="V608" i="1"/>
  <c r="U608" i="1"/>
  <c r="T608" i="1"/>
  <c r="Y600" i="1"/>
  <c r="X600" i="1"/>
  <c r="W600" i="1"/>
  <c r="V600" i="1"/>
  <c r="U600" i="1"/>
  <c r="T600" i="1"/>
  <c r="Y592" i="1"/>
  <c r="X592" i="1"/>
  <c r="W592" i="1"/>
  <c r="V592" i="1"/>
  <c r="U592" i="1"/>
  <c r="T592" i="1"/>
  <c r="Y584" i="1"/>
  <c r="X584" i="1"/>
  <c r="W584" i="1"/>
  <c r="V584" i="1"/>
  <c r="U584" i="1"/>
  <c r="T584" i="1"/>
  <c r="Y576" i="1"/>
  <c r="W576" i="1"/>
  <c r="X576" i="1"/>
  <c r="V576" i="1"/>
  <c r="U576" i="1"/>
  <c r="T576" i="1"/>
  <c r="Y568" i="1"/>
  <c r="X568" i="1"/>
  <c r="W568" i="1"/>
  <c r="V568" i="1"/>
  <c r="U568" i="1"/>
  <c r="T568" i="1"/>
  <c r="Y560" i="1"/>
  <c r="X560" i="1"/>
  <c r="W560" i="1"/>
  <c r="V560" i="1"/>
  <c r="U560" i="1"/>
  <c r="T560" i="1"/>
  <c r="Y552" i="1"/>
  <c r="W552" i="1"/>
  <c r="X552" i="1"/>
  <c r="V552" i="1"/>
  <c r="U552" i="1"/>
  <c r="T552" i="1"/>
  <c r="Y544" i="1"/>
  <c r="X544" i="1"/>
  <c r="W544" i="1"/>
  <c r="V544" i="1"/>
  <c r="U544" i="1"/>
  <c r="T544" i="1"/>
  <c r="Y536" i="1"/>
  <c r="X536" i="1"/>
  <c r="W536" i="1"/>
  <c r="V536" i="1"/>
  <c r="U536" i="1"/>
  <c r="T536" i="1"/>
  <c r="Y528" i="1"/>
  <c r="X528" i="1"/>
  <c r="W528" i="1"/>
  <c r="V528" i="1"/>
  <c r="U528" i="1"/>
  <c r="T528" i="1"/>
  <c r="Y520" i="1"/>
  <c r="X520" i="1"/>
  <c r="W520" i="1"/>
  <c r="V520" i="1"/>
  <c r="U520" i="1"/>
  <c r="T520" i="1"/>
  <c r="Y512" i="1"/>
  <c r="X512" i="1"/>
  <c r="W512" i="1"/>
  <c r="V512" i="1"/>
  <c r="U512" i="1"/>
  <c r="T512" i="1"/>
  <c r="Y504" i="1"/>
  <c r="X504" i="1"/>
  <c r="W504" i="1"/>
  <c r="V504" i="1"/>
  <c r="U504" i="1"/>
  <c r="T504" i="1"/>
  <c r="Y496" i="1"/>
  <c r="X496" i="1"/>
  <c r="W496" i="1"/>
  <c r="V496" i="1"/>
  <c r="U496" i="1"/>
  <c r="T496" i="1"/>
  <c r="Y488" i="1"/>
  <c r="X488" i="1"/>
  <c r="W488" i="1"/>
  <c r="V488" i="1"/>
  <c r="U488" i="1"/>
  <c r="T488" i="1"/>
  <c r="Y480" i="1"/>
  <c r="X480" i="1"/>
  <c r="W480" i="1"/>
  <c r="V480" i="1"/>
  <c r="U480" i="1"/>
  <c r="T480" i="1"/>
  <c r="Y472" i="1"/>
  <c r="X472" i="1"/>
  <c r="W472" i="1"/>
  <c r="V472" i="1"/>
  <c r="U472" i="1"/>
  <c r="T472" i="1"/>
  <c r="Y464" i="1"/>
  <c r="W464" i="1"/>
  <c r="X464" i="1"/>
  <c r="V464" i="1"/>
  <c r="U464" i="1"/>
  <c r="T464" i="1"/>
  <c r="Y456" i="1"/>
  <c r="X456" i="1"/>
  <c r="W456" i="1"/>
  <c r="V456" i="1"/>
  <c r="U456" i="1"/>
  <c r="T456" i="1"/>
  <c r="Y448" i="1"/>
  <c r="X448" i="1"/>
  <c r="W448" i="1"/>
  <c r="V448" i="1"/>
  <c r="U448" i="1"/>
  <c r="T448" i="1"/>
  <c r="Y440" i="1"/>
  <c r="X440" i="1"/>
  <c r="W440" i="1"/>
  <c r="V440" i="1"/>
  <c r="U440" i="1"/>
  <c r="T440" i="1"/>
  <c r="Y432" i="1"/>
  <c r="W432" i="1"/>
  <c r="X432" i="1"/>
  <c r="V432" i="1"/>
  <c r="U432" i="1"/>
  <c r="T432" i="1"/>
  <c r="Y424" i="1"/>
  <c r="X424" i="1"/>
  <c r="W424" i="1"/>
  <c r="V424" i="1"/>
  <c r="U424" i="1"/>
  <c r="T424" i="1"/>
  <c r="Y416" i="1"/>
  <c r="X416" i="1"/>
  <c r="W416" i="1"/>
  <c r="V416" i="1"/>
  <c r="U416" i="1"/>
  <c r="T416" i="1"/>
  <c r="Y408" i="1"/>
  <c r="X408" i="1"/>
  <c r="W408" i="1"/>
  <c r="V408" i="1"/>
  <c r="U408" i="1"/>
  <c r="T408" i="1"/>
  <c r="Y400" i="1"/>
  <c r="X400" i="1"/>
  <c r="W400" i="1"/>
  <c r="V400" i="1"/>
  <c r="U400" i="1"/>
  <c r="T400" i="1"/>
  <c r="Y392" i="1"/>
  <c r="X392" i="1"/>
  <c r="W392" i="1"/>
  <c r="V392" i="1"/>
  <c r="U392" i="1"/>
  <c r="T392" i="1"/>
  <c r="Y384" i="1"/>
  <c r="X384" i="1"/>
  <c r="W384" i="1"/>
  <c r="V384" i="1"/>
  <c r="U384" i="1"/>
  <c r="T384" i="1"/>
  <c r="Y376" i="1"/>
  <c r="X376" i="1"/>
  <c r="W376" i="1"/>
  <c r="V376" i="1"/>
  <c r="U376" i="1"/>
  <c r="T376" i="1"/>
  <c r="Y368" i="1"/>
  <c r="X368" i="1"/>
  <c r="W368" i="1"/>
  <c r="V368" i="1"/>
  <c r="U368" i="1"/>
  <c r="T368" i="1"/>
  <c r="Y360" i="1"/>
  <c r="X360" i="1"/>
  <c r="W360" i="1"/>
  <c r="V360" i="1"/>
  <c r="U360" i="1"/>
  <c r="T360" i="1"/>
  <c r="Y352" i="1"/>
  <c r="X352" i="1"/>
  <c r="W352" i="1"/>
  <c r="V352" i="1"/>
  <c r="U352" i="1"/>
  <c r="T352" i="1"/>
  <c r="Y344" i="1"/>
  <c r="X344" i="1"/>
  <c r="W344" i="1"/>
  <c r="V344" i="1"/>
  <c r="U344" i="1"/>
  <c r="T344" i="1"/>
  <c r="Y336" i="1"/>
  <c r="W336" i="1"/>
  <c r="X336" i="1"/>
  <c r="V336" i="1"/>
  <c r="U336" i="1"/>
  <c r="T336" i="1"/>
  <c r="Y328" i="1"/>
  <c r="X328" i="1"/>
  <c r="W328" i="1"/>
  <c r="V328" i="1"/>
  <c r="U328" i="1"/>
  <c r="T328" i="1"/>
  <c r="Y320" i="1"/>
  <c r="X320" i="1"/>
  <c r="W320" i="1"/>
  <c r="V320" i="1"/>
  <c r="U320" i="1"/>
  <c r="T320" i="1"/>
  <c r="Y312" i="1"/>
  <c r="X312" i="1"/>
  <c r="W312" i="1"/>
  <c r="V312" i="1"/>
  <c r="U312" i="1"/>
  <c r="T312" i="1"/>
  <c r="Y304" i="1"/>
  <c r="W304" i="1"/>
  <c r="X304" i="1"/>
  <c r="V304" i="1"/>
  <c r="U304" i="1"/>
  <c r="T304" i="1"/>
  <c r="Y296" i="1"/>
  <c r="X296" i="1"/>
  <c r="W296" i="1"/>
  <c r="V296" i="1"/>
  <c r="U296" i="1"/>
  <c r="T296" i="1"/>
  <c r="Y288" i="1"/>
  <c r="X288" i="1"/>
  <c r="W288" i="1"/>
  <c r="V288" i="1"/>
  <c r="U288" i="1"/>
  <c r="T288" i="1"/>
  <c r="Y280" i="1"/>
  <c r="X280" i="1"/>
  <c r="W280" i="1"/>
  <c r="V280" i="1"/>
  <c r="U280" i="1"/>
  <c r="T280" i="1"/>
  <c r="Y272" i="1"/>
  <c r="X272" i="1"/>
  <c r="W272" i="1"/>
  <c r="V272" i="1"/>
  <c r="U272" i="1"/>
  <c r="T272" i="1"/>
  <c r="Y264" i="1"/>
  <c r="X264" i="1"/>
  <c r="W264" i="1"/>
  <c r="V264" i="1"/>
  <c r="U264" i="1"/>
  <c r="T264" i="1"/>
  <c r="Y256" i="1"/>
  <c r="X256" i="1"/>
  <c r="W256" i="1"/>
  <c r="V256" i="1"/>
  <c r="U256" i="1"/>
  <c r="T256" i="1"/>
  <c r="Y248" i="1"/>
  <c r="X248" i="1"/>
  <c r="W248" i="1"/>
  <c r="V248" i="1"/>
  <c r="U248" i="1"/>
  <c r="T248" i="1"/>
  <c r="Y240" i="1"/>
  <c r="X240" i="1"/>
  <c r="W240" i="1"/>
  <c r="V240" i="1"/>
  <c r="U240" i="1"/>
  <c r="T240" i="1"/>
  <c r="Y232" i="1"/>
  <c r="X232" i="1"/>
  <c r="W232" i="1"/>
  <c r="V232" i="1"/>
  <c r="U232" i="1"/>
  <c r="T232" i="1"/>
  <c r="Y224" i="1"/>
  <c r="X224" i="1"/>
  <c r="W224" i="1"/>
  <c r="V224" i="1"/>
  <c r="U224" i="1"/>
  <c r="T224" i="1"/>
  <c r="Y216" i="1"/>
  <c r="X216" i="1"/>
  <c r="W216" i="1"/>
  <c r="V216" i="1"/>
  <c r="U216" i="1"/>
  <c r="T216" i="1"/>
  <c r="Y208" i="1"/>
  <c r="W208" i="1"/>
  <c r="X208" i="1"/>
  <c r="V208" i="1"/>
  <c r="T208" i="1"/>
  <c r="U208" i="1"/>
  <c r="Y200" i="1"/>
  <c r="X200" i="1"/>
  <c r="W200" i="1"/>
  <c r="V200" i="1"/>
  <c r="U200" i="1"/>
  <c r="T200" i="1"/>
  <c r="Y192" i="1"/>
  <c r="X192" i="1"/>
  <c r="W192" i="1"/>
  <c r="V192" i="1"/>
  <c r="T192" i="1"/>
  <c r="U192" i="1"/>
  <c r="Y184" i="1"/>
  <c r="X184" i="1"/>
  <c r="W184" i="1"/>
  <c r="V184" i="1"/>
  <c r="U184" i="1"/>
  <c r="T184" i="1"/>
  <c r="Y176" i="1"/>
  <c r="W176" i="1"/>
  <c r="X176" i="1"/>
  <c r="V176" i="1"/>
  <c r="U176" i="1"/>
  <c r="T176" i="1"/>
  <c r="Y168" i="1"/>
  <c r="X168" i="1"/>
  <c r="W168" i="1"/>
  <c r="V168" i="1"/>
  <c r="U168" i="1"/>
  <c r="T168" i="1"/>
  <c r="Y160" i="1"/>
  <c r="X160" i="1"/>
  <c r="W160" i="1"/>
  <c r="U160" i="1"/>
  <c r="T160" i="1"/>
  <c r="V160" i="1"/>
  <c r="Y152" i="1"/>
  <c r="X152" i="1"/>
  <c r="W152" i="1"/>
  <c r="V152" i="1"/>
  <c r="U152" i="1"/>
  <c r="T152" i="1"/>
  <c r="Y144" i="1"/>
  <c r="X144" i="1"/>
  <c r="W144" i="1"/>
  <c r="V144" i="1"/>
  <c r="U144" i="1"/>
  <c r="T144" i="1"/>
  <c r="Y136" i="1"/>
  <c r="X136" i="1"/>
  <c r="W136" i="1"/>
  <c r="V136" i="1"/>
  <c r="U136" i="1"/>
  <c r="T136" i="1"/>
  <c r="Y128" i="1"/>
  <c r="X128" i="1"/>
  <c r="W128" i="1"/>
  <c r="V128" i="1"/>
  <c r="T128" i="1"/>
  <c r="U128" i="1"/>
  <c r="Y120" i="1"/>
  <c r="X120" i="1"/>
  <c r="W120" i="1"/>
  <c r="V120" i="1"/>
  <c r="U120" i="1"/>
  <c r="T120" i="1"/>
  <c r="Y112" i="1"/>
  <c r="X112" i="1"/>
  <c r="W112" i="1"/>
  <c r="V112" i="1"/>
  <c r="U112" i="1"/>
  <c r="T112" i="1"/>
  <c r="Y104" i="1"/>
  <c r="X104" i="1"/>
  <c r="W104" i="1"/>
  <c r="V104" i="1"/>
  <c r="U104" i="1"/>
  <c r="T104" i="1"/>
  <c r="Y96" i="1"/>
  <c r="X96" i="1"/>
  <c r="W96" i="1"/>
  <c r="V96" i="1"/>
  <c r="U96" i="1"/>
  <c r="T96" i="1"/>
  <c r="Y88" i="1"/>
  <c r="X88" i="1"/>
  <c r="W88" i="1"/>
  <c r="V88" i="1"/>
  <c r="U88" i="1"/>
  <c r="T88" i="1"/>
  <c r="Y80" i="1"/>
  <c r="W80" i="1"/>
  <c r="X80" i="1"/>
  <c r="V80" i="1"/>
  <c r="T80" i="1"/>
  <c r="U80" i="1"/>
  <c r="Y72" i="1"/>
  <c r="X72" i="1"/>
  <c r="W72" i="1"/>
  <c r="V72" i="1"/>
  <c r="U72" i="1"/>
  <c r="T72" i="1"/>
  <c r="Y64" i="1"/>
  <c r="X64" i="1"/>
  <c r="W64" i="1"/>
  <c r="V64" i="1"/>
  <c r="U64" i="1"/>
  <c r="T64" i="1"/>
  <c r="Y56" i="1"/>
  <c r="X56" i="1"/>
  <c r="W56" i="1"/>
  <c r="V56" i="1"/>
  <c r="U56" i="1"/>
  <c r="T56" i="1"/>
  <c r="Y48" i="1"/>
  <c r="W48" i="1"/>
  <c r="X48" i="1"/>
  <c r="V48" i="1"/>
  <c r="U48" i="1"/>
  <c r="T48" i="1"/>
  <c r="Y40" i="1"/>
  <c r="X40" i="1"/>
  <c r="W40" i="1"/>
  <c r="V40" i="1"/>
  <c r="U40" i="1"/>
  <c r="T40" i="1"/>
  <c r="Y32" i="1"/>
  <c r="X32" i="1"/>
  <c r="W32" i="1"/>
  <c r="V32" i="1"/>
  <c r="U32" i="1"/>
  <c r="T32" i="1"/>
  <c r="Y24" i="1"/>
  <c r="X24" i="1"/>
  <c r="W24" i="1"/>
  <c r="V24" i="1"/>
  <c r="U24" i="1"/>
  <c r="T24" i="1"/>
  <c r="Y16" i="1"/>
  <c r="X16" i="1"/>
  <c r="W16" i="1"/>
  <c r="V16" i="1"/>
  <c r="T16" i="1"/>
  <c r="U16" i="1"/>
  <c r="Y8" i="1"/>
  <c r="X8" i="1"/>
  <c r="W8" i="1"/>
  <c r="V8" i="1"/>
  <c r="U8" i="1"/>
  <c r="T8" i="1"/>
  <c r="Y1707" i="1"/>
  <c r="X1707" i="1"/>
  <c r="W1707" i="1"/>
  <c r="V1707" i="1"/>
  <c r="U1707" i="1"/>
  <c r="T1707" i="1"/>
  <c r="Y1709" i="1"/>
  <c r="X1709" i="1"/>
  <c r="W1709" i="1"/>
  <c r="V1709" i="1"/>
  <c r="U1709" i="1"/>
  <c r="T1709" i="1"/>
  <c r="Y1730" i="1"/>
  <c r="X1730" i="1"/>
  <c r="W1730" i="1"/>
  <c r="V1730" i="1"/>
  <c r="U1730" i="1"/>
  <c r="T1730" i="1"/>
  <c r="Y1742" i="1"/>
  <c r="X1742" i="1"/>
  <c r="W1742" i="1"/>
  <c r="V1742" i="1"/>
  <c r="U1742" i="1"/>
  <c r="T1742" i="1"/>
  <c r="Y1734" i="1"/>
  <c r="X1734" i="1"/>
  <c r="W1734" i="1"/>
  <c r="V1734" i="1"/>
  <c r="U1734" i="1"/>
  <c r="T1734" i="1"/>
  <c r="Y1747" i="1"/>
  <c r="X1747" i="1"/>
  <c r="W1747" i="1"/>
  <c r="V1747" i="1"/>
  <c r="U1747" i="1"/>
  <c r="T1747" i="1"/>
  <c r="Y1771" i="1"/>
  <c r="X1771" i="1"/>
  <c r="W1771" i="1"/>
  <c r="V1771" i="1"/>
  <c r="U1771" i="1"/>
  <c r="T1771" i="1"/>
  <c r="Y1773" i="1"/>
  <c r="X1773" i="1"/>
  <c r="W1773" i="1"/>
  <c r="V1773" i="1"/>
  <c r="U1773" i="1"/>
  <c r="T1773" i="1"/>
  <c r="Y1777" i="1"/>
  <c r="X1777" i="1"/>
  <c r="W1777" i="1"/>
  <c r="V1777" i="1"/>
  <c r="U1777" i="1"/>
  <c r="T1777" i="1"/>
  <c r="Y1783" i="1"/>
  <c r="X1783" i="1"/>
  <c r="W1783" i="1"/>
  <c r="V1783" i="1"/>
  <c r="U1783" i="1"/>
  <c r="T1783" i="1"/>
  <c r="Y1789" i="1"/>
  <c r="X1789" i="1"/>
  <c r="W1789" i="1"/>
  <c r="V1789" i="1"/>
  <c r="U1789" i="1"/>
  <c r="T1789" i="1"/>
  <c r="Y1803" i="1"/>
  <c r="X1803" i="1"/>
  <c r="W1803" i="1"/>
  <c r="V1803" i="1"/>
  <c r="U1803" i="1"/>
  <c r="T1803" i="1"/>
  <c r="Y1821" i="1"/>
  <c r="X1821" i="1"/>
  <c r="W1821" i="1"/>
  <c r="V1821" i="1"/>
  <c r="U1821" i="1"/>
  <c r="T1821" i="1"/>
  <c r="Y1643" i="1"/>
  <c r="X1643" i="1"/>
  <c r="W1643" i="1"/>
  <c r="V1643" i="1"/>
  <c r="U1643" i="1"/>
  <c r="T1643" i="1"/>
  <c r="Y1571" i="1"/>
  <c r="X1571" i="1"/>
  <c r="W1571" i="1"/>
  <c r="V1571" i="1"/>
  <c r="U1571" i="1"/>
  <c r="T1571" i="1"/>
  <c r="Y1507" i="1"/>
  <c r="X1507" i="1"/>
  <c r="W1507" i="1"/>
  <c r="V1507" i="1"/>
  <c r="U1507" i="1"/>
  <c r="T1507" i="1"/>
  <c r="Y1443" i="1"/>
  <c r="X1443" i="1"/>
  <c r="W1443" i="1"/>
  <c r="V1443" i="1"/>
  <c r="U1443" i="1"/>
  <c r="T1443" i="1"/>
  <c r="Y1379" i="1"/>
  <c r="X1379" i="1"/>
  <c r="W1379" i="1"/>
  <c r="V1379" i="1"/>
  <c r="U1379" i="1"/>
  <c r="T1379" i="1"/>
  <c r="Y1299" i="1"/>
  <c r="X1299" i="1"/>
  <c r="W1299" i="1"/>
  <c r="V1299" i="1"/>
  <c r="U1299" i="1"/>
  <c r="T1299" i="1"/>
  <c r="Y1243" i="1"/>
  <c r="X1243" i="1"/>
  <c r="W1243" i="1"/>
  <c r="V1243" i="1"/>
  <c r="U1243" i="1"/>
  <c r="T1243" i="1"/>
  <c r="Y1179" i="1"/>
  <c r="X1179" i="1"/>
  <c r="W1179" i="1"/>
  <c r="V1179" i="1"/>
  <c r="U1179" i="1"/>
  <c r="T1179" i="1"/>
  <c r="Y1107" i="1"/>
  <c r="X1107" i="1"/>
  <c r="W1107" i="1"/>
  <c r="V1107" i="1"/>
  <c r="U1107" i="1"/>
  <c r="T1107" i="1"/>
  <c r="Y1043" i="1"/>
  <c r="X1043" i="1"/>
  <c r="W1043" i="1"/>
  <c r="V1043" i="1"/>
  <c r="U1043" i="1"/>
  <c r="T1043" i="1"/>
  <c r="Y963" i="1"/>
  <c r="X963" i="1"/>
  <c r="W963" i="1"/>
  <c r="V963" i="1"/>
  <c r="U963" i="1"/>
  <c r="T963" i="1"/>
  <c r="Y907" i="1"/>
  <c r="X907" i="1"/>
  <c r="W907" i="1"/>
  <c r="V907" i="1"/>
  <c r="U907" i="1"/>
  <c r="T907" i="1"/>
  <c r="Y843" i="1"/>
  <c r="X843" i="1"/>
  <c r="W843" i="1"/>
  <c r="V843" i="1"/>
  <c r="U843" i="1"/>
  <c r="T843" i="1"/>
  <c r="Y771" i="1"/>
  <c r="X771" i="1"/>
  <c r="W771" i="1"/>
  <c r="V771" i="1"/>
  <c r="U771" i="1"/>
  <c r="T771" i="1"/>
  <c r="Y675" i="1"/>
  <c r="X675" i="1"/>
  <c r="W675" i="1"/>
  <c r="V675" i="1"/>
  <c r="U675" i="1"/>
  <c r="T675" i="1"/>
  <c r="Y611" i="1"/>
  <c r="X611" i="1"/>
  <c r="W611" i="1"/>
  <c r="V611" i="1"/>
  <c r="U611" i="1"/>
  <c r="T611" i="1"/>
  <c r="Y547" i="1"/>
  <c r="X547" i="1"/>
  <c r="W547" i="1"/>
  <c r="V547" i="1"/>
  <c r="U547" i="1"/>
  <c r="T547" i="1"/>
  <c r="Y483" i="1"/>
  <c r="X483" i="1"/>
  <c r="W483" i="1"/>
  <c r="V483" i="1"/>
  <c r="U483" i="1"/>
  <c r="T483" i="1"/>
  <c r="Y419" i="1"/>
  <c r="X419" i="1"/>
  <c r="W419" i="1"/>
  <c r="V419" i="1"/>
  <c r="U419" i="1"/>
  <c r="T419" i="1"/>
  <c r="Y363" i="1"/>
  <c r="X363" i="1"/>
  <c r="W363" i="1"/>
  <c r="V363" i="1"/>
  <c r="U363" i="1"/>
  <c r="T363" i="1"/>
  <c r="Y299" i="1"/>
  <c r="X299" i="1"/>
  <c r="W299" i="1"/>
  <c r="V299" i="1"/>
  <c r="U299" i="1"/>
  <c r="T299" i="1"/>
  <c r="Y227" i="1"/>
  <c r="X227" i="1"/>
  <c r="W227" i="1"/>
  <c r="V227" i="1"/>
  <c r="U227" i="1"/>
  <c r="T227" i="1"/>
  <c r="Y147" i="1"/>
  <c r="X147" i="1"/>
  <c r="W147" i="1"/>
  <c r="V147" i="1"/>
  <c r="U147" i="1"/>
  <c r="T147" i="1"/>
  <c r="Y83" i="1"/>
  <c r="X83" i="1"/>
  <c r="W83" i="1"/>
  <c r="V83" i="1"/>
  <c r="U83" i="1"/>
  <c r="T83" i="1"/>
  <c r="Y11" i="1"/>
  <c r="X11" i="1"/>
  <c r="W11" i="1"/>
  <c r="V11" i="1"/>
  <c r="U11" i="1"/>
  <c r="T11" i="1"/>
  <c r="Y1704" i="1"/>
  <c r="X1704" i="1"/>
  <c r="W1704" i="1"/>
  <c r="V1704" i="1"/>
  <c r="U1704" i="1"/>
  <c r="T1704" i="1"/>
  <c r="Y1680" i="1"/>
  <c r="X1680" i="1"/>
  <c r="W1680" i="1"/>
  <c r="V1680" i="1"/>
  <c r="U1680" i="1"/>
  <c r="T1680" i="1"/>
  <c r="Y1664" i="1"/>
  <c r="X1664" i="1"/>
  <c r="W1664" i="1"/>
  <c r="V1664" i="1"/>
  <c r="U1664" i="1"/>
  <c r="T1664" i="1"/>
  <c r="Y1648" i="1"/>
  <c r="X1648" i="1"/>
  <c r="W1648" i="1"/>
  <c r="V1648" i="1"/>
  <c r="U1648" i="1"/>
  <c r="T1648" i="1"/>
  <c r="Y1632" i="1"/>
  <c r="X1632" i="1"/>
  <c r="W1632" i="1"/>
  <c r="V1632" i="1"/>
  <c r="U1632" i="1"/>
  <c r="T1632" i="1"/>
  <c r="Y1616" i="1"/>
  <c r="X1616" i="1"/>
  <c r="W1616" i="1"/>
  <c r="V1616" i="1"/>
  <c r="U1616" i="1"/>
  <c r="T1616" i="1"/>
  <c r="Y1600" i="1"/>
  <c r="X1600" i="1"/>
  <c r="W1600" i="1"/>
  <c r="V1600" i="1"/>
  <c r="U1600" i="1"/>
  <c r="T1600" i="1"/>
  <c r="Y1584" i="1"/>
  <c r="X1584" i="1"/>
  <c r="W1584" i="1"/>
  <c r="V1584" i="1"/>
  <c r="U1584" i="1"/>
  <c r="T1584" i="1"/>
  <c r="Y1568" i="1"/>
  <c r="X1568" i="1"/>
  <c r="W1568" i="1"/>
  <c r="V1568" i="1"/>
  <c r="U1568" i="1"/>
  <c r="T1568" i="1"/>
  <c r="Y1544" i="1"/>
  <c r="X1544" i="1"/>
  <c r="W1544" i="1"/>
  <c r="V1544" i="1"/>
  <c r="U1544" i="1"/>
  <c r="T1544" i="1"/>
  <c r="Y1528" i="1"/>
  <c r="X1528" i="1"/>
  <c r="W1528" i="1"/>
  <c r="V1528" i="1"/>
  <c r="U1528" i="1"/>
  <c r="T1528" i="1"/>
  <c r="Y1512" i="1"/>
  <c r="W1512" i="1"/>
  <c r="X1512" i="1"/>
  <c r="V1512" i="1"/>
  <c r="U1512" i="1"/>
  <c r="T1512" i="1"/>
  <c r="Y1496" i="1"/>
  <c r="X1496" i="1"/>
  <c r="W1496" i="1"/>
  <c r="V1496" i="1"/>
  <c r="U1496" i="1"/>
  <c r="T1496" i="1"/>
  <c r="Y1480" i="1"/>
  <c r="X1480" i="1"/>
  <c r="W1480" i="1"/>
  <c r="V1480" i="1"/>
  <c r="U1480" i="1"/>
  <c r="T1480" i="1"/>
  <c r="Y1464" i="1"/>
  <c r="X1464" i="1"/>
  <c r="W1464" i="1"/>
  <c r="V1464" i="1"/>
  <c r="U1464" i="1"/>
  <c r="T1464" i="1"/>
  <c r="Y1448" i="1"/>
  <c r="X1448" i="1"/>
  <c r="W1448" i="1"/>
  <c r="V1448" i="1"/>
  <c r="U1448" i="1"/>
  <c r="T1448" i="1"/>
  <c r="Y1440" i="1"/>
  <c r="X1440" i="1"/>
  <c r="W1440" i="1"/>
  <c r="V1440" i="1"/>
  <c r="U1440" i="1"/>
  <c r="T1440" i="1"/>
  <c r="Y1424" i="1"/>
  <c r="X1424" i="1"/>
  <c r="W1424" i="1"/>
  <c r="V1424" i="1"/>
  <c r="U1424" i="1"/>
  <c r="T1424" i="1"/>
  <c r="Y1416" i="1"/>
  <c r="X1416" i="1"/>
  <c r="W1416" i="1"/>
  <c r="V1416" i="1"/>
  <c r="U1416" i="1"/>
  <c r="T1416" i="1"/>
  <c r="Y1400" i="1"/>
  <c r="X1400" i="1"/>
  <c r="W1400" i="1"/>
  <c r="V1400" i="1"/>
  <c r="U1400" i="1"/>
  <c r="T1400" i="1"/>
  <c r="Y1392" i="1"/>
  <c r="X1392" i="1"/>
  <c r="W1392" i="1"/>
  <c r="V1392" i="1"/>
  <c r="U1392" i="1"/>
  <c r="T1392" i="1"/>
  <c r="Y1376" i="1"/>
  <c r="X1376" i="1"/>
  <c r="W1376" i="1"/>
  <c r="V1376" i="1"/>
  <c r="U1376" i="1"/>
  <c r="T1376" i="1"/>
  <c r="Y1360" i="1"/>
  <c r="X1360" i="1"/>
  <c r="W1360" i="1"/>
  <c r="V1360" i="1"/>
  <c r="U1360" i="1"/>
  <c r="T1360" i="1"/>
  <c r="Y1344" i="1"/>
  <c r="W1344" i="1"/>
  <c r="X1344" i="1"/>
  <c r="V1344" i="1"/>
  <c r="U1344" i="1"/>
  <c r="T1344" i="1"/>
  <c r="Y1328" i="1"/>
  <c r="X1328" i="1"/>
  <c r="W1328" i="1"/>
  <c r="V1328" i="1"/>
  <c r="U1328" i="1"/>
  <c r="T1328" i="1"/>
  <c r="Y1320" i="1"/>
  <c r="W1320" i="1"/>
  <c r="X1320" i="1"/>
  <c r="V1320" i="1"/>
  <c r="U1320" i="1"/>
  <c r="T1320" i="1"/>
  <c r="Y1304" i="1"/>
  <c r="X1304" i="1"/>
  <c r="W1304" i="1"/>
  <c r="V1304" i="1"/>
  <c r="U1304" i="1"/>
  <c r="T1304" i="1"/>
  <c r="Y1288" i="1"/>
  <c r="X1288" i="1"/>
  <c r="W1288" i="1"/>
  <c r="V1288" i="1"/>
  <c r="U1288" i="1"/>
  <c r="T1288" i="1"/>
  <c r="Y1272" i="1"/>
  <c r="X1272" i="1"/>
  <c r="W1272" i="1"/>
  <c r="V1272" i="1"/>
  <c r="U1272" i="1"/>
  <c r="T1272" i="1"/>
  <c r="Y1256" i="1"/>
  <c r="W1256" i="1"/>
  <c r="X1256" i="1"/>
  <c r="V1256" i="1"/>
  <c r="U1256" i="1"/>
  <c r="T1256" i="1"/>
  <c r="Y1248" i="1"/>
  <c r="X1248" i="1"/>
  <c r="W1248" i="1"/>
  <c r="V1248" i="1"/>
  <c r="U1248" i="1"/>
  <c r="T1248" i="1"/>
  <c r="Y1232" i="1"/>
  <c r="X1232" i="1"/>
  <c r="W1232" i="1"/>
  <c r="V1232" i="1"/>
  <c r="U1232" i="1"/>
  <c r="T1232" i="1"/>
  <c r="Y1216" i="1"/>
  <c r="W1216" i="1"/>
  <c r="X1216" i="1"/>
  <c r="V1216" i="1"/>
  <c r="U1216" i="1"/>
  <c r="T1216" i="1"/>
  <c r="Y1200" i="1"/>
  <c r="X1200" i="1"/>
  <c r="W1200" i="1"/>
  <c r="V1200" i="1"/>
  <c r="U1200" i="1"/>
  <c r="T1200" i="1"/>
  <c r="Y1184" i="1"/>
  <c r="X1184" i="1"/>
  <c r="W1184" i="1"/>
  <c r="V1184" i="1"/>
  <c r="U1184" i="1"/>
  <c r="T1184" i="1"/>
  <c r="Y1176" i="1"/>
  <c r="X1176" i="1"/>
  <c r="W1176" i="1"/>
  <c r="V1176" i="1"/>
  <c r="U1176" i="1"/>
  <c r="T1176" i="1"/>
  <c r="Y1160" i="1"/>
  <c r="X1160" i="1"/>
  <c r="W1160" i="1"/>
  <c r="V1160" i="1"/>
  <c r="U1160" i="1"/>
  <c r="T1160" i="1"/>
  <c r="Y1144" i="1"/>
  <c r="X1144" i="1"/>
  <c r="W1144" i="1"/>
  <c r="V1144" i="1"/>
  <c r="U1144" i="1"/>
  <c r="T1144" i="1"/>
  <c r="Y1128" i="1"/>
  <c r="X1128" i="1"/>
  <c r="W1128" i="1"/>
  <c r="V1128" i="1"/>
  <c r="U1128" i="1"/>
  <c r="T1128" i="1"/>
  <c r="Y1120" i="1"/>
  <c r="X1120" i="1"/>
  <c r="W1120" i="1"/>
  <c r="V1120" i="1"/>
  <c r="U1120" i="1"/>
  <c r="T1120" i="1"/>
  <c r="Y1104" i="1"/>
  <c r="X1104" i="1"/>
  <c r="W1104" i="1"/>
  <c r="V1104" i="1"/>
  <c r="U1104" i="1"/>
  <c r="T1104" i="1"/>
  <c r="Y1088" i="1"/>
  <c r="W1088" i="1"/>
  <c r="X1088" i="1"/>
  <c r="V1088" i="1"/>
  <c r="U1088" i="1"/>
  <c r="T1088" i="1"/>
  <c r="Y1072" i="1"/>
  <c r="X1072" i="1"/>
  <c r="W1072" i="1"/>
  <c r="V1072" i="1"/>
  <c r="U1072" i="1"/>
  <c r="T1072" i="1"/>
  <c r="Y1056" i="1"/>
  <c r="X1056" i="1"/>
  <c r="W1056" i="1"/>
  <c r="V1056" i="1"/>
  <c r="U1056" i="1"/>
  <c r="T1056" i="1"/>
  <c r="Y1040" i="1"/>
  <c r="X1040" i="1"/>
  <c r="W1040" i="1"/>
  <c r="V1040" i="1"/>
  <c r="U1040" i="1"/>
  <c r="T1040" i="1"/>
  <c r="Y1024" i="1"/>
  <c r="X1024" i="1"/>
  <c r="W1024" i="1"/>
  <c r="V1024" i="1"/>
  <c r="U1024" i="1"/>
  <c r="T1024" i="1"/>
  <c r="Y952" i="1"/>
  <c r="X952" i="1"/>
  <c r="W952" i="1"/>
  <c r="V952" i="1"/>
  <c r="U952" i="1"/>
  <c r="T952" i="1"/>
  <c r="Y1703" i="1"/>
  <c r="X1703" i="1"/>
  <c r="W1703" i="1"/>
  <c r="V1703" i="1"/>
  <c r="U1703" i="1"/>
  <c r="T1703" i="1"/>
  <c r="Y1695" i="1"/>
  <c r="X1695" i="1"/>
  <c r="W1695" i="1"/>
  <c r="V1695" i="1"/>
  <c r="U1695" i="1"/>
  <c r="T1695" i="1"/>
  <c r="Y1687" i="1"/>
  <c r="X1687" i="1"/>
  <c r="W1687" i="1"/>
  <c r="V1687" i="1"/>
  <c r="U1687" i="1"/>
  <c r="T1687" i="1"/>
  <c r="Y1679" i="1"/>
  <c r="X1679" i="1"/>
  <c r="W1679" i="1"/>
  <c r="V1679" i="1"/>
  <c r="U1679" i="1"/>
  <c r="T1679" i="1"/>
  <c r="Y1671" i="1"/>
  <c r="X1671" i="1"/>
  <c r="W1671" i="1"/>
  <c r="V1671" i="1"/>
  <c r="U1671" i="1"/>
  <c r="T1671" i="1"/>
  <c r="Y1663" i="1"/>
  <c r="X1663" i="1"/>
  <c r="W1663" i="1"/>
  <c r="V1663" i="1"/>
  <c r="U1663" i="1"/>
  <c r="T1663" i="1"/>
  <c r="Y1655" i="1"/>
  <c r="W1655" i="1"/>
  <c r="X1655" i="1"/>
  <c r="V1655" i="1"/>
  <c r="U1655" i="1"/>
  <c r="T1655" i="1"/>
  <c r="Y1647" i="1"/>
  <c r="X1647" i="1"/>
  <c r="V1647" i="1"/>
  <c r="W1647" i="1"/>
  <c r="U1647" i="1"/>
  <c r="T1647" i="1"/>
  <c r="Y1639" i="1"/>
  <c r="X1639" i="1"/>
  <c r="W1639" i="1"/>
  <c r="V1639" i="1"/>
  <c r="U1639" i="1"/>
  <c r="T1639" i="1"/>
  <c r="Y1631" i="1"/>
  <c r="X1631" i="1"/>
  <c r="W1631" i="1"/>
  <c r="V1631" i="1"/>
  <c r="U1631" i="1"/>
  <c r="T1631" i="1"/>
  <c r="Y1623" i="1"/>
  <c r="X1623" i="1"/>
  <c r="W1623" i="1"/>
  <c r="V1623" i="1"/>
  <c r="U1623" i="1"/>
  <c r="T1623" i="1"/>
  <c r="Y1615" i="1"/>
  <c r="X1615" i="1"/>
  <c r="W1615" i="1"/>
  <c r="V1615" i="1"/>
  <c r="U1615" i="1"/>
  <c r="T1615" i="1"/>
  <c r="Y1607" i="1"/>
  <c r="X1607" i="1"/>
  <c r="W1607" i="1"/>
  <c r="V1607" i="1"/>
  <c r="U1607" i="1"/>
  <c r="T1607" i="1"/>
  <c r="Y1599" i="1"/>
  <c r="X1599" i="1"/>
  <c r="W1599" i="1"/>
  <c r="V1599" i="1"/>
  <c r="U1599" i="1"/>
  <c r="T1599" i="1"/>
  <c r="Y1591" i="1"/>
  <c r="W1591" i="1"/>
  <c r="X1591" i="1"/>
  <c r="V1591" i="1"/>
  <c r="U1591" i="1"/>
  <c r="T1591" i="1"/>
  <c r="Y1583" i="1"/>
  <c r="X1583" i="1"/>
  <c r="W1583" i="1"/>
  <c r="V1583" i="1"/>
  <c r="U1583" i="1"/>
  <c r="T1583" i="1"/>
  <c r="Y1575" i="1"/>
  <c r="W1575" i="1"/>
  <c r="X1575" i="1"/>
  <c r="V1575" i="1"/>
  <c r="U1575" i="1"/>
  <c r="T1575" i="1"/>
  <c r="Y1567" i="1"/>
  <c r="X1567" i="1"/>
  <c r="W1567" i="1"/>
  <c r="V1567" i="1"/>
  <c r="U1567" i="1"/>
  <c r="T1567" i="1"/>
  <c r="Y1559" i="1"/>
  <c r="X1559" i="1"/>
  <c r="W1559" i="1"/>
  <c r="V1559" i="1"/>
  <c r="U1559" i="1"/>
  <c r="T1559" i="1"/>
  <c r="Y1551" i="1"/>
  <c r="X1551" i="1"/>
  <c r="W1551" i="1"/>
  <c r="V1551" i="1"/>
  <c r="U1551" i="1"/>
  <c r="T1551" i="1"/>
  <c r="Y1543" i="1"/>
  <c r="X1543" i="1"/>
  <c r="W1543" i="1"/>
  <c r="V1543" i="1"/>
  <c r="U1543" i="1"/>
  <c r="T1543" i="1"/>
  <c r="Y1535" i="1"/>
  <c r="X1535" i="1"/>
  <c r="W1535" i="1"/>
  <c r="V1535" i="1"/>
  <c r="U1535" i="1"/>
  <c r="T1535" i="1"/>
  <c r="Y1527" i="1"/>
  <c r="X1527" i="1"/>
  <c r="W1527" i="1"/>
  <c r="V1527" i="1"/>
  <c r="U1527" i="1"/>
  <c r="T1527" i="1"/>
  <c r="Y1519" i="1"/>
  <c r="X1519" i="1"/>
  <c r="W1519" i="1"/>
  <c r="V1519" i="1"/>
  <c r="U1519" i="1"/>
  <c r="T1519" i="1"/>
  <c r="Y1511" i="1"/>
  <c r="X1511" i="1"/>
  <c r="W1511" i="1"/>
  <c r="V1511" i="1"/>
  <c r="U1511" i="1"/>
  <c r="T1511" i="1"/>
  <c r="Y1503" i="1"/>
  <c r="X1503" i="1"/>
  <c r="W1503" i="1"/>
  <c r="V1503" i="1"/>
  <c r="U1503" i="1"/>
  <c r="T1503" i="1"/>
  <c r="Y1495" i="1"/>
  <c r="X1495" i="1"/>
  <c r="W1495" i="1"/>
  <c r="V1495" i="1"/>
  <c r="U1495" i="1"/>
  <c r="T1495" i="1"/>
  <c r="Y1487" i="1"/>
  <c r="X1487" i="1"/>
  <c r="W1487" i="1"/>
  <c r="V1487" i="1"/>
  <c r="U1487" i="1"/>
  <c r="T1487" i="1"/>
  <c r="Y1479" i="1"/>
  <c r="X1479" i="1"/>
  <c r="W1479" i="1"/>
  <c r="V1479" i="1"/>
  <c r="U1479" i="1"/>
  <c r="T1479" i="1"/>
  <c r="Y1471" i="1"/>
  <c r="X1471" i="1"/>
  <c r="W1471" i="1"/>
  <c r="V1471" i="1"/>
  <c r="U1471" i="1"/>
  <c r="T1471" i="1"/>
  <c r="Y1463" i="1"/>
  <c r="X1463" i="1"/>
  <c r="W1463" i="1"/>
  <c r="V1463" i="1"/>
  <c r="U1463" i="1"/>
  <c r="T1463" i="1"/>
  <c r="Y1455" i="1"/>
  <c r="X1455" i="1"/>
  <c r="W1455" i="1"/>
  <c r="V1455" i="1"/>
  <c r="U1455" i="1"/>
  <c r="T1455" i="1"/>
  <c r="Y1447" i="1"/>
  <c r="X1447" i="1"/>
  <c r="W1447" i="1"/>
  <c r="V1447" i="1"/>
  <c r="U1447" i="1"/>
  <c r="T1447" i="1"/>
  <c r="Y1439" i="1"/>
  <c r="X1439" i="1"/>
  <c r="W1439" i="1"/>
  <c r="V1439" i="1"/>
  <c r="U1439" i="1"/>
  <c r="T1439" i="1"/>
  <c r="Y1431" i="1"/>
  <c r="X1431" i="1"/>
  <c r="W1431" i="1"/>
  <c r="V1431" i="1"/>
  <c r="U1431" i="1"/>
  <c r="T1431" i="1"/>
  <c r="Y1423" i="1"/>
  <c r="X1423" i="1"/>
  <c r="W1423" i="1"/>
  <c r="V1423" i="1"/>
  <c r="U1423" i="1"/>
  <c r="T1423" i="1"/>
  <c r="Y1415" i="1"/>
  <c r="X1415" i="1"/>
  <c r="W1415" i="1"/>
  <c r="V1415" i="1"/>
  <c r="U1415" i="1"/>
  <c r="T1415" i="1"/>
  <c r="Y1407" i="1"/>
  <c r="X1407" i="1"/>
  <c r="W1407" i="1"/>
  <c r="V1407" i="1"/>
  <c r="U1407" i="1"/>
  <c r="T1407" i="1"/>
  <c r="Y1399" i="1"/>
  <c r="X1399" i="1"/>
  <c r="W1399" i="1"/>
  <c r="V1399" i="1"/>
  <c r="U1399" i="1"/>
  <c r="T1399" i="1"/>
  <c r="Y1391" i="1"/>
  <c r="X1391" i="1"/>
  <c r="W1391" i="1"/>
  <c r="V1391" i="1"/>
  <c r="U1391" i="1"/>
  <c r="T1391" i="1"/>
  <c r="Y1383" i="1"/>
  <c r="X1383" i="1"/>
  <c r="W1383" i="1"/>
  <c r="V1383" i="1"/>
  <c r="U1383" i="1"/>
  <c r="T1383" i="1"/>
  <c r="Y1375" i="1"/>
  <c r="X1375" i="1"/>
  <c r="W1375" i="1"/>
  <c r="V1375" i="1"/>
  <c r="U1375" i="1"/>
  <c r="T1375" i="1"/>
  <c r="Y1367" i="1"/>
  <c r="X1367" i="1"/>
  <c r="W1367" i="1"/>
  <c r="V1367" i="1"/>
  <c r="U1367" i="1"/>
  <c r="T1367" i="1"/>
  <c r="Y1359" i="1"/>
  <c r="X1359" i="1"/>
  <c r="W1359" i="1"/>
  <c r="V1359" i="1"/>
  <c r="U1359" i="1"/>
  <c r="T1359" i="1"/>
  <c r="Y1351" i="1"/>
  <c r="X1351" i="1"/>
  <c r="W1351" i="1"/>
  <c r="V1351" i="1"/>
  <c r="U1351" i="1"/>
  <c r="T1351" i="1"/>
  <c r="Y1343" i="1"/>
  <c r="X1343" i="1"/>
  <c r="W1343" i="1"/>
  <c r="V1343" i="1"/>
  <c r="U1343" i="1"/>
  <c r="T1343" i="1"/>
  <c r="Y1335" i="1"/>
  <c r="X1335" i="1"/>
  <c r="W1335" i="1"/>
  <c r="V1335" i="1"/>
  <c r="U1335" i="1"/>
  <c r="T1335" i="1"/>
  <c r="Y1327" i="1"/>
  <c r="X1327" i="1"/>
  <c r="W1327" i="1"/>
  <c r="V1327" i="1"/>
  <c r="U1327" i="1"/>
  <c r="T1327" i="1"/>
  <c r="Y1319" i="1"/>
  <c r="X1319" i="1"/>
  <c r="W1319" i="1"/>
  <c r="V1319" i="1"/>
  <c r="U1319" i="1"/>
  <c r="T1319" i="1"/>
  <c r="Y1311" i="1"/>
  <c r="X1311" i="1"/>
  <c r="W1311" i="1"/>
  <c r="V1311" i="1"/>
  <c r="U1311" i="1"/>
  <c r="T1311" i="1"/>
  <c r="Y1303" i="1"/>
  <c r="X1303" i="1"/>
  <c r="W1303" i="1"/>
  <c r="V1303" i="1"/>
  <c r="U1303" i="1"/>
  <c r="T1303" i="1"/>
  <c r="Y1295" i="1"/>
  <c r="X1295" i="1"/>
  <c r="W1295" i="1"/>
  <c r="V1295" i="1"/>
  <c r="U1295" i="1"/>
  <c r="T1295" i="1"/>
  <c r="Y1287" i="1"/>
  <c r="X1287" i="1"/>
  <c r="W1287" i="1"/>
  <c r="V1287" i="1"/>
  <c r="U1287" i="1"/>
  <c r="T1287" i="1"/>
  <c r="Y1279" i="1"/>
  <c r="X1279" i="1"/>
  <c r="W1279" i="1"/>
  <c r="V1279" i="1"/>
  <c r="U1279" i="1"/>
  <c r="T1279" i="1"/>
  <c r="Y1271" i="1"/>
  <c r="X1271" i="1"/>
  <c r="W1271" i="1"/>
  <c r="V1271" i="1"/>
  <c r="U1271" i="1"/>
  <c r="T1271" i="1"/>
  <c r="Y1263" i="1"/>
  <c r="X1263" i="1"/>
  <c r="W1263" i="1"/>
  <c r="V1263" i="1"/>
  <c r="U1263" i="1"/>
  <c r="T1263" i="1"/>
  <c r="Y1255" i="1"/>
  <c r="X1255" i="1"/>
  <c r="W1255" i="1"/>
  <c r="V1255" i="1"/>
  <c r="U1255" i="1"/>
  <c r="T1255" i="1"/>
  <c r="Y1247" i="1"/>
  <c r="X1247" i="1"/>
  <c r="W1247" i="1"/>
  <c r="V1247" i="1"/>
  <c r="U1247" i="1"/>
  <c r="T1247" i="1"/>
  <c r="Y1239" i="1"/>
  <c r="X1239" i="1"/>
  <c r="W1239" i="1"/>
  <c r="V1239" i="1"/>
  <c r="U1239" i="1"/>
  <c r="T1239" i="1"/>
  <c r="Y1231" i="1"/>
  <c r="X1231" i="1"/>
  <c r="W1231" i="1"/>
  <c r="V1231" i="1"/>
  <c r="U1231" i="1"/>
  <c r="T1231" i="1"/>
  <c r="Y1223" i="1"/>
  <c r="X1223" i="1"/>
  <c r="W1223" i="1"/>
  <c r="V1223" i="1"/>
  <c r="U1223" i="1"/>
  <c r="T1223" i="1"/>
  <c r="Y1215" i="1"/>
  <c r="X1215" i="1"/>
  <c r="W1215" i="1"/>
  <c r="V1215" i="1"/>
  <c r="U1215" i="1"/>
  <c r="T1215" i="1"/>
  <c r="Y1207" i="1"/>
  <c r="X1207" i="1"/>
  <c r="W1207" i="1"/>
  <c r="V1207" i="1"/>
  <c r="U1207" i="1"/>
  <c r="T1207" i="1"/>
  <c r="Y1199" i="1"/>
  <c r="X1199" i="1"/>
  <c r="W1199" i="1"/>
  <c r="V1199" i="1"/>
  <c r="U1199" i="1"/>
  <c r="T1199" i="1"/>
  <c r="Y1191" i="1"/>
  <c r="X1191" i="1"/>
  <c r="W1191" i="1"/>
  <c r="V1191" i="1"/>
  <c r="U1191" i="1"/>
  <c r="T1191" i="1"/>
  <c r="Y1183" i="1"/>
  <c r="X1183" i="1"/>
  <c r="W1183" i="1"/>
  <c r="V1183" i="1"/>
  <c r="U1183" i="1"/>
  <c r="T1183" i="1"/>
  <c r="Y1175" i="1"/>
  <c r="X1175" i="1"/>
  <c r="W1175" i="1"/>
  <c r="V1175" i="1"/>
  <c r="U1175" i="1"/>
  <c r="T1175" i="1"/>
  <c r="Y1167" i="1"/>
  <c r="X1167" i="1"/>
  <c r="W1167" i="1"/>
  <c r="V1167" i="1"/>
  <c r="U1167" i="1"/>
  <c r="T1167" i="1"/>
  <c r="Y1159" i="1"/>
  <c r="X1159" i="1"/>
  <c r="W1159" i="1"/>
  <c r="V1159" i="1"/>
  <c r="U1159" i="1"/>
  <c r="T1159" i="1"/>
  <c r="Y1151" i="1"/>
  <c r="X1151" i="1"/>
  <c r="W1151" i="1"/>
  <c r="V1151" i="1"/>
  <c r="U1151" i="1"/>
  <c r="T1151" i="1"/>
  <c r="Y1143" i="1"/>
  <c r="X1143" i="1"/>
  <c r="W1143" i="1"/>
  <c r="V1143" i="1"/>
  <c r="U1143" i="1"/>
  <c r="T1143" i="1"/>
  <c r="Y1135" i="1"/>
  <c r="X1135" i="1"/>
  <c r="W1135" i="1"/>
  <c r="V1135" i="1"/>
  <c r="U1135" i="1"/>
  <c r="T1135" i="1"/>
  <c r="Y1127" i="1"/>
  <c r="X1127" i="1"/>
  <c r="W1127" i="1"/>
  <c r="V1127" i="1"/>
  <c r="U1127" i="1"/>
  <c r="T1127" i="1"/>
  <c r="Y1119" i="1"/>
  <c r="X1119" i="1"/>
  <c r="W1119" i="1"/>
  <c r="V1119" i="1"/>
  <c r="U1119" i="1"/>
  <c r="T1119" i="1"/>
  <c r="Y1111" i="1"/>
  <c r="X1111" i="1"/>
  <c r="W1111" i="1"/>
  <c r="V1111" i="1"/>
  <c r="U1111" i="1"/>
  <c r="T1111" i="1"/>
  <c r="Y1103" i="1"/>
  <c r="X1103" i="1"/>
  <c r="W1103" i="1"/>
  <c r="V1103" i="1"/>
  <c r="U1103" i="1"/>
  <c r="T1103" i="1"/>
  <c r="Y1095" i="1"/>
  <c r="X1095" i="1"/>
  <c r="W1095" i="1"/>
  <c r="V1095" i="1"/>
  <c r="U1095" i="1"/>
  <c r="T1095" i="1"/>
  <c r="Y1087" i="1"/>
  <c r="X1087" i="1"/>
  <c r="W1087" i="1"/>
  <c r="V1087" i="1"/>
  <c r="U1087" i="1"/>
  <c r="T1087" i="1"/>
  <c r="Y1079" i="1"/>
  <c r="X1079" i="1"/>
  <c r="W1079" i="1"/>
  <c r="V1079" i="1"/>
  <c r="U1079" i="1"/>
  <c r="T1079" i="1"/>
  <c r="Y1071" i="1"/>
  <c r="X1071" i="1"/>
  <c r="W1071" i="1"/>
  <c r="V1071" i="1"/>
  <c r="U1071" i="1"/>
  <c r="T1071" i="1"/>
  <c r="Y1063" i="1"/>
  <c r="X1063" i="1"/>
  <c r="W1063" i="1"/>
  <c r="V1063" i="1"/>
  <c r="U1063" i="1"/>
  <c r="T1063" i="1"/>
  <c r="Y1055" i="1"/>
  <c r="X1055" i="1"/>
  <c r="W1055" i="1"/>
  <c r="V1055" i="1"/>
  <c r="U1055" i="1"/>
  <c r="T1055" i="1"/>
  <c r="Y1047" i="1"/>
  <c r="X1047" i="1"/>
  <c r="W1047" i="1"/>
  <c r="V1047" i="1"/>
  <c r="U1047" i="1"/>
  <c r="T1047" i="1"/>
  <c r="Y1039" i="1"/>
  <c r="X1039" i="1"/>
  <c r="W1039" i="1"/>
  <c r="V1039" i="1"/>
  <c r="U1039" i="1"/>
  <c r="T1039" i="1"/>
  <c r="Y1031" i="1"/>
  <c r="X1031" i="1"/>
  <c r="W1031" i="1"/>
  <c r="V1031" i="1"/>
  <c r="U1031" i="1"/>
  <c r="T1031" i="1"/>
  <c r="Y1023" i="1"/>
  <c r="X1023" i="1"/>
  <c r="W1023" i="1"/>
  <c r="V1023" i="1"/>
  <c r="U1023" i="1"/>
  <c r="T1023" i="1"/>
  <c r="Y1015" i="1"/>
  <c r="X1015" i="1"/>
  <c r="W1015" i="1"/>
  <c r="V1015" i="1"/>
  <c r="U1015" i="1"/>
  <c r="T1015" i="1"/>
  <c r="Y1007" i="1"/>
  <c r="X1007" i="1"/>
  <c r="W1007" i="1"/>
  <c r="V1007" i="1"/>
  <c r="U1007" i="1"/>
  <c r="T1007" i="1"/>
  <c r="Y999" i="1"/>
  <c r="X999" i="1"/>
  <c r="W999" i="1"/>
  <c r="V999" i="1"/>
  <c r="U999" i="1"/>
  <c r="T999" i="1"/>
  <c r="Y991" i="1"/>
  <c r="X991" i="1"/>
  <c r="W991" i="1"/>
  <c r="V991" i="1"/>
  <c r="U991" i="1"/>
  <c r="T991" i="1"/>
  <c r="Y983" i="1"/>
  <c r="X983" i="1"/>
  <c r="W983" i="1"/>
  <c r="V983" i="1"/>
  <c r="U983" i="1"/>
  <c r="T983" i="1"/>
  <c r="Y975" i="1"/>
  <c r="X975" i="1"/>
  <c r="W975" i="1"/>
  <c r="V975" i="1"/>
  <c r="U975" i="1"/>
  <c r="T975" i="1"/>
  <c r="Y967" i="1"/>
  <c r="X967" i="1"/>
  <c r="W967" i="1"/>
  <c r="V967" i="1"/>
  <c r="U967" i="1"/>
  <c r="T967" i="1"/>
  <c r="Y959" i="1"/>
  <c r="X959" i="1"/>
  <c r="W959" i="1"/>
  <c r="V959" i="1"/>
  <c r="U959" i="1"/>
  <c r="T959" i="1"/>
  <c r="Y951" i="1"/>
  <c r="X951" i="1"/>
  <c r="W951" i="1"/>
  <c r="V951" i="1"/>
  <c r="U951" i="1"/>
  <c r="T951" i="1"/>
  <c r="Y943" i="1"/>
  <c r="X943" i="1"/>
  <c r="W943" i="1"/>
  <c r="V943" i="1"/>
  <c r="U943" i="1"/>
  <c r="T943" i="1"/>
  <c r="Y935" i="1"/>
  <c r="X935" i="1"/>
  <c r="W935" i="1"/>
  <c r="V935" i="1"/>
  <c r="U935" i="1"/>
  <c r="T935" i="1"/>
  <c r="Y927" i="1"/>
  <c r="X927" i="1"/>
  <c r="W927" i="1"/>
  <c r="V927" i="1"/>
  <c r="U927" i="1"/>
  <c r="T927" i="1"/>
  <c r="Y919" i="1"/>
  <c r="X919" i="1"/>
  <c r="W919" i="1"/>
  <c r="V919" i="1"/>
  <c r="U919" i="1"/>
  <c r="T919" i="1"/>
  <c r="Y911" i="1"/>
  <c r="X911" i="1"/>
  <c r="W911" i="1"/>
  <c r="V911" i="1"/>
  <c r="U911" i="1"/>
  <c r="T911" i="1"/>
  <c r="Y903" i="1"/>
  <c r="X903" i="1"/>
  <c r="W903" i="1"/>
  <c r="V903" i="1"/>
  <c r="U903" i="1"/>
  <c r="T903" i="1"/>
  <c r="Y895" i="1"/>
  <c r="X895" i="1"/>
  <c r="W895" i="1"/>
  <c r="V895" i="1"/>
  <c r="U895" i="1"/>
  <c r="T895" i="1"/>
  <c r="Y887" i="1"/>
  <c r="X887" i="1"/>
  <c r="W887" i="1"/>
  <c r="V887" i="1"/>
  <c r="U887" i="1"/>
  <c r="T887" i="1"/>
  <c r="Y879" i="1"/>
  <c r="X879" i="1"/>
  <c r="W879" i="1"/>
  <c r="V879" i="1"/>
  <c r="U879" i="1"/>
  <c r="T879" i="1"/>
  <c r="Y871" i="1"/>
  <c r="X871" i="1"/>
  <c r="W871" i="1"/>
  <c r="V871" i="1"/>
  <c r="U871" i="1"/>
  <c r="T871" i="1"/>
  <c r="Y863" i="1"/>
  <c r="X863" i="1"/>
  <c r="W863" i="1"/>
  <c r="V863" i="1"/>
  <c r="U863" i="1"/>
  <c r="T863" i="1"/>
  <c r="Y855" i="1"/>
  <c r="X855" i="1"/>
  <c r="W855" i="1"/>
  <c r="V855" i="1"/>
  <c r="U855" i="1"/>
  <c r="T855" i="1"/>
  <c r="Y847" i="1"/>
  <c r="X847" i="1"/>
  <c r="W847" i="1"/>
  <c r="V847" i="1"/>
  <c r="U847" i="1"/>
  <c r="T847" i="1"/>
  <c r="Y839" i="1"/>
  <c r="X839" i="1"/>
  <c r="W839" i="1"/>
  <c r="V839" i="1"/>
  <c r="U839" i="1"/>
  <c r="T839" i="1"/>
  <c r="Y831" i="1"/>
  <c r="X831" i="1"/>
  <c r="W831" i="1"/>
  <c r="V831" i="1"/>
  <c r="U831" i="1"/>
  <c r="T831" i="1"/>
  <c r="Y823" i="1"/>
  <c r="X823" i="1"/>
  <c r="W823" i="1"/>
  <c r="V823" i="1"/>
  <c r="U823" i="1"/>
  <c r="T823" i="1"/>
  <c r="Y815" i="1"/>
  <c r="X815" i="1"/>
  <c r="W815" i="1"/>
  <c r="V815" i="1"/>
  <c r="U815" i="1"/>
  <c r="T815" i="1"/>
  <c r="Y807" i="1"/>
  <c r="X807" i="1"/>
  <c r="W807" i="1"/>
  <c r="V807" i="1"/>
  <c r="U807" i="1"/>
  <c r="T807" i="1"/>
  <c r="Y799" i="1"/>
  <c r="X799" i="1"/>
  <c r="W799" i="1"/>
  <c r="V799" i="1"/>
  <c r="U799" i="1"/>
  <c r="T799" i="1"/>
  <c r="Y791" i="1"/>
  <c r="X791" i="1"/>
  <c r="W791" i="1"/>
  <c r="V791" i="1"/>
  <c r="U791" i="1"/>
  <c r="T791" i="1"/>
  <c r="Y783" i="1"/>
  <c r="X783" i="1"/>
  <c r="W783" i="1"/>
  <c r="V783" i="1"/>
  <c r="U783" i="1"/>
  <c r="T783" i="1"/>
  <c r="Y775" i="1"/>
  <c r="X775" i="1"/>
  <c r="W775" i="1"/>
  <c r="V775" i="1"/>
  <c r="U775" i="1"/>
  <c r="T775" i="1"/>
  <c r="Y767" i="1"/>
  <c r="X767" i="1"/>
  <c r="W767" i="1"/>
  <c r="V767" i="1"/>
  <c r="U767" i="1"/>
  <c r="T767" i="1"/>
  <c r="Y759" i="1"/>
  <c r="X759" i="1"/>
  <c r="W759" i="1"/>
  <c r="V759" i="1"/>
  <c r="U759" i="1"/>
  <c r="T759" i="1"/>
  <c r="Y751" i="1"/>
  <c r="X751" i="1"/>
  <c r="W751" i="1"/>
  <c r="V751" i="1"/>
  <c r="T751" i="1"/>
  <c r="U751" i="1"/>
  <c r="Y743" i="1"/>
  <c r="X743" i="1"/>
  <c r="W743" i="1"/>
  <c r="V743" i="1"/>
  <c r="U743" i="1"/>
  <c r="T743" i="1"/>
  <c r="Y735" i="1"/>
  <c r="X735" i="1"/>
  <c r="W735" i="1"/>
  <c r="V735" i="1"/>
  <c r="T735" i="1"/>
  <c r="U735" i="1"/>
  <c r="Y727" i="1"/>
  <c r="X727" i="1"/>
  <c r="W727" i="1"/>
  <c r="V727" i="1"/>
  <c r="U727" i="1"/>
  <c r="T727" i="1"/>
  <c r="Y719" i="1"/>
  <c r="X719" i="1"/>
  <c r="W719" i="1"/>
  <c r="V719" i="1"/>
  <c r="T719" i="1"/>
  <c r="U719" i="1"/>
  <c r="Y711" i="1"/>
  <c r="X711" i="1"/>
  <c r="W711" i="1"/>
  <c r="V711" i="1"/>
  <c r="U711" i="1"/>
  <c r="T711" i="1"/>
  <c r="Y703" i="1"/>
  <c r="X703" i="1"/>
  <c r="W703" i="1"/>
  <c r="V703" i="1"/>
  <c r="T703" i="1"/>
  <c r="U703" i="1"/>
  <c r="Y695" i="1"/>
  <c r="X695" i="1"/>
  <c r="W695" i="1"/>
  <c r="V695" i="1"/>
  <c r="U695" i="1"/>
  <c r="T695" i="1"/>
  <c r="Y687" i="1"/>
  <c r="X687" i="1"/>
  <c r="W687" i="1"/>
  <c r="V687" i="1"/>
  <c r="T687" i="1"/>
  <c r="U687" i="1"/>
  <c r="Y679" i="1"/>
  <c r="X679" i="1"/>
  <c r="W679" i="1"/>
  <c r="V679" i="1"/>
  <c r="U679" i="1"/>
  <c r="T679" i="1"/>
  <c r="Y671" i="1"/>
  <c r="X671" i="1"/>
  <c r="W671" i="1"/>
  <c r="V671" i="1"/>
  <c r="T671" i="1"/>
  <c r="U671" i="1"/>
  <c r="Y663" i="1"/>
  <c r="X663" i="1"/>
  <c r="W663" i="1"/>
  <c r="V663" i="1"/>
  <c r="U663" i="1"/>
  <c r="T663" i="1"/>
  <c r="Y655" i="1"/>
  <c r="X655" i="1"/>
  <c r="W655" i="1"/>
  <c r="V655" i="1"/>
  <c r="T655" i="1"/>
  <c r="U655" i="1"/>
  <c r="Y647" i="1"/>
  <c r="X647" i="1"/>
  <c r="W647" i="1"/>
  <c r="V647" i="1"/>
  <c r="U647" i="1"/>
  <c r="T647" i="1"/>
  <c r="Y639" i="1"/>
  <c r="X639" i="1"/>
  <c r="W639" i="1"/>
  <c r="V639" i="1"/>
  <c r="T639" i="1"/>
  <c r="U639" i="1"/>
  <c r="Y631" i="1"/>
  <c r="X631" i="1"/>
  <c r="W631" i="1"/>
  <c r="V631" i="1"/>
  <c r="U631" i="1"/>
  <c r="T631" i="1"/>
  <c r="Y623" i="1"/>
  <c r="X623" i="1"/>
  <c r="W623" i="1"/>
  <c r="V623" i="1"/>
  <c r="T623" i="1"/>
  <c r="U623" i="1"/>
  <c r="Y615" i="1"/>
  <c r="X615" i="1"/>
  <c r="W615" i="1"/>
  <c r="V615" i="1"/>
  <c r="U615" i="1"/>
  <c r="T615" i="1"/>
  <c r="Y607" i="1"/>
  <c r="X607" i="1"/>
  <c r="W607" i="1"/>
  <c r="V607" i="1"/>
  <c r="T607" i="1"/>
  <c r="U607" i="1"/>
  <c r="Y599" i="1"/>
  <c r="X599" i="1"/>
  <c r="W599" i="1"/>
  <c r="V599" i="1"/>
  <c r="U599" i="1"/>
  <c r="T599" i="1"/>
  <c r="Y591" i="1"/>
  <c r="X591" i="1"/>
  <c r="W591" i="1"/>
  <c r="V591" i="1"/>
  <c r="T591" i="1"/>
  <c r="U591" i="1"/>
  <c r="Y583" i="1"/>
  <c r="X583" i="1"/>
  <c r="W583" i="1"/>
  <c r="V583" i="1"/>
  <c r="U583" i="1"/>
  <c r="T583" i="1"/>
  <c r="Y575" i="1"/>
  <c r="X575" i="1"/>
  <c r="W575" i="1"/>
  <c r="V575" i="1"/>
  <c r="T575" i="1"/>
  <c r="U575" i="1"/>
  <c r="Y567" i="1"/>
  <c r="X567" i="1"/>
  <c r="W567" i="1"/>
  <c r="V567" i="1"/>
  <c r="U567" i="1"/>
  <c r="T567" i="1"/>
  <c r="Y559" i="1"/>
  <c r="X559" i="1"/>
  <c r="W559" i="1"/>
  <c r="V559" i="1"/>
  <c r="T559" i="1"/>
  <c r="U559" i="1"/>
  <c r="Y551" i="1"/>
  <c r="X551" i="1"/>
  <c r="W551" i="1"/>
  <c r="V551" i="1"/>
  <c r="U551" i="1"/>
  <c r="T551" i="1"/>
  <c r="Y543" i="1"/>
  <c r="X543" i="1"/>
  <c r="W543" i="1"/>
  <c r="V543" i="1"/>
  <c r="T543" i="1"/>
  <c r="U543" i="1"/>
  <c r="Y535" i="1"/>
  <c r="X535" i="1"/>
  <c r="W535" i="1"/>
  <c r="V535" i="1"/>
  <c r="U535" i="1"/>
  <c r="T535" i="1"/>
  <c r="Y527" i="1"/>
  <c r="X527" i="1"/>
  <c r="W527" i="1"/>
  <c r="V527" i="1"/>
  <c r="T527" i="1"/>
  <c r="U527" i="1"/>
  <c r="Y519" i="1"/>
  <c r="X519" i="1"/>
  <c r="W519" i="1"/>
  <c r="V519" i="1"/>
  <c r="U519" i="1"/>
  <c r="T519" i="1"/>
  <c r="Y511" i="1"/>
  <c r="X511" i="1"/>
  <c r="W511" i="1"/>
  <c r="V511" i="1"/>
  <c r="T511" i="1"/>
  <c r="U511" i="1"/>
  <c r="Y503" i="1"/>
  <c r="X503" i="1"/>
  <c r="W503" i="1"/>
  <c r="V503" i="1"/>
  <c r="U503" i="1"/>
  <c r="T503" i="1"/>
  <c r="Y495" i="1"/>
  <c r="X495" i="1"/>
  <c r="W495" i="1"/>
  <c r="V495" i="1"/>
  <c r="T495" i="1"/>
  <c r="U495" i="1"/>
  <c r="Y487" i="1"/>
  <c r="X487" i="1"/>
  <c r="W487" i="1"/>
  <c r="V487" i="1"/>
  <c r="U487" i="1"/>
  <c r="T487" i="1"/>
  <c r="Y479" i="1"/>
  <c r="X479" i="1"/>
  <c r="W479" i="1"/>
  <c r="V479" i="1"/>
  <c r="T479" i="1"/>
  <c r="U479" i="1"/>
  <c r="Y471" i="1"/>
  <c r="X471" i="1"/>
  <c r="W471" i="1"/>
  <c r="V471" i="1"/>
  <c r="U471" i="1"/>
  <c r="T471" i="1"/>
  <c r="Y463" i="1"/>
  <c r="X463" i="1"/>
  <c r="W463" i="1"/>
  <c r="V463" i="1"/>
  <c r="T463" i="1"/>
  <c r="U463" i="1"/>
  <c r="Y455" i="1"/>
  <c r="X455" i="1"/>
  <c r="W455" i="1"/>
  <c r="V455" i="1"/>
  <c r="U455" i="1"/>
  <c r="T455" i="1"/>
  <c r="Y447" i="1"/>
  <c r="X447" i="1"/>
  <c r="W447" i="1"/>
  <c r="V447" i="1"/>
  <c r="T447" i="1"/>
  <c r="U447" i="1"/>
  <c r="Y439" i="1"/>
  <c r="X439" i="1"/>
  <c r="W439" i="1"/>
  <c r="V439" i="1"/>
  <c r="U439" i="1"/>
  <c r="T439" i="1"/>
  <c r="Y431" i="1"/>
  <c r="X431" i="1"/>
  <c r="W431" i="1"/>
  <c r="V431" i="1"/>
  <c r="T431" i="1"/>
  <c r="U431" i="1"/>
  <c r="Y423" i="1"/>
  <c r="X423" i="1"/>
  <c r="W423" i="1"/>
  <c r="V423" i="1"/>
  <c r="U423" i="1"/>
  <c r="T423" i="1"/>
  <c r="Y415" i="1"/>
  <c r="X415" i="1"/>
  <c r="W415" i="1"/>
  <c r="V415" i="1"/>
  <c r="T415" i="1"/>
  <c r="U415" i="1"/>
  <c r="Y407" i="1"/>
  <c r="X407" i="1"/>
  <c r="W407" i="1"/>
  <c r="V407" i="1"/>
  <c r="U407" i="1"/>
  <c r="T407" i="1"/>
  <c r="Y399" i="1"/>
  <c r="X399" i="1"/>
  <c r="W399" i="1"/>
  <c r="V399" i="1"/>
  <c r="T399" i="1"/>
  <c r="U399" i="1"/>
  <c r="Y391" i="1"/>
  <c r="X391" i="1"/>
  <c r="W391" i="1"/>
  <c r="V391" i="1"/>
  <c r="U391" i="1"/>
  <c r="T391" i="1"/>
  <c r="Y383" i="1"/>
  <c r="X383" i="1"/>
  <c r="W383" i="1"/>
  <c r="V383" i="1"/>
  <c r="T383" i="1"/>
  <c r="U383" i="1"/>
  <c r="Y375" i="1"/>
  <c r="X375" i="1"/>
  <c r="W375" i="1"/>
  <c r="V375" i="1"/>
  <c r="U375" i="1"/>
  <c r="T375" i="1"/>
  <c r="Y367" i="1"/>
  <c r="X367" i="1"/>
  <c r="W367" i="1"/>
  <c r="V367" i="1"/>
  <c r="T367" i="1"/>
  <c r="U367" i="1"/>
  <c r="Y359" i="1"/>
  <c r="X359" i="1"/>
  <c r="W359" i="1"/>
  <c r="V359" i="1"/>
  <c r="U359" i="1"/>
  <c r="T359" i="1"/>
  <c r="Y351" i="1"/>
  <c r="X351" i="1"/>
  <c r="W351" i="1"/>
  <c r="V351" i="1"/>
  <c r="T351" i="1"/>
  <c r="U351" i="1"/>
  <c r="Y343" i="1"/>
  <c r="X343" i="1"/>
  <c r="W343" i="1"/>
  <c r="V343" i="1"/>
  <c r="U343" i="1"/>
  <c r="T343" i="1"/>
  <c r="Y335" i="1"/>
  <c r="X335" i="1"/>
  <c r="W335" i="1"/>
  <c r="V335" i="1"/>
  <c r="T335" i="1"/>
  <c r="U335" i="1"/>
  <c r="Y327" i="1"/>
  <c r="X327" i="1"/>
  <c r="W327" i="1"/>
  <c r="V327" i="1"/>
  <c r="U327" i="1"/>
  <c r="T327" i="1"/>
  <c r="Y319" i="1"/>
  <c r="X319" i="1"/>
  <c r="W319" i="1"/>
  <c r="V319" i="1"/>
  <c r="T319" i="1"/>
  <c r="U319" i="1"/>
  <c r="Y311" i="1"/>
  <c r="X311" i="1"/>
  <c r="W311" i="1"/>
  <c r="V311" i="1"/>
  <c r="U311" i="1"/>
  <c r="T311" i="1"/>
  <c r="Y303" i="1"/>
  <c r="X303" i="1"/>
  <c r="W303" i="1"/>
  <c r="V303" i="1"/>
  <c r="T303" i="1"/>
  <c r="U303" i="1"/>
  <c r="Y295" i="1"/>
  <c r="X295" i="1"/>
  <c r="W295" i="1"/>
  <c r="V295" i="1"/>
  <c r="U295" i="1"/>
  <c r="T295" i="1"/>
  <c r="Y287" i="1"/>
  <c r="X287" i="1"/>
  <c r="W287" i="1"/>
  <c r="V287" i="1"/>
  <c r="T287" i="1"/>
  <c r="U287" i="1"/>
  <c r="Y279" i="1"/>
  <c r="X279" i="1"/>
  <c r="W279" i="1"/>
  <c r="V279" i="1"/>
  <c r="U279" i="1"/>
  <c r="T279" i="1"/>
  <c r="Y271" i="1"/>
  <c r="X271" i="1"/>
  <c r="W271" i="1"/>
  <c r="V271" i="1"/>
  <c r="T271" i="1"/>
  <c r="U271" i="1"/>
  <c r="Y263" i="1"/>
  <c r="X263" i="1"/>
  <c r="W263" i="1"/>
  <c r="V263" i="1"/>
  <c r="U263" i="1"/>
  <c r="T263" i="1"/>
  <c r="Y255" i="1"/>
  <c r="X255" i="1"/>
  <c r="W255" i="1"/>
  <c r="V255" i="1"/>
  <c r="T255" i="1"/>
  <c r="U255" i="1"/>
  <c r="Y247" i="1"/>
  <c r="X247" i="1"/>
  <c r="W247" i="1"/>
  <c r="V247" i="1"/>
  <c r="U247" i="1"/>
  <c r="T247" i="1"/>
  <c r="Y239" i="1"/>
  <c r="X239" i="1"/>
  <c r="W239" i="1"/>
  <c r="V239" i="1"/>
  <c r="U239" i="1"/>
  <c r="T239" i="1"/>
  <c r="Y231" i="1"/>
  <c r="X231" i="1"/>
  <c r="W231" i="1"/>
  <c r="V231" i="1"/>
  <c r="U231" i="1"/>
  <c r="T231" i="1"/>
  <c r="Y223" i="1"/>
  <c r="X223" i="1"/>
  <c r="W223" i="1"/>
  <c r="V223" i="1"/>
  <c r="U223" i="1"/>
  <c r="T223" i="1"/>
  <c r="Y215" i="1"/>
  <c r="X215" i="1"/>
  <c r="W215" i="1"/>
  <c r="V215" i="1"/>
  <c r="T215" i="1"/>
  <c r="U215" i="1"/>
  <c r="Y207" i="1"/>
  <c r="X207" i="1"/>
  <c r="W207" i="1"/>
  <c r="V207" i="1"/>
  <c r="U207" i="1"/>
  <c r="T207" i="1"/>
  <c r="Y199" i="1"/>
  <c r="X199" i="1"/>
  <c r="W199" i="1"/>
  <c r="V199" i="1"/>
  <c r="U199" i="1"/>
  <c r="T199" i="1"/>
  <c r="Y191" i="1"/>
  <c r="X191" i="1"/>
  <c r="W191" i="1"/>
  <c r="V191" i="1"/>
  <c r="U191" i="1"/>
  <c r="T191" i="1"/>
  <c r="Y183" i="1"/>
  <c r="X183" i="1"/>
  <c r="W183" i="1"/>
  <c r="V183" i="1"/>
  <c r="U183" i="1"/>
  <c r="T183" i="1"/>
  <c r="Y175" i="1"/>
  <c r="X175" i="1"/>
  <c r="W175" i="1"/>
  <c r="V175" i="1"/>
  <c r="U175" i="1"/>
  <c r="T175" i="1"/>
  <c r="Y167" i="1"/>
  <c r="X167" i="1"/>
  <c r="W167" i="1"/>
  <c r="V167" i="1"/>
  <c r="T167" i="1"/>
  <c r="U167" i="1"/>
  <c r="Y159" i="1"/>
  <c r="X159" i="1"/>
  <c r="W159" i="1"/>
  <c r="V159" i="1"/>
  <c r="U159" i="1"/>
  <c r="T159" i="1"/>
  <c r="Y151" i="1"/>
  <c r="X151" i="1"/>
  <c r="W151" i="1"/>
  <c r="V151" i="1"/>
  <c r="T151" i="1"/>
  <c r="U151" i="1"/>
  <c r="Y143" i="1"/>
  <c r="X143" i="1"/>
  <c r="W143" i="1"/>
  <c r="V143" i="1"/>
  <c r="U143" i="1"/>
  <c r="T143" i="1"/>
  <c r="Y135" i="1"/>
  <c r="X135" i="1"/>
  <c r="W135" i="1"/>
  <c r="V135" i="1"/>
  <c r="U135" i="1"/>
  <c r="T135" i="1"/>
  <c r="Y127" i="1"/>
  <c r="X127" i="1"/>
  <c r="W127" i="1"/>
  <c r="V127" i="1"/>
  <c r="U127" i="1"/>
  <c r="T127" i="1"/>
  <c r="Y119" i="1"/>
  <c r="X119" i="1"/>
  <c r="W119" i="1"/>
  <c r="V119" i="1"/>
  <c r="U119" i="1"/>
  <c r="T119" i="1"/>
  <c r="Y111" i="1"/>
  <c r="X111" i="1"/>
  <c r="W111" i="1"/>
  <c r="V111" i="1"/>
  <c r="U111" i="1"/>
  <c r="T111" i="1"/>
  <c r="Y103" i="1"/>
  <c r="X103" i="1"/>
  <c r="W103" i="1"/>
  <c r="V103" i="1"/>
  <c r="T103" i="1"/>
  <c r="U103" i="1"/>
  <c r="Y95" i="1"/>
  <c r="X95" i="1"/>
  <c r="W95" i="1"/>
  <c r="V95" i="1"/>
  <c r="U95" i="1"/>
  <c r="T95" i="1"/>
  <c r="Y87" i="1"/>
  <c r="X87" i="1"/>
  <c r="W87" i="1"/>
  <c r="V87" i="1"/>
  <c r="T87" i="1"/>
  <c r="U87" i="1"/>
  <c r="Y79" i="1"/>
  <c r="X79" i="1"/>
  <c r="W79" i="1"/>
  <c r="V79" i="1"/>
  <c r="U79" i="1"/>
  <c r="T79" i="1"/>
  <c r="Y71" i="1"/>
  <c r="X71" i="1"/>
  <c r="W71" i="1"/>
  <c r="V71" i="1"/>
  <c r="U71" i="1"/>
  <c r="T71" i="1"/>
  <c r="Y63" i="1"/>
  <c r="X63" i="1"/>
  <c r="W63" i="1"/>
  <c r="V63" i="1"/>
  <c r="U63" i="1"/>
  <c r="T63" i="1"/>
  <c r="Y55" i="1"/>
  <c r="X55" i="1"/>
  <c r="W55" i="1"/>
  <c r="V55" i="1"/>
  <c r="U55" i="1"/>
  <c r="T55" i="1"/>
  <c r="Y47" i="1"/>
  <c r="X47" i="1"/>
  <c r="W47" i="1"/>
  <c r="V47" i="1"/>
  <c r="U47" i="1"/>
  <c r="T47" i="1"/>
  <c r="Y39" i="1"/>
  <c r="X39" i="1"/>
  <c r="W39" i="1"/>
  <c r="V39" i="1"/>
  <c r="T39" i="1"/>
  <c r="U39" i="1"/>
  <c r="Y31" i="1"/>
  <c r="X31" i="1"/>
  <c r="W31" i="1"/>
  <c r="V31" i="1"/>
  <c r="U31" i="1"/>
  <c r="T31" i="1"/>
  <c r="Y23" i="1"/>
  <c r="X23" i="1"/>
  <c r="W23" i="1"/>
  <c r="V23" i="1"/>
  <c r="T23" i="1"/>
  <c r="U23" i="1"/>
  <c r="Y15" i="1"/>
  <c r="X15" i="1"/>
  <c r="W15" i="1"/>
  <c r="V15" i="1"/>
  <c r="U15" i="1"/>
  <c r="T15" i="1"/>
  <c r="Y7" i="1"/>
  <c r="X7" i="1"/>
  <c r="W7" i="1"/>
  <c r="V7" i="1"/>
  <c r="U7" i="1"/>
  <c r="T7" i="1"/>
  <c r="Y1719" i="1"/>
  <c r="W1719" i="1"/>
  <c r="V1719" i="1"/>
  <c r="X1719" i="1"/>
  <c r="U1719" i="1"/>
  <c r="T1719" i="1"/>
  <c r="Y1725" i="1"/>
  <c r="X1725" i="1"/>
  <c r="W1725" i="1"/>
  <c r="V1725" i="1"/>
  <c r="U1725" i="1"/>
  <c r="T1725" i="1"/>
  <c r="Y1741" i="1"/>
  <c r="X1741" i="1"/>
  <c r="W1741" i="1"/>
  <c r="V1741" i="1"/>
  <c r="U1741" i="1"/>
  <c r="T1741" i="1"/>
  <c r="Y1733" i="1"/>
  <c r="X1733" i="1"/>
  <c r="W1733" i="1"/>
  <c r="V1733" i="1"/>
  <c r="U1733" i="1"/>
  <c r="T1733" i="1"/>
  <c r="Y1770" i="1"/>
  <c r="X1770" i="1"/>
  <c r="W1770" i="1"/>
  <c r="V1770" i="1"/>
  <c r="U1770" i="1"/>
  <c r="T1770" i="1"/>
  <c r="Y1772" i="1"/>
  <c r="X1772" i="1"/>
  <c r="W1772" i="1"/>
  <c r="V1772" i="1"/>
  <c r="U1772" i="1"/>
  <c r="T1772" i="1"/>
  <c r="Y1776" i="1"/>
  <c r="X1776" i="1"/>
  <c r="W1776" i="1"/>
  <c r="V1776" i="1"/>
  <c r="U1776" i="1"/>
  <c r="T1776" i="1"/>
  <c r="Y1782" i="1"/>
  <c r="X1782" i="1"/>
  <c r="W1782" i="1"/>
  <c r="V1782" i="1"/>
  <c r="U1782" i="1"/>
  <c r="T1782" i="1"/>
  <c r="Y1788" i="1"/>
  <c r="X1788" i="1"/>
  <c r="W1788" i="1"/>
  <c r="V1788" i="1"/>
  <c r="U1788" i="1"/>
  <c r="T1788" i="1"/>
  <c r="Y1802" i="1"/>
  <c r="X1802" i="1"/>
  <c r="W1802" i="1"/>
  <c r="V1802" i="1"/>
  <c r="U1802" i="1"/>
  <c r="T1802" i="1"/>
  <c r="Y1820" i="1"/>
  <c r="X1820" i="1"/>
  <c r="V1820" i="1"/>
  <c r="W1820" i="1"/>
  <c r="U1820" i="1"/>
  <c r="T1820" i="1"/>
  <c r="Y1691" i="1"/>
  <c r="X1691" i="1"/>
  <c r="W1691" i="1"/>
  <c r="V1691" i="1"/>
  <c r="U1691" i="1"/>
  <c r="T1691" i="1"/>
  <c r="Y1627" i="1"/>
  <c r="X1627" i="1"/>
  <c r="W1627" i="1"/>
  <c r="V1627" i="1"/>
  <c r="U1627" i="1"/>
  <c r="T1627" i="1"/>
  <c r="Y1563" i="1"/>
  <c r="X1563" i="1"/>
  <c r="W1563" i="1"/>
  <c r="V1563" i="1"/>
  <c r="U1563" i="1"/>
  <c r="T1563" i="1"/>
  <c r="Y1499" i="1"/>
  <c r="X1499" i="1"/>
  <c r="W1499" i="1"/>
  <c r="V1499" i="1"/>
  <c r="U1499" i="1"/>
  <c r="T1499" i="1"/>
  <c r="Y1451" i="1"/>
  <c r="X1451" i="1"/>
  <c r="W1451" i="1"/>
  <c r="V1451" i="1"/>
  <c r="U1451" i="1"/>
  <c r="T1451" i="1"/>
  <c r="Y1387" i="1"/>
  <c r="X1387" i="1"/>
  <c r="W1387" i="1"/>
  <c r="V1387" i="1"/>
  <c r="U1387" i="1"/>
  <c r="T1387" i="1"/>
  <c r="Y1331" i="1"/>
  <c r="X1331" i="1"/>
  <c r="W1331" i="1"/>
  <c r="V1331" i="1"/>
  <c r="U1331" i="1"/>
  <c r="T1331" i="1"/>
  <c r="Y1275" i="1"/>
  <c r="X1275" i="1"/>
  <c r="W1275" i="1"/>
  <c r="V1275" i="1"/>
  <c r="U1275" i="1"/>
  <c r="T1275" i="1"/>
  <c r="Y1203" i="1"/>
  <c r="X1203" i="1"/>
  <c r="W1203" i="1"/>
  <c r="V1203" i="1"/>
  <c r="U1203" i="1"/>
  <c r="T1203" i="1"/>
  <c r="Y1131" i="1"/>
  <c r="X1131" i="1"/>
  <c r="W1131" i="1"/>
  <c r="V1131" i="1"/>
  <c r="U1131" i="1"/>
  <c r="T1131" i="1"/>
  <c r="Y1067" i="1"/>
  <c r="X1067" i="1"/>
  <c r="W1067" i="1"/>
  <c r="V1067" i="1"/>
  <c r="U1067" i="1"/>
  <c r="T1067" i="1"/>
  <c r="Y995" i="1"/>
  <c r="X995" i="1"/>
  <c r="W995" i="1"/>
  <c r="V995" i="1"/>
  <c r="U995" i="1"/>
  <c r="T995" i="1"/>
  <c r="Y915" i="1"/>
  <c r="W915" i="1"/>
  <c r="X915" i="1"/>
  <c r="V915" i="1"/>
  <c r="U915" i="1"/>
  <c r="T915" i="1"/>
  <c r="Y859" i="1"/>
  <c r="X859" i="1"/>
  <c r="W859" i="1"/>
  <c r="V859" i="1"/>
  <c r="U859" i="1"/>
  <c r="T859" i="1"/>
  <c r="Y787" i="1"/>
  <c r="X787" i="1"/>
  <c r="W787" i="1"/>
  <c r="V787" i="1"/>
  <c r="U787" i="1"/>
  <c r="T787" i="1"/>
  <c r="Y715" i="1"/>
  <c r="X715" i="1"/>
  <c r="W715" i="1"/>
  <c r="V715" i="1"/>
  <c r="U715" i="1"/>
  <c r="T715" i="1"/>
  <c r="Y635" i="1"/>
  <c r="X635" i="1"/>
  <c r="W635" i="1"/>
  <c r="V635" i="1"/>
  <c r="U635" i="1"/>
  <c r="T635" i="1"/>
  <c r="Y563" i="1"/>
  <c r="X563" i="1"/>
  <c r="W563" i="1"/>
  <c r="V563" i="1"/>
  <c r="U563" i="1"/>
  <c r="T563" i="1"/>
  <c r="Y491" i="1"/>
  <c r="X491" i="1"/>
  <c r="W491" i="1"/>
  <c r="V491" i="1"/>
  <c r="U491" i="1"/>
  <c r="T491" i="1"/>
  <c r="Y435" i="1"/>
  <c r="X435" i="1"/>
  <c r="W435" i="1"/>
  <c r="V435" i="1"/>
  <c r="U435" i="1"/>
  <c r="T435" i="1"/>
  <c r="Y371" i="1"/>
  <c r="X371" i="1"/>
  <c r="W371" i="1"/>
  <c r="V371" i="1"/>
  <c r="U371" i="1"/>
  <c r="T371" i="1"/>
  <c r="Y315" i="1"/>
  <c r="X315" i="1"/>
  <c r="W315" i="1"/>
  <c r="V315" i="1"/>
  <c r="U315" i="1"/>
  <c r="T315" i="1"/>
  <c r="Y251" i="1"/>
  <c r="X251" i="1"/>
  <c r="W251" i="1"/>
  <c r="V251" i="1"/>
  <c r="U251" i="1"/>
  <c r="T251" i="1"/>
  <c r="Y187" i="1"/>
  <c r="X187" i="1"/>
  <c r="W187" i="1"/>
  <c r="V187" i="1"/>
  <c r="U187" i="1"/>
  <c r="T187" i="1"/>
  <c r="Y123" i="1"/>
  <c r="X123" i="1"/>
  <c r="W123" i="1"/>
  <c r="V123" i="1"/>
  <c r="U123" i="1"/>
  <c r="T123" i="1"/>
  <c r="Y59" i="1"/>
  <c r="X59" i="1"/>
  <c r="W59" i="1"/>
  <c r="V59" i="1"/>
  <c r="U59" i="1"/>
  <c r="T59" i="1"/>
  <c r="Y1702" i="1"/>
  <c r="X1702" i="1"/>
  <c r="W1702" i="1"/>
  <c r="V1702" i="1"/>
  <c r="U1702" i="1"/>
  <c r="T1702" i="1"/>
  <c r="Y1694" i="1"/>
  <c r="X1694" i="1"/>
  <c r="W1694" i="1"/>
  <c r="V1694" i="1"/>
  <c r="U1694" i="1"/>
  <c r="T1694" i="1"/>
  <c r="Y1686" i="1"/>
  <c r="X1686" i="1"/>
  <c r="W1686" i="1"/>
  <c r="V1686" i="1"/>
  <c r="U1686" i="1"/>
  <c r="T1686" i="1"/>
  <c r="Y1678" i="1"/>
  <c r="X1678" i="1"/>
  <c r="W1678" i="1"/>
  <c r="V1678" i="1"/>
  <c r="T1678" i="1"/>
  <c r="U1678" i="1"/>
  <c r="Y1670" i="1"/>
  <c r="X1670" i="1"/>
  <c r="W1670" i="1"/>
  <c r="V1670" i="1"/>
  <c r="U1670" i="1"/>
  <c r="T1670" i="1"/>
  <c r="Y1662" i="1"/>
  <c r="X1662" i="1"/>
  <c r="W1662" i="1"/>
  <c r="V1662" i="1"/>
  <c r="U1662" i="1"/>
  <c r="T1662" i="1"/>
  <c r="Y1654" i="1"/>
  <c r="X1654" i="1"/>
  <c r="W1654" i="1"/>
  <c r="V1654" i="1"/>
  <c r="U1654" i="1"/>
  <c r="T1654" i="1"/>
  <c r="Y1646" i="1"/>
  <c r="X1646" i="1"/>
  <c r="W1646" i="1"/>
  <c r="V1646" i="1"/>
  <c r="T1646" i="1"/>
  <c r="U1646" i="1"/>
  <c r="Y1638" i="1"/>
  <c r="X1638" i="1"/>
  <c r="W1638" i="1"/>
  <c r="V1638" i="1"/>
  <c r="U1638" i="1"/>
  <c r="T1638" i="1"/>
  <c r="Y1630" i="1"/>
  <c r="X1630" i="1"/>
  <c r="W1630" i="1"/>
  <c r="V1630" i="1"/>
  <c r="U1630" i="1"/>
  <c r="T1630" i="1"/>
  <c r="Y1622" i="1"/>
  <c r="X1622" i="1"/>
  <c r="W1622" i="1"/>
  <c r="V1622" i="1"/>
  <c r="U1622" i="1"/>
  <c r="T1622" i="1"/>
  <c r="Y1614" i="1"/>
  <c r="X1614" i="1"/>
  <c r="W1614" i="1"/>
  <c r="V1614" i="1"/>
  <c r="T1614" i="1"/>
  <c r="U1614" i="1"/>
  <c r="Y1606" i="1"/>
  <c r="X1606" i="1"/>
  <c r="W1606" i="1"/>
  <c r="V1606" i="1"/>
  <c r="U1606" i="1"/>
  <c r="T1606" i="1"/>
  <c r="Y1598" i="1"/>
  <c r="X1598" i="1"/>
  <c r="W1598" i="1"/>
  <c r="V1598" i="1"/>
  <c r="U1598" i="1"/>
  <c r="T1598" i="1"/>
  <c r="Y1590" i="1"/>
  <c r="X1590" i="1"/>
  <c r="W1590" i="1"/>
  <c r="V1590" i="1"/>
  <c r="U1590" i="1"/>
  <c r="T1590" i="1"/>
  <c r="Y1582" i="1"/>
  <c r="X1582" i="1"/>
  <c r="W1582" i="1"/>
  <c r="V1582" i="1"/>
  <c r="T1582" i="1"/>
  <c r="U1582" i="1"/>
  <c r="Y1574" i="1"/>
  <c r="X1574" i="1"/>
  <c r="W1574" i="1"/>
  <c r="V1574" i="1"/>
  <c r="U1574" i="1"/>
  <c r="T1574" i="1"/>
  <c r="Y1566" i="1"/>
  <c r="X1566" i="1"/>
  <c r="W1566" i="1"/>
  <c r="V1566" i="1"/>
  <c r="U1566" i="1"/>
  <c r="T1566" i="1"/>
  <c r="Y1558" i="1"/>
  <c r="X1558" i="1"/>
  <c r="W1558" i="1"/>
  <c r="V1558" i="1"/>
  <c r="U1558" i="1"/>
  <c r="T1558" i="1"/>
  <c r="Y1550" i="1"/>
  <c r="X1550" i="1"/>
  <c r="W1550" i="1"/>
  <c r="V1550" i="1"/>
  <c r="T1550" i="1"/>
  <c r="U1550" i="1"/>
  <c r="Y1542" i="1"/>
  <c r="X1542" i="1"/>
  <c r="W1542" i="1"/>
  <c r="V1542" i="1"/>
  <c r="U1542" i="1"/>
  <c r="T1542" i="1"/>
  <c r="Y1534" i="1"/>
  <c r="X1534" i="1"/>
  <c r="W1534" i="1"/>
  <c r="V1534" i="1"/>
  <c r="U1534" i="1"/>
  <c r="T1534" i="1"/>
  <c r="Y1526" i="1"/>
  <c r="X1526" i="1"/>
  <c r="W1526" i="1"/>
  <c r="U1526" i="1"/>
  <c r="V1526" i="1"/>
  <c r="T1526" i="1"/>
  <c r="Y1518" i="1"/>
  <c r="X1518" i="1"/>
  <c r="W1518" i="1"/>
  <c r="V1518" i="1"/>
  <c r="U1518" i="1"/>
  <c r="T1518" i="1"/>
  <c r="Y1510" i="1"/>
  <c r="X1510" i="1"/>
  <c r="W1510" i="1"/>
  <c r="V1510" i="1"/>
  <c r="U1510" i="1"/>
  <c r="T1510" i="1"/>
  <c r="Y1502" i="1"/>
  <c r="X1502" i="1"/>
  <c r="W1502" i="1"/>
  <c r="V1502" i="1"/>
  <c r="U1502" i="1"/>
  <c r="T1502" i="1"/>
  <c r="Y1494" i="1"/>
  <c r="X1494" i="1"/>
  <c r="W1494" i="1"/>
  <c r="V1494" i="1"/>
  <c r="U1494" i="1"/>
  <c r="T1494" i="1"/>
  <c r="Y1486" i="1"/>
  <c r="X1486" i="1"/>
  <c r="W1486" i="1"/>
  <c r="V1486" i="1"/>
  <c r="U1486" i="1"/>
  <c r="T1486" i="1"/>
  <c r="Y1478" i="1"/>
  <c r="X1478" i="1"/>
  <c r="W1478" i="1"/>
  <c r="V1478" i="1"/>
  <c r="U1478" i="1"/>
  <c r="T1478" i="1"/>
  <c r="Y1470" i="1"/>
  <c r="X1470" i="1"/>
  <c r="W1470" i="1"/>
  <c r="V1470" i="1"/>
  <c r="U1470" i="1"/>
  <c r="T1470" i="1"/>
  <c r="Y1462" i="1"/>
  <c r="X1462" i="1"/>
  <c r="W1462" i="1"/>
  <c r="V1462" i="1"/>
  <c r="U1462" i="1"/>
  <c r="T1462" i="1"/>
  <c r="Y1454" i="1"/>
  <c r="X1454" i="1"/>
  <c r="W1454" i="1"/>
  <c r="V1454" i="1"/>
  <c r="T1454" i="1"/>
  <c r="U1454" i="1"/>
  <c r="Y1446" i="1"/>
  <c r="X1446" i="1"/>
  <c r="W1446" i="1"/>
  <c r="V1446" i="1"/>
  <c r="U1446" i="1"/>
  <c r="T1446" i="1"/>
  <c r="Y1438" i="1"/>
  <c r="X1438" i="1"/>
  <c r="W1438" i="1"/>
  <c r="V1438" i="1"/>
  <c r="U1438" i="1"/>
  <c r="T1438" i="1"/>
  <c r="Y1430" i="1"/>
  <c r="X1430" i="1"/>
  <c r="W1430" i="1"/>
  <c r="V1430" i="1"/>
  <c r="U1430" i="1"/>
  <c r="T1430" i="1"/>
  <c r="Y1422" i="1"/>
  <c r="X1422" i="1"/>
  <c r="W1422" i="1"/>
  <c r="V1422" i="1"/>
  <c r="T1422" i="1"/>
  <c r="U1422" i="1"/>
  <c r="Y1414" i="1"/>
  <c r="X1414" i="1"/>
  <c r="W1414" i="1"/>
  <c r="V1414" i="1"/>
  <c r="U1414" i="1"/>
  <c r="T1414" i="1"/>
  <c r="Y1406" i="1"/>
  <c r="X1406" i="1"/>
  <c r="W1406" i="1"/>
  <c r="V1406" i="1"/>
  <c r="U1406" i="1"/>
  <c r="T1406" i="1"/>
  <c r="Y1398" i="1"/>
  <c r="X1398" i="1"/>
  <c r="W1398" i="1"/>
  <c r="V1398" i="1"/>
  <c r="U1398" i="1"/>
  <c r="T1398" i="1"/>
  <c r="Y1390" i="1"/>
  <c r="X1390" i="1"/>
  <c r="W1390" i="1"/>
  <c r="V1390" i="1"/>
  <c r="T1390" i="1"/>
  <c r="U1390" i="1"/>
  <c r="Y1382" i="1"/>
  <c r="X1382" i="1"/>
  <c r="W1382" i="1"/>
  <c r="V1382" i="1"/>
  <c r="U1382" i="1"/>
  <c r="T1382" i="1"/>
  <c r="Y1374" i="1"/>
  <c r="X1374" i="1"/>
  <c r="W1374" i="1"/>
  <c r="V1374" i="1"/>
  <c r="U1374" i="1"/>
  <c r="T1374" i="1"/>
  <c r="Y1366" i="1"/>
  <c r="X1366" i="1"/>
  <c r="W1366" i="1"/>
  <c r="V1366" i="1"/>
  <c r="U1366" i="1"/>
  <c r="T1366" i="1"/>
  <c r="Y1358" i="1"/>
  <c r="X1358" i="1"/>
  <c r="W1358" i="1"/>
  <c r="V1358" i="1"/>
  <c r="T1358" i="1"/>
  <c r="U1358" i="1"/>
  <c r="Y1350" i="1"/>
  <c r="X1350" i="1"/>
  <c r="W1350" i="1"/>
  <c r="V1350" i="1"/>
  <c r="U1350" i="1"/>
  <c r="T1350" i="1"/>
  <c r="Y1342" i="1"/>
  <c r="X1342" i="1"/>
  <c r="W1342" i="1"/>
  <c r="V1342" i="1"/>
  <c r="U1342" i="1"/>
  <c r="T1342" i="1"/>
  <c r="Y1334" i="1"/>
  <c r="X1334" i="1"/>
  <c r="W1334" i="1"/>
  <c r="V1334" i="1"/>
  <c r="U1334" i="1"/>
  <c r="T1334" i="1"/>
  <c r="Y1326" i="1"/>
  <c r="X1326" i="1"/>
  <c r="W1326" i="1"/>
  <c r="V1326" i="1"/>
  <c r="T1326" i="1"/>
  <c r="U1326" i="1"/>
  <c r="Y1318" i="1"/>
  <c r="X1318" i="1"/>
  <c r="W1318" i="1"/>
  <c r="V1318" i="1"/>
  <c r="U1318" i="1"/>
  <c r="T1318" i="1"/>
  <c r="Y1310" i="1"/>
  <c r="X1310" i="1"/>
  <c r="W1310" i="1"/>
  <c r="V1310" i="1"/>
  <c r="U1310" i="1"/>
  <c r="T1310" i="1"/>
  <c r="Y1302" i="1"/>
  <c r="X1302" i="1"/>
  <c r="W1302" i="1"/>
  <c r="V1302" i="1"/>
  <c r="U1302" i="1"/>
  <c r="T1302" i="1"/>
  <c r="Y1294" i="1"/>
  <c r="X1294" i="1"/>
  <c r="W1294" i="1"/>
  <c r="V1294" i="1"/>
  <c r="T1294" i="1"/>
  <c r="U1294" i="1"/>
  <c r="Y1286" i="1"/>
  <c r="X1286" i="1"/>
  <c r="W1286" i="1"/>
  <c r="V1286" i="1"/>
  <c r="U1286" i="1"/>
  <c r="T1286" i="1"/>
  <c r="Y1278" i="1"/>
  <c r="X1278" i="1"/>
  <c r="W1278" i="1"/>
  <c r="V1278" i="1"/>
  <c r="U1278" i="1"/>
  <c r="T1278" i="1"/>
  <c r="Y1270" i="1"/>
  <c r="X1270" i="1"/>
  <c r="W1270" i="1"/>
  <c r="V1270" i="1"/>
  <c r="U1270" i="1"/>
  <c r="T1270" i="1"/>
  <c r="Y1262" i="1"/>
  <c r="X1262" i="1"/>
  <c r="W1262" i="1"/>
  <c r="V1262" i="1"/>
  <c r="U1262" i="1"/>
  <c r="T1262" i="1"/>
  <c r="Y1254" i="1"/>
  <c r="X1254" i="1"/>
  <c r="W1254" i="1"/>
  <c r="V1254" i="1"/>
  <c r="U1254" i="1"/>
  <c r="T1254" i="1"/>
  <c r="Y1246" i="1"/>
  <c r="X1246" i="1"/>
  <c r="W1246" i="1"/>
  <c r="V1246" i="1"/>
  <c r="U1246" i="1"/>
  <c r="T1246" i="1"/>
  <c r="Y1238" i="1"/>
  <c r="X1238" i="1"/>
  <c r="W1238" i="1"/>
  <c r="V1238" i="1"/>
  <c r="U1238" i="1"/>
  <c r="T1238" i="1"/>
  <c r="Y1230" i="1"/>
  <c r="X1230" i="1"/>
  <c r="W1230" i="1"/>
  <c r="V1230" i="1"/>
  <c r="U1230" i="1"/>
  <c r="T1230" i="1"/>
  <c r="Y1222" i="1"/>
  <c r="X1222" i="1"/>
  <c r="W1222" i="1"/>
  <c r="V1222" i="1"/>
  <c r="U1222" i="1"/>
  <c r="T1222" i="1"/>
  <c r="Y1214" i="1"/>
  <c r="X1214" i="1"/>
  <c r="W1214" i="1"/>
  <c r="V1214" i="1"/>
  <c r="U1214" i="1"/>
  <c r="T1214" i="1"/>
  <c r="Y1206" i="1"/>
  <c r="X1206" i="1"/>
  <c r="W1206" i="1"/>
  <c r="V1206" i="1"/>
  <c r="U1206" i="1"/>
  <c r="T1206" i="1"/>
  <c r="Y1198" i="1"/>
  <c r="X1198" i="1"/>
  <c r="W1198" i="1"/>
  <c r="V1198" i="1"/>
  <c r="T1198" i="1"/>
  <c r="U1198" i="1"/>
  <c r="Y1190" i="1"/>
  <c r="X1190" i="1"/>
  <c r="W1190" i="1"/>
  <c r="V1190" i="1"/>
  <c r="U1190" i="1"/>
  <c r="T1190" i="1"/>
  <c r="Y1182" i="1"/>
  <c r="X1182" i="1"/>
  <c r="W1182" i="1"/>
  <c r="V1182" i="1"/>
  <c r="U1182" i="1"/>
  <c r="T1182" i="1"/>
  <c r="Y1174" i="1"/>
  <c r="X1174" i="1"/>
  <c r="W1174" i="1"/>
  <c r="V1174" i="1"/>
  <c r="U1174" i="1"/>
  <c r="T1174" i="1"/>
  <c r="Y1166" i="1"/>
  <c r="X1166" i="1"/>
  <c r="W1166" i="1"/>
  <c r="V1166" i="1"/>
  <c r="T1166" i="1"/>
  <c r="U1166" i="1"/>
  <c r="Y1158" i="1"/>
  <c r="X1158" i="1"/>
  <c r="W1158" i="1"/>
  <c r="V1158" i="1"/>
  <c r="U1158" i="1"/>
  <c r="T1158" i="1"/>
  <c r="Y1150" i="1"/>
  <c r="X1150" i="1"/>
  <c r="W1150" i="1"/>
  <c r="V1150" i="1"/>
  <c r="U1150" i="1"/>
  <c r="T1150" i="1"/>
  <c r="Y1142" i="1"/>
  <c r="X1142" i="1"/>
  <c r="W1142" i="1"/>
  <c r="V1142" i="1"/>
  <c r="U1142" i="1"/>
  <c r="T1142" i="1"/>
  <c r="Y1134" i="1"/>
  <c r="X1134" i="1"/>
  <c r="W1134" i="1"/>
  <c r="V1134" i="1"/>
  <c r="T1134" i="1"/>
  <c r="U1134" i="1"/>
  <c r="Y1126" i="1"/>
  <c r="X1126" i="1"/>
  <c r="W1126" i="1"/>
  <c r="V1126" i="1"/>
  <c r="U1126" i="1"/>
  <c r="T1126" i="1"/>
  <c r="Y1118" i="1"/>
  <c r="X1118" i="1"/>
  <c r="W1118" i="1"/>
  <c r="V1118" i="1"/>
  <c r="U1118" i="1"/>
  <c r="T1118" i="1"/>
  <c r="Y1110" i="1"/>
  <c r="X1110" i="1"/>
  <c r="W1110" i="1"/>
  <c r="V1110" i="1"/>
  <c r="U1110" i="1"/>
  <c r="T1110" i="1"/>
  <c r="Y1102" i="1"/>
  <c r="X1102" i="1"/>
  <c r="W1102" i="1"/>
  <c r="V1102" i="1"/>
  <c r="T1102" i="1"/>
  <c r="U1102" i="1"/>
  <c r="Y1094" i="1"/>
  <c r="X1094" i="1"/>
  <c r="W1094" i="1"/>
  <c r="V1094" i="1"/>
  <c r="U1094" i="1"/>
  <c r="T1094" i="1"/>
  <c r="Y1086" i="1"/>
  <c r="X1086" i="1"/>
  <c r="W1086" i="1"/>
  <c r="V1086" i="1"/>
  <c r="U1086" i="1"/>
  <c r="T1086" i="1"/>
  <c r="Y1078" i="1"/>
  <c r="X1078" i="1"/>
  <c r="W1078" i="1"/>
  <c r="V1078" i="1"/>
  <c r="U1078" i="1"/>
  <c r="T1078" i="1"/>
  <c r="Y1070" i="1"/>
  <c r="X1070" i="1"/>
  <c r="W1070" i="1"/>
  <c r="V1070" i="1"/>
  <c r="T1070" i="1"/>
  <c r="U1070" i="1"/>
  <c r="Y1062" i="1"/>
  <c r="X1062" i="1"/>
  <c r="W1062" i="1"/>
  <c r="V1062" i="1"/>
  <c r="U1062" i="1"/>
  <c r="T1062" i="1"/>
  <c r="Y1054" i="1"/>
  <c r="X1054" i="1"/>
  <c r="W1054" i="1"/>
  <c r="V1054" i="1"/>
  <c r="U1054" i="1"/>
  <c r="T1054" i="1"/>
  <c r="Y1046" i="1"/>
  <c r="X1046" i="1"/>
  <c r="W1046" i="1"/>
  <c r="V1046" i="1"/>
  <c r="U1046" i="1"/>
  <c r="T1046" i="1"/>
  <c r="Y1038" i="1"/>
  <c r="X1038" i="1"/>
  <c r="W1038" i="1"/>
  <c r="V1038" i="1"/>
  <c r="T1038" i="1"/>
  <c r="U1038" i="1"/>
  <c r="Y1030" i="1"/>
  <c r="X1030" i="1"/>
  <c r="W1030" i="1"/>
  <c r="V1030" i="1"/>
  <c r="U1030" i="1"/>
  <c r="T1030" i="1"/>
  <c r="Y1022" i="1"/>
  <c r="X1022" i="1"/>
  <c r="W1022" i="1"/>
  <c r="V1022" i="1"/>
  <c r="U1022" i="1"/>
  <c r="T1022" i="1"/>
  <c r="Y1014" i="1"/>
  <c r="X1014" i="1"/>
  <c r="W1014" i="1"/>
  <c r="U1014" i="1"/>
  <c r="V1014" i="1"/>
  <c r="T1014" i="1"/>
  <c r="Y1006" i="1"/>
  <c r="X1006" i="1"/>
  <c r="W1006" i="1"/>
  <c r="V1006" i="1"/>
  <c r="U1006" i="1"/>
  <c r="T1006" i="1"/>
  <c r="Y998" i="1"/>
  <c r="X998" i="1"/>
  <c r="W998" i="1"/>
  <c r="V998" i="1"/>
  <c r="U998" i="1"/>
  <c r="T998" i="1"/>
  <c r="Y990" i="1"/>
  <c r="X990" i="1"/>
  <c r="W990" i="1"/>
  <c r="V990" i="1"/>
  <c r="U990" i="1"/>
  <c r="T990" i="1"/>
  <c r="Y982" i="1"/>
  <c r="X982" i="1"/>
  <c r="W982" i="1"/>
  <c r="V982" i="1"/>
  <c r="U982" i="1"/>
  <c r="T982" i="1"/>
  <c r="Y974" i="1"/>
  <c r="X974" i="1"/>
  <c r="W974" i="1"/>
  <c r="V974" i="1"/>
  <c r="U974" i="1"/>
  <c r="T974" i="1"/>
  <c r="Y966" i="1"/>
  <c r="X966" i="1"/>
  <c r="W966" i="1"/>
  <c r="V966" i="1"/>
  <c r="U966" i="1"/>
  <c r="T966" i="1"/>
  <c r="Y958" i="1"/>
  <c r="X958" i="1"/>
  <c r="W958" i="1"/>
  <c r="V958" i="1"/>
  <c r="U958" i="1"/>
  <c r="T958" i="1"/>
  <c r="Y950" i="1"/>
  <c r="X950" i="1"/>
  <c r="W950" i="1"/>
  <c r="V950" i="1"/>
  <c r="U950" i="1"/>
  <c r="T950" i="1"/>
  <c r="Y942" i="1"/>
  <c r="X942" i="1"/>
  <c r="W942" i="1"/>
  <c r="V942" i="1"/>
  <c r="T942" i="1"/>
  <c r="U942" i="1"/>
  <c r="Y934" i="1"/>
  <c r="X934" i="1"/>
  <c r="W934" i="1"/>
  <c r="V934" i="1"/>
  <c r="U934" i="1"/>
  <c r="T934" i="1"/>
  <c r="Y926" i="1"/>
  <c r="X926" i="1"/>
  <c r="W926" i="1"/>
  <c r="V926" i="1"/>
  <c r="U926" i="1"/>
  <c r="T926" i="1"/>
  <c r="Y918" i="1"/>
  <c r="X918" i="1"/>
  <c r="W918" i="1"/>
  <c r="V918" i="1"/>
  <c r="U918" i="1"/>
  <c r="T918" i="1"/>
  <c r="Y910" i="1"/>
  <c r="X910" i="1"/>
  <c r="W910" i="1"/>
  <c r="V910" i="1"/>
  <c r="T910" i="1"/>
  <c r="U910" i="1"/>
  <c r="Y902" i="1"/>
  <c r="X902" i="1"/>
  <c r="W902" i="1"/>
  <c r="V902" i="1"/>
  <c r="U902" i="1"/>
  <c r="T902" i="1"/>
  <c r="Y894" i="1"/>
  <c r="X894" i="1"/>
  <c r="W894" i="1"/>
  <c r="V894" i="1"/>
  <c r="U894" i="1"/>
  <c r="T894" i="1"/>
  <c r="Y886" i="1"/>
  <c r="X886" i="1"/>
  <c r="W886" i="1"/>
  <c r="V886" i="1"/>
  <c r="U886" i="1"/>
  <c r="T886" i="1"/>
  <c r="Y878" i="1"/>
  <c r="X878" i="1"/>
  <c r="W878" i="1"/>
  <c r="V878" i="1"/>
  <c r="T878" i="1"/>
  <c r="U878" i="1"/>
  <c r="Y870" i="1"/>
  <c r="X870" i="1"/>
  <c r="W870" i="1"/>
  <c r="V870" i="1"/>
  <c r="U870" i="1"/>
  <c r="T870" i="1"/>
  <c r="Y862" i="1"/>
  <c r="X862" i="1"/>
  <c r="W862" i="1"/>
  <c r="V862" i="1"/>
  <c r="U862" i="1"/>
  <c r="T862" i="1"/>
  <c r="Y854" i="1"/>
  <c r="X854" i="1"/>
  <c r="W854" i="1"/>
  <c r="V854" i="1"/>
  <c r="U854" i="1"/>
  <c r="T854" i="1"/>
  <c r="Y846" i="1"/>
  <c r="X846" i="1"/>
  <c r="W846" i="1"/>
  <c r="V846" i="1"/>
  <c r="T846" i="1"/>
  <c r="U846" i="1"/>
  <c r="Y838" i="1"/>
  <c r="X838" i="1"/>
  <c r="W838" i="1"/>
  <c r="V838" i="1"/>
  <c r="U838" i="1"/>
  <c r="T838" i="1"/>
  <c r="Y830" i="1"/>
  <c r="X830" i="1"/>
  <c r="W830" i="1"/>
  <c r="V830" i="1"/>
  <c r="U830" i="1"/>
  <c r="T830" i="1"/>
  <c r="Y822" i="1"/>
  <c r="X822" i="1"/>
  <c r="W822" i="1"/>
  <c r="V822" i="1"/>
  <c r="U822" i="1"/>
  <c r="T822" i="1"/>
  <c r="Y814" i="1"/>
  <c r="X814" i="1"/>
  <c r="W814" i="1"/>
  <c r="V814" i="1"/>
  <c r="T814" i="1"/>
  <c r="U814" i="1"/>
  <c r="Y806" i="1"/>
  <c r="X806" i="1"/>
  <c r="W806" i="1"/>
  <c r="V806" i="1"/>
  <c r="U806" i="1"/>
  <c r="T806" i="1"/>
  <c r="Y798" i="1"/>
  <c r="X798" i="1"/>
  <c r="W798" i="1"/>
  <c r="V798" i="1"/>
  <c r="U798" i="1"/>
  <c r="T798" i="1"/>
  <c r="Y790" i="1"/>
  <c r="X790" i="1"/>
  <c r="W790" i="1"/>
  <c r="V790" i="1"/>
  <c r="U790" i="1"/>
  <c r="T790" i="1"/>
  <c r="Y782" i="1"/>
  <c r="X782" i="1"/>
  <c r="W782" i="1"/>
  <c r="V782" i="1"/>
  <c r="T782" i="1"/>
  <c r="U782" i="1"/>
  <c r="Y774" i="1"/>
  <c r="X774" i="1"/>
  <c r="W774" i="1"/>
  <c r="V774" i="1"/>
  <c r="U774" i="1"/>
  <c r="T774" i="1"/>
  <c r="Y766" i="1"/>
  <c r="X766" i="1"/>
  <c r="W766" i="1"/>
  <c r="V766" i="1"/>
  <c r="U766" i="1"/>
  <c r="T766" i="1"/>
  <c r="Y758" i="1"/>
  <c r="X758" i="1"/>
  <c r="W758" i="1"/>
  <c r="V758" i="1"/>
  <c r="U758" i="1"/>
  <c r="T758" i="1"/>
  <c r="Y750" i="1"/>
  <c r="X750" i="1"/>
  <c r="W750" i="1"/>
  <c r="V750" i="1"/>
  <c r="U750" i="1"/>
  <c r="T750" i="1"/>
  <c r="Y742" i="1"/>
  <c r="X742" i="1"/>
  <c r="W742" i="1"/>
  <c r="V742" i="1"/>
  <c r="U742" i="1"/>
  <c r="T742" i="1"/>
  <c r="Y734" i="1"/>
  <c r="X734" i="1"/>
  <c r="W734" i="1"/>
  <c r="V734" i="1"/>
  <c r="U734" i="1"/>
  <c r="T734" i="1"/>
  <c r="Y726" i="1"/>
  <c r="X726" i="1"/>
  <c r="W726" i="1"/>
  <c r="V726" i="1"/>
  <c r="U726" i="1"/>
  <c r="T726" i="1"/>
  <c r="Y718" i="1"/>
  <c r="X718" i="1"/>
  <c r="W718" i="1"/>
  <c r="V718" i="1"/>
  <c r="U718" i="1"/>
  <c r="T718" i="1"/>
  <c r="Y710" i="1"/>
  <c r="X710" i="1"/>
  <c r="W710" i="1"/>
  <c r="V710" i="1"/>
  <c r="U710" i="1"/>
  <c r="T710" i="1"/>
  <c r="Y702" i="1"/>
  <c r="X702" i="1"/>
  <c r="W702" i="1"/>
  <c r="V702" i="1"/>
  <c r="U702" i="1"/>
  <c r="T702" i="1"/>
  <c r="Y694" i="1"/>
  <c r="X694" i="1"/>
  <c r="W694" i="1"/>
  <c r="V694" i="1"/>
  <c r="U694" i="1"/>
  <c r="T694" i="1"/>
  <c r="Y686" i="1"/>
  <c r="X686" i="1"/>
  <c r="W686" i="1"/>
  <c r="V686" i="1"/>
  <c r="U686" i="1"/>
  <c r="T686" i="1"/>
  <c r="Y678" i="1"/>
  <c r="X678" i="1"/>
  <c r="W678" i="1"/>
  <c r="V678" i="1"/>
  <c r="U678" i="1"/>
  <c r="T678" i="1"/>
  <c r="Y670" i="1"/>
  <c r="X670" i="1"/>
  <c r="W670" i="1"/>
  <c r="V670" i="1"/>
  <c r="U670" i="1"/>
  <c r="T670" i="1"/>
  <c r="Y662" i="1"/>
  <c r="X662" i="1"/>
  <c r="W662" i="1"/>
  <c r="V662" i="1"/>
  <c r="U662" i="1"/>
  <c r="T662" i="1"/>
  <c r="Y654" i="1"/>
  <c r="X654" i="1"/>
  <c r="W654" i="1"/>
  <c r="V654" i="1"/>
  <c r="U654" i="1"/>
  <c r="T654" i="1"/>
  <c r="Y646" i="1"/>
  <c r="X646" i="1"/>
  <c r="W646" i="1"/>
  <c r="V646" i="1"/>
  <c r="U646" i="1"/>
  <c r="T646" i="1"/>
  <c r="Y638" i="1"/>
  <c r="X638" i="1"/>
  <c r="W638" i="1"/>
  <c r="V638" i="1"/>
  <c r="U638" i="1"/>
  <c r="T638" i="1"/>
  <c r="Y630" i="1"/>
  <c r="X630" i="1"/>
  <c r="W630" i="1"/>
  <c r="V630" i="1"/>
  <c r="U630" i="1"/>
  <c r="T630" i="1"/>
  <c r="Y622" i="1"/>
  <c r="X622" i="1"/>
  <c r="W622" i="1"/>
  <c r="V622" i="1"/>
  <c r="U622" i="1"/>
  <c r="T622" i="1"/>
  <c r="Y614" i="1"/>
  <c r="X614" i="1"/>
  <c r="W614" i="1"/>
  <c r="V614" i="1"/>
  <c r="U614" i="1"/>
  <c r="T614" i="1"/>
  <c r="Y606" i="1"/>
  <c r="X606" i="1"/>
  <c r="W606" i="1"/>
  <c r="V606" i="1"/>
  <c r="U606" i="1"/>
  <c r="T606" i="1"/>
  <c r="Y598" i="1"/>
  <c r="X598" i="1"/>
  <c r="W598" i="1"/>
  <c r="V598" i="1"/>
  <c r="U598" i="1"/>
  <c r="T598" i="1"/>
  <c r="Y590" i="1"/>
  <c r="X590" i="1"/>
  <c r="W590" i="1"/>
  <c r="V590" i="1"/>
  <c r="U590" i="1"/>
  <c r="T590" i="1"/>
  <c r="Y582" i="1"/>
  <c r="X582" i="1"/>
  <c r="W582" i="1"/>
  <c r="V582" i="1"/>
  <c r="U582" i="1"/>
  <c r="T582" i="1"/>
  <c r="Y574" i="1"/>
  <c r="X574" i="1"/>
  <c r="W574" i="1"/>
  <c r="V574" i="1"/>
  <c r="U574" i="1"/>
  <c r="T574" i="1"/>
  <c r="Y566" i="1"/>
  <c r="X566" i="1"/>
  <c r="W566" i="1"/>
  <c r="V566" i="1"/>
  <c r="U566" i="1"/>
  <c r="T566" i="1"/>
  <c r="Y558" i="1"/>
  <c r="X558" i="1"/>
  <c r="W558" i="1"/>
  <c r="V558" i="1"/>
  <c r="U558" i="1"/>
  <c r="T558" i="1"/>
  <c r="Y550" i="1"/>
  <c r="X550" i="1"/>
  <c r="W550" i="1"/>
  <c r="V550" i="1"/>
  <c r="U550" i="1"/>
  <c r="T550" i="1"/>
  <c r="Y542" i="1"/>
  <c r="X542" i="1"/>
  <c r="W542" i="1"/>
  <c r="V542" i="1"/>
  <c r="U542" i="1"/>
  <c r="T542" i="1"/>
  <c r="Y534" i="1"/>
  <c r="X534" i="1"/>
  <c r="W534" i="1"/>
  <c r="V534" i="1"/>
  <c r="U534" i="1"/>
  <c r="T534" i="1"/>
  <c r="Y526" i="1"/>
  <c r="X526" i="1"/>
  <c r="W526" i="1"/>
  <c r="V526" i="1"/>
  <c r="U526" i="1"/>
  <c r="T526" i="1"/>
  <c r="Y518" i="1"/>
  <c r="X518" i="1"/>
  <c r="W518" i="1"/>
  <c r="V518" i="1"/>
  <c r="U518" i="1"/>
  <c r="T518" i="1"/>
  <c r="Y510" i="1"/>
  <c r="X510" i="1"/>
  <c r="W510" i="1"/>
  <c r="V510" i="1"/>
  <c r="U510" i="1"/>
  <c r="T510" i="1"/>
  <c r="Y502" i="1"/>
  <c r="X502" i="1"/>
  <c r="W502" i="1"/>
  <c r="V502" i="1"/>
  <c r="U502" i="1"/>
  <c r="T502" i="1"/>
  <c r="Y494" i="1"/>
  <c r="X494" i="1"/>
  <c r="W494" i="1"/>
  <c r="V494" i="1"/>
  <c r="U494" i="1"/>
  <c r="T494" i="1"/>
  <c r="Y486" i="1"/>
  <c r="X486" i="1"/>
  <c r="W486" i="1"/>
  <c r="V486" i="1"/>
  <c r="U486" i="1"/>
  <c r="T486" i="1"/>
  <c r="Y478" i="1"/>
  <c r="X478" i="1"/>
  <c r="W478" i="1"/>
  <c r="V478" i="1"/>
  <c r="U478" i="1"/>
  <c r="T478" i="1"/>
  <c r="Y470" i="1"/>
  <c r="X470" i="1"/>
  <c r="W470" i="1"/>
  <c r="V470" i="1"/>
  <c r="U470" i="1"/>
  <c r="T470" i="1"/>
  <c r="Y462" i="1"/>
  <c r="X462" i="1"/>
  <c r="W462" i="1"/>
  <c r="V462" i="1"/>
  <c r="U462" i="1"/>
  <c r="T462" i="1"/>
  <c r="Y454" i="1"/>
  <c r="X454" i="1"/>
  <c r="W454" i="1"/>
  <c r="V454" i="1"/>
  <c r="U454" i="1"/>
  <c r="T454" i="1"/>
  <c r="Y446" i="1"/>
  <c r="X446" i="1"/>
  <c r="W446" i="1"/>
  <c r="V446" i="1"/>
  <c r="U446" i="1"/>
  <c r="T446" i="1"/>
  <c r="Y438" i="1"/>
  <c r="X438" i="1"/>
  <c r="W438" i="1"/>
  <c r="V438" i="1"/>
  <c r="U438" i="1"/>
  <c r="T438" i="1"/>
  <c r="Y430" i="1"/>
  <c r="X430" i="1"/>
  <c r="W430" i="1"/>
  <c r="V430" i="1"/>
  <c r="U430" i="1"/>
  <c r="T430" i="1"/>
  <c r="Y422" i="1"/>
  <c r="X422" i="1"/>
  <c r="W422" i="1"/>
  <c r="V422" i="1"/>
  <c r="U422" i="1"/>
  <c r="T422" i="1"/>
  <c r="Y414" i="1"/>
  <c r="X414" i="1"/>
  <c r="W414" i="1"/>
  <c r="V414" i="1"/>
  <c r="U414" i="1"/>
  <c r="T414" i="1"/>
  <c r="Y406" i="1"/>
  <c r="X406" i="1"/>
  <c r="W406" i="1"/>
  <c r="V406" i="1"/>
  <c r="U406" i="1"/>
  <c r="T406" i="1"/>
  <c r="Y398" i="1"/>
  <c r="X398" i="1"/>
  <c r="W398" i="1"/>
  <c r="V398" i="1"/>
  <c r="U398" i="1"/>
  <c r="T398" i="1"/>
  <c r="Y390" i="1"/>
  <c r="X390" i="1"/>
  <c r="W390" i="1"/>
  <c r="V390" i="1"/>
  <c r="U390" i="1"/>
  <c r="T390" i="1"/>
  <c r="Y382" i="1"/>
  <c r="X382" i="1"/>
  <c r="W382" i="1"/>
  <c r="V382" i="1"/>
  <c r="U382" i="1"/>
  <c r="T382" i="1"/>
  <c r="Y374" i="1"/>
  <c r="X374" i="1"/>
  <c r="W374" i="1"/>
  <c r="V374" i="1"/>
  <c r="U374" i="1"/>
  <c r="T374" i="1"/>
  <c r="Y366" i="1"/>
  <c r="X366" i="1"/>
  <c r="W366" i="1"/>
  <c r="V366" i="1"/>
  <c r="U366" i="1"/>
  <c r="T366" i="1"/>
  <c r="Y358" i="1"/>
  <c r="X358" i="1"/>
  <c r="W358" i="1"/>
  <c r="V358" i="1"/>
  <c r="U358" i="1"/>
  <c r="T358" i="1"/>
  <c r="Y350" i="1"/>
  <c r="X350" i="1"/>
  <c r="W350" i="1"/>
  <c r="V350" i="1"/>
  <c r="U350" i="1"/>
  <c r="T350" i="1"/>
  <c r="Y342" i="1"/>
  <c r="X342" i="1"/>
  <c r="W342" i="1"/>
  <c r="V342" i="1"/>
  <c r="U342" i="1"/>
  <c r="T342" i="1"/>
  <c r="Y334" i="1"/>
  <c r="X334" i="1"/>
  <c r="W334" i="1"/>
  <c r="V334" i="1"/>
  <c r="U334" i="1"/>
  <c r="T334" i="1"/>
  <c r="Y326" i="1"/>
  <c r="X326" i="1"/>
  <c r="W326" i="1"/>
  <c r="V326" i="1"/>
  <c r="U326" i="1"/>
  <c r="T326" i="1"/>
  <c r="Y318" i="1"/>
  <c r="X318" i="1"/>
  <c r="W318" i="1"/>
  <c r="V318" i="1"/>
  <c r="U318" i="1"/>
  <c r="T318" i="1"/>
  <c r="Y310" i="1"/>
  <c r="X310" i="1"/>
  <c r="W310" i="1"/>
  <c r="U310" i="1"/>
  <c r="V310" i="1"/>
  <c r="T310" i="1"/>
  <c r="Y302" i="1"/>
  <c r="X302" i="1"/>
  <c r="W302" i="1"/>
  <c r="V302" i="1"/>
  <c r="U302" i="1"/>
  <c r="T302" i="1"/>
  <c r="Y294" i="1"/>
  <c r="X294" i="1"/>
  <c r="W294" i="1"/>
  <c r="V294" i="1"/>
  <c r="U294" i="1"/>
  <c r="T294" i="1"/>
  <c r="Y286" i="1"/>
  <c r="X286" i="1"/>
  <c r="W286" i="1"/>
  <c r="V286" i="1"/>
  <c r="U286" i="1"/>
  <c r="T286" i="1"/>
  <c r="Y278" i="1"/>
  <c r="X278" i="1"/>
  <c r="W278" i="1"/>
  <c r="V278" i="1"/>
  <c r="U278" i="1"/>
  <c r="T278" i="1"/>
  <c r="Y270" i="1"/>
  <c r="X270" i="1"/>
  <c r="W270" i="1"/>
  <c r="V270" i="1"/>
  <c r="U270" i="1"/>
  <c r="T270" i="1"/>
  <c r="Y262" i="1"/>
  <c r="X262" i="1"/>
  <c r="W262" i="1"/>
  <c r="V262" i="1"/>
  <c r="U262" i="1"/>
  <c r="T262" i="1"/>
  <c r="Y254" i="1"/>
  <c r="X254" i="1"/>
  <c r="W254" i="1"/>
  <c r="V254" i="1"/>
  <c r="U254" i="1"/>
  <c r="T254" i="1"/>
  <c r="Y246" i="1"/>
  <c r="X246" i="1"/>
  <c r="W246" i="1"/>
  <c r="V246" i="1"/>
  <c r="U246" i="1"/>
  <c r="T246" i="1"/>
  <c r="Y238" i="1"/>
  <c r="X238" i="1"/>
  <c r="W238" i="1"/>
  <c r="V238" i="1"/>
  <c r="U238" i="1"/>
  <c r="T238" i="1"/>
  <c r="Y230" i="1"/>
  <c r="X230" i="1"/>
  <c r="W230" i="1"/>
  <c r="V230" i="1"/>
  <c r="U230" i="1"/>
  <c r="T230" i="1"/>
  <c r="Y222" i="1"/>
  <c r="X222" i="1"/>
  <c r="W222" i="1"/>
  <c r="V222" i="1"/>
  <c r="U222" i="1"/>
  <c r="T222" i="1"/>
  <c r="Y214" i="1"/>
  <c r="X214" i="1"/>
  <c r="W214" i="1"/>
  <c r="V214" i="1"/>
  <c r="U214" i="1"/>
  <c r="T214" i="1"/>
  <c r="Y206" i="1"/>
  <c r="X206" i="1"/>
  <c r="W206" i="1"/>
  <c r="V206" i="1"/>
  <c r="U206" i="1"/>
  <c r="T206" i="1"/>
  <c r="Y198" i="1"/>
  <c r="X198" i="1"/>
  <c r="W198" i="1"/>
  <c r="V198" i="1"/>
  <c r="U198" i="1"/>
  <c r="T198" i="1"/>
  <c r="Y190" i="1"/>
  <c r="X190" i="1"/>
  <c r="W190" i="1"/>
  <c r="V190" i="1"/>
  <c r="U190" i="1"/>
  <c r="T190" i="1"/>
  <c r="Y182" i="1"/>
  <c r="X182" i="1"/>
  <c r="W182" i="1"/>
  <c r="V182" i="1"/>
  <c r="U182" i="1"/>
  <c r="T182" i="1"/>
  <c r="Y174" i="1"/>
  <c r="X174" i="1"/>
  <c r="W174" i="1"/>
  <c r="V174" i="1"/>
  <c r="U174" i="1"/>
  <c r="T174" i="1"/>
  <c r="Y166" i="1"/>
  <c r="X166" i="1"/>
  <c r="W166" i="1"/>
  <c r="V166" i="1"/>
  <c r="U166" i="1"/>
  <c r="T166" i="1"/>
  <c r="Y158" i="1"/>
  <c r="X158" i="1"/>
  <c r="W158" i="1"/>
  <c r="V158" i="1"/>
  <c r="U158" i="1"/>
  <c r="T158" i="1"/>
  <c r="Y150" i="1"/>
  <c r="X150" i="1"/>
  <c r="W150" i="1"/>
  <c r="V150" i="1"/>
  <c r="U150" i="1"/>
  <c r="T150" i="1"/>
  <c r="Y142" i="1"/>
  <c r="X142" i="1"/>
  <c r="W142" i="1"/>
  <c r="V142" i="1"/>
  <c r="U142" i="1"/>
  <c r="T142" i="1"/>
  <c r="Y134" i="1"/>
  <c r="X134" i="1"/>
  <c r="W134" i="1"/>
  <c r="V134" i="1"/>
  <c r="U134" i="1"/>
  <c r="T134" i="1"/>
  <c r="Y126" i="1"/>
  <c r="X126" i="1"/>
  <c r="W126" i="1"/>
  <c r="V126" i="1"/>
  <c r="U126" i="1"/>
  <c r="T126" i="1"/>
  <c r="Y118" i="1"/>
  <c r="X118" i="1"/>
  <c r="W118" i="1"/>
  <c r="V118" i="1"/>
  <c r="U118" i="1"/>
  <c r="T118" i="1"/>
  <c r="Y110" i="1"/>
  <c r="X110" i="1"/>
  <c r="W110" i="1"/>
  <c r="V110" i="1"/>
  <c r="U110" i="1"/>
  <c r="T110" i="1"/>
  <c r="Y102" i="1"/>
  <c r="X102" i="1"/>
  <c r="W102" i="1"/>
  <c r="V102" i="1"/>
  <c r="U102" i="1"/>
  <c r="T102" i="1"/>
  <c r="Y94" i="1"/>
  <c r="X94" i="1"/>
  <c r="W94" i="1"/>
  <c r="V94" i="1"/>
  <c r="U94" i="1"/>
  <c r="T94" i="1"/>
  <c r="Y86" i="1"/>
  <c r="X86" i="1"/>
  <c r="W86" i="1"/>
  <c r="V86" i="1"/>
  <c r="U86" i="1"/>
  <c r="T86" i="1"/>
  <c r="Y78" i="1"/>
  <c r="X78" i="1"/>
  <c r="W78" i="1"/>
  <c r="V78" i="1"/>
  <c r="U78" i="1"/>
  <c r="T78" i="1"/>
  <c r="Y70" i="1"/>
  <c r="X70" i="1"/>
  <c r="W70" i="1"/>
  <c r="V70" i="1"/>
  <c r="U70" i="1"/>
  <c r="T70" i="1"/>
  <c r="Y62" i="1"/>
  <c r="X62" i="1"/>
  <c r="W62" i="1"/>
  <c r="V62" i="1"/>
  <c r="U62" i="1"/>
  <c r="T62" i="1"/>
  <c r="Y54" i="1"/>
  <c r="X54" i="1"/>
  <c r="W54" i="1"/>
  <c r="V54" i="1"/>
  <c r="U54" i="1"/>
  <c r="T54" i="1"/>
  <c r="Y46" i="1"/>
  <c r="X46" i="1"/>
  <c r="W46" i="1"/>
  <c r="V46" i="1"/>
  <c r="U46" i="1"/>
  <c r="T46" i="1"/>
  <c r="Y38" i="1"/>
  <c r="X38" i="1"/>
  <c r="W38" i="1"/>
  <c r="V38" i="1"/>
  <c r="U38" i="1"/>
  <c r="T38" i="1"/>
  <c r="Y30" i="1"/>
  <c r="X30" i="1"/>
  <c r="W30" i="1"/>
  <c r="V30" i="1"/>
  <c r="U30" i="1"/>
  <c r="T30" i="1"/>
  <c r="Y22" i="1"/>
  <c r="X22" i="1"/>
  <c r="W22" i="1"/>
  <c r="V22" i="1"/>
  <c r="U22" i="1"/>
  <c r="T22" i="1"/>
  <c r="Y14" i="1"/>
  <c r="X14" i="1"/>
  <c r="W14" i="1"/>
  <c r="V14" i="1"/>
  <c r="U14" i="1"/>
  <c r="T14" i="1"/>
  <c r="Y6" i="1"/>
  <c r="X6" i="1"/>
  <c r="W6" i="1"/>
  <c r="V6" i="1"/>
  <c r="U6" i="1"/>
  <c r="T6" i="1"/>
  <c r="Y1705" i="1"/>
  <c r="X1705" i="1"/>
  <c r="W1705" i="1"/>
  <c r="V1705" i="1"/>
  <c r="U1705" i="1"/>
  <c r="T1705" i="1"/>
  <c r="Y1715" i="1"/>
  <c r="W1715" i="1"/>
  <c r="X1715" i="1"/>
  <c r="V1715" i="1"/>
  <c r="U1715" i="1"/>
  <c r="T1715" i="1"/>
  <c r="Y1722" i="1"/>
  <c r="X1722" i="1"/>
  <c r="W1722" i="1"/>
  <c r="V1722" i="1"/>
  <c r="U1722" i="1"/>
  <c r="T1722" i="1"/>
  <c r="Y1728" i="1"/>
  <c r="X1728" i="1"/>
  <c r="W1728" i="1"/>
  <c r="V1728" i="1"/>
  <c r="U1728" i="1"/>
  <c r="T1728" i="1"/>
  <c r="Y1740" i="1"/>
  <c r="X1740" i="1"/>
  <c r="W1740" i="1"/>
  <c r="V1740" i="1"/>
  <c r="U1740" i="1"/>
  <c r="T1740" i="1"/>
  <c r="Y1732" i="1"/>
  <c r="X1732" i="1"/>
  <c r="W1732" i="1"/>
  <c r="V1732" i="1"/>
  <c r="U1732" i="1"/>
  <c r="T1732" i="1"/>
  <c r="Y1744" i="1"/>
  <c r="X1744" i="1"/>
  <c r="W1744" i="1"/>
  <c r="V1744" i="1"/>
  <c r="U1744" i="1"/>
  <c r="T1744" i="1"/>
  <c r="Y1745" i="1"/>
  <c r="X1745" i="1"/>
  <c r="W1745" i="1"/>
  <c r="V1745" i="1"/>
  <c r="U1745" i="1"/>
  <c r="T1745" i="1"/>
  <c r="Y1751" i="1"/>
  <c r="X1751" i="1"/>
  <c r="W1751" i="1"/>
  <c r="V1751" i="1"/>
  <c r="U1751" i="1"/>
  <c r="T1751" i="1"/>
  <c r="Y1769" i="1"/>
  <c r="X1769" i="1"/>
  <c r="W1769" i="1"/>
  <c r="V1769" i="1"/>
  <c r="U1769" i="1"/>
  <c r="T1769" i="1"/>
  <c r="Y1781" i="1"/>
  <c r="X1781" i="1"/>
  <c r="W1781" i="1"/>
  <c r="V1781" i="1"/>
  <c r="U1781" i="1"/>
  <c r="T1781" i="1"/>
  <c r="Y1787" i="1"/>
  <c r="X1787" i="1"/>
  <c r="W1787" i="1"/>
  <c r="V1787" i="1"/>
  <c r="U1787" i="1"/>
  <c r="T1787" i="1"/>
  <c r="Y1791" i="1"/>
  <c r="X1791" i="1"/>
  <c r="W1791" i="1"/>
  <c r="V1791" i="1"/>
  <c r="U1791" i="1"/>
  <c r="T1791" i="1"/>
  <c r="Y1793" i="1"/>
  <c r="X1793" i="1"/>
  <c r="W1793" i="1"/>
  <c r="V1793" i="1"/>
  <c r="U1793" i="1"/>
  <c r="T1793" i="1"/>
  <c r="Y1797" i="1"/>
  <c r="X1797" i="1"/>
  <c r="V1797" i="1"/>
  <c r="W1797" i="1"/>
  <c r="U1797" i="1"/>
  <c r="T1797" i="1"/>
  <c r="Y1801" i="1"/>
  <c r="X1801" i="1"/>
  <c r="W1801" i="1"/>
  <c r="V1801" i="1"/>
  <c r="U1801" i="1"/>
  <c r="T1801" i="1"/>
  <c r="Y1807" i="1"/>
  <c r="X1807" i="1"/>
  <c r="W1807" i="1"/>
  <c r="V1807" i="1"/>
  <c r="U1807" i="1"/>
  <c r="T1807" i="1"/>
  <c r="Y1817" i="1"/>
  <c r="X1817" i="1"/>
  <c r="W1817" i="1"/>
  <c r="V1817" i="1"/>
  <c r="U1817" i="1"/>
  <c r="T1817" i="1"/>
  <c r="Y1819" i="1"/>
  <c r="X1819" i="1"/>
  <c r="W1819" i="1"/>
  <c r="V1819" i="1"/>
  <c r="U1819" i="1"/>
  <c r="T1819" i="1"/>
  <c r="Y1683" i="1"/>
  <c r="X1683" i="1"/>
  <c r="W1683" i="1"/>
  <c r="V1683" i="1"/>
  <c r="U1683" i="1"/>
  <c r="T1683" i="1"/>
  <c r="Y1619" i="1"/>
  <c r="X1619" i="1"/>
  <c r="W1619" i="1"/>
  <c r="V1619" i="1"/>
  <c r="U1619" i="1"/>
  <c r="T1619" i="1"/>
  <c r="Y1555" i="1"/>
  <c r="X1555" i="1"/>
  <c r="W1555" i="1"/>
  <c r="V1555" i="1"/>
  <c r="U1555" i="1"/>
  <c r="T1555" i="1"/>
  <c r="Y1491" i="1"/>
  <c r="X1491" i="1"/>
  <c r="W1491" i="1"/>
  <c r="V1491" i="1"/>
  <c r="U1491" i="1"/>
  <c r="T1491" i="1"/>
  <c r="Y1419" i="1"/>
  <c r="X1419" i="1"/>
  <c r="W1419" i="1"/>
  <c r="V1419" i="1"/>
  <c r="U1419" i="1"/>
  <c r="T1419" i="1"/>
  <c r="Y1355" i="1"/>
  <c r="X1355" i="1"/>
  <c r="W1355" i="1"/>
  <c r="V1355" i="1"/>
  <c r="U1355" i="1"/>
  <c r="T1355" i="1"/>
  <c r="Y1307" i="1"/>
  <c r="X1307" i="1"/>
  <c r="W1307" i="1"/>
  <c r="V1307" i="1"/>
  <c r="U1307" i="1"/>
  <c r="T1307" i="1"/>
  <c r="Y1251" i="1"/>
  <c r="X1251" i="1"/>
  <c r="W1251" i="1"/>
  <c r="V1251" i="1"/>
  <c r="U1251" i="1"/>
  <c r="T1251" i="1"/>
  <c r="Y1187" i="1"/>
  <c r="X1187" i="1"/>
  <c r="W1187" i="1"/>
  <c r="V1187" i="1"/>
  <c r="U1187" i="1"/>
  <c r="T1187" i="1"/>
  <c r="Y1123" i="1"/>
  <c r="X1123" i="1"/>
  <c r="W1123" i="1"/>
  <c r="V1123" i="1"/>
  <c r="U1123" i="1"/>
  <c r="T1123" i="1"/>
  <c r="Y1051" i="1"/>
  <c r="X1051" i="1"/>
  <c r="W1051" i="1"/>
  <c r="V1051" i="1"/>
  <c r="U1051" i="1"/>
  <c r="T1051" i="1"/>
  <c r="Y979" i="1"/>
  <c r="X979" i="1"/>
  <c r="W979" i="1"/>
  <c r="V979" i="1"/>
  <c r="U979" i="1"/>
  <c r="T979" i="1"/>
  <c r="Y923" i="1"/>
  <c r="X923" i="1"/>
  <c r="W923" i="1"/>
  <c r="V923" i="1"/>
  <c r="U923" i="1"/>
  <c r="T923" i="1"/>
  <c r="Y851" i="1"/>
  <c r="X851" i="1"/>
  <c r="W851" i="1"/>
  <c r="V851" i="1"/>
  <c r="U851" i="1"/>
  <c r="T851" i="1"/>
  <c r="Y795" i="1"/>
  <c r="X795" i="1"/>
  <c r="W795" i="1"/>
  <c r="V795" i="1"/>
  <c r="U795" i="1"/>
  <c r="T795" i="1"/>
  <c r="Y731" i="1"/>
  <c r="X731" i="1"/>
  <c r="W731" i="1"/>
  <c r="V731" i="1"/>
  <c r="U731" i="1"/>
  <c r="T731" i="1"/>
  <c r="Y667" i="1"/>
  <c r="X667" i="1"/>
  <c r="W667" i="1"/>
  <c r="V667" i="1"/>
  <c r="U667" i="1"/>
  <c r="T667" i="1"/>
  <c r="Y587" i="1"/>
  <c r="X587" i="1"/>
  <c r="W587" i="1"/>
  <c r="V587" i="1"/>
  <c r="U587" i="1"/>
  <c r="T587" i="1"/>
  <c r="Y523" i="1"/>
  <c r="X523" i="1"/>
  <c r="W523" i="1"/>
  <c r="V523" i="1"/>
  <c r="U523" i="1"/>
  <c r="T523" i="1"/>
  <c r="Y443" i="1"/>
  <c r="X443" i="1"/>
  <c r="W443" i="1"/>
  <c r="V443" i="1"/>
  <c r="U443" i="1"/>
  <c r="T443" i="1"/>
  <c r="Y379" i="1"/>
  <c r="X379" i="1"/>
  <c r="W379" i="1"/>
  <c r="V379" i="1"/>
  <c r="U379" i="1"/>
  <c r="T379" i="1"/>
  <c r="Y307" i="1"/>
  <c r="X307" i="1"/>
  <c r="W307" i="1"/>
  <c r="V307" i="1"/>
  <c r="U307" i="1"/>
  <c r="T307" i="1"/>
  <c r="Y243" i="1"/>
  <c r="X243" i="1"/>
  <c r="W243" i="1"/>
  <c r="V243" i="1"/>
  <c r="U243" i="1"/>
  <c r="T243" i="1"/>
  <c r="Y179" i="1"/>
  <c r="X179" i="1"/>
  <c r="W179" i="1"/>
  <c r="V179" i="1"/>
  <c r="U179" i="1"/>
  <c r="T179" i="1"/>
  <c r="Y99" i="1"/>
  <c r="X99" i="1"/>
  <c r="W99" i="1"/>
  <c r="V99" i="1"/>
  <c r="U99" i="1"/>
  <c r="T99" i="1"/>
  <c r="Y35" i="1"/>
  <c r="X35" i="1"/>
  <c r="W35" i="1"/>
  <c r="V35" i="1"/>
  <c r="U35" i="1"/>
  <c r="T35" i="1"/>
  <c r="Y1701" i="1"/>
  <c r="X1701" i="1"/>
  <c r="W1701" i="1"/>
  <c r="V1701" i="1"/>
  <c r="U1701" i="1"/>
  <c r="T1701" i="1"/>
  <c r="Y1693" i="1"/>
  <c r="X1693" i="1"/>
  <c r="W1693" i="1"/>
  <c r="V1693" i="1"/>
  <c r="U1693" i="1"/>
  <c r="T1693" i="1"/>
  <c r="Y1685" i="1"/>
  <c r="X1685" i="1"/>
  <c r="W1685" i="1"/>
  <c r="V1685" i="1"/>
  <c r="U1685" i="1"/>
  <c r="T1685" i="1"/>
  <c r="Y1677" i="1"/>
  <c r="X1677" i="1"/>
  <c r="W1677" i="1"/>
  <c r="V1677" i="1"/>
  <c r="U1677" i="1"/>
  <c r="T1677" i="1"/>
  <c r="Y1669" i="1"/>
  <c r="X1669" i="1"/>
  <c r="W1669" i="1"/>
  <c r="V1669" i="1"/>
  <c r="U1669" i="1"/>
  <c r="T1669" i="1"/>
  <c r="Y1661" i="1"/>
  <c r="X1661" i="1"/>
  <c r="W1661" i="1"/>
  <c r="V1661" i="1"/>
  <c r="U1661" i="1"/>
  <c r="T1661" i="1"/>
  <c r="Y1653" i="1"/>
  <c r="X1653" i="1"/>
  <c r="W1653" i="1"/>
  <c r="V1653" i="1"/>
  <c r="U1653" i="1"/>
  <c r="T1653" i="1"/>
  <c r="Y1645" i="1"/>
  <c r="X1645" i="1"/>
  <c r="W1645" i="1"/>
  <c r="V1645" i="1"/>
  <c r="U1645" i="1"/>
  <c r="T1645" i="1"/>
  <c r="Y1637" i="1"/>
  <c r="X1637" i="1"/>
  <c r="W1637" i="1"/>
  <c r="V1637" i="1"/>
  <c r="U1637" i="1"/>
  <c r="T1637" i="1"/>
  <c r="Y1629" i="1"/>
  <c r="X1629" i="1"/>
  <c r="W1629" i="1"/>
  <c r="V1629" i="1"/>
  <c r="U1629" i="1"/>
  <c r="T1629" i="1"/>
  <c r="Y1621" i="1"/>
  <c r="X1621" i="1"/>
  <c r="W1621" i="1"/>
  <c r="V1621" i="1"/>
  <c r="U1621" i="1"/>
  <c r="T1621" i="1"/>
  <c r="Y1613" i="1"/>
  <c r="X1613" i="1"/>
  <c r="W1613" i="1"/>
  <c r="V1613" i="1"/>
  <c r="U1613" i="1"/>
  <c r="T1613" i="1"/>
  <c r="Y1605" i="1"/>
  <c r="X1605" i="1"/>
  <c r="W1605" i="1"/>
  <c r="V1605" i="1"/>
  <c r="U1605" i="1"/>
  <c r="T1605" i="1"/>
  <c r="Y1597" i="1"/>
  <c r="X1597" i="1"/>
  <c r="W1597" i="1"/>
  <c r="V1597" i="1"/>
  <c r="U1597" i="1"/>
  <c r="T1597" i="1"/>
  <c r="Y1589" i="1"/>
  <c r="X1589" i="1"/>
  <c r="W1589" i="1"/>
  <c r="V1589" i="1"/>
  <c r="U1589" i="1"/>
  <c r="T1589" i="1"/>
  <c r="Y1581" i="1"/>
  <c r="X1581" i="1"/>
  <c r="W1581" i="1"/>
  <c r="V1581" i="1"/>
  <c r="U1581" i="1"/>
  <c r="T1581" i="1"/>
  <c r="Y1573" i="1"/>
  <c r="X1573" i="1"/>
  <c r="W1573" i="1"/>
  <c r="V1573" i="1"/>
  <c r="U1573" i="1"/>
  <c r="T1573" i="1"/>
  <c r="Y1565" i="1"/>
  <c r="X1565" i="1"/>
  <c r="W1565" i="1"/>
  <c r="V1565" i="1"/>
  <c r="U1565" i="1"/>
  <c r="T1565" i="1"/>
  <c r="Y1557" i="1"/>
  <c r="X1557" i="1"/>
  <c r="W1557" i="1"/>
  <c r="V1557" i="1"/>
  <c r="U1557" i="1"/>
  <c r="T1557" i="1"/>
  <c r="Y1549" i="1"/>
  <c r="X1549" i="1"/>
  <c r="W1549" i="1"/>
  <c r="V1549" i="1"/>
  <c r="U1549" i="1"/>
  <c r="T1549" i="1"/>
  <c r="Y1541" i="1"/>
  <c r="X1541" i="1"/>
  <c r="W1541" i="1"/>
  <c r="V1541" i="1"/>
  <c r="U1541" i="1"/>
  <c r="T1541" i="1"/>
  <c r="Y1533" i="1"/>
  <c r="X1533" i="1"/>
  <c r="W1533" i="1"/>
  <c r="V1533" i="1"/>
  <c r="U1533" i="1"/>
  <c r="T1533" i="1"/>
  <c r="Y1525" i="1"/>
  <c r="X1525" i="1"/>
  <c r="W1525" i="1"/>
  <c r="V1525" i="1"/>
  <c r="U1525" i="1"/>
  <c r="T1525" i="1"/>
  <c r="Y1517" i="1"/>
  <c r="X1517" i="1"/>
  <c r="W1517" i="1"/>
  <c r="V1517" i="1"/>
  <c r="U1517" i="1"/>
  <c r="T1517" i="1"/>
  <c r="Y1509" i="1"/>
  <c r="X1509" i="1"/>
  <c r="W1509" i="1"/>
  <c r="V1509" i="1"/>
  <c r="U1509" i="1"/>
  <c r="T1509" i="1"/>
  <c r="Y1501" i="1"/>
  <c r="X1501" i="1"/>
  <c r="W1501" i="1"/>
  <c r="V1501" i="1"/>
  <c r="U1501" i="1"/>
  <c r="T1501" i="1"/>
  <c r="Y1493" i="1"/>
  <c r="X1493" i="1"/>
  <c r="W1493" i="1"/>
  <c r="V1493" i="1"/>
  <c r="U1493" i="1"/>
  <c r="T1493" i="1"/>
  <c r="Y1485" i="1"/>
  <c r="X1485" i="1"/>
  <c r="W1485" i="1"/>
  <c r="V1485" i="1"/>
  <c r="U1485" i="1"/>
  <c r="T1485" i="1"/>
  <c r="Y1477" i="1"/>
  <c r="X1477" i="1"/>
  <c r="W1477" i="1"/>
  <c r="V1477" i="1"/>
  <c r="U1477" i="1"/>
  <c r="T1477" i="1"/>
  <c r="Y1469" i="1"/>
  <c r="X1469" i="1"/>
  <c r="W1469" i="1"/>
  <c r="V1469" i="1"/>
  <c r="U1469" i="1"/>
  <c r="T1469" i="1"/>
  <c r="Y1461" i="1"/>
  <c r="X1461" i="1"/>
  <c r="W1461" i="1"/>
  <c r="V1461" i="1"/>
  <c r="U1461" i="1"/>
  <c r="T1461" i="1"/>
  <c r="Y1453" i="1"/>
  <c r="X1453" i="1"/>
  <c r="W1453" i="1"/>
  <c r="V1453" i="1"/>
  <c r="U1453" i="1"/>
  <c r="T1453" i="1"/>
  <c r="Y1445" i="1"/>
  <c r="X1445" i="1"/>
  <c r="W1445" i="1"/>
  <c r="V1445" i="1"/>
  <c r="U1445" i="1"/>
  <c r="T1445" i="1"/>
  <c r="Y1437" i="1"/>
  <c r="X1437" i="1"/>
  <c r="W1437" i="1"/>
  <c r="V1437" i="1"/>
  <c r="U1437" i="1"/>
  <c r="T1437" i="1"/>
  <c r="Y1429" i="1"/>
  <c r="X1429" i="1"/>
  <c r="W1429" i="1"/>
  <c r="V1429" i="1"/>
  <c r="U1429" i="1"/>
  <c r="T1429" i="1"/>
  <c r="Y1421" i="1"/>
  <c r="X1421" i="1"/>
  <c r="W1421" i="1"/>
  <c r="V1421" i="1"/>
  <c r="U1421" i="1"/>
  <c r="T1421" i="1"/>
  <c r="Y1413" i="1"/>
  <c r="X1413" i="1"/>
  <c r="W1413" i="1"/>
  <c r="V1413" i="1"/>
  <c r="U1413" i="1"/>
  <c r="T1413" i="1"/>
  <c r="Y1405" i="1"/>
  <c r="X1405" i="1"/>
  <c r="W1405" i="1"/>
  <c r="V1405" i="1"/>
  <c r="U1405" i="1"/>
  <c r="T1405" i="1"/>
  <c r="Y1397" i="1"/>
  <c r="X1397" i="1"/>
  <c r="W1397" i="1"/>
  <c r="V1397" i="1"/>
  <c r="U1397" i="1"/>
  <c r="T1397" i="1"/>
  <c r="Y1389" i="1"/>
  <c r="X1389" i="1"/>
  <c r="W1389" i="1"/>
  <c r="V1389" i="1"/>
  <c r="U1389" i="1"/>
  <c r="T1389" i="1"/>
  <c r="Y1381" i="1"/>
  <c r="X1381" i="1"/>
  <c r="W1381" i="1"/>
  <c r="V1381" i="1"/>
  <c r="U1381" i="1"/>
  <c r="T1381" i="1"/>
  <c r="Y1373" i="1"/>
  <c r="X1373" i="1"/>
  <c r="W1373" i="1"/>
  <c r="V1373" i="1"/>
  <c r="U1373" i="1"/>
  <c r="T1373" i="1"/>
  <c r="Y1365" i="1"/>
  <c r="X1365" i="1"/>
  <c r="W1365" i="1"/>
  <c r="V1365" i="1"/>
  <c r="U1365" i="1"/>
  <c r="T1365" i="1"/>
  <c r="Y1357" i="1"/>
  <c r="X1357" i="1"/>
  <c r="W1357" i="1"/>
  <c r="V1357" i="1"/>
  <c r="U1357" i="1"/>
  <c r="T1357" i="1"/>
  <c r="Y1349" i="1"/>
  <c r="X1349" i="1"/>
  <c r="W1349" i="1"/>
  <c r="V1349" i="1"/>
  <c r="U1349" i="1"/>
  <c r="T1349" i="1"/>
  <c r="Y1341" i="1"/>
  <c r="X1341" i="1"/>
  <c r="W1341" i="1"/>
  <c r="V1341" i="1"/>
  <c r="U1341" i="1"/>
  <c r="T1341" i="1"/>
  <c r="Y1333" i="1"/>
  <c r="X1333" i="1"/>
  <c r="W1333" i="1"/>
  <c r="V1333" i="1"/>
  <c r="U1333" i="1"/>
  <c r="T1333" i="1"/>
  <c r="Y1325" i="1"/>
  <c r="X1325" i="1"/>
  <c r="W1325" i="1"/>
  <c r="V1325" i="1"/>
  <c r="U1325" i="1"/>
  <c r="T1325" i="1"/>
  <c r="Y1317" i="1"/>
  <c r="X1317" i="1"/>
  <c r="W1317" i="1"/>
  <c r="V1317" i="1"/>
  <c r="U1317" i="1"/>
  <c r="T1317" i="1"/>
  <c r="Y1309" i="1"/>
  <c r="X1309" i="1"/>
  <c r="W1309" i="1"/>
  <c r="V1309" i="1"/>
  <c r="U1309" i="1"/>
  <c r="T1309" i="1"/>
  <c r="Y1301" i="1"/>
  <c r="X1301" i="1"/>
  <c r="W1301" i="1"/>
  <c r="V1301" i="1"/>
  <c r="U1301" i="1"/>
  <c r="T1301" i="1"/>
  <c r="Y1293" i="1"/>
  <c r="X1293" i="1"/>
  <c r="W1293" i="1"/>
  <c r="V1293" i="1"/>
  <c r="U1293" i="1"/>
  <c r="T1293" i="1"/>
  <c r="Y1285" i="1"/>
  <c r="X1285" i="1"/>
  <c r="W1285" i="1"/>
  <c r="V1285" i="1"/>
  <c r="U1285" i="1"/>
  <c r="T1285" i="1"/>
  <c r="Y1277" i="1"/>
  <c r="X1277" i="1"/>
  <c r="W1277" i="1"/>
  <c r="V1277" i="1"/>
  <c r="U1277" i="1"/>
  <c r="T1277" i="1"/>
  <c r="Y1269" i="1"/>
  <c r="X1269" i="1"/>
  <c r="W1269" i="1"/>
  <c r="V1269" i="1"/>
  <c r="U1269" i="1"/>
  <c r="T1269" i="1"/>
  <c r="Y1261" i="1"/>
  <c r="X1261" i="1"/>
  <c r="W1261" i="1"/>
  <c r="V1261" i="1"/>
  <c r="U1261" i="1"/>
  <c r="T1261" i="1"/>
  <c r="Y1253" i="1"/>
  <c r="X1253" i="1"/>
  <c r="W1253" i="1"/>
  <c r="V1253" i="1"/>
  <c r="U1253" i="1"/>
  <c r="T1253" i="1"/>
  <c r="Y1245" i="1"/>
  <c r="X1245" i="1"/>
  <c r="W1245" i="1"/>
  <c r="V1245" i="1"/>
  <c r="U1245" i="1"/>
  <c r="T1245" i="1"/>
  <c r="Y1237" i="1"/>
  <c r="X1237" i="1"/>
  <c r="W1237" i="1"/>
  <c r="V1237" i="1"/>
  <c r="U1237" i="1"/>
  <c r="T1237" i="1"/>
  <c r="Y1229" i="1"/>
  <c r="X1229" i="1"/>
  <c r="W1229" i="1"/>
  <c r="V1229" i="1"/>
  <c r="U1229" i="1"/>
  <c r="T1229" i="1"/>
  <c r="Y1221" i="1"/>
  <c r="X1221" i="1"/>
  <c r="W1221" i="1"/>
  <c r="V1221" i="1"/>
  <c r="U1221" i="1"/>
  <c r="T1221" i="1"/>
  <c r="Y1213" i="1"/>
  <c r="X1213" i="1"/>
  <c r="W1213" i="1"/>
  <c r="V1213" i="1"/>
  <c r="U1213" i="1"/>
  <c r="T1213" i="1"/>
  <c r="Y1205" i="1"/>
  <c r="X1205" i="1"/>
  <c r="W1205" i="1"/>
  <c r="V1205" i="1"/>
  <c r="U1205" i="1"/>
  <c r="T1205" i="1"/>
  <c r="Y1197" i="1"/>
  <c r="X1197" i="1"/>
  <c r="W1197" i="1"/>
  <c r="V1197" i="1"/>
  <c r="U1197" i="1"/>
  <c r="T1197" i="1"/>
  <c r="Y1189" i="1"/>
  <c r="X1189" i="1"/>
  <c r="W1189" i="1"/>
  <c r="V1189" i="1"/>
  <c r="U1189" i="1"/>
  <c r="T1189" i="1"/>
  <c r="Y1181" i="1"/>
  <c r="X1181" i="1"/>
  <c r="W1181" i="1"/>
  <c r="V1181" i="1"/>
  <c r="U1181" i="1"/>
  <c r="T1181" i="1"/>
  <c r="Y1173" i="1"/>
  <c r="X1173" i="1"/>
  <c r="W1173" i="1"/>
  <c r="V1173" i="1"/>
  <c r="U1173" i="1"/>
  <c r="T1173" i="1"/>
  <c r="Y1165" i="1"/>
  <c r="X1165" i="1"/>
  <c r="W1165" i="1"/>
  <c r="V1165" i="1"/>
  <c r="U1165" i="1"/>
  <c r="T1165" i="1"/>
  <c r="Y1157" i="1"/>
  <c r="X1157" i="1"/>
  <c r="W1157" i="1"/>
  <c r="V1157" i="1"/>
  <c r="U1157" i="1"/>
  <c r="T1157" i="1"/>
  <c r="Y1149" i="1"/>
  <c r="X1149" i="1"/>
  <c r="W1149" i="1"/>
  <c r="V1149" i="1"/>
  <c r="U1149" i="1"/>
  <c r="T1149" i="1"/>
  <c r="Y1141" i="1"/>
  <c r="X1141" i="1"/>
  <c r="W1141" i="1"/>
  <c r="V1141" i="1"/>
  <c r="U1141" i="1"/>
  <c r="T1141" i="1"/>
  <c r="Y1133" i="1"/>
  <c r="X1133" i="1"/>
  <c r="W1133" i="1"/>
  <c r="V1133" i="1"/>
  <c r="U1133" i="1"/>
  <c r="T1133" i="1"/>
  <c r="Y1125" i="1"/>
  <c r="X1125" i="1"/>
  <c r="W1125" i="1"/>
  <c r="V1125" i="1"/>
  <c r="U1125" i="1"/>
  <c r="T1125" i="1"/>
  <c r="Y1117" i="1"/>
  <c r="X1117" i="1"/>
  <c r="W1117" i="1"/>
  <c r="V1117" i="1"/>
  <c r="U1117" i="1"/>
  <c r="T1117" i="1"/>
  <c r="Y1109" i="1"/>
  <c r="X1109" i="1"/>
  <c r="W1109" i="1"/>
  <c r="V1109" i="1"/>
  <c r="U1109" i="1"/>
  <c r="T1109" i="1"/>
  <c r="Y1101" i="1"/>
  <c r="X1101" i="1"/>
  <c r="W1101" i="1"/>
  <c r="V1101" i="1"/>
  <c r="U1101" i="1"/>
  <c r="T1101" i="1"/>
  <c r="Y1093" i="1"/>
  <c r="X1093" i="1"/>
  <c r="W1093" i="1"/>
  <c r="V1093" i="1"/>
  <c r="U1093" i="1"/>
  <c r="T1093" i="1"/>
  <c r="Y1085" i="1"/>
  <c r="X1085" i="1"/>
  <c r="W1085" i="1"/>
  <c r="V1085" i="1"/>
  <c r="U1085" i="1"/>
  <c r="T1085" i="1"/>
  <c r="Y1077" i="1"/>
  <c r="X1077" i="1"/>
  <c r="W1077" i="1"/>
  <c r="V1077" i="1"/>
  <c r="U1077" i="1"/>
  <c r="T1077" i="1"/>
  <c r="Y1069" i="1"/>
  <c r="X1069" i="1"/>
  <c r="W1069" i="1"/>
  <c r="V1069" i="1"/>
  <c r="U1069" i="1"/>
  <c r="T1069" i="1"/>
  <c r="Y1061" i="1"/>
  <c r="X1061" i="1"/>
  <c r="W1061" i="1"/>
  <c r="V1061" i="1"/>
  <c r="U1061" i="1"/>
  <c r="T1061" i="1"/>
  <c r="Y1053" i="1"/>
  <c r="X1053" i="1"/>
  <c r="W1053" i="1"/>
  <c r="V1053" i="1"/>
  <c r="U1053" i="1"/>
  <c r="T1053" i="1"/>
  <c r="Y1045" i="1"/>
  <c r="X1045" i="1"/>
  <c r="W1045" i="1"/>
  <c r="V1045" i="1"/>
  <c r="U1045" i="1"/>
  <c r="T1045" i="1"/>
  <c r="Y1037" i="1"/>
  <c r="X1037" i="1"/>
  <c r="W1037" i="1"/>
  <c r="V1037" i="1"/>
  <c r="U1037" i="1"/>
  <c r="T1037" i="1"/>
  <c r="Y1029" i="1"/>
  <c r="X1029" i="1"/>
  <c r="W1029" i="1"/>
  <c r="V1029" i="1"/>
  <c r="U1029" i="1"/>
  <c r="T1029" i="1"/>
  <c r="Y1021" i="1"/>
  <c r="X1021" i="1"/>
  <c r="W1021" i="1"/>
  <c r="V1021" i="1"/>
  <c r="U1021" i="1"/>
  <c r="T1021" i="1"/>
  <c r="Y1013" i="1"/>
  <c r="X1013" i="1"/>
  <c r="W1013" i="1"/>
  <c r="V1013" i="1"/>
  <c r="U1013" i="1"/>
  <c r="T1013" i="1"/>
  <c r="Y1005" i="1"/>
  <c r="X1005" i="1"/>
  <c r="W1005" i="1"/>
  <c r="V1005" i="1"/>
  <c r="U1005" i="1"/>
  <c r="T1005" i="1"/>
  <c r="Y997" i="1"/>
  <c r="X997" i="1"/>
  <c r="W997" i="1"/>
  <c r="V997" i="1"/>
  <c r="U997" i="1"/>
  <c r="T997" i="1"/>
  <c r="Y989" i="1"/>
  <c r="X989" i="1"/>
  <c r="W989" i="1"/>
  <c r="V989" i="1"/>
  <c r="U989" i="1"/>
  <c r="T989" i="1"/>
  <c r="Y981" i="1"/>
  <c r="X981" i="1"/>
  <c r="W981" i="1"/>
  <c r="V981" i="1"/>
  <c r="U981" i="1"/>
  <c r="T981" i="1"/>
  <c r="Y973" i="1"/>
  <c r="X973" i="1"/>
  <c r="W973" i="1"/>
  <c r="V973" i="1"/>
  <c r="U973" i="1"/>
  <c r="T973" i="1"/>
  <c r="Y965" i="1"/>
  <c r="X965" i="1"/>
  <c r="W965" i="1"/>
  <c r="V965" i="1"/>
  <c r="U965" i="1"/>
  <c r="T965" i="1"/>
  <c r="Y957" i="1"/>
  <c r="X957" i="1"/>
  <c r="W957" i="1"/>
  <c r="V957" i="1"/>
  <c r="U957" i="1"/>
  <c r="T957" i="1"/>
  <c r="Y949" i="1"/>
  <c r="X949" i="1"/>
  <c r="W949" i="1"/>
  <c r="V949" i="1"/>
  <c r="U949" i="1"/>
  <c r="T949" i="1"/>
  <c r="Y941" i="1"/>
  <c r="X941" i="1"/>
  <c r="W941" i="1"/>
  <c r="V941" i="1"/>
  <c r="U941" i="1"/>
  <c r="T941" i="1"/>
  <c r="Y933" i="1"/>
  <c r="X933" i="1"/>
  <c r="W933" i="1"/>
  <c r="V933" i="1"/>
  <c r="U933" i="1"/>
  <c r="T933" i="1"/>
  <c r="Y925" i="1"/>
  <c r="X925" i="1"/>
  <c r="W925" i="1"/>
  <c r="V925" i="1"/>
  <c r="U925" i="1"/>
  <c r="T925" i="1"/>
  <c r="Y917" i="1"/>
  <c r="X917" i="1"/>
  <c r="W917" i="1"/>
  <c r="V917" i="1"/>
  <c r="U917" i="1"/>
  <c r="T917" i="1"/>
  <c r="Y909" i="1"/>
  <c r="X909" i="1"/>
  <c r="V909" i="1"/>
  <c r="W909" i="1"/>
  <c r="U909" i="1"/>
  <c r="T909" i="1"/>
  <c r="Y901" i="1"/>
  <c r="X901" i="1"/>
  <c r="W901" i="1"/>
  <c r="V901" i="1"/>
  <c r="U901" i="1"/>
  <c r="T901" i="1"/>
  <c r="Y893" i="1"/>
  <c r="X893" i="1"/>
  <c r="W893" i="1"/>
  <c r="V893" i="1"/>
  <c r="U893" i="1"/>
  <c r="T893" i="1"/>
  <c r="Y885" i="1"/>
  <c r="X885" i="1"/>
  <c r="W885" i="1"/>
  <c r="V885" i="1"/>
  <c r="U885" i="1"/>
  <c r="T885" i="1"/>
  <c r="Y877" i="1"/>
  <c r="X877" i="1"/>
  <c r="V877" i="1"/>
  <c r="W877" i="1"/>
  <c r="U877" i="1"/>
  <c r="T877" i="1"/>
  <c r="Y869" i="1"/>
  <c r="X869" i="1"/>
  <c r="W869" i="1"/>
  <c r="V869" i="1"/>
  <c r="U869" i="1"/>
  <c r="T869" i="1"/>
  <c r="Y861" i="1"/>
  <c r="X861" i="1"/>
  <c r="W861" i="1"/>
  <c r="V861" i="1"/>
  <c r="U861" i="1"/>
  <c r="T861" i="1"/>
  <c r="Y853" i="1"/>
  <c r="X853" i="1"/>
  <c r="W853" i="1"/>
  <c r="V853" i="1"/>
  <c r="U853" i="1"/>
  <c r="T853" i="1"/>
  <c r="Y845" i="1"/>
  <c r="X845" i="1"/>
  <c r="W845" i="1"/>
  <c r="U845" i="1"/>
  <c r="V845" i="1"/>
  <c r="T845" i="1"/>
  <c r="Y837" i="1"/>
  <c r="X837" i="1"/>
  <c r="W837" i="1"/>
  <c r="V837" i="1"/>
  <c r="U837" i="1"/>
  <c r="T837" i="1"/>
  <c r="Y829" i="1"/>
  <c r="X829" i="1"/>
  <c r="W829" i="1"/>
  <c r="V829" i="1"/>
  <c r="U829" i="1"/>
  <c r="T829" i="1"/>
  <c r="Y821" i="1"/>
  <c r="X821" i="1"/>
  <c r="W821" i="1"/>
  <c r="V821" i="1"/>
  <c r="U821" i="1"/>
  <c r="T821" i="1"/>
  <c r="Y813" i="1"/>
  <c r="X813" i="1"/>
  <c r="W813" i="1"/>
  <c r="V813" i="1"/>
  <c r="U813" i="1"/>
  <c r="T813" i="1"/>
  <c r="Y805" i="1"/>
  <c r="X805" i="1"/>
  <c r="W805" i="1"/>
  <c r="V805" i="1"/>
  <c r="U805" i="1"/>
  <c r="T805" i="1"/>
  <c r="Y797" i="1"/>
  <c r="X797" i="1"/>
  <c r="W797" i="1"/>
  <c r="V797" i="1"/>
  <c r="U797" i="1"/>
  <c r="T797" i="1"/>
  <c r="Y789" i="1"/>
  <c r="X789" i="1"/>
  <c r="W789" i="1"/>
  <c r="V789" i="1"/>
  <c r="U789" i="1"/>
  <c r="T789" i="1"/>
  <c r="Y781" i="1"/>
  <c r="X781" i="1"/>
  <c r="W781" i="1"/>
  <c r="V781" i="1"/>
  <c r="U781" i="1"/>
  <c r="T781" i="1"/>
  <c r="Y773" i="1"/>
  <c r="X773" i="1"/>
  <c r="W773" i="1"/>
  <c r="V773" i="1"/>
  <c r="U773" i="1"/>
  <c r="T773" i="1"/>
  <c r="Y765" i="1"/>
  <c r="X765" i="1"/>
  <c r="W765" i="1"/>
  <c r="V765" i="1"/>
  <c r="U765" i="1"/>
  <c r="T765" i="1"/>
  <c r="Y757" i="1"/>
  <c r="X757" i="1"/>
  <c r="W757" i="1"/>
  <c r="V757" i="1"/>
  <c r="U757" i="1"/>
  <c r="T757" i="1"/>
  <c r="Y749" i="1"/>
  <c r="X749" i="1"/>
  <c r="W749" i="1"/>
  <c r="V749" i="1"/>
  <c r="U749" i="1"/>
  <c r="T749" i="1"/>
  <c r="Y741" i="1"/>
  <c r="X741" i="1"/>
  <c r="W741" i="1"/>
  <c r="V741" i="1"/>
  <c r="U741" i="1"/>
  <c r="T741" i="1"/>
  <c r="Y733" i="1"/>
  <c r="X733" i="1"/>
  <c r="W733" i="1"/>
  <c r="V733" i="1"/>
  <c r="U733" i="1"/>
  <c r="T733" i="1"/>
  <c r="Y725" i="1"/>
  <c r="X725" i="1"/>
  <c r="W725" i="1"/>
  <c r="V725" i="1"/>
  <c r="U725" i="1"/>
  <c r="T725" i="1"/>
  <c r="Y717" i="1"/>
  <c r="X717" i="1"/>
  <c r="W717" i="1"/>
  <c r="U717" i="1"/>
  <c r="V717" i="1"/>
  <c r="T717" i="1"/>
  <c r="Y709" i="1"/>
  <c r="X709" i="1"/>
  <c r="W709" i="1"/>
  <c r="V709" i="1"/>
  <c r="U709" i="1"/>
  <c r="T709" i="1"/>
  <c r="Y701" i="1"/>
  <c r="X701" i="1"/>
  <c r="W701" i="1"/>
  <c r="V701" i="1"/>
  <c r="U701" i="1"/>
  <c r="T701" i="1"/>
  <c r="Y693" i="1"/>
  <c r="X693" i="1"/>
  <c r="W693" i="1"/>
  <c r="V693" i="1"/>
  <c r="U693" i="1"/>
  <c r="T693" i="1"/>
  <c r="Y685" i="1"/>
  <c r="X685" i="1"/>
  <c r="W685" i="1"/>
  <c r="V685" i="1"/>
  <c r="U685" i="1"/>
  <c r="T685" i="1"/>
  <c r="Y677" i="1"/>
  <c r="X677" i="1"/>
  <c r="W677" i="1"/>
  <c r="V677" i="1"/>
  <c r="U677" i="1"/>
  <c r="T677" i="1"/>
  <c r="Y669" i="1"/>
  <c r="X669" i="1"/>
  <c r="W669" i="1"/>
  <c r="V669" i="1"/>
  <c r="U669" i="1"/>
  <c r="T669" i="1"/>
  <c r="Y661" i="1"/>
  <c r="X661" i="1"/>
  <c r="W661" i="1"/>
  <c r="V661" i="1"/>
  <c r="U661" i="1"/>
  <c r="T661" i="1"/>
  <c r="Y653" i="1"/>
  <c r="X653" i="1"/>
  <c r="W653" i="1"/>
  <c r="U653" i="1"/>
  <c r="V653" i="1"/>
  <c r="T653" i="1"/>
  <c r="Y645" i="1"/>
  <c r="X645" i="1"/>
  <c r="W645" i="1"/>
  <c r="V645" i="1"/>
  <c r="U645" i="1"/>
  <c r="T645" i="1"/>
  <c r="Y637" i="1"/>
  <c r="X637" i="1"/>
  <c r="W637" i="1"/>
  <c r="V637" i="1"/>
  <c r="U637" i="1"/>
  <c r="T637" i="1"/>
  <c r="Y629" i="1"/>
  <c r="X629" i="1"/>
  <c r="W629" i="1"/>
  <c r="V629" i="1"/>
  <c r="U629" i="1"/>
  <c r="T629" i="1"/>
  <c r="Y621" i="1"/>
  <c r="X621" i="1"/>
  <c r="V621" i="1"/>
  <c r="W621" i="1"/>
  <c r="U621" i="1"/>
  <c r="T621" i="1"/>
  <c r="Y613" i="1"/>
  <c r="X613" i="1"/>
  <c r="W613" i="1"/>
  <c r="V613" i="1"/>
  <c r="U613" i="1"/>
  <c r="T613" i="1"/>
  <c r="Y605" i="1"/>
  <c r="X605" i="1"/>
  <c r="W605" i="1"/>
  <c r="V605" i="1"/>
  <c r="U605" i="1"/>
  <c r="T605" i="1"/>
  <c r="Y597" i="1"/>
  <c r="X597" i="1"/>
  <c r="W597" i="1"/>
  <c r="V597" i="1"/>
  <c r="U597" i="1"/>
  <c r="T597" i="1"/>
  <c r="Y589" i="1"/>
  <c r="X589" i="1"/>
  <c r="W589" i="1"/>
  <c r="V589" i="1"/>
  <c r="U589" i="1"/>
  <c r="T589" i="1"/>
  <c r="Y581" i="1"/>
  <c r="X581" i="1"/>
  <c r="W581" i="1"/>
  <c r="V581" i="1"/>
  <c r="U581" i="1"/>
  <c r="T581" i="1"/>
  <c r="Y573" i="1"/>
  <c r="X573" i="1"/>
  <c r="W573" i="1"/>
  <c r="V573" i="1"/>
  <c r="U573" i="1"/>
  <c r="T573" i="1"/>
  <c r="Y565" i="1"/>
  <c r="X565" i="1"/>
  <c r="W565" i="1"/>
  <c r="V565" i="1"/>
  <c r="U565" i="1"/>
  <c r="T565" i="1"/>
  <c r="Y557" i="1"/>
  <c r="X557" i="1"/>
  <c r="W557" i="1"/>
  <c r="V557" i="1"/>
  <c r="U557" i="1"/>
  <c r="T557" i="1"/>
  <c r="Y549" i="1"/>
  <c r="X549" i="1"/>
  <c r="W549" i="1"/>
  <c r="V549" i="1"/>
  <c r="U549" i="1"/>
  <c r="T549" i="1"/>
  <c r="Y541" i="1"/>
  <c r="X541" i="1"/>
  <c r="W541" i="1"/>
  <c r="V541" i="1"/>
  <c r="U541" i="1"/>
  <c r="T541" i="1"/>
  <c r="Y533" i="1"/>
  <c r="X533" i="1"/>
  <c r="W533" i="1"/>
  <c r="V533" i="1"/>
  <c r="U533" i="1"/>
  <c r="T533" i="1"/>
  <c r="Y525" i="1"/>
  <c r="X525" i="1"/>
  <c r="W525" i="1"/>
  <c r="U525" i="1"/>
  <c r="V525" i="1"/>
  <c r="T525" i="1"/>
  <c r="Y517" i="1"/>
  <c r="X517" i="1"/>
  <c r="W517" i="1"/>
  <c r="V517" i="1"/>
  <c r="U517" i="1"/>
  <c r="T517" i="1"/>
  <c r="Y509" i="1"/>
  <c r="X509" i="1"/>
  <c r="W509" i="1"/>
  <c r="V509" i="1"/>
  <c r="U509" i="1"/>
  <c r="T509" i="1"/>
  <c r="Y501" i="1"/>
  <c r="X501" i="1"/>
  <c r="W501" i="1"/>
  <c r="V501" i="1"/>
  <c r="U501" i="1"/>
  <c r="T501" i="1"/>
  <c r="Y493" i="1"/>
  <c r="X493" i="1"/>
  <c r="W493" i="1"/>
  <c r="V493" i="1"/>
  <c r="U493" i="1"/>
  <c r="T493" i="1"/>
  <c r="Y485" i="1"/>
  <c r="X485" i="1"/>
  <c r="W485" i="1"/>
  <c r="V485" i="1"/>
  <c r="U485" i="1"/>
  <c r="T485" i="1"/>
  <c r="Y477" i="1"/>
  <c r="X477" i="1"/>
  <c r="W477" i="1"/>
  <c r="V477" i="1"/>
  <c r="U477" i="1"/>
  <c r="T477" i="1"/>
  <c r="Y469" i="1"/>
  <c r="X469" i="1"/>
  <c r="W469" i="1"/>
  <c r="V469" i="1"/>
  <c r="U469" i="1"/>
  <c r="T469" i="1"/>
  <c r="Y461" i="1"/>
  <c r="X461" i="1"/>
  <c r="W461" i="1"/>
  <c r="V461" i="1"/>
  <c r="U461" i="1"/>
  <c r="T461" i="1"/>
  <c r="Y453" i="1"/>
  <c r="X453" i="1"/>
  <c r="W453" i="1"/>
  <c r="V453" i="1"/>
  <c r="U453" i="1"/>
  <c r="T453" i="1"/>
  <c r="Y445" i="1"/>
  <c r="X445" i="1"/>
  <c r="W445" i="1"/>
  <c r="V445" i="1"/>
  <c r="U445" i="1"/>
  <c r="T445" i="1"/>
  <c r="Y437" i="1"/>
  <c r="X437" i="1"/>
  <c r="W437" i="1"/>
  <c r="V437" i="1"/>
  <c r="U437" i="1"/>
  <c r="T437" i="1"/>
  <c r="Y429" i="1"/>
  <c r="X429" i="1"/>
  <c r="W429" i="1"/>
  <c r="V429" i="1"/>
  <c r="U429" i="1"/>
  <c r="T429" i="1"/>
  <c r="Y421" i="1"/>
  <c r="X421" i="1"/>
  <c r="W421" i="1"/>
  <c r="V421" i="1"/>
  <c r="U421" i="1"/>
  <c r="T421" i="1"/>
  <c r="Y413" i="1"/>
  <c r="X413" i="1"/>
  <c r="W413" i="1"/>
  <c r="V413" i="1"/>
  <c r="U413" i="1"/>
  <c r="T413" i="1"/>
  <c r="Y405" i="1"/>
  <c r="X405" i="1"/>
  <c r="W405" i="1"/>
  <c r="V405" i="1"/>
  <c r="U405" i="1"/>
  <c r="T405" i="1"/>
  <c r="Y397" i="1"/>
  <c r="X397" i="1"/>
  <c r="W397" i="1"/>
  <c r="V397" i="1"/>
  <c r="U397" i="1"/>
  <c r="T397" i="1"/>
  <c r="Y389" i="1"/>
  <c r="X389" i="1"/>
  <c r="W389" i="1"/>
  <c r="V389" i="1"/>
  <c r="U389" i="1"/>
  <c r="T389" i="1"/>
  <c r="Y381" i="1"/>
  <c r="X381" i="1"/>
  <c r="W381" i="1"/>
  <c r="V381" i="1"/>
  <c r="U381" i="1"/>
  <c r="T381" i="1"/>
  <c r="Y373" i="1"/>
  <c r="X373" i="1"/>
  <c r="W373" i="1"/>
  <c r="V373" i="1"/>
  <c r="U373" i="1"/>
  <c r="T373" i="1"/>
  <c r="Y365" i="1"/>
  <c r="X365" i="1"/>
  <c r="W365" i="1"/>
  <c r="V365" i="1"/>
  <c r="U365" i="1"/>
  <c r="T365" i="1"/>
  <c r="Y357" i="1"/>
  <c r="X357" i="1"/>
  <c r="W357" i="1"/>
  <c r="V357" i="1"/>
  <c r="U357" i="1"/>
  <c r="T357" i="1"/>
  <c r="Y349" i="1"/>
  <c r="X349" i="1"/>
  <c r="W349" i="1"/>
  <c r="V349" i="1"/>
  <c r="U349" i="1"/>
  <c r="T349" i="1"/>
  <c r="Y341" i="1"/>
  <c r="X341" i="1"/>
  <c r="W341" i="1"/>
  <c r="V341" i="1"/>
  <c r="U341" i="1"/>
  <c r="T341" i="1"/>
  <c r="Y333" i="1"/>
  <c r="X333" i="1"/>
  <c r="W333" i="1"/>
  <c r="U333" i="1"/>
  <c r="V333" i="1"/>
  <c r="T333" i="1"/>
  <c r="Y325" i="1"/>
  <c r="X325" i="1"/>
  <c r="W325" i="1"/>
  <c r="V325" i="1"/>
  <c r="U325" i="1"/>
  <c r="T325" i="1"/>
  <c r="Y317" i="1"/>
  <c r="X317" i="1"/>
  <c r="W317" i="1"/>
  <c r="V317" i="1"/>
  <c r="U317" i="1"/>
  <c r="T317" i="1"/>
  <c r="Y309" i="1"/>
  <c r="X309" i="1"/>
  <c r="W309" i="1"/>
  <c r="V309" i="1"/>
  <c r="U309" i="1"/>
  <c r="T309" i="1"/>
  <c r="Y301" i="1"/>
  <c r="X301" i="1"/>
  <c r="W301" i="1"/>
  <c r="V301" i="1"/>
  <c r="U301" i="1"/>
  <c r="T301" i="1"/>
  <c r="Y293" i="1"/>
  <c r="X293" i="1"/>
  <c r="W293" i="1"/>
  <c r="V293" i="1"/>
  <c r="U293" i="1"/>
  <c r="T293" i="1"/>
  <c r="Y285" i="1"/>
  <c r="X285" i="1"/>
  <c r="W285" i="1"/>
  <c r="V285" i="1"/>
  <c r="U285" i="1"/>
  <c r="T285" i="1"/>
  <c r="Y277" i="1"/>
  <c r="X277" i="1"/>
  <c r="W277" i="1"/>
  <c r="V277" i="1"/>
  <c r="U277" i="1"/>
  <c r="T277" i="1"/>
  <c r="Y269" i="1"/>
  <c r="X269" i="1"/>
  <c r="W269" i="1"/>
  <c r="V269" i="1"/>
  <c r="U269" i="1"/>
  <c r="T269" i="1"/>
  <c r="Y261" i="1"/>
  <c r="X261" i="1"/>
  <c r="W261" i="1"/>
  <c r="V261" i="1"/>
  <c r="U261" i="1"/>
  <c r="T261" i="1"/>
  <c r="Y253" i="1"/>
  <c r="X253" i="1"/>
  <c r="W253" i="1"/>
  <c r="V253" i="1"/>
  <c r="U253" i="1"/>
  <c r="T253" i="1"/>
  <c r="Y245" i="1"/>
  <c r="X245" i="1"/>
  <c r="W245" i="1"/>
  <c r="V245" i="1"/>
  <c r="U245" i="1"/>
  <c r="T245" i="1"/>
  <c r="Y237" i="1"/>
  <c r="X237" i="1"/>
  <c r="W237" i="1"/>
  <c r="V237" i="1"/>
  <c r="U237" i="1"/>
  <c r="T237" i="1"/>
  <c r="Y229" i="1"/>
  <c r="X229" i="1"/>
  <c r="W229" i="1"/>
  <c r="V229" i="1"/>
  <c r="U229" i="1"/>
  <c r="T229" i="1"/>
  <c r="Y221" i="1"/>
  <c r="X221" i="1"/>
  <c r="W221" i="1"/>
  <c r="V221" i="1"/>
  <c r="U221" i="1"/>
  <c r="T221" i="1"/>
  <c r="Y213" i="1"/>
  <c r="X213" i="1"/>
  <c r="W213" i="1"/>
  <c r="V213" i="1"/>
  <c r="U213" i="1"/>
  <c r="T213" i="1"/>
  <c r="Y205" i="1"/>
  <c r="X205" i="1"/>
  <c r="W205" i="1"/>
  <c r="U205" i="1"/>
  <c r="V205" i="1"/>
  <c r="T205" i="1"/>
  <c r="Y197" i="1"/>
  <c r="X197" i="1"/>
  <c r="W197" i="1"/>
  <c r="V197" i="1"/>
  <c r="U197" i="1"/>
  <c r="T197" i="1"/>
  <c r="Y189" i="1"/>
  <c r="X189" i="1"/>
  <c r="W189" i="1"/>
  <c r="V189" i="1"/>
  <c r="U189" i="1"/>
  <c r="T189" i="1"/>
  <c r="Y181" i="1"/>
  <c r="X181" i="1"/>
  <c r="W181" i="1"/>
  <c r="V181" i="1"/>
  <c r="U181" i="1"/>
  <c r="T181" i="1"/>
  <c r="Y173" i="1"/>
  <c r="X173" i="1"/>
  <c r="W173" i="1"/>
  <c r="V173" i="1"/>
  <c r="U173" i="1"/>
  <c r="T173" i="1"/>
  <c r="Y165" i="1"/>
  <c r="X165" i="1"/>
  <c r="W165" i="1"/>
  <c r="V165" i="1"/>
  <c r="U165" i="1"/>
  <c r="T165" i="1"/>
  <c r="Y157" i="1"/>
  <c r="X157" i="1"/>
  <c r="W157" i="1"/>
  <c r="V157" i="1"/>
  <c r="U157" i="1"/>
  <c r="T157" i="1"/>
  <c r="Y149" i="1"/>
  <c r="X149" i="1"/>
  <c r="W149" i="1"/>
  <c r="V149" i="1"/>
  <c r="U149" i="1"/>
  <c r="T149" i="1"/>
  <c r="Y141" i="1"/>
  <c r="X141" i="1"/>
  <c r="W141" i="1"/>
  <c r="U141" i="1"/>
  <c r="V141" i="1"/>
  <c r="T141" i="1"/>
  <c r="Y133" i="1"/>
  <c r="X133" i="1"/>
  <c r="W133" i="1"/>
  <c r="V133" i="1"/>
  <c r="U133" i="1"/>
  <c r="T133" i="1"/>
  <c r="Y125" i="1"/>
  <c r="X125" i="1"/>
  <c r="W125" i="1"/>
  <c r="V125" i="1"/>
  <c r="U125" i="1"/>
  <c r="T125" i="1"/>
  <c r="Y117" i="1"/>
  <c r="X117" i="1"/>
  <c r="W117" i="1"/>
  <c r="V117" i="1"/>
  <c r="U117" i="1"/>
  <c r="T117" i="1"/>
  <c r="Y109" i="1"/>
  <c r="X109" i="1"/>
  <c r="W109" i="1"/>
  <c r="V109" i="1"/>
  <c r="U109" i="1"/>
  <c r="T109" i="1"/>
  <c r="Y101" i="1"/>
  <c r="X101" i="1"/>
  <c r="W101" i="1"/>
  <c r="V101" i="1"/>
  <c r="U101" i="1"/>
  <c r="T101" i="1"/>
  <c r="Y93" i="1"/>
  <c r="X93" i="1"/>
  <c r="W93" i="1"/>
  <c r="V93" i="1"/>
  <c r="U93" i="1"/>
  <c r="T93" i="1"/>
  <c r="Y85" i="1"/>
  <c r="X85" i="1"/>
  <c r="W85" i="1"/>
  <c r="V85" i="1"/>
  <c r="U85" i="1"/>
  <c r="T85" i="1"/>
  <c r="Y77" i="1"/>
  <c r="X77" i="1"/>
  <c r="W77" i="1"/>
  <c r="V77" i="1"/>
  <c r="U77" i="1"/>
  <c r="T77" i="1"/>
  <c r="Y69" i="1"/>
  <c r="X69" i="1"/>
  <c r="W69" i="1"/>
  <c r="V69" i="1"/>
  <c r="U69" i="1"/>
  <c r="T69" i="1"/>
  <c r="Y61" i="1"/>
  <c r="X61" i="1"/>
  <c r="W61" i="1"/>
  <c r="V61" i="1"/>
  <c r="U61" i="1"/>
  <c r="T61" i="1"/>
  <c r="Y53" i="1"/>
  <c r="X53" i="1"/>
  <c r="W53" i="1"/>
  <c r="V53" i="1"/>
  <c r="U53" i="1"/>
  <c r="T53" i="1"/>
  <c r="Y45" i="1"/>
  <c r="X45" i="1"/>
  <c r="W45" i="1"/>
  <c r="V45" i="1"/>
  <c r="U45" i="1"/>
  <c r="T45" i="1"/>
  <c r="Y37" i="1"/>
  <c r="X37" i="1"/>
  <c r="W37" i="1"/>
  <c r="V37" i="1"/>
  <c r="U37" i="1"/>
  <c r="T37" i="1"/>
  <c r="Y29" i="1"/>
  <c r="X29" i="1"/>
  <c r="W29" i="1"/>
  <c r="V29" i="1"/>
  <c r="U29" i="1"/>
  <c r="T29" i="1"/>
  <c r="Y21" i="1"/>
  <c r="X21" i="1"/>
  <c r="W21" i="1"/>
  <c r="V21" i="1"/>
  <c r="U21" i="1"/>
  <c r="T21" i="1"/>
  <c r="Y13" i="1"/>
  <c r="X13" i="1"/>
  <c r="W13" i="1"/>
  <c r="U13" i="1"/>
  <c r="V13" i="1"/>
  <c r="T13" i="1"/>
  <c r="Y5" i="1"/>
  <c r="X5" i="1"/>
  <c r="W5" i="1"/>
  <c r="V5" i="1"/>
  <c r="U5" i="1"/>
  <c r="T5" i="1"/>
  <c r="Y1708" i="1"/>
  <c r="X1708" i="1"/>
  <c r="W1708" i="1"/>
  <c r="V1708" i="1"/>
  <c r="U1708" i="1"/>
  <c r="T1708" i="1"/>
  <c r="Y1714" i="1"/>
  <c r="X1714" i="1"/>
  <c r="W1714" i="1"/>
  <c r="V1714" i="1"/>
  <c r="U1714" i="1"/>
  <c r="T1714" i="1"/>
  <c r="Y1739" i="1"/>
  <c r="X1739" i="1"/>
  <c r="W1739" i="1"/>
  <c r="V1739" i="1"/>
  <c r="U1739" i="1"/>
  <c r="T1739" i="1"/>
  <c r="Y1731" i="1"/>
  <c r="X1731" i="1"/>
  <c r="W1731" i="1"/>
  <c r="V1731" i="1"/>
  <c r="U1731" i="1"/>
  <c r="T1731" i="1"/>
  <c r="Y1748" i="1"/>
  <c r="X1748" i="1"/>
  <c r="W1748" i="1"/>
  <c r="V1748" i="1"/>
  <c r="U1748" i="1"/>
  <c r="T1748" i="1"/>
  <c r="Y1750" i="1"/>
  <c r="X1750" i="1"/>
  <c r="W1750" i="1"/>
  <c r="V1750" i="1"/>
  <c r="U1750" i="1"/>
  <c r="T1750" i="1"/>
  <c r="Y1760" i="1"/>
  <c r="X1760" i="1"/>
  <c r="W1760" i="1"/>
  <c r="V1760" i="1"/>
  <c r="U1760" i="1"/>
  <c r="T1760" i="1"/>
  <c r="Y1768" i="1"/>
  <c r="X1768" i="1"/>
  <c r="W1768" i="1"/>
  <c r="V1768" i="1"/>
  <c r="U1768" i="1"/>
  <c r="T1768" i="1"/>
  <c r="Y1780" i="1"/>
  <c r="X1780" i="1"/>
  <c r="W1780" i="1"/>
  <c r="V1780" i="1"/>
  <c r="U1780" i="1"/>
  <c r="T1780" i="1"/>
  <c r="Y1786" i="1"/>
  <c r="X1786" i="1"/>
  <c r="W1786" i="1"/>
  <c r="V1786" i="1"/>
  <c r="U1786" i="1"/>
  <c r="T1786" i="1"/>
  <c r="Y1790" i="1"/>
  <c r="X1790" i="1"/>
  <c r="W1790" i="1"/>
  <c r="V1790" i="1"/>
  <c r="U1790" i="1"/>
  <c r="T1790" i="1"/>
  <c r="Y1796" i="1"/>
  <c r="X1796" i="1"/>
  <c r="W1796" i="1"/>
  <c r="V1796" i="1"/>
  <c r="U1796" i="1"/>
  <c r="T1796" i="1"/>
  <c r="Y1800" i="1"/>
  <c r="X1800" i="1"/>
  <c r="W1800" i="1"/>
  <c r="V1800" i="1"/>
  <c r="U1800" i="1"/>
  <c r="T1800" i="1"/>
  <c r="Y1806" i="1"/>
  <c r="X1806" i="1"/>
  <c r="W1806" i="1"/>
  <c r="V1806" i="1"/>
  <c r="T1806" i="1"/>
  <c r="U1806" i="1"/>
  <c r="Y1812" i="1"/>
  <c r="X1812" i="1"/>
  <c r="W1812" i="1"/>
  <c r="V1812" i="1"/>
  <c r="U1812" i="1"/>
  <c r="T1812" i="1"/>
  <c r="Y1816" i="1"/>
  <c r="X1816" i="1"/>
  <c r="W1816" i="1"/>
  <c r="V1816" i="1"/>
  <c r="U1816" i="1"/>
  <c r="T1816" i="1"/>
  <c r="Y1818" i="1"/>
  <c r="X1818" i="1"/>
  <c r="W1818" i="1"/>
  <c r="V1818" i="1"/>
  <c r="U1818" i="1"/>
  <c r="T1818" i="1"/>
  <c r="Y1667" i="1"/>
  <c r="X1667" i="1"/>
  <c r="W1667" i="1"/>
  <c r="V1667" i="1"/>
  <c r="U1667" i="1"/>
  <c r="T1667" i="1"/>
  <c r="Y1603" i="1"/>
  <c r="X1603" i="1"/>
  <c r="W1603" i="1"/>
  <c r="V1603" i="1"/>
  <c r="U1603" i="1"/>
  <c r="T1603" i="1"/>
  <c r="Y1547" i="1"/>
  <c r="X1547" i="1"/>
  <c r="W1547" i="1"/>
  <c r="V1547" i="1"/>
  <c r="U1547" i="1"/>
  <c r="T1547" i="1"/>
  <c r="Y1483" i="1"/>
  <c r="X1483" i="1"/>
  <c r="W1483" i="1"/>
  <c r="V1483" i="1"/>
  <c r="U1483" i="1"/>
  <c r="T1483" i="1"/>
  <c r="Y1427" i="1"/>
  <c r="W1427" i="1"/>
  <c r="X1427" i="1"/>
  <c r="V1427" i="1"/>
  <c r="U1427" i="1"/>
  <c r="T1427" i="1"/>
  <c r="Y1363" i="1"/>
  <c r="X1363" i="1"/>
  <c r="W1363" i="1"/>
  <c r="V1363" i="1"/>
  <c r="U1363" i="1"/>
  <c r="T1363" i="1"/>
  <c r="Y1323" i="1"/>
  <c r="X1323" i="1"/>
  <c r="W1323" i="1"/>
  <c r="V1323" i="1"/>
  <c r="U1323" i="1"/>
  <c r="T1323" i="1"/>
  <c r="Y1259" i="1"/>
  <c r="X1259" i="1"/>
  <c r="W1259" i="1"/>
  <c r="V1259" i="1"/>
  <c r="U1259" i="1"/>
  <c r="T1259" i="1"/>
  <c r="Y1195" i="1"/>
  <c r="X1195" i="1"/>
  <c r="W1195" i="1"/>
  <c r="V1195" i="1"/>
  <c r="U1195" i="1"/>
  <c r="T1195" i="1"/>
  <c r="Y1139" i="1"/>
  <c r="X1139" i="1"/>
  <c r="W1139" i="1"/>
  <c r="V1139" i="1"/>
  <c r="U1139" i="1"/>
  <c r="T1139" i="1"/>
  <c r="Y1075" i="1"/>
  <c r="X1075" i="1"/>
  <c r="W1075" i="1"/>
  <c r="V1075" i="1"/>
  <c r="U1075" i="1"/>
  <c r="T1075" i="1"/>
  <c r="Y1011" i="1"/>
  <c r="X1011" i="1"/>
  <c r="W1011" i="1"/>
  <c r="V1011" i="1"/>
  <c r="U1011" i="1"/>
  <c r="T1011" i="1"/>
  <c r="Y947" i="1"/>
  <c r="X947" i="1"/>
  <c r="W947" i="1"/>
  <c r="V947" i="1"/>
  <c r="U947" i="1"/>
  <c r="T947" i="1"/>
  <c r="Y875" i="1"/>
  <c r="X875" i="1"/>
  <c r="W875" i="1"/>
  <c r="V875" i="1"/>
  <c r="U875" i="1"/>
  <c r="T875" i="1"/>
  <c r="Y811" i="1"/>
  <c r="X811" i="1"/>
  <c r="W811" i="1"/>
  <c r="V811" i="1"/>
  <c r="U811" i="1"/>
  <c r="T811" i="1"/>
  <c r="Y747" i="1"/>
  <c r="X747" i="1"/>
  <c r="W747" i="1"/>
  <c r="V747" i="1"/>
  <c r="U747" i="1"/>
  <c r="T747" i="1"/>
  <c r="Y707" i="1"/>
  <c r="X707" i="1"/>
  <c r="W707" i="1"/>
  <c r="V707" i="1"/>
  <c r="U707" i="1"/>
  <c r="T707" i="1"/>
  <c r="Y651" i="1"/>
  <c r="X651" i="1"/>
  <c r="W651" i="1"/>
  <c r="V651" i="1"/>
  <c r="U651" i="1"/>
  <c r="T651" i="1"/>
  <c r="Y595" i="1"/>
  <c r="X595" i="1"/>
  <c r="W595" i="1"/>
  <c r="V595" i="1"/>
  <c r="U595" i="1"/>
  <c r="T595" i="1"/>
  <c r="Y531" i="1"/>
  <c r="X531" i="1"/>
  <c r="W531" i="1"/>
  <c r="V531" i="1"/>
  <c r="U531" i="1"/>
  <c r="T531" i="1"/>
  <c r="Y467" i="1"/>
  <c r="X467" i="1"/>
  <c r="W467" i="1"/>
  <c r="V467" i="1"/>
  <c r="U467" i="1"/>
  <c r="T467" i="1"/>
  <c r="Y411" i="1"/>
  <c r="X411" i="1"/>
  <c r="W411" i="1"/>
  <c r="V411" i="1"/>
  <c r="U411" i="1"/>
  <c r="T411" i="1"/>
  <c r="Y347" i="1"/>
  <c r="X347" i="1"/>
  <c r="W347" i="1"/>
  <c r="V347" i="1"/>
  <c r="U347" i="1"/>
  <c r="T347" i="1"/>
  <c r="Y275" i="1"/>
  <c r="X275" i="1"/>
  <c r="W275" i="1"/>
  <c r="V275" i="1"/>
  <c r="U275" i="1"/>
  <c r="T275" i="1"/>
  <c r="Y219" i="1"/>
  <c r="X219" i="1"/>
  <c r="W219" i="1"/>
  <c r="V219" i="1"/>
  <c r="U219" i="1"/>
  <c r="T219" i="1"/>
  <c r="Y171" i="1"/>
  <c r="X171" i="1"/>
  <c r="W171" i="1"/>
  <c r="V171" i="1"/>
  <c r="U171" i="1"/>
  <c r="T171" i="1"/>
  <c r="Y115" i="1"/>
  <c r="X115" i="1"/>
  <c r="W115" i="1"/>
  <c r="V115" i="1"/>
  <c r="U115" i="1"/>
  <c r="T115" i="1"/>
  <c r="Y51" i="1"/>
  <c r="X51" i="1"/>
  <c r="W51" i="1"/>
  <c r="V51" i="1"/>
  <c r="U51" i="1"/>
  <c r="T51" i="1"/>
  <c r="Y1737" i="1"/>
  <c r="X1737" i="1"/>
  <c r="W1737" i="1"/>
  <c r="V1737" i="1"/>
  <c r="U1737" i="1"/>
  <c r="T1737" i="1"/>
  <c r="Y1700" i="1"/>
  <c r="X1700" i="1"/>
  <c r="W1700" i="1"/>
  <c r="V1700" i="1"/>
  <c r="U1700" i="1"/>
  <c r="T1700" i="1"/>
  <c r="Y1692" i="1"/>
  <c r="X1692" i="1"/>
  <c r="W1692" i="1"/>
  <c r="V1692" i="1"/>
  <c r="U1692" i="1"/>
  <c r="T1692" i="1"/>
  <c r="Y1684" i="1"/>
  <c r="X1684" i="1"/>
  <c r="W1684" i="1"/>
  <c r="V1684" i="1"/>
  <c r="U1684" i="1"/>
  <c r="T1684" i="1"/>
  <c r="Y1676" i="1"/>
  <c r="X1676" i="1"/>
  <c r="W1676" i="1"/>
  <c r="V1676" i="1"/>
  <c r="U1676" i="1"/>
  <c r="T1676" i="1"/>
  <c r="Y1668" i="1"/>
  <c r="X1668" i="1"/>
  <c r="W1668" i="1"/>
  <c r="V1668" i="1"/>
  <c r="U1668" i="1"/>
  <c r="T1668" i="1"/>
  <c r="Y1660" i="1"/>
  <c r="X1660" i="1"/>
  <c r="W1660" i="1"/>
  <c r="V1660" i="1"/>
  <c r="U1660" i="1"/>
  <c r="T1660" i="1"/>
  <c r="Y1652" i="1"/>
  <c r="X1652" i="1"/>
  <c r="W1652" i="1"/>
  <c r="V1652" i="1"/>
  <c r="U1652" i="1"/>
  <c r="T1652" i="1"/>
  <c r="Y1644" i="1"/>
  <c r="X1644" i="1"/>
  <c r="W1644" i="1"/>
  <c r="V1644" i="1"/>
  <c r="U1644" i="1"/>
  <c r="T1644" i="1"/>
  <c r="Y1636" i="1"/>
  <c r="X1636" i="1"/>
  <c r="W1636" i="1"/>
  <c r="V1636" i="1"/>
  <c r="U1636" i="1"/>
  <c r="T1636" i="1"/>
  <c r="Y1628" i="1"/>
  <c r="X1628" i="1"/>
  <c r="V1628" i="1"/>
  <c r="W1628" i="1"/>
  <c r="U1628" i="1"/>
  <c r="T1628" i="1"/>
  <c r="Y1620" i="1"/>
  <c r="X1620" i="1"/>
  <c r="W1620" i="1"/>
  <c r="V1620" i="1"/>
  <c r="U1620" i="1"/>
  <c r="T1620" i="1"/>
  <c r="Y1612" i="1"/>
  <c r="X1612" i="1"/>
  <c r="W1612" i="1"/>
  <c r="V1612" i="1"/>
  <c r="U1612" i="1"/>
  <c r="T1612" i="1"/>
  <c r="Y1604" i="1"/>
  <c r="X1604" i="1"/>
  <c r="W1604" i="1"/>
  <c r="V1604" i="1"/>
  <c r="U1604" i="1"/>
  <c r="T1604" i="1"/>
  <c r="Y1596" i="1"/>
  <c r="X1596" i="1"/>
  <c r="W1596" i="1"/>
  <c r="V1596" i="1"/>
  <c r="U1596" i="1"/>
  <c r="T1596" i="1"/>
  <c r="Y1588" i="1"/>
  <c r="X1588" i="1"/>
  <c r="W1588" i="1"/>
  <c r="V1588" i="1"/>
  <c r="U1588" i="1"/>
  <c r="T1588" i="1"/>
  <c r="Y1580" i="1"/>
  <c r="X1580" i="1"/>
  <c r="W1580" i="1"/>
  <c r="V1580" i="1"/>
  <c r="U1580" i="1"/>
  <c r="T1580" i="1"/>
  <c r="Y1572" i="1"/>
  <c r="X1572" i="1"/>
  <c r="W1572" i="1"/>
  <c r="V1572" i="1"/>
  <c r="U1572" i="1"/>
  <c r="T1572" i="1"/>
  <c r="Y1564" i="1"/>
  <c r="X1564" i="1"/>
  <c r="W1564" i="1"/>
  <c r="V1564" i="1"/>
  <c r="U1564" i="1"/>
  <c r="T1564" i="1"/>
  <c r="Y1556" i="1"/>
  <c r="X1556" i="1"/>
  <c r="W1556" i="1"/>
  <c r="V1556" i="1"/>
  <c r="U1556" i="1"/>
  <c r="T1556" i="1"/>
  <c r="Y1548" i="1"/>
  <c r="X1548" i="1"/>
  <c r="W1548" i="1"/>
  <c r="V1548" i="1"/>
  <c r="U1548" i="1"/>
  <c r="T1548" i="1"/>
  <c r="Y1540" i="1"/>
  <c r="X1540" i="1"/>
  <c r="W1540" i="1"/>
  <c r="V1540" i="1"/>
  <c r="U1540" i="1"/>
  <c r="T1540" i="1"/>
  <c r="Y1532" i="1"/>
  <c r="X1532" i="1"/>
  <c r="W1532" i="1"/>
  <c r="V1532" i="1"/>
  <c r="U1532" i="1"/>
  <c r="T1532" i="1"/>
  <c r="Y1524" i="1"/>
  <c r="X1524" i="1"/>
  <c r="W1524" i="1"/>
  <c r="V1524" i="1"/>
  <c r="U1524" i="1"/>
  <c r="T1524" i="1"/>
  <c r="Y1516" i="1"/>
  <c r="X1516" i="1"/>
  <c r="W1516" i="1"/>
  <c r="V1516" i="1"/>
  <c r="U1516" i="1"/>
  <c r="T1516" i="1"/>
  <c r="Y1508" i="1"/>
  <c r="X1508" i="1"/>
  <c r="W1508" i="1"/>
  <c r="V1508" i="1"/>
  <c r="U1508" i="1"/>
  <c r="T1508" i="1"/>
  <c r="Y1500" i="1"/>
  <c r="X1500" i="1"/>
  <c r="W1500" i="1"/>
  <c r="V1500" i="1"/>
  <c r="U1500" i="1"/>
  <c r="T1500" i="1"/>
  <c r="Y1492" i="1"/>
  <c r="X1492" i="1"/>
  <c r="W1492" i="1"/>
  <c r="V1492" i="1"/>
  <c r="U1492" i="1"/>
  <c r="T1492" i="1"/>
  <c r="Y1484" i="1"/>
  <c r="X1484" i="1"/>
  <c r="W1484" i="1"/>
  <c r="V1484" i="1"/>
  <c r="U1484" i="1"/>
  <c r="T1484" i="1"/>
  <c r="Y1476" i="1"/>
  <c r="X1476" i="1"/>
  <c r="W1476" i="1"/>
  <c r="V1476" i="1"/>
  <c r="U1476" i="1"/>
  <c r="T1476" i="1"/>
  <c r="Y1468" i="1"/>
  <c r="X1468" i="1"/>
  <c r="W1468" i="1"/>
  <c r="V1468" i="1"/>
  <c r="U1468" i="1"/>
  <c r="T1468" i="1"/>
  <c r="Y1460" i="1"/>
  <c r="X1460" i="1"/>
  <c r="W1460" i="1"/>
  <c r="V1460" i="1"/>
  <c r="U1460" i="1"/>
  <c r="T1460" i="1"/>
  <c r="Y1452" i="1"/>
  <c r="X1452" i="1"/>
  <c r="W1452" i="1"/>
  <c r="V1452" i="1"/>
  <c r="U1452" i="1"/>
  <c r="T1452" i="1"/>
  <c r="Y1444" i="1"/>
  <c r="X1444" i="1"/>
  <c r="W1444" i="1"/>
  <c r="V1444" i="1"/>
  <c r="U1444" i="1"/>
  <c r="T1444" i="1"/>
  <c r="Y1436" i="1"/>
  <c r="X1436" i="1"/>
  <c r="W1436" i="1"/>
  <c r="V1436" i="1"/>
  <c r="U1436" i="1"/>
  <c r="T1436" i="1"/>
  <c r="Y1428" i="1"/>
  <c r="X1428" i="1"/>
  <c r="W1428" i="1"/>
  <c r="V1428" i="1"/>
  <c r="U1428" i="1"/>
  <c r="T1428" i="1"/>
  <c r="Y1420" i="1"/>
  <c r="X1420" i="1"/>
  <c r="W1420" i="1"/>
  <c r="V1420" i="1"/>
  <c r="U1420" i="1"/>
  <c r="T1420" i="1"/>
  <c r="Y1412" i="1"/>
  <c r="X1412" i="1"/>
  <c r="W1412" i="1"/>
  <c r="V1412" i="1"/>
  <c r="U1412" i="1"/>
  <c r="T1412" i="1"/>
  <c r="Y1404" i="1"/>
  <c r="X1404" i="1"/>
  <c r="W1404" i="1"/>
  <c r="V1404" i="1"/>
  <c r="U1404" i="1"/>
  <c r="T1404" i="1"/>
  <c r="Y1396" i="1"/>
  <c r="X1396" i="1"/>
  <c r="W1396" i="1"/>
  <c r="V1396" i="1"/>
  <c r="U1396" i="1"/>
  <c r="T1396" i="1"/>
  <c r="Y1388" i="1"/>
  <c r="X1388" i="1"/>
  <c r="W1388" i="1"/>
  <c r="V1388" i="1"/>
  <c r="U1388" i="1"/>
  <c r="T1388" i="1"/>
  <c r="Y1380" i="1"/>
  <c r="X1380" i="1"/>
  <c r="W1380" i="1"/>
  <c r="V1380" i="1"/>
  <c r="U1380" i="1"/>
  <c r="T1380" i="1"/>
  <c r="Y1372" i="1"/>
  <c r="X1372" i="1"/>
  <c r="W1372" i="1"/>
  <c r="V1372" i="1"/>
  <c r="U1372" i="1"/>
  <c r="T1372" i="1"/>
  <c r="Y1364" i="1"/>
  <c r="X1364" i="1"/>
  <c r="W1364" i="1"/>
  <c r="V1364" i="1"/>
  <c r="U1364" i="1"/>
  <c r="T1364" i="1"/>
  <c r="Y1356" i="1"/>
  <c r="X1356" i="1"/>
  <c r="W1356" i="1"/>
  <c r="V1356" i="1"/>
  <c r="U1356" i="1"/>
  <c r="T1356" i="1"/>
  <c r="Y1348" i="1"/>
  <c r="X1348" i="1"/>
  <c r="W1348" i="1"/>
  <c r="V1348" i="1"/>
  <c r="U1348" i="1"/>
  <c r="T1348" i="1"/>
  <c r="Y1340" i="1"/>
  <c r="X1340" i="1"/>
  <c r="W1340" i="1"/>
  <c r="V1340" i="1"/>
  <c r="U1340" i="1"/>
  <c r="T1340" i="1"/>
  <c r="Y1332" i="1"/>
  <c r="X1332" i="1"/>
  <c r="W1332" i="1"/>
  <c r="V1332" i="1"/>
  <c r="U1332" i="1"/>
  <c r="T1332" i="1"/>
  <c r="Y1324" i="1"/>
  <c r="X1324" i="1"/>
  <c r="W1324" i="1"/>
  <c r="V1324" i="1"/>
  <c r="U1324" i="1"/>
  <c r="T1324" i="1"/>
  <c r="Y1316" i="1"/>
  <c r="X1316" i="1"/>
  <c r="W1316" i="1"/>
  <c r="V1316" i="1"/>
  <c r="U1316" i="1"/>
  <c r="T1316" i="1"/>
  <c r="Y1308" i="1"/>
  <c r="X1308" i="1"/>
  <c r="W1308" i="1"/>
  <c r="V1308" i="1"/>
  <c r="U1308" i="1"/>
  <c r="T1308" i="1"/>
  <c r="Y1300" i="1"/>
  <c r="X1300" i="1"/>
  <c r="W1300" i="1"/>
  <c r="V1300" i="1"/>
  <c r="U1300" i="1"/>
  <c r="T1300" i="1"/>
  <c r="Y1292" i="1"/>
  <c r="X1292" i="1"/>
  <c r="W1292" i="1"/>
  <c r="V1292" i="1"/>
  <c r="U1292" i="1"/>
  <c r="T1292" i="1"/>
  <c r="Y1284" i="1"/>
  <c r="X1284" i="1"/>
  <c r="W1284" i="1"/>
  <c r="V1284" i="1"/>
  <c r="U1284" i="1"/>
  <c r="T1284" i="1"/>
  <c r="Y1276" i="1"/>
  <c r="X1276" i="1"/>
  <c r="W1276" i="1"/>
  <c r="V1276" i="1"/>
  <c r="U1276" i="1"/>
  <c r="T1276" i="1"/>
  <c r="Y1268" i="1"/>
  <c r="X1268" i="1"/>
  <c r="W1268" i="1"/>
  <c r="V1268" i="1"/>
  <c r="U1268" i="1"/>
  <c r="T1268" i="1"/>
  <c r="Y1260" i="1"/>
  <c r="X1260" i="1"/>
  <c r="W1260" i="1"/>
  <c r="V1260" i="1"/>
  <c r="U1260" i="1"/>
  <c r="T1260" i="1"/>
  <c r="Y1252" i="1"/>
  <c r="X1252" i="1"/>
  <c r="W1252" i="1"/>
  <c r="V1252" i="1"/>
  <c r="U1252" i="1"/>
  <c r="T1252" i="1"/>
  <c r="Y1244" i="1"/>
  <c r="X1244" i="1"/>
  <c r="W1244" i="1"/>
  <c r="V1244" i="1"/>
  <c r="U1244" i="1"/>
  <c r="T1244" i="1"/>
  <c r="Y1236" i="1"/>
  <c r="X1236" i="1"/>
  <c r="W1236" i="1"/>
  <c r="V1236" i="1"/>
  <c r="U1236" i="1"/>
  <c r="T1236" i="1"/>
  <c r="Y1228" i="1"/>
  <c r="X1228" i="1"/>
  <c r="W1228" i="1"/>
  <c r="V1228" i="1"/>
  <c r="U1228" i="1"/>
  <c r="T1228" i="1"/>
  <c r="Y1220" i="1"/>
  <c r="X1220" i="1"/>
  <c r="W1220" i="1"/>
  <c r="V1220" i="1"/>
  <c r="U1220" i="1"/>
  <c r="T1220" i="1"/>
  <c r="Y1212" i="1"/>
  <c r="X1212" i="1"/>
  <c r="W1212" i="1"/>
  <c r="V1212" i="1"/>
  <c r="U1212" i="1"/>
  <c r="T1212" i="1"/>
  <c r="Y1204" i="1"/>
  <c r="X1204" i="1"/>
  <c r="W1204" i="1"/>
  <c r="V1204" i="1"/>
  <c r="U1204" i="1"/>
  <c r="T1204" i="1"/>
  <c r="Y1196" i="1"/>
  <c r="X1196" i="1"/>
  <c r="W1196" i="1"/>
  <c r="V1196" i="1"/>
  <c r="U1196" i="1"/>
  <c r="T1196" i="1"/>
  <c r="Y1188" i="1"/>
  <c r="X1188" i="1"/>
  <c r="W1188" i="1"/>
  <c r="V1188" i="1"/>
  <c r="U1188" i="1"/>
  <c r="T1188" i="1"/>
  <c r="Y1180" i="1"/>
  <c r="X1180" i="1"/>
  <c r="W1180" i="1"/>
  <c r="V1180" i="1"/>
  <c r="U1180" i="1"/>
  <c r="T1180" i="1"/>
  <c r="Y1172" i="1"/>
  <c r="X1172" i="1"/>
  <c r="W1172" i="1"/>
  <c r="V1172" i="1"/>
  <c r="U1172" i="1"/>
  <c r="T1172" i="1"/>
  <c r="Y1164" i="1"/>
  <c r="X1164" i="1"/>
  <c r="W1164" i="1"/>
  <c r="V1164" i="1"/>
  <c r="U1164" i="1"/>
  <c r="T1164" i="1"/>
  <c r="Y1156" i="1"/>
  <c r="X1156" i="1"/>
  <c r="W1156" i="1"/>
  <c r="V1156" i="1"/>
  <c r="U1156" i="1"/>
  <c r="T1156" i="1"/>
  <c r="Y1148" i="1"/>
  <c r="X1148" i="1"/>
  <c r="W1148" i="1"/>
  <c r="V1148" i="1"/>
  <c r="U1148" i="1"/>
  <c r="T1148" i="1"/>
  <c r="Y1140" i="1"/>
  <c r="X1140" i="1"/>
  <c r="W1140" i="1"/>
  <c r="V1140" i="1"/>
  <c r="U1140" i="1"/>
  <c r="T1140" i="1"/>
  <c r="Y1132" i="1"/>
  <c r="X1132" i="1"/>
  <c r="W1132" i="1"/>
  <c r="V1132" i="1"/>
  <c r="U1132" i="1"/>
  <c r="T1132" i="1"/>
  <c r="Y1124" i="1"/>
  <c r="X1124" i="1"/>
  <c r="W1124" i="1"/>
  <c r="V1124" i="1"/>
  <c r="U1124" i="1"/>
  <c r="T1124" i="1"/>
  <c r="Y1116" i="1"/>
  <c r="X1116" i="1"/>
  <c r="W1116" i="1"/>
  <c r="V1116" i="1"/>
  <c r="U1116" i="1"/>
  <c r="T1116" i="1"/>
  <c r="Y1108" i="1"/>
  <c r="X1108" i="1"/>
  <c r="W1108" i="1"/>
  <c r="V1108" i="1"/>
  <c r="U1108" i="1"/>
  <c r="T1108" i="1"/>
  <c r="Y1100" i="1"/>
  <c r="X1100" i="1"/>
  <c r="W1100" i="1"/>
  <c r="V1100" i="1"/>
  <c r="U1100" i="1"/>
  <c r="T1100" i="1"/>
  <c r="Y1092" i="1"/>
  <c r="X1092" i="1"/>
  <c r="W1092" i="1"/>
  <c r="V1092" i="1"/>
  <c r="U1092" i="1"/>
  <c r="T1092" i="1"/>
  <c r="Y1084" i="1"/>
  <c r="X1084" i="1"/>
  <c r="W1084" i="1"/>
  <c r="V1084" i="1"/>
  <c r="U1084" i="1"/>
  <c r="T1084" i="1"/>
  <c r="Y1076" i="1"/>
  <c r="X1076" i="1"/>
  <c r="W1076" i="1"/>
  <c r="V1076" i="1"/>
  <c r="U1076" i="1"/>
  <c r="T1076" i="1"/>
  <c r="Y1068" i="1"/>
  <c r="X1068" i="1"/>
  <c r="W1068" i="1"/>
  <c r="V1068" i="1"/>
  <c r="U1068" i="1"/>
  <c r="T1068" i="1"/>
  <c r="Y1060" i="1"/>
  <c r="X1060" i="1"/>
  <c r="W1060" i="1"/>
  <c r="V1060" i="1"/>
  <c r="U1060" i="1"/>
  <c r="T1060" i="1"/>
  <c r="Y1052" i="1"/>
  <c r="X1052" i="1"/>
  <c r="W1052" i="1"/>
  <c r="V1052" i="1"/>
  <c r="U1052" i="1"/>
  <c r="T1052" i="1"/>
  <c r="Y1044" i="1"/>
  <c r="X1044" i="1"/>
  <c r="W1044" i="1"/>
  <c r="V1044" i="1"/>
  <c r="U1044" i="1"/>
  <c r="T1044" i="1"/>
  <c r="Y1036" i="1"/>
  <c r="X1036" i="1"/>
  <c r="W1036" i="1"/>
  <c r="V1036" i="1"/>
  <c r="U1036" i="1"/>
  <c r="T1036" i="1"/>
  <c r="Y1028" i="1"/>
  <c r="X1028" i="1"/>
  <c r="W1028" i="1"/>
  <c r="V1028" i="1"/>
  <c r="U1028" i="1"/>
  <c r="T1028" i="1"/>
  <c r="Y1020" i="1"/>
  <c r="X1020" i="1"/>
  <c r="W1020" i="1"/>
  <c r="V1020" i="1"/>
  <c r="U1020" i="1"/>
  <c r="T1020" i="1"/>
  <c r="Y1012" i="1"/>
  <c r="X1012" i="1"/>
  <c r="W1012" i="1"/>
  <c r="V1012" i="1"/>
  <c r="U1012" i="1"/>
  <c r="T1012" i="1"/>
  <c r="Y1004" i="1"/>
  <c r="X1004" i="1"/>
  <c r="W1004" i="1"/>
  <c r="V1004" i="1"/>
  <c r="U1004" i="1"/>
  <c r="T1004" i="1"/>
  <c r="Y996" i="1"/>
  <c r="X996" i="1"/>
  <c r="W996" i="1"/>
  <c r="V996" i="1"/>
  <c r="U996" i="1"/>
  <c r="T996" i="1"/>
  <c r="Y988" i="1"/>
  <c r="X988" i="1"/>
  <c r="W988" i="1"/>
  <c r="V988" i="1"/>
  <c r="U988" i="1"/>
  <c r="T988" i="1"/>
  <c r="Y980" i="1"/>
  <c r="X980" i="1"/>
  <c r="W980" i="1"/>
  <c r="V980" i="1"/>
  <c r="U980" i="1"/>
  <c r="T980" i="1"/>
  <c r="Y972" i="1"/>
  <c r="X972" i="1"/>
  <c r="W972" i="1"/>
  <c r="V972" i="1"/>
  <c r="U972" i="1"/>
  <c r="T972" i="1"/>
  <c r="Y964" i="1"/>
  <c r="X964" i="1"/>
  <c r="W964" i="1"/>
  <c r="V964" i="1"/>
  <c r="U964" i="1"/>
  <c r="T964" i="1"/>
  <c r="Y956" i="1"/>
  <c r="X956" i="1"/>
  <c r="W956" i="1"/>
  <c r="V956" i="1"/>
  <c r="U956" i="1"/>
  <c r="T956" i="1"/>
  <c r="Y948" i="1"/>
  <c r="X948" i="1"/>
  <c r="W948" i="1"/>
  <c r="V948" i="1"/>
  <c r="U948" i="1"/>
  <c r="T948" i="1"/>
  <c r="Y940" i="1"/>
  <c r="X940" i="1"/>
  <c r="W940" i="1"/>
  <c r="V940" i="1"/>
  <c r="U940" i="1"/>
  <c r="T940" i="1"/>
  <c r="Y932" i="1"/>
  <c r="X932" i="1"/>
  <c r="W932" i="1"/>
  <c r="V932" i="1"/>
  <c r="U932" i="1"/>
  <c r="T932" i="1"/>
  <c r="Y924" i="1"/>
  <c r="X924" i="1"/>
  <c r="W924" i="1"/>
  <c r="V924" i="1"/>
  <c r="U924" i="1"/>
  <c r="T924" i="1"/>
  <c r="Y916" i="1"/>
  <c r="X916" i="1"/>
  <c r="W916" i="1"/>
  <c r="V916" i="1"/>
  <c r="U916" i="1"/>
  <c r="T916" i="1"/>
  <c r="Y908" i="1"/>
  <c r="X908" i="1"/>
  <c r="W908" i="1"/>
  <c r="V908" i="1"/>
  <c r="U908" i="1"/>
  <c r="T908" i="1"/>
  <c r="Y900" i="1"/>
  <c r="X900" i="1"/>
  <c r="W900" i="1"/>
  <c r="V900" i="1"/>
  <c r="U900" i="1"/>
  <c r="T900" i="1"/>
  <c r="Y892" i="1"/>
  <c r="X892" i="1"/>
  <c r="W892" i="1"/>
  <c r="V892" i="1"/>
  <c r="U892" i="1"/>
  <c r="T892" i="1"/>
  <c r="Y884" i="1"/>
  <c r="X884" i="1"/>
  <c r="W884" i="1"/>
  <c r="V884" i="1"/>
  <c r="U884" i="1"/>
  <c r="T884" i="1"/>
  <c r="Y876" i="1"/>
  <c r="X876" i="1"/>
  <c r="W876" i="1"/>
  <c r="V876" i="1"/>
  <c r="U876" i="1"/>
  <c r="T876" i="1"/>
  <c r="Y868" i="1"/>
  <c r="X868" i="1"/>
  <c r="W868" i="1"/>
  <c r="V868" i="1"/>
  <c r="U868" i="1"/>
  <c r="T868" i="1"/>
  <c r="Y860" i="1"/>
  <c r="X860" i="1"/>
  <c r="W860" i="1"/>
  <c r="V860" i="1"/>
  <c r="U860" i="1"/>
  <c r="T860" i="1"/>
  <c r="Y852" i="1"/>
  <c r="X852" i="1"/>
  <c r="W852" i="1"/>
  <c r="V852" i="1"/>
  <c r="U852" i="1"/>
  <c r="T852" i="1"/>
  <c r="Y844" i="1"/>
  <c r="X844" i="1"/>
  <c r="W844" i="1"/>
  <c r="V844" i="1"/>
  <c r="U844" i="1"/>
  <c r="T844" i="1"/>
  <c r="Y836" i="1"/>
  <c r="X836" i="1"/>
  <c r="W836" i="1"/>
  <c r="V836" i="1"/>
  <c r="U836" i="1"/>
  <c r="T836" i="1"/>
  <c r="Y828" i="1"/>
  <c r="X828" i="1"/>
  <c r="W828" i="1"/>
  <c r="V828" i="1"/>
  <c r="U828" i="1"/>
  <c r="T828" i="1"/>
  <c r="Y820" i="1"/>
  <c r="X820" i="1"/>
  <c r="W820" i="1"/>
  <c r="V820" i="1"/>
  <c r="U820" i="1"/>
  <c r="T820" i="1"/>
  <c r="Y812" i="1"/>
  <c r="X812" i="1"/>
  <c r="W812" i="1"/>
  <c r="V812" i="1"/>
  <c r="U812" i="1"/>
  <c r="T812" i="1"/>
  <c r="Y804" i="1"/>
  <c r="X804" i="1"/>
  <c r="W804" i="1"/>
  <c r="V804" i="1"/>
  <c r="U804" i="1"/>
  <c r="T804" i="1"/>
  <c r="Y796" i="1"/>
  <c r="X796" i="1"/>
  <c r="W796" i="1"/>
  <c r="V796" i="1"/>
  <c r="U796" i="1"/>
  <c r="T796" i="1"/>
  <c r="Y788" i="1"/>
  <c r="X788" i="1"/>
  <c r="W788" i="1"/>
  <c r="V788" i="1"/>
  <c r="U788" i="1"/>
  <c r="T788" i="1"/>
  <c r="Y780" i="1"/>
  <c r="X780" i="1"/>
  <c r="W780" i="1"/>
  <c r="V780" i="1"/>
  <c r="U780" i="1"/>
  <c r="T780" i="1"/>
  <c r="Y772" i="1"/>
  <c r="X772" i="1"/>
  <c r="W772" i="1"/>
  <c r="V772" i="1"/>
  <c r="U772" i="1"/>
  <c r="T772" i="1"/>
  <c r="Y764" i="1"/>
  <c r="X764" i="1"/>
  <c r="W764" i="1"/>
  <c r="V764" i="1"/>
  <c r="U764" i="1"/>
  <c r="T764" i="1"/>
  <c r="Y756" i="1"/>
  <c r="X756" i="1"/>
  <c r="W756" i="1"/>
  <c r="V756" i="1"/>
  <c r="U756" i="1"/>
  <c r="T756" i="1"/>
  <c r="Y748" i="1"/>
  <c r="X748" i="1"/>
  <c r="W748" i="1"/>
  <c r="V748" i="1"/>
  <c r="U748" i="1"/>
  <c r="T748" i="1"/>
  <c r="Y740" i="1"/>
  <c r="X740" i="1"/>
  <c r="W740" i="1"/>
  <c r="V740" i="1"/>
  <c r="U740" i="1"/>
  <c r="T740" i="1"/>
  <c r="Y732" i="1"/>
  <c r="X732" i="1"/>
  <c r="W732" i="1"/>
  <c r="V732" i="1"/>
  <c r="U732" i="1"/>
  <c r="T732" i="1"/>
  <c r="Y724" i="1"/>
  <c r="X724" i="1"/>
  <c r="W724" i="1"/>
  <c r="V724" i="1"/>
  <c r="U724" i="1"/>
  <c r="T724" i="1"/>
  <c r="Y716" i="1"/>
  <c r="X716" i="1"/>
  <c r="W716" i="1"/>
  <c r="V716" i="1"/>
  <c r="U716" i="1"/>
  <c r="T716" i="1"/>
  <c r="Y708" i="1"/>
  <c r="X708" i="1"/>
  <c r="W708" i="1"/>
  <c r="V708" i="1"/>
  <c r="U708" i="1"/>
  <c r="T708" i="1"/>
  <c r="Y700" i="1"/>
  <c r="X700" i="1"/>
  <c r="W700" i="1"/>
  <c r="V700" i="1"/>
  <c r="U700" i="1"/>
  <c r="T700" i="1"/>
  <c r="Y692" i="1"/>
  <c r="X692" i="1"/>
  <c r="W692" i="1"/>
  <c r="V692" i="1"/>
  <c r="U692" i="1"/>
  <c r="T692" i="1"/>
  <c r="Y684" i="1"/>
  <c r="X684" i="1"/>
  <c r="W684" i="1"/>
  <c r="V684" i="1"/>
  <c r="U684" i="1"/>
  <c r="T684" i="1"/>
  <c r="Y676" i="1"/>
  <c r="X676" i="1"/>
  <c r="W676" i="1"/>
  <c r="V676" i="1"/>
  <c r="U676" i="1"/>
  <c r="T676" i="1"/>
  <c r="Y668" i="1"/>
  <c r="X668" i="1"/>
  <c r="W668" i="1"/>
  <c r="V668" i="1"/>
  <c r="U668" i="1"/>
  <c r="T668" i="1"/>
  <c r="Y660" i="1"/>
  <c r="X660" i="1"/>
  <c r="W660" i="1"/>
  <c r="V660" i="1"/>
  <c r="U660" i="1"/>
  <c r="T660" i="1"/>
  <c r="Y652" i="1"/>
  <c r="X652" i="1"/>
  <c r="W652" i="1"/>
  <c r="V652" i="1"/>
  <c r="U652" i="1"/>
  <c r="T652" i="1"/>
  <c r="Y644" i="1"/>
  <c r="X644" i="1"/>
  <c r="W644" i="1"/>
  <c r="V644" i="1"/>
  <c r="U644" i="1"/>
  <c r="T644" i="1"/>
  <c r="Y636" i="1"/>
  <c r="X636" i="1"/>
  <c r="W636" i="1"/>
  <c r="V636" i="1"/>
  <c r="U636" i="1"/>
  <c r="T636" i="1"/>
  <c r="Y628" i="1"/>
  <c r="X628" i="1"/>
  <c r="W628" i="1"/>
  <c r="V628" i="1"/>
  <c r="U628" i="1"/>
  <c r="T628" i="1"/>
  <c r="Y620" i="1"/>
  <c r="X620" i="1"/>
  <c r="W620" i="1"/>
  <c r="V620" i="1"/>
  <c r="U620" i="1"/>
  <c r="T620" i="1"/>
  <c r="Y612" i="1"/>
  <c r="X612" i="1"/>
  <c r="W612" i="1"/>
  <c r="V612" i="1"/>
  <c r="U612" i="1"/>
  <c r="T612" i="1"/>
  <c r="Y604" i="1"/>
  <c r="X604" i="1"/>
  <c r="W604" i="1"/>
  <c r="V604" i="1"/>
  <c r="U604" i="1"/>
  <c r="T604" i="1"/>
  <c r="Y596" i="1"/>
  <c r="X596" i="1"/>
  <c r="W596" i="1"/>
  <c r="V596" i="1"/>
  <c r="U596" i="1"/>
  <c r="T596" i="1"/>
  <c r="Y588" i="1"/>
  <c r="X588" i="1"/>
  <c r="W588" i="1"/>
  <c r="V588" i="1"/>
  <c r="U588" i="1"/>
  <c r="T588" i="1"/>
  <c r="Y580" i="1"/>
  <c r="X580" i="1"/>
  <c r="W580" i="1"/>
  <c r="V580" i="1"/>
  <c r="U580" i="1"/>
  <c r="T580" i="1"/>
  <c r="Y572" i="1"/>
  <c r="X572" i="1"/>
  <c r="W572" i="1"/>
  <c r="V572" i="1"/>
  <c r="U572" i="1"/>
  <c r="T572" i="1"/>
  <c r="Y564" i="1"/>
  <c r="X564" i="1"/>
  <c r="W564" i="1"/>
  <c r="V564" i="1"/>
  <c r="U564" i="1"/>
  <c r="T564" i="1"/>
  <c r="Y556" i="1"/>
  <c r="X556" i="1"/>
  <c r="W556" i="1"/>
  <c r="V556" i="1"/>
  <c r="U556" i="1"/>
  <c r="T556" i="1"/>
  <c r="Y548" i="1"/>
  <c r="X548" i="1"/>
  <c r="W548" i="1"/>
  <c r="V548" i="1"/>
  <c r="U548" i="1"/>
  <c r="T548" i="1"/>
  <c r="Y540" i="1"/>
  <c r="X540" i="1"/>
  <c r="W540" i="1"/>
  <c r="V540" i="1"/>
  <c r="U540" i="1"/>
  <c r="T540" i="1"/>
  <c r="Y532" i="1"/>
  <c r="X532" i="1"/>
  <c r="W532" i="1"/>
  <c r="V532" i="1"/>
  <c r="U532" i="1"/>
  <c r="T532" i="1"/>
  <c r="Y524" i="1"/>
  <c r="X524" i="1"/>
  <c r="W524" i="1"/>
  <c r="V524" i="1"/>
  <c r="U524" i="1"/>
  <c r="T524" i="1"/>
  <c r="Y516" i="1"/>
  <c r="X516" i="1"/>
  <c r="W516" i="1"/>
  <c r="V516" i="1"/>
  <c r="U516" i="1"/>
  <c r="T516" i="1"/>
  <c r="Y508" i="1"/>
  <c r="X508" i="1"/>
  <c r="W508" i="1"/>
  <c r="V508" i="1"/>
  <c r="U508" i="1"/>
  <c r="T508" i="1"/>
  <c r="Y500" i="1"/>
  <c r="X500" i="1"/>
  <c r="W500" i="1"/>
  <c r="V500" i="1"/>
  <c r="U500" i="1"/>
  <c r="T500" i="1"/>
  <c r="Y492" i="1"/>
  <c r="X492" i="1"/>
  <c r="W492" i="1"/>
  <c r="V492" i="1"/>
  <c r="U492" i="1"/>
  <c r="T492" i="1"/>
  <c r="Y484" i="1"/>
  <c r="X484" i="1"/>
  <c r="W484" i="1"/>
  <c r="V484" i="1"/>
  <c r="U484" i="1"/>
  <c r="T484" i="1"/>
  <c r="Y476" i="1"/>
  <c r="X476" i="1"/>
  <c r="W476" i="1"/>
  <c r="V476" i="1"/>
  <c r="U476" i="1"/>
  <c r="T476" i="1"/>
  <c r="Y468" i="1"/>
  <c r="X468" i="1"/>
  <c r="W468" i="1"/>
  <c r="V468" i="1"/>
  <c r="U468" i="1"/>
  <c r="T468" i="1"/>
  <c r="Y460" i="1"/>
  <c r="X460" i="1"/>
  <c r="W460" i="1"/>
  <c r="V460" i="1"/>
  <c r="U460" i="1"/>
  <c r="T460" i="1"/>
  <c r="Y452" i="1"/>
  <c r="X452" i="1"/>
  <c r="W452" i="1"/>
  <c r="V452" i="1"/>
  <c r="U452" i="1"/>
  <c r="T452" i="1"/>
  <c r="Y444" i="1"/>
  <c r="X444" i="1"/>
  <c r="W444" i="1"/>
  <c r="V444" i="1"/>
  <c r="U444" i="1"/>
  <c r="T444" i="1"/>
  <c r="Y436" i="1"/>
  <c r="X436" i="1"/>
  <c r="W436" i="1"/>
  <c r="V436" i="1"/>
  <c r="U436" i="1"/>
  <c r="T436" i="1"/>
  <c r="Y428" i="1"/>
  <c r="X428" i="1"/>
  <c r="W428" i="1"/>
  <c r="V428" i="1"/>
  <c r="U428" i="1"/>
  <c r="T428" i="1"/>
  <c r="Y420" i="1"/>
  <c r="X420" i="1"/>
  <c r="W420" i="1"/>
  <c r="V420" i="1"/>
  <c r="U420" i="1"/>
  <c r="T420" i="1"/>
  <c r="Y412" i="1"/>
  <c r="X412" i="1"/>
  <c r="W412" i="1"/>
  <c r="V412" i="1"/>
  <c r="U412" i="1"/>
  <c r="T412" i="1"/>
  <c r="Y404" i="1"/>
  <c r="X404" i="1"/>
  <c r="W404" i="1"/>
  <c r="V404" i="1"/>
  <c r="U404" i="1"/>
  <c r="T404" i="1"/>
  <c r="Y396" i="1"/>
  <c r="X396" i="1"/>
  <c r="W396" i="1"/>
  <c r="V396" i="1"/>
  <c r="U396" i="1"/>
  <c r="T396" i="1"/>
  <c r="Y388" i="1"/>
  <c r="X388" i="1"/>
  <c r="W388" i="1"/>
  <c r="V388" i="1"/>
  <c r="U388" i="1"/>
  <c r="T388" i="1"/>
  <c r="Y380" i="1"/>
  <c r="X380" i="1"/>
  <c r="W380" i="1"/>
  <c r="V380" i="1"/>
  <c r="U380" i="1"/>
  <c r="T380" i="1"/>
  <c r="Y372" i="1"/>
  <c r="X372" i="1"/>
  <c r="W372" i="1"/>
  <c r="V372" i="1"/>
  <c r="U372" i="1"/>
  <c r="T372" i="1"/>
  <c r="Y364" i="1"/>
  <c r="X364" i="1"/>
  <c r="W364" i="1"/>
  <c r="V364" i="1"/>
  <c r="U364" i="1"/>
  <c r="T364" i="1"/>
  <c r="Y356" i="1"/>
  <c r="X356" i="1"/>
  <c r="W356" i="1"/>
  <c r="V356" i="1"/>
  <c r="U356" i="1"/>
  <c r="T356" i="1"/>
  <c r="Y348" i="1"/>
  <c r="X348" i="1"/>
  <c r="W348" i="1"/>
  <c r="V348" i="1"/>
  <c r="U348" i="1"/>
  <c r="T348" i="1"/>
  <c r="Y340" i="1"/>
  <c r="X340" i="1"/>
  <c r="W340" i="1"/>
  <c r="V340" i="1"/>
  <c r="U340" i="1"/>
  <c r="T340" i="1"/>
  <c r="Y332" i="1"/>
  <c r="X332" i="1"/>
  <c r="W332" i="1"/>
  <c r="V332" i="1"/>
  <c r="U332" i="1"/>
  <c r="T332" i="1"/>
  <c r="Y324" i="1"/>
  <c r="X324" i="1"/>
  <c r="W324" i="1"/>
  <c r="V324" i="1"/>
  <c r="U324" i="1"/>
  <c r="T324" i="1"/>
  <c r="Y316" i="1"/>
  <c r="X316" i="1"/>
  <c r="W316" i="1"/>
  <c r="V316" i="1"/>
  <c r="U316" i="1"/>
  <c r="T316" i="1"/>
  <c r="Y308" i="1"/>
  <c r="X308" i="1"/>
  <c r="W308" i="1"/>
  <c r="V308" i="1"/>
  <c r="U308" i="1"/>
  <c r="T308" i="1"/>
  <c r="Y300" i="1"/>
  <c r="X300" i="1"/>
  <c r="W300" i="1"/>
  <c r="V300" i="1"/>
  <c r="U300" i="1"/>
  <c r="T300" i="1"/>
  <c r="Y292" i="1"/>
  <c r="X292" i="1"/>
  <c r="W292" i="1"/>
  <c r="V292" i="1"/>
  <c r="U292" i="1"/>
  <c r="T292" i="1"/>
  <c r="Y284" i="1"/>
  <c r="X284" i="1"/>
  <c r="W284" i="1"/>
  <c r="V284" i="1"/>
  <c r="U284" i="1"/>
  <c r="T284" i="1"/>
  <c r="Y276" i="1"/>
  <c r="X276" i="1"/>
  <c r="W276" i="1"/>
  <c r="V276" i="1"/>
  <c r="U276" i="1"/>
  <c r="T276" i="1"/>
  <c r="Y268" i="1"/>
  <c r="X268" i="1"/>
  <c r="W268" i="1"/>
  <c r="V268" i="1"/>
  <c r="U268" i="1"/>
  <c r="T268" i="1"/>
  <c r="Y260" i="1"/>
  <c r="X260" i="1"/>
  <c r="W260" i="1"/>
  <c r="V260" i="1"/>
  <c r="U260" i="1"/>
  <c r="T260" i="1"/>
  <c r="Y252" i="1"/>
  <c r="X252" i="1"/>
  <c r="W252" i="1"/>
  <c r="V252" i="1"/>
  <c r="U252" i="1"/>
  <c r="T252" i="1"/>
  <c r="Y244" i="1"/>
  <c r="X244" i="1"/>
  <c r="W244" i="1"/>
  <c r="V244" i="1"/>
  <c r="U244" i="1"/>
  <c r="T244" i="1"/>
  <c r="Y236" i="1"/>
  <c r="X236" i="1"/>
  <c r="W236" i="1"/>
  <c r="V236" i="1"/>
  <c r="U236" i="1"/>
  <c r="T236" i="1"/>
  <c r="Y228" i="1"/>
  <c r="X228" i="1"/>
  <c r="W228" i="1"/>
  <c r="V228" i="1"/>
  <c r="U228" i="1"/>
  <c r="T228" i="1"/>
  <c r="Y220" i="1"/>
  <c r="X220" i="1"/>
  <c r="W220" i="1"/>
  <c r="V220" i="1"/>
  <c r="U220" i="1"/>
  <c r="T220" i="1"/>
  <c r="Y212" i="1"/>
  <c r="X212" i="1"/>
  <c r="W212" i="1"/>
  <c r="V212" i="1"/>
  <c r="U212" i="1"/>
  <c r="T212" i="1"/>
  <c r="Y204" i="1"/>
  <c r="X204" i="1"/>
  <c r="W204" i="1"/>
  <c r="V204" i="1"/>
  <c r="U204" i="1"/>
  <c r="T204" i="1"/>
  <c r="Y196" i="1"/>
  <c r="X196" i="1"/>
  <c r="W196" i="1"/>
  <c r="V196" i="1"/>
  <c r="U196" i="1"/>
  <c r="T196" i="1"/>
  <c r="Y188" i="1"/>
  <c r="X188" i="1"/>
  <c r="W188" i="1"/>
  <c r="V188" i="1"/>
  <c r="U188" i="1"/>
  <c r="T188" i="1"/>
  <c r="Y180" i="1"/>
  <c r="X180" i="1"/>
  <c r="W180" i="1"/>
  <c r="V180" i="1"/>
  <c r="U180" i="1"/>
  <c r="T180" i="1"/>
  <c r="Y172" i="1"/>
  <c r="X172" i="1"/>
  <c r="W172" i="1"/>
  <c r="V172" i="1"/>
  <c r="U172" i="1"/>
  <c r="T172" i="1"/>
  <c r="Y164" i="1"/>
  <c r="X164" i="1"/>
  <c r="W164" i="1"/>
  <c r="V164" i="1"/>
  <c r="U164" i="1"/>
  <c r="T164" i="1"/>
  <c r="Y156" i="1"/>
  <c r="X156" i="1"/>
  <c r="W156" i="1"/>
  <c r="V156" i="1"/>
  <c r="U156" i="1"/>
  <c r="T156" i="1"/>
  <c r="Y148" i="1"/>
  <c r="X148" i="1"/>
  <c r="W148" i="1"/>
  <c r="V148" i="1"/>
  <c r="U148" i="1"/>
  <c r="T148" i="1"/>
  <c r="Y140" i="1"/>
  <c r="X140" i="1"/>
  <c r="W140" i="1"/>
  <c r="V140" i="1"/>
  <c r="U140" i="1"/>
  <c r="T140" i="1"/>
  <c r="Y132" i="1"/>
  <c r="X132" i="1"/>
  <c r="W132" i="1"/>
  <c r="V132" i="1"/>
  <c r="U132" i="1"/>
  <c r="T132" i="1"/>
  <c r="Y124" i="1"/>
  <c r="X124" i="1"/>
  <c r="W124" i="1"/>
  <c r="V124" i="1"/>
  <c r="U124" i="1"/>
  <c r="T124" i="1"/>
  <c r="Y116" i="1"/>
  <c r="X116" i="1"/>
  <c r="W116" i="1"/>
  <c r="V116" i="1"/>
  <c r="U116" i="1"/>
  <c r="T116" i="1"/>
  <c r="Y108" i="1"/>
  <c r="X108" i="1"/>
  <c r="W108" i="1"/>
  <c r="V108" i="1"/>
  <c r="U108" i="1"/>
  <c r="T108" i="1"/>
  <c r="Y100" i="1"/>
  <c r="X100" i="1"/>
  <c r="W100" i="1"/>
  <c r="V100" i="1"/>
  <c r="U100" i="1"/>
  <c r="T100" i="1"/>
  <c r="Y92" i="1"/>
  <c r="X92" i="1"/>
  <c r="W92" i="1"/>
  <c r="V92" i="1"/>
  <c r="U92" i="1"/>
  <c r="T92" i="1"/>
  <c r="Y84" i="1"/>
  <c r="X84" i="1"/>
  <c r="W84" i="1"/>
  <c r="V84" i="1"/>
  <c r="U84" i="1"/>
  <c r="T84" i="1"/>
  <c r="Y76" i="1"/>
  <c r="X76" i="1"/>
  <c r="W76" i="1"/>
  <c r="V76" i="1"/>
  <c r="U76" i="1"/>
  <c r="T76" i="1"/>
  <c r="Y68" i="1"/>
  <c r="X68" i="1"/>
  <c r="W68" i="1"/>
  <c r="V68" i="1"/>
  <c r="U68" i="1"/>
  <c r="T68" i="1"/>
  <c r="Y60" i="1"/>
  <c r="X60" i="1"/>
  <c r="W60" i="1"/>
  <c r="V60" i="1"/>
  <c r="U60" i="1"/>
  <c r="T60" i="1"/>
  <c r="Y52" i="1"/>
  <c r="X52" i="1"/>
  <c r="W52" i="1"/>
  <c r="V52" i="1"/>
  <c r="U52" i="1"/>
  <c r="T52" i="1"/>
  <c r="Y44" i="1"/>
  <c r="X44" i="1"/>
  <c r="W44" i="1"/>
  <c r="V44" i="1"/>
  <c r="U44" i="1"/>
  <c r="T44" i="1"/>
  <c r="Y36" i="1"/>
  <c r="X36" i="1"/>
  <c r="W36" i="1"/>
  <c r="V36" i="1"/>
  <c r="U36" i="1"/>
  <c r="T36" i="1"/>
  <c r="Y28" i="1"/>
  <c r="X28" i="1"/>
  <c r="W28" i="1"/>
  <c r="V28" i="1"/>
  <c r="U28" i="1"/>
  <c r="T28" i="1"/>
  <c r="Y20" i="1"/>
  <c r="X20" i="1"/>
  <c r="W20" i="1"/>
  <c r="V20" i="1"/>
  <c r="U20" i="1"/>
  <c r="T20" i="1"/>
  <c r="Y12" i="1"/>
  <c r="X12" i="1"/>
  <c r="W12" i="1"/>
  <c r="V12" i="1"/>
  <c r="U12" i="1"/>
  <c r="T12" i="1"/>
  <c r="Y4" i="1"/>
  <c r="X4" i="1"/>
  <c r="W4" i="1"/>
  <c r="V4" i="1"/>
  <c r="U4" i="1"/>
  <c r="T4" i="1"/>
  <c r="Y1713" i="1"/>
  <c r="X1713" i="1"/>
  <c r="W1713" i="1"/>
  <c r="V1713" i="1"/>
  <c r="U1713" i="1"/>
  <c r="T1713" i="1"/>
  <c r="Y1720" i="1"/>
  <c r="X1720" i="1"/>
  <c r="W1720" i="1"/>
  <c r="V1720" i="1"/>
  <c r="U1720" i="1"/>
  <c r="T1720" i="1"/>
  <c r="Y1726" i="1"/>
  <c r="X1726" i="1"/>
  <c r="W1726" i="1"/>
  <c r="V1726" i="1"/>
  <c r="U1726" i="1"/>
  <c r="T1726" i="1"/>
  <c r="Y1738" i="1"/>
  <c r="X1738" i="1"/>
  <c r="W1738" i="1"/>
  <c r="V1738" i="1"/>
  <c r="U1738" i="1"/>
  <c r="T1738" i="1"/>
  <c r="Y1755" i="1"/>
  <c r="X1755" i="1"/>
  <c r="W1755" i="1"/>
  <c r="V1755" i="1"/>
  <c r="U1755" i="1"/>
  <c r="T1755" i="1"/>
  <c r="Y1757" i="1"/>
  <c r="X1757" i="1"/>
  <c r="W1757" i="1"/>
  <c r="V1757" i="1"/>
  <c r="U1757" i="1"/>
  <c r="T1757" i="1"/>
  <c r="Y1759" i="1"/>
  <c r="X1759" i="1"/>
  <c r="W1759" i="1"/>
  <c r="V1759" i="1"/>
  <c r="U1759" i="1"/>
  <c r="T1759" i="1"/>
  <c r="Y1763" i="1"/>
  <c r="X1763" i="1"/>
  <c r="W1763" i="1"/>
  <c r="V1763" i="1"/>
  <c r="U1763" i="1"/>
  <c r="T1763" i="1"/>
  <c r="Y1767" i="1"/>
  <c r="X1767" i="1"/>
  <c r="W1767" i="1"/>
  <c r="V1767" i="1"/>
  <c r="U1767" i="1"/>
  <c r="T1767" i="1"/>
  <c r="Y1779" i="1"/>
  <c r="W1779" i="1"/>
  <c r="X1779" i="1"/>
  <c r="V1779" i="1"/>
  <c r="U1779" i="1"/>
  <c r="T1779" i="1"/>
  <c r="Y1795" i="1"/>
  <c r="X1795" i="1"/>
  <c r="W1795" i="1"/>
  <c r="V1795" i="1"/>
  <c r="U1795" i="1"/>
  <c r="T1795" i="1"/>
  <c r="Y1799" i="1"/>
  <c r="X1799" i="1"/>
  <c r="W1799" i="1"/>
  <c r="V1799" i="1"/>
  <c r="U1799" i="1"/>
  <c r="T1799" i="1"/>
  <c r="Y1811" i="1"/>
  <c r="X1811" i="1"/>
  <c r="W1811" i="1"/>
  <c r="V1811" i="1"/>
  <c r="U1811" i="1"/>
  <c r="T1811" i="1"/>
  <c r="Y1815" i="1"/>
  <c r="X1815" i="1"/>
  <c r="W1815" i="1"/>
  <c r="V1815" i="1"/>
  <c r="U1815" i="1"/>
  <c r="T1815" i="1"/>
  <c r="Y1825" i="1"/>
  <c r="X1825" i="1"/>
  <c r="W1825" i="1"/>
  <c r="V1825" i="1"/>
  <c r="U1825" i="1"/>
  <c r="T1825" i="1"/>
  <c r="R1827" i="1"/>
  <c r="S1827" i="1" s="1"/>
  <c r="R1829" i="1"/>
  <c r="S1829" i="1" s="1"/>
  <c r="R1828" i="1"/>
  <c r="S1828" i="1" s="1"/>
  <c r="R1826" i="1"/>
  <c r="S1826" i="1" s="1"/>
  <c r="O1673" i="1"/>
  <c r="O1674" i="1"/>
  <c r="O1675" i="1"/>
  <c r="O1676" i="1"/>
  <c r="O1677" i="1"/>
  <c r="O1678" i="1"/>
  <c r="O1679" i="1"/>
  <c r="O1680" i="1"/>
  <c r="O1681" i="1"/>
  <c r="G1673" i="1"/>
  <c r="G1674" i="1"/>
  <c r="G1675" i="1"/>
  <c r="G1676" i="1"/>
  <c r="G1677" i="1"/>
  <c r="G1678" i="1"/>
  <c r="G1679" i="1"/>
  <c r="G1680" i="1"/>
  <c r="G1681" i="1"/>
  <c r="P1673" i="1"/>
  <c r="P1674" i="1"/>
  <c r="P1675" i="1"/>
  <c r="P1676" i="1"/>
  <c r="P1677" i="1"/>
  <c r="P1678" i="1"/>
  <c r="P1679" i="1"/>
  <c r="P1680" i="1"/>
  <c r="P1681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G1672" i="1"/>
  <c r="P1672" i="1"/>
  <c r="G1671" i="1"/>
  <c r="P1671" i="1"/>
  <c r="G1669" i="1"/>
  <c r="G1670" i="1"/>
  <c r="P1669" i="1"/>
  <c r="P1670" i="1"/>
  <c r="G1668" i="1"/>
  <c r="P1668" i="1"/>
  <c r="G1667" i="1"/>
  <c r="P1667" i="1"/>
  <c r="G1666" i="1"/>
  <c r="P1666" i="1"/>
  <c r="G1665" i="1"/>
  <c r="P1665" i="1"/>
  <c r="G1664" i="1"/>
  <c r="P1664" i="1"/>
  <c r="G1663" i="1"/>
  <c r="P1663" i="1"/>
  <c r="G1659" i="1"/>
  <c r="G1660" i="1"/>
  <c r="G1661" i="1"/>
  <c r="G1662" i="1"/>
  <c r="P1659" i="1"/>
  <c r="P1660" i="1"/>
  <c r="P1661" i="1"/>
  <c r="P1662" i="1"/>
  <c r="G1658" i="1"/>
  <c r="P1658" i="1"/>
  <c r="O1653" i="1"/>
  <c r="O1654" i="1"/>
  <c r="O1655" i="1"/>
  <c r="O1656" i="1"/>
  <c r="O1657" i="1"/>
  <c r="G1654" i="1"/>
  <c r="G1655" i="1"/>
  <c r="G1656" i="1"/>
  <c r="G1657" i="1"/>
  <c r="P1654" i="1"/>
  <c r="P1655" i="1"/>
  <c r="P1656" i="1"/>
  <c r="P1657" i="1"/>
  <c r="G1653" i="1"/>
  <c r="P1653" i="1"/>
  <c r="O1650" i="1"/>
  <c r="O1651" i="1"/>
  <c r="O1652" i="1"/>
  <c r="R1761" i="1" l="1"/>
  <c r="S1761" i="1" s="1"/>
  <c r="R1817" i="1"/>
  <c r="S1817" i="1" s="1"/>
  <c r="R1801" i="1"/>
  <c r="S1801" i="1" s="1"/>
  <c r="R1786" i="1"/>
  <c r="S1786" i="1" s="1"/>
  <c r="R1821" i="1"/>
  <c r="S1821" i="1" s="1"/>
  <c r="R1810" i="1"/>
  <c r="S1810" i="1" s="1"/>
  <c r="R1807" i="1"/>
  <c r="S1807" i="1" s="1"/>
  <c r="R1804" i="1"/>
  <c r="S1804" i="1" s="1"/>
  <c r="R1800" i="1"/>
  <c r="S1800" i="1" s="1"/>
  <c r="R1778" i="1"/>
  <c r="S1778" i="1" s="1"/>
  <c r="R1815" i="1"/>
  <c r="S1815" i="1" s="1"/>
  <c r="R1772" i="1"/>
  <c r="S1772" i="1" s="1"/>
  <c r="R1819" i="1"/>
  <c r="S1819" i="1" s="1"/>
  <c r="R1814" i="1"/>
  <c r="S1814" i="1" s="1"/>
  <c r="R1748" i="1"/>
  <c r="S1748" i="1" s="1"/>
  <c r="R1818" i="1"/>
  <c r="S1818" i="1" s="1"/>
  <c r="R1822" i="1"/>
  <c r="S1822" i="1" s="1"/>
  <c r="R1813" i="1"/>
  <c r="S1813" i="1" s="1"/>
  <c r="R1805" i="1"/>
  <c r="S1805" i="1" s="1"/>
  <c r="R1774" i="1"/>
  <c r="S1774" i="1" s="1"/>
  <c r="R1749" i="1"/>
  <c r="S1749" i="1" s="1"/>
  <c r="R1820" i="1"/>
  <c r="S1820" i="1" s="1"/>
  <c r="R1806" i="1"/>
  <c r="S1806" i="1" s="1"/>
  <c r="R1750" i="1"/>
  <c r="S1750" i="1" s="1"/>
  <c r="R1811" i="1"/>
  <c r="S1811" i="1" s="1"/>
  <c r="R1752" i="1"/>
  <c r="S1752" i="1" s="1"/>
  <c r="R1809" i="1"/>
  <c r="S1809" i="1" s="1"/>
  <c r="R1745" i="1"/>
  <c r="S1745" i="1" s="1"/>
  <c r="R1699" i="1"/>
  <c r="S1699" i="1" s="1"/>
  <c r="R1694" i="1"/>
  <c r="S1694" i="1" s="1"/>
  <c r="R1783" i="1"/>
  <c r="S1783" i="1" s="1"/>
  <c r="R1693" i="1"/>
  <c r="S1693" i="1" s="1"/>
  <c r="R1756" i="1"/>
  <c r="S1756" i="1" s="1"/>
  <c r="R1755" i="1"/>
  <c r="S1755" i="1" s="1"/>
  <c r="R1754" i="1"/>
  <c r="S1754" i="1" s="1"/>
  <c r="R1824" i="1"/>
  <c r="S1824" i="1" s="1"/>
  <c r="R1799" i="1"/>
  <c r="S1799" i="1" s="1"/>
  <c r="R1746" i="1"/>
  <c r="S1746" i="1" s="1"/>
  <c r="R1825" i="1"/>
  <c r="S1825" i="1" s="1"/>
  <c r="R1695" i="1"/>
  <c r="S1695" i="1" s="1"/>
  <c r="R1751" i="1"/>
  <c r="S1751" i="1" s="1"/>
  <c r="R1823" i="1"/>
  <c r="S1823" i="1" s="1"/>
  <c r="R1770" i="1"/>
  <c r="S1770" i="1" s="1"/>
  <c r="R1798" i="1"/>
  <c r="S1798" i="1" s="1"/>
  <c r="R1765" i="1"/>
  <c r="S1765" i="1" s="1"/>
  <c r="R1696" i="1"/>
  <c r="S1696" i="1" s="1"/>
  <c r="R1808" i="1"/>
  <c r="S1808" i="1" s="1"/>
  <c r="R1816" i="1"/>
  <c r="S1816" i="1" s="1"/>
  <c r="R1691" i="1"/>
  <c r="S1691" i="1" s="1"/>
  <c r="R1784" i="1"/>
  <c r="S1784" i="1" s="1"/>
  <c r="R1802" i="1"/>
  <c r="S1802" i="1" s="1"/>
  <c r="R1812" i="1"/>
  <c r="S1812" i="1" s="1"/>
  <c r="R1796" i="1"/>
  <c r="S1796" i="1" s="1"/>
  <c r="R1764" i="1"/>
  <c r="S1764" i="1" s="1"/>
  <c r="R1766" i="1"/>
  <c r="S1766" i="1" s="1"/>
  <c r="R1803" i="1"/>
  <c r="S1803" i="1" s="1"/>
  <c r="R1795" i="1"/>
  <c r="S1795" i="1" s="1"/>
  <c r="R1690" i="1"/>
  <c r="S1690" i="1" s="1"/>
  <c r="R1797" i="1"/>
  <c r="S1797" i="1" s="1"/>
  <c r="R1794" i="1"/>
  <c r="S1794" i="1" s="1"/>
  <c r="R1773" i="1"/>
  <c r="S1773" i="1" s="1"/>
  <c r="R1781" i="1"/>
  <c r="S1781" i="1" s="1"/>
  <c r="R1788" i="1"/>
  <c r="S1788" i="1" s="1"/>
  <c r="R1780" i="1"/>
  <c r="S1780" i="1" s="1"/>
  <c r="R1779" i="1"/>
  <c r="S1779" i="1" s="1"/>
  <c r="R1785" i="1"/>
  <c r="S1785" i="1" s="1"/>
  <c r="R1759" i="1"/>
  <c r="S1759" i="1" s="1"/>
  <c r="R1740" i="1"/>
  <c r="S1740" i="1" s="1"/>
  <c r="R1793" i="1"/>
  <c r="S1793" i="1" s="1"/>
  <c r="R1792" i="1"/>
  <c r="S1792" i="1" s="1"/>
  <c r="R1791" i="1"/>
  <c r="S1791" i="1" s="1"/>
  <c r="R1777" i="1"/>
  <c r="S1777" i="1" s="1"/>
  <c r="R1787" i="1"/>
  <c r="S1787" i="1" s="1"/>
  <c r="R1790" i="1"/>
  <c r="S1790" i="1" s="1"/>
  <c r="R1789" i="1"/>
  <c r="S1789" i="1" s="1"/>
  <c r="R1768" i="1"/>
  <c r="S1768" i="1" s="1"/>
  <c r="R1776" i="1"/>
  <c r="S1776" i="1" s="1"/>
  <c r="R1692" i="1"/>
  <c r="S1692" i="1" s="1"/>
  <c r="R1686" i="1"/>
  <c r="S1686" i="1" s="1"/>
  <c r="R1782" i="1"/>
  <c r="S1782" i="1" s="1"/>
  <c r="R1700" i="1"/>
  <c r="S1700" i="1" s="1"/>
  <c r="R1762" i="1"/>
  <c r="S1762" i="1" s="1"/>
  <c r="R1775" i="1"/>
  <c r="S1775" i="1" s="1"/>
  <c r="R1771" i="1"/>
  <c r="S1771" i="1" s="1"/>
  <c r="R1769" i="1"/>
  <c r="S1769" i="1" s="1"/>
  <c r="R1767" i="1"/>
  <c r="S1767" i="1" s="1"/>
  <c r="R1763" i="1"/>
  <c r="S1763" i="1" s="1"/>
  <c r="R1732" i="1"/>
  <c r="S1732" i="1" s="1"/>
  <c r="R1757" i="1"/>
  <c r="S1757" i="1" s="1"/>
  <c r="R1758" i="1"/>
  <c r="S1758" i="1" s="1"/>
  <c r="R1753" i="1"/>
  <c r="S1753" i="1" s="1"/>
  <c r="R1760" i="1"/>
  <c r="S1760" i="1" s="1"/>
  <c r="R1747" i="1"/>
  <c r="S1747" i="1" s="1"/>
  <c r="R1711" i="1"/>
  <c r="S1711" i="1" s="1"/>
  <c r="R1689" i="1"/>
  <c r="S1689" i="1" s="1"/>
  <c r="R1688" i="1"/>
  <c r="S1688" i="1" s="1"/>
  <c r="R1698" i="1"/>
  <c r="S1698" i="1" s="1"/>
  <c r="R1703" i="1"/>
  <c r="S1703" i="1" s="1"/>
  <c r="R1687" i="1"/>
  <c r="S1687" i="1" s="1"/>
  <c r="R1731" i="1"/>
  <c r="S1731" i="1" s="1"/>
  <c r="R1683" i="1"/>
  <c r="S1683" i="1" s="1"/>
  <c r="R1742" i="1"/>
  <c r="S1742" i="1" s="1"/>
  <c r="R1739" i="1"/>
  <c r="S1739" i="1" s="1"/>
  <c r="R1736" i="1"/>
  <c r="S1736" i="1" s="1"/>
  <c r="R1735" i="1"/>
  <c r="S1735" i="1" s="1"/>
  <c r="R1741" i="1"/>
  <c r="S1741" i="1" s="1"/>
  <c r="R1733" i="1"/>
  <c r="S1733" i="1" s="1"/>
  <c r="R1743" i="1"/>
  <c r="S1743" i="1" s="1"/>
  <c r="R1744" i="1"/>
  <c r="S1744" i="1" s="1"/>
  <c r="R1738" i="1"/>
  <c r="S1738" i="1" s="1"/>
  <c r="R1737" i="1"/>
  <c r="S1737" i="1" s="1"/>
  <c r="R1734" i="1"/>
  <c r="S1734" i="1" s="1"/>
  <c r="R1728" i="1"/>
  <c r="S1728" i="1" s="1"/>
  <c r="R1730" i="1"/>
  <c r="S1730" i="1" s="1"/>
  <c r="R1729" i="1"/>
  <c r="S1729" i="1" s="1"/>
  <c r="R1727" i="1"/>
  <c r="S1727" i="1" s="1"/>
  <c r="R1682" i="1"/>
  <c r="S1682" i="1" s="1"/>
  <c r="R1697" i="1"/>
  <c r="S1697" i="1" s="1"/>
  <c r="R1726" i="1"/>
  <c r="S1726" i="1" s="1"/>
  <c r="R1725" i="1"/>
  <c r="S1725" i="1" s="1"/>
  <c r="R1724" i="1"/>
  <c r="S1724" i="1" s="1"/>
  <c r="R1723" i="1"/>
  <c r="S1723" i="1" s="1"/>
  <c r="R1722" i="1"/>
  <c r="S1722" i="1" s="1"/>
  <c r="R1721" i="1"/>
  <c r="S1721" i="1" s="1"/>
  <c r="R1720" i="1"/>
  <c r="S1720" i="1" s="1"/>
  <c r="R1718" i="1"/>
  <c r="S1718" i="1" s="1"/>
  <c r="R1719" i="1"/>
  <c r="S1719" i="1" s="1"/>
  <c r="R1716" i="1"/>
  <c r="S1716" i="1" s="1"/>
  <c r="R1717" i="1"/>
  <c r="S1717" i="1" s="1"/>
  <c r="R1715" i="1"/>
  <c r="S1715" i="1" s="1"/>
  <c r="R1713" i="1"/>
  <c r="S1713" i="1" s="1"/>
  <c r="R1710" i="1"/>
  <c r="S1710" i="1" s="1"/>
  <c r="R1705" i="1"/>
  <c r="S1705" i="1" s="1"/>
  <c r="R1702" i="1"/>
  <c r="S1702" i="1" s="1"/>
  <c r="R1712" i="1"/>
  <c r="S1712" i="1" s="1"/>
  <c r="R1714" i="1"/>
  <c r="S1714" i="1" s="1"/>
  <c r="R1709" i="1"/>
  <c r="S1709" i="1" s="1"/>
  <c r="R1708" i="1"/>
  <c r="S1708" i="1" s="1"/>
  <c r="R1707" i="1"/>
  <c r="S1707" i="1" s="1"/>
  <c r="R1685" i="1"/>
  <c r="S1685" i="1" s="1"/>
  <c r="R1706" i="1"/>
  <c r="S1706" i="1" s="1"/>
  <c r="R1684" i="1"/>
  <c r="S1684" i="1" s="1"/>
  <c r="R1704" i="1"/>
  <c r="S1704" i="1" s="1"/>
  <c r="R1701" i="1"/>
  <c r="S1701" i="1" s="1"/>
  <c r="R1680" i="1"/>
  <c r="S1680" i="1" s="1"/>
  <c r="R1681" i="1"/>
  <c r="S1681" i="1" s="1"/>
  <c r="R1678" i="1"/>
  <c r="S1678" i="1" s="1"/>
  <c r="R1679" i="1"/>
  <c r="S1679" i="1" s="1"/>
  <c r="R1675" i="1"/>
  <c r="S1675" i="1" s="1"/>
  <c r="R1677" i="1"/>
  <c r="S1677" i="1" s="1"/>
  <c r="R1674" i="1"/>
  <c r="S1674" i="1" s="1"/>
  <c r="R1673" i="1"/>
  <c r="S1673" i="1" s="1"/>
  <c r="R1661" i="1"/>
  <c r="S1661" i="1" s="1"/>
  <c r="R1656" i="1"/>
  <c r="S1656" i="1" s="1"/>
  <c r="R1671" i="1"/>
  <c r="S1671" i="1" s="1"/>
  <c r="R1662" i="1"/>
  <c r="S1662" i="1" s="1"/>
  <c r="G1652" i="1"/>
  <c r="P1652" i="1"/>
  <c r="G1651" i="1"/>
  <c r="P1651" i="1"/>
  <c r="G1650" i="1"/>
  <c r="P1650" i="1"/>
  <c r="R1659" i="1" l="1"/>
  <c r="S1659" i="1" s="1"/>
  <c r="R1657" i="1"/>
  <c r="S1657" i="1" s="1"/>
  <c r="R1660" i="1"/>
  <c r="S1660" i="1" s="1"/>
  <c r="R1676" i="1"/>
  <c r="S1676" i="1" s="1"/>
  <c r="R1670" i="1"/>
  <c r="S1670" i="1" s="1"/>
  <c r="R1672" i="1"/>
  <c r="S1672" i="1" s="1"/>
  <c r="R1669" i="1"/>
  <c r="S1669" i="1" s="1"/>
  <c r="R1666" i="1"/>
  <c r="S1666" i="1" s="1"/>
  <c r="R1668" i="1"/>
  <c r="S1668" i="1" s="1"/>
  <c r="R1667" i="1"/>
  <c r="S1667" i="1" s="1"/>
  <c r="R1665" i="1"/>
  <c r="S1665" i="1" s="1"/>
  <c r="R1664" i="1"/>
  <c r="S1664" i="1" s="1"/>
  <c r="R1663" i="1"/>
  <c r="S1663" i="1" s="1"/>
  <c r="R1654" i="1"/>
  <c r="S1654" i="1" s="1"/>
  <c r="R1658" i="1"/>
  <c r="S1658" i="1" s="1"/>
  <c r="R1655" i="1"/>
  <c r="S1655" i="1" s="1"/>
  <c r="R1653" i="1"/>
  <c r="S1653" i="1" s="1"/>
  <c r="O1639" i="1"/>
  <c r="O1640" i="1"/>
  <c r="O1641" i="1"/>
  <c r="O1642" i="1"/>
  <c r="O1643" i="1"/>
  <c r="O1644" i="1"/>
  <c r="O1645" i="1"/>
  <c r="O1646" i="1"/>
  <c r="O1647" i="1"/>
  <c r="O1648" i="1"/>
  <c r="O1649" i="1"/>
  <c r="G1646" i="1"/>
  <c r="G1647" i="1"/>
  <c r="G1648" i="1"/>
  <c r="G1649" i="1"/>
  <c r="P1646" i="1"/>
  <c r="P1647" i="1"/>
  <c r="P1648" i="1"/>
  <c r="P1649" i="1"/>
  <c r="G1645" i="1"/>
  <c r="P1645" i="1"/>
  <c r="G1644" i="1"/>
  <c r="P1644" i="1"/>
  <c r="G1642" i="1"/>
  <c r="G1643" i="1"/>
  <c r="P1642" i="1"/>
  <c r="P1643" i="1"/>
  <c r="G1641" i="1"/>
  <c r="P1641" i="1"/>
  <c r="G1640" i="1"/>
  <c r="P1640" i="1"/>
  <c r="G1639" i="1"/>
  <c r="P1639" i="1"/>
  <c r="O1637" i="1"/>
  <c r="O1638" i="1"/>
  <c r="G1638" i="1"/>
  <c r="P1638" i="1"/>
  <c r="G1637" i="1"/>
  <c r="P1637" i="1"/>
  <c r="O1631" i="1"/>
  <c r="O1632" i="1"/>
  <c r="O1633" i="1"/>
  <c r="O1634" i="1"/>
  <c r="O1635" i="1"/>
  <c r="O1636" i="1"/>
  <c r="G1636" i="1"/>
  <c r="P1636" i="1"/>
  <c r="G1635" i="1"/>
  <c r="P1635" i="1"/>
  <c r="G1633" i="1"/>
  <c r="G1634" i="1"/>
  <c r="P1633" i="1"/>
  <c r="P1634" i="1"/>
  <c r="G1632" i="1"/>
  <c r="P1632" i="1"/>
  <c r="G1631" i="1"/>
  <c r="P1631" i="1"/>
  <c r="R1651" i="1" l="1"/>
  <c r="S1651" i="1" s="1"/>
  <c r="R1652" i="1"/>
  <c r="S1652" i="1" s="1"/>
  <c r="R1650" i="1"/>
  <c r="S1650" i="1" s="1"/>
  <c r="R1634" i="1"/>
  <c r="S1634" i="1" s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G1616" i="1"/>
  <c r="P1616" i="1"/>
  <c r="O1613" i="1"/>
  <c r="O1614" i="1"/>
  <c r="O1615" i="1"/>
  <c r="G1615" i="1"/>
  <c r="P1615" i="1"/>
  <c r="G1614" i="1"/>
  <c r="P1614" i="1"/>
  <c r="G1613" i="1"/>
  <c r="P1613" i="1"/>
  <c r="O1608" i="1"/>
  <c r="O1609" i="1"/>
  <c r="O1610" i="1"/>
  <c r="O1611" i="1"/>
  <c r="O1612" i="1"/>
  <c r="G1612" i="1"/>
  <c r="P1612" i="1"/>
  <c r="G1611" i="1"/>
  <c r="P1611" i="1"/>
  <c r="G1610" i="1"/>
  <c r="P1610" i="1"/>
  <c r="G1609" i="1"/>
  <c r="P1609" i="1"/>
  <c r="O1601" i="1"/>
  <c r="O1602" i="1"/>
  <c r="O1603" i="1"/>
  <c r="O1604" i="1"/>
  <c r="O1605" i="1"/>
  <c r="O1606" i="1"/>
  <c r="O1607" i="1"/>
  <c r="G1608" i="1"/>
  <c r="P1608" i="1"/>
  <c r="G1607" i="1"/>
  <c r="P1607" i="1"/>
  <c r="G1604" i="1"/>
  <c r="G1605" i="1"/>
  <c r="G1606" i="1"/>
  <c r="P1604" i="1"/>
  <c r="P1605" i="1"/>
  <c r="P1606" i="1"/>
  <c r="G1603" i="1"/>
  <c r="P1603" i="1"/>
  <c r="G1602" i="1"/>
  <c r="P1602" i="1"/>
  <c r="G1601" i="1"/>
  <c r="P1601" i="1"/>
  <c r="O1595" i="1"/>
  <c r="O1596" i="1"/>
  <c r="O1597" i="1"/>
  <c r="O1598" i="1"/>
  <c r="O1599" i="1"/>
  <c r="O1600" i="1"/>
  <c r="R1647" i="1" l="1"/>
  <c r="S1647" i="1" s="1"/>
  <c r="R1642" i="1"/>
  <c r="S1642" i="1" s="1"/>
  <c r="R1620" i="1"/>
  <c r="S1620" i="1" s="1"/>
  <c r="R1621" i="1"/>
  <c r="S1621" i="1" s="1"/>
  <c r="R1619" i="1"/>
  <c r="S1619" i="1" s="1"/>
  <c r="R1612" i="1"/>
  <c r="S1612" i="1" s="1"/>
  <c r="R1626" i="1"/>
  <c r="S1626" i="1" s="1"/>
  <c r="R1618" i="1"/>
  <c r="S1618" i="1" s="1"/>
  <c r="R1622" i="1"/>
  <c r="S1622" i="1" s="1"/>
  <c r="R1643" i="1"/>
  <c r="S1643" i="1" s="1"/>
  <c r="R1649" i="1"/>
  <c r="S1649" i="1" s="1"/>
  <c r="R1648" i="1"/>
  <c r="S1648" i="1" s="1"/>
  <c r="R1646" i="1"/>
  <c r="S1646" i="1" s="1"/>
  <c r="R1645" i="1"/>
  <c r="S1645" i="1" s="1"/>
  <c r="R1644" i="1"/>
  <c r="S1644" i="1" s="1"/>
  <c r="R1641" i="1"/>
  <c r="S1641" i="1" s="1"/>
  <c r="R1635" i="1"/>
  <c r="S1635" i="1" s="1"/>
  <c r="R1640" i="1"/>
  <c r="S1640" i="1" s="1"/>
  <c r="R1638" i="1"/>
  <c r="S1638" i="1" s="1"/>
  <c r="R1639" i="1"/>
  <c r="S1639" i="1" s="1"/>
  <c r="R1631" i="1"/>
  <c r="S1631" i="1" s="1"/>
  <c r="R1633" i="1"/>
  <c r="S1633" i="1" s="1"/>
  <c r="R1637" i="1"/>
  <c r="S1637" i="1" s="1"/>
  <c r="R1636" i="1"/>
  <c r="S1636" i="1" s="1"/>
  <c r="R1632" i="1"/>
  <c r="S1632" i="1" s="1"/>
  <c r="G1598" i="1"/>
  <c r="G1599" i="1"/>
  <c r="G1600" i="1"/>
  <c r="P1598" i="1"/>
  <c r="P1599" i="1"/>
  <c r="P1600" i="1"/>
  <c r="G1597" i="1"/>
  <c r="P159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P1596" i="1"/>
  <c r="P1595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P1594" i="1"/>
  <c r="P1593" i="1"/>
  <c r="P1591" i="1"/>
  <c r="P1592" i="1"/>
  <c r="P1590" i="1"/>
  <c r="P1589" i="1"/>
  <c r="P1588" i="1"/>
  <c r="P1584" i="1"/>
  <c r="P1585" i="1"/>
  <c r="P1586" i="1"/>
  <c r="P1587" i="1"/>
  <c r="O1573" i="1"/>
  <c r="O1574" i="1"/>
  <c r="O1575" i="1"/>
  <c r="O1576" i="1"/>
  <c r="O1577" i="1"/>
  <c r="O1578" i="1"/>
  <c r="O1579" i="1"/>
  <c r="O1580" i="1"/>
  <c r="O1581" i="1"/>
  <c r="O1582" i="1"/>
  <c r="P1583" i="1"/>
  <c r="P1582" i="1"/>
  <c r="P1581" i="1"/>
  <c r="P1580" i="1"/>
  <c r="P1579" i="1"/>
  <c r="P1578" i="1"/>
  <c r="P1577" i="1"/>
  <c r="P1574" i="1"/>
  <c r="P1576" i="1"/>
  <c r="P1575" i="1"/>
  <c r="P1573" i="1"/>
  <c r="O1568" i="1"/>
  <c r="O1569" i="1"/>
  <c r="O1570" i="1"/>
  <c r="O1571" i="1"/>
  <c r="O1572" i="1"/>
  <c r="P1572" i="1"/>
  <c r="P1571" i="1"/>
  <c r="P1568" i="1"/>
  <c r="P1569" i="1"/>
  <c r="P1570" i="1"/>
  <c r="R1614" i="1" l="1"/>
  <c r="S1614" i="1" s="1"/>
  <c r="R1605" i="1"/>
  <c r="S1605" i="1" s="1"/>
  <c r="R1584" i="1"/>
  <c r="S1584" i="1" s="1"/>
  <c r="R1604" i="1"/>
  <c r="S1604" i="1" s="1"/>
  <c r="R1629" i="1"/>
  <c r="S1629" i="1" s="1"/>
  <c r="R1625" i="1"/>
  <c r="S1625" i="1" s="1"/>
  <c r="R1624" i="1"/>
  <c r="S1624" i="1" s="1"/>
  <c r="R1623" i="1"/>
  <c r="S1623" i="1" s="1"/>
  <c r="R1630" i="1"/>
  <c r="S1630" i="1" s="1"/>
  <c r="R1628" i="1"/>
  <c r="S1628" i="1" s="1"/>
  <c r="R1627" i="1"/>
  <c r="S1627" i="1" s="1"/>
  <c r="R1617" i="1"/>
  <c r="S1617" i="1" s="1"/>
  <c r="R1616" i="1"/>
  <c r="S1616" i="1" s="1"/>
  <c r="R1615" i="1"/>
  <c r="S1615" i="1" s="1"/>
  <c r="R1611" i="1"/>
  <c r="S1611" i="1" s="1"/>
  <c r="R1613" i="1"/>
  <c r="S1613" i="1" s="1"/>
  <c r="R1608" i="1"/>
  <c r="S1608" i="1" s="1"/>
  <c r="R1610" i="1"/>
  <c r="S1610" i="1" s="1"/>
  <c r="R1609" i="1"/>
  <c r="S1609" i="1" s="1"/>
  <c r="R1607" i="1"/>
  <c r="S1607" i="1" s="1"/>
  <c r="R1606" i="1"/>
  <c r="S1606" i="1" s="1"/>
  <c r="R1602" i="1"/>
  <c r="S1602" i="1" s="1"/>
  <c r="R1603" i="1"/>
  <c r="S1603" i="1" s="1"/>
  <c r="R1601" i="1"/>
  <c r="S1601" i="1" s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P1567" i="1"/>
  <c r="P1566" i="1"/>
  <c r="P1560" i="1"/>
  <c r="P1561" i="1"/>
  <c r="P1562" i="1"/>
  <c r="P1563" i="1"/>
  <c r="P1564" i="1"/>
  <c r="P1565" i="1"/>
  <c r="P1559" i="1"/>
  <c r="P1558" i="1"/>
  <c r="P1557" i="1"/>
  <c r="P1556" i="1"/>
  <c r="P1554" i="1"/>
  <c r="P1555" i="1"/>
  <c r="P1553" i="1"/>
  <c r="P1552" i="1"/>
  <c r="P1551" i="1"/>
  <c r="P1550" i="1"/>
  <c r="O1546" i="1"/>
  <c r="O1547" i="1"/>
  <c r="O1548" i="1"/>
  <c r="O1549" i="1"/>
  <c r="P1548" i="1"/>
  <c r="P1549" i="1"/>
  <c r="P1547" i="1"/>
  <c r="P1546" i="1"/>
  <c r="O1536" i="1"/>
  <c r="O1537" i="1"/>
  <c r="O1538" i="1"/>
  <c r="O1539" i="1"/>
  <c r="O1540" i="1"/>
  <c r="O1541" i="1"/>
  <c r="O1542" i="1"/>
  <c r="O1543" i="1"/>
  <c r="O1544" i="1"/>
  <c r="O1545" i="1"/>
  <c r="P1545" i="1"/>
  <c r="P1541" i="1"/>
  <c r="P1542" i="1"/>
  <c r="P1543" i="1"/>
  <c r="P1544" i="1"/>
  <c r="P1540" i="1"/>
  <c r="P1538" i="1"/>
  <c r="P1539" i="1"/>
  <c r="P1537" i="1"/>
  <c r="P1536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P1535" i="1"/>
  <c r="P1534" i="1"/>
  <c r="P1533" i="1"/>
  <c r="P1532" i="1"/>
  <c r="P1531" i="1"/>
  <c r="P1530" i="1"/>
  <c r="P1529" i="1"/>
  <c r="P1528" i="1"/>
  <c r="P1527" i="1"/>
  <c r="P1525" i="1"/>
  <c r="P1526" i="1"/>
  <c r="P1524" i="1"/>
  <c r="P1523" i="1"/>
  <c r="P1522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P1521" i="1"/>
  <c r="P1520" i="1"/>
  <c r="P1519" i="1"/>
  <c r="P1518" i="1"/>
  <c r="P1513" i="1"/>
  <c r="P1514" i="1"/>
  <c r="P1515" i="1"/>
  <c r="P1516" i="1"/>
  <c r="P1517" i="1"/>
  <c r="P1512" i="1"/>
  <c r="P1511" i="1"/>
  <c r="P1510" i="1"/>
  <c r="O1500" i="1"/>
  <c r="O1501" i="1"/>
  <c r="O1502" i="1"/>
  <c r="O1503" i="1"/>
  <c r="O1504" i="1"/>
  <c r="O1505" i="1"/>
  <c r="O1506" i="1"/>
  <c r="O1507" i="1"/>
  <c r="O1508" i="1"/>
  <c r="O1509" i="1"/>
  <c r="P1504" i="1"/>
  <c r="P1505" i="1"/>
  <c r="P1506" i="1"/>
  <c r="P1507" i="1"/>
  <c r="P1508" i="1"/>
  <c r="P1509" i="1"/>
  <c r="P1503" i="1"/>
  <c r="P1501" i="1"/>
  <c r="P1502" i="1"/>
  <c r="P1500" i="1"/>
  <c r="R1586" i="1" l="1"/>
  <c r="S1586" i="1" s="1"/>
  <c r="R1591" i="1"/>
  <c r="S1591" i="1" s="1"/>
  <c r="R1595" i="1"/>
  <c r="S1595" i="1" s="1"/>
  <c r="R1599" i="1"/>
  <c r="S1599" i="1" s="1"/>
  <c r="R1568" i="1"/>
  <c r="S1568" i="1" s="1"/>
  <c r="R1571" i="1"/>
  <c r="S1571" i="1" s="1"/>
  <c r="R1600" i="1"/>
  <c r="S1600" i="1" s="1"/>
  <c r="R1598" i="1"/>
  <c r="S1598" i="1" s="1"/>
  <c r="R1597" i="1"/>
  <c r="S1597" i="1" s="1"/>
  <c r="R1596" i="1"/>
  <c r="S1596" i="1" s="1"/>
  <c r="R1590" i="1"/>
  <c r="S1590" i="1" s="1"/>
  <c r="R1594" i="1"/>
  <c r="S1594" i="1" s="1"/>
  <c r="R1576" i="1"/>
  <c r="S1576" i="1" s="1"/>
  <c r="R1593" i="1"/>
  <c r="S1593" i="1" s="1"/>
  <c r="R1592" i="1"/>
  <c r="S1592" i="1" s="1"/>
  <c r="R1589" i="1"/>
  <c r="S1589" i="1" s="1"/>
  <c r="R1587" i="1"/>
  <c r="S1587" i="1" s="1"/>
  <c r="R1585" i="1"/>
  <c r="S1585" i="1" s="1"/>
  <c r="R1581" i="1"/>
  <c r="S1581" i="1" s="1"/>
  <c r="R1588" i="1"/>
  <c r="S1588" i="1" s="1"/>
  <c r="R1583" i="1"/>
  <c r="S1583" i="1" s="1"/>
  <c r="R1582" i="1"/>
  <c r="S1582" i="1" s="1"/>
  <c r="R1580" i="1"/>
  <c r="S1580" i="1" s="1"/>
  <c r="R1579" i="1"/>
  <c r="S1579" i="1" s="1"/>
  <c r="R1578" i="1"/>
  <c r="S1578" i="1" s="1"/>
  <c r="R1574" i="1"/>
  <c r="S1574" i="1" s="1"/>
  <c r="R1577" i="1"/>
  <c r="S1577" i="1" s="1"/>
  <c r="R1575" i="1"/>
  <c r="S1575" i="1" s="1"/>
  <c r="R1573" i="1"/>
  <c r="S1573" i="1" s="1"/>
  <c r="R1572" i="1"/>
  <c r="S1572" i="1" s="1"/>
  <c r="R1569" i="1"/>
  <c r="S1569" i="1" s="1"/>
  <c r="R1570" i="1"/>
  <c r="S1570" i="1" s="1"/>
  <c r="O1497" i="1"/>
  <c r="O1498" i="1"/>
  <c r="O1499" i="1"/>
  <c r="P1499" i="1"/>
  <c r="P1498" i="1"/>
  <c r="P1497" i="1"/>
  <c r="O1494" i="1"/>
  <c r="O1495" i="1"/>
  <c r="O1496" i="1"/>
  <c r="P1496" i="1"/>
  <c r="P1495" i="1"/>
  <c r="P1494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P1493" i="1"/>
  <c r="P1488" i="1"/>
  <c r="P1489" i="1"/>
  <c r="P1490" i="1"/>
  <c r="P1491" i="1"/>
  <c r="P1492" i="1"/>
  <c r="P1487" i="1"/>
  <c r="P1486" i="1"/>
  <c r="P1485" i="1"/>
  <c r="P1484" i="1"/>
  <c r="P1482" i="1"/>
  <c r="P1483" i="1"/>
  <c r="P1481" i="1"/>
  <c r="P1480" i="1"/>
  <c r="P1479" i="1"/>
  <c r="P1478" i="1"/>
  <c r="P1477" i="1"/>
  <c r="P1476" i="1"/>
  <c r="P1475" i="1"/>
  <c r="P1474" i="1"/>
  <c r="P1473" i="1"/>
  <c r="P1472" i="1"/>
  <c r="P1471" i="1"/>
  <c r="P1463" i="1"/>
  <c r="P1464" i="1"/>
  <c r="P1465" i="1"/>
  <c r="P1466" i="1"/>
  <c r="P1467" i="1"/>
  <c r="P1468" i="1"/>
  <c r="P1469" i="1"/>
  <c r="P1470" i="1"/>
  <c r="P1462" i="1"/>
  <c r="P1461" i="1"/>
  <c r="P1460" i="1"/>
  <c r="P1459" i="1"/>
  <c r="P1458" i="1"/>
  <c r="P1457" i="1"/>
  <c r="O1454" i="1"/>
  <c r="O1455" i="1"/>
  <c r="O1456" i="1"/>
  <c r="P1456" i="1"/>
  <c r="P1455" i="1"/>
  <c r="O1444" i="1"/>
  <c r="O1445" i="1"/>
  <c r="O1446" i="1"/>
  <c r="O1447" i="1"/>
  <c r="O1448" i="1"/>
  <c r="O1449" i="1"/>
  <c r="O1450" i="1"/>
  <c r="O1451" i="1"/>
  <c r="O1452" i="1"/>
  <c r="O1453" i="1"/>
  <c r="P1454" i="1"/>
  <c r="P1453" i="1"/>
  <c r="P1452" i="1"/>
  <c r="P1451" i="1"/>
  <c r="P1450" i="1"/>
  <c r="P1449" i="1"/>
  <c r="P1448" i="1"/>
  <c r="P1445" i="1"/>
  <c r="P1446" i="1"/>
  <c r="P1447" i="1"/>
  <c r="P1444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P1443" i="1"/>
  <c r="P1441" i="1"/>
  <c r="P1442" i="1"/>
  <c r="P1440" i="1"/>
  <c r="P1439" i="1"/>
  <c r="P1437" i="1"/>
  <c r="P1438" i="1"/>
  <c r="P1436" i="1"/>
  <c r="P1433" i="1"/>
  <c r="P1434" i="1"/>
  <c r="P1435" i="1"/>
  <c r="P1432" i="1"/>
  <c r="O1425" i="1"/>
  <c r="O1426" i="1"/>
  <c r="O1427" i="1"/>
  <c r="O1428" i="1"/>
  <c r="O1429" i="1"/>
  <c r="O1430" i="1"/>
  <c r="O1431" i="1"/>
  <c r="P1431" i="1"/>
  <c r="P1430" i="1"/>
  <c r="P1429" i="1"/>
  <c r="P1428" i="1"/>
  <c r="P1427" i="1"/>
  <c r="P1426" i="1"/>
  <c r="P1425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P1424" i="1"/>
  <c r="P1415" i="1"/>
  <c r="P1416" i="1"/>
  <c r="P1417" i="1"/>
  <c r="P1418" i="1"/>
  <c r="P1419" i="1"/>
  <c r="P1420" i="1"/>
  <c r="P1421" i="1"/>
  <c r="P1422" i="1"/>
  <c r="P1423" i="1"/>
  <c r="R1532" i="1" l="1"/>
  <c r="S1532" i="1" s="1"/>
  <c r="R1506" i="1"/>
  <c r="S1506" i="1" s="1"/>
  <c r="R1542" i="1"/>
  <c r="S1542" i="1" s="1"/>
  <c r="R1544" i="1"/>
  <c r="S1544" i="1" s="1"/>
  <c r="R1541" i="1"/>
  <c r="S1541" i="1" s="1"/>
  <c r="R1543" i="1"/>
  <c r="S1543" i="1" s="1"/>
  <c r="R1512" i="1"/>
  <c r="S1512" i="1" s="1"/>
  <c r="R1504" i="1"/>
  <c r="S1504" i="1" s="1"/>
  <c r="R1505" i="1"/>
  <c r="S1505" i="1" s="1"/>
  <c r="R1548" i="1"/>
  <c r="S1548" i="1" s="1"/>
  <c r="R1520" i="1"/>
  <c r="S1520" i="1" s="1"/>
  <c r="R1565" i="1"/>
  <c r="S1565" i="1" s="1"/>
  <c r="R1515" i="1"/>
  <c r="S1515" i="1" s="1"/>
  <c r="R1562" i="1"/>
  <c r="S1562" i="1" s="1"/>
  <c r="R1549" i="1"/>
  <c r="S1549" i="1" s="1"/>
  <c r="R1561" i="1"/>
  <c r="S1561" i="1" s="1"/>
  <c r="R1560" i="1"/>
  <c r="S1560" i="1" s="1"/>
  <c r="R1566" i="1"/>
  <c r="S1566" i="1" s="1"/>
  <c r="R1567" i="1"/>
  <c r="S1567" i="1" s="1"/>
  <c r="R1564" i="1"/>
  <c r="S1564" i="1" s="1"/>
  <c r="R1563" i="1"/>
  <c r="S1563" i="1" s="1"/>
  <c r="R1559" i="1"/>
  <c r="S1559" i="1" s="1"/>
  <c r="R1558" i="1"/>
  <c r="S1558" i="1" s="1"/>
  <c r="R1508" i="1"/>
  <c r="S1508" i="1" s="1"/>
  <c r="R1557" i="1"/>
  <c r="S1557" i="1" s="1"/>
  <c r="R1556" i="1"/>
  <c r="S1556" i="1" s="1"/>
  <c r="R1554" i="1"/>
  <c r="S1554" i="1" s="1"/>
  <c r="R1555" i="1"/>
  <c r="S1555" i="1" s="1"/>
  <c r="R1553" i="1"/>
  <c r="S1553" i="1" s="1"/>
  <c r="R1514" i="1"/>
  <c r="S1514" i="1" s="1"/>
  <c r="R1552" i="1"/>
  <c r="S1552" i="1" s="1"/>
  <c r="R1547" i="1"/>
  <c r="S1547" i="1" s="1"/>
  <c r="R1551" i="1"/>
  <c r="S1551" i="1" s="1"/>
  <c r="R1550" i="1"/>
  <c r="S1550" i="1" s="1"/>
  <c r="R1546" i="1"/>
  <c r="S1546" i="1" s="1"/>
  <c r="R1545" i="1"/>
  <c r="S1545" i="1" s="1"/>
  <c r="R1536" i="1"/>
  <c r="S1536" i="1" s="1"/>
  <c r="R1539" i="1"/>
  <c r="S1539" i="1" s="1"/>
  <c r="R1538" i="1"/>
  <c r="S1538" i="1" s="1"/>
  <c r="R1540" i="1"/>
  <c r="S1540" i="1" s="1"/>
  <c r="R1537" i="1"/>
  <c r="S1537" i="1" s="1"/>
  <c r="R1534" i="1"/>
  <c r="S1534" i="1" s="1"/>
  <c r="R1535" i="1"/>
  <c r="S1535" i="1" s="1"/>
  <c r="R1533" i="1"/>
  <c r="S1533" i="1" s="1"/>
  <c r="R1531" i="1"/>
  <c r="S1531" i="1" s="1"/>
  <c r="R1530" i="1"/>
  <c r="S1530" i="1" s="1"/>
  <c r="R1513" i="1"/>
  <c r="S1513" i="1" s="1"/>
  <c r="R1526" i="1"/>
  <c r="S1526" i="1" s="1"/>
  <c r="R1525" i="1"/>
  <c r="S1525" i="1" s="1"/>
  <c r="R1529" i="1"/>
  <c r="S1529" i="1" s="1"/>
  <c r="R1528" i="1"/>
  <c r="S1528" i="1" s="1"/>
  <c r="R1527" i="1"/>
  <c r="S1527" i="1" s="1"/>
  <c r="R1524" i="1"/>
  <c r="S1524" i="1" s="1"/>
  <c r="R1523" i="1"/>
  <c r="S1523" i="1" s="1"/>
  <c r="R1522" i="1"/>
  <c r="S1522" i="1" s="1"/>
  <c r="R1521" i="1"/>
  <c r="S1521" i="1" s="1"/>
  <c r="R1517" i="1"/>
  <c r="S1517" i="1" s="1"/>
  <c r="R1518" i="1"/>
  <c r="S1518" i="1" s="1"/>
  <c r="R1519" i="1"/>
  <c r="S1519" i="1" s="1"/>
  <c r="R1516" i="1"/>
  <c r="S1516" i="1" s="1"/>
  <c r="R1511" i="1"/>
  <c r="S1511" i="1" s="1"/>
  <c r="R1500" i="1"/>
  <c r="S1500" i="1" s="1"/>
  <c r="R1510" i="1"/>
  <c r="S1510" i="1" s="1"/>
  <c r="R1507" i="1"/>
  <c r="S1507" i="1" s="1"/>
  <c r="R1509" i="1"/>
  <c r="S1509" i="1" s="1"/>
  <c r="R1503" i="1"/>
  <c r="S1503" i="1" s="1"/>
  <c r="R1502" i="1"/>
  <c r="S1502" i="1" s="1"/>
  <c r="R1501" i="1"/>
  <c r="S1501" i="1" s="1"/>
  <c r="R1416" i="1" l="1"/>
  <c r="S1416" i="1" s="1"/>
  <c r="R1467" i="1"/>
  <c r="S1467" i="1" s="1"/>
  <c r="R1417" i="1"/>
  <c r="S1417" i="1" s="1"/>
  <c r="R1429" i="1"/>
  <c r="S1429" i="1" s="1"/>
  <c r="R1466" i="1"/>
  <c r="S1466" i="1" s="1"/>
  <c r="R1426" i="1"/>
  <c r="S1426" i="1" s="1"/>
  <c r="R1437" i="1"/>
  <c r="S1437" i="1" s="1"/>
  <c r="R1464" i="1"/>
  <c r="S1464" i="1" s="1"/>
  <c r="R1468" i="1"/>
  <c r="S1468" i="1" s="1"/>
  <c r="R1463" i="1"/>
  <c r="S1463" i="1" s="1"/>
  <c r="R1415" i="1"/>
  <c r="S1415" i="1" s="1"/>
  <c r="R1469" i="1"/>
  <c r="S1469" i="1" s="1"/>
  <c r="R1482" i="1"/>
  <c r="S1482" i="1" s="1"/>
  <c r="R1422" i="1"/>
  <c r="S1422" i="1" s="1"/>
  <c r="R1470" i="1"/>
  <c r="S1470" i="1" s="1"/>
  <c r="R1465" i="1"/>
  <c r="S1465" i="1" s="1"/>
  <c r="R1423" i="1"/>
  <c r="S1423" i="1" s="1"/>
  <c r="R1428" i="1"/>
  <c r="S1428" i="1" s="1"/>
  <c r="R1493" i="1"/>
  <c r="S1493" i="1" s="1"/>
  <c r="R1492" i="1"/>
  <c r="S1492" i="1" s="1"/>
  <c r="R1498" i="1"/>
  <c r="S1498" i="1" s="1"/>
  <c r="R1457" i="1"/>
  <c r="S1457" i="1" s="1"/>
  <c r="R1490" i="1"/>
  <c r="S1490" i="1" s="1"/>
  <c r="R1499" i="1"/>
  <c r="S1499" i="1" s="1"/>
  <c r="R1497" i="1"/>
  <c r="S1497" i="1" s="1"/>
  <c r="R1496" i="1"/>
  <c r="S1496" i="1" s="1"/>
  <c r="R1495" i="1"/>
  <c r="S1495" i="1" s="1"/>
  <c r="R1494" i="1"/>
  <c r="S1494" i="1" s="1"/>
  <c r="R1489" i="1"/>
  <c r="S1489" i="1" s="1"/>
  <c r="R1491" i="1"/>
  <c r="S1491" i="1" s="1"/>
  <c r="R1488" i="1"/>
  <c r="S1488" i="1" s="1"/>
  <c r="R1486" i="1"/>
  <c r="S1486" i="1" s="1"/>
  <c r="R1487" i="1"/>
  <c r="S1487" i="1" s="1"/>
  <c r="R1484" i="1"/>
  <c r="S1484" i="1" s="1"/>
  <c r="R1485" i="1"/>
  <c r="S1485" i="1" s="1"/>
  <c r="R1483" i="1"/>
  <c r="S1483" i="1" s="1"/>
  <c r="R1458" i="1"/>
  <c r="S1458" i="1" s="1"/>
  <c r="R1481" i="1"/>
  <c r="S1481" i="1" s="1"/>
  <c r="R1460" i="1"/>
  <c r="S1460" i="1" s="1"/>
  <c r="R1480" i="1"/>
  <c r="S1480" i="1" s="1"/>
  <c r="R1478" i="1"/>
  <c r="S1478" i="1" s="1"/>
  <c r="R1461" i="1"/>
  <c r="S1461" i="1" s="1"/>
  <c r="R1479" i="1"/>
  <c r="S1479" i="1" s="1"/>
  <c r="R1477" i="1"/>
  <c r="S1477" i="1" s="1"/>
  <c r="R1475" i="1"/>
  <c r="S1475" i="1" s="1"/>
  <c r="R1474" i="1"/>
  <c r="S1474" i="1" s="1"/>
  <c r="R1471" i="1"/>
  <c r="S1471" i="1" s="1"/>
  <c r="R1476" i="1"/>
  <c r="S1476" i="1" s="1"/>
  <c r="R1473" i="1"/>
  <c r="S1473" i="1" s="1"/>
  <c r="R1472" i="1"/>
  <c r="S1472" i="1" s="1"/>
  <c r="R1462" i="1"/>
  <c r="S1462" i="1" s="1"/>
  <c r="R1459" i="1"/>
  <c r="S1459" i="1" s="1"/>
  <c r="R1455" i="1"/>
  <c r="S1455" i="1" s="1"/>
  <c r="R1456" i="1"/>
  <c r="S1456" i="1" s="1"/>
  <c r="R1454" i="1"/>
  <c r="S1454" i="1" s="1"/>
  <c r="R1453" i="1"/>
  <c r="S1453" i="1" s="1"/>
  <c r="R1452" i="1"/>
  <c r="S1452" i="1" s="1"/>
  <c r="R1450" i="1"/>
  <c r="S1450" i="1" s="1"/>
  <c r="R1451" i="1"/>
  <c r="S1451" i="1" s="1"/>
  <c r="R1449" i="1"/>
  <c r="S1449" i="1" s="1"/>
  <c r="R1438" i="1"/>
  <c r="S1438" i="1" s="1"/>
  <c r="R1448" i="1"/>
  <c r="S1448" i="1" s="1"/>
  <c r="R1420" i="1"/>
  <c r="S1420" i="1" s="1"/>
  <c r="R1447" i="1"/>
  <c r="S1447" i="1" s="1"/>
  <c r="R1446" i="1"/>
  <c r="S1446" i="1" s="1"/>
  <c r="R1445" i="1"/>
  <c r="S1445" i="1" s="1"/>
  <c r="R1444" i="1"/>
  <c r="S1444" i="1" s="1"/>
  <c r="R1441" i="1"/>
  <c r="S1441" i="1" s="1"/>
  <c r="R1440" i="1"/>
  <c r="S1440" i="1" s="1"/>
  <c r="R1442" i="1"/>
  <c r="S1442" i="1" s="1"/>
  <c r="R1443" i="1"/>
  <c r="S1443" i="1" s="1"/>
  <c r="R1425" i="1"/>
  <c r="S1425" i="1" s="1"/>
  <c r="R1439" i="1"/>
  <c r="S1439" i="1" s="1"/>
  <c r="R1435" i="1"/>
  <c r="S1435" i="1" s="1"/>
  <c r="R1436" i="1"/>
  <c r="S1436" i="1" s="1"/>
  <c r="R1427" i="1"/>
  <c r="S1427" i="1" s="1"/>
  <c r="R1434" i="1"/>
  <c r="S1434" i="1" s="1"/>
  <c r="R1433" i="1"/>
  <c r="S1433" i="1" s="1"/>
  <c r="R1431" i="1"/>
  <c r="S1431" i="1" s="1"/>
  <c r="R1430" i="1"/>
  <c r="S1430" i="1" s="1"/>
  <c r="R1432" i="1"/>
  <c r="S1432" i="1" s="1"/>
  <c r="R1424" i="1"/>
  <c r="S1424" i="1" s="1"/>
  <c r="R1418" i="1"/>
  <c r="S1418" i="1" s="1"/>
  <c r="R1421" i="1"/>
  <c r="S1421" i="1" s="1"/>
  <c r="R1419" i="1"/>
  <c r="S1419" i="1" s="1"/>
  <c r="P1414" i="1"/>
  <c r="P1413" i="1"/>
  <c r="P1412" i="1"/>
  <c r="P1411" i="1"/>
  <c r="O1406" i="1"/>
  <c r="O1407" i="1"/>
  <c r="O1408" i="1"/>
  <c r="O1409" i="1"/>
  <c r="O1410" i="1"/>
  <c r="P1408" i="1"/>
  <c r="P1409" i="1"/>
  <c r="P1410" i="1"/>
  <c r="P1407" i="1"/>
  <c r="P1406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P1401" i="1"/>
  <c r="P1402" i="1"/>
  <c r="P1403" i="1"/>
  <c r="P1404" i="1"/>
  <c r="P1405" i="1"/>
  <c r="O515" i="1"/>
  <c r="P515" i="1"/>
  <c r="P1400" i="1"/>
  <c r="P1399" i="1"/>
  <c r="P1398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84" i="1"/>
  <c r="P1383" i="1"/>
  <c r="O1375" i="1"/>
  <c r="O1376" i="1"/>
  <c r="O1377" i="1"/>
  <c r="O1378" i="1"/>
  <c r="O1379" i="1"/>
  <c r="O1380" i="1"/>
  <c r="O1381" i="1"/>
  <c r="O1382" i="1"/>
  <c r="O1360" i="1"/>
  <c r="O1361" i="1"/>
  <c r="O1362" i="1"/>
  <c r="O1363" i="1"/>
  <c r="O1364" i="1"/>
  <c r="P1382" i="1"/>
  <c r="P1375" i="1"/>
  <c r="P1360" i="1"/>
  <c r="P1361" i="1"/>
  <c r="P1362" i="1"/>
  <c r="P1363" i="1"/>
  <c r="P1364" i="1"/>
  <c r="P1381" i="1"/>
  <c r="P1376" i="1"/>
  <c r="P1377" i="1"/>
  <c r="P1378" i="1"/>
  <c r="P1379" i="1"/>
  <c r="P1380" i="1"/>
  <c r="O1371" i="1"/>
  <c r="O1372" i="1"/>
  <c r="O1373" i="1"/>
  <c r="O1374" i="1"/>
  <c r="P1374" i="1"/>
  <c r="P1373" i="1"/>
  <c r="P1372" i="1"/>
  <c r="P1371" i="1"/>
  <c r="O1370" i="1"/>
  <c r="P1370" i="1"/>
  <c r="O1358" i="1"/>
  <c r="O1359" i="1"/>
  <c r="O1365" i="1"/>
  <c r="O1366" i="1"/>
  <c r="O1367" i="1"/>
  <c r="O1368" i="1"/>
  <c r="O1369" i="1"/>
  <c r="P1369" i="1"/>
  <c r="P1368" i="1"/>
  <c r="P1367" i="1"/>
  <c r="P1366" i="1"/>
  <c r="P1365" i="1"/>
  <c r="P1359" i="1"/>
  <c r="P1358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P1357" i="1"/>
  <c r="P1352" i="1"/>
  <c r="P1353" i="1"/>
  <c r="P1354" i="1"/>
  <c r="P1355" i="1"/>
  <c r="P1356" i="1"/>
  <c r="P1351" i="1"/>
  <c r="P1350" i="1"/>
  <c r="P1348" i="1"/>
  <c r="P1349" i="1"/>
  <c r="P1347" i="1"/>
  <c r="P1342" i="1"/>
  <c r="P1343" i="1"/>
  <c r="P1344" i="1"/>
  <c r="P1345" i="1"/>
  <c r="P1346" i="1"/>
  <c r="P1341" i="1"/>
  <c r="P1340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P1330" i="1"/>
  <c r="P1331" i="1"/>
  <c r="P1332" i="1"/>
  <c r="P1333" i="1"/>
  <c r="P1334" i="1"/>
  <c r="P1335" i="1"/>
  <c r="P1336" i="1"/>
  <c r="P1337" i="1"/>
  <c r="P1338" i="1"/>
  <c r="P1339" i="1"/>
  <c r="P1329" i="1"/>
  <c r="P1328" i="1"/>
  <c r="P1327" i="1"/>
  <c r="P1326" i="1"/>
  <c r="P1325" i="1"/>
  <c r="O1315" i="1"/>
  <c r="O1316" i="1"/>
  <c r="O1317" i="1"/>
  <c r="O1318" i="1"/>
  <c r="O1319" i="1"/>
  <c r="O1320" i="1"/>
  <c r="O1321" i="1"/>
  <c r="O1322" i="1"/>
  <c r="O1323" i="1"/>
  <c r="P1324" i="1"/>
  <c r="P1321" i="1"/>
  <c r="P1322" i="1"/>
  <c r="P1323" i="1"/>
  <c r="P1320" i="1"/>
  <c r="P1319" i="1"/>
  <c r="P1318" i="1"/>
  <c r="P1317" i="1"/>
  <c r="P1316" i="1"/>
  <c r="P1315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O1314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R1413" i="1" l="1"/>
  <c r="S1413" i="1" s="1"/>
  <c r="R1401" i="1"/>
  <c r="S1401" i="1" s="1"/>
  <c r="R1333" i="1"/>
  <c r="S1333" i="1" s="1"/>
  <c r="R1339" i="1"/>
  <c r="S1339" i="1" s="1"/>
  <c r="R1386" i="1"/>
  <c r="S1386" i="1" s="1"/>
  <c r="R1364" i="1"/>
  <c r="S1364" i="1" s="1"/>
  <c r="R1308" i="1"/>
  <c r="S1308" i="1" s="1"/>
  <c r="R1410" i="1"/>
  <c r="S1410" i="1" s="1"/>
  <c r="R1409" i="1"/>
  <c r="S1409" i="1" s="1"/>
  <c r="R1402" i="1"/>
  <c r="S1402" i="1" s="1"/>
  <c r="R1336" i="1"/>
  <c r="S1336" i="1" s="1"/>
  <c r="R1330" i="1"/>
  <c r="S1330" i="1" s="1"/>
  <c r="R1369" i="1"/>
  <c r="S1369" i="1" s="1"/>
  <c r="R1335" i="1"/>
  <c r="S1335" i="1" s="1"/>
  <c r="R1338" i="1"/>
  <c r="S1338" i="1" s="1"/>
  <c r="R1337" i="1"/>
  <c r="S1337" i="1" s="1"/>
  <c r="P1312" i="1"/>
  <c r="P1313" i="1"/>
  <c r="P1314" i="1"/>
  <c r="P1296" i="1"/>
  <c r="O1295" i="1"/>
  <c r="O1296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77" i="1"/>
  <c r="P1276" i="1"/>
  <c r="P1275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P1274" i="1"/>
  <c r="P1273" i="1"/>
  <c r="P1272" i="1"/>
  <c r="P1271" i="1"/>
  <c r="R1408" i="1" l="1"/>
  <c r="S1408" i="1" s="1"/>
  <c r="R1334" i="1"/>
  <c r="S1334" i="1" s="1"/>
  <c r="R1331" i="1"/>
  <c r="S1331" i="1" s="1"/>
  <c r="R1332" i="1"/>
  <c r="S1332" i="1" s="1"/>
  <c r="R1411" i="1"/>
  <c r="S1411" i="1" s="1"/>
  <c r="R1404" i="1"/>
  <c r="S1404" i="1" s="1"/>
  <c r="R1362" i="1"/>
  <c r="S1362" i="1" s="1"/>
  <c r="R1361" i="1"/>
  <c r="S1361" i="1" s="1"/>
  <c r="R1414" i="1"/>
  <c r="S1414" i="1" s="1"/>
  <c r="R1412" i="1"/>
  <c r="S1412" i="1" s="1"/>
  <c r="R1403" i="1"/>
  <c r="S1403" i="1" s="1"/>
  <c r="R1385" i="1"/>
  <c r="S1385" i="1" s="1"/>
  <c r="R1407" i="1"/>
  <c r="S1407" i="1" s="1"/>
  <c r="R1405" i="1"/>
  <c r="S1405" i="1" s="1"/>
  <c r="R1406" i="1"/>
  <c r="S1406" i="1" s="1"/>
  <c r="R1359" i="1"/>
  <c r="S1359" i="1" s="1"/>
  <c r="R1363" i="1"/>
  <c r="S1363" i="1" s="1"/>
  <c r="R1393" i="1"/>
  <c r="S1393" i="1" s="1"/>
  <c r="R1398" i="1"/>
  <c r="S1398" i="1" s="1"/>
  <c r="R515" i="1"/>
  <c r="S515" i="1" s="1"/>
  <c r="R1400" i="1"/>
  <c r="S1400" i="1" s="1"/>
  <c r="R1399" i="1"/>
  <c r="S1399" i="1" s="1"/>
  <c r="R1388" i="1"/>
  <c r="S1388" i="1" s="1"/>
  <c r="R1360" i="1"/>
  <c r="S1360" i="1" s="1"/>
  <c r="R1390" i="1"/>
  <c r="S1390" i="1" s="1"/>
  <c r="R1392" i="1"/>
  <c r="S1392" i="1" s="1"/>
  <c r="R1397" i="1"/>
  <c r="S1397" i="1" s="1"/>
  <c r="R1394" i="1"/>
  <c r="S1394" i="1" s="1"/>
  <c r="R1396" i="1"/>
  <c r="S1396" i="1" s="1"/>
  <c r="R1395" i="1"/>
  <c r="S1395" i="1" s="1"/>
  <c r="R1391" i="1"/>
  <c r="S1391" i="1" s="1"/>
  <c r="R1389" i="1"/>
  <c r="S1389" i="1" s="1"/>
  <c r="R1387" i="1"/>
  <c r="S1387" i="1" s="1"/>
  <c r="R1384" i="1"/>
  <c r="S1384" i="1" s="1"/>
  <c r="R1383" i="1"/>
  <c r="S1383" i="1" s="1"/>
  <c r="R1382" i="1"/>
  <c r="S1382" i="1" s="1"/>
  <c r="R1375" i="1"/>
  <c r="S1375" i="1" s="1"/>
  <c r="R1381" i="1"/>
  <c r="S1381" i="1" s="1"/>
  <c r="R1376" i="1"/>
  <c r="S1376" i="1" s="1"/>
  <c r="R1373" i="1"/>
  <c r="S1373" i="1" s="1"/>
  <c r="R1377" i="1"/>
  <c r="S1377" i="1" s="1"/>
  <c r="R1378" i="1"/>
  <c r="S1378" i="1" s="1"/>
  <c r="R1379" i="1"/>
  <c r="S1379" i="1" s="1"/>
  <c r="R1380" i="1"/>
  <c r="S1380" i="1" s="1"/>
  <c r="R1374" i="1"/>
  <c r="S1374" i="1" s="1"/>
  <c r="R1372" i="1"/>
  <c r="S1372" i="1" s="1"/>
  <c r="R1370" i="1"/>
  <c r="S1370" i="1" s="1"/>
  <c r="R1371" i="1"/>
  <c r="S1371" i="1" s="1"/>
  <c r="R1366" i="1"/>
  <c r="S1366" i="1" s="1"/>
  <c r="R1368" i="1"/>
  <c r="S1368" i="1" s="1"/>
  <c r="R1349" i="1"/>
  <c r="S1349" i="1" s="1"/>
  <c r="R1367" i="1"/>
  <c r="S1367" i="1" s="1"/>
  <c r="R1365" i="1"/>
  <c r="S1365" i="1" s="1"/>
  <c r="R1358" i="1"/>
  <c r="S1358" i="1" s="1"/>
  <c r="R1353" i="1"/>
  <c r="S1353" i="1" s="1"/>
  <c r="R1357" i="1"/>
  <c r="S1357" i="1" s="1"/>
  <c r="R1356" i="1"/>
  <c r="S1356" i="1" s="1"/>
  <c r="R1355" i="1"/>
  <c r="S1355" i="1" s="1"/>
  <c r="R1354" i="1"/>
  <c r="S1354" i="1" s="1"/>
  <c r="R1351" i="1"/>
  <c r="S1351" i="1" s="1"/>
  <c r="R1352" i="1"/>
  <c r="S1352" i="1" s="1"/>
  <c r="R1350" i="1"/>
  <c r="S1350" i="1" s="1"/>
  <c r="R1347" i="1"/>
  <c r="S1347" i="1" s="1"/>
  <c r="R1348" i="1"/>
  <c r="S1348" i="1" s="1"/>
  <c r="R1346" i="1"/>
  <c r="S1346" i="1" s="1"/>
  <c r="R1345" i="1"/>
  <c r="S1345" i="1" s="1"/>
  <c r="R1344" i="1"/>
  <c r="S1344" i="1" s="1"/>
  <c r="R1343" i="1"/>
  <c r="S1343" i="1" s="1"/>
  <c r="R1342" i="1"/>
  <c r="S1342" i="1" s="1"/>
  <c r="R1341" i="1"/>
  <c r="S1341" i="1" s="1"/>
  <c r="R1340" i="1"/>
  <c r="S1340" i="1" s="1"/>
  <c r="R1329" i="1"/>
  <c r="S1329" i="1" s="1"/>
  <c r="R1328" i="1"/>
  <c r="S1328" i="1" s="1"/>
  <c r="R1327" i="1"/>
  <c r="S1327" i="1" s="1"/>
  <c r="R1326" i="1"/>
  <c r="S1326" i="1" s="1"/>
  <c r="R1310" i="1"/>
  <c r="S1310" i="1" s="1"/>
  <c r="R1325" i="1"/>
  <c r="S1325" i="1" s="1"/>
  <c r="R1318" i="1"/>
  <c r="S1318" i="1" s="1"/>
  <c r="R1322" i="1"/>
  <c r="S1322" i="1" s="1"/>
  <c r="R1324" i="1"/>
  <c r="S1324" i="1" s="1"/>
  <c r="R1320" i="1"/>
  <c r="S1320" i="1" s="1"/>
  <c r="R1323" i="1"/>
  <c r="S1323" i="1" s="1"/>
  <c r="R1321" i="1"/>
  <c r="S1321" i="1" s="1"/>
  <c r="R1319" i="1"/>
  <c r="S1319" i="1" s="1"/>
  <c r="R1307" i="1"/>
  <c r="S1307" i="1" s="1"/>
  <c r="R1317" i="1"/>
  <c r="S1317" i="1" s="1"/>
  <c r="R1309" i="1"/>
  <c r="S1309" i="1" s="1"/>
  <c r="R1311" i="1"/>
  <c r="S1311" i="1" s="1"/>
  <c r="R1306" i="1"/>
  <c r="S1306" i="1" s="1"/>
  <c r="R1316" i="1"/>
  <c r="S1316" i="1" s="1"/>
  <c r="R1315" i="1"/>
  <c r="S1315" i="1" s="1"/>
  <c r="R1314" i="1"/>
  <c r="S1314" i="1" s="1"/>
  <c r="R1313" i="1"/>
  <c r="S1313" i="1" s="1"/>
  <c r="R1312" i="1"/>
  <c r="S1312" i="1" s="1"/>
  <c r="P1270" i="1"/>
  <c r="P1269" i="1"/>
  <c r="P1267" i="1"/>
  <c r="P1268" i="1"/>
  <c r="P1265" i="1"/>
  <c r="P1266" i="1"/>
  <c r="P1264" i="1"/>
  <c r="P1263" i="1"/>
  <c r="P1262" i="1"/>
  <c r="P1261" i="1"/>
  <c r="P1260" i="1"/>
  <c r="P1258" i="1"/>
  <c r="P1259" i="1"/>
  <c r="P1257" i="1"/>
  <c r="P1256" i="1"/>
  <c r="R1294" i="1" l="1"/>
  <c r="S1294" i="1" s="1"/>
  <c r="R1291" i="1"/>
  <c r="S1291" i="1" s="1"/>
  <c r="R1289" i="1"/>
  <c r="S1289" i="1" s="1"/>
  <c r="R1283" i="1"/>
  <c r="S1283" i="1" s="1"/>
  <c r="R1300" i="1"/>
  <c r="S1300" i="1" s="1"/>
  <c r="R1301" i="1"/>
  <c r="S1301" i="1" s="1"/>
  <c r="R1302" i="1"/>
  <c r="S1302" i="1" s="1"/>
  <c r="R1299" i="1"/>
  <c r="S1299" i="1" s="1"/>
  <c r="R1305" i="1"/>
  <c r="S1305" i="1" s="1"/>
  <c r="R1296" i="1"/>
  <c r="S1296" i="1" s="1"/>
  <c r="R1297" i="1"/>
  <c r="S1297" i="1" s="1"/>
  <c r="R1298" i="1"/>
  <c r="S1298" i="1" s="1"/>
  <c r="R1274" i="1"/>
  <c r="S1274" i="1" s="1"/>
  <c r="R1303" i="1"/>
  <c r="S1303" i="1" s="1"/>
  <c r="R1304" i="1"/>
  <c r="S1304" i="1" s="1"/>
  <c r="R1290" i="1"/>
  <c r="S1290" i="1" s="1"/>
  <c r="R1288" i="1"/>
  <c r="S1288" i="1" s="1"/>
  <c r="R1286" i="1"/>
  <c r="S1286" i="1" s="1"/>
  <c r="R1282" i="1"/>
  <c r="S1282" i="1" s="1"/>
  <c r="R1281" i="1"/>
  <c r="S1281" i="1" s="1"/>
  <c r="R1280" i="1"/>
  <c r="S1280" i="1" s="1"/>
  <c r="R1278" i="1"/>
  <c r="S1278" i="1" s="1"/>
  <c r="R1292" i="1"/>
  <c r="S1292" i="1" s="1"/>
  <c r="R1285" i="1"/>
  <c r="S1285" i="1" s="1"/>
  <c r="R1293" i="1"/>
  <c r="S1293" i="1" s="1"/>
  <c r="R1279" i="1"/>
  <c r="S1279" i="1" s="1"/>
  <c r="R1287" i="1"/>
  <c r="S1287" i="1" s="1"/>
  <c r="R1295" i="1"/>
  <c r="S1295" i="1" s="1"/>
  <c r="R1273" i="1"/>
  <c r="S1273" i="1" s="1"/>
  <c r="R1284" i="1"/>
  <c r="S1284" i="1" s="1"/>
  <c r="R1277" i="1"/>
  <c r="S1277" i="1" s="1"/>
  <c r="R1275" i="1"/>
  <c r="S1275" i="1" s="1"/>
  <c r="R1276" i="1"/>
  <c r="S1276" i="1" s="1"/>
  <c r="R1272" i="1"/>
  <c r="S1272" i="1" s="1"/>
  <c r="R1271" i="1"/>
  <c r="S1271" i="1" s="1"/>
  <c r="P1255" i="1"/>
  <c r="O1249" i="1"/>
  <c r="O1250" i="1"/>
  <c r="O1251" i="1"/>
  <c r="O1252" i="1"/>
  <c r="O1253" i="1"/>
  <c r="O1254" i="1"/>
  <c r="P1254" i="1"/>
  <c r="P1251" i="1"/>
  <c r="P1252" i="1"/>
  <c r="P1253" i="1"/>
  <c r="P1250" i="1"/>
  <c r="O1248" i="1"/>
  <c r="P1249" i="1"/>
  <c r="R1261" i="1" l="1"/>
  <c r="S1261" i="1" s="1"/>
  <c r="R1266" i="1"/>
  <c r="S1266" i="1" s="1"/>
  <c r="R1269" i="1"/>
  <c r="S1269" i="1" s="1"/>
  <c r="R1270" i="1"/>
  <c r="S1270" i="1" s="1"/>
  <c r="R1265" i="1"/>
  <c r="S1265" i="1" s="1"/>
  <c r="R1268" i="1"/>
  <c r="S1268" i="1" s="1"/>
  <c r="R1267" i="1"/>
  <c r="S1267" i="1" s="1"/>
  <c r="R1264" i="1"/>
  <c r="S1264" i="1" s="1"/>
  <c r="R1263" i="1"/>
  <c r="S1263" i="1" s="1"/>
  <c r="R1262" i="1"/>
  <c r="S1262" i="1" s="1"/>
  <c r="R1260" i="1"/>
  <c r="S1260" i="1" s="1"/>
  <c r="R1259" i="1"/>
  <c r="S1259" i="1" s="1"/>
  <c r="R1258" i="1"/>
  <c r="S1258" i="1" s="1"/>
  <c r="R1257" i="1"/>
  <c r="S1257" i="1" s="1"/>
  <c r="R1256" i="1"/>
  <c r="S1256" i="1" s="1"/>
  <c r="R1253" i="1" l="1"/>
  <c r="S1253" i="1" s="1"/>
  <c r="R1255" i="1"/>
  <c r="S1255" i="1" s="1"/>
  <c r="R1252" i="1"/>
  <c r="S1252" i="1" s="1"/>
  <c r="R1254" i="1"/>
  <c r="S1254" i="1" s="1"/>
  <c r="R1251" i="1"/>
  <c r="S1251" i="1" s="1"/>
  <c r="R1250" i="1"/>
  <c r="S1250" i="1" s="1"/>
  <c r="R1249" i="1"/>
  <c r="S1249" i="1" s="1"/>
  <c r="P1248" i="1" l="1"/>
  <c r="O1246" i="1"/>
  <c r="O1247" i="1"/>
  <c r="P1247" i="1"/>
  <c r="P1246" i="1"/>
  <c r="O1243" i="1"/>
  <c r="O1244" i="1"/>
  <c r="O1245" i="1"/>
  <c r="P1245" i="1"/>
  <c r="P1243" i="1"/>
  <c r="P1244" i="1"/>
  <c r="O1242" i="1"/>
  <c r="P1242" i="1"/>
  <c r="O1234" i="1"/>
  <c r="O1235" i="1"/>
  <c r="O1236" i="1"/>
  <c r="O1237" i="1"/>
  <c r="O1238" i="1"/>
  <c r="O1239" i="1"/>
  <c r="O1240" i="1"/>
  <c r="O1241" i="1"/>
  <c r="O1233" i="1"/>
  <c r="P1235" i="1"/>
  <c r="P1236" i="1"/>
  <c r="P1237" i="1"/>
  <c r="P1238" i="1"/>
  <c r="P1239" i="1"/>
  <c r="P1240" i="1"/>
  <c r="P1241" i="1"/>
  <c r="P1234" i="1"/>
  <c r="O1225" i="1"/>
  <c r="O1226" i="1"/>
  <c r="O1227" i="1"/>
  <c r="O1228" i="1"/>
  <c r="O1229" i="1"/>
  <c r="O1230" i="1"/>
  <c r="O1231" i="1"/>
  <c r="O1232" i="1"/>
  <c r="P1233" i="1"/>
  <c r="P1232" i="1"/>
  <c r="P1227" i="1"/>
  <c r="P1228" i="1"/>
  <c r="P1229" i="1"/>
  <c r="P1230" i="1"/>
  <c r="P1231" i="1"/>
  <c r="P1226" i="1"/>
  <c r="P1225" i="1"/>
  <c r="O1218" i="1"/>
  <c r="O1219" i="1"/>
  <c r="O1220" i="1"/>
  <c r="O1221" i="1"/>
  <c r="O1222" i="1"/>
  <c r="O1223" i="1"/>
  <c r="O1224" i="1"/>
  <c r="P1221" i="1"/>
  <c r="P1222" i="1"/>
  <c r="P1223" i="1"/>
  <c r="P1224" i="1"/>
  <c r="P1218" i="1"/>
  <c r="P1219" i="1"/>
  <c r="P1220" i="1"/>
  <c r="R1225" i="1" l="1"/>
  <c r="S1225" i="1" s="1"/>
  <c r="R1248" i="1"/>
  <c r="S1248" i="1" s="1"/>
  <c r="R1233" i="1" l="1"/>
  <c r="S1233" i="1" s="1"/>
  <c r="R1245" i="1"/>
  <c r="S1245" i="1" s="1"/>
  <c r="R1237" i="1"/>
  <c r="S1237" i="1" s="1"/>
  <c r="R1218" i="1"/>
  <c r="S1218" i="1" s="1"/>
  <c r="R1246" i="1"/>
  <c r="S1246" i="1" s="1"/>
  <c r="R1226" i="1"/>
  <c r="S1226" i="1" s="1"/>
  <c r="R1238" i="1"/>
  <c r="S1238" i="1" s="1"/>
  <c r="R1240" i="1"/>
  <c r="S1240" i="1" s="1"/>
  <c r="R1236" i="1"/>
  <c r="S1236" i="1" s="1"/>
  <c r="R1244" i="1"/>
  <c r="S1244" i="1" s="1"/>
  <c r="R1221" i="1"/>
  <c r="S1221" i="1" s="1"/>
  <c r="R1220" i="1"/>
  <c r="S1220" i="1" s="1"/>
  <c r="R1219" i="1"/>
  <c r="S1219" i="1" s="1"/>
  <c r="R1242" i="1"/>
  <c r="S1242" i="1" s="1"/>
  <c r="R1224" i="1"/>
  <c r="S1224" i="1" s="1"/>
  <c r="R1228" i="1"/>
  <c r="S1228" i="1" s="1"/>
  <c r="R1247" i="1"/>
  <c r="S1247" i="1" s="1"/>
  <c r="R1230" i="1"/>
  <c r="S1230" i="1" s="1"/>
  <c r="R1231" i="1"/>
  <c r="S1231" i="1" s="1"/>
  <c r="R1223" i="1"/>
  <c r="S1223" i="1" s="1"/>
  <c r="R1243" i="1"/>
  <c r="S1243" i="1" s="1"/>
  <c r="R1239" i="1"/>
  <c r="S1239" i="1" s="1"/>
  <c r="R1232" i="1"/>
  <c r="S1232" i="1" s="1"/>
  <c r="R1222" i="1"/>
  <c r="S1222" i="1" s="1"/>
  <c r="R1227" i="1"/>
  <c r="S1227" i="1" s="1"/>
  <c r="R1234" i="1"/>
  <c r="S1234" i="1" s="1"/>
  <c r="R1241" i="1"/>
  <c r="S1241" i="1" s="1"/>
  <c r="R1229" i="1"/>
  <c r="S1229" i="1" s="1"/>
  <c r="R1235" i="1"/>
  <c r="S1235" i="1" s="1"/>
  <c r="O1165" i="1"/>
  <c r="O1164" i="1"/>
  <c r="O1163" i="1"/>
  <c r="O1162" i="1"/>
  <c r="O1161" i="1"/>
  <c r="O1160" i="1"/>
  <c r="O1188" i="1"/>
  <c r="O1210" i="1"/>
  <c r="O1211" i="1"/>
  <c r="O1212" i="1"/>
  <c r="O1213" i="1"/>
  <c r="O1214" i="1"/>
  <c r="O1215" i="1"/>
  <c r="O1216" i="1"/>
  <c r="O1217" i="1"/>
  <c r="P1214" i="1"/>
  <c r="P1215" i="1"/>
  <c r="P1216" i="1"/>
  <c r="P1217" i="1"/>
  <c r="P1213" i="1" l="1"/>
  <c r="P1211" i="1"/>
  <c r="P1212" i="1"/>
  <c r="P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P1208" i="1"/>
  <c r="P1209" i="1"/>
  <c r="P1207" i="1"/>
  <c r="P1201" i="1"/>
  <c r="P1202" i="1"/>
  <c r="P1203" i="1"/>
  <c r="P1204" i="1"/>
  <c r="P1205" i="1"/>
  <c r="P1206" i="1"/>
  <c r="P1200" i="1"/>
  <c r="P1198" i="1"/>
  <c r="P1199" i="1"/>
  <c r="P1197" i="1"/>
  <c r="P1196" i="1"/>
  <c r="P1195" i="1"/>
  <c r="P1190" i="1"/>
  <c r="P1191" i="1"/>
  <c r="P1192" i="1"/>
  <c r="P1193" i="1"/>
  <c r="P1194" i="1"/>
  <c r="P1189" i="1"/>
  <c r="P1188" i="1"/>
  <c r="R1211" i="1" l="1"/>
  <c r="S1211" i="1" s="1"/>
  <c r="R1217" i="1"/>
  <c r="S1217" i="1" s="1"/>
  <c r="R1216" i="1"/>
  <c r="S1216" i="1" s="1"/>
  <c r="R1214" i="1"/>
  <c r="S1214" i="1" s="1"/>
  <c r="R1215" i="1"/>
  <c r="S1215" i="1" s="1"/>
  <c r="P1187" i="1"/>
  <c r="P1186" i="1"/>
  <c r="P1185" i="1"/>
  <c r="P1184" i="1"/>
  <c r="P1183" i="1"/>
  <c r="P1182" i="1"/>
  <c r="P1181" i="1"/>
  <c r="P1180" i="1"/>
  <c r="P1179" i="1"/>
  <c r="P1172" i="1"/>
  <c r="P1173" i="1"/>
  <c r="P1174" i="1"/>
  <c r="P1175" i="1"/>
  <c r="P1176" i="1"/>
  <c r="P1177" i="1"/>
  <c r="P1178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O1158" i="1"/>
  <c r="O1159" i="1"/>
  <c r="P1159" i="1"/>
  <c r="P1158" i="1"/>
  <c r="O1151" i="1"/>
  <c r="O1152" i="1"/>
  <c r="O1153" i="1"/>
  <c r="O1154" i="1"/>
  <c r="O1155" i="1"/>
  <c r="O1156" i="1"/>
  <c r="O1157" i="1"/>
  <c r="R1173" i="1" l="1"/>
  <c r="S1173" i="1" s="1"/>
  <c r="R1181" i="1"/>
  <c r="S1181" i="1" s="1"/>
  <c r="R1178" i="1"/>
  <c r="S1178" i="1" s="1"/>
  <c r="R1210" i="1"/>
  <c r="S1210" i="1" s="1"/>
  <c r="R1208" i="1"/>
  <c r="S1208" i="1" s="1"/>
  <c r="R1188" i="1"/>
  <c r="S1188" i="1" s="1"/>
  <c r="R1191" i="1"/>
  <c r="S1191" i="1" s="1"/>
  <c r="R1200" i="1"/>
  <c r="S1200" i="1" s="1"/>
  <c r="R1205" i="1"/>
  <c r="S1205" i="1" s="1"/>
  <c r="R1197" i="1"/>
  <c r="S1197" i="1" s="1"/>
  <c r="R1194" i="1"/>
  <c r="S1194" i="1" s="1"/>
  <c r="R1190" i="1"/>
  <c r="S1190" i="1" s="1"/>
  <c r="R1193" i="1"/>
  <c r="S1193" i="1" s="1"/>
  <c r="R1206" i="1"/>
  <c r="S1206" i="1" s="1"/>
  <c r="R1201" i="1"/>
  <c r="S1201" i="1" s="1"/>
  <c r="R1198" i="1"/>
  <c r="S1198" i="1" s="1"/>
  <c r="R1189" i="1"/>
  <c r="S1189" i="1" s="1"/>
  <c r="R1212" i="1"/>
  <c r="S1212" i="1" s="1"/>
  <c r="R1204" i="1"/>
  <c r="S1204" i="1" s="1"/>
  <c r="R1192" i="1"/>
  <c r="S1192" i="1" s="1"/>
  <c r="R1209" i="1"/>
  <c r="S1209" i="1" s="1"/>
  <c r="R1207" i="1"/>
  <c r="S1207" i="1" s="1"/>
  <c r="R1203" i="1"/>
  <c r="S1203" i="1" s="1"/>
  <c r="R1199" i="1"/>
  <c r="S1199" i="1" s="1"/>
  <c r="R1195" i="1"/>
  <c r="S1195" i="1" s="1"/>
  <c r="R1213" i="1"/>
  <c r="S1213" i="1" s="1"/>
  <c r="R1202" i="1"/>
  <c r="S1202" i="1" s="1"/>
  <c r="R1196" i="1"/>
  <c r="S1196" i="1" s="1"/>
  <c r="O1150" i="1"/>
  <c r="O1140" i="1"/>
  <c r="O1141" i="1"/>
  <c r="O1142" i="1"/>
  <c r="O1143" i="1"/>
  <c r="O1144" i="1"/>
  <c r="O1145" i="1"/>
  <c r="O1146" i="1"/>
  <c r="O1147" i="1"/>
  <c r="O1148" i="1"/>
  <c r="O1149" i="1"/>
  <c r="O1135" i="1"/>
  <c r="O1136" i="1"/>
  <c r="O1137" i="1"/>
  <c r="O1138" i="1"/>
  <c r="O1139" i="1"/>
  <c r="P1157" i="1"/>
  <c r="P1156" i="1"/>
  <c r="P1153" i="1"/>
  <c r="P1154" i="1"/>
  <c r="P1155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R1177" i="1" l="1"/>
  <c r="S1177" i="1" s="1"/>
  <c r="R1144" i="1"/>
  <c r="S1144" i="1" s="1"/>
  <c r="R1141" i="1"/>
  <c r="S1141" i="1" s="1"/>
  <c r="R1149" i="1"/>
  <c r="S1149" i="1" s="1"/>
  <c r="R1172" i="1"/>
  <c r="S1172" i="1" s="1"/>
  <c r="R1168" i="1"/>
  <c r="S1168" i="1" s="1"/>
  <c r="R1187" i="1"/>
  <c r="S1187" i="1" s="1"/>
  <c r="R1162" i="1"/>
  <c r="S1162" i="1" s="1"/>
  <c r="R1176" i="1"/>
  <c r="S1176" i="1" s="1"/>
  <c r="R1163" i="1"/>
  <c r="S1163" i="1" s="1"/>
  <c r="R1161" i="1"/>
  <c r="S1161" i="1" s="1"/>
  <c r="R1179" i="1"/>
  <c r="S1179" i="1" s="1"/>
  <c r="R1170" i="1"/>
  <c r="S1170" i="1" s="1"/>
  <c r="R1160" i="1"/>
  <c r="S1160" i="1" s="1"/>
  <c r="R1169" i="1"/>
  <c r="S1169" i="1" s="1"/>
  <c r="R1165" i="1"/>
  <c r="S1165" i="1" s="1"/>
  <c r="R1186" i="1"/>
  <c r="S1186" i="1" s="1"/>
  <c r="R1174" i="1"/>
  <c r="S1174" i="1" s="1"/>
  <c r="R1175" i="1"/>
  <c r="S1175" i="1" s="1"/>
  <c r="R1184" i="1"/>
  <c r="S1184" i="1" s="1"/>
  <c r="R1185" i="1"/>
  <c r="S1185" i="1" s="1"/>
  <c r="R1158" i="1"/>
  <c r="S1158" i="1" s="1"/>
  <c r="R1159" i="1"/>
  <c r="S1159" i="1" s="1"/>
  <c r="R1182" i="1"/>
  <c r="S1182" i="1" s="1"/>
  <c r="R1166" i="1"/>
  <c r="S1166" i="1" s="1"/>
  <c r="R1183" i="1"/>
  <c r="S1183" i="1" s="1"/>
  <c r="R1171" i="1"/>
  <c r="S1171" i="1" s="1"/>
  <c r="R1167" i="1"/>
  <c r="S1167" i="1" s="1"/>
  <c r="R1180" i="1"/>
  <c r="S1180" i="1" s="1"/>
  <c r="R1164" i="1"/>
  <c r="S1164" i="1" s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P1134" i="1"/>
  <c r="P1133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19" i="1"/>
  <c r="P1118" i="1"/>
  <c r="P1117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04" i="1"/>
  <c r="P1103" i="1"/>
  <c r="P1102" i="1"/>
  <c r="P11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R962" i="1" l="1"/>
  <c r="S962" i="1" s="1"/>
  <c r="R769" i="1"/>
  <c r="S769" i="1" s="1"/>
  <c r="R423" i="1"/>
  <c r="S423" i="1" s="1"/>
  <c r="R1142" i="1"/>
  <c r="S1142" i="1" s="1"/>
  <c r="R1156" i="1"/>
  <c r="S1156" i="1" s="1"/>
  <c r="R1139" i="1"/>
  <c r="S1139" i="1" s="1"/>
  <c r="R1135" i="1"/>
  <c r="S1135" i="1" s="1"/>
  <c r="R893" i="1"/>
  <c r="S893" i="1" s="1"/>
  <c r="R556" i="1"/>
  <c r="S556" i="1" s="1"/>
  <c r="R1154" i="1"/>
  <c r="S1154" i="1" s="1"/>
  <c r="R1150" i="1"/>
  <c r="S1150" i="1" s="1"/>
  <c r="R1146" i="1"/>
  <c r="S1146" i="1" s="1"/>
  <c r="R1138" i="1"/>
  <c r="S1138" i="1" s="1"/>
  <c r="R1148" i="1"/>
  <c r="S1148" i="1" s="1"/>
  <c r="R1140" i="1"/>
  <c r="S1140" i="1" s="1"/>
  <c r="R1136" i="1"/>
  <c r="S1136" i="1" s="1"/>
  <c r="R1137" i="1"/>
  <c r="S1137" i="1" s="1"/>
  <c r="R1155" i="1"/>
  <c r="S1155" i="1" s="1"/>
  <c r="R1151" i="1"/>
  <c r="S1151" i="1" s="1"/>
  <c r="R1147" i="1"/>
  <c r="S1147" i="1" s="1"/>
  <c r="R1143" i="1"/>
  <c r="S1143" i="1" s="1"/>
  <c r="R1152" i="1"/>
  <c r="S1152" i="1" s="1"/>
  <c r="R1157" i="1"/>
  <c r="S1157" i="1" s="1"/>
  <c r="R1153" i="1"/>
  <c r="S1153" i="1" s="1"/>
  <c r="R1145" i="1"/>
  <c r="S1145" i="1" s="1"/>
  <c r="R1106" i="1" l="1"/>
  <c r="S1106" i="1" s="1"/>
  <c r="R1130" i="1"/>
  <c r="S1130" i="1" s="1"/>
  <c r="R1122" i="1"/>
  <c r="S1122" i="1" s="1"/>
  <c r="R917" i="1"/>
  <c r="S917" i="1" s="1"/>
  <c r="R989" i="1"/>
  <c r="S989" i="1" s="1"/>
  <c r="R1029" i="1"/>
  <c r="S1029" i="1" s="1"/>
  <c r="R1045" i="1"/>
  <c r="S1045" i="1" s="1"/>
  <c r="R1089" i="1"/>
  <c r="S1089" i="1" s="1"/>
  <c r="R1101" i="1"/>
  <c r="S1101" i="1" s="1"/>
  <c r="R716" i="1"/>
  <c r="S716" i="1" s="1"/>
  <c r="R558" i="1"/>
  <c r="S558" i="1" s="1"/>
  <c r="R717" i="1"/>
  <c r="S717" i="1" s="1"/>
  <c r="R1012" i="1"/>
  <c r="S1012" i="1" s="1"/>
  <c r="R1090" i="1"/>
  <c r="S1090" i="1" s="1"/>
  <c r="R1110" i="1"/>
  <c r="S1110" i="1" s="1"/>
  <c r="R944" i="1"/>
  <c r="S944" i="1" s="1"/>
  <c r="R557" i="1"/>
  <c r="S557" i="1" s="1"/>
  <c r="R907" i="1"/>
  <c r="S907" i="1" s="1"/>
  <c r="R915" i="1"/>
  <c r="S915" i="1" s="1"/>
  <c r="R919" i="1"/>
  <c r="S919" i="1" s="1"/>
  <c r="R923" i="1"/>
  <c r="S923" i="1" s="1"/>
  <c r="R931" i="1"/>
  <c r="S931" i="1" s="1"/>
  <c r="R935" i="1"/>
  <c r="S935" i="1" s="1"/>
  <c r="R939" i="1"/>
  <c r="S939" i="1" s="1"/>
  <c r="R943" i="1"/>
  <c r="S943" i="1" s="1"/>
  <c r="R947" i="1"/>
  <c r="S947" i="1" s="1"/>
  <c r="R951" i="1"/>
  <c r="S951" i="1" s="1"/>
  <c r="R955" i="1"/>
  <c r="S955" i="1" s="1"/>
  <c r="R963" i="1"/>
  <c r="S963" i="1" s="1"/>
  <c r="R967" i="1"/>
  <c r="S967" i="1" s="1"/>
  <c r="R971" i="1"/>
  <c r="S971" i="1" s="1"/>
  <c r="R995" i="1"/>
  <c r="S995" i="1" s="1"/>
  <c r="R999" i="1"/>
  <c r="S999" i="1" s="1"/>
  <c r="R1003" i="1"/>
  <c r="S1003" i="1" s="1"/>
  <c r="R1007" i="1"/>
  <c r="S1007" i="1" s="1"/>
  <c r="R1015" i="1"/>
  <c r="S1015" i="1" s="1"/>
  <c r="R1019" i="1"/>
  <c r="S1019" i="1" s="1"/>
  <c r="R1023" i="1"/>
  <c r="S1023" i="1" s="1"/>
  <c r="R1027" i="1"/>
  <c r="S1027" i="1" s="1"/>
  <c r="R911" i="1"/>
  <c r="S911" i="1" s="1"/>
  <c r="R927" i="1"/>
  <c r="S927" i="1" s="1"/>
  <c r="R959" i="1"/>
  <c r="S959" i="1" s="1"/>
  <c r="R975" i="1"/>
  <c r="S975" i="1" s="1"/>
  <c r="R979" i="1"/>
  <c r="S979" i="1" s="1"/>
  <c r="R983" i="1"/>
  <c r="S983" i="1" s="1"/>
  <c r="R987" i="1"/>
  <c r="S987" i="1" s="1"/>
  <c r="R991" i="1"/>
  <c r="S991" i="1" s="1"/>
  <c r="R1011" i="1"/>
  <c r="S1011" i="1" s="1"/>
  <c r="R1031" i="1"/>
  <c r="S1031" i="1" s="1"/>
  <c r="R1134" i="1"/>
  <c r="S1134" i="1" s="1"/>
  <c r="R1129" i="1"/>
  <c r="S1129" i="1" s="1"/>
  <c r="R1133" i="1"/>
  <c r="S1133" i="1" s="1"/>
  <c r="R4" i="1"/>
  <c r="S4" i="1" s="1"/>
  <c r="R8" i="1"/>
  <c r="S8" i="1" s="1"/>
  <c r="R12" i="1"/>
  <c r="S12" i="1" s="1"/>
  <c r="R16" i="1"/>
  <c r="S16" i="1" s="1"/>
  <c r="R20" i="1"/>
  <c r="S20" i="1" s="1"/>
  <c r="R24" i="1"/>
  <c r="S24" i="1" s="1"/>
  <c r="R28" i="1"/>
  <c r="S28" i="1" s="1"/>
  <c r="R32" i="1"/>
  <c r="S32" i="1" s="1"/>
  <c r="R36" i="1"/>
  <c r="S36" i="1" s="1"/>
  <c r="R40" i="1"/>
  <c r="S40" i="1" s="1"/>
  <c r="R44" i="1"/>
  <c r="S44" i="1" s="1"/>
  <c r="R48" i="1"/>
  <c r="S48" i="1" s="1"/>
  <c r="R52" i="1"/>
  <c r="S52" i="1" s="1"/>
  <c r="R56" i="1"/>
  <c r="S56" i="1" s="1"/>
  <c r="R60" i="1"/>
  <c r="S60" i="1" s="1"/>
  <c r="R64" i="1"/>
  <c r="S64" i="1" s="1"/>
  <c r="R68" i="1"/>
  <c r="S68" i="1" s="1"/>
  <c r="R72" i="1"/>
  <c r="S72" i="1" s="1"/>
  <c r="R76" i="1"/>
  <c r="S76" i="1" s="1"/>
  <c r="R80" i="1"/>
  <c r="S80" i="1" s="1"/>
  <c r="R84" i="1"/>
  <c r="S84" i="1" s="1"/>
  <c r="R88" i="1"/>
  <c r="S88" i="1" s="1"/>
  <c r="R92" i="1"/>
  <c r="S92" i="1" s="1"/>
  <c r="R96" i="1"/>
  <c r="S96" i="1" s="1"/>
  <c r="R100" i="1"/>
  <c r="S100" i="1" s="1"/>
  <c r="R104" i="1"/>
  <c r="S104" i="1" s="1"/>
  <c r="R108" i="1"/>
  <c r="S108" i="1" s="1"/>
  <c r="R112" i="1"/>
  <c r="S112" i="1" s="1"/>
  <c r="R116" i="1"/>
  <c r="S116" i="1" s="1"/>
  <c r="R120" i="1"/>
  <c r="S120" i="1" s="1"/>
  <c r="R124" i="1"/>
  <c r="S124" i="1" s="1"/>
  <c r="R128" i="1"/>
  <c r="S128" i="1" s="1"/>
  <c r="R132" i="1"/>
  <c r="S132" i="1" s="1"/>
  <c r="R136" i="1"/>
  <c r="S136" i="1" s="1"/>
  <c r="R140" i="1"/>
  <c r="S140" i="1" s="1"/>
  <c r="R144" i="1"/>
  <c r="S144" i="1" s="1"/>
  <c r="R148" i="1"/>
  <c r="S148" i="1" s="1"/>
  <c r="R152" i="1"/>
  <c r="S152" i="1" s="1"/>
  <c r="R156" i="1"/>
  <c r="S156" i="1" s="1"/>
  <c r="R160" i="1"/>
  <c r="S160" i="1" s="1"/>
  <c r="R164" i="1"/>
  <c r="S164" i="1" s="1"/>
  <c r="R168" i="1"/>
  <c r="S168" i="1" s="1"/>
  <c r="R172" i="1"/>
  <c r="S172" i="1" s="1"/>
  <c r="R176" i="1"/>
  <c r="S176" i="1" s="1"/>
  <c r="R180" i="1"/>
  <c r="S180" i="1" s="1"/>
  <c r="R184" i="1"/>
  <c r="S184" i="1" s="1"/>
  <c r="R188" i="1"/>
  <c r="S188" i="1" s="1"/>
  <c r="R192" i="1"/>
  <c r="S192" i="1" s="1"/>
  <c r="R196" i="1"/>
  <c r="S196" i="1" s="1"/>
  <c r="R200" i="1"/>
  <c r="S200" i="1" s="1"/>
  <c r="R204" i="1"/>
  <c r="S204" i="1" s="1"/>
  <c r="R208" i="1"/>
  <c r="S208" i="1" s="1"/>
  <c r="R212" i="1"/>
  <c r="S212" i="1" s="1"/>
  <c r="R216" i="1"/>
  <c r="S216" i="1" s="1"/>
  <c r="R220" i="1"/>
  <c r="S220" i="1" s="1"/>
  <c r="R224" i="1"/>
  <c r="S224" i="1" s="1"/>
  <c r="R228" i="1"/>
  <c r="S228" i="1" s="1"/>
  <c r="R232" i="1"/>
  <c r="S232" i="1" s="1"/>
  <c r="R236" i="1"/>
  <c r="S236" i="1" s="1"/>
  <c r="R240" i="1"/>
  <c r="S240" i="1" s="1"/>
  <c r="R244" i="1"/>
  <c r="S244" i="1" s="1"/>
  <c r="R248" i="1"/>
  <c r="S248" i="1" s="1"/>
  <c r="R252" i="1"/>
  <c r="S252" i="1" s="1"/>
  <c r="R256" i="1"/>
  <c r="S256" i="1" s="1"/>
  <c r="R260" i="1"/>
  <c r="S260" i="1" s="1"/>
  <c r="R264" i="1"/>
  <c r="S264" i="1" s="1"/>
  <c r="R268" i="1"/>
  <c r="S268" i="1" s="1"/>
  <c r="R272" i="1"/>
  <c r="S272" i="1" s="1"/>
  <c r="R276" i="1"/>
  <c r="S276" i="1" s="1"/>
  <c r="R280" i="1"/>
  <c r="S280" i="1" s="1"/>
  <c r="R284" i="1"/>
  <c r="S284" i="1" s="1"/>
  <c r="R288" i="1"/>
  <c r="S288" i="1" s="1"/>
  <c r="R292" i="1"/>
  <c r="S292" i="1" s="1"/>
  <c r="R296" i="1"/>
  <c r="S296" i="1" s="1"/>
  <c r="R300" i="1"/>
  <c r="S300" i="1" s="1"/>
  <c r="R304" i="1"/>
  <c r="S304" i="1" s="1"/>
  <c r="R308" i="1"/>
  <c r="S308" i="1" s="1"/>
  <c r="R312" i="1"/>
  <c r="S312" i="1" s="1"/>
  <c r="R316" i="1"/>
  <c r="S316" i="1" s="1"/>
  <c r="R320" i="1"/>
  <c r="S320" i="1" s="1"/>
  <c r="R2" i="1"/>
  <c r="S2" i="1" s="1"/>
  <c r="R6" i="1"/>
  <c r="S6" i="1" s="1"/>
  <c r="R14" i="1"/>
  <c r="S14" i="1" s="1"/>
  <c r="R22" i="1"/>
  <c r="S22" i="1" s="1"/>
  <c r="R26" i="1"/>
  <c r="S26" i="1" s="1"/>
  <c r="R30" i="1"/>
  <c r="S30" i="1" s="1"/>
  <c r="R34" i="1"/>
  <c r="S34" i="1" s="1"/>
  <c r="R38" i="1"/>
  <c r="S38" i="1" s="1"/>
  <c r="R46" i="1"/>
  <c r="S46" i="1" s="1"/>
  <c r="R58" i="1"/>
  <c r="S58" i="1" s="1"/>
  <c r="R62" i="1"/>
  <c r="S62" i="1" s="1"/>
  <c r="R66" i="1"/>
  <c r="S66" i="1" s="1"/>
  <c r="R70" i="1"/>
  <c r="S70" i="1" s="1"/>
  <c r="R78" i="1"/>
  <c r="S78" i="1" s="1"/>
  <c r="R90" i="1"/>
  <c r="S90" i="1" s="1"/>
  <c r="R94" i="1"/>
  <c r="S94" i="1" s="1"/>
  <c r="R98" i="1"/>
  <c r="S98" i="1" s="1"/>
  <c r="R102" i="1"/>
  <c r="S102" i="1" s="1"/>
  <c r="R110" i="1"/>
  <c r="S110" i="1" s="1"/>
  <c r="R118" i="1"/>
  <c r="S118" i="1" s="1"/>
  <c r="R122" i="1"/>
  <c r="S122" i="1" s="1"/>
  <c r="R126" i="1"/>
  <c r="S126" i="1" s="1"/>
  <c r="R130" i="1"/>
  <c r="S130" i="1" s="1"/>
  <c r="R138" i="1"/>
  <c r="S138" i="1" s="1"/>
  <c r="R142" i="1"/>
  <c r="S142" i="1" s="1"/>
  <c r="R150" i="1"/>
  <c r="S150" i="1" s="1"/>
  <c r="R154" i="1"/>
  <c r="S154" i="1" s="1"/>
  <c r="R158" i="1"/>
  <c r="S158" i="1" s="1"/>
  <c r="R162" i="1"/>
  <c r="S162" i="1" s="1"/>
  <c r="R166" i="1"/>
  <c r="S166" i="1" s="1"/>
  <c r="R170" i="1"/>
  <c r="S170" i="1" s="1"/>
  <c r="R174" i="1"/>
  <c r="S174" i="1" s="1"/>
  <c r="R182" i="1"/>
  <c r="S182" i="1" s="1"/>
  <c r="R186" i="1"/>
  <c r="S186" i="1" s="1"/>
  <c r="R190" i="1"/>
  <c r="S190" i="1" s="1"/>
  <c r="R194" i="1"/>
  <c r="S194" i="1" s="1"/>
  <c r="R202" i="1"/>
  <c r="S202" i="1" s="1"/>
  <c r="R206" i="1"/>
  <c r="S206" i="1" s="1"/>
  <c r="R210" i="1"/>
  <c r="S210" i="1" s="1"/>
  <c r="R214" i="1"/>
  <c r="S214" i="1" s="1"/>
  <c r="R218" i="1"/>
  <c r="S218" i="1" s="1"/>
  <c r="R222" i="1"/>
  <c r="S222" i="1" s="1"/>
  <c r="R226" i="1"/>
  <c r="S226" i="1" s="1"/>
  <c r="R230" i="1"/>
  <c r="S230" i="1" s="1"/>
  <c r="R234" i="1"/>
  <c r="S234" i="1" s="1"/>
  <c r="R242" i="1"/>
  <c r="S242" i="1" s="1"/>
  <c r="R246" i="1"/>
  <c r="S246" i="1" s="1"/>
  <c r="R250" i="1"/>
  <c r="S250" i="1" s="1"/>
  <c r="R254" i="1"/>
  <c r="S254" i="1" s="1"/>
  <c r="R258" i="1"/>
  <c r="S258" i="1" s="1"/>
  <c r="R266" i="1"/>
  <c r="S266" i="1" s="1"/>
  <c r="R270" i="1"/>
  <c r="S270" i="1" s="1"/>
  <c r="R278" i="1"/>
  <c r="S278" i="1" s="1"/>
  <c r="R282" i="1"/>
  <c r="S282" i="1" s="1"/>
  <c r="R286" i="1"/>
  <c r="S286" i="1" s="1"/>
  <c r="R290" i="1"/>
  <c r="S290" i="1" s="1"/>
  <c r="R294" i="1"/>
  <c r="S294" i="1" s="1"/>
  <c r="R298" i="1"/>
  <c r="S298" i="1" s="1"/>
  <c r="R302" i="1"/>
  <c r="S302" i="1" s="1"/>
  <c r="R310" i="1"/>
  <c r="S310" i="1" s="1"/>
  <c r="R314" i="1"/>
  <c r="S314" i="1" s="1"/>
  <c r="R318" i="1"/>
  <c r="S318" i="1" s="1"/>
  <c r="R322" i="1"/>
  <c r="S322" i="1" s="1"/>
  <c r="R49" i="1"/>
  <c r="S49" i="1" s="1"/>
  <c r="R173" i="1"/>
  <c r="S173" i="1" s="1"/>
  <c r="R205" i="1"/>
  <c r="S205" i="1" s="1"/>
  <c r="R249" i="1"/>
  <c r="S249" i="1" s="1"/>
  <c r="R269" i="1"/>
  <c r="S269" i="1" s="1"/>
  <c r="R324" i="1"/>
  <c r="S324" i="1" s="1"/>
  <c r="R328" i="1"/>
  <c r="S328" i="1" s="1"/>
  <c r="R332" i="1"/>
  <c r="S332" i="1" s="1"/>
  <c r="R336" i="1"/>
  <c r="S336" i="1" s="1"/>
  <c r="R340" i="1"/>
  <c r="S340" i="1" s="1"/>
  <c r="R344" i="1"/>
  <c r="S344" i="1" s="1"/>
  <c r="R348" i="1"/>
  <c r="S348" i="1" s="1"/>
  <c r="R352" i="1"/>
  <c r="S352" i="1" s="1"/>
  <c r="R356" i="1"/>
  <c r="S356" i="1" s="1"/>
  <c r="R360" i="1"/>
  <c r="S360" i="1" s="1"/>
  <c r="R364" i="1"/>
  <c r="S364" i="1" s="1"/>
  <c r="R368" i="1"/>
  <c r="S368" i="1" s="1"/>
  <c r="R372" i="1"/>
  <c r="S372" i="1" s="1"/>
  <c r="R376" i="1"/>
  <c r="S376" i="1" s="1"/>
  <c r="R380" i="1"/>
  <c r="S380" i="1" s="1"/>
  <c r="R384" i="1"/>
  <c r="S384" i="1" s="1"/>
  <c r="R388" i="1"/>
  <c r="S388" i="1" s="1"/>
  <c r="R392" i="1"/>
  <c r="S392" i="1" s="1"/>
  <c r="R396" i="1"/>
  <c r="S396" i="1" s="1"/>
  <c r="R400" i="1"/>
  <c r="S400" i="1" s="1"/>
  <c r="R404" i="1"/>
  <c r="S404" i="1" s="1"/>
  <c r="R408" i="1"/>
  <c r="S408" i="1" s="1"/>
  <c r="R412" i="1"/>
  <c r="S412" i="1" s="1"/>
  <c r="R416" i="1"/>
  <c r="S416" i="1" s="1"/>
  <c r="R420" i="1"/>
  <c r="S420" i="1" s="1"/>
  <c r="R424" i="1"/>
  <c r="S424" i="1" s="1"/>
  <c r="R428" i="1"/>
  <c r="S428" i="1" s="1"/>
  <c r="R432" i="1"/>
  <c r="S432" i="1" s="1"/>
  <c r="R436" i="1"/>
  <c r="S436" i="1" s="1"/>
  <c r="R440" i="1"/>
  <c r="S440" i="1" s="1"/>
  <c r="R444" i="1"/>
  <c r="S444" i="1" s="1"/>
  <c r="R448" i="1"/>
  <c r="S448" i="1" s="1"/>
  <c r="R452" i="1"/>
  <c r="S452" i="1" s="1"/>
  <c r="R456" i="1"/>
  <c r="S456" i="1" s="1"/>
  <c r="R460" i="1"/>
  <c r="S460" i="1" s="1"/>
  <c r="R464" i="1"/>
  <c r="S464" i="1" s="1"/>
  <c r="R468" i="1"/>
  <c r="S468" i="1" s="1"/>
  <c r="R472" i="1"/>
  <c r="S472" i="1" s="1"/>
  <c r="R476" i="1"/>
  <c r="S476" i="1" s="1"/>
  <c r="R480" i="1"/>
  <c r="S480" i="1" s="1"/>
  <c r="R484" i="1"/>
  <c r="S484" i="1" s="1"/>
  <c r="R488" i="1"/>
  <c r="S488" i="1" s="1"/>
  <c r="R492" i="1"/>
  <c r="S492" i="1" s="1"/>
  <c r="R496" i="1"/>
  <c r="S496" i="1" s="1"/>
  <c r="R500" i="1"/>
  <c r="S500" i="1" s="1"/>
  <c r="R504" i="1"/>
  <c r="S504" i="1" s="1"/>
  <c r="R508" i="1"/>
  <c r="S508" i="1" s="1"/>
  <c r="R512" i="1"/>
  <c r="S512" i="1" s="1"/>
  <c r="R516" i="1"/>
  <c r="S516" i="1" s="1"/>
  <c r="R520" i="1"/>
  <c r="S520" i="1" s="1"/>
  <c r="R524" i="1"/>
  <c r="S524" i="1" s="1"/>
  <c r="R528" i="1"/>
  <c r="S528" i="1" s="1"/>
  <c r="R532" i="1"/>
  <c r="S532" i="1" s="1"/>
  <c r="R536" i="1"/>
  <c r="S536" i="1" s="1"/>
  <c r="R540" i="1"/>
  <c r="S540" i="1" s="1"/>
  <c r="R544" i="1"/>
  <c r="S544" i="1" s="1"/>
  <c r="R548" i="1"/>
  <c r="S548" i="1" s="1"/>
  <c r="R552" i="1"/>
  <c r="S552" i="1" s="1"/>
  <c r="R560" i="1"/>
  <c r="S560" i="1" s="1"/>
  <c r="R564" i="1"/>
  <c r="S564" i="1" s="1"/>
  <c r="R568" i="1"/>
  <c r="S568" i="1" s="1"/>
  <c r="R572" i="1"/>
  <c r="S572" i="1" s="1"/>
  <c r="R576" i="1"/>
  <c r="S576" i="1" s="1"/>
  <c r="R580" i="1"/>
  <c r="S580" i="1" s="1"/>
  <c r="R584" i="1"/>
  <c r="S584" i="1" s="1"/>
  <c r="R588" i="1"/>
  <c r="S588" i="1" s="1"/>
  <c r="R592" i="1"/>
  <c r="S592" i="1" s="1"/>
  <c r="R596" i="1"/>
  <c r="S596" i="1" s="1"/>
  <c r="R600" i="1"/>
  <c r="S600" i="1" s="1"/>
  <c r="R604" i="1"/>
  <c r="S604" i="1" s="1"/>
  <c r="R608" i="1"/>
  <c r="S608" i="1" s="1"/>
  <c r="R612" i="1"/>
  <c r="S612" i="1" s="1"/>
  <c r="R616" i="1"/>
  <c r="S616" i="1" s="1"/>
  <c r="R620" i="1"/>
  <c r="S620" i="1" s="1"/>
  <c r="R624" i="1"/>
  <c r="S624" i="1" s="1"/>
  <c r="R628" i="1"/>
  <c r="S628" i="1" s="1"/>
  <c r="R632" i="1"/>
  <c r="S632" i="1" s="1"/>
  <c r="R636" i="1"/>
  <c r="S636" i="1" s="1"/>
  <c r="R640" i="1"/>
  <c r="S640" i="1" s="1"/>
  <c r="R644" i="1"/>
  <c r="S644" i="1" s="1"/>
  <c r="R648" i="1"/>
  <c r="S648" i="1" s="1"/>
  <c r="R652" i="1"/>
  <c r="S652" i="1" s="1"/>
  <c r="R656" i="1"/>
  <c r="S656" i="1" s="1"/>
  <c r="R660" i="1"/>
  <c r="S660" i="1" s="1"/>
  <c r="R664" i="1"/>
  <c r="S664" i="1" s="1"/>
  <c r="R326" i="1"/>
  <c r="S326" i="1" s="1"/>
  <c r="R330" i="1"/>
  <c r="S330" i="1" s="1"/>
  <c r="R334" i="1"/>
  <c r="S334" i="1" s="1"/>
  <c r="R342" i="1"/>
  <c r="S342" i="1" s="1"/>
  <c r="R346" i="1"/>
  <c r="S346" i="1" s="1"/>
  <c r="R350" i="1"/>
  <c r="S350" i="1" s="1"/>
  <c r="R354" i="1"/>
  <c r="S354" i="1" s="1"/>
  <c r="R358" i="1"/>
  <c r="S358" i="1" s="1"/>
  <c r="R362" i="1"/>
  <c r="S362" i="1" s="1"/>
  <c r="R366" i="1"/>
  <c r="S366" i="1" s="1"/>
  <c r="R374" i="1"/>
  <c r="S374" i="1" s="1"/>
  <c r="R378" i="1"/>
  <c r="S378" i="1" s="1"/>
  <c r="R382" i="1"/>
  <c r="S382" i="1" s="1"/>
  <c r="R386" i="1"/>
  <c r="S386" i="1" s="1"/>
  <c r="R390" i="1"/>
  <c r="S390" i="1" s="1"/>
  <c r="R394" i="1"/>
  <c r="S394" i="1" s="1"/>
  <c r="R398" i="1"/>
  <c r="S398" i="1" s="1"/>
  <c r="R406" i="1"/>
  <c r="S406" i="1" s="1"/>
  <c r="R410" i="1"/>
  <c r="S410" i="1" s="1"/>
  <c r="R414" i="1"/>
  <c r="S414" i="1" s="1"/>
  <c r="R418" i="1"/>
  <c r="S418" i="1" s="1"/>
  <c r="R422" i="1"/>
  <c r="S422" i="1" s="1"/>
  <c r="R426" i="1"/>
  <c r="S426" i="1" s="1"/>
  <c r="R434" i="1"/>
  <c r="S434" i="1" s="1"/>
  <c r="R438" i="1"/>
  <c r="S438" i="1" s="1"/>
  <c r="R442" i="1"/>
  <c r="S442" i="1" s="1"/>
  <c r="R446" i="1"/>
  <c r="S446" i="1" s="1"/>
  <c r="R450" i="1"/>
  <c r="S450" i="1" s="1"/>
  <c r="R458" i="1"/>
  <c r="S458" i="1" s="1"/>
  <c r="R462" i="1"/>
  <c r="S462" i="1" s="1"/>
  <c r="R466" i="1"/>
  <c r="S466" i="1" s="1"/>
  <c r="R470" i="1"/>
  <c r="S470" i="1" s="1"/>
  <c r="R474" i="1"/>
  <c r="S474" i="1" s="1"/>
  <c r="R478" i="1"/>
  <c r="S478" i="1" s="1"/>
  <c r="R482" i="1"/>
  <c r="S482" i="1" s="1"/>
  <c r="R486" i="1"/>
  <c r="S486" i="1" s="1"/>
  <c r="R490" i="1"/>
  <c r="S490" i="1" s="1"/>
  <c r="R494" i="1"/>
  <c r="S494" i="1" s="1"/>
  <c r="R498" i="1"/>
  <c r="S498" i="1" s="1"/>
  <c r="R502" i="1"/>
  <c r="S502" i="1" s="1"/>
  <c r="R506" i="1"/>
  <c r="S506" i="1" s="1"/>
  <c r="R510" i="1"/>
  <c r="S510" i="1" s="1"/>
  <c r="R514" i="1"/>
  <c r="S514" i="1" s="1"/>
  <c r="R522" i="1"/>
  <c r="S522" i="1" s="1"/>
  <c r="R526" i="1"/>
  <c r="S526" i="1" s="1"/>
  <c r="R530" i="1"/>
  <c r="S530" i="1" s="1"/>
  <c r="R534" i="1"/>
  <c r="S534" i="1" s="1"/>
  <c r="R538" i="1"/>
  <c r="S538" i="1" s="1"/>
  <c r="R542" i="1"/>
  <c r="S542" i="1" s="1"/>
  <c r="R546" i="1"/>
  <c r="S546" i="1" s="1"/>
  <c r="R550" i="1"/>
  <c r="S550" i="1" s="1"/>
  <c r="R554" i="1"/>
  <c r="S554" i="1" s="1"/>
  <c r="R562" i="1"/>
  <c r="S562" i="1" s="1"/>
  <c r="R566" i="1"/>
  <c r="S566" i="1" s="1"/>
  <c r="R570" i="1"/>
  <c r="S570" i="1" s="1"/>
  <c r="R574" i="1"/>
  <c r="S574" i="1" s="1"/>
  <c r="R578" i="1"/>
  <c r="S578" i="1" s="1"/>
  <c r="R586" i="1"/>
  <c r="S586" i="1" s="1"/>
  <c r="R590" i="1"/>
  <c r="S590" i="1" s="1"/>
  <c r="R594" i="1"/>
  <c r="S594" i="1" s="1"/>
  <c r="R602" i="1"/>
  <c r="S602" i="1" s="1"/>
  <c r="R606" i="1"/>
  <c r="S606" i="1" s="1"/>
  <c r="R610" i="1"/>
  <c r="S610" i="1" s="1"/>
  <c r="R614" i="1"/>
  <c r="S614" i="1" s="1"/>
  <c r="R618" i="1"/>
  <c r="S618" i="1" s="1"/>
  <c r="R622" i="1"/>
  <c r="S622" i="1" s="1"/>
  <c r="R626" i="1"/>
  <c r="S626" i="1" s="1"/>
  <c r="R630" i="1"/>
  <c r="S630" i="1" s="1"/>
  <c r="R634" i="1"/>
  <c r="S634" i="1" s="1"/>
  <c r="R638" i="1"/>
  <c r="S638" i="1" s="1"/>
  <c r="R642" i="1"/>
  <c r="S642" i="1" s="1"/>
  <c r="R650" i="1"/>
  <c r="S650" i="1" s="1"/>
  <c r="R654" i="1"/>
  <c r="S654" i="1" s="1"/>
  <c r="R658" i="1"/>
  <c r="S658" i="1" s="1"/>
  <c r="R662" i="1"/>
  <c r="S662" i="1" s="1"/>
  <c r="R405" i="1"/>
  <c r="S405" i="1" s="1"/>
  <c r="R409" i="1"/>
  <c r="S409" i="1" s="1"/>
  <c r="R457" i="1"/>
  <c r="S457" i="1" s="1"/>
  <c r="R461" i="1"/>
  <c r="S461" i="1" s="1"/>
  <c r="R469" i="1"/>
  <c r="S469" i="1" s="1"/>
  <c r="R473" i="1"/>
  <c r="S473" i="1" s="1"/>
  <c r="R505" i="1"/>
  <c r="S505" i="1" s="1"/>
  <c r="R513" i="1"/>
  <c r="S513" i="1" s="1"/>
  <c r="R601" i="1"/>
  <c r="S601" i="1" s="1"/>
  <c r="R609" i="1"/>
  <c r="S609" i="1" s="1"/>
  <c r="R617" i="1"/>
  <c r="S617" i="1" s="1"/>
  <c r="R621" i="1"/>
  <c r="S621" i="1" s="1"/>
  <c r="R625" i="1"/>
  <c r="S625" i="1" s="1"/>
  <c r="R629" i="1"/>
  <c r="S629" i="1" s="1"/>
  <c r="R633" i="1"/>
  <c r="S633" i="1" s="1"/>
  <c r="R637" i="1"/>
  <c r="S637" i="1" s="1"/>
  <c r="R641" i="1"/>
  <c r="S641" i="1" s="1"/>
  <c r="R645" i="1"/>
  <c r="S645" i="1" s="1"/>
  <c r="R649" i="1"/>
  <c r="S649" i="1" s="1"/>
  <c r="R653" i="1"/>
  <c r="S653" i="1" s="1"/>
  <c r="R657" i="1"/>
  <c r="S657" i="1" s="1"/>
  <c r="R661" i="1"/>
  <c r="S661" i="1" s="1"/>
  <c r="R665" i="1"/>
  <c r="S665" i="1" s="1"/>
  <c r="R669" i="1"/>
  <c r="S669" i="1" s="1"/>
  <c r="R673" i="1"/>
  <c r="S673" i="1" s="1"/>
  <c r="R677" i="1"/>
  <c r="S677" i="1" s="1"/>
  <c r="R681" i="1"/>
  <c r="S681" i="1" s="1"/>
  <c r="R685" i="1"/>
  <c r="S685" i="1" s="1"/>
  <c r="R689" i="1"/>
  <c r="S689" i="1" s="1"/>
  <c r="R693" i="1"/>
  <c r="S693" i="1" s="1"/>
  <c r="R697" i="1"/>
  <c r="S697" i="1" s="1"/>
  <c r="R701" i="1"/>
  <c r="S701" i="1" s="1"/>
  <c r="R705" i="1"/>
  <c r="S705" i="1" s="1"/>
  <c r="R709" i="1"/>
  <c r="S709" i="1" s="1"/>
  <c r="R713" i="1"/>
  <c r="S713" i="1" s="1"/>
  <c r="R721" i="1"/>
  <c r="S721" i="1" s="1"/>
  <c r="R725" i="1"/>
  <c r="S725" i="1" s="1"/>
  <c r="R729" i="1"/>
  <c r="S729" i="1" s="1"/>
  <c r="R733" i="1"/>
  <c r="S733" i="1" s="1"/>
  <c r="R737" i="1"/>
  <c r="S737" i="1" s="1"/>
  <c r="R741" i="1"/>
  <c r="S741" i="1" s="1"/>
  <c r="R745" i="1"/>
  <c r="S745" i="1" s="1"/>
  <c r="R749" i="1"/>
  <c r="S749" i="1" s="1"/>
  <c r="R753" i="1"/>
  <c r="S753" i="1" s="1"/>
  <c r="R668" i="1"/>
  <c r="S668" i="1" s="1"/>
  <c r="R672" i="1"/>
  <c r="S672" i="1" s="1"/>
  <c r="R676" i="1"/>
  <c r="S676" i="1" s="1"/>
  <c r="R680" i="1"/>
  <c r="S680" i="1" s="1"/>
  <c r="R684" i="1"/>
  <c r="S684" i="1" s="1"/>
  <c r="R688" i="1"/>
  <c r="S688" i="1" s="1"/>
  <c r="R692" i="1"/>
  <c r="S692" i="1" s="1"/>
  <c r="R696" i="1"/>
  <c r="S696" i="1" s="1"/>
  <c r="R700" i="1"/>
  <c r="S700" i="1" s="1"/>
  <c r="R704" i="1"/>
  <c r="S704" i="1" s="1"/>
  <c r="R708" i="1"/>
  <c r="S708" i="1" s="1"/>
  <c r="R712" i="1"/>
  <c r="S712" i="1" s="1"/>
  <c r="R720" i="1"/>
  <c r="S720" i="1" s="1"/>
  <c r="R724" i="1"/>
  <c r="S724" i="1" s="1"/>
  <c r="R728" i="1"/>
  <c r="S728" i="1" s="1"/>
  <c r="R732" i="1"/>
  <c r="S732" i="1" s="1"/>
  <c r="R736" i="1"/>
  <c r="S736" i="1" s="1"/>
  <c r="R740" i="1"/>
  <c r="S740" i="1" s="1"/>
  <c r="R744" i="1"/>
  <c r="S744" i="1" s="1"/>
  <c r="R748" i="1"/>
  <c r="S748" i="1" s="1"/>
  <c r="R752" i="1"/>
  <c r="S752" i="1" s="1"/>
  <c r="R756" i="1"/>
  <c r="S756" i="1" s="1"/>
  <c r="R760" i="1"/>
  <c r="S760" i="1" s="1"/>
  <c r="R764" i="1"/>
  <c r="S764" i="1" s="1"/>
  <c r="R768" i="1"/>
  <c r="S768" i="1" s="1"/>
  <c r="R772" i="1"/>
  <c r="S772" i="1" s="1"/>
  <c r="R776" i="1"/>
  <c r="S776" i="1" s="1"/>
  <c r="R780" i="1"/>
  <c r="S780" i="1" s="1"/>
  <c r="R784" i="1"/>
  <c r="S784" i="1" s="1"/>
  <c r="R788" i="1"/>
  <c r="S788" i="1" s="1"/>
  <c r="R792" i="1"/>
  <c r="S792" i="1" s="1"/>
  <c r="R796" i="1"/>
  <c r="S796" i="1" s="1"/>
  <c r="R800" i="1"/>
  <c r="S800" i="1" s="1"/>
  <c r="R804" i="1"/>
  <c r="S804" i="1" s="1"/>
  <c r="R808" i="1"/>
  <c r="S808" i="1" s="1"/>
  <c r="R812" i="1"/>
  <c r="S812" i="1" s="1"/>
  <c r="R816" i="1"/>
  <c r="S816" i="1" s="1"/>
  <c r="R820" i="1"/>
  <c r="S820" i="1" s="1"/>
  <c r="R824" i="1"/>
  <c r="S824" i="1" s="1"/>
  <c r="R828" i="1"/>
  <c r="S828" i="1" s="1"/>
  <c r="R832" i="1"/>
  <c r="S832" i="1" s="1"/>
  <c r="R836" i="1"/>
  <c r="S836" i="1" s="1"/>
  <c r="R840" i="1"/>
  <c r="S840" i="1" s="1"/>
  <c r="R844" i="1"/>
  <c r="S844" i="1" s="1"/>
  <c r="R848" i="1"/>
  <c r="S848" i="1" s="1"/>
  <c r="R852" i="1"/>
  <c r="S852" i="1" s="1"/>
  <c r="R856" i="1"/>
  <c r="S856" i="1" s="1"/>
  <c r="R859" i="1"/>
  <c r="S859" i="1" s="1"/>
  <c r="R863" i="1"/>
  <c r="S863" i="1" s="1"/>
  <c r="R867" i="1"/>
  <c r="S867" i="1" s="1"/>
  <c r="R871" i="1"/>
  <c r="S871" i="1" s="1"/>
  <c r="R875" i="1"/>
  <c r="S875" i="1" s="1"/>
  <c r="R879" i="1"/>
  <c r="S879" i="1" s="1"/>
  <c r="R883" i="1"/>
  <c r="S883" i="1" s="1"/>
  <c r="R887" i="1"/>
  <c r="S887" i="1" s="1"/>
  <c r="R891" i="1"/>
  <c r="S891" i="1" s="1"/>
  <c r="R895" i="1"/>
  <c r="S895" i="1" s="1"/>
  <c r="R899" i="1"/>
  <c r="S899" i="1" s="1"/>
  <c r="R903" i="1"/>
  <c r="S903" i="1" s="1"/>
  <c r="R1035" i="1"/>
  <c r="S1035" i="1" s="1"/>
  <c r="R1039" i="1"/>
  <c r="S1039" i="1" s="1"/>
  <c r="R1043" i="1"/>
  <c r="S1043" i="1" s="1"/>
  <c r="R1047" i="1"/>
  <c r="S1047" i="1" s="1"/>
  <c r="R1051" i="1"/>
  <c r="S1051" i="1" s="1"/>
  <c r="R1055" i="1"/>
  <c r="S1055" i="1" s="1"/>
  <c r="R1059" i="1"/>
  <c r="S1059" i="1" s="1"/>
  <c r="R1063" i="1"/>
  <c r="S1063" i="1" s="1"/>
  <c r="R1067" i="1"/>
  <c r="S1067" i="1" s="1"/>
  <c r="R1071" i="1"/>
  <c r="S1071" i="1" s="1"/>
  <c r="R1075" i="1"/>
  <c r="S1075" i="1" s="1"/>
  <c r="R1079" i="1"/>
  <c r="S1079" i="1" s="1"/>
  <c r="R1103" i="1"/>
  <c r="S1103" i="1" s="1"/>
  <c r="R1107" i="1"/>
  <c r="S1107" i="1" s="1"/>
  <c r="R666" i="1"/>
  <c r="S666" i="1" s="1"/>
  <c r="R670" i="1"/>
  <c r="S670" i="1" s="1"/>
  <c r="R674" i="1"/>
  <c r="S674" i="1" s="1"/>
  <c r="R678" i="1"/>
  <c r="S678" i="1" s="1"/>
  <c r="R682" i="1"/>
  <c r="S682" i="1" s="1"/>
  <c r="R686" i="1"/>
  <c r="S686" i="1" s="1"/>
  <c r="R690" i="1"/>
  <c r="S690" i="1" s="1"/>
  <c r="R698" i="1"/>
  <c r="S698" i="1" s="1"/>
  <c r="R702" i="1"/>
  <c r="S702" i="1" s="1"/>
  <c r="R706" i="1"/>
  <c r="S706" i="1" s="1"/>
  <c r="R714" i="1"/>
  <c r="S714" i="1" s="1"/>
  <c r="R718" i="1"/>
  <c r="S718" i="1" s="1"/>
  <c r="R722" i="1"/>
  <c r="S722" i="1" s="1"/>
  <c r="R730" i="1"/>
  <c r="S730" i="1" s="1"/>
  <c r="R734" i="1"/>
  <c r="S734" i="1" s="1"/>
  <c r="R738" i="1"/>
  <c r="S738" i="1" s="1"/>
  <c r="R746" i="1"/>
  <c r="S746" i="1" s="1"/>
  <c r="R750" i="1"/>
  <c r="S750" i="1" s="1"/>
  <c r="R754" i="1"/>
  <c r="S754" i="1" s="1"/>
  <c r="R758" i="1"/>
  <c r="S758" i="1" s="1"/>
  <c r="R762" i="1"/>
  <c r="S762" i="1" s="1"/>
  <c r="R766" i="1"/>
  <c r="S766" i="1" s="1"/>
  <c r="R770" i="1"/>
  <c r="S770" i="1" s="1"/>
  <c r="R778" i="1"/>
  <c r="S778" i="1" s="1"/>
  <c r="R782" i="1"/>
  <c r="S782" i="1" s="1"/>
  <c r="R786" i="1"/>
  <c r="S786" i="1" s="1"/>
  <c r="R790" i="1"/>
  <c r="S790" i="1" s="1"/>
  <c r="R794" i="1"/>
  <c r="S794" i="1" s="1"/>
  <c r="R798" i="1"/>
  <c r="S798" i="1" s="1"/>
  <c r="R802" i="1"/>
  <c r="S802" i="1" s="1"/>
  <c r="R806" i="1"/>
  <c r="S806" i="1" s="1"/>
  <c r="R810" i="1"/>
  <c r="S810" i="1" s="1"/>
  <c r="R814" i="1"/>
  <c r="S814" i="1" s="1"/>
  <c r="R818" i="1"/>
  <c r="S818" i="1" s="1"/>
  <c r="R826" i="1"/>
  <c r="S826" i="1" s="1"/>
  <c r="R830" i="1"/>
  <c r="S830" i="1" s="1"/>
  <c r="R834" i="1"/>
  <c r="S834" i="1" s="1"/>
  <c r="R842" i="1"/>
  <c r="S842" i="1" s="1"/>
  <c r="R846" i="1"/>
  <c r="S846" i="1" s="1"/>
  <c r="R850" i="1"/>
  <c r="S850" i="1" s="1"/>
  <c r="R854" i="1"/>
  <c r="S854" i="1" s="1"/>
  <c r="R861" i="1"/>
  <c r="S861" i="1" s="1"/>
  <c r="R865" i="1"/>
  <c r="S865" i="1" s="1"/>
  <c r="R873" i="1"/>
  <c r="S873" i="1" s="1"/>
  <c r="R877" i="1"/>
  <c r="S877" i="1" s="1"/>
  <c r="R881" i="1"/>
  <c r="S881" i="1" s="1"/>
  <c r="R885" i="1"/>
  <c r="S885" i="1" s="1"/>
  <c r="R889" i="1"/>
  <c r="S889" i="1" s="1"/>
  <c r="R897" i="1"/>
  <c r="S897" i="1" s="1"/>
  <c r="R901" i="1"/>
  <c r="S901" i="1" s="1"/>
  <c r="R905" i="1"/>
  <c r="S905" i="1" s="1"/>
  <c r="R909" i="1"/>
  <c r="S909" i="1" s="1"/>
  <c r="R913" i="1"/>
  <c r="S913" i="1" s="1"/>
  <c r="R921" i="1"/>
  <c r="S921" i="1" s="1"/>
  <c r="R925" i="1"/>
  <c r="S925" i="1" s="1"/>
  <c r="R929" i="1"/>
  <c r="S929" i="1" s="1"/>
  <c r="R933" i="1"/>
  <c r="S933" i="1" s="1"/>
  <c r="R937" i="1"/>
  <c r="S937" i="1" s="1"/>
  <c r="R941" i="1"/>
  <c r="S941" i="1" s="1"/>
  <c r="R945" i="1"/>
  <c r="S945" i="1" s="1"/>
  <c r="R953" i="1"/>
  <c r="S953" i="1" s="1"/>
  <c r="R957" i="1"/>
  <c r="S957" i="1" s="1"/>
  <c r="R961" i="1"/>
  <c r="S961" i="1" s="1"/>
  <c r="R969" i="1"/>
  <c r="S969" i="1" s="1"/>
  <c r="R973" i="1"/>
  <c r="S973" i="1" s="1"/>
  <c r="R977" i="1"/>
  <c r="S977" i="1" s="1"/>
  <c r="R985" i="1"/>
  <c r="S985" i="1" s="1"/>
  <c r="R993" i="1"/>
  <c r="S993" i="1" s="1"/>
  <c r="R1001" i="1"/>
  <c r="S1001" i="1" s="1"/>
  <c r="R1005" i="1"/>
  <c r="S1005" i="1" s="1"/>
  <c r="R1009" i="1"/>
  <c r="S1009" i="1" s="1"/>
  <c r="R1013" i="1"/>
  <c r="S1013" i="1" s="1"/>
  <c r="R1017" i="1"/>
  <c r="S1017" i="1" s="1"/>
  <c r="R1021" i="1"/>
  <c r="S1021" i="1" s="1"/>
  <c r="R1025" i="1"/>
  <c r="S1025" i="1" s="1"/>
  <c r="R1033" i="1"/>
  <c r="S1033" i="1" s="1"/>
  <c r="R1037" i="1"/>
  <c r="S1037" i="1" s="1"/>
  <c r="R1041" i="1"/>
  <c r="S1041" i="1" s="1"/>
  <c r="R1049" i="1"/>
  <c r="S1049" i="1" s="1"/>
  <c r="R1053" i="1"/>
  <c r="S1053" i="1" s="1"/>
  <c r="R1057" i="1"/>
  <c r="S1057" i="1" s="1"/>
  <c r="R1061" i="1"/>
  <c r="S1061" i="1" s="1"/>
  <c r="R1065" i="1"/>
  <c r="S1065" i="1" s="1"/>
  <c r="R1069" i="1"/>
  <c r="S1069" i="1" s="1"/>
  <c r="R757" i="1"/>
  <c r="S757" i="1" s="1"/>
  <c r="R761" i="1"/>
  <c r="S761" i="1" s="1"/>
  <c r="R765" i="1"/>
  <c r="S765" i="1" s="1"/>
  <c r="R773" i="1"/>
  <c r="S773" i="1" s="1"/>
  <c r="R777" i="1"/>
  <c r="S777" i="1" s="1"/>
  <c r="R781" i="1"/>
  <c r="S781" i="1" s="1"/>
  <c r="R785" i="1"/>
  <c r="S785" i="1" s="1"/>
  <c r="R789" i="1"/>
  <c r="S789" i="1" s="1"/>
  <c r="R793" i="1"/>
  <c r="S793" i="1" s="1"/>
  <c r="R797" i="1"/>
  <c r="S797" i="1" s="1"/>
  <c r="R801" i="1"/>
  <c r="S801" i="1" s="1"/>
  <c r="R805" i="1"/>
  <c r="S805" i="1" s="1"/>
  <c r="R809" i="1"/>
  <c r="S809" i="1" s="1"/>
  <c r="R813" i="1"/>
  <c r="S813" i="1" s="1"/>
  <c r="R817" i="1"/>
  <c r="S817" i="1" s="1"/>
  <c r="R821" i="1"/>
  <c r="S821" i="1" s="1"/>
  <c r="R825" i="1"/>
  <c r="S825" i="1" s="1"/>
  <c r="R829" i="1"/>
  <c r="S829" i="1" s="1"/>
  <c r="R833" i="1"/>
  <c r="S833" i="1" s="1"/>
  <c r="R837" i="1"/>
  <c r="S837" i="1" s="1"/>
  <c r="R841" i="1"/>
  <c r="S841" i="1" s="1"/>
  <c r="R845" i="1"/>
  <c r="S845" i="1" s="1"/>
  <c r="R849" i="1"/>
  <c r="S849" i="1" s="1"/>
  <c r="R853" i="1"/>
  <c r="S853" i="1" s="1"/>
  <c r="R857" i="1"/>
  <c r="S857" i="1" s="1"/>
  <c r="R860" i="1"/>
  <c r="S860" i="1" s="1"/>
  <c r="R864" i="1"/>
  <c r="S864" i="1" s="1"/>
  <c r="R868" i="1"/>
  <c r="S868" i="1" s="1"/>
  <c r="R872" i="1"/>
  <c r="S872" i="1" s="1"/>
  <c r="R876" i="1"/>
  <c r="S876" i="1" s="1"/>
  <c r="R880" i="1"/>
  <c r="S880" i="1" s="1"/>
  <c r="R884" i="1"/>
  <c r="S884" i="1" s="1"/>
  <c r="R888" i="1"/>
  <c r="S888" i="1" s="1"/>
  <c r="R892" i="1"/>
  <c r="S892" i="1" s="1"/>
  <c r="R896" i="1"/>
  <c r="S896" i="1" s="1"/>
  <c r="R900" i="1"/>
  <c r="S900" i="1" s="1"/>
  <c r="R904" i="1"/>
  <c r="S904" i="1" s="1"/>
  <c r="R908" i="1"/>
  <c r="S908" i="1" s="1"/>
  <c r="R912" i="1"/>
  <c r="S912" i="1" s="1"/>
  <c r="R916" i="1"/>
  <c r="S916" i="1" s="1"/>
  <c r="R920" i="1"/>
  <c r="S920" i="1" s="1"/>
  <c r="R924" i="1"/>
  <c r="S924" i="1" s="1"/>
  <c r="R928" i="1"/>
  <c r="S928" i="1" s="1"/>
  <c r="R932" i="1"/>
  <c r="S932" i="1" s="1"/>
  <c r="R936" i="1"/>
  <c r="S936" i="1" s="1"/>
  <c r="R940" i="1"/>
  <c r="S940" i="1" s="1"/>
  <c r="R948" i="1"/>
  <c r="S948" i="1" s="1"/>
  <c r="R952" i="1"/>
  <c r="S952" i="1" s="1"/>
  <c r="R960" i="1"/>
  <c r="S960" i="1" s="1"/>
  <c r="R964" i="1"/>
  <c r="S964" i="1" s="1"/>
  <c r="R968" i="1"/>
  <c r="S968" i="1" s="1"/>
  <c r="R972" i="1"/>
  <c r="S972" i="1" s="1"/>
  <c r="R976" i="1"/>
  <c r="S976" i="1" s="1"/>
  <c r="R980" i="1"/>
  <c r="S980" i="1" s="1"/>
  <c r="R984" i="1"/>
  <c r="S984" i="1" s="1"/>
  <c r="R992" i="1"/>
  <c r="S992" i="1" s="1"/>
  <c r="R996" i="1"/>
  <c r="S996" i="1" s="1"/>
  <c r="R1000" i="1"/>
  <c r="S1000" i="1" s="1"/>
  <c r="R1004" i="1"/>
  <c r="S1004" i="1" s="1"/>
  <c r="R1008" i="1"/>
  <c r="S1008" i="1" s="1"/>
  <c r="R1016" i="1"/>
  <c r="S1016" i="1" s="1"/>
  <c r="R1024" i="1"/>
  <c r="S1024" i="1" s="1"/>
  <c r="R1028" i="1"/>
  <c r="S1028" i="1" s="1"/>
  <c r="R1032" i="1"/>
  <c r="S1032" i="1" s="1"/>
  <c r="R1036" i="1"/>
  <c r="S1036" i="1" s="1"/>
  <c r="R1040" i="1"/>
  <c r="S1040" i="1" s="1"/>
  <c r="R1044" i="1"/>
  <c r="S1044" i="1" s="1"/>
  <c r="R1048" i="1"/>
  <c r="S1048" i="1" s="1"/>
  <c r="R1056" i="1"/>
  <c r="S1056" i="1" s="1"/>
  <c r="R1060" i="1"/>
  <c r="S1060" i="1" s="1"/>
  <c r="R1064" i="1"/>
  <c r="S1064" i="1" s="1"/>
  <c r="R1068" i="1"/>
  <c r="S1068" i="1" s="1"/>
  <c r="R1072" i="1"/>
  <c r="S1072" i="1" s="1"/>
  <c r="R1076" i="1"/>
  <c r="S1076" i="1" s="1"/>
  <c r="R1080" i="1"/>
  <c r="S1080" i="1" s="1"/>
  <c r="R1088" i="1"/>
  <c r="S1088" i="1" s="1"/>
  <c r="R1092" i="1"/>
  <c r="S1092" i="1" s="1"/>
  <c r="R1096" i="1"/>
  <c r="S1096" i="1" s="1"/>
  <c r="R5" i="1"/>
  <c r="S5" i="1" s="1"/>
  <c r="R9" i="1"/>
  <c r="S9" i="1" s="1"/>
  <c r="R13" i="1"/>
  <c r="S13" i="1" s="1"/>
  <c r="R17" i="1"/>
  <c r="S17" i="1" s="1"/>
  <c r="R21" i="1"/>
  <c r="S21" i="1" s="1"/>
  <c r="R25" i="1"/>
  <c r="S25" i="1" s="1"/>
  <c r="R29" i="1"/>
  <c r="S29" i="1" s="1"/>
  <c r="R33" i="1"/>
  <c r="S33" i="1" s="1"/>
  <c r="R37" i="1"/>
  <c r="S37" i="1" s="1"/>
  <c r="R41" i="1"/>
  <c r="S41" i="1" s="1"/>
  <c r="R45" i="1"/>
  <c r="S45" i="1" s="1"/>
  <c r="R53" i="1"/>
  <c r="S53" i="1" s="1"/>
  <c r="R57" i="1"/>
  <c r="S57" i="1" s="1"/>
  <c r="R61" i="1"/>
  <c r="S61" i="1" s="1"/>
  <c r="R65" i="1"/>
  <c r="S65" i="1" s="1"/>
  <c r="R69" i="1"/>
  <c r="S69" i="1" s="1"/>
  <c r="R73" i="1"/>
  <c r="S73" i="1" s="1"/>
  <c r="R77" i="1"/>
  <c r="S77" i="1" s="1"/>
  <c r="R81" i="1"/>
  <c r="S81" i="1" s="1"/>
  <c r="R85" i="1"/>
  <c r="S85" i="1" s="1"/>
  <c r="R89" i="1"/>
  <c r="S89" i="1" s="1"/>
  <c r="R93" i="1"/>
  <c r="S93" i="1" s="1"/>
  <c r="R97" i="1"/>
  <c r="S97" i="1" s="1"/>
  <c r="R101" i="1"/>
  <c r="S101" i="1" s="1"/>
  <c r="R105" i="1"/>
  <c r="S105" i="1" s="1"/>
  <c r="R109" i="1"/>
  <c r="S109" i="1" s="1"/>
  <c r="R113" i="1"/>
  <c r="S113" i="1" s="1"/>
  <c r="R117" i="1"/>
  <c r="S117" i="1" s="1"/>
  <c r="R121" i="1"/>
  <c r="S121" i="1" s="1"/>
  <c r="R125" i="1"/>
  <c r="S125" i="1" s="1"/>
  <c r="R129" i="1"/>
  <c r="S129" i="1" s="1"/>
  <c r="R133" i="1"/>
  <c r="S133" i="1" s="1"/>
  <c r="R137" i="1"/>
  <c r="S137" i="1" s="1"/>
  <c r="R141" i="1"/>
  <c r="S141" i="1" s="1"/>
  <c r="R145" i="1"/>
  <c r="S145" i="1" s="1"/>
  <c r="R149" i="1"/>
  <c r="S149" i="1" s="1"/>
  <c r="R153" i="1"/>
  <c r="S153" i="1" s="1"/>
  <c r="R157" i="1"/>
  <c r="S157" i="1" s="1"/>
  <c r="R161" i="1"/>
  <c r="S161" i="1" s="1"/>
  <c r="R165" i="1"/>
  <c r="S165" i="1" s="1"/>
  <c r="R169" i="1"/>
  <c r="S169" i="1" s="1"/>
  <c r="R177" i="1"/>
  <c r="S177" i="1" s="1"/>
  <c r="R181" i="1"/>
  <c r="S181" i="1" s="1"/>
  <c r="R185" i="1"/>
  <c r="S185" i="1" s="1"/>
  <c r="R189" i="1"/>
  <c r="S189" i="1" s="1"/>
  <c r="R193" i="1"/>
  <c r="S193" i="1" s="1"/>
  <c r="R197" i="1"/>
  <c r="S197" i="1" s="1"/>
  <c r="R201" i="1"/>
  <c r="S201" i="1" s="1"/>
  <c r="R209" i="1"/>
  <c r="S209" i="1" s="1"/>
  <c r="R213" i="1"/>
  <c r="S213" i="1" s="1"/>
  <c r="R217" i="1"/>
  <c r="S217" i="1" s="1"/>
  <c r="R221" i="1"/>
  <c r="S221" i="1" s="1"/>
  <c r="R3" i="1"/>
  <c r="S3" i="1" s="1"/>
  <c r="R7" i="1"/>
  <c r="S7" i="1" s="1"/>
  <c r="R11" i="1"/>
  <c r="S11" i="1" s="1"/>
  <c r="R15" i="1"/>
  <c r="S15" i="1" s="1"/>
  <c r="R19" i="1"/>
  <c r="S19" i="1" s="1"/>
  <c r="R23" i="1"/>
  <c r="S23" i="1" s="1"/>
  <c r="R27" i="1"/>
  <c r="S27" i="1" s="1"/>
  <c r="R31" i="1"/>
  <c r="S31" i="1" s="1"/>
  <c r="R35" i="1"/>
  <c r="S35" i="1" s="1"/>
  <c r="R39" i="1"/>
  <c r="S39" i="1" s="1"/>
  <c r="R43" i="1"/>
  <c r="S43" i="1" s="1"/>
  <c r="R47" i="1"/>
  <c r="S47" i="1" s="1"/>
  <c r="R51" i="1"/>
  <c r="S51" i="1" s="1"/>
  <c r="R55" i="1"/>
  <c r="S55" i="1" s="1"/>
  <c r="R59" i="1"/>
  <c r="S59" i="1" s="1"/>
  <c r="R63" i="1"/>
  <c r="S63" i="1" s="1"/>
  <c r="R67" i="1"/>
  <c r="S67" i="1" s="1"/>
  <c r="R71" i="1"/>
  <c r="S71" i="1" s="1"/>
  <c r="R75" i="1"/>
  <c r="S75" i="1" s="1"/>
  <c r="R79" i="1"/>
  <c r="S79" i="1" s="1"/>
  <c r="R83" i="1"/>
  <c r="S83" i="1" s="1"/>
  <c r="R87" i="1"/>
  <c r="S87" i="1" s="1"/>
  <c r="R91" i="1"/>
  <c r="S91" i="1" s="1"/>
  <c r="R95" i="1"/>
  <c r="S95" i="1" s="1"/>
  <c r="R99" i="1"/>
  <c r="S99" i="1" s="1"/>
  <c r="R103" i="1"/>
  <c r="S103" i="1" s="1"/>
  <c r="R107" i="1"/>
  <c r="S107" i="1" s="1"/>
  <c r="R111" i="1"/>
  <c r="S111" i="1" s="1"/>
  <c r="R115" i="1"/>
  <c r="S115" i="1" s="1"/>
  <c r="R119" i="1"/>
  <c r="S119" i="1" s="1"/>
  <c r="R123" i="1"/>
  <c r="S123" i="1" s="1"/>
  <c r="R127" i="1"/>
  <c r="S127" i="1" s="1"/>
  <c r="R131" i="1"/>
  <c r="S131" i="1" s="1"/>
  <c r="R135" i="1"/>
  <c r="S135" i="1" s="1"/>
  <c r="R139" i="1"/>
  <c r="S139" i="1" s="1"/>
  <c r="R143" i="1"/>
  <c r="S143" i="1" s="1"/>
  <c r="R147" i="1"/>
  <c r="S147" i="1" s="1"/>
  <c r="R151" i="1"/>
  <c r="S151" i="1" s="1"/>
  <c r="R155" i="1"/>
  <c r="S155" i="1" s="1"/>
  <c r="R159" i="1"/>
  <c r="S159" i="1" s="1"/>
  <c r="R163" i="1"/>
  <c r="S163" i="1" s="1"/>
  <c r="R167" i="1"/>
  <c r="S167" i="1" s="1"/>
  <c r="R171" i="1"/>
  <c r="S171" i="1" s="1"/>
  <c r="R175" i="1"/>
  <c r="S175" i="1" s="1"/>
  <c r="R179" i="1"/>
  <c r="S179" i="1" s="1"/>
  <c r="R183" i="1"/>
  <c r="S183" i="1" s="1"/>
  <c r="R187" i="1"/>
  <c r="S187" i="1" s="1"/>
  <c r="R191" i="1"/>
  <c r="S191" i="1" s="1"/>
  <c r="R195" i="1"/>
  <c r="S195" i="1" s="1"/>
  <c r="R199" i="1"/>
  <c r="S199" i="1" s="1"/>
  <c r="R203" i="1"/>
  <c r="S203" i="1" s="1"/>
  <c r="R207" i="1"/>
  <c r="S207" i="1" s="1"/>
  <c r="R211" i="1"/>
  <c r="S211" i="1" s="1"/>
  <c r="R215" i="1"/>
  <c r="S215" i="1" s="1"/>
  <c r="R219" i="1"/>
  <c r="S219" i="1" s="1"/>
  <c r="R223" i="1"/>
  <c r="S223" i="1" s="1"/>
  <c r="R227" i="1"/>
  <c r="S227" i="1" s="1"/>
  <c r="R231" i="1"/>
  <c r="S231" i="1" s="1"/>
  <c r="R235" i="1"/>
  <c r="S235" i="1" s="1"/>
  <c r="R239" i="1"/>
  <c r="S239" i="1" s="1"/>
  <c r="R243" i="1"/>
  <c r="S243" i="1" s="1"/>
  <c r="R247" i="1"/>
  <c r="S247" i="1" s="1"/>
  <c r="R251" i="1"/>
  <c r="S251" i="1" s="1"/>
  <c r="R255" i="1"/>
  <c r="S255" i="1" s="1"/>
  <c r="R259" i="1"/>
  <c r="S259" i="1" s="1"/>
  <c r="R263" i="1"/>
  <c r="S263" i="1" s="1"/>
  <c r="R267" i="1"/>
  <c r="S267" i="1" s="1"/>
  <c r="R271" i="1"/>
  <c r="S271" i="1" s="1"/>
  <c r="R275" i="1"/>
  <c r="S275" i="1" s="1"/>
  <c r="R279" i="1"/>
  <c r="S279" i="1" s="1"/>
  <c r="R283" i="1"/>
  <c r="S283" i="1" s="1"/>
  <c r="R287" i="1"/>
  <c r="S287" i="1" s="1"/>
  <c r="R291" i="1"/>
  <c r="S291" i="1" s="1"/>
  <c r="R295" i="1"/>
  <c r="S295" i="1" s="1"/>
  <c r="R299" i="1"/>
  <c r="S299" i="1" s="1"/>
  <c r="R303" i="1"/>
  <c r="S303" i="1" s="1"/>
  <c r="R307" i="1"/>
  <c r="S307" i="1" s="1"/>
  <c r="R311" i="1"/>
  <c r="S311" i="1" s="1"/>
  <c r="R315" i="1"/>
  <c r="S315" i="1" s="1"/>
  <c r="R319" i="1"/>
  <c r="S319" i="1" s="1"/>
  <c r="R323" i="1"/>
  <c r="S323" i="1" s="1"/>
  <c r="R327" i="1"/>
  <c r="S327" i="1" s="1"/>
  <c r="R331" i="1"/>
  <c r="S331" i="1" s="1"/>
  <c r="R335" i="1"/>
  <c r="S335" i="1" s="1"/>
  <c r="R339" i="1"/>
  <c r="S339" i="1" s="1"/>
  <c r="R343" i="1"/>
  <c r="S343" i="1" s="1"/>
  <c r="R347" i="1"/>
  <c r="S347" i="1" s="1"/>
  <c r="R351" i="1"/>
  <c r="S351" i="1" s="1"/>
  <c r="R355" i="1"/>
  <c r="S355" i="1" s="1"/>
  <c r="R359" i="1"/>
  <c r="S359" i="1" s="1"/>
  <c r="R363" i="1"/>
  <c r="S363" i="1" s="1"/>
  <c r="R367" i="1"/>
  <c r="S367" i="1" s="1"/>
  <c r="R371" i="1"/>
  <c r="S371" i="1" s="1"/>
  <c r="R375" i="1"/>
  <c r="S375" i="1" s="1"/>
  <c r="R379" i="1"/>
  <c r="S379" i="1" s="1"/>
  <c r="R383" i="1"/>
  <c r="S383" i="1" s="1"/>
  <c r="R387" i="1"/>
  <c r="S387" i="1" s="1"/>
  <c r="R225" i="1"/>
  <c r="S225" i="1" s="1"/>
  <c r="R229" i="1"/>
  <c r="S229" i="1" s="1"/>
  <c r="R233" i="1"/>
  <c r="S233" i="1" s="1"/>
  <c r="R237" i="1"/>
  <c r="S237" i="1" s="1"/>
  <c r="R241" i="1"/>
  <c r="S241" i="1" s="1"/>
  <c r="R245" i="1"/>
  <c r="S245" i="1" s="1"/>
  <c r="R253" i="1"/>
  <c r="S253" i="1" s="1"/>
  <c r="R257" i="1"/>
  <c r="S257" i="1" s="1"/>
  <c r="R261" i="1"/>
  <c r="S261" i="1" s="1"/>
  <c r="R265" i="1"/>
  <c r="S265" i="1" s="1"/>
  <c r="R273" i="1"/>
  <c r="S273" i="1" s="1"/>
  <c r="R277" i="1"/>
  <c r="S277" i="1" s="1"/>
  <c r="R281" i="1"/>
  <c r="S281" i="1" s="1"/>
  <c r="R285" i="1"/>
  <c r="S285" i="1" s="1"/>
  <c r="R289" i="1"/>
  <c r="S289" i="1" s="1"/>
  <c r="R293" i="1"/>
  <c r="S293" i="1" s="1"/>
  <c r="R297" i="1"/>
  <c r="S297" i="1" s="1"/>
  <c r="R301" i="1"/>
  <c r="S301" i="1" s="1"/>
  <c r="R305" i="1"/>
  <c r="S305" i="1" s="1"/>
  <c r="R309" i="1"/>
  <c r="S309" i="1" s="1"/>
  <c r="R313" i="1"/>
  <c r="S313" i="1" s="1"/>
  <c r="R317" i="1"/>
  <c r="S317" i="1" s="1"/>
  <c r="R321" i="1"/>
  <c r="S321" i="1" s="1"/>
  <c r="R325" i="1"/>
  <c r="S325" i="1" s="1"/>
  <c r="R329" i="1"/>
  <c r="S329" i="1" s="1"/>
  <c r="R333" i="1"/>
  <c r="S333" i="1" s="1"/>
  <c r="R337" i="1"/>
  <c r="S337" i="1" s="1"/>
  <c r="R341" i="1"/>
  <c r="S341" i="1" s="1"/>
  <c r="R345" i="1"/>
  <c r="S345" i="1" s="1"/>
  <c r="R349" i="1"/>
  <c r="S349" i="1" s="1"/>
  <c r="R353" i="1"/>
  <c r="S353" i="1" s="1"/>
  <c r="R357" i="1"/>
  <c r="S357" i="1" s="1"/>
  <c r="R361" i="1"/>
  <c r="S361" i="1" s="1"/>
  <c r="R365" i="1"/>
  <c r="S365" i="1" s="1"/>
  <c r="R369" i="1"/>
  <c r="S369" i="1" s="1"/>
  <c r="R373" i="1"/>
  <c r="S373" i="1" s="1"/>
  <c r="R377" i="1"/>
  <c r="S377" i="1" s="1"/>
  <c r="R381" i="1"/>
  <c r="S381" i="1" s="1"/>
  <c r="R385" i="1"/>
  <c r="S385" i="1" s="1"/>
  <c r="R389" i="1"/>
  <c r="S389" i="1" s="1"/>
  <c r="R393" i="1"/>
  <c r="S393" i="1" s="1"/>
  <c r="R397" i="1"/>
  <c r="S397" i="1" s="1"/>
  <c r="R401" i="1"/>
  <c r="S401" i="1" s="1"/>
  <c r="R413" i="1"/>
  <c r="S413" i="1" s="1"/>
  <c r="R417" i="1"/>
  <c r="S417" i="1" s="1"/>
  <c r="R421" i="1"/>
  <c r="S421" i="1" s="1"/>
  <c r="R425" i="1"/>
  <c r="S425" i="1" s="1"/>
  <c r="R429" i="1"/>
  <c r="S429" i="1" s="1"/>
  <c r="R433" i="1"/>
  <c r="S433" i="1" s="1"/>
  <c r="R437" i="1"/>
  <c r="S437" i="1" s="1"/>
  <c r="R441" i="1"/>
  <c r="S441" i="1" s="1"/>
  <c r="R445" i="1"/>
  <c r="S445" i="1" s="1"/>
  <c r="R449" i="1"/>
  <c r="S449" i="1" s="1"/>
  <c r="R453" i="1"/>
  <c r="S453" i="1" s="1"/>
  <c r="R465" i="1"/>
  <c r="S465" i="1" s="1"/>
  <c r="R477" i="1"/>
  <c r="S477" i="1" s="1"/>
  <c r="R481" i="1"/>
  <c r="S481" i="1" s="1"/>
  <c r="R485" i="1"/>
  <c r="S485" i="1" s="1"/>
  <c r="R489" i="1"/>
  <c r="S489" i="1" s="1"/>
  <c r="R493" i="1"/>
  <c r="S493" i="1" s="1"/>
  <c r="R497" i="1"/>
  <c r="S497" i="1" s="1"/>
  <c r="R501" i="1"/>
  <c r="S501" i="1" s="1"/>
  <c r="R509" i="1"/>
  <c r="S509" i="1" s="1"/>
  <c r="R517" i="1"/>
  <c r="S517" i="1" s="1"/>
  <c r="R521" i="1"/>
  <c r="S521" i="1" s="1"/>
  <c r="R525" i="1"/>
  <c r="S525" i="1" s="1"/>
  <c r="R529" i="1"/>
  <c r="S529" i="1" s="1"/>
  <c r="R533" i="1"/>
  <c r="S533" i="1" s="1"/>
  <c r="R537" i="1"/>
  <c r="S537" i="1" s="1"/>
  <c r="R541" i="1"/>
  <c r="S541" i="1" s="1"/>
  <c r="R545" i="1"/>
  <c r="S545" i="1" s="1"/>
  <c r="R549" i="1"/>
  <c r="S549" i="1" s="1"/>
  <c r="R553" i="1"/>
  <c r="S553" i="1" s="1"/>
  <c r="R561" i="1"/>
  <c r="S561" i="1" s="1"/>
  <c r="R565" i="1"/>
  <c r="S565" i="1" s="1"/>
  <c r="R569" i="1"/>
  <c r="S569" i="1" s="1"/>
  <c r="R573" i="1"/>
  <c r="S573" i="1" s="1"/>
  <c r="R577" i="1"/>
  <c r="S577" i="1" s="1"/>
  <c r="R581" i="1"/>
  <c r="S581" i="1" s="1"/>
  <c r="R585" i="1"/>
  <c r="S585" i="1" s="1"/>
  <c r="R589" i="1"/>
  <c r="S589" i="1" s="1"/>
  <c r="R593" i="1"/>
  <c r="S593" i="1" s="1"/>
  <c r="R597" i="1"/>
  <c r="S597" i="1" s="1"/>
  <c r="R605" i="1"/>
  <c r="S605" i="1" s="1"/>
  <c r="R613" i="1"/>
  <c r="S613" i="1" s="1"/>
  <c r="R391" i="1"/>
  <c r="S391" i="1" s="1"/>
  <c r="R395" i="1"/>
  <c r="S395" i="1" s="1"/>
  <c r="R399" i="1"/>
  <c r="S399" i="1" s="1"/>
  <c r="R403" i="1"/>
  <c r="S403" i="1" s="1"/>
  <c r="R407" i="1"/>
  <c r="S407" i="1" s="1"/>
  <c r="R411" i="1"/>
  <c r="S411" i="1" s="1"/>
  <c r="R415" i="1"/>
  <c r="S415" i="1" s="1"/>
  <c r="R419" i="1"/>
  <c r="S419" i="1" s="1"/>
  <c r="R427" i="1"/>
  <c r="S427" i="1" s="1"/>
  <c r="R431" i="1"/>
  <c r="S431" i="1" s="1"/>
  <c r="R435" i="1"/>
  <c r="S435" i="1" s="1"/>
  <c r="R439" i="1"/>
  <c r="S439" i="1" s="1"/>
  <c r="R443" i="1"/>
  <c r="S443" i="1" s="1"/>
  <c r="R447" i="1"/>
  <c r="S447" i="1" s="1"/>
  <c r="R451" i="1"/>
  <c r="S451" i="1" s="1"/>
  <c r="R455" i="1"/>
  <c r="S455" i="1" s="1"/>
  <c r="R459" i="1"/>
  <c r="S459" i="1" s="1"/>
  <c r="R463" i="1"/>
  <c r="S463" i="1" s="1"/>
  <c r="R467" i="1"/>
  <c r="S467" i="1" s="1"/>
  <c r="R471" i="1"/>
  <c r="S471" i="1" s="1"/>
  <c r="R475" i="1"/>
  <c r="S475" i="1" s="1"/>
  <c r="R479" i="1"/>
  <c r="S479" i="1" s="1"/>
  <c r="R483" i="1"/>
  <c r="S483" i="1" s="1"/>
  <c r="R487" i="1"/>
  <c r="S487" i="1" s="1"/>
  <c r="R491" i="1"/>
  <c r="S491" i="1" s="1"/>
  <c r="R495" i="1"/>
  <c r="S495" i="1" s="1"/>
  <c r="R499" i="1"/>
  <c r="S499" i="1" s="1"/>
  <c r="R503" i="1"/>
  <c r="S503" i="1" s="1"/>
  <c r="R507" i="1"/>
  <c r="S507" i="1" s="1"/>
  <c r="R511" i="1"/>
  <c r="S511" i="1" s="1"/>
  <c r="R519" i="1"/>
  <c r="S519" i="1" s="1"/>
  <c r="R523" i="1"/>
  <c r="S523" i="1" s="1"/>
  <c r="R527" i="1"/>
  <c r="S527" i="1" s="1"/>
  <c r="R531" i="1"/>
  <c r="S531" i="1" s="1"/>
  <c r="R535" i="1"/>
  <c r="S535" i="1" s="1"/>
  <c r="R539" i="1"/>
  <c r="S539" i="1" s="1"/>
  <c r="R543" i="1"/>
  <c r="S543" i="1" s="1"/>
  <c r="R547" i="1"/>
  <c r="S547" i="1" s="1"/>
  <c r="R551" i="1"/>
  <c r="S551" i="1" s="1"/>
  <c r="R555" i="1"/>
  <c r="S555" i="1" s="1"/>
  <c r="R559" i="1"/>
  <c r="S559" i="1" s="1"/>
  <c r="R563" i="1"/>
  <c r="S563" i="1" s="1"/>
  <c r="R567" i="1"/>
  <c r="S567" i="1" s="1"/>
  <c r="R571" i="1"/>
  <c r="S571" i="1" s="1"/>
  <c r="R575" i="1"/>
  <c r="S575" i="1" s="1"/>
  <c r="R579" i="1"/>
  <c r="S579" i="1" s="1"/>
  <c r="R583" i="1"/>
  <c r="S583" i="1" s="1"/>
  <c r="R587" i="1"/>
  <c r="S587" i="1" s="1"/>
  <c r="R591" i="1"/>
  <c r="S591" i="1" s="1"/>
  <c r="R595" i="1"/>
  <c r="S595" i="1" s="1"/>
  <c r="R599" i="1"/>
  <c r="S599" i="1" s="1"/>
  <c r="R603" i="1"/>
  <c r="S603" i="1" s="1"/>
  <c r="R607" i="1"/>
  <c r="S607" i="1" s="1"/>
  <c r="R611" i="1"/>
  <c r="S611" i="1" s="1"/>
  <c r="R615" i="1"/>
  <c r="S615" i="1" s="1"/>
  <c r="R619" i="1"/>
  <c r="S619" i="1" s="1"/>
  <c r="R623" i="1"/>
  <c r="S623" i="1" s="1"/>
  <c r="R627" i="1"/>
  <c r="S627" i="1" s="1"/>
  <c r="R631" i="1"/>
  <c r="S631" i="1" s="1"/>
  <c r="R635" i="1"/>
  <c r="S635" i="1" s="1"/>
  <c r="R639" i="1"/>
  <c r="S639" i="1" s="1"/>
  <c r="R643" i="1"/>
  <c r="S643" i="1" s="1"/>
  <c r="R647" i="1"/>
  <c r="S647" i="1" s="1"/>
  <c r="R651" i="1"/>
  <c r="S651" i="1" s="1"/>
  <c r="R655" i="1"/>
  <c r="S655" i="1" s="1"/>
  <c r="R659" i="1"/>
  <c r="S659" i="1" s="1"/>
  <c r="R663" i="1"/>
  <c r="S663" i="1" s="1"/>
  <c r="R667" i="1"/>
  <c r="S667" i="1" s="1"/>
  <c r="R671" i="1"/>
  <c r="S671" i="1" s="1"/>
  <c r="R675" i="1"/>
  <c r="S675" i="1" s="1"/>
  <c r="R679" i="1"/>
  <c r="S679" i="1" s="1"/>
  <c r="R683" i="1"/>
  <c r="S683" i="1" s="1"/>
  <c r="R687" i="1"/>
  <c r="S687" i="1" s="1"/>
  <c r="R691" i="1"/>
  <c r="S691" i="1" s="1"/>
  <c r="R695" i="1"/>
  <c r="S695" i="1" s="1"/>
  <c r="R699" i="1"/>
  <c r="S699" i="1" s="1"/>
  <c r="R703" i="1"/>
  <c r="S703" i="1" s="1"/>
  <c r="R707" i="1"/>
  <c r="S707" i="1" s="1"/>
  <c r="R711" i="1"/>
  <c r="S711" i="1" s="1"/>
  <c r="R715" i="1"/>
  <c r="S715" i="1" s="1"/>
  <c r="R719" i="1"/>
  <c r="S719" i="1" s="1"/>
  <c r="R723" i="1"/>
  <c r="S723" i="1" s="1"/>
  <c r="R727" i="1"/>
  <c r="S727" i="1" s="1"/>
  <c r="R731" i="1"/>
  <c r="S731" i="1" s="1"/>
  <c r="R735" i="1"/>
  <c r="S735" i="1" s="1"/>
  <c r="R739" i="1"/>
  <c r="S739" i="1" s="1"/>
  <c r="R743" i="1"/>
  <c r="S743" i="1" s="1"/>
  <c r="R747" i="1"/>
  <c r="S747" i="1" s="1"/>
  <c r="R751" i="1"/>
  <c r="S751" i="1" s="1"/>
  <c r="R755" i="1"/>
  <c r="S755" i="1" s="1"/>
  <c r="R759" i="1"/>
  <c r="S759" i="1" s="1"/>
  <c r="R763" i="1"/>
  <c r="S763" i="1" s="1"/>
  <c r="R767" i="1"/>
  <c r="S767" i="1" s="1"/>
  <c r="R771" i="1"/>
  <c r="S771" i="1" s="1"/>
  <c r="R775" i="1"/>
  <c r="S775" i="1" s="1"/>
  <c r="R779" i="1"/>
  <c r="S779" i="1" s="1"/>
  <c r="R783" i="1"/>
  <c r="S783" i="1" s="1"/>
  <c r="R787" i="1"/>
  <c r="S787" i="1" s="1"/>
  <c r="R791" i="1"/>
  <c r="S791" i="1" s="1"/>
  <c r="R795" i="1"/>
  <c r="S795" i="1" s="1"/>
  <c r="R799" i="1"/>
  <c r="S799" i="1" s="1"/>
  <c r="R803" i="1"/>
  <c r="S803" i="1" s="1"/>
  <c r="R807" i="1"/>
  <c r="S807" i="1" s="1"/>
  <c r="R811" i="1"/>
  <c r="S811" i="1" s="1"/>
  <c r="R815" i="1"/>
  <c r="S815" i="1" s="1"/>
  <c r="R819" i="1"/>
  <c r="S819" i="1" s="1"/>
  <c r="R823" i="1"/>
  <c r="S823" i="1" s="1"/>
  <c r="R827" i="1"/>
  <c r="S827" i="1" s="1"/>
  <c r="R831" i="1"/>
  <c r="S831" i="1" s="1"/>
  <c r="R835" i="1"/>
  <c r="S835" i="1" s="1"/>
  <c r="R839" i="1"/>
  <c r="S839" i="1" s="1"/>
  <c r="R843" i="1"/>
  <c r="S843" i="1" s="1"/>
  <c r="R847" i="1"/>
  <c r="S847" i="1" s="1"/>
  <c r="R851" i="1"/>
  <c r="S851" i="1" s="1"/>
  <c r="R855" i="1"/>
  <c r="S855" i="1" s="1"/>
  <c r="R858" i="1"/>
  <c r="S858" i="1" s="1"/>
  <c r="R862" i="1"/>
  <c r="S862" i="1" s="1"/>
  <c r="R866" i="1"/>
  <c r="S866" i="1" s="1"/>
  <c r="R870" i="1"/>
  <c r="S870" i="1" s="1"/>
  <c r="R874" i="1"/>
  <c r="S874" i="1" s="1"/>
  <c r="R878" i="1"/>
  <c r="S878" i="1" s="1"/>
  <c r="R882" i="1"/>
  <c r="S882" i="1" s="1"/>
  <c r="R886" i="1"/>
  <c r="S886" i="1" s="1"/>
  <c r="R890" i="1"/>
  <c r="S890" i="1" s="1"/>
  <c r="R894" i="1"/>
  <c r="S894" i="1" s="1"/>
  <c r="R898" i="1"/>
  <c r="S898" i="1" s="1"/>
  <c r="R902" i="1"/>
  <c r="S902" i="1" s="1"/>
  <c r="R906" i="1"/>
  <c r="S906" i="1" s="1"/>
  <c r="R910" i="1"/>
  <c r="S910" i="1" s="1"/>
  <c r="R914" i="1"/>
  <c r="S914" i="1" s="1"/>
  <c r="R918" i="1"/>
  <c r="S918" i="1" s="1"/>
  <c r="R922" i="1"/>
  <c r="S922" i="1" s="1"/>
  <c r="R926" i="1"/>
  <c r="S926" i="1" s="1"/>
  <c r="R930" i="1"/>
  <c r="S930" i="1" s="1"/>
  <c r="R934" i="1"/>
  <c r="S934" i="1" s="1"/>
  <c r="R938" i="1"/>
  <c r="S938" i="1" s="1"/>
  <c r="R942" i="1"/>
  <c r="S942" i="1" s="1"/>
  <c r="R946" i="1"/>
  <c r="S946" i="1" s="1"/>
  <c r="R950" i="1"/>
  <c r="S950" i="1" s="1"/>
  <c r="R954" i="1"/>
  <c r="S954" i="1" s="1"/>
  <c r="R958" i="1"/>
  <c r="S958" i="1" s="1"/>
  <c r="R966" i="1"/>
  <c r="S966" i="1" s="1"/>
  <c r="R970" i="1"/>
  <c r="S970" i="1" s="1"/>
  <c r="R974" i="1"/>
  <c r="S974" i="1" s="1"/>
  <c r="R978" i="1"/>
  <c r="S978" i="1" s="1"/>
  <c r="R982" i="1"/>
  <c r="S982" i="1" s="1"/>
  <c r="R986" i="1"/>
  <c r="S986" i="1" s="1"/>
  <c r="R990" i="1"/>
  <c r="S990" i="1" s="1"/>
  <c r="R994" i="1"/>
  <c r="S994" i="1" s="1"/>
  <c r="R998" i="1"/>
  <c r="S998" i="1" s="1"/>
  <c r="R1002" i="1"/>
  <c r="S1002" i="1" s="1"/>
  <c r="R1006" i="1"/>
  <c r="S1006" i="1" s="1"/>
  <c r="R1010" i="1"/>
  <c r="S1010" i="1" s="1"/>
  <c r="R1014" i="1"/>
  <c r="S1014" i="1" s="1"/>
  <c r="R1018" i="1"/>
  <c r="S1018" i="1" s="1"/>
  <c r="R1022" i="1"/>
  <c r="S1022" i="1" s="1"/>
  <c r="R1026" i="1"/>
  <c r="S1026" i="1" s="1"/>
  <c r="R1030" i="1"/>
  <c r="S1030" i="1" s="1"/>
  <c r="R1034" i="1"/>
  <c r="S1034" i="1" s="1"/>
  <c r="R1038" i="1"/>
  <c r="S1038" i="1" s="1"/>
  <c r="R1042" i="1"/>
  <c r="S1042" i="1" s="1"/>
  <c r="R1046" i="1"/>
  <c r="S1046" i="1" s="1"/>
  <c r="R1050" i="1"/>
  <c r="S1050" i="1" s="1"/>
  <c r="R1054" i="1"/>
  <c r="S1054" i="1" s="1"/>
  <c r="R1058" i="1"/>
  <c r="S1058" i="1" s="1"/>
  <c r="R1062" i="1"/>
  <c r="S1062" i="1" s="1"/>
  <c r="R1066" i="1"/>
  <c r="S1066" i="1" s="1"/>
  <c r="R1070" i="1"/>
  <c r="S1070" i="1" s="1"/>
  <c r="R1074" i="1"/>
  <c r="S1074" i="1" s="1"/>
  <c r="R1095" i="1"/>
  <c r="S1095" i="1" s="1"/>
  <c r="R1099" i="1"/>
  <c r="S1099" i="1" s="1"/>
  <c r="R1078" i="1"/>
  <c r="S1078" i="1" s="1"/>
  <c r="R1082" i="1"/>
  <c r="S1082" i="1" s="1"/>
  <c r="R1073" i="1"/>
  <c r="S1073" i="1" s="1"/>
  <c r="R1081" i="1"/>
  <c r="S1081" i="1" s="1"/>
  <c r="R1085" i="1"/>
  <c r="S1085" i="1" s="1"/>
  <c r="R1097" i="1"/>
  <c r="S1097" i="1" s="1"/>
  <c r="R1100" i="1"/>
  <c r="S1100" i="1" s="1"/>
  <c r="R1104" i="1"/>
  <c r="S1104" i="1" s="1"/>
  <c r="R1120" i="1"/>
  <c r="S1120" i="1" s="1"/>
  <c r="R1124" i="1"/>
  <c r="S1124" i="1" s="1"/>
  <c r="R1083" i="1"/>
  <c r="S1083" i="1" s="1"/>
  <c r="R1087" i="1"/>
  <c r="S1087" i="1" s="1"/>
  <c r="R1091" i="1"/>
  <c r="S1091" i="1" s="1"/>
  <c r="R956" i="1"/>
  <c r="S956" i="1" s="1"/>
  <c r="R1111" i="1"/>
  <c r="S1111" i="1" s="1"/>
  <c r="R1086" i="1"/>
  <c r="S1086" i="1" s="1"/>
  <c r="R1094" i="1"/>
  <c r="S1094" i="1" s="1"/>
  <c r="R1098" i="1"/>
  <c r="S1098" i="1" s="1"/>
  <c r="R1102" i="1"/>
  <c r="S1102" i="1" s="1"/>
  <c r="R1114" i="1"/>
  <c r="S1114" i="1" s="1"/>
  <c r="R1118" i="1"/>
  <c r="S1118" i="1" s="1"/>
  <c r="R1105" i="1"/>
  <c r="S1105" i="1" s="1"/>
  <c r="R1113" i="1"/>
  <c r="S1113" i="1" s="1"/>
  <c r="R1117" i="1"/>
  <c r="S1117" i="1" s="1"/>
  <c r="R1121" i="1"/>
  <c r="S1121" i="1" s="1"/>
  <c r="R1108" i="1"/>
  <c r="S1108" i="1" s="1"/>
  <c r="R1112" i="1"/>
  <c r="S1112" i="1" s="1"/>
  <c r="R1132" i="1"/>
  <c r="S1132" i="1" s="1"/>
  <c r="R1116" i="1"/>
  <c r="S1116" i="1" s="1"/>
  <c r="R1115" i="1"/>
  <c r="S1115" i="1" s="1"/>
  <c r="R1119" i="1"/>
  <c r="S1119" i="1" s="1"/>
  <c r="R1123" i="1"/>
  <c r="S1123" i="1" s="1"/>
  <c r="R1127" i="1"/>
  <c r="S1127" i="1" s="1"/>
  <c r="R1131" i="1"/>
  <c r="S1131" i="1" s="1"/>
  <c r="R1126" i="1"/>
  <c r="S1126" i="1" s="1"/>
  <c r="R134" i="1"/>
  <c r="S134" i="1" s="1"/>
  <c r="R238" i="1"/>
  <c r="S238" i="1" s="1"/>
  <c r="R430" i="1"/>
  <c r="S430" i="1" s="1"/>
  <c r="R518" i="1"/>
  <c r="S518" i="1" s="1"/>
  <c r="R54" i="1"/>
  <c r="S54" i="1" s="1"/>
  <c r="R86" i="1"/>
  <c r="S86" i="1" s="1"/>
  <c r="R198" i="1"/>
  <c r="S198" i="1" s="1"/>
  <c r="R454" i="1"/>
  <c r="S454" i="1" s="1"/>
  <c r="R582" i="1"/>
  <c r="S582" i="1" s="1"/>
  <c r="R646" i="1"/>
  <c r="S646" i="1" s="1"/>
  <c r="R10" i="1"/>
  <c r="S10" i="1" s="1"/>
  <c r="R18" i="1"/>
  <c r="S18" i="1" s="1"/>
  <c r="R42" i="1"/>
  <c r="S42" i="1" s="1"/>
  <c r="R50" i="1"/>
  <c r="S50" i="1" s="1"/>
  <c r="R74" i="1"/>
  <c r="S74" i="1" s="1"/>
  <c r="R82" i="1"/>
  <c r="S82" i="1" s="1"/>
  <c r="R106" i="1"/>
  <c r="S106" i="1" s="1"/>
  <c r="R114" i="1"/>
  <c r="S114" i="1" s="1"/>
  <c r="R146" i="1"/>
  <c r="S146" i="1" s="1"/>
  <c r="R178" i="1"/>
  <c r="S178" i="1" s="1"/>
  <c r="R262" i="1"/>
  <c r="S262" i="1" s="1"/>
  <c r="R274" i="1"/>
  <c r="S274" i="1" s="1"/>
  <c r="R306" i="1"/>
  <c r="S306" i="1" s="1"/>
  <c r="R338" i="1"/>
  <c r="S338" i="1" s="1"/>
  <c r="R370" i="1"/>
  <c r="S370" i="1" s="1"/>
  <c r="R402" i="1"/>
  <c r="S402" i="1" s="1"/>
  <c r="R598" i="1"/>
  <c r="S598" i="1" s="1"/>
  <c r="R694" i="1"/>
  <c r="S694" i="1" s="1"/>
  <c r="R710" i="1"/>
  <c r="S710" i="1" s="1"/>
  <c r="R726" i="1"/>
  <c r="S726" i="1" s="1"/>
  <c r="R742" i="1"/>
  <c r="S742" i="1" s="1"/>
  <c r="R774" i="1"/>
  <c r="S774" i="1" s="1"/>
  <c r="R822" i="1"/>
  <c r="S822" i="1" s="1"/>
  <c r="R838" i="1"/>
  <c r="S838" i="1" s="1"/>
  <c r="R869" i="1"/>
  <c r="S869" i="1" s="1"/>
  <c r="R949" i="1"/>
  <c r="S949" i="1" s="1"/>
  <c r="R965" i="1"/>
  <c r="S965" i="1" s="1"/>
  <c r="R981" i="1"/>
  <c r="S981" i="1" s="1"/>
  <c r="R997" i="1"/>
  <c r="S997" i="1" s="1"/>
  <c r="R1077" i="1"/>
  <c r="S1077" i="1" s="1"/>
  <c r="R1093" i="1"/>
  <c r="S1093" i="1" s="1"/>
  <c r="R1109" i="1"/>
  <c r="S1109" i="1" s="1"/>
  <c r="R1125" i="1"/>
  <c r="S1125" i="1" s="1"/>
  <c r="R988" i="1"/>
  <c r="S988" i="1" s="1"/>
  <c r="R1020" i="1"/>
  <c r="S1020" i="1" s="1"/>
  <c r="R1052" i="1"/>
  <c r="S1052" i="1" s="1"/>
  <c r="R1084" i="1"/>
  <c r="S1084" i="1" s="1"/>
  <c r="R1128" i="1"/>
  <c r="S1128" i="1" s="1"/>
</calcChain>
</file>

<file path=xl/sharedStrings.xml><?xml version="1.0" encoding="utf-8"?>
<sst xmlns="http://schemas.openxmlformats.org/spreadsheetml/2006/main" count="25875" uniqueCount="8236">
  <si>
    <t>#</t>
  </si>
  <si>
    <t>TIME SENT TO POG</t>
  </si>
  <si>
    <t>DATE SENT TO POG</t>
  </si>
  <si>
    <t>POG CONFIRMATION RECEIPT OF ORDER
(DATE &amp; TIME)</t>
  </si>
  <si>
    <t>ACCT #</t>
  </si>
  <si>
    <t>Frame  Requested (Frame OG080 Discontinued &amp; Back Order OG508 &amp; OG138)</t>
  </si>
  <si>
    <t>SIZE</t>
  </si>
  <si>
    <t>COLORS</t>
  </si>
  <si>
    <t>FOLLOW UP DATE FROM LIAISON</t>
  </si>
  <si>
    <t xml:space="preserve">POG ORDER </t>
  </si>
  <si>
    <t>PASS # ON ORDER FORM</t>
  </si>
  <si>
    <t>Follow up</t>
  </si>
  <si>
    <t>2</t>
  </si>
  <si>
    <t>3</t>
  </si>
  <si>
    <t>7810</t>
  </si>
  <si>
    <t>4</t>
  </si>
  <si>
    <t>5</t>
  </si>
  <si>
    <t>330886</t>
  </si>
  <si>
    <t>6</t>
  </si>
  <si>
    <t>7</t>
  </si>
  <si>
    <t>8</t>
  </si>
  <si>
    <t>7818</t>
  </si>
  <si>
    <t>9</t>
  </si>
  <si>
    <t>10</t>
  </si>
  <si>
    <t>11</t>
  </si>
  <si>
    <t>12</t>
  </si>
  <si>
    <t>13</t>
  </si>
  <si>
    <t>819012</t>
  </si>
  <si>
    <t>14</t>
  </si>
  <si>
    <t>15</t>
  </si>
  <si>
    <t>16</t>
  </si>
  <si>
    <t>17</t>
  </si>
  <si>
    <t>18</t>
  </si>
  <si>
    <t>19</t>
  </si>
  <si>
    <t>20</t>
  </si>
  <si>
    <t>21</t>
  </si>
  <si>
    <t>636001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</si>
  <si>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</si>
  <si>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</si>
  <si>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</si>
  <si>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</si>
  <si>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</si>
  <si>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</si>
  <si>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</si>
  <si>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</si>
  <si>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</si>
  <si>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</si>
  <si>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</si>
  <si>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7819</t>
  </si>
  <si>
    <t>New</t>
  </si>
  <si>
    <t>33</t>
  </si>
  <si>
    <t>34</t>
  </si>
  <si>
    <t>35</t>
  </si>
  <si>
    <t>36</t>
  </si>
  <si>
    <t>37</t>
  </si>
  <si>
    <t>38</t>
  </si>
  <si>
    <t>881068</t>
  </si>
  <si>
    <t>39</t>
  </si>
  <si>
    <t>40</t>
  </si>
  <si>
    <t>41</t>
  </si>
  <si>
    <t>42</t>
  </si>
  <si>
    <t>43</t>
  </si>
  <si>
    <t>44</t>
  </si>
  <si>
    <t>45</t>
  </si>
  <si>
    <t>7824</t>
  </si>
  <si>
    <t>46</t>
  </si>
  <si>
    <t>47</t>
  </si>
  <si>
    <t>48</t>
  </si>
  <si>
    <t>49</t>
  </si>
  <si>
    <t>50</t>
  </si>
  <si>
    <t>51</t>
  </si>
  <si>
    <t>52</t>
  </si>
  <si>
    <t>53</t>
  </si>
  <si>
    <t>7823</t>
  </si>
  <si>
    <t>54</t>
  </si>
  <si>
    <t>55</t>
  </si>
  <si>
    <t>56</t>
  </si>
  <si>
    <t>144056</t>
  </si>
  <si>
    <t>57</t>
  </si>
  <si>
    <t>194025</t>
  </si>
  <si>
    <t>58</t>
  </si>
  <si>
    <t>59</t>
  </si>
  <si>
    <t>60</t>
  </si>
  <si>
    <t>61</t>
  </si>
  <si>
    <t>922016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</si>
  <si>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</si>
  <si>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</si>
  <si>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</si>
  <si>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</si>
  <si>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</si>
  <si>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</si>
  <si>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</si>
  <si>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</si>
  <si>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</si>
  <si>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</si>
  <si>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</si>
  <si>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</si>
  <si>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9:03am</t>
  </si>
  <si>
    <t>337056</t>
  </si>
  <si>
    <t>74</t>
  </si>
  <si>
    <t>75</t>
  </si>
  <si>
    <t>76</t>
  </si>
  <si>
    <t>77</t>
  </si>
  <si>
    <t>78</t>
  </si>
  <si>
    <t>Remake</t>
  </si>
  <si>
    <t>79</t>
  </si>
  <si>
    <t>80</t>
  </si>
  <si>
    <t>81</t>
  </si>
  <si>
    <t>82</t>
  </si>
  <si>
    <t>247995</t>
  </si>
  <si>
    <t>83</t>
  </si>
  <si>
    <t>84</t>
  </si>
  <si>
    <t>805007</t>
  </si>
  <si>
    <t>85</t>
  </si>
  <si>
    <t>86</t>
  </si>
  <si>
    <t>129829</t>
  </si>
  <si>
    <t>87</t>
  </si>
  <si>
    <t>88</t>
  </si>
  <si>
    <t>891947</t>
  </si>
  <si>
    <t>89</t>
  </si>
  <si>
    <t>90</t>
  </si>
  <si>
    <t>91</t>
  </si>
  <si>
    <t>92</t>
  </si>
  <si>
    <t>642781</t>
  </si>
  <si>
    <t>93</t>
  </si>
  <si>
    <t>291577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</si>
  <si>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</si>
  <si>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</si>
  <si>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</si>
  <si>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</si>
  <si>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</si>
  <si>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</si>
  <si>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</si>
  <si>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</si>
  <si>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</si>
  <si>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</si>
  <si>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</si>
  <si>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</si>
  <si>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</si>
  <si>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236122</t>
  </si>
  <si>
    <t>107</t>
  </si>
  <si>
    <t>108</t>
  </si>
  <si>
    <t>109</t>
  </si>
  <si>
    <t>110</t>
  </si>
  <si>
    <t>111</t>
  </si>
  <si>
    <t>112</t>
  </si>
  <si>
    <t>211057</t>
  </si>
  <si>
    <t>113</t>
  </si>
  <si>
    <t>114</t>
  </si>
  <si>
    <t>115</t>
  </si>
  <si>
    <t>116</t>
  </si>
  <si>
    <t>598022</t>
  </si>
  <si>
    <t>117</t>
  </si>
  <si>
    <t>118</t>
  </si>
  <si>
    <t>119</t>
  </si>
  <si>
    <t>290032</t>
  </si>
  <si>
    <t>120</t>
  </si>
  <si>
    <t>121</t>
  </si>
  <si>
    <t>122</t>
  </si>
  <si>
    <t>123</t>
  </si>
  <si>
    <t>124</t>
  </si>
  <si>
    <t>102038</t>
  </si>
  <si>
    <t>125</t>
  </si>
  <si>
    <t>126</t>
  </si>
  <si>
    <t>127</t>
  </si>
  <si>
    <t>128</t>
  </si>
  <si>
    <t>129</t>
  </si>
  <si>
    <t>566054</t>
  </si>
  <si>
    <t>130</t>
  </si>
  <si>
    <t>131</t>
  </si>
  <si>
    <t>019062</t>
  </si>
  <si>
    <t>132</t>
  </si>
  <si>
    <t>133</t>
  </si>
  <si>
    <t>134</t>
  </si>
  <si>
    <t>135</t>
  </si>
  <si>
    <t>136</t>
  </si>
  <si>
    <t>137</t>
  </si>
  <si>
    <t>138</t>
  </si>
  <si>
    <t>008055</t>
  </si>
  <si>
    <t>139</t>
  </si>
  <si>
    <t>826113</t>
  </si>
  <si>
    <t>140</t>
  </si>
  <si>
    <t>10:22am</t>
  </si>
  <si>
    <t>019054</t>
  </si>
  <si>
    <t>141</t>
  </si>
  <si>
    <t>142</t>
  </si>
  <si>
    <t>143</t>
  </si>
  <si>
    <t>144</t>
  </si>
  <si>
    <t>145</t>
  </si>
  <si>
    <t>146</t>
  </si>
  <si>
    <t>2:51pm</t>
  </si>
  <si>
    <t>7812</t>
  </si>
  <si>
    <t>147</t>
  </si>
  <si>
    <t>148</t>
  </si>
  <si>
    <t>149</t>
  </si>
  <si>
    <t>150</t>
  </si>
  <si>
    <t>10:36am</t>
  </si>
  <si>
    <t>990059</t>
  </si>
  <si>
    <t>151</t>
  </si>
  <si>
    <t>642014</t>
  </si>
  <si>
    <t>152</t>
  </si>
  <si>
    <t>153</t>
  </si>
  <si>
    <t>603047</t>
  </si>
  <si>
    <t>154</t>
  </si>
  <si>
    <t>155</t>
  </si>
  <si>
    <t>156</t>
  </si>
  <si>
    <t>157</t>
  </si>
  <si>
    <t>158</t>
  </si>
  <si>
    <t>925039</t>
  </si>
  <si>
    <t>159</t>
  </si>
  <si>
    <t>160</t>
  </si>
  <si>
    <t>11:55am</t>
  </si>
  <si>
    <t>217098</t>
  </si>
  <si>
    <t>161</t>
  </si>
  <si>
    <t>162</t>
  </si>
  <si>
    <t>000099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</si>
  <si>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</si>
  <si>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</si>
  <si>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</si>
  <si>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</si>
  <si>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</si>
  <si>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</si>
  <si>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</si>
  <si>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</si>
  <si>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</si>
  <si>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9:30am</t>
  </si>
  <si>
    <t>843025</t>
  </si>
  <si>
    <t>172</t>
  </si>
  <si>
    <t>173</t>
  </si>
  <si>
    <t>174</t>
  </si>
  <si>
    <t>175</t>
  </si>
  <si>
    <t>2:59pm</t>
  </si>
  <si>
    <t>446080</t>
  </si>
  <si>
    <t>176</t>
  </si>
  <si>
    <t>8:45am</t>
  </si>
  <si>
    <t>177</t>
  </si>
  <si>
    <t>10:00am</t>
  </si>
  <si>
    <t>178</t>
  </si>
  <si>
    <t>2:04pm</t>
  </si>
  <si>
    <t>179</t>
  </si>
  <si>
    <t>180</t>
  </si>
  <si>
    <t>181</t>
  </si>
  <si>
    <t>2:14pm</t>
  </si>
  <si>
    <t>182</t>
  </si>
  <si>
    <t>2:35pm</t>
  </si>
  <si>
    <t>183</t>
  </si>
  <si>
    <t>9:17am</t>
  </si>
  <si>
    <t>741012</t>
  </si>
  <si>
    <t>184</t>
  </si>
  <si>
    <t>9:33am</t>
  </si>
  <si>
    <t>185</t>
  </si>
  <si>
    <t>186</t>
  </si>
  <si>
    <t>1:41pm</t>
  </si>
  <si>
    <t>187</t>
  </si>
  <si>
    <t>12:02pm</t>
  </si>
  <si>
    <t>887114</t>
  </si>
  <si>
    <t>188</t>
  </si>
  <si>
    <t>694005</t>
  </si>
  <si>
    <t>189</t>
  </si>
  <si>
    <t>4:35pm</t>
  </si>
  <si>
    <t>190</t>
  </si>
  <si>
    <t>980052</t>
  </si>
  <si>
    <t>191</t>
  </si>
  <si>
    <t>035012</t>
  </si>
  <si>
    <t>192</t>
  </si>
  <si>
    <t>9:27am</t>
  </si>
  <si>
    <t>193</t>
  </si>
  <si>
    <t>2:37pm</t>
  </si>
  <si>
    <t>676072</t>
  </si>
  <si>
    <t>194</t>
  </si>
  <si>
    <t>195</t>
  </si>
  <si>
    <t>8:26am</t>
  </si>
  <si>
    <t>385068</t>
  </si>
  <si>
    <t>196</t>
  </si>
  <si>
    <t>189073</t>
  </si>
  <si>
    <t>197</t>
  </si>
  <si>
    <t>009054</t>
  </si>
  <si>
    <t>198</t>
  </si>
  <si>
    <t>9:58am</t>
  </si>
  <si>
    <t>199</t>
  </si>
  <si>
    <t>200</t>
  </si>
  <si>
    <t>201</t>
  </si>
  <si>
    <t>996098</t>
  </si>
  <si>
    <t>202</t>
  </si>
  <si>
    <t>203</t>
  </si>
  <si>
    <t>997388</t>
  </si>
  <si>
    <t>204</t>
  </si>
  <si>
    <t>12:31pm</t>
  </si>
  <si>
    <t>995024</t>
  </si>
  <si>
    <t>205</t>
  </si>
  <si>
    <t>1:00pm</t>
  </si>
  <si>
    <t>206</t>
  </si>
  <si>
    <t>523016</t>
  </si>
  <si>
    <t>207</t>
  </si>
  <si>
    <t>12:09pm</t>
  </si>
  <si>
    <t>208</t>
  </si>
  <si>
    <t>525044</t>
  </si>
  <si>
    <t>209</t>
  </si>
  <si>
    <t>210</t>
  </si>
  <si>
    <t>727314</t>
  </si>
  <si>
    <t>211</t>
  </si>
  <si>
    <t>446210</t>
  </si>
  <si>
    <t>212</t>
  </si>
  <si>
    <t>213</t>
  </si>
  <si>
    <t>214</t>
  </si>
  <si>
    <t>215</t>
  </si>
  <si>
    <t>216</t>
  </si>
  <si>
    <t>217</t>
  </si>
  <si>
    <t>561080</t>
  </si>
  <si>
    <t>218</t>
  </si>
  <si>
    <t>219</t>
  </si>
  <si>
    <t>220</t>
  </si>
  <si>
    <t>221</t>
  </si>
  <si>
    <t>081019</t>
  </si>
  <si>
    <t>222</t>
  </si>
  <si>
    <t>728019</t>
  </si>
  <si>
    <t>223</t>
  </si>
  <si>
    <t>224</t>
  </si>
  <si>
    <t>225</t>
  </si>
  <si>
    <t>226</t>
  </si>
  <si>
    <t>407015</t>
  </si>
  <si>
    <t>227</t>
  </si>
  <si>
    <t>228</t>
  </si>
  <si>
    <t>229</t>
  </si>
  <si>
    <t>230</t>
  </si>
  <si>
    <t>231</t>
  </si>
  <si>
    <t>232</t>
  </si>
  <si>
    <t>233</t>
  </si>
  <si>
    <t>3:09pm</t>
  </si>
  <si>
    <t>693059</t>
  </si>
  <si>
    <t>234</t>
  </si>
  <si>
    <t>235</t>
  </si>
  <si>
    <t>236</t>
  </si>
  <si>
    <t>237</t>
  </si>
  <si>
    <t>238</t>
  </si>
  <si>
    <t>239</t>
  </si>
  <si>
    <t>240</t>
  </si>
  <si>
    <t>8:35am</t>
  </si>
  <si>
    <t>241</t>
  </si>
  <si>
    <t>242</t>
  </si>
  <si>
    <t>243</t>
  </si>
  <si>
    <t>197289</t>
  </si>
  <si>
    <t>244</t>
  </si>
  <si>
    <t>10:55am</t>
  </si>
  <si>
    <t>245</t>
  </si>
  <si>
    <t>246</t>
  </si>
  <si>
    <t>247</t>
  </si>
  <si>
    <t>1:57pm</t>
  </si>
  <si>
    <t>879003</t>
  </si>
  <si>
    <t>248</t>
  </si>
  <si>
    <t>249</t>
  </si>
  <si>
    <t>8:39am</t>
  </si>
  <si>
    <t>M32862</t>
  </si>
  <si>
    <t>250</t>
  </si>
  <si>
    <t>9:11am</t>
  </si>
  <si>
    <t>676038</t>
  </si>
  <si>
    <t>251</t>
  </si>
  <si>
    <t>670007</t>
  </si>
  <si>
    <t>252</t>
  </si>
  <si>
    <t>253</t>
  </si>
  <si>
    <t>254</t>
  </si>
  <si>
    <t>658185</t>
  </si>
  <si>
    <t>255</t>
  </si>
  <si>
    <t>256</t>
  </si>
  <si>
    <t>257</t>
  </si>
  <si>
    <t>264539</t>
  </si>
  <si>
    <t>258</t>
  </si>
  <si>
    <t>005449</t>
  </si>
  <si>
    <t>259</t>
  </si>
  <si>
    <t>260</t>
  </si>
  <si>
    <t>622040</t>
  </si>
  <si>
    <t>261</t>
  </si>
  <si>
    <t>262</t>
  </si>
  <si>
    <t>263</t>
  </si>
  <si>
    <t>10:11am</t>
  </si>
  <si>
    <t>993472</t>
  </si>
  <si>
    <t>264</t>
  </si>
  <si>
    <t>265</t>
  </si>
  <si>
    <t>266</t>
  </si>
  <si>
    <t>010981</t>
  </si>
  <si>
    <t>267</t>
  </si>
  <si>
    <t>268</t>
  </si>
  <si>
    <t>269</t>
  </si>
  <si>
    <t>270</t>
  </si>
  <si>
    <t>271</t>
  </si>
  <si>
    <t>272</t>
  </si>
  <si>
    <t>382001</t>
  </si>
  <si>
    <t>273</t>
  </si>
  <si>
    <t>259003</t>
  </si>
  <si>
    <t>274</t>
  </si>
  <si>
    <t>9:42am</t>
  </si>
  <si>
    <t>M37179</t>
  </si>
  <si>
    <t>275</t>
  </si>
  <si>
    <t>276</t>
  </si>
  <si>
    <t>026018</t>
  </si>
  <si>
    <t>277</t>
  </si>
  <si>
    <t>11:12am</t>
  </si>
  <si>
    <t>278</t>
  </si>
  <si>
    <t>279</t>
  </si>
  <si>
    <t>280</t>
  </si>
  <si>
    <t>2:41pm</t>
  </si>
  <si>
    <t>667000</t>
  </si>
  <si>
    <t>281</t>
  </si>
  <si>
    <t>11:43am</t>
  </si>
  <si>
    <t>282</t>
  </si>
  <si>
    <t>283</t>
  </si>
  <si>
    <t>284</t>
  </si>
  <si>
    <t>045001</t>
  </si>
  <si>
    <t>285</t>
  </si>
  <si>
    <t>1:29pm</t>
  </si>
  <si>
    <t>226032</t>
  </si>
  <si>
    <t>286</t>
  </si>
  <si>
    <t>287</t>
  </si>
  <si>
    <t>299020</t>
  </si>
  <si>
    <t>288</t>
  </si>
  <si>
    <t>11:37am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</si>
  <si>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</si>
  <si>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</si>
  <si>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</si>
  <si>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</si>
  <si>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</si>
  <si>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</si>
  <si>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</si>
  <si>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</si>
  <si>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</si>
  <si>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</si>
  <si>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</si>
  <si>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140052</t>
  </si>
  <si>
    <t>300</t>
  </si>
  <si>
    <t>12:17pm</t>
  </si>
  <si>
    <t>301</t>
  </si>
  <si>
    <t>3:25pm</t>
  </si>
  <si>
    <t>302</t>
  </si>
  <si>
    <t>303</t>
  </si>
  <si>
    <t>304</t>
  </si>
  <si>
    <t>305</t>
  </si>
  <si>
    <t>306</t>
  </si>
  <si>
    <t>916017</t>
  </si>
  <si>
    <t>307</t>
  </si>
  <si>
    <t>308</t>
  </si>
  <si>
    <t>438012</t>
  </si>
  <si>
    <t>309</t>
  </si>
  <si>
    <t>310</t>
  </si>
  <si>
    <t>10:46am</t>
  </si>
  <si>
    <t>311</t>
  </si>
  <si>
    <t>393844</t>
  </si>
  <si>
    <t>312</t>
  </si>
  <si>
    <t>313</t>
  </si>
  <si>
    <t>314</t>
  </si>
  <si>
    <t>943022</t>
  </si>
  <si>
    <t>315</t>
  </si>
  <si>
    <t>289602</t>
  </si>
  <si>
    <t>316</t>
  </si>
  <si>
    <t>317</t>
  </si>
  <si>
    <t>11:00am</t>
  </si>
  <si>
    <t>030214</t>
  </si>
  <si>
    <t>318</t>
  </si>
  <si>
    <t>8:22am</t>
  </si>
  <si>
    <t>309171</t>
  </si>
  <si>
    <t>319</t>
  </si>
  <si>
    <t>320</t>
  </si>
  <si>
    <t>9:20am</t>
  </si>
  <si>
    <t>011252</t>
  </si>
  <si>
    <t>321</t>
  </si>
  <si>
    <t>676171</t>
  </si>
  <si>
    <t>322</t>
  </si>
  <si>
    <t>10:24am</t>
  </si>
  <si>
    <t>323</t>
  </si>
  <si>
    <t>324</t>
  </si>
  <si>
    <t>325</t>
  </si>
  <si>
    <t>11:03am</t>
  </si>
  <si>
    <t>326</t>
  </si>
  <si>
    <t>327</t>
  </si>
  <si>
    <t>328</t>
  </si>
  <si>
    <t>404024</t>
  </si>
  <si>
    <t>329</t>
  </si>
  <si>
    <t>330</t>
  </si>
  <si>
    <t>331</t>
  </si>
  <si>
    <t>332</t>
  </si>
  <si>
    <t>546015</t>
  </si>
  <si>
    <t>333</t>
  </si>
  <si>
    <t>334</t>
  </si>
  <si>
    <t>214149</t>
  </si>
  <si>
    <t>335</t>
  </si>
  <si>
    <t>377042</t>
  </si>
  <si>
    <t>336</t>
  </si>
  <si>
    <t>883026</t>
  </si>
  <si>
    <t>337</t>
  </si>
  <si>
    <t>338</t>
  </si>
  <si>
    <t>429045</t>
  </si>
  <si>
    <t>339</t>
  </si>
  <si>
    <t>340</t>
  </si>
  <si>
    <t>024001</t>
  </si>
  <si>
    <t>341</t>
  </si>
  <si>
    <t>342</t>
  </si>
  <si>
    <t>343</t>
  </si>
  <si>
    <t>8:23am</t>
  </si>
  <si>
    <t>344</t>
  </si>
  <si>
    <t>1:24pm</t>
  </si>
  <si>
    <t>083997</t>
  </si>
  <si>
    <t>345</t>
  </si>
  <si>
    <t>346</t>
  </si>
  <si>
    <t>2:47pm</t>
  </si>
  <si>
    <t>347</t>
  </si>
  <si>
    <t>10:33am</t>
  </si>
  <si>
    <t>920009</t>
  </si>
  <si>
    <t>348</t>
  </si>
  <si>
    <t>3:00pm</t>
  </si>
  <si>
    <t>766028</t>
  </si>
  <si>
    <t>349</t>
  </si>
  <si>
    <t>916072</t>
  </si>
  <si>
    <t>350</t>
  </si>
  <si>
    <t>351</t>
  </si>
  <si>
    <t>352</t>
  </si>
  <si>
    <t>12:27pm</t>
  </si>
  <si>
    <t>353</t>
  </si>
  <si>
    <t>776038</t>
  </si>
  <si>
    <t>354</t>
  </si>
  <si>
    <t>355</t>
  </si>
  <si>
    <t>356</t>
  </si>
  <si>
    <t>357</t>
  </si>
  <si>
    <t>358</t>
  </si>
  <si>
    <t>359</t>
  </si>
  <si>
    <t>3:07pm</t>
  </si>
  <si>
    <t>360</t>
  </si>
  <si>
    <t>361</t>
  </si>
  <si>
    <t>2:01pm</t>
  </si>
  <si>
    <t>362</t>
  </si>
  <si>
    <t>11:26am</t>
  </si>
  <si>
    <t>363</t>
  </si>
  <si>
    <t>364</t>
  </si>
  <si>
    <t>311779</t>
  </si>
  <si>
    <t>365</t>
  </si>
  <si>
    <t>662075</t>
  </si>
  <si>
    <t>366</t>
  </si>
  <si>
    <t>463045</t>
  </si>
  <si>
    <t>367</t>
  </si>
  <si>
    <t>368</t>
  </si>
  <si>
    <t>827053</t>
  </si>
  <si>
    <t>369</t>
  </si>
  <si>
    <t>826146</t>
  </si>
  <si>
    <t>370</t>
  </si>
  <si>
    <t>371</t>
  </si>
  <si>
    <t>363070</t>
  </si>
  <si>
    <t>372</t>
  </si>
  <si>
    <t>373</t>
  </si>
  <si>
    <t>986758</t>
  </si>
  <si>
    <t>374</t>
  </si>
  <si>
    <t>068029</t>
  </si>
  <si>
    <t>375</t>
  </si>
  <si>
    <t>376</t>
  </si>
  <si>
    <t>377</t>
  </si>
  <si>
    <t>035028</t>
  </si>
  <si>
    <t>378</t>
  </si>
  <si>
    <t>379</t>
  </si>
  <si>
    <t>175005</t>
  </si>
  <si>
    <t>380</t>
  </si>
  <si>
    <t>381</t>
  </si>
  <si>
    <t>640025</t>
  </si>
  <si>
    <t>382</t>
  </si>
  <si>
    <t>383</t>
  </si>
  <si>
    <t>384</t>
  </si>
  <si>
    <t>385</t>
  </si>
  <si>
    <t>064003</t>
  </si>
  <si>
    <t>386</t>
  </si>
  <si>
    <t>387</t>
  </si>
  <si>
    <t>388</t>
  </si>
  <si>
    <t>389</t>
  </si>
  <si>
    <t>10:38am</t>
  </si>
  <si>
    <t>036008</t>
  </si>
  <si>
    <t>390</t>
  </si>
  <si>
    <t>2:08pm</t>
  </si>
  <si>
    <t>391</t>
  </si>
  <si>
    <t>8:19am</t>
  </si>
  <si>
    <t>B04422</t>
  </si>
  <si>
    <t>392</t>
  </si>
  <si>
    <t>8:42am</t>
  </si>
  <si>
    <t>393</t>
  </si>
  <si>
    <t>394</t>
  </si>
  <si>
    <t>10:34am</t>
  </si>
  <si>
    <t>240754</t>
  </si>
  <si>
    <t>395</t>
  </si>
  <si>
    <t>560038</t>
  </si>
  <si>
    <t>396</t>
  </si>
  <si>
    <t>11:22am</t>
  </si>
  <si>
    <t>964315</t>
  </si>
  <si>
    <t>397</t>
  </si>
  <si>
    <t>2:05pm</t>
  </si>
  <si>
    <t>248388</t>
  </si>
  <si>
    <t>398</t>
  </si>
  <si>
    <t>779040</t>
  </si>
  <si>
    <t>399</t>
  </si>
  <si>
    <t>9:47am</t>
  </si>
  <si>
    <t>400</t>
  </si>
  <si>
    <t>335081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</si>
  <si>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</si>
  <si>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</si>
  <si>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</si>
  <si>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</si>
  <si>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</si>
  <si>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</si>
  <si>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</si>
  <si>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</si>
  <si>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</si>
  <si>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</si>
  <si>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</si>
  <si>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</si>
  <si>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11:36am</t>
  </si>
  <si>
    <t>413</t>
  </si>
  <si>
    <t>414</t>
  </si>
  <si>
    <t>641047</t>
  </si>
  <si>
    <t>415</t>
  </si>
  <si>
    <t>416</t>
  </si>
  <si>
    <t>417</t>
  </si>
  <si>
    <t>418</t>
  </si>
  <si>
    <t>419</t>
  </si>
  <si>
    <t>420</t>
  </si>
  <si>
    <t>421</t>
  </si>
  <si>
    <t>422</t>
  </si>
  <si>
    <t>670623</t>
  </si>
  <si>
    <t>423</t>
  </si>
  <si>
    <t>424</t>
  </si>
  <si>
    <t>425</t>
  </si>
  <si>
    <t>426</t>
  </si>
  <si>
    <t>582477</t>
  </si>
  <si>
    <t>427</t>
  </si>
  <si>
    <t>620104</t>
  </si>
  <si>
    <t>428</t>
  </si>
  <si>
    <t>006743</t>
  </si>
  <si>
    <t>429</t>
  </si>
  <si>
    <t>11:52am</t>
  </si>
  <si>
    <t>430</t>
  </si>
  <si>
    <t>11:53am</t>
  </si>
  <si>
    <t>431</t>
  </si>
  <si>
    <t>432</t>
  </si>
  <si>
    <t>065021</t>
  </si>
  <si>
    <t>433</t>
  </si>
  <si>
    <t>12:00pm</t>
  </si>
  <si>
    <t>434</t>
  </si>
  <si>
    <t>2:07pm</t>
  </si>
  <si>
    <t>435</t>
  </si>
  <si>
    <t>913103</t>
  </si>
  <si>
    <t>436</t>
  </si>
  <si>
    <t>424039</t>
  </si>
  <si>
    <t>437</t>
  </si>
  <si>
    <t>438</t>
  </si>
  <si>
    <t>12:34pm</t>
  </si>
  <si>
    <t>439</t>
  </si>
  <si>
    <t>251922</t>
  </si>
  <si>
    <t>440</t>
  </si>
  <si>
    <t>2:28pm</t>
  </si>
  <si>
    <t>694053</t>
  </si>
  <si>
    <t>441</t>
  </si>
  <si>
    <t>11:41am</t>
  </si>
  <si>
    <t>377043</t>
  </si>
  <si>
    <t>442</t>
  </si>
  <si>
    <t>678166</t>
  </si>
  <si>
    <t>443</t>
  </si>
  <si>
    <t>12:12pm</t>
  </si>
  <si>
    <t>444</t>
  </si>
  <si>
    <t>9:43am</t>
  </si>
  <si>
    <t>7818-03230</t>
  </si>
  <si>
    <t>445</t>
  </si>
  <si>
    <t>9:51am</t>
  </si>
  <si>
    <t>446</t>
  </si>
  <si>
    <t>1:59pm</t>
  </si>
  <si>
    <t>447</t>
  </si>
  <si>
    <t>448</t>
  </si>
  <si>
    <t>449</t>
  </si>
  <si>
    <t>831065</t>
  </si>
  <si>
    <t>450</t>
  </si>
  <si>
    <t>451</t>
  </si>
  <si>
    <t>452</t>
  </si>
  <si>
    <t>2:27pm</t>
  </si>
  <si>
    <t>453</t>
  </si>
  <si>
    <t>454</t>
  </si>
  <si>
    <t>455</t>
  </si>
  <si>
    <t>456</t>
  </si>
  <si>
    <t>228006</t>
  </si>
  <si>
    <t>457</t>
  </si>
  <si>
    <t>458</t>
  </si>
  <si>
    <t>610025</t>
  </si>
  <si>
    <t>459</t>
  </si>
  <si>
    <t>428052</t>
  </si>
  <si>
    <t>460</t>
  </si>
  <si>
    <t>461</t>
  </si>
  <si>
    <t>462</t>
  </si>
  <si>
    <t>628484</t>
  </si>
  <si>
    <t>463</t>
  </si>
  <si>
    <t>9:10am</t>
  </si>
  <si>
    <t>727389</t>
  </si>
  <si>
    <t>464</t>
  </si>
  <si>
    <t>10:41am</t>
  </si>
  <si>
    <t>465</t>
  </si>
  <si>
    <t>175061</t>
  </si>
  <si>
    <t>466</t>
  </si>
  <si>
    <t>467</t>
  </si>
  <si>
    <t>8:10am</t>
  </si>
  <si>
    <t>151028</t>
  </si>
  <si>
    <t>468</t>
  </si>
  <si>
    <t>469</t>
  </si>
  <si>
    <t>470</t>
  </si>
  <si>
    <t>471</t>
  </si>
  <si>
    <t>019078</t>
  </si>
  <si>
    <t>472</t>
  </si>
  <si>
    <t>473</t>
  </si>
  <si>
    <t>474</t>
  </si>
  <si>
    <t>475</t>
  </si>
  <si>
    <t>476</t>
  </si>
  <si>
    <t>7:08am</t>
  </si>
  <si>
    <t>477</t>
  </si>
  <si>
    <t>529107</t>
  </si>
  <si>
    <t>478</t>
  </si>
  <si>
    <t>479</t>
  </si>
  <si>
    <t>820002</t>
  </si>
  <si>
    <t>480</t>
  </si>
  <si>
    <t>685001</t>
  </si>
  <si>
    <t>481</t>
  </si>
  <si>
    <t>482</t>
  </si>
  <si>
    <t>8:18am</t>
  </si>
  <si>
    <t>678096</t>
  </si>
  <si>
    <t>483</t>
  </si>
  <si>
    <t>10:15am</t>
  </si>
  <si>
    <t>540023</t>
  </si>
  <si>
    <t>484</t>
  </si>
  <si>
    <t>485</t>
  </si>
  <si>
    <t>494067</t>
  </si>
  <si>
    <t>486</t>
  </si>
  <si>
    <t>3:13pm</t>
  </si>
  <si>
    <t>487</t>
  </si>
  <si>
    <t>488</t>
  </si>
  <si>
    <t>8:57am</t>
  </si>
  <si>
    <t>489</t>
  </si>
  <si>
    <t>2:53pm</t>
  </si>
  <si>
    <t>490</t>
  </si>
  <si>
    <t>10:06am</t>
  </si>
  <si>
    <t>974012</t>
  </si>
  <si>
    <t>491</t>
  </si>
  <si>
    <t>492</t>
  </si>
  <si>
    <t>493</t>
  </si>
  <si>
    <t>494</t>
  </si>
  <si>
    <t>271562</t>
  </si>
  <si>
    <t>495</t>
  </si>
  <si>
    <t>059012</t>
  </si>
  <si>
    <t>496</t>
  </si>
  <si>
    <t>497</t>
  </si>
  <si>
    <t>832297</t>
  </si>
  <si>
    <t>498</t>
  </si>
  <si>
    <t>499</t>
  </si>
  <si>
    <t>500</t>
  </si>
  <si>
    <t>501</t>
  </si>
  <si>
    <t>502</t>
  </si>
  <si>
    <t>498114</t>
  </si>
  <si>
    <t>503</t>
  </si>
  <si>
    <t>504</t>
  </si>
  <si>
    <t>505</t>
  </si>
  <si>
    <t>506</t>
  </si>
  <si>
    <t>507</t>
  </si>
  <si>
    <t>508</t>
  </si>
  <si>
    <t>11:59am</t>
  </si>
  <si>
    <t>509</t>
  </si>
  <si>
    <t>510</t>
  </si>
  <si>
    <t>962008</t>
  </si>
  <si>
    <t>511</t>
  </si>
  <si>
    <t>512</t>
  </si>
  <si>
    <t>513</t>
  </si>
  <si>
    <t>514</t>
  </si>
  <si>
    <t>327157</t>
  </si>
  <si>
    <t>515</t>
  </si>
  <si>
    <t>640000</t>
  </si>
  <si>
    <t>516</t>
  </si>
  <si>
    <t>517</t>
  </si>
  <si>
    <t>2:26pm</t>
  </si>
  <si>
    <t>518</t>
  </si>
  <si>
    <t>1:10pm</t>
  </si>
  <si>
    <t>071011</t>
  </si>
  <si>
    <t>519</t>
  </si>
  <si>
    <t>2:06pm</t>
  </si>
  <si>
    <t>335431</t>
  </si>
  <si>
    <t>520</t>
  </si>
  <si>
    <t>11:09am</t>
  </si>
  <si>
    <t>844066</t>
  </si>
  <si>
    <t>521</t>
  </si>
  <si>
    <t>522</t>
  </si>
  <si>
    <t>1:01pm</t>
  </si>
  <si>
    <t>523</t>
  </si>
  <si>
    <t>524</t>
  </si>
  <si>
    <t>525</t>
  </si>
  <si>
    <t>526</t>
  </si>
  <si>
    <t>699165</t>
  </si>
  <si>
    <t>527</t>
  </si>
  <si>
    <t>776049</t>
  </si>
  <si>
    <t>528</t>
  </si>
  <si>
    <t>529</t>
  </si>
  <si>
    <t>530</t>
  </si>
  <si>
    <t>809036</t>
  </si>
  <si>
    <t>531</t>
  </si>
  <si>
    <t>817026</t>
  </si>
  <si>
    <t>532</t>
  </si>
  <si>
    <t>533</t>
  </si>
  <si>
    <t>534</t>
  </si>
  <si>
    <t>2:46pm</t>
  </si>
  <si>
    <t>535</t>
  </si>
  <si>
    <t>11:46am</t>
  </si>
  <si>
    <t>536</t>
  </si>
  <si>
    <t>537</t>
  </si>
  <si>
    <t>1:37pm</t>
  </si>
  <si>
    <t>538</t>
  </si>
  <si>
    <t>539</t>
  </si>
  <si>
    <t>9:45am</t>
  </si>
  <si>
    <t>671035</t>
  </si>
  <si>
    <t>540</t>
  </si>
  <si>
    <t>432084</t>
  </si>
  <si>
    <t>541</t>
  </si>
  <si>
    <t>542</t>
  </si>
  <si>
    <t>12:21pm</t>
  </si>
  <si>
    <t>M45541</t>
  </si>
  <si>
    <t>543</t>
  </si>
  <si>
    <t>3:04pm</t>
  </si>
  <si>
    <t>470541</t>
  </si>
  <si>
    <t>544</t>
  </si>
  <si>
    <t>397081</t>
  </si>
  <si>
    <t>545</t>
  </si>
  <si>
    <t>546</t>
  </si>
  <si>
    <t>547</t>
  </si>
  <si>
    <t>523033</t>
  </si>
  <si>
    <t>548</t>
  </si>
  <si>
    <t>435081</t>
  </si>
  <si>
    <t>549</t>
  </si>
  <si>
    <t>550</t>
  </si>
  <si>
    <t>551</t>
  </si>
  <si>
    <t>7:54am</t>
  </si>
  <si>
    <t>657420</t>
  </si>
  <si>
    <t>552</t>
  </si>
  <si>
    <t>553</t>
  </si>
  <si>
    <t>134000</t>
  </si>
  <si>
    <t>554</t>
  </si>
  <si>
    <t>11:33am</t>
  </si>
  <si>
    <t>M30412</t>
  </si>
  <si>
    <t>555</t>
  </si>
  <si>
    <t>1:39pm</t>
  </si>
  <si>
    <t>556</t>
  </si>
  <si>
    <t>2:17pm</t>
  </si>
  <si>
    <t>557</t>
  </si>
  <si>
    <t>555015</t>
  </si>
  <si>
    <t>558</t>
  </si>
  <si>
    <t>559</t>
  </si>
  <si>
    <t>560</t>
  </si>
  <si>
    <t>561</t>
  </si>
  <si>
    <t>562</t>
  </si>
  <si>
    <t>563</t>
  </si>
  <si>
    <t>495007</t>
  </si>
  <si>
    <t>564</t>
  </si>
  <si>
    <t>565</t>
  </si>
  <si>
    <t>3:33pm</t>
  </si>
  <si>
    <t>566</t>
  </si>
  <si>
    <t>567</t>
  </si>
  <si>
    <t>568</t>
  </si>
  <si>
    <t>569</t>
  </si>
  <si>
    <t>570</t>
  </si>
  <si>
    <t>571</t>
  </si>
  <si>
    <t>735000</t>
  </si>
  <si>
    <t>572</t>
  </si>
  <si>
    <t>573</t>
  </si>
  <si>
    <t>574</t>
  </si>
  <si>
    <t>575</t>
  </si>
  <si>
    <t>314024</t>
  </si>
  <si>
    <t>576</t>
  </si>
  <si>
    <t>205001</t>
  </si>
  <si>
    <t>577</t>
  </si>
  <si>
    <t>578</t>
  </si>
  <si>
    <t>579</t>
  </si>
  <si>
    <t>580</t>
  </si>
  <si>
    <t>236010</t>
  </si>
  <si>
    <t>581</t>
  </si>
  <si>
    <t>582</t>
  </si>
  <si>
    <t>10:01am</t>
  </si>
  <si>
    <t>437013</t>
  </si>
  <si>
    <t>583</t>
  </si>
  <si>
    <t>584</t>
  </si>
  <si>
    <t>585</t>
  </si>
  <si>
    <t>586</t>
  </si>
  <si>
    <t>587</t>
  </si>
  <si>
    <t>713038</t>
  </si>
  <si>
    <t>588</t>
  </si>
  <si>
    <t>2:20pm</t>
  </si>
  <si>
    <t>589</t>
  </si>
  <si>
    <t>590</t>
  </si>
  <si>
    <t>8:44am</t>
  </si>
  <si>
    <t>591</t>
  </si>
  <si>
    <t>592</t>
  </si>
  <si>
    <t>593</t>
  </si>
  <si>
    <t>594</t>
  </si>
  <si>
    <t>595</t>
  </si>
  <si>
    <t>714045</t>
  </si>
  <si>
    <t>596</t>
  </si>
  <si>
    <t>8:38am</t>
  </si>
  <si>
    <t>597</t>
  </si>
  <si>
    <t>598</t>
  </si>
  <si>
    <t>986037</t>
  </si>
  <si>
    <t>986036</t>
  </si>
  <si>
    <t>599</t>
  </si>
  <si>
    <t>9:21am</t>
  </si>
  <si>
    <t>314051</t>
  </si>
  <si>
    <t>600</t>
  </si>
  <si>
    <t>2:43pm</t>
  </si>
  <si>
    <t>601</t>
  </si>
  <si>
    <t>289164</t>
  </si>
  <si>
    <t>602</t>
  </si>
  <si>
    <t>7:48am</t>
  </si>
  <si>
    <t>603</t>
  </si>
  <si>
    <t>9:40am</t>
  </si>
  <si>
    <t>147152</t>
  </si>
  <si>
    <t>604</t>
  </si>
  <si>
    <t>137024</t>
  </si>
  <si>
    <t>605</t>
  </si>
  <si>
    <t>343023</t>
  </si>
  <si>
    <t>606</t>
  </si>
  <si>
    <t>242558</t>
  </si>
  <si>
    <t>607</t>
  </si>
  <si>
    <t>608</t>
  </si>
  <si>
    <t>609</t>
  </si>
  <si>
    <t>610</t>
  </si>
  <si>
    <t>294838</t>
  </si>
  <si>
    <t>611</t>
  </si>
  <si>
    <t>308002</t>
  </si>
  <si>
    <t>612</t>
  </si>
  <si>
    <t>142049</t>
  </si>
  <si>
    <t>613</t>
  </si>
  <si>
    <t>614</t>
  </si>
  <si>
    <t>2:36pm</t>
  </si>
  <si>
    <t>615</t>
  </si>
  <si>
    <t>151495</t>
  </si>
  <si>
    <t>616</t>
  </si>
  <si>
    <t>617</t>
  </si>
  <si>
    <t>9:25am</t>
  </si>
  <si>
    <t>618</t>
  </si>
  <si>
    <t>619</t>
  </si>
  <si>
    <t>906086</t>
  </si>
  <si>
    <t>620</t>
  </si>
  <si>
    <t>621</t>
  </si>
  <si>
    <t>622</t>
  </si>
  <si>
    <t>7:23am</t>
  </si>
  <si>
    <t>623</t>
  </si>
  <si>
    <t>624</t>
  </si>
  <si>
    <t>625</t>
  </si>
  <si>
    <t>626</t>
  </si>
  <si>
    <t>627</t>
  </si>
  <si>
    <t>7:38am</t>
  </si>
  <si>
    <t>628</t>
  </si>
  <si>
    <t>9:48am</t>
  </si>
  <si>
    <t>629</t>
  </si>
  <si>
    <t>630</t>
  </si>
  <si>
    <t>11:42am</t>
  </si>
  <si>
    <t>996143</t>
  </si>
  <si>
    <t>631</t>
  </si>
  <si>
    <t>000994</t>
  </si>
  <si>
    <t>632</t>
  </si>
  <si>
    <t>7:13am</t>
  </si>
  <si>
    <t>633</t>
  </si>
  <si>
    <t>624047</t>
  </si>
  <si>
    <t>634</t>
  </si>
  <si>
    <t>635</t>
  </si>
  <si>
    <t>636</t>
  </si>
  <si>
    <t>637</t>
  </si>
  <si>
    <t>638</t>
  </si>
  <si>
    <t>639</t>
  </si>
  <si>
    <t>640</t>
  </si>
  <si>
    <t>11:06am</t>
  </si>
  <si>
    <t>641</t>
  </si>
  <si>
    <t>1:42pm</t>
  </si>
  <si>
    <t>642</t>
  </si>
  <si>
    <t>506004</t>
  </si>
  <si>
    <t>643</t>
  </si>
  <si>
    <t>644</t>
  </si>
  <si>
    <t>774044</t>
  </si>
  <si>
    <t>645</t>
  </si>
  <si>
    <t>646</t>
  </si>
  <si>
    <t>647</t>
  </si>
  <si>
    <t>566071</t>
  </si>
  <si>
    <t>648</t>
  </si>
  <si>
    <t>649</t>
  </si>
  <si>
    <t>650</t>
  </si>
  <si>
    <t>028014</t>
  </si>
  <si>
    <t>651</t>
  </si>
  <si>
    <t>652</t>
  </si>
  <si>
    <t>628030</t>
  </si>
  <si>
    <t>653</t>
  </si>
  <si>
    <t>964080</t>
  </si>
  <si>
    <t>654</t>
  </si>
  <si>
    <t>655</t>
  </si>
  <si>
    <t>656</t>
  </si>
  <si>
    <t>657</t>
  </si>
  <si>
    <t>11:10am</t>
  </si>
  <si>
    <t>658</t>
  </si>
  <si>
    <t>659</t>
  </si>
  <si>
    <t>660</t>
  </si>
  <si>
    <t>661</t>
  </si>
  <si>
    <t>12:56pm</t>
  </si>
  <si>
    <t>750212</t>
  </si>
  <si>
    <t>662</t>
  </si>
  <si>
    <t>1:38pm</t>
  </si>
  <si>
    <t>528622</t>
  </si>
  <si>
    <t>663</t>
  </si>
  <si>
    <t>8:49am</t>
  </si>
  <si>
    <t>664</t>
  </si>
  <si>
    <t>9:28am</t>
  </si>
  <si>
    <t>826121</t>
  </si>
  <si>
    <t>665</t>
  </si>
  <si>
    <t>666</t>
  </si>
  <si>
    <t>8:50am</t>
  </si>
  <si>
    <t>667</t>
  </si>
  <si>
    <t>10:52am</t>
  </si>
  <si>
    <t>668</t>
  </si>
  <si>
    <t>669</t>
  </si>
  <si>
    <t>11:11am</t>
  </si>
  <si>
    <t>670</t>
  </si>
  <si>
    <t>268280</t>
  </si>
  <si>
    <t>671</t>
  </si>
  <si>
    <t>2:39pm</t>
  </si>
  <si>
    <t>672</t>
  </si>
  <si>
    <t>673</t>
  </si>
  <si>
    <t>10:51am</t>
  </si>
  <si>
    <t>684005</t>
  </si>
  <si>
    <t>674</t>
  </si>
  <si>
    <t>675</t>
  </si>
  <si>
    <t>764275</t>
  </si>
  <si>
    <t>676</t>
  </si>
  <si>
    <t>677</t>
  </si>
  <si>
    <t>12:52pm</t>
  </si>
  <si>
    <t>678</t>
  </si>
  <si>
    <t>2:42pm</t>
  </si>
  <si>
    <t>679</t>
  </si>
  <si>
    <t>680</t>
  </si>
  <si>
    <t>681</t>
  </si>
  <si>
    <t>682</t>
  </si>
  <si>
    <t>683</t>
  </si>
  <si>
    <t>8:01am</t>
  </si>
  <si>
    <t>684</t>
  </si>
  <si>
    <t>8:28am</t>
  </si>
  <si>
    <t>685</t>
  </si>
  <si>
    <t>10:57am</t>
  </si>
  <si>
    <t>089020</t>
  </si>
  <si>
    <t>686</t>
  </si>
  <si>
    <t>687</t>
  </si>
  <si>
    <t>521064</t>
  </si>
  <si>
    <t>688</t>
  </si>
  <si>
    <t>689</t>
  </si>
  <si>
    <t>690</t>
  </si>
  <si>
    <t>M34370</t>
  </si>
  <si>
    <t>691</t>
  </si>
  <si>
    <t>692</t>
  </si>
  <si>
    <t>693</t>
  </si>
  <si>
    <t>523030</t>
  </si>
  <si>
    <t>694</t>
  </si>
  <si>
    <t>695</t>
  </si>
  <si>
    <t>696</t>
  </si>
  <si>
    <t>996132</t>
  </si>
  <si>
    <t>697</t>
  </si>
  <si>
    <t>067026</t>
  </si>
  <si>
    <t>698</t>
  </si>
  <si>
    <t>699</t>
  </si>
  <si>
    <t>7818-13078</t>
  </si>
  <si>
    <t>700</t>
  </si>
  <si>
    <t>701</t>
  </si>
  <si>
    <t>988401</t>
  </si>
  <si>
    <t>702</t>
  </si>
  <si>
    <t>703</t>
  </si>
  <si>
    <t>704</t>
  </si>
  <si>
    <t>705</t>
  </si>
  <si>
    <t>706</t>
  </si>
  <si>
    <t>127099</t>
  </si>
  <si>
    <t>707</t>
  </si>
  <si>
    <t>708</t>
  </si>
  <si>
    <t>709</t>
  </si>
  <si>
    <t>523099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</si>
  <si>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</si>
  <si>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</si>
  <si>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</si>
  <si>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</si>
  <si>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</si>
  <si>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</si>
  <si>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</si>
  <si>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</si>
  <si>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</si>
  <si>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</si>
  <si>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2:02pm</t>
  </si>
  <si>
    <t>M27437</t>
  </si>
  <si>
    <t>720</t>
  </si>
  <si>
    <t>144047</t>
  </si>
  <si>
    <t>721</t>
  </si>
  <si>
    <t>M30454</t>
  </si>
  <si>
    <t>722</t>
  </si>
  <si>
    <t>723</t>
  </si>
  <si>
    <t>724</t>
  </si>
  <si>
    <t>725</t>
  </si>
  <si>
    <t>763039</t>
  </si>
  <si>
    <t>726</t>
  </si>
  <si>
    <t>7:40am</t>
  </si>
  <si>
    <t>348046</t>
  </si>
  <si>
    <t>727</t>
  </si>
  <si>
    <t>008199</t>
  </si>
  <si>
    <t>728</t>
  </si>
  <si>
    <t>729</t>
  </si>
  <si>
    <t>730</t>
  </si>
  <si>
    <t>470062</t>
  </si>
  <si>
    <t>731</t>
  </si>
  <si>
    <t>3:31pm</t>
  </si>
  <si>
    <t>887103</t>
  </si>
  <si>
    <t>732</t>
  </si>
  <si>
    <t>733</t>
  </si>
  <si>
    <t>431011</t>
  </si>
  <si>
    <t>734</t>
  </si>
  <si>
    <t>735</t>
  </si>
  <si>
    <t>736</t>
  </si>
  <si>
    <t>737</t>
  </si>
  <si>
    <t>738</t>
  </si>
  <si>
    <t>2:21pm</t>
  </si>
  <si>
    <t>7818-07976</t>
  </si>
  <si>
    <t>739</t>
  </si>
  <si>
    <t>10:37am</t>
  </si>
  <si>
    <t>740</t>
  </si>
  <si>
    <t>741</t>
  </si>
  <si>
    <t>742</t>
  </si>
  <si>
    <t>743</t>
  </si>
  <si>
    <t>744</t>
  </si>
  <si>
    <t>927024</t>
  </si>
  <si>
    <t>745</t>
  </si>
  <si>
    <t>746</t>
  </si>
  <si>
    <t>747</t>
  </si>
  <si>
    <t>678012</t>
  </si>
  <si>
    <t>748</t>
  </si>
  <si>
    <t>3:26pm</t>
  </si>
  <si>
    <t>756048</t>
  </si>
  <si>
    <t>749</t>
  </si>
  <si>
    <t>259084</t>
  </si>
  <si>
    <t>750</t>
  </si>
  <si>
    <t>751</t>
  </si>
  <si>
    <t>450229</t>
  </si>
  <si>
    <t>436090</t>
  </si>
  <si>
    <t>9:41am</t>
  </si>
  <si>
    <t>756</t>
  </si>
  <si>
    <t>3:28pm</t>
  </si>
  <si>
    <t>757</t>
  </si>
  <si>
    <t>4:05pm</t>
  </si>
  <si>
    <t>758</t>
  </si>
  <si>
    <t>759</t>
  </si>
  <si>
    <t>760</t>
  </si>
  <si>
    <t>761</t>
  </si>
  <si>
    <t>12:41pm</t>
  </si>
  <si>
    <t>762</t>
  </si>
  <si>
    <t>763</t>
  </si>
  <si>
    <t>497044</t>
  </si>
  <si>
    <t>764</t>
  </si>
  <si>
    <t>765</t>
  </si>
  <si>
    <t>615041</t>
  </si>
  <si>
    <t>766</t>
  </si>
  <si>
    <t>767</t>
  </si>
  <si>
    <t>678093</t>
  </si>
  <si>
    <t>768</t>
  </si>
  <si>
    <t>769</t>
  </si>
  <si>
    <t>770</t>
  </si>
  <si>
    <t>771</t>
  </si>
  <si>
    <t>772</t>
  </si>
  <si>
    <t>773</t>
  </si>
  <si>
    <t>774</t>
  </si>
  <si>
    <t>11:35am</t>
  </si>
  <si>
    <t>775</t>
  </si>
  <si>
    <t>2:50pm</t>
  </si>
  <si>
    <t>776</t>
  </si>
  <si>
    <t>10:21am</t>
  </si>
  <si>
    <t>763029</t>
  </si>
  <si>
    <t>777</t>
  </si>
  <si>
    <t>778</t>
  </si>
  <si>
    <t>M34374</t>
  </si>
  <si>
    <t>779</t>
  </si>
  <si>
    <t>M44557</t>
  </si>
  <si>
    <t>780</t>
  </si>
  <si>
    <t>970078</t>
  </si>
  <si>
    <t>781</t>
  </si>
  <si>
    <t>782</t>
  </si>
  <si>
    <t>783</t>
  </si>
  <si>
    <t>127044</t>
  </si>
  <si>
    <t>784</t>
  </si>
  <si>
    <t>785</t>
  </si>
  <si>
    <t>786</t>
  </si>
  <si>
    <t>787</t>
  </si>
  <si>
    <t>788</t>
  </si>
  <si>
    <t>789</t>
  </si>
  <si>
    <t>790</t>
  </si>
  <si>
    <t>768034</t>
  </si>
  <si>
    <t>791</t>
  </si>
  <si>
    <t>792</t>
  </si>
  <si>
    <t>767024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</si>
  <si>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</si>
  <si>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</si>
  <si>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</si>
  <si>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</si>
  <si>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</si>
  <si>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</si>
  <si>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</si>
  <si>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</si>
  <si>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</si>
  <si>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</si>
  <si>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</si>
  <si>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</si>
  <si>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</si>
  <si>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</si>
  <si>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11:14am</t>
  </si>
  <si>
    <t>291071</t>
  </si>
  <si>
    <t>807</t>
  </si>
  <si>
    <t>788008</t>
  </si>
  <si>
    <t>808</t>
  </si>
  <si>
    <t>270727</t>
  </si>
  <si>
    <t>809</t>
  </si>
  <si>
    <t>810</t>
  </si>
  <si>
    <t>3:02pm</t>
  </si>
  <si>
    <t>511152</t>
  </si>
  <si>
    <t>811</t>
  </si>
  <si>
    <t>812</t>
  </si>
  <si>
    <t>813</t>
  </si>
  <si>
    <t>814</t>
  </si>
  <si>
    <t>815</t>
  </si>
  <si>
    <t>816</t>
  </si>
  <si>
    <t>1:06pm</t>
  </si>
  <si>
    <t>817</t>
  </si>
  <si>
    <t>9:26am</t>
  </si>
  <si>
    <t>818</t>
  </si>
  <si>
    <t>436069</t>
  </si>
  <si>
    <t>819</t>
  </si>
  <si>
    <t>820</t>
  </si>
  <si>
    <t>348027</t>
  </si>
  <si>
    <t>821</t>
  </si>
  <si>
    <t>822</t>
  </si>
  <si>
    <t>823</t>
  </si>
  <si>
    <t>824</t>
  </si>
  <si>
    <t>289126</t>
  </si>
  <si>
    <t>825</t>
  </si>
  <si>
    <t>826</t>
  </si>
  <si>
    <t>827</t>
  </si>
  <si>
    <t>8:21am</t>
  </si>
  <si>
    <t>828</t>
  </si>
  <si>
    <t>2:25pm</t>
  </si>
  <si>
    <t>511282</t>
  </si>
  <si>
    <t>829</t>
  </si>
  <si>
    <t>1:53pm</t>
  </si>
  <si>
    <t>830</t>
  </si>
  <si>
    <t>831</t>
  </si>
  <si>
    <t>832</t>
  </si>
  <si>
    <t>304096</t>
  </si>
  <si>
    <t>026027</t>
  </si>
  <si>
    <t>578009</t>
  </si>
  <si>
    <t>837</t>
  </si>
  <si>
    <t>301126</t>
  </si>
  <si>
    <t>838</t>
  </si>
  <si>
    <t>839</t>
  </si>
  <si>
    <t>M45070</t>
  </si>
  <si>
    <t>840</t>
  </si>
  <si>
    <t>841</t>
  </si>
  <si>
    <t>842</t>
  </si>
  <si>
    <t>843</t>
  </si>
  <si>
    <t>490013</t>
  </si>
  <si>
    <t>844</t>
  </si>
  <si>
    <t>845</t>
  </si>
  <si>
    <t>846</t>
  </si>
  <si>
    <t>847</t>
  </si>
  <si>
    <t>906019</t>
  </si>
  <si>
    <t>848</t>
  </si>
  <si>
    <t>12:30pm</t>
  </si>
  <si>
    <t>849</t>
  </si>
  <si>
    <t>988111</t>
  </si>
  <si>
    <t>850</t>
  </si>
  <si>
    <t>9:38am</t>
  </si>
  <si>
    <t>M31113</t>
  </si>
  <si>
    <t>851</t>
  </si>
  <si>
    <t>1:31pm</t>
  </si>
  <si>
    <t>831073</t>
  </si>
  <si>
    <t>852</t>
  </si>
  <si>
    <t>2:11pm</t>
  </si>
  <si>
    <t>438015</t>
  </si>
  <si>
    <t>853</t>
  </si>
  <si>
    <t>854</t>
  </si>
  <si>
    <t>291012</t>
  </si>
  <si>
    <t>855</t>
  </si>
  <si>
    <t>856</t>
  </si>
  <si>
    <t>561086</t>
  </si>
  <si>
    <t>857</t>
  </si>
  <si>
    <t>805017</t>
  </si>
  <si>
    <t>858</t>
  </si>
  <si>
    <t>8:30am</t>
  </si>
  <si>
    <t>140061</t>
  </si>
  <si>
    <t>859</t>
  </si>
  <si>
    <t>9:34am</t>
  </si>
  <si>
    <t>860</t>
  </si>
  <si>
    <t>1:23pm</t>
  </si>
  <si>
    <t>861</t>
  </si>
  <si>
    <t>862</t>
  </si>
  <si>
    <t>064014</t>
  </si>
  <si>
    <t>863</t>
  </si>
  <si>
    <t>10:04am</t>
  </si>
  <si>
    <t>884005</t>
  </si>
  <si>
    <t>864</t>
  </si>
  <si>
    <t>2:12pm</t>
  </si>
  <si>
    <t>865</t>
  </si>
  <si>
    <t>866</t>
  </si>
  <si>
    <t>2:10pm</t>
  </si>
  <si>
    <t>867</t>
  </si>
  <si>
    <t>9:00am</t>
  </si>
  <si>
    <t>868</t>
  </si>
  <si>
    <t>869</t>
  </si>
  <si>
    <t>870</t>
  </si>
  <si>
    <t>871</t>
  </si>
  <si>
    <t>872</t>
  </si>
  <si>
    <t>873</t>
  </si>
  <si>
    <t>874</t>
  </si>
  <si>
    <t>301044</t>
  </si>
  <si>
    <t>875</t>
  </si>
  <si>
    <t>9:57am</t>
  </si>
  <si>
    <t>876</t>
  </si>
  <si>
    <t>11:48am</t>
  </si>
  <si>
    <t>877</t>
  </si>
  <si>
    <t>878</t>
  </si>
  <si>
    <t>824071</t>
  </si>
  <si>
    <t>879</t>
  </si>
  <si>
    <t>9:59am</t>
  </si>
  <si>
    <t>880</t>
  </si>
  <si>
    <t>1:25pm</t>
  </si>
  <si>
    <t>496033</t>
  </si>
  <si>
    <t>881</t>
  </si>
  <si>
    <t>1:45pm</t>
  </si>
  <si>
    <t>882</t>
  </si>
  <si>
    <t>883</t>
  </si>
  <si>
    <t>8:06am</t>
  </si>
  <si>
    <t>282052</t>
  </si>
  <si>
    <t>884</t>
  </si>
  <si>
    <t>1:04pm</t>
  </si>
  <si>
    <t>171426</t>
  </si>
  <si>
    <t>885</t>
  </si>
  <si>
    <t>886</t>
  </si>
  <si>
    <t>438039</t>
  </si>
  <si>
    <t>887</t>
  </si>
  <si>
    <t>8:27am</t>
  </si>
  <si>
    <t>888</t>
  </si>
  <si>
    <t>889</t>
  </si>
  <si>
    <t>9:54am</t>
  </si>
  <si>
    <t>878015</t>
  </si>
  <si>
    <t>890</t>
  </si>
  <si>
    <t>891</t>
  </si>
  <si>
    <t>892</t>
  </si>
  <si>
    <t>143072</t>
  </si>
  <si>
    <t>893</t>
  </si>
  <si>
    <t>894</t>
  </si>
  <si>
    <t>895</t>
  </si>
  <si>
    <t>615022</t>
  </si>
  <si>
    <t>896</t>
  </si>
  <si>
    <t>897</t>
  </si>
  <si>
    <t>829951</t>
  </si>
  <si>
    <t>898</t>
  </si>
  <si>
    <t>11:29am</t>
  </si>
  <si>
    <t>419484</t>
  </si>
  <si>
    <t>899</t>
  </si>
  <si>
    <t>1:34pm</t>
  </si>
  <si>
    <t>934039</t>
  </si>
  <si>
    <t>900</t>
  </si>
  <si>
    <t>263014</t>
  </si>
  <si>
    <t>901</t>
  </si>
  <si>
    <t>5:22pm</t>
  </si>
  <si>
    <t>453007</t>
  </si>
  <si>
    <t>902</t>
  </si>
  <si>
    <t>8:14am</t>
  </si>
  <si>
    <t>856025</t>
  </si>
  <si>
    <t>903</t>
  </si>
  <si>
    <t>10:29am</t>
  </si>
  <si>
    <t>525087</t>
  </si>
  <si>
    <t>904</t>
  </si>
  <si>
    <t>905</t>
  </si>
  <si>
    <t>3:11pm</t>
  </si>
  <si>
    <t>906</t>
  </si>
  <si>
    <t>7:21am</t>
  </si>
  <si>
    <t>907</t>
  </si>
  <si>
    <t>908</t>
  </si>
  <si>
    <t>909</t>
  </si>
  <si>
    <t>910</t>
  </si>
  <si>
    <t>911</t>
  </si>
  <si>
    <t>912</t>
  </si>
  <si>
    <t>913</t>
  </si>
  <si>
    <t>916012</t>
  </si>
  <si>
    <t>914</t>
  </si>
  <si>
    <t>915</t>
  </si>
  <si>
    <t>916</t>
  </si>
  <si>
    <t>8:11am</t>
  </si>
  <si>
    <t>917</t>
  </si>
  <si>
    <t>918</t>
  </si>
  <si>
    <t>919</t>
  </si>
  <si>
    <t>424048</t>
  </si>
  <si>
    <t>920</t>
  </si>
  <si>
    <t>921</t>
  </si>
  <si>
    <t>922</t>
  </si>
  <si>
    <t>303048</t>
  </si>
  <si>
    <t>923</t>
  </si>
  <si>
    <t>523013</t>
  </si>
  <si>
    <t>924</t>
  </si>
  <si>
    <t>925</t>
  </si>
  <si>
    <t>926</t>
  </si>
  <si>
    <t>927</t>
  </si>
  <si>
    <t>928</t>
  </si>
  <si>
    <t>929</t>
  </si>
  <si>
    <t>930</t>
  </si>
  <si>
    <t>931</t>
  </si>
  <si>
    <t>937024</t>
  </si>
  <si>
    <t>932</t>
  </si>
  <si>
    <t>933</t>
  </si>
  <si>
    <t>8:20am</t>
  </si>
  <si>
    <t>934</t>
  </si>
  <si>
    <t>935</t>
  </si>
  <si>
    <t>909028</t>
  </si>
  <si>
    <t>936</t>
  </si>
  <si>
    <t>937</t>
  </si>
  <si>
    <t>7812-02343</t>
  </si>
  <si>
    <t>938</t>
  </si>
  <si>
    <t>898018</t>
  </si>
  <si>
    <t>939</t>
  </si>
  <si>
    <t>8:37am</t>
  </si>
  <si>
    <t>940</t>
  </si>
  <si>
    <t>941</t>
  </si>
  <si>
    <t>942</t>
  </si>
  <si>
    <t>943</t>
  </si>
  <si>
    <t>944</t>
  </si>
  <si>
    <t>2:23pm</t>
  </si>
  <si>
    <t>945</t>
  </si>
  <si>
    <t>3:18pm</t>
  </si>
  <si>
    <t>946</t>
  </si>
  <si>
    <t>9:36am</t>
  </si>
  <si>
    <t>148047</t>
  </si>
  <si>
    <t>947</t>
  </si>
  <si>
    <t>948</t>
  </si>
  <si>
    <t>777044</t>
  </si>
  <si>
    <t>949</t>
  </si>
  <si>
    <t>807810</t>
  </si>
  <si>
    <t>950</t>
  </si>
  <si>
    <t>951</t>
  </si>
  <si>
    <t>952</t>
  </si>
  <si>
    <t>730013</t>
  </si>
  <si>
    <t>953</t>
  </si>
  <si>
    <t>954</t>
  </si>
  <si>
    <t>955</t>
  </si>
  <si>
    <t>956</t>
  </si>
  <si>
    <t>957</t>
  </si>
  <si>
    <t>541015</t>
  </si>
  <si>
    <t>958</t>
  </si>
  <si>
    <t>12:16pm</t>
  </si>
  <si>
    <t>808000</t>
  </si>
  <si>
    <t>959</t>
  </si>
  <si>
    <t>118017</t>
  </si>
  <si>
    <t>960</t>
  </si>
  <si>
    <t>961</t>
  </si>
  <si>
    <t>962</t>
  </si>
  <si>
    <t>963</t>
  </si>
  <si>
    <t>2:45pm</t>
  </si>
  <si>
    <t>964</t>
  </si>
  <si>
    <t>965</t>
  </si>
  <si>
    <t>2:58pm</t>
  </si>
  <si>
    <t>966</t>
  </si>
  <si>
    <t>967</t>
  </si>
  <si>
    <t>3:08pm</t>
  </si>
  <si>
    <t>M42874</t>
  </si>
  <si>
    <t>968</t>
  </si>
  <si>
    <t>969</t>
  </si>
  <si>
    <t>970</t>
  </si>
  <si>
    <t>145035</t>
  </si>
  <si>
    <t>971</t>
  </si>
  <si>
    <t>525035</t>
  </si>
  <si>
    <t>972</t>
  </si>
  <si>
    <t>973</t>
  </si>
  <si>
    <t>974</t>
  </si>
  <si>
    <t>996040</t>
  </si>
  <si>
    <t>975</t>
  </si>
  <si>
    <t>542042</t>
  </si>
  <si>
    <t>976</t>
  </si>
  <si>
    <t>977</t>
  </si>
  <si>
    <t>069033</t>
  </si>
  <si>
    <t>978</t>
  </si>
  <si>
    <t>979</t>
  </si>
  <si>
    <t>980</t>
  </si>
  <si>
    <t>8:52am</t>
  </si>
  <si>
    <t>471035</t>
  </si>
  <si>
    <t>981</t>
  </si>
  <si>
    <t>897797</t>
  </si>
  <si>
    <t>982</t>
  </si>
  <si>
    <t>983</t>
  </si>
  <si>
    <t>984</t>
  </si>
  <si>
    <t>985</t>
  </si>
  <si>
    <t>736010</t>
  </si>
  <si>
    <t>986</t>
  </si>
  <si>
    <t>964089</t>
  </si>
  <si>
    <t>987</t>
  </si>
  <si>
    <t>988</t>
  </si>
  <si>
    <t>7818-01561</t>
  </si>
  <si>
    <t>989</t>
  </si>
  <si>
    <t>990</t>
  </si>
  <si>
    <t>515011</t>
  </si>
  <si>
    <t>991</t>
  </si>
  <si>
    <t>992</t>
  </si>
  <si>
    <t>993</t>
  </si>
  <si>
    <t>994</t>
  </si>
  <si>
    <t>995</t>
  </si>
  <si>
    <t>996</t>
  </si>
  <si>
    <t>005747</t>
  </si>
  <si>
    <t>997</t>
  </si>
  <si>
    <t>998</t>
  </si>
  <si>
    <t>999</t>
  </si>
  <si>
    <t>1000</t>
  </si>
  <si>
    <t>11:31am</t>
  </si>
  <si>
    <t>1001</t>
  </si>
  <si>
    <t>1:54pm</t>
  </si>
  <si>
    <t>1002</t>
  </si>
  <si>
    <t>1:55pm</t>
  </si>
  <si>
    <t>1003</t>
  </si>
  <si>
    <t>215045</t>
  </si>
  <si>
    <t>1004</t>
  </si>
  <si>
    <t>220009</t>
  </si>
  <si>
    <t>1005</t>
  </si>
  <si>
    <t>1006</t>
  </si>
  <si>
    <t>782820</t>
  </si>
  <si>
    <t>1007</t>
  </si>
  <si>
    <t>2:30pm</t>
  </si>
  <si>
    <t>1008</t>
  </si>
  <si>
    <t>1009</t>
  </si>
  <si>
    <t>683013</t>
  </si>
  <si>
    <t>1010</t>
  </si>
  <si>
    <t>1011</t>
  </si>
  <si>
    <t>1012</t>
  </si>
  <si>
    <t>2:38pm</t>
  </si>
  <si>
    <t>1013</t>
  </si>
  <si>
    <t>243026</t>
  </si>
  <si>
    <t>1014</t>
  </si>
  <si>
    <t>916062</t>
  </si>
  <si>
    <t>1015</t>
  </si>
  <si>
    <t>1016</t>
  </si>
  <si>
    <t>11:07am</t>
  </si>
  <si>
    <t>1017</t>
  </si>
  <si>
    <t>1018</t>
  </si>
  <si>
    <t>1019</t>
  </si>
  <si>
    <t>1:40pm</t>
  </si>
  <si>
    <t>1020</t>
  </si>
  <si>
    <t>1021</t>
  </si>
  <si>
    <t>1022</t>
  </si>
  <si>
    <t>1023</t>
  </si>
  <si>
    <t>140641</t>
  </si>
  <si>
    <t>1024</t>
  </si>
  <si>
    <t>1025</t>
  </si>
  <si>
    <t>1026</t>
  </si>
  <si>
    <t>663033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</si>
  <si>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</si>
  <si>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</si>
  <si>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</si>
  <si>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</si>
  <si>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</si>
  <si>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</si>
  <si>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</si>
  <si>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</si>
  <si>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</si>
  <si>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199267</t>
  </si>
  <si>
    <t>1036</t>
  </si>
  <si>
    <t>11:58am</t>
  </si>
  <si>
    <t>7819-00001</t>
  </si>
  <si>
    <t>314015</t>
  </si>
  <si>
    <t>1037</t>
  </si>
  <si>
    <t>10:35am</t>
  </si>
  <si>
    <t>778051</t>
  </si>
  <si>
    <t>1038</t>
  </si>
  <si>
    <t>1039</t>
  </si>
  <si>
    <t>12:11pm</t>
  </si>
  <si>
    <t>070711</t>
  </si>
  <si>
    <t>1040</t>
  </si>
  <si>
    <t>1041</t>
  </si>
  <si>
    <t>1042</t>
  </si>
  <si>
    <t>748004</t>
  </si>
  <si>
    <t>1045</t>
  </si>
  <si>
    <t>12:13pm</t>
  </si>
  <si>
    <t>1046</t>
  </si>
  <si>
    <t>1047</t>
  </si>
  <si>
    <t>568000</t>
  </si>
  <si>
    <t>1048</t>
  </si>
  <si>
    <t>1049</t>
  </si>
  <si>
    <t>1050</t>
  </si>
  <si>
    <t>101006</t>
  </si>
  <si>
    <t>1051</t>
  </si>
  <si>
    <t>12:14pm</t>
  </si>
  <si>
    <t>781038</t>
  </si>
  <si>
    <t>1052</t>
  </si>
  <si>
    <t>1:14pm</t>
  </si>
  <si>
    <t>7811</t>
  </si>
  <si>
    <t>195004</t>
  </si>
  <si>
    <t>1053</t>
  </si>
  <si>
    <t>1054</t>
  </si>
  <si>
    <t>1055</t>
  </si>
  <si>
    <t>1056</t>
  </si>
  <si>
    <t>1057</t>
  </si>
  <si>
    <t>1058</t>
  </si>
  <si>
    <t>1059</t>
  </si>
  <si>
    <t>720717</t>
  </si>
  <si>
    <t>1060</t>
  </si>
  <si>
    <t>1061</t>
  </si>
  <si>
    <t>423027</t>
  </si>
  <si>
    <t>1062</t>
  </si>
  <si>
    <t>1063</t>
  </si>
  <si>
    <t>808508</t>
  </si>
  <si>
    <t>1064</t>
  </si>
  <si>
    <t>1065</t>
  </si>
  <si>
    <t>1066</t>
  </si>
  <si>
    <t>849021</t>
  </si>
  <si>
    <t>1067</t>
  </si>
  <si>
    <t>1068</t>
  </si>
  <si>
    <t>1069</t>
  </si>
  <si>
    <t>1070</t>
  </si>
  <si>
    <t>058052</t>
  </si>
  <si>
    <t>1071</t>
  </si>
  <si>
    <t>1072</t>
  </si>
  <si>
    <t>1073</t>
  </si>
  <si>
    <t>854016</t>
  </si>
  <si>
    <t>1074</t>
  </si>
  <si>
    <t>1075</t>
  </si>
  <si>
    <t>1076</t>
  </si>
  <si>
    <t>1077</t>
  </si>
  <si>
    <t>1078</t>
  </si>
  <si>
    <t>291000</t>
  </si>
  <si>
    <t>1079</t>
  </si>
  <si>
    <t>327070</t>
  </si>
  <si>
    <t>1080</t>
  </si>
  <si>
    <t>001036</t>
  </si>
  <si>
    <t>1081</t>
  </si>
  <si>
    <t>717006</t>
  </si>
  <si>
    <t>1082</t>
  </si>
  <si>
    <t>1083</t>
  </si>
  <si>
    <t>658099</t>
  </si>
  <si>
    <t>1084</t>
  </si>
  <si>
    <t>327151</t>
  </si>
  <si>
    <t>1085</t>
  </si>
  <si>
    <t>1086</t>
  </si>
  <si>
    <t>458900</t>
  </si>
  <si>
    <t>1087</t>
  </si>
  <si>
    <t>1088</t>
  </si>
  <si>
    <t>1089</t>
  </si>
  <si>
    <t>543948</t>
  </si>
  <si>
    <t>1090</t>
  </si>
  <si>
    <t>8:00am</t>
  </si>
  <si>
    <t>1091</t>
  </si>
  <si>
    <t>1092</t>
  </si>
  <si>
    <t>1093</t>
  </si>
  <si>
    <t>527004</t>
  </si>
  <si>
    <t>1094</t>
  </si>
  <si>
    <t>10:43am</t>
  </si>
  <si>
    <t>397156</t>
  </si>
  <si>
    <t>1095</t>
  </si>
  <si>
    <t>1096</t>
  </si>
  <si>
    <t>1097</t>
  </si>
  <si>
    <t>968481</t>
  </si>
  <si>
    <t>1098</t>
  </si>
  <si>
    <t>1099</t>
  </si>
  <si>
    <t>1100</t>
  </si>
  <si>
    <t>147220</t>
  </si>
  <si>
    <t>1101</t>
  </si>
  <si>
    <t>10:20am</t>
  </si>
  <si>
    <t>878065</t>
  </si>
  <si>
    <t>1102</t>
  </si>
  <si>
    <t>1103</t>
  </si>
  <si>
    <t>1:13pm</t>
  </si>
  <si>
    <t>1104</t>
  </si>
  <si>
    <t>891233</t>
  </si>
  <si>
    <t>1105</t>
  </si>
  <si>
    <t>238027</t>
  </si>
  <si>
    <t>1106</t>
  </si>
  <si>
    <t>1107</t>
  </si>
  <si>
    <t>1108</t>
  </si>
  <si>
    <t>1109</t>
  </si>
  <si>
    <t>1110</t>
  </si>
  <si>
    <t>104072</t>
  </si>
  <si>
    <t>1111</t>
  </si>
  <si>
    <t>1112</t>
  </si>
  <si>
    <t>1113</t>
  </si>
  <si>
    <t>868367</t>
  </si>
  <si>
    <t>1114</t>
  </si>
  <si>
    <t>1115</t>
  </si>
  <si>
    <t>10:30am</t>
  </si>
  <si>
    <t>1116</t>
  </si>
  <si>
    <t>1117</t>
  </si>
  <si>
    <t>11:15am</t>
  </si>
  <si>
    <t>1118</t>
  </si>
  <si>
    <t>12:57pm</t>
  </si>
  <si>
    <t>1119</t>
  </si>
  <si>
    <t>1120</t>
  </si>
  <si>
    <t>725004</t>
  </si>
  <si>
    <t>1121</t>
  </si>
  <si>
    <t>832225</t>
  </si>
  <si>
    <t>1122</t>
  </si>
  <si>
    <t>662145</t>
  </si>
  <si>
    <t>1123</t>
  </si>
  <si>
    <t>1124</t>
  </si>
  <si>
    <t>1125</t>
  </si>
  <si>
    <t>937026</t>
  </si>
  <si>
    <t>1126</t>
  </si>
  <si>
    <t>10:03am</t>
  </si>
  <si>
    <t>032882</t>
  </si>
  <si>
    <t>1127</t>
  </si>
  <si>
    <t>1:12pm</t>
  </si>
  <si>
    <t>1128</t>
  </si>
  <si>
    <t>1129</t>
  </si>
  <si>
    <t>1130</t>
  </si>
  <si>
    <t>7:17am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</si>
  <si>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</si>
  <si>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</si>
  <si>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</si>
  <si>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</si>
  <si>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</si>
  <si>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</si>
  <si>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</si>
  <si>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</si>
  <si>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</si>
  <si>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</si>
  <si>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</si>
  <si>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</si>
  <si>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</si>
  <si>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</si>
  <si>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</si>
  <si>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511042</t>
  </si>
  <si>
    <t>1146</t>
  </si>
  <si>
    <t>1147</t>
  </si>
  <si>
    <t>1148</t>
  </si>
  <si>
    <t>1149</t>
  </si>
  <si>
    <t>006185</t>
  </si>
  <si>
    <t>1150</t>
  </si>
  <si>
    <t>2:57pm</t>
  </si>
  <si>
    <t>561115</t>
  </si>
  <si>
    <t>1151</t>
  </si>
  <si>
    <t>1152</t>
  </si>
  <si>
    <t>1153</t>
  </si>
  <si>
    <t>10:26am</t>
  </si>
  <si>
    <t>1154</t>
  </si>
  <si>
    <t>995376</t>
  </si>
  <si>
    <t>1155</t>
  </si>
  <si>
    <t>1156</t>
  </si>
  <si>
    <t>829010</t>
  </si>
  <si>
    <t>1157</t>
  </si>
  <si>
    <t>986017</t>
  </si>
  <si>
    <t>1158</t>
  </si>
  <si>
    <t>637013</t>
  </si>
  <si>
    <t>1159</t>
  </si>
  <si>
    <t>1160</t>
  </si>
  <si>
    <t>006160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</si>
  <si>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</si>
  <si>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</si>
  <si>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</si>
  <si>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</si>
  <si>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</si>
  <si>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</si>
  <si>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</si>
  <si>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</si>
  <si>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</si>
  <si>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131071</t>
  </si>
  <si>
    <t>1170</t>
  </si>
  <si>
    <t>1171</t>
  </si>
  <si>
    <t>1172</t>
  </si>
  <si>
    <t>1173</t>
  </si>
  <si>
    <t>1174</t>
  </si>
  <si>
    <t>1175</t>
  </si>
  <si>
    <t>1176</t>
  </si>
  <si>
    <t>10:45am</t>
  </si>
  <si>
    <t>1177</t>
  </si>
  <si>
    <t>1178</t>
  </si>
  <si>
    <t>1179</t>
  </si>
  <si>
    <t>2:00pm</t>
  </si>
  <si>
    <t>1180</t>
  </si>
  <si>
    <t>1181</t>
  </si>
  <si>
    <t>1182</t>
  </si>
  <si>
    <t>255018</t>
  </si>
  <si>
    <t>1183</t>
  </si>
  <si>
    <t>1184</t>
  </si>
  <si>
    <t>9:18am</t>
  </si>
  <si>
    <t>891229</t>
  </si>
  <si>
    <t>1185</t>
  </si>
  <si>
    <t>1186</t>
  </si>
  <si>
    <t>012008</t>
  </si>
  <si>
    <t>1187</t>
  </si>
  <si>
    <t>1188</t>
  </si>
  <si>
    <t>1189</t>
  </si>
  <si>
    <t>11:51am</t>
  </si>
  <si>
    <t>1190</t>
  </si>
  <si>
    <t>319036</t>
  </si>
  <si>
    <t>1191</t>
  </si>
  <si>
    <t>1192</t>
  </si>
  <si>
    <t>1193</t>
  </si>
  <si>
    <t>708070</t>
  </si>
  <si>
    <t>1194</t>
  </si>
  <si>
    <t>1195</t>
  </si>
  <si>
    <t>1196</t>
  </si>
  <si>
    <t>485017</t>
  </si>
  <si>
    <t>1197</t>
  </si>
  <si>
    <t>1:52pm</t>
  </si>
  <si>
    <t>911013</t>
  </si>
  <si>
    <t>1198</t>
  </si>
  <si>
    <t>557014</t>
  </si>
  <si>
    <t>1199</t>
  </si>
  <si>
    <t>147217</t>
  </si>
  <si>
    <t>1200</t>
  </si>
  <si>
    <t>1201</t>
  </si>
  <si>
    <t>1202</t>
  </si>
  <si>
    <t>2:31pm</t>
  </si>
  <si>
    <t>247092</t>
  </si>
  <si>
    <t>1203</t>
  </si>
  <si>
    <t>1204</t>
  </si>
  <si>
    <t>6:52am</t>
  </si>
  <si>
    <t>1205</t>
  </si>
  <si>
    <t>721947</t>
  </si>
  <si>
    <t>1206</t>
  </si>
  <si>
    <t>761051</t>
  </si>
  <si>
    <t>1207</t>
  </si>
  <si>
    <t>1208</t>
  </si>
  <si>
    <t>1209</t>
  </si>
  <si>
    <t>1210</t>
  </si>
  <si>
    <t>289090</t>
  </si>
  <si>
    <t>1211</t>
  </si>
  <si>
    <t>818006</t>
  </si>
  <si>
    <t>1212</t>
  </si>
  <si>
    <t>657237</t>
  </si>
  <si>
    <t>1213</t>
  </si>
  <si>
    <t>1214</t>
  </si>
  <si>
    <t>1215</t>
  </si>
  <si>
    <t>1216</t>
  </si>
  <si>
    <t>498068</t>
  </si>
  <si>
    <t>1217</t>
  </si>
  <si>
    <t>1218</t>
  </si>
  <si>
    <t>1219</t>
  </si>
  <si>
    <t>1220</t>
  </si>
  <si>
    <t>1221</t>
  </si>
  <si>
    <t>1222</t>
  </si>
  <si>
    <t>1223</t>
  </si>
  <si>
    <t>1224</t>
  </si>
  <si>
    <t>9:46am</t>
  </si>
  <si>
    <t>457018</t>
  </si>
  <si>
    <t>1225</t>
  </si>
  <si>
    <t>1226</t>
  </si>
  <si>
    <t>1227</t>
  </si>
  <si>
    <t>387027</t>
  </si>
  <si>
    <t>1228</t>
  </si>
  <si>
    <t>1229</t>
  </si>
  <si>
    <t>1230</t>
  </si>
  <si>
    <t>2:24pm</t>
  </si>
  <si>
    <t>1231</t>
  </si>
  <si>
    <t>1232</t>
  </si>
  <si>
    <t>1233</t>
  </si>
  <si>
    <t>1234</t>
  </si>
  <si>
    <t>10:53am</t>
  </si>
  <si>
    <t>1235</t>
  </si>
  <si>
    <t>2:22pm</t>
  </si>
  <si>
    <t>1236</t>
  </si>
  <si>
    <t>7:16am</t>
  </si>
  <si>
    <t>1237</t>
  </si>
  <si>
    <t>1238</t>
  </si>
  <si>
    <t>7812-02299</t>
  </si>
  <si>
    <t>1239</t>
  </si>
  <si>
    <t>1240</t>
  </si>
  <si>
    <t>1241</t>
  </si>
  <si>
    <t>1242</t>
  </si>
  <si>
    <t>294005</t>
  </si>
  <si>
    <t>1243</t>
  </si>
  <si>
    <t>475891</t>
  </si>
  <si>
    <t>1244</t>
  </si>
  <si>
    <t>1245</t>
  </si>
  <si>
    <t>1246</t>
  </si>
  <si>
    <t>1247</t>
  </si>
  <si>
    <t>495013</t>
  </si>
  <si>
    <t>1248</t>
  </si>
  <si>
    <t>1249</t>
  </si>
  <si>
    <t>726104</t>
  </si>
  <si>
    <t>1250</t>
  </si>
  <si>
    <t>1251</t>
  </si>
  <si>
    <t>1252</t>
  </si>
  <si>
    <t>1253</t>
  </si>
  <si>
    <t>7:30am</t>
  </si>
  <si>
    <t>1254</t>
  </si>
  <si>
    <t>1255</t>
  </si>
  <si>
    <t>1256</t>
  </si>
  <si>
    <t>624663</t>
  </si>
  <si>
    <t>1257</t>
  </si>
  <si>
    <t>915005</t>
  </si>
  <si>
    <t>1258</t>
  </si>
  <si>
    <t>750221</t>
  </si>
  <si>
    <t>1259</t>
  </si>
  <si>
    <t>1260</t>
  </si>
  <si>
    <t>1261</t>
  </si>
  <si>
    <t>059017</t>
  </si>
  <si>
    <t>1262</t>
  </si>
  <si>
    <t>683931</t>
  </si>
  <si>
    <t>1263</t>
  </si>
  <si>
    <t>1264</t>
  </si>
  <si>
    <t>1265</t>
  </si>
  <si>
    <t>1266</t>
  </si>
  <si>
    <t>1267</t>
  </si>
  <si>
    <t>1268</t>
  </si>
  <si>
    <t>11:45am</t>
  </si>
  <si>
    <t>432090</t>
  </si>
  <si>
    <t>1269</t>
  </si>
  <si>
    <t>887243</t>
  </si>
  <si>
    <t>1270</t>
  </si>
  <si>
    <t>767014</t>
  </si>
  <si>
    <t>1271</t>
  </si>
  <si>
    <t>767037</t>
  </si>
  <si>
    <t>1272</t>
  </si>
  <si>
    <t>1:08pm</t>
  </si>
  <si>
    <t>1273</t>
  </si>
  <si>
    <t>986010</t>
  </si>
  <si>
    <t>1274</t>
  </si>
  <si>
    <t>1:11pm</t>
  </si>
  <si>
    <t>1275</t>
  </si>
  <si>
    <t>658159</t>
  </si>
  <si>
    <t>1276</t>
  </si>
  <si>
    <t>1277</t>
  </si>
  <si>
    <t>1278</t>
  </si>
  <si>
    <t>1279</t>
  </si>
  <si>
    <t>842958</t>
  </si>
  <si>
    <t>1280</t>
  </si>
  <si>
    <t>792008</t>
  </si>
  <si>
    <t>597682</t>
  </si>
  <si>
    <t>1284</t>
  </si>
  <si>
    <t>634864</t>
  </si>
  <si>
    <t>1285</t>
  </si>
  <si>
    <t>1286</t>
  </si>
  <si>
    <t>6:09am</t>
  </si>
  <si>
    <t>906055</t>
  </si>
  <si>
    <t>1287</t>
  </si>
  <si>
    <t>1288</t>
  </si>
  <si>
    <t>11:08am</t>
  </si>
  <si>
    <t>008179</t>
  </si>
  <si>
    <t>1289</t>
  </si>
  <si>
    <t>1290</t>
  </si>
  <si>
    <t>980041</t>
  </si>
  <si>
    <t>1291</t>
  </si>
  <si>
    <t>1292</t>
  </si>
  <si>
    <t>1293</t>
  </si>
  <si>
    <t>116003</t>
  </si>
  <si>
    <t>1294</t>
  </si>
  <si>
    <t>1295</t>
  </si>
  <si>
    <t>1296</t>
  </si>
  <si>
    <t>1297</t>
  </si>
  <si>
    <t>643022</t>
  </si>
  <si>
    <t>1298</t>
  </si>
  <si>
    <t>1299</t>
  </si>
  <si>
    <t>1300</t>
  </si>
  <si>
    <t>1301</t>
  </si>
  <si>
    <t>1302</t>
  </si>
  <si>
    <t>1:28pm</t>
  </si>
  <si>
    <t>1303</t>
  </si>
  <si>
    <t>996089</t>
  </si>
  <si>
    <t>1304</t>
  </si>
  <si>
    <t>1305</t>
  </si>
  <si>
    <t>1306</t>
  </si>
  <si>
    <t>11:17am</t>
  </si>
  <si>
    <t>067061</t>
  </si>
  <si>
    <t>1307</t>
  </si>
  <si>
    <t>988051</t>
  </si>
  <si>
    <t>1308</t>
  </si>
  <si>
    <t>1309</t>
  </si>
  <si>
    <t>1310</t>
  </si>
  <si>
    <t>648015</t>
  </si>
  <si>
    <t>1311</t>
  </si>
  <si>
    <t>898643</t>
  </si>
  <si>
    <t>1312</t>
  </si>
  <si>
    <t>1313</t>
  </si>
  <si>
    <t>1314</t>
  </si>
  <si>
    <t>1315</t>
  </si>
  <si>
    <t>1316</t>
  </si>
  <si>
    <t>1317</t>
  </si>
  <si>
    <t>1318</t>
  </si>
  <si>
    <t>878026</t>
  </si>
  <si>
    <t>1319</t>
  </si>
  <si>
    <t>641460</t>
  </si>
  <si>
    <t>1320</t>
  </si>
  <si>
    <t>1321</t>
  </si>
  <si>
    <t>1322</t>
  </si>
  <si>
    <t>1323</t>
  </si>
  <si>
    <t>1324</t>
  </si>
  <si>
    <t>782192</t>
  </si>
  <si>
    <t>1325</t>
  </si>
  <si>
    <t>1326</t>
  </si>
  <si>
    <t>1327</t>
  </si>
  <si>
    <t>12:03pm</t>
  </si>
  <si>
    <t>917168</t>
  </si>
  <si>
    <t>1328</t>
  </si>
  <si>
    <t>1329</t>
  </si>
  <si>
    <t>597001</t>
  </si>
  <si>
    <t>1330</t>
  </si>
  <si>
    <t>1331</t>
  </si>
  <si>
    <t>1332</t>
  </si>
  <si>
    <t>1333</t>
  </si>
  <si>
    <t>1334</t>
  </si>
  <si>
    <t>1335</t>
  </si>
  <si>
    <t>1336</t>
  </si>
  <si>
    <t>7:29am</t>
  </si>
  <si>
    <t>1337</t>
  </si>
  <si>
    <t>1338</t>
  </si>
  <si>
    <t>11:30am</t>
  </si>
  <si>
    <t>1339</t>
  </si>
  <si>
    <t>1340</t>
  </si>
  <si>
    <t>1341</t>
  </si>
  <si>
    <t>740012</t>
  </si>
  <si>
    <t>1342</t>
  </si>
  <si>
    <t>1343</t>
  </si>
  <si>
    <t>1344</t>
  </si>
  <si>
    <t>1345</t>
  </si>
  <si>
    <t>943024</t>
  </si>
  <si>
    <t>1346</t>
  </si>
  <si>
    <t>1347</t>
  </si>
  <si>
    <t>199308</t>
  </si>
  <si>
    <t>1348</t>
  </si>
  <si>
    <t>1349</t>
  </si>
  <si>
    <t>1350</t>
  </si>
  <si>
    <t>247018</t>
  </si>
  <si>
    <t>1351</t>
  </si>
  <si>
    <t>8:09am</t>
  </si>
  <si>
    <t>472075</t>
  </si>
  <si>
    <t>1352</t>
  </si>
  <si>
    <t>432143</t>
  </si>
  <si>
    <t>1353</t>
  </si>
  <si>
    <t>1354</t>
  </si>
  <si>
    <t>1355</t>
  </si>
  <si>
    <t>1356</t>
  </si>
  <si>
    <t>1357</t>
  </si>
  <si>
    <t>523110</t>
  </si>
  <si>
    <t>1358</t>
  </si>
  <si>
    <t>537039</t>
  </si>
  <si>
    <t>1359</t>
  </si>
  <si>
    <t>1360</t>
  </si>
  <si>
    <t>1361</t>
  </si>
  <si>
    <t>1362</t>
  </si>
  <si>
    <t>1:44pm</t>
  </si>
  <si>
    <t>029122</t>
  </si>
  <si>
    <t>1363</t>
  </si>
  <si>
    <t>1364</t>
  </si>
  <si>
    <t>1365</t>
  </si>
  <si>
    <t>552093</t>
  </si>
  <si>
    <t>1366</t>
  </si>
  <si>
    <t>1367</t>
  </si>
  <si>
    <t>1368</t>
  </si>
  <si>
    <t>079008</t>
  </si>
  <si>
    <t>1369</t>
  </si>
  <si>
    <t>1370</t>
  </si>
  <si>
    <t>470573</t>
  </si>
  <si>
    <t>1371</t>
  </si>
  <si>
    <t>621023</t>
  </si>
  <si>
    <t>1372</t>
  </si>
  <si>
    <t>1373</t>
  </si>
  <si>
    <t>1374</t>
  </si>
  <si>
    <t>938005</t>
  </si>
  <si>
    <t>1375</t>
  </si>
  <si>
    <t>1376</t>
  </si>
  <si>
    <t>1377</t>
  </si>
  <si>
    <t>1378</t>
  </si>
  <si>
    <t>1379</t>
  </si>
  <si>
    <t>1380</t>
  </si>
  <si>
    <t>429003</t>
  </si>
  <si>
    <t>1381</t>
  </si>
  <si>
    <t>831145</t>
  </si>
  <si>
    <t>1382</t>
  </si>
  <si>
    <t>1383</t>
  </si>
  <si>
    <t>11:49am</t>
  </si>
  <si>
    <t>1384</t>
  </si>
  <si>
    <t>1385</t>
  </si>
  <si>
    <t>713312</t>
  </si>
  <si>
    <t>1386</t>
  </si>
  <si>
    <t>1387</t>
  </si>
  <si>
    <t>1388</t>
  </si>
  <si>
    <t>809401</t>
  </si>
  <si>
    <t>1389</t>
  </si>
  <si>
    <t>1390</t>
  </si>
  <si>
    <t>1391</t>
  </si>
  <si>
    <t>1392</t>
  </si>
  <si>
    <t>1393</t>
  </si>
  <si>
    <t>1394</t>
  </si>
  <si>
    <t>12:40pm</t>
  </si>
  <si>
    <t>1395</t>
  </si>
  <si>
    <t>1396</t>
  </si>
  <si>
    <t>827049</t>
  </si>
  <si>
    <t>1397</t>
  </si>
  <si>
    <t>1398</t>
  </si>
  <si>
    <t>684009</t>
  </si>
  <si>
    <t>1399</t>
  </si>
  <si>
    <t>1400</t>
  </si>
  <si>
    <t>1401</t>
  </si>
  <si>
    <t>1402</t>
  </si>
  <si>
    <t>1403</t>
  </si>
  <si>
    <t>905030</t>
  </si>
  <si>
    <t>1404</t>
  </si>
  <si>
    <t>1405</t>
  </si>
  <si>
    <t>1406</t>
  </si>
  <si>
    <t>1407</t>
  </si>
  <si>
    <t>542044</t>
  </si>
  <si>
    <t>1408</t>
  </si>
  <si>
    <t>2:49pm</t>
  </si>
  <si>
    <t>1409</t>
  </si>
  <si>
    <t>998262</t>
  </si>
  <si>
    <t>1410</t>
  </si>
  <si>
    <t>9:37am</t>
  </si>
  <si>
    <t>1411</t>
  </si>
  <si>
    <t>11:39am</t>
  </si>
  <si>
    <t>810738</t>
  </si>
  <si>
    <t>1412</t>
  </si>
  <si>
    <t>781017</t>
  </si>
  <si>
    <t>1413</t>
  </si>
  <si>
    <t>1414</t>
  </si>
  <si>
    <t>1415</t>
  </si>
  <si>
    <t>1416</t>
  </si>
  <si>
    <t>1417</t>
  </si>
  <si>
    <t>1418</t>
  </si>
  <si>
    <t>11:16am</t>
  </si>
  <si>
    <t>1419</t>
  </si>
  <si>
    <t>1420</t>
  </si>
  <si>
    <t>1421</t>
  </si>
  <si>
    <t>1422</t>
  </si>
  <si>
    <t>1423</t>
  </si>
  <si>
    <t>1424</t>
  </si>
  <si>
    <t>558051</t>
  </si>
  <si>
    <t>1425</t>
  </si>
  <si>
    <t>1426</t>
  </si>
  <si>
    <t>776039</t>
  </si>
  <si>
    <t>1427</t>
  </si>
  <si>
    <t>722048</t>
  </si>
  <si>
    <t>1428</t>
  </si>
  <si>
    <t>1429</t>
  </si>
  <si>
    <t>11:04am</t>
  </si>
  <si>
    <t>1430</t>
  </si>
  <si>
    <t>1431</t>
  </si>
  <si>
    <t>1432</t>
  </si>
  <si>
    <t>1433</t>
  </si>
  <si>
    <t>645033</t>
  </si>
  <si>
    <t>1434</t>
  </si>
  <si>
    <t>078029</t>
  </si>
  <si>
    <t>1435</t>
  </si>
  <si>
    <t>029048</t>
  </si>
  <si>
    <t>1436</t>
  </si>
  <si>
    <t>538007</t>
  </si>
  <si>
    <t>1437</t>
  </si>
  <si>
    <t>612028</t>
  </si>
  <si>
    <t>1438</t>
  </si>
  <si>
    <t>11:28am</t>
  </si>
  <si>
    <t>1439</t>
  </si>
  <si>
    <t>1440</t>
  </si>
  <si>
    <t>1441</t>
  </si>
  <si>
    <t>907001</t>
  </si>
  <si>
    <t>1442</t>
  </si>
  <si>
    <t>921062</t>
  </si>
  <si>
    <t>1443</t>
  </si>
  <si>
    <t>9:07am</t>
  </si>
  <si>
    <t>M45071</t>
  </si>
  <si>
    <t>1444</t>
  </si>
  <si>
    <t>114013</t>
  </si>
  <si>
    <t>1445</t>
  </si>
  <si>
    <t>1446</t>
  </si>
  <si>
    <t>1447</t>
  </si>
  <si>
    <t>1448</t>
  </si>
  <si>
    <t>729034</t>
  </si>
  <si>
    <t>1449</t>
  </si>
  <si>
    <t>1450</t>
  </si>
  <si>
    <t>988003</t>
  </si>
  <si>
    <t>1451</t>
  </si>
  <si>
    <t>115004</t>
  </si>
  <si>
    <t>1452</t>
  </si>
  <si>
    <t>726056</t>
  </si>
  <si>
    <t>1453</t>
  </si>
  <si>
    <t>1454</t>
  </si>
  <si>
    <t>1455</t>
  </si>
  <si>
    <t>1456</t>
  </si>
  <si>
    <t>1457</t>
  </si>
  <si>
    <t>1458</t>
  </si>
  <si>
    <t>8:40am</t>
  </si>
  <si>
    <t>921072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</si>
  <si>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</si>
  <si>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</si>
  <si>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</si>
  <si>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</si>
  <si>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</si>
  <si>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</si>
  <si>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</si>
  <si>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</si>
  <si>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</si>
  <si>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332003</t>
  </si>
  <si>
    <t>1468</t>
  </si>
  <si>
    <t>056040</t>
  </si>
  <si>
    <t>538049</t>
  </si>
  <si>
    <t>1474</t>
  </si>
  <si>
    <t>1475</t>
  </si>
  <si>
    <t>1:22pm</t>
  </si>
  <si>
    <t>1476</t>
  </si>
  <si>
    <t>1477</t>
  </si>
  <si>
    <t>996086</t>
  </si>
  <si>
    <t>1478</t>
  </si>
  <si>
    <t>1479</t>
  </si>
  <si>
    <t>1480</t>
  </si>
  <si>
    <t>554101</t>
  </si>
  <si>
    <t>1481</t>
  </si>
  <si>
    <t>1482</t>
  </si>
  <si>
    <t>1483</t>
  </si>
  <si>
    <t>1484</t>
  </si>
  <si>
    <t>211378</t>
  </si>
  <si>
    <t>1485</t>
  </si>
  <si>
    <t>1486</t>
  </si>
  <si>
    <t>1487</t>
  </si>
  <si>
    <t>1488</t>
  </si>
  <si>
    <t>767035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</si>
  <si>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</si>
  <si>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</si>
  <si>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</si>
  <si>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</si>
  <si>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</si>
  <si>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</si>
  <si>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</si>
  <si>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</si>
  <si>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</si>
  <si>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</si>
  <si>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155797</t>
  </si>
  <si>
    <t>1499</t>
  </si>
  <si>
    <t>1500</t>
  </si>
  <si>
    <t>326002</t>
  </si>
  <si>
    <t>1501</t>
  </si>
  <si>
    <t>1502</t>
  </si>
  <si>
    <t>1503</t>
  </si>
  <si>
    <t>387017</t>
  </si>
  <si>
    <t>1504</t>
  </si>
  <si>
    <t>1505</t>
  </si>
  <si>
    <t>610037</t>
  </si>
  <si>
    <t>1506</t>
  </si>
  <si>
    <t>1507</t>
  </si>
  <si>
    <t>1508</t>
  </si>
  <si>
    <t>1509</t>
  </si>
  <si>
    <t>715015</t>
  </si>
  <si>
    <t>1510</t>
  </si>
  <si>
    <t>1511</t>
  </si>
  <si>
    <t>414024</t>
  </si>
  <si>
    <t>1512</t>
  </si>
  <si>
    <t>1513</t>
  </si>
  <si>
    <t>210223</t>
  </si>
  <si>
    <t>1514</t>
  </si>
  <si>
    <t>10:31am</t>
  </si>
  <si>
    <t>1515</t>
  </si>
  <si>
    <t>1516</t>
  </si>
  <si>
    <t>1517</t>
  </si>
  <si>
    <t>1518</t>
  </si>
  <si>
    <t>1519</t>
  </si>
  <si>
    <t>1520</t>
  </si>
  <si>
    <t>620120</t>
  </si>
  <si>
    <t>1521</t>
  </si>
  <si>
    <t>496030</t>
  </si>
  <si>
    <t>1522</t>
  </si>
  <si>
    <t>315007</t>
  </si>
  <si>
    <t>1523</t>
  </si>
  <si>
    <t>021025</t>
  </si>
  <si>
    <t>1524</t>
  </si>
  <si>
    <t>636071</t>
  </si>
  <si>
    <t>1525</t>
  </si>
  <si>
    <t>1526</t>
  </si>
  <si>
    <t>148075</t>
  </si>
  <si>
    <t>1527</t>
  </si>
  <si>
    <t>1528</t>
  </si>
  <si>
    <t>450205</t>
  </si>
  <si>
    <t>1529</t>
  </si>
  <si>
    <t>1530</t>
  </si>
  <si>
    <t>1531</t>
  </si>
  <si>
    <t>035004</t>
  </si>
  <si>
    <t>1532</t>
  </si>
  <si>
    <t>1533</t>
  </si>
  <si>
    <t>1534</t>
  </si>
  <si>
    <t>1535</t>
  </si>
  <si>
    <t>1536</t>
  </si>
  <si>
    <t>1537</t>
  </si>
  <si>
    <t>995074</t>
  </si>
  <si>
    <t>1538</t>
  </si>
  <si>
    <t>222043</t>
  </si>
  <si>
    <t>1539</t>
  </si>
  <si>
    <t>1540</t>
  </si>
  <si>
    <t>601107</t>
  </si>
  <si>
    <t>1541</t>
  </si>
  <si>
    <t>388074</t>
  </si>
  <si>
    <t>1542</t>
  </si>
  <si>
    <t>9:24am</t>
  </si>
  <si>
    <t>1543</t>
  </si>
  <si>
    <t>1544</t>
  </si>
  <si>
    <t>12:08pm</t>
  </si>
  <si>
    <t>1545</t>
  </si>
  <si>
    <t>470494</t>
  </si>
  <si>
    <t>1546</t>
  </si>
  <si>
    <t>1547</t>
  </si>
  <si>
    <t>11:18am</t>
  </si>
  <si>
    <t>878022</t>
  </si>
  <si>
    <t>1548</t>
  </si>
  <si>
    <t>805580</t>
  </si>
  <si>
    <t>1549</t>
  </si>
  <si>
    <t>1550</t>
  </si>
  <si>
    <t>1551</t>
  </si>
  <si>
    <t>226014</t>
  </si>
  <si>
    <t>1552</t>
  </si>
  <si>
    <t>6:43am</t>
  </si>
  <si>
    <t>827073</t>
  </si>
  <si>
    <t>1553</t>
  </si>
  <si>
    <t>1554</t>
  </si>
  <si>
    <t>11:24am</t>
  </si>
  <si>
    <t>147253</t>
  </si>
  <si>
    <t>1555</t>
  </si>
  <si>
    <t>131017</t>
  </si>
  <si>
    <t>1556</t>
  </si>
  <si>
    <t>525053</t>
  </si>
  <si>
    <t>1557</t>
  </si>
  <si>
    <t>529090</t>
  </si>
  <si>
    <t>1558</t>
  </si>
  <si>
    <t>1559</t>
  </si>
  <si>
    <t>1560</t>
  </si>
  <si>
    <t>1561</t>
  </si>
  <si>
    <t>934089</t>
  </si>
  <si>
    <t>1562</t>
  </si>
  <si>
    <t>1563</t>
  </si>
  <si>
    <t>1564</t>
  </si>
  <si>
    <t>153160</t>
  </si>
  <si>
    <t>1565</t>
  </si>
  <si>
    <t>057093</t>
  </si>
  <si>
    <t>1566</t>
  </si>
  <si>
    <t>1567</t>
  </si>
  <si>
    <t>414071</t>
  </si>
  <si>
    <t>1568</t>
  </si>
  <si>
    <t>147257</t>
  </si>
  <si>
    <t>1569</t>
  </si>
  <si>
    <t>676971</t>
  </si>
  <si>
    <t>1570</t>
  </si>
  <si>
    <t>857007</t>
  </si>
  <si>
    <t>1571</t>
  </si>
  <si>
    <t>1572</t>
  </si>
  <si>
    <t>1573</t>
  </si>
  <si>
    <t>1:26pm</t>
  </si>
  <si>
    <t>1574</t>
  </si>
  <si>
    <t>1575</t>
  </si>
  <si>
    <t>1576</t>
  </si>
  <si>
    <t>1577</t>
  </si>
  <si>
    <t>1578</t>
  </si>
  <si>
    <t>1579</t>
  </si>
  <si>
    <t>1580</t>
  </si>
  <si>
    <t>1581</t>
  </si>
  <si>
    <t>610033</t>
  </si>
  <si>
    <t>1582</t>
  </si>
  <si>
    <t>1583</t>
  </si>
  <si>
    <t>1584</t>
  </si>
  <si>
    <t>12:22pm</t>
  </si>
  <si>
    <t>1585</t>
  </si>
  <si>
    <t>820720</t>
  </si>
  <si>
    <t>1586</t>
  </si>
  <si>
    <t>1587</t>
  </si>
  <si>
    <t>6:18am</t>
  </si>
  <si>
    <t>1588</t>
  </si>
  <si>
    <t>1589</t>
  </si>
  <si>
    <t>10:16am</t>
  </si>
  <si>
    <t>753078</t>
  </si>
  <si>
    <t>1590</t>
  </si>
  <si>
    <t>1591</t>
  </si>
  <si>
    <t>1592</t>
  </si>
  <si>
    <t>1593</t>
  </si>
  <si>
    <t>M35727</t>
  </si>
  <si>
    <t>1594</t>
  </si>
  <si>
    <t>1595</t>
  </si>
  <si>
    <t>555051</t>
  </si>
  <si>
    <t>1596</t>
  </si>
  <si>
    <t>1597</t>
  </si>
  <si>
    <t>669015</t>
  </si>
  <si>
    <t>1598</t>
  </si>
  <si>
    <t>641053</t>
  </si>
  <si>
    <t>1599</t>
  </si>
  <si>
    <t>1600</t>
  </si>
  <si>
    <t>3:10pm</t>
  </si>
  <si>
    <t>311466</t>
  </si>
  <si>
    <t>1601</t>
  </si>
  <si>
    <t>1602</t>
  </si>
  <si>
    <t>1603</t>
  </si>
  <si>
    <t>779010</t>
  </si>
  <si>
    <t>1604</t>
  </si>
  <si>
    <t>249003</t>
  </si>
  <si>
    <t>1605</t>
  </si>
  <si>
    <t>1606</t>
  </si>
  <si>
    <t>10:47am</t>
  </si>
  <si>
    <t>B05430</t>
  </si>
  <si>
    <t>1607</t>
  </si>
  <si>
    <t>941325</t>
  </si>
  <si>
    <t>1608</t>
  </si>
  <si>
    <t>1609</t>
  </si>
  <si>
    <t>1:51pm</t>
  </si>
  <si>
    <t>1610</t>
  </si>
  <si>
    <t>2:13pm</t>
  </si>
  <si>
    <t>1611</t>
  </si>
  <si>
    <t>1612</t>
  </si>
  <si>
    <t>1613</t>
  </si>
  <si>
    <t>7:24am</t>
  </si>
  <si>
    <t>1614</t>
  </si>
  <si>
    <t>474022</t>
  </si>
  <si>
    <t>1615</t>
  </si>
  <si>
    <t>1616</t>
  </si>
  <si>
    <t>1617</t>
  </si>
  <si>
    <t>153070</t>
  </si>
  <si>
    <t>1618</t>
  </si>
  <si>
    <t>1619</t>
  </si>
  <si>
    <t>1620</t>
  </si>
  <si>
    <t>10:07am</t>
  </si>
  <si>
    <t>1621</t>
  </si>
  <si>
    <t>1:02pm</t>
  </si>
  <si>
    <t>1622</t>
  </si>
  <si>
    <t>1623</t>
  </si>
  <si>
    <t>658613</t>
  </si>
  <si>
    <t>1624</t>
  </si>
  <si>
    <t>1625</t>
  </si>
  <si>
    <t>1626</t>
  </si>
  <si>
    <t>186020</t>
  </si>
  <si>
    <t>1627</t>
  </si>
  <si>
    <t>9:56am</t>
  </si>
  <si>
    <t>1628</t>
  </si>
  <si>
    <t>1629</t>
  </si>
  <si>
    <t>932026</t>
  </si>
  <si>
    <t>1630</t>
  </si>
  <si>
    <t>1631</t>
  </si>
  <si>
    <t>029102</t>
  </si>
  <si>
    <t>1632</t>
  </si>
  <si>
    <t>7:53am</t>
  </si>
  <si>
    <t>1633</t>
  </si>
  <si>
    <t>1634</t>
  </si>
  <si>
    <t>756156</t>
  </si>
  <si>
    <t>1635</t>
  </si>
  <si>
    <t>570047</t>
  </si>
  <si>
    <t>1636</t>
  </si>
  <si>
    <t>11:19am</t>
  </si>
  <si>
    <t>1637</t>
  </si>
  <si>
    <t>685007</t>
  </si>
  <si>
    <t>1638</t>
  </si>
  <si>
    <t>1639</t>
  </si>
  <si>
    <t>113241</t>
  </si>
  <si>
    <t>1640</t>
  </si>
  <si>
    <t>056001</t>
  </si>
  <si>
    <t>1641</t>
  </si>
  <si>
    <t>1642</t>
  </si>
  <si>
    <t>1643</t>
  </si>
  <si>
    <t>1644</t>
  </si>
  <si>
    <t>1645</t>
  </si>
  <si>
    <t>1646</t>
  </si>
  <si>
    <t>11:20am</t>
  </si>
  <si>
    <t>814806</t>
  </si>
  <si>
    <t>1647</t>
  </si>
  <si>
    <t>1648</t>
  </si>
  <si>
    <t>11:13am</t>
  </si>
  <si>
    <t>582023</t>
  </si>
  <si>
    <t>1649</t>
  </si>
  <si>
    <t>1650</t>
  </si>
  <si>
    <t>830003</t>
  </si>
  <si>
    <t>1651</t>
  </si>
  <si>
    <t>1652</t>
  </si>
  <si>
    <t>6:53am</t>
  </si>
  <si>
    <t>189075</t>
  </si>
  <si>
    <t>1653</t>
  </si>
  <si>
    <t>1654</t>
  </si>
  <si>
    <t>1655</t>
  </si>
  <si>
    <t>1656</t>
  </si>
  <si>
    <t>1657</t>
  </si>
  <si>
    <t>1658</t>
  </si>
  <si>
    <t>1659</t>
  </si>
  <si>
    <t>460036</t>
  </si>
  <si>
    <t>1660</t>
  </si>
  <si>
    <t>550015</t>
  </si>
  <si>
    <t>1661</t>
  </si>
  <si>
    <t>1662</t>
  </si>
  <si>
    <t>1663</t>
  </si>
  <si>
    <t>1664</t>
  </si>
  <si>
    <t>1665</t>
  </si>
  <si>
    <t>831062</t>
  </si>
  <si>
    <t>1666</t>
  </si>
  <si>
    <t>292037</t>
  </si>
  <si>
    <t>1667</t>
  </si>
  <si>
    <t>1668</t>
  </si>
  <si>
    <t>1669</t>
  </si>
  <si>
    <t>12:58pm</t>
  </si>
  <si>
    <t>1670</t>
  </si>
  <si>
    <t>065679</t>
  </si>
  <si>
    <t>1671</t>
  </si>
  <si>
    <t>1672</t>
  </si>
  <si>
    <t>055001</t>
  </si>
  <si>
    <t>1673</t>
  </si>
  <si>
    <t>1674</t>
  </si>
  <si>
    <t>M20726</t>
  </si>
  <si>
    <t>1675</t>
  </si>
  <si>
    <t>10:50am</t>
  </si>
  <si>
    <t>new</t>
  </si>
  <si>
    <t>1676</t>
  </si>
  <si>
    <t>1677</t>
  </si>
  <si>
    <t>1678</t>
  </si>
  <si>
    <t>1679</t>
  </si>
  <si>
    <t>1680</t>
  </si>
  <si>
    <t>757668</t>
  </si>
  <si>
    <t>1681</t>
  </si>
  <si>
    <t>1682</t>
  </si>
  <si>
    <t>1683</t>
  </si>
  <si>
    <t>1684</t>
  </si>
  <si>
    <t>7:07am</t>
  </si>
  <si>
    <t>1685</t>
  </si>
  <si>
    <t>304133</t>
  </si>
  <si>
    <t>1686</t>
  </si>
  <si>
    <t>1687</t>
  </si>
  <si>
    <t>12:06pm</t>
  </si>
  <si>
    <t>1688</t>
  </si>
  <si>
    <t>1689</t>
  </si>
  <si>
    <t>12:47pm</t>
  </si>
  <si>
    <t>1690</t>
  </si>
  <si>
    <t>201039</t>
  </si>
  <si>
    <t>1691</t>
  </si>
  <si>
    <t>017798</t>
  </si>
  <si>
    <t>1692</t>
  </si>
  <si>
    <t>1693</t>
  </si>
  <si>
    <t>1694</t>
  </si>
  <si>
    <t>772018</t>
  </si>
  <si>
    <t>1695</t>
  </si>
  <si>
    <t>1696</t>
  </si>
  <si>
    <t>8:51am</t>
  </si>
  <si>
    <t>1697</t>
  </si>
  <si>
    <t>1698</t>
  </si>
  <si>
    <t>1699</t>
  </si>
  <si>
    <t>781183</t>
  </si>
  <si>
    <t>1700</t>
  </si>
  <si>
    <t>1701</t>
  </si>
  <si>
    <t>1702</t>
  </si>
  <si>
    <t>346076</t>
  </si>
  <si>
    <t>1703</t>
  </si>
  <si>
    <t>1704</t>
  </si>
  <si>
    <t>1705</t>
  </si>
  <si>
    <t>1706</t>
  </si>
  <si>
    <t>1707</t>
  </si>
  <si>
    <t>1708</t>
  </si>
  <si>
    <t>2:03pm</t>
  </si>
  <si>
    <t>424927</t>
  </si>
  <si>
    <t>1709</t>
  </si>
  <si>
    <t>M45547</t>
  </si>
  <si>
    <t>1710</t>
  </si>
  <si>
    <t>1711</t>
  </si>
  <si>
    <t>1712</t>
  </si>
  <si>
    <t>10:56am</t>
  </si>
  <si>
    <t>1713</t>
  </si>
  <si>
    <t>821046</t>
  </si>
  <si>
    <t>1714</t>
  </si>
  <si>
    <t>1715</t>
  </si>
  <si>
    <t>1716</t>
  </si>
  <si>
    <t>7812-01482</t>
  </si>
  <si>
    <t>299223</t>
  </si>
  <si>
    <t>1717</t>
  </si>
  <si>
    <t>554056</t>
  </si>
  <si>
    <t>1718</t>
  </si>
  <si>
    <t>1719</t>
  </si>
  <si>
    <t>1720</t>
  </si>
  <si>
    <t>1721</t>
  </si>
  <si>
    <t>301060</t>
  </si>
  <si>
    <t>1722</t>
  </si>
  <si>
    <t>1723</t>
  </si>
  <si>
    <t>1724</t>
  </si>
  <si>
    <t>1725</t>
  </si>
  <si>
    <t>1726</t>
  </si>
  <si>
    <t>1727</t>
  </si>
  <si>
    <t>1728</t>
  </si>
  <si>
    <t>482022</t>
  </si>
  <si>
    <t>1729</t>
  </si>
  <si>
    <t>1730</t>
  </si>
  <si>
    <t>4:18pm</t>
  </si>
  <si>
    <t>560346</t>
  </si>
  <si>
    <t>1731</t>
  </si>
  <si>
    <t>8:55am</t>
  </si>
  <si>
    <t>181057</t>
  </si>
  <si>
    <t>1732</t>
  </si>
  <si>
    <t>1733</t>
  </si>
  <si>
    <t>1734</t>
  </si>
  <si>
    <t>964421</t>
  </si>
  <si>
    <t>1735</t>
  </si>
  <si>
    <t>260044</t>
  </si>
  <si>
    <t>1736</t>
  </si>
  <si>
    <t>1:35pm</t>
  </si>
  <si>
    <t>1737</t>
  </si>
  <si>
    <t>7812-00800</t>
  </si>
  <si>
    <t>1738</t>
  </si>
  <si>
    <t>12:42pm</t>
  </si>
  <si>
    <t>1739</t>
  </si>
  <si>
    <t>1740</t>
  </si>
  <si>
    <t>1741</t>
  </si>
  <si>
    <t>1742</t>
  </si>
  <si>
    <t>255212</t>
  </si>
  <si>
    <t>1743</t>
  </si>
  <si>
    <t>1744</t>
  </si>
  <si>
    <t>1745</t>
  </si>
  <si>
    <t>484039</t>
  </si>
  <si>
    <t>1746</t>
  </si>
  <si>
    <t>1747</t>
  </si>
  <si>
    <t>8:54am</t>
  </si>
  <si>
    <t>1748</t>
  </si>
  <si>
    <t>1749</t>
  </si>
  <si>
    <t>534123</t>
  </si>
  <si>
    <t>1750</t>
  </si>
  <si>
    <t>1751</t>
  </si>
  <si>
    <t>1:33pm</t>
  </si>
  <si>
    <t>069035</t>
  </si>
  <si>
    <t>1752</t>
  </si>
  <si>
    <t>1753</t>
  </si>
  <si>
    <t>3:19pm</t>
  </si>
  <si>
    <t>1754</t>
  </si>
  <si>
    <t>7:36am</t>
  </si>
  <si>
    <t>1755</t>
  </si>
  <si>
    <t>7:10am</t>
  </si>
  <si>
    <t>815012</t>
  </si>
  <si>
    <t>1756</t>
  </si>
  <si>
    <t>223049</t>
  </si>
  <si>
    <t>1757</t>
  </si>
  <si>
    <t>003058</t>
  </si>
  <si>
    <t>1758</t>
  </si>
  <si>
    <t>1759</t>
  </si>
  <si>
    <t>1760</t>
  </si>
  <si>
    <t>1761</t>
  </si>
  <si>
    <t>693116</t>
  </si>
  <si>
    <t>1762</t>
  </si>
  <si>
    <t>1763</t>
  </si>
  <si>
    <t>6:10am</t>
  </si>
  <si>
    <t>1764</t>
  </si>
  <si>
    <t>1765</t>
  </si>
  <si>
    <t>1766</t>
  </si>
  <si>
    <t>1767</t>
  </si>
  <si>
    <t>7:11am</t>
  </si>
  <si>
    <t>1768</t>
  </si>
  <si>
    <t>1769</t>
  </si>
  <si>
    <t>1770</t>
  </si>
  <si>
    <t>7812-02923</t>
  </si>
  <si>
    <t>691621</t>
  </si>
  <si>
    <t>1771</t>
  </si>
  <si>
    <t>887228</t>
  </si>
  <si>
    <t>1772</t>
  </si>
  <si>
    <t>1773</t>
  </si>
  <si>
    <t>7:44am</t>
  </si>
  <si>
    <t>1774</t>
  </si>
  <si>
    <t>2:09pm</t>
  </si>
  <si>
    <t>759029</t>
  </si>
  <si>
    <t>1775</t>
  </si>
  <si>
    <t>1776</t>
  </si>
  <si>
    <t>1777</t>
  </si>
  <si>
    <t>192023</t>
  </si>
  <si>
    <t>1778</t>
  </si>
  <si>
    <t>1779</t>
  </si>
  <si>
    <t>1780</t>
  </si>
  <si>
    <t>925010</t>
  </si>
  <si>
    <t>1781</t>
  </si>
  <si>
    <t>1782</t>
  </si>
  <si>
    <t>1783</t>
  </si>
  <si>
    <t>1784</t>
  </si>
  <si>
    <t>1785</t>
  </si>
  <si>
    <t>1786</t>
  </si>
  <si>
    <t>937070</t>
  </si>
  <si>
    <t>1787</t>
  </si>
  <si>
    <t>1788</t>
  </si>
  <si>
    <t>750079</t>
  </si>
  <si>
    <t>1789</t>
  </si>
  <si>
    <t>832234</t>
  </si>
  <si>
    <t>1790</t>
  </si>
  <si>
    <t>1791</t>
  </si>
  <si>
    <t>1792</t>
  </si>
  <si>
    <t>1793</t>
  </si>
  <si>
    <t>008264</t>
  </si>
  <si>
    <t>1794</t>
  </si>
  <si>
    <t>597039</t>
  </si>
  <si>
    <t>1795</t>
  </si>
  <si>
    <t>1796</t>
  </si>
  <si>
    <t>996148</t>
  </si>
  <si>
    <t>1797</t>
  </si>
  <si>
    <t>811031</t>
  </si>
  <si>
    <t>1798</t>
  </si>
  <si>
    <t>495038</t>
  </si>
  <si>
    <t>1799</t>
  </si>
  <si>
    <t>9:15am</t>
  </si>
  <si>
    <t>1800</t>
  </si>
  <si>
    <t>1801</t>
  </si>
  <si>
    <t>1:27pm</t>
  </si>
  <si>
    <t>1802</t>
  </si>
  <si>
    <t>1803</t>
  </si>
  <si>
    <t>6:28am</t>
  </si>
  <si>
    <t>M12717</t>
  </si>
  <si>
    <t>1804</t>
  </si>
  <si>
    <t>1805</t>
  </si>
  <si>
    <t>1806</t>
  </si>
  <si>
    <t>611007</t>
  </si>
  <si>
    <t>1807</t>
  </si>
  <si>
    <t>10:08am</t>
  </si>
  <si>
    <t>673015</t>
  </si>
  <si>
    <t>1808</t>
  </si>
  <si>
    <t>1809</t>
  </si>
  <si>
    <t>1810</t>
  </si>
  <si>
    <t>1811</t>
  </si>
  <si>
    <t>1812</t>
  </si>
  <si>
    <t>1813</t>
  </si>
  <si>
    <t>7:42am</t>
  </si>
  <si>
    <t>1814</t>
  </si>
  <si>
    <t>1815</t>
  </si>
  <si>
    <t>1816</t>
  </si>
  <si>
    <t>1817</t>
  </si>
  <si>
    <t>1818</t>
  </si>
  <si>
    <t>1819</t>
  </si>
  <si>
    <t>1820</t>
  </si>
  <si>
    <t>398020</t>
  </si>
  <si>
    <t>1821</t>
  </si>
  <si>
    <t>1824</t>
  </si>
  <si>
    <t>827079</t>
  </si>
  <si>
    <t>1825</t>
  </si>
  <si>
    <t>1826</t>
  </si>
  <si>
    <t>1827</t>
  </si>
  <si>
    <t>1828</t>
  </si>
  <si>
    <t>1829</t>
  </si>
  <si>
    <t>1830</t>
  </si>
  <si>
    <t>1831</t>
  </si>
  <si>
    <t>1832</t>
  </si>
  <si>
    <t>5:09pm</t>
  </si>
  <si>
    <t>199085</t>
  </si>
  <si>
    <t>1833</t>
  </si>
  <si>
    <t>7:03am</t>
  </si>
  <si>
    <t>1834</t>
  </si>
  <si>
    <t>1835</t>
  </si>
  <si>
    <t>1836</t>
  </si>
  <si>
    <t>573010</t>
  </si>
  <si>
    <t>1837</t>
  </si>
  <si>
    <t>523147</t>
  </si>
  <si>
    <t>1838</t>
  </si>
  <si>
    <t>1839</t>
  </si>
  <si>
    <t>1840</t>
  </si>
  <si>
    <t>1841</t>
  </si>
  <si>
    <t>1842</t>
  </si>
  <si>
    <t>1843</t>
  </si>
  <si>
    <t>1844</t>
  </si>
  <si>
    <t>1845</t>
  </si>
  <si>
    <t>189103</t>
  </si>
  <si>
    <t>1846</t>
  </si>
  <si>
    <t>1847</t>
  </si>
  <si>
    <t>1848</t>
  </si>
  <si>
    <t>964377</t>
  </si>
  <si>
    <t>1849</t>
  </si>
  <si>
    <t>808046</t>
  </si>
  <si>
    <t>1850</t>
  </si>
  <si>
    <t>1851</t>
  </si>
  <si>
    <t>7:43am</t>
  </si>
  <si>
    <t>494202</t>
  </si>
  <si>
    <t>1852</t>
  </si>
  <si>
    <t>506429</t>
  </si>
  <si>
    <t>1853</t>
  </si>
  <si>
    <t>1854</t>
  </si>
  <si>
    <t>993049</t>
  </si>
  <si>
    <t>1855</t>
  </si>
  <si>
    <t>1856</t>
  </si>
  <si>
    <t>1857</t>
  </si>
  <si>
    <t>141027</t>
  </si>
  <si>
    <t>1858</t>
  </si>
  <si>
    <t>917059</t>
  </si>
  <si>
    <t>1859</t>
  </si>
  <si>
    <t>1860</t>
  </si>
  <si>
    <t>1861</t>
  </si>
  <si>
    <t>11:01am</t>
  </si>
  <si>
    <t>1862</t>
  </si>
  <si>
    <t>1863</t>
  </si>
  <si>
    <t>1864</t>
  </si>
  <si>
    <t>12:35pm</t>
  </si>
  <si>
    <t>1865</t>
  </si>
  <si>
    <t>1:20pm</t>
  </si>
  <si>
    <t>203923</t>
  </si>
  <si>
    <t>1866</t>
  </si>
  <si>
    <t>143370</t>
  </si>
  <si>
    <t>1867</t>
  </si>
  <si>
    <t>1868</t>
  </si>
  <si>
    <t>1:56pm</t>
  </si>
  <si>
    <t>1869</t>
  </si>
  <si>
    <t>3:59pm</t>
  </si>
  <si>
    <t>1870</t>
  </si>
  <si>
    <t>1871</t>
  </si>
  <si>
    <t>9:29am</t>
  </si>
  <si>
    <t>B06610</t>
  </si>
  <si>
    <t>1872</t>
  </si>
  <si>
    <t>1873</t>
  </si>
  <si>
    <t>1874</t>
  </si>
  <si>
    <t>916048</t>
  </si>
  <si>
    <t>1875</t>
  </si>
  <si>
    <t>993033</t>
  </si>
  <si>
    <t>1876</t>
  </si>
  <si>
    <t>1877</t>
  </si>
  <si>
    <t>401003</t>
  </si>
  <si>
    <t>1878</t>
  </si>
  <si>
    <t>978000</t>
  </si>
  <si>
    <t>1879</t>
  </si>
  <si>
    <t>1880</t>
  </si>
  <si>
    <t>1881</t>
  </si>
  <si>
    <t>1882</t>
  </si>
  <si>
    <t>643001</t>
  </si>
  <si>
    <t>1883</t>
  </si>
  <si>
    <t>1884</t>
  </si>
  <si>
    <t>1885</t>
  </si>
  <si>
    <t>596108</t>
  </si>
  <si>
    <t>1886</t>
  </si>
  <si>
    <t>1887</t>
  </si>
  <si>
    <t>1888</t>
  </si>
  <si>
    <t>12:50pm</t>
  </si>
  <si>
    <t>1889</t>
  </si>
  <si>
    <t>343003</t>
  </si>
  <si>
    <t>1890</t>
  </si>
  <si>
    <t>454022</t>
  </si>
  <si>
    <t>1891</t>
  </si>
  <si>
    <t>658323</t>
  </si>
  <si>
    <t>1892</t>
  </si>
  <si>
    <t>017016</t>
  </si>
  <si>
    <t>1893</t>
  </si>
  <si>
    <t>1894</t>
  </si>
  <si>
    <t>1895</t>
  </si>
  <si>
    <t>1896</t>
  </si>
  <si>
    <t>1897</t>
  </si>
  <si>
    <t>1898</t>
  </si>
  <si>
    <t>1899</t>
  </si>
  <si>
    <t>827081</t>
  </si>
  <si>
    <t>1900</t>
  </si>
  <si>
    <t>1901</t>
  </si>
  <si>
    <t>1902</t>
  </si>
  <si>
    <t>1903</t>
  </si>
  <si>
    <t>1904</t>
  </si>
  <si>
    <t>1905</t>
  </si>
  <si>
    <t>1906</t>
  </si>
  <si>
    <t>1907</t>
  </si>
  <si>
    <t>864014</t>
  </si>
  <si>
    <t>1908</t>
  </si>
  <si>
    <t>1909</t>
  </si>
  <si>
    <t>1910</t>
  </si>
  <si>
    <t>1911</t>
  </si>
  <si>
    <t>1912</t>
  </si>
  <si>
    <t>205027</t>
  </si>
  <si>
    <t>1913</t>
  </si>
  <si>
    <t>1914</t>
  </si>
  <si>
    <t>1915</t>
  </si>
  <si>
    <t>1916</t>
  </si>
  <si>
    <t>1917</t>
  </si>
  <si>
    <t>829013</t>
  </si>
  <si>
    <t>1918</t>
  </si>
  <si>
    <t>727555</t>
  </si>
  <si>
    <t>1919</t>
  </si>
  <si>
    <t>1920</t>
  </si>
  <si>
    <t>673032</t>
  </si>
  <si>
    <t>1921</t>
  </si>
  <si>
    <t>1922</t>
  </si>
  <si>
    <t>1923</t>
  </si>
  <si>
    <t>1924</t>
  </si>
  <si>
    <t>1925</t>
  </si>
  <si>
    <t>091655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</si>
  <si>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</si>
  <si>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</si>
  <si>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</si>
  <si>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</si>
  <si>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</si>
  <si>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</si>
  <si>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</si>
  <si>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</si>
  <si>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</si>
  <si>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290485</t>
  </si>
  <si>
    <t>1935</t>
  </si>
  <si>
    <t>11:50am</t>
  </si>
  <si>
    <t>1936</t>
  </si>
  <si>
    <t>12:01pm</t>
  </si>
  <si>
    <t>1937</t>
  </si>
  <si>
    <t>12:36pm</t>
  </si>
  <si>
    <t>1938</t>
  </si>
  <si>
    <t>1939</t>
  </si>
  <si>
    <t>1940</t>
  </si>
  <si>
    <t>1941</t>
  </si>
  <si>
    <t>1942</t>
  </si>
  <si>
    <t>1943</t>
  </si>
  <si>
    <t>1:03pm</t>
  </si>
  <si>
    <t>1944</t>
  </si>
  <si>
    <t>10:59am</t>
  </si>
  <si>
    <t>1945</t>
  </si>
  <si>
    <t>906059</t>
  </si>
  <si>
    <t>1946</t>
  </si>
  <si>
    <t>1947</t>
  </si>
  <si>
    <t>719169</t>
  </si>
  <si>
    <t>1948</t>
  </si>
  <si>
    <t>1949</t>
  </si>
  <si>
    <t>1950</t>
  </si>
  <si>
    <t>906056</t>
  </si>
  <si>
    <t>1951</t>
  </si>
  <si>
    <t>1952</t>
  </si>
  <si>
    <t>308007</t>
  </si>
  <si>
    <t>1953</t>
  </si>
  <si>
    <t>1954</t>
  </si>
  <si>
    <t>1955</t>
  </si>
  <si>
    <t>12:49pm</t>
  </si>
  <si>
    <t>1956</t>
  </si>
  <si>
    <t>1957</t>
  </si>
  <si>
    <t>1958</t>
  </si>
  <si>
    <t>714028</t>
  </si>
  <si>
    <t>1959</t>
  </si>
  <si>
    <t>757546</t>
  </si>
  <si>
    <t>1960</t>
  </si>
  <si>
    <t>1961</t>
  </si>
  <si>
    <t>318000</t>
  </si>
  <si>
    <t>1962</t>
  </si>
  <si>
    <t>1963</t>
  </si>
  <si>
    <t>1964</t>
  </si>
  <si>
    <t>1965</t>
  </si>
  <si>
    <t>1966</t>
  </si>
  <si>
    <t>10:54am</t>
  </si>
  <si>
    <t>1967</t>
  </si>
  <si>
    <t>1968</t>
  </si>
  <si>
    <t>1969</t>
  </si>
  <si>
    <t>1970</t>
  </si>
  <si>
    <t>12:44pm</t>
  </si>
  <si>
    <t>313400</t>
  </si>
  <si>
    <t>1971</t>
  </si>
  <si>
    <t>1972</t>
  </si>
  <si>
    <t>1:48pm</t>
  </si>
  <si>
    <t>1973</t>
  </si>
  <si>
    <t>1974</t>
  </si>
  <si>
    <t>11:34am</t>
  </si>
  <si>
    <t>1975</t>
  </si>
  <si>
    <t>881004</t>
  </si>
  <si>
    <t>1976</t>
  </si>
  <si>
    <t>1977</t>
  </si>
  <si>
    <t>599047</t>
  </si>
  <si>
    <t>1978</t>
  </si>
  <si>
    <t>1979</t>
  </si>
  <si>
    <t>M23197</t>
  </si>
  <si>
    <t>1980</t>
  </si>
  <si>
    <t>1981</t>
  </si>
  <si>
    <t>1982</t>
  </si>
  <si>
    <t>1983</t>
  </si>
  <si>
    <t>1984</t>
  </si>
  <si>
    <t>1985</t>
  </si>
  <si>
    <t>1986</t>
  </si>
  <si>
    <t>1987</t>
  </si>
  <si>
    <t>741066</t>
  </si>
  <si>
    <t>1988</t>
  </si>
  <si>
    <t>1989</t>
  </si>
  <si>
    <t>1990</t>
  </si>
  <si>
    <t>1991</t>
  </si>
  <si>
    <t>1992</t>
  </si>
  <si>
    <t>9:05am</t>
  </si>
  <si>
    <t>1993</t>
  </si>
  <si>
    <t>1994</t>
  </si>
  <si>
    <t>1995</t>
  </si>
  <si>
    <t>905012</t>
  </si>
  <si>
    <t>1996</t>
  </si>
  <si>
    <t>1997</t>
  </si>
  <si>
    <t>1998</t>
  </si>
  <si>
    <t>1999</t>
  </si>
  <si>
    <t>2000</t>
  </si>
  <si>
    <t>11:38am</t>
  </si>
  <si>
    <t>2001</t>
  </si>
  <si>
    <t>2002</t>
  </si>
  <si>
    <t>817045</t>
  </si>
  <si>
    <t>2003</t>
  </si>
  <si>
    <t>2004</t>
  </si>
  <si>
    <t>7:49am</t>
  </si>
  <si>
    <t>2005</t>
  </si>
  <si>
    <t>2006</t>
  </si>
  <si>
    <t>2007</t>
  </si>
  <si>
    <t>2008</t>
  </si>
  <si>
    <t>2009</t>
  </si>
  <si>
    <t>566861</t>
  </si>
  <si>
    <t>2010</t>
  </si>
  <si>
    <t>8:56am</t>
  </si>
  <si>
    <t>2011</t>
  </si>
  <si>
    <t>2012</t>
  </si>
  <si>
    <t>2013</t>
  </si>
  <si>
    <t>2014</t>
  </si>
  <si>
    <t>2015</t>
  </si>
  <si>
    <t>2016</t>
  </si>
  <si>
    <t>495035</t>
  </si>
  <si>
    <t>2017</t>
  </si>
  <si>
    <t>843626</t>
  </si>
  <si>
    <t>2018</t>
  </si>
  <si>
    <t>12:45pm</t>
  </si>
  <si>
    <t>2019</t>
  </si>
  <si>
    <t>2020</t>
  </si>
  <si>
    <t>2021</t>
  </si>
  <si>
    <t>2022</t>
  </si>
  <si>
    <t>2023</t>
  </si>
  <si>
    <t>937036</t>
  </si>
  <si>
    <t>2024</t>
  </si>
  <si>
    <t>2025</t>
  </si>
  <si>
    <t>2026</t>
  </si>
  <si>
    <t>210032</t>
  </si>
  <si>
    <t>2027</t>
  </si>
  <si>
    <t>2028</t>
  </si>
  <si>
    <t>2029</t>
  </si>
  <si>
    <t>2030</t>
  </si>
  <si>
    <t>2031</t>
  </si>
  <si>
    <t>2032</t>
  </si>
  <si>
    <t>511159</t>
  </si>
  <si>
    <t>2033</t>
  </si>
  <si>
    <t>2034</t>
  </si>
  <si>
    <t>2035</t>
  </si>
  <si>
    <t>2036</t>
  </si>
  <si>
    <t>2037</t>
  </si>
  <si>
    <t>2038</t>
  </si>
  <si>
    <t>2039</t>
  </si>
  <si>
    <t>010939</t>
  </si>
  <si>
    <t>2040</t>
  </si>
  <si>
    <t>2041</t>
  </si>
  <si>
    <t>996119</t>
  </si>
  <si>
    <t>2042</t>
  </si>
  <si>
    <t>2043</t>
  </si>
  <si>
    <t>247122</t>
  </si>
  <si>
    <t>2044</t>
  </si>
  <si>
    <t>2045</t>
  </si>
  <si>
    <t>2046</t>
  </si>
  <si>
    <t>230011</t>
  </si>
  <si>
    <t>2047</t>
  </si>
  <si>
    <t>2048</t>
  </si>
  <si>
    <t>768007</t>
  </si>
  <si>
    <t>2049</t>
  </si>
  <si>
    <t>2050</t>
  </si>
  <si>
    <t>2051</t>
  </si>
  <si>
    <t>2052</t>
  </si>
  <si>
    <t>12:28pm</t>
  </si>
  <si>
    <t>2053</t>
  </si>
  <si>
    <t>2054</t>
  </si>
  <si>
    <t>407018</t>
  </si>
  <si>
    <t>2055</t>
  </si>
  <si>
    <t>2056</t>
  </si>
  <si>
    <t>2057</t>
  </si>
  <si>
    <t>377033</t>
  </si>
  <si>
    <t>2058</t>
  </si>
  <si>
    <t>459031</t>
  </si>
  <si>
    <t>2059</t>
  </si>
  <si>
    <t>2060</t>
  </si>
  <si>
    <t>722076</t>
  </si>
  <si>
    <t>2061</t>
  </si>
  <si>
    <t>2062</t>
  </si>
  <si>
    <t>2063</t>
  </si>
  <si>
    <t>2064</t>
  </si>
  <si>
    <t>2065</t>
  </si>
  <si>
    <t>2066</t>
  </si>
  <si>
    <t>2067</t>
  </si>
  <si>
    <t>2068</t>
  </si>
  <si>
    <t>12:04pm</t>
  </si>
  <si>
    <t>2069</t>
  </si>
  <si>
    <t>2070</t>
  </si>
  <si>
    <t>2071</t>
  </si>
  <si>
    <t>742832</t>
  </si>
  <si>
    <t>2072</t>
  </si>
  <si>
    <t>2073</t>
  </si>
  <si>
    <t>2074</t>
  </si>
  <si>
    <t>12:07pm</t>
  </si>
  <si>
    <t>2075</t>
  </si>
  <si>
    <t>2076</t>
  </si>
  <si>
    <t>2077</t>
  </si>
  <si>
    <t>2078</t>
  </si>
  <si>
    <t>2079</t>
  </si>
  <si>
    <t>438044</t>
  </si>
  <si>
    <t>2080</t>
  </si>
  <si>
    <t>8:13am</t>
  </si>
  <si>
    <t>M39066</t>
  </si>
  <si>
    <t>2081</t>
  </si>
  <si>
    <t>529125</t>
  </si>
  <si>
    <t>2082</t>
  </si>
  <si>
    <t>2083</t>
  </si>
  <si>
    <t>2084</t>
  </si>
  <si>
    <t>668069</t>
  </si>
  <si>
    <t>2085</t>
  </si>
  <si>
    <t>429012</t>
  </si>
  <si>
    <t>2086</t>
  </si>
  <si>
    <t>869090</t>
  </si>
  <si>
    <t>2087</t>
  </si>
  <si>
    <t>598095</t>
  </si>
  <si>
    <t>2088</t>
  </si>
  <si>
    <t>264156</t>
  </si>
  <si>
    <t>2089</t>
  </si>
  <si>
    <t>523039</t>
  </si>
  <si>
    <t>2090</t>
  </si>
  <si>
    <t>2091</t>
  </si>
  <si>
    <t>2092</t>
  </si>
  <si>
    <t>2093</t>
  </si>
  <si>
    <t>566871</t>
  </si>
  <si>
    <t>2094</t>
  </si>
  <si>
    <t>2095</t>
  </si>
  <si>
    <t>2096</t>
  </si>
  <si>
    <t>2097</t>
  </si>
  <si>
    <t>2098</t>
  </si>
  <si>
    <t>2099</t>
  </si>
  <si>
    <t>2100</t>
  </si>
  <si>
    <t>9:13am</t>
  </si>
  <si>
    <t>2101</t>
  </si>
  <si>
    <t>735069</t>
  </si>
  <si>
    <t>2102</t>
  </si>
  <si>
    <t>2103</t>
  </si>
  <si>
    <t>12:59pm</t>
  </si>
  <si>
    <t>2104</t>
  </si>
  <si>
    <t>2105</t>
  </si>
  <si>
    <t>2106</t>
  </si>
  <si>
    <t>2107</t>
  </si>
  <si>
    <t>2108</t>
  </si>
  <si>
    <t>142041</t>
  </si>
  <si>
    <t>2109</t>
  </si>
  <si>
    <t>446143</t>
  </si>
  <si>
    <t>2110</t>
  </si>
  <si>
    <t>2111</t>
  </si>
  <si>
    <t>10:10am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</si>
  <si>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</si>
  <si>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</si>
  <si>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</si>
  <si>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</si>
  <si>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</si>
  <si>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</si>
  <si>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</si>
  <si>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</si>
  <si>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</si>
  <si>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385080</t>
  </si>
  <si>
    <t>2121</t>
  </si>
  <si>
    <t>2122</t>
  </si>
  <si>
    <t>556004</t>
  </si>
  <si>
    <t>2123</t>
  </si>
  <si>
    <t>2124</t>
  </si>
  <si>
    <t>144070</t>
  </si>
  <si>
    <t>2125</t>
  </si>
  <si>
    <t>2126</t>
  </si>
  <si>
    <t>7:35am</t>
  </si>
  <si>
    <t>2127</t>
  </si>
  <si>
    <t>2128</t>
  </si>
  <si>
    <t>12:38pm</t>
  </si>
  <si>
    <t>2129</t>
  </si>
  <si>
    <t>2130</t>
  </si>
  <si>
    <t>019089</t>
  </si>
  <si>
    <t>2131</t>
  </si>
  <si>
    <t>2132</t>
  </si>
  <si>
    <t>2133</t>
  </si>
  <si>
    <t>12:43pm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</si>
  <si>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</si>
  <si>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</si>
  <si>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</si>
  <si>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</si>
  <si>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</si>
  <si>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</si>
  <si>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</si>
  <si>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</si>
  <si>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</si>
  <si>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</si>
  <si>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M44826</t>
  </si>
  <si>
    <t>2144</t>
  </si>
  <si>
    <t>2145</t>
  </si>
  <si>
    <t>2146</t>
  </si>
  <si>
    <t>2147</t>
  </si>
  <si>
    <t>205024</t>
  </si>
  <si>
    <t>2148</t>
  </si>
  <si>
    <t>2149</t>
  </si>
  <si>
    <t>2150</t>
  </si>
  <si>
    <t>2151</t>
  </si>
  <si>
    <t>2152</t>
  </si>
  <si>
    <t>2153</t>
  </si>
  <si>
    <t>2154</t>
  </si>
  <si>
    <t>708038</t>
  </si>
  <si>
    <t>2155</t>
  </si>
  <si>
    <t>2156</t>
  </si>
  <si>
    <t>2157</t>
  </si>
  <si>
    <t>2158</t>
  </si>
  <si>
    <t>2159</t>
  </si>
  <si>
    <t>925032</t>
  </si>
  <si>
    <t>2160</t>
  </si>
  <si>
    <t>752052</t>
  </si>
  <si>
    <t>2161</t>
  </si>
  <si>
    <t>2162</t>
  </si>
  <si>
    <t>8:34am</t>
  </si>
  <si>
    <t>2163</t>
  </si>
  <si>
    <t>2164</t>
  </si>
  <si>
    <t>2165</t>
  </si>
  <si>
    <t>674107</t>
  </si>
  <si>
    <t>2166</t>
  </si>
  <si>
    <t>2167</t>
  </si>
  <si>
    <t>2168</t>
  </si>
  <si>
    <t>350021</t>
  </si>
  <si>
    <t>2169</t>
  </si>
  <si>
    <t>2170</t>
  </si>
  <si>
    <t>7:57am</t>
  </si>
  <si>
    <t>2171</t>
  </si>
  <si>
    <t>209012</t>
  </si>
  <si>
    <t>2172</t>
  </si>
  <si>
    <t>2173</t>
  </si>
  <si>
    <t>2174</t>
  </si>
  <si>
    <t>2175</t>
  </si>
  <si>
    <t>2176</t>
  </si>
  <si>
    <t>693146</t>
  </si>
  <si>
    <t>2177</t>
  </si>
  <si>
    <t>2178</t>
  </si>
  <si>
    <t>2179</t>
  </si>
  <si>
    <t>147078</t>
  </si>
  <si>
    <t>2180</t>
  </si>
  <si>
    <t>771022</t>
  </si>
  <si>
    <t>2181</t>
  </si>
  <si>
    <t>2182</t>
  </si>
  <si>
    <t>2183</t>
  </si>
  <si>
    <t>2184</t>
  </si>
  <si>
    <t>361005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</si>
  <si>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</si>
  <si>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</si>
  <si>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</si>
  <si>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</si>
  <si>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</si>
  <si>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</si>
  <si>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</si>
  <si>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</si>
  <si>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</si>
  <si>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</si>
  <si>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487000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</si>
  <si>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</si>
  <si>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</si>
  <si>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</si>
  <si>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</si>
  <si>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</si>
  <si>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</si>
  <si>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</si>
  <si>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</si>
  <si>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</si>
  <si>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</si>
  <si>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750992</t>
  </si>
  <si>
    <t>2205</t>
  </si>
  <si>
    <t>12:15pm</t>
  </si>
  <si>
    <t>2206</t>
  </si>
  <si>
    <t>2207</t>
  </si>
  <si>
    <t>2208</t>
  </si>
  <si>
    <t>2209</t>
  </si>
  <si>
    <t>10:49am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</si>
  <si>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</si>
  <si>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</si>
  <si>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</si>
  <si>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</si>
  <si>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</si>
  <si>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</si>
  <si>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</si>
  <si>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</si>
  <si>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</si>
  <si>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012165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</si>
  <si>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</si>
  <si>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</si>
  <si>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</si>
  <si>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</si>
  <si>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</si>
  <si>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</si>
  <si>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</si>
  <si>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</si>
  <si>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</si>
  <si>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</si>
  <si>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</si>
  <si>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</si>
  <si>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016000</t>
  </si>
  <si>
    <t>2231</t>
  </si>
  <si>
    <t>2232</t>
  </si>
  <si>
    <t>2233</t>
  </si>
  <si>
    <t>2234</t>
  </si>
  <si>
    <t>2235</t>
  </si>
  <si>
    <t>898025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</si>
  <si>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</si>
  <si>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</si>
  <si>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</si>
  <si>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</si>
  <si>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</si>
  <si>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</si>
  <si>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</si>
  <si>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</si>
  <si>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</si>
  <si>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642060</t>
  </si>
  <si>
    <t>2245</t>
  </si>
  <si>
    <t>2246</t>
  </si>
  <si>
    <t>2247</t>
  </si>
  <si>
    <t>2248</t>
  </si>
  <si>
    <t>1:50pm</t>
  </si>
  <si>
    <t>269058</t>
  </si>
  <si>
    <t>2249</t>
  </si>
  <si>
    <t>2250</t>
  </si>
  <si>
    <t>2251</t>
  </si>
  <si>
    <t>2252</t>
  </si>
  <si>
    <t>2253</t>
  </si>
  <si>
    <t>2254</t>
  </si>
  <si>
    <t>4:19pm</t>
  </si>
  <si>
    <t>637024</t>
  </si>
  <si>
    <t>2255</t>
  </si>
  <si>
    <t>2256</t>
  </si>
  <si>
    <t>2257</t>
  </si>
  <si>
    <t>9:49am</t>
  </si>
  <si>
    <t>2258</t>
  </si>
  <si>
    <t>2259</t>
  </si>
  <si>
    <t>2260</t>
  </si>
  <si>
    <t>2261</t>
  </si>
  <si>
    <t>321000</t>
  </si>
  <si>
    <t>2262</t>
  </si>
  <si>
    <t>572014</t>
  </si>
  <si>
    <t>2263</t>
  </si>
  <si>
    <t>2264</t>
  </si>
  <si>
    <t>414057</t>
  </si>
  <si>
    <t>2265</t>
  </si>
  <si>
    <t>2266</t>
  </si>
  <si>
    <t>12:33pm</t>
  </si>
  <si>
    <t>2267</t>
  </si>
  <si>
    <t>2268</t>
  </si>
  <si>
    <t>286007</t>
  </si>
  <si>
    <t>2269</t>
  </si>
  <si>
    <t>2270</t>
  </si>
  <si>
    <t>2271</t>
  </si>
  <si>
    <t>147111</t>
  </si>
  <si>
    <t>2272</t>
  </si>
  <si>
    <t>2273</t>
  </si>
  <si>
    <t>12:18pm</t>
  </si>
  <si>
    <t>2274</t>
  </si>
  <si>
    <t>2275</t>
  </si>
  <si>
    <t>438068</t>
  </si>
  <si>
    <t>2276</t>
  </si>
  <si>
    <t>2277</t>
  </si>
  <si>
    <t>2278</t>
  </si>
  <si>
    <t>2279</t>
  </si>
  <si>
    <t>826079</t>
  </si>
  <si>
    <t>2280</t>
  </si>
  <si>
    <t>2281</t>
  </si>
  <si>
    <t>826890</t>
  </si>
  <si>
    <t>2282</t>
  </si>
  <si>
    <t>2283</t>
  </si>
  <si>
    <t>2284</t>
  </si>
  <si>
    <t>425059</t>
  </si>
  <si>
    <t>2285</t>
  </si>
  <si>
    <t>536045</t>
  </si>
  <si>
    <t>2286</t>
  </si>
  <si>
    <t>199306</t>
  </si>
  <si>
    <t>2287</t>
  </si>
  <si>
    <t>954009</t>
  </si>
  <si>
    <t>2288</t>
  </si>
  <si>
    <t>541029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</si>
  <si>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</si>
  <si>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</si>
  <si>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</si>
  <si>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</si>
  <si>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</si>
  <si>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</si>
  <si>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</si>
  <si>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</si>
  <si>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</si>
  <si>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</si>
  <si>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</si>
  <si>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</si>
  <si>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148014</t>
  </si>
  <si>
    <t>2301</t>
  </si>
  <si>
    <t>2302</t>
  </si>
  <si>
    <t>9:01am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</si>
  <si>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</si>
  <si>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</si>
  <si>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</si>
  <si>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</si>
  <si>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</si>
  <si>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</si>
  <si>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</si>
  <si>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</si>
  <si>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</si>
  <si>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804042</t>
  </si>
  <si>
    <t>2312</t>
  </si>
  <si>
    <t>2313</t>
  </si>
  <si>
    <t>2314</t>
  </si>
  <si>
    <t>2315</t>
  </si>
  <si>
    <t>2316</t>
  </si>
  <si>
    <t>011267</t>
  </si>
  <si>
    <t>2317</t>
  </si>
  <si>
    <t>2318</t>
  </si>
  <si>
    <t>2319</t>
  </si>
  <si>
    <t>2320</t>
  </si>
  <si>
    <t>620021</t>
  </si>
  <si>
    <t>2321</t>
  </si>
  <si>
    <t>2322</t>
  </si>
  <si>
    <t>2323</t>
  </si>
  <si>
    <t>2324</t>
  </si>
  <si>
    <t>2325</t>
  </si>
  <si>
    <t>2326</t>
  </si>
  <si>
    <t>3:27pm</t>
  </si>
  <si>
    <t>2327</t>
  </si>
  <si>
    <t>7:28am</t>
  </si>
  <si>
    <t>2328</t>
  </si>
  <si>
    <t>2329</t>
  </si>
  <si>
    <t>2330</t>
  </si>
  <si>
    <t>476032</t>
  </si>
  <si>
    <t>2331</t>
  </si>
  <si>
    <t>2332</t>
  </si>
  <si>
    <t>2333</t>
  </si>
  <si>
    <t>2334</t>
  </si>
  <si>
    <t>2335</t>
  </si>
  <si>
    <t>2336</t>
  </si>
  <si>
    <t>9:22am</t>
  </si>
  <si>
    <t>2337</t>
  </si>
  <si>
    <t>471005</t>
  </si>
  <si>
    <t>2338</t>
  </si>
  <si>
    <t>991054</t>
  </si>
  <si>
    <t>2339</t>
  </si>
  <si>
    <t>2340</t>
  </si>
  <si>
    <t>2341</t>
  </si>
  <si>
    <t>7810-02131</t>
  </si>
  <si>
    <t>2342</t>
  </si>
  <si>
    <t>439242</t>
  </si>
  <si>
    <t>2343</t>
  </si>
  <si>
    <t>035008</t>
  </si>
  <si>
    <t>2344</t>
  </si>
  <si>
    <t>2345</t>
  </si>
  <si>
    <t>2346</t>
  </si>
  <si>
    <t>2347</t>
  </si>
  <si>
    <t>2348</t>
  </si>
  <si>
    <t>2349</t>
  </si>
  <si>
    <t>8:41am</t>
  </si>
  <si>
    <t>2350</t>
  </si>
  <si>
    <t>024092</t>
  </si>
  <si>
    <t>2351</t>
  </si>
  <si>
    <t>507003</t>
  </si>
  <si>
    <t>2352</t>
  </si>
  <si>
    <t>12:24pm</t>
  </si>
  <si>
    <t>2353</t>
  </si>
  <si>
    <t>2354</t>
  </si>
  <si>
    <t>2355</t>
  </si>
  <si>
    <t>2356</t>
  </si>
  <si>
    <t>264011</t>
  </si>
  <si>
    <t>2357</t>
  </si>
  <si>
    <t>2358</t>
  </si>
  <si>
    <t>2359</t>
  </si>
  <si>
    <t>7:55am</t>
  </si>
  <si>
    <t>693018</t>
  </si>
  <si>
    <t>2360</t>
  </si>
  <si>
    <t>2361</t>
  </si>
  <si>
    <t>2362</t>
  </si>
  <si>
    <t>2363</t>
  </si>
  <si>
    <t>2364</t>
  </si>
  <si>
    <t>2365</t>
  </si>
  <si>
    <t>12:32pm</t>
  </si>
  <si>
    <t>329393</t>
  </si>
  <si>
    <t>2366</t>
  </si>
  <si>
    <t>2367</t>
  </si>
  <si>
    <t>2368</t>
  </si>
  <si>
    <t>2369</t>
  </si>
  <si>
    <t>2370</t>
  </si>
  <si>
    <t>2371</t>
  </si>
  <si>
    <t>2372</t>
  </si>
  <si>
    <t>2373</t>
  </si>
  <si>
    <t>676084</t>
  </si>
  <si>
    <t>2374</t>
  </si>
  <si>
    <t>843001</t>
  </si>
  <si>
    <t>2375</t>
  </si>
  <si>
    <t>2376</t>
  </si>
  <si>
    <t>2377</t>
  </si>
  <si>
    <t>220022</t>
  </si>
  <si>
    <t>710048</t>
  </si>
  <si>
    <t>M33782</t>
  </si>
  <si>
    <t>11:27am</t>
  </si>
  <si>
    <t>12:23pm</t>
  </si>
  <si>
    <t>390001</t>
  </si>
  <si>
    <t>8:15am</t>
  </si>
  <si>
    <t>937068</t>
  </si>
  <si>
    <t>895883</t>
  </si>
  <si>
    <t>213001</t>
  </si>
  <si>
    <t>228223</t>
  </si>
  <si>
    <t>525019</t>
  </si>
  <si>
    <t>818032</t>
  </si>
  <si>
    <t>551008</t>
  </si>
  <si>
    <t>439472</t>
  </si>
  <si>
    <t>11:32am</t>
  </si>
  <si>
    <t>895136</t>
  </si>
  <si>
    <t>742042</t>
  </si>
  <si>
    <t>678131</t>
  </si>
  <si>
    <t>12:29pm</t>
  </si>
  <si>
    <t>843102</t>
  </si>
  <si>
    <t>615090</t>
  </si>
  <si>
    <t>917108</t>
  </si>
  <si>
    <t>1:46pm</t>
  </si>
  <si>
    <t>185004</t>
  </si>
  <si>
    <t>722011</t>
  </si>
  <si>
    <t>603013</t>
  </si>
  <si>
    <t>3:12pm</t>
  </si>
  <si>
    <t>345017</t>
  </si>
  <si>
    <t>581006</t>
  </si>
  <si>
    <t>185544</t>
  </si>
  <si>
    <t>1:09pm</t>
  </si>
  <si>
    <t>104409</t>
  </si>
  <si>
    <t>153171</t>
  </si>
  <si>
    <t>261015</t>
  </si>
  <si>
    <t>859101</t>
  </si>
  <si>
    <t>9:39am</t>
  </si>
  <si>
    <t>678284</t>
  </si>
  <si>
    <t>552094</t>
  </si>
  <si>
    <t>B02249</t>
  </si>
  <si>
    <t>11:23am</t>
  </si>
  <si>
    <t>753041</t>
  </si>
  <si>
    <t>10:27am</t>
  </si>
  <si>
    <t>470156</t>
  </si>
  <si>
    <t>470140</t>
  </si>
  <si>
    <t>605073</t>
  </si>
  <si>
    <t>6:37am</t>
  </si>
  <si>
    <t>869038</t>
  </si>
  <si>
    <t>10:02am</t>
  </si>
  <si>
    <t>883013</t>
  </si>
  <si>
    <t>7823-02723</t>
  </si>
  <si>
    <t>725043</t>
  </si>
  <si>
    <t>498031</t>
  </si>
  <si>
    <t>385076</t>
  </si>
  <si>
    <t>658016</t>
  </si>
  <si>
    <t>7:41am</t>
  </si>
  <si>
    <t>995077</t>
  </si>
  <si>
    <t>10:25am</t>
  </si>
  <si>
    <t>996331</t>
  </si>
  <si>
    <t>144029</t>
  </si>
  <si>
    <t>284015</t>
  </si>
  <si>
    <t>076013</t>
  </si>
  <si>
    <t>476013</t>
  </si>
  <si>
    <t>300359</t>
  </si>
  <si>
    <t>250847</t>
  </si>
  <si>
    <t>039112</t>
  </si>
  <si>
    <t>243663</t>
  </si>
  <si>
    <t>10:32am</t>
  </si>
  <si>
    <t>270011</t>
  </si>
  <si>
    <t>123041</t>
  </si>
  <si>
    <t>530050</t>
  </si>
  <si>
    <t>811034</t>
  </si>
  <si>
    <t>1:21pm</t>
  </si>
  <si>
    <t>450249</t>
  </si>
  <si>
    <t>081033</t>
  </si>
  <si>
    <t>854020</t>
  </si>
  <si>
    <t>622007</t>
  </si>
  <si>
    <t>301062</t>
  </si>
  <si>
    <t>144075</t>
  </si>
  <si>
    <t>9:35am</t>
  </si>
  <si>
    <t>347053</t>
  </si>
  <si>
    <t>913127</t>
  </si>
  <si>
    <t>10:12am</t>
  </si>
  <si>
    <t>771030</t>
  </si>
  <si>
    <t>8:04am</t>
  </si>
  <si>
    <t>1:36pm</t>
  </si>
  <si>
    <t>12:54pm</t>
  </si>
  <si>
    <t>333018</t>
  </si>
  <si>
    <t>10:14am</t>
  </si>
  <si>
    <t>907081</t>
  </si>
  <si>
    <t>426013</t>
  </si>
  <si>
    <t>552050</t>
  </si>
  <si>
    <t>998695</t>
  </si>
  <si>
    <t>170009</t>
  </si>
  <si>
    <t>329035</t>
  </si>
  <si>
    <t>201100</t>
  </si>
  <si>
    <t>M37997</t>
  </si>
  <si>
    <t>104260</t>
  </si>
  <si>
    <t>7818-21701</t>
  </si>
  <si>
    <t>019012</t>
  </si>
  <si>
    <t>281007</t>
  </si>
  <si>
    <t>145044</t>
  </si>
  <si>
    <t>435082</t>
  </si>
  <si>
    <t>998030</t>
  </si>
  <si>
    <t>648039</t>
  </si>
  <si>
    <t>964455</t>
  </si>
  <si>
    <t>761179</t>
  </si>
  <si>
    <t>8:25am</t>
  </si>
  <si>
    <t>303508</t>
  </si>
  <si>
    <t>802084</t>
  </si>
  <si>
    <t>826226</t>
  </si>
  <si>
    <t>569024</t>
  </si>
  <si>
    <t>B06260</t>
  </si>
  <si>
    <t>115003</t>
  </si>
  <si>
    <t>498128</t>
  </si>
  <si>
    <t>536059</t>
  </si>
  <si>
    <t>3:51pm</t>
  </si>
  <si>
    <t>10:05am</t>
  </si>
  <si>
    <t>076023</t>
  </si>
  <si>
    <t>316039</t>
  </si>
  <si>
    <t>346082</t>
  </si>
  <si>
    <t>633023</t>
  </si>
  <si>
    <t>496025</t>
  </si>
  <si>
    <t>B07070</t>
  </si>
  <si>
    <t>8:48am</t>
  </si>
  <si>
    <t>778020</t>
  </si>
  <si>
    <t>320013</t>
  </si>
  <si>
    <t>9:32am</t>
  </si>
  <si>
    <t>840019</t>
  </si>
  <si>
    <t>954011</t>
  </si>
  <si>
    <t>349066</t>
  </si>
  <si>
    <t>9:44am</t>
  </si>
  <si>
    <t>832325</t>
  </si>
  <si>
    <t>7810-00582</t>
  </si>
  <si>
    <t>511093</t>
  </si>
  <si>
    <t>057101</t>
  </si>
  <si>
    <t>160010</t>
  </si>
  <si>
    <t>5:30pm</t>
  </si>
  <si>
    <t>062013</t>
  </si>
  <si>
    <t>8:31am</t>
  </si>
  <si>
    <t>694206</t>
  </si>
  <si>
    <t>989005</t>
  </si>
  <si>
    <t>641060</t>
  </si>
  <si>
    <t>1:58pm</t>
  </si>
  <si>
    <t>199246</t>
  </si>
  <si>
    <t>009088</t>
  </si>
  <si>
    <t>851028</t>
  </si>
  <si>
    <t>934097</t>
  </si>
  <si>
    <t>548516</t>
  </si>
  <si>
    <t>483009</t>
  </si>
  <si>
    <t>995371</t>
  </si>
  <si>
    <t>7812-01696</t>
  </si>
  <si>
    <t>471078</t>
  </si>
  <si>
    <t>883010</t>
  </si>
  <si>
    <t>438028</t>
  </si>
  <si>
    <t>916103</t>
  </si>
  <si>
    <t>260021</t>
  </si>
  <si>
    <t>470006</t>
  </si>
  <si>
    <t>6:08am</t>
  </si>
  <si>
    <t>9:02am</t>
  </si>
  <si>
    <t>1:16pm</t>
  </si>
  <si>
    <t>176111</t>
  </si>
  <si>
    <t>040008</t>
  </si>
  <si>
    <t>906104</t>
  </si>
  <si>
    <t>495050</t>
  </si>
  <si>
    <t>495046</t>
  </si>
  <si>
    <t>320025</t>
  </si>
  <si>
    <t>10:23am</t>
  </si>
  <si>
    <t>10:42am</t>
  </si>
  <si>
    <t>988056</t>
  </si>
  <si>
    <t>872015</t>
  </si>
  <si>
    <t>632000</t>
  </si>
  <si>
    <t>4:32pm</t>
  </si>
  <si>
    <t>065025</t>
  </si>
  <si>
    <t>10:09am</t>
  </si>
  <si>
    <t>521166</t>
  </si>
  <si>
    <t>698764</t>
  </si>
  <si>
    <t>313148</t>
  </si>
  <si>
    <t>349053</t>
  </si>
  <si>
    <t>7:34am</t>
  </si>
  <si>
    <t>8:59am</t>
  </si>
  <si>
    <t>552616</t>
  </si>
  <si>
    <t>7815</t>
  </si>
  <si>
    <t>327243</t>
  </si>
  <si>
    <t>427011</t>
  </si>
  <si>
    <t>881015</t>
  </si>
  <si>
    <t>329034</t>
  </si>
  <si>
    <t>461001</t>
  </si>
  <si>
    <t>3:20pm</t>
  </si>
  <si>
    <t>432013</t>
  </si>
  <si>
    <t>6:46am</t>
  </si>
  <si>
    <t>906272</t>
  </si>
  <si>
    <t>1:07pm</t>
  </si>
  <si>
    <t>4:01pm</t>
  </si>
  <si>
    <t>7:06am</t>
  </si>
  <si>
    <t>694091</t>
  </si>
  <si>
    <t>311070</t>
  </si>
  <si>
    <t>680007</t>
  </si>
  <si>
    <t>523063</t>
  </si>
  <si>
    <t>699152</t>
  </si>
  <si>
    <t>8:05am</t>
  </si>
  <si>
    <t>145151</t>
  </si>
  <si>
    <t>406009</t>
  </si>
  <si>
    <t>11:56am</t>
  </si>
  <si>
    <t>029083</t>
  </si>
  <si>
    <t>887299</t>
  </si>
  <si>
    <t>691006</t>
  </si>
  <si>
    <t>450169</t>
  </si>
  <si>
    <t>853006</t>
  </si>
  <si>
    <t>303183</t>
  </si>
  <si>
    <t>237005</t>
  </si>
  <si>
    <t>819026</t>
  </si>
  <si>
    <t>498019</t>
  </si>
  <si>
    <t>820008</t>
  </si>
  <si>
    <t>346086</t>
  </si>
  <si>
    <t>995027</t>
  </si>
  <si>
    <t>612035</t>
  </si>
  <si>
    <t>759156</t>
  </si>
  <si>
    <t>8:36am</t>
  </si>
  <si>
    <t>255014</t>
  </si>
  <si>
    <t>7811-00076</t>
  </si>
  <si>
    <t>238808</t>
  </si>
  <si>
    <t>552047</t>
  </si>
  <si>
    <t>989024</t>
  </si>
  <si>
    <t>955100</t>
  </si>
  <si>
    <t>869022</t>
  </si>
  <si>
    <t>1:43pm</t>
  </si>
  <si>
    <t>7:46am</t>
  </si>
  <si>
    <t>518032</t>
  </si>
  <si>
    <t>7812-03270</t>
  </si>
  <si>
    <t>692002</t>
  </si>
  <si>
    <t>8:16am</t>
  </si>
  <si>
    <t>634857</t>
  </si>
  <si>
    <t>288019</t>
  </si>
  <si>
    <t>7818-20067</t>
  </si>
  <si>
    <t>199077</t>
  </si>
  <si>
    <t>021018</t>
  </si>
  <si>
    <t>301033</t>
  </si>
  <si>
    <t>197917</t>
  </si>
  <si>
    <t>615105</t>
  </si>
  <si>
    <t>3:23pm</t>
  </si>
  <si>
    <t>7:02am</t>
  </si>
  <si>
    <t>033461</t>
  </si>
  <si>
    <t>8:43am</t>
  </si>
  <si>
    <t>7818-25757</t>
  </si>
  <si>
    <t>667025</t>
  </si>
  <si>
    <t>110359</t>
  </si>
  <si>
    <t>7812-03107</t>
  </si>
  <si>
    <t>523094</t>
  </si>
  <si>
    <t>008216</t>
  </si>
  <si>
    <t>484051</t>
  </si>
  <si>
    <t>247148</t>
  </si>
  <si>
    <t>750888</t>
  </si>
  <si>
    <t>211074</t>
  </si>
  <si>
    <t>511166</t>
  </si>
  <si>
    <t>706026</t>
  </si>
  <si>
    <t>7818-21948</t>
  </si>
  <si>
    <t>7818-18041</t>
  </si>
  <si>
    <t>615116</t>
  </si>
  <si>
    <t>022001</t>
  </si>
  <si>
    <t>10:44am</t>
  </si>
  <si>
    <t>12:47am</t>
  </si>
  <si>
    <t>805018</t>
  </si>
  <si>
    <t>011201</t>
  </si>
  <si>
    <t>880045</t>
  </si>
  <si>
    <t>1:05pm</t>
  </si>
  <si>
    <t>B04290</t>
  </si>
  <si>
    <t>3:40pm</t>
  </si>
  <si>
    <t>7812-03105</t>
  </si>
  <si>
    <t>898012</t>
  </si>
  <si>
    <t>7812-03109</t>
  </si>
  <si>
    <t>512217</t>
  </si>
  <si>
    <t>149161</t>
  </si>
  <si>
    <t>802533</t>
  </si>
  <si>
    <t>258017</t>
  </si>
  <si>
    <t>7818-22230</t>
  </si>
  <si>
    <t>300011</t>
  </si>
  <si>
    <t>7818-02518</t>
  </si>
  <si>
    <t>523181</t>
  </si>
  <si>
    <t>052010</t>
  </si>
  <si>
    <t>970144</t>
  </si>
  <si>
    <t>538039</t>
  </si>
  <si>
    <t>7811-00229</t>
  </si>
  <si>
    <t>662164</t>
  </si>
  <si>
    <t>596002</t>
  </si>
  <si>
    <t>206107</t>
  </si>
  <si>
    <t>7812-02920</t>
  </si>
  <si>
    <t>414015</t>
  </si>
  <si>
    <t>7:45am</t>
  </si>
  <si>
    <t>7812-03364</t>
  </si>
  <si>
    <t>658369</t>
  </si>
  <si>
    <t>991017</t>
  </si>
  <si>
    <t>495060</t>
  </si>
  <si>
    <t>7818-25909</t>
  </si>
  <si>
    <t>7818-23990</t>
  </si>
  <si>
    <t>424095</t>
  </si>
  <si>
    <t>7818-25775</t>
  </si>
  <si>
    <t>7818-18951</t>
  </si>
  <si>
    <t>579448</t>
  </si>
  <si>
    <t>7818-18957</t>
  </si>
  <si>
    <t>912527</t>
  </si>
  <si>
    <t>7823-02838</t>
  </si>
  <si>
    <t>716026</t>
  </si>
  <si>
    <t>7818-10968</t>
  </si>
  <si>
    <t>3:15pm</t>
  </si>
  <si>
    <t>7:47am</t>
  </si>
  <si>
    <t>7812-02645</t>
  </si>
  <si>
    <t>7:37am</t>
  </si>
  <si>
    <t>066018</t>
  </si>
  <si>
    <t>511104</t>
  </si>
  <si>
    <t>101011</t>
  </si>
  <si>
    <t>7818-19559</t>
  </si>
  <si>
    <t>283049</t>
  </si>
  <si>
    <t>10:18am</t>
  </si>
  <si>
    <t>699143</t>
  </si>
  <si>
    <t>7818-21664</t>
  </si>
  <si>
    <t>7818-18821</t>
  </si>
  <si>
    <t>2:16pm</t>
  </si>
  <si>
    <t>6:48am</t>
  </si>
  <si>
    <t>7:50am</t>
  </si>
  <si>
    <t>007112</t>
  </si>
  <si>
    <t>6:49am</t>
  </si>
  <si>
    <t>917093</t>
  </si>
  <si>
    <t>820436</t>
  </si>
  <si>
    <t>080477</t>
  </si>
  <si>
    <t>495001</t>
  </si>
  <si>
    <t>657922</t>
  </si>
  <si>
    <t>12:26pm</t>
  </si>
  <si>
    <t>147231</t>
  </si>
  <si>
    <t>7818-20298</t>
  </si>
  <si>
    <t>269787</t>
  </si>
  <si>
    <t>859710</t>
  </si>
  <si>
    <t>7818-23316</t>
  </si>
  <si>
    <t>190954</t>
  </si>
  <si>
    <t>7812-03464</t>
  </si>
  <si>
    <t>7812-02665</t>
  </si>
  <si>
    <t>439069</t>
  </si>
  <si>
    <t>8:53am</t>
  </si>
  <si>
    <t>1/9/23-12:05pm</t>
  </si>
  <si>
    <t>7823-02794</t>
  </si>
  <si>
    <t>523172</t>
  </si>
  <si>
    <t>1/9/23-12:06pm</t>
  </si>
  <si>
    <t>7812-03116</t>
  </si>
  <si>
    <t>327761</t>
  </si>
  <si>
    <t>7812-01744</t>
  </si>
  <si>
    <t>308456</t>
  </si>
  <si>
    <t>7812-01444</t>
  </si>
  <si>
    <t>269121</t>
  </si>
  <si>
    <t>7812-01740</t>
  </si>
  <si>
    <t>642176</t>
  </si>
  <si>
    <t>7812-02886</t>
  </si>
  <si>
    <t>7812-03147</t>
  </si>
  <si>
    <t>419482</t>
  </si>
  <si>
    <t>7812-02854</t>
  </si>
  <si>
    <t>236071</t>
  </si>
  <si>
    <t>7818-25763</t>
  </si>
  <si>
    <t>772017</t>
  </si>
  <si>
    <t>7818-24687</t>
  </si>
  <si>
    <t>847007</t>
  </si>
  <si>
    <t>7818-10367</t>
  </si>
  <si>
    <t>1/9/23-3:57pm</t>
  </si>
  <si>
    <t>7810-01582</t>
  </si>
  <si>
    <t>495059</t>
  </si>
  <si>
    <t>1/9/23-3:58pm</t>
  </si>
  <si>
    <t>7818-21175</t>
  </si>
  <si>
    <t>7818-15718</t>
  </si>
  <si>
    <t>7818-20211</t>
  </si>
  <si>
    <t>230645</t>
  </si>
  <si>
    <t>7818-25951</t>
  </si>
  <si>
    <t>235020</t>
  </si>
  <si>
    <t>1/10/23-9:33am</t>
  </si>
  <si>
    <t>7812-02390</t>
  </si>
  <si>
    <t>205678</t>
  </si>
  <si>
    <t>1/10/23-9:34am</t>
  </si>
  <si>
    <t>7812-03462</t>
  </si>
  <si>
    <t>450145</t>
  </si>
  <si>
    <t>7812-03438</t>
  </si>
  <si>
    <t>7810-01706</t>
  </si>
  <si>
    <t>827019</t>
  </si>
  <si>
    <t>7810-01708</t>
  </si>
  <si>
    <t>1/10/23-9:37am</t>
  </si>
  <si>
    <t>7823-02217</t>
  </si>
  <si>
    <t>B00771</t>
  </si>
  <si>
    <t>7818-14118</t>
  </si>
  <si>
    <t>411007</t>
  </si>
  <si>
    <t>7818-25761</t>
  </si>
  <si>
    <t>984021</t>
  </si>
  <si>
    <t>7818-10099</t>
  </si>
  <si>
    <t>7818-10729</t>
  </si>
  <si>
    <t>030581</t>
  </si>
  <si>
    <t>7818-19715</t>
  </si>
  <si>
    <t>7818-11983</t>
  </si>
  <si>
    <t>768033</t>
  </si>
  <si>
    <t>1/10/23-9:38am</t>
  </si>
  <si>
    <t>7818-24919</t>
  </si>
  <si>
    <t>759096</t>
  </si>
  <si>
    <t>7823-02218</t>
  </si>
  <si>
    <t>B00667</t>
  </si>
  <si>
    <t>1/10/23-12:06pm</t>
  </si>
  <si>
    <t>7818-25130</t>
  </si>
  <si>
    <t>779088</t>
  </si>
  <si>
    <t>7818-21834</t>
  </si>
  <si>
    <t>674150</t>
  </si>
  <si>
    <t>7818-21844</t>
  </si>
  <si>
    <t>514018</t>
  </si>
  <si>
    <t>1/10/23-12:07pm</t>
  </si>
  <si>
    <t>7818-25424</t>
  </si>
  <si>
    <t>1/10/23-5:57pm</t>
  </si>
  <si>
    <t>7818-12804</t>
  </si>
  <si>
    <t>220S</t>
  </si>
  <si>
    <t>BLACK</t>
  </si>
  <si>
    <t>571964</t>
  </si>
  <si>
    <t>7818-00866</t>
  </si>
  <si>
    <t>212018</t>
  </si>
  <si>
    <t>1/10/23-5:58pm</t>
  </si>
  <si>
    <t>7818-26039</t>
  </si>
  <si>
    <t>7818-21662</t>
  </si>
  <si>
    <t>544120</t>
  </si>
  <si>
    <t>7818-18561</t>
  </si>
  <si>
    <t>BROWN</t>
  </si>
  <si>
    <t>7818-22150</t>
  </si>
  <si>
    <t>SW06</t>
  </si>
  <si>
    <t>BRN/OR</t>
  </si>
  <si>
    <t>761002</t>
  </si>
  <si>
    <t>7818-24989</t>
  </si>
  <si>
    <t>521157</t>
  </si>
  <si>
    <t>7818-24986</t>
  </si>
  <si>
    <t>066916</t>
  </si>
  <si>
    <t>7818-13072</t>
  </si>
  <si>
    <t>7818-04391</t>
  </si>
  <si>
    <t>826062</t>
  </si>
  <si>
    <t>7818-04390</t>
  </si>
  <si>
    <t>826103</t>
  </si>
  <si>
    <t>7818-26041</t>
  </si>
  <si>
    <t>7818-23359</t>
  </si>
  <si>
    <t>7818-26040</t>
  </si>
  <si>
    <t>BROWN/ORANGE</t>
  </si>
  <si>
    <t>621185</t>
  </si>
  <si>
    <t>9:31am</t>
  </si>
  <si>
    <t>7818-26042</t>
  </si>
  <si>
    <t>Gold</t>
  </si>
  <si>
    <t>1/11/23-9:57am</t>
  </si>
  <si>
    <t>7811-00051</t>
  </si>
  <si>
    <t>532007</t>
  </si>
  <si>
    <t>7818-18829</t>
  </si>
  <si>
    <t>235001</t>
  </si>
  <si>
    <t>1/11/23-9:58am</t>
  </si>
  <si>
    <t>7823-03381</t>
  </si>
  <si>
    <t>Not indicated</t>
  </si>
  <si>
    <t>341047</t>
  </si>
  <si>
    <t>1/12/23-5:38pm</t>
  </si>
  <si>
    <t>7818-14699</t>
  </si>
  <si>
    <t>534059</t>
  </si>
  <si>
    <t>7818-14909</t>
  </si>
  <si>
    <t>25909</t>
  </si>
  <si>
    <t>CLEAR</t>
  </si>
  <si>
    <t>7818-22412</t>
  </si>
  <si>
    <t>1/12/23-9:27am</t>
  </si>
  <si>
    <t>7823-02216</t>
  </si>
  <si>
    <t>B08616</t>
  </si>
  <si>
    <t>1/12/23-9:28am</t>
  </si>
  <si>
    <t>7810-01560</t>
  </si>
  <si>
    <t>199282</t>
  </si>
  <si>
    <t>1/12/23-9:29am</t>
  </si>
  <si>
    <t>7810-02873</t>
  </si>
  <si>
    <t>7818-10368</t>
  </si>
  <si>
    <t>1/12/23-9:30am</t>
  </si>
  <si>
    <t>7818-25952</t>
  </si>
  <si>
    <t>519038</t>
  </si>
  <si>
    <t>1/12/23-5:09pm</t>
  </si>
  <si>
    <t>7818-22127</t>
  </si>
  <si>
    <t>658270</t>
  </si>
  <si>
    <t>7823-02178</t>
  </si>
  <si>
    <t>615101</t>
  </si>
  <si>
    <t>3:38pm</t>
  </si>
  <si>
    <t>7818-25764</t>
  </si>
  <si>
    <t>GOLD</t>
  </si>
  <si>
    <t>859064</t>
  </si>
  <si>
    <t>7818-02069</t>
  </si>
  <si>
    <t>123097</t>
  </si>
  <si>
    <t>9:58pm</t>
  </si>
  <si>
    <t>511029</t>
  </si>
  <si>
    <t>7812-01557</t>
  </si>
  <si>
    <t>311708</t>
  </si>
  <si>
    <t>7818-26905</t>
  </si>
  <si>
    <t>435089</t>
  </si>
  <si>
    <t>1/12/23-5:39pm</t>
  </si>
  <si>
    <t>7811-00304</t>
  </si>
  <si>
    <t>072033</t>
  </si>
  <si>
    <t>7823-02789</t>
  </si>
  <si>
    <t>780117</t>
  </si>
  <si>
    <t>1/12/23-5:40pm</t>
  </si>
  <si>
    <t>7818-25263</t>
  </si>
  <si>
    <t>996097</t>
  </si>
  <si>
    <t>6:39pm</t>
  </si>
  <si>
    <t>1/13/23-10:17am</t>
  </si>
  <si>
    <t>7823-02808</t>
  </si>
  <si>
    <t>M36114</t>
  </si>
  <si>
    <t>7:26am</t>
  </si>
  <si>
    <t>7818-10376</t>
  </si>
  <si>
    <t>397186</t>
  </si>
  <si>
    <t>1/13/23-10:19am</t>
  </si>
  <si>
    <t>7810-00077</t>
  </si>
  <si>
    <t>12:39am</t>
  </si>
  <si>
    <t>1/17/23-1:08pm</t>
  </si>
  <si>
    <t>7823-02405</t>
  </si>
  <si>
    <t>816203</t>
  </si>
  <si>
    <t>7818-10369</t>
  </si>
  <si>
    <t>7818-24920</t>
  </si>
  <si>
    <t>1/17/23-1:09pm</t>
  </si>
  <si>
    <t>7818-10448</t>
  </si>
  <si>
    <t>7811-00194</t>
  </si>
  <si>
    <t>147124</t>
  </si>
  <si>
    <t>1/18/23-3:46pm</t>
  </si>
  <si>
    <t>7810-01579</t>
  </si>
  <si>
    <t>566102</t>
  </si>
  <si>
    <t>7810-01709</t>
  </si>
  <si>
    <t>678027</t>
  </si>
  <si>
    <t>7810-01736</t>
  </si>
  <si>
    <t>019102</t>
  </si>
  <si>
    <t>1/18/23-3:47pm</t>
  </si>
  <si>
    <t>7818-16568</t>
  </si>
  <si>
    <t>7818-24661</t>
  </si>
  <si>
    <t>701082</t>
  </si>
  <si>
    <t>7818-25941</t>
  </si>
  <si>
    <t>140088</t>
  </si>
  <si>
    <t>7818-19046</t>
  </si>
  <si>
    <t>298040</t>
  </si>
  <si>
    <t>7818-16786</t>
  </si>
  <si>
    <t>000104</t>
  </si>
  <si>
    <t>7818-19812</t>
  </si>
  <si>
    <t>1/18/23-3:48pm</t>
  </si>
  <si>
    <t>1/18/23-3:49pm</t>
  </si>
  <si>
    <t>7823-01771</t>
  </si>
  <si>
    <t>7823-01856</t>
  </si>
  <si>
    <t>603006</t>
  </si>
  <si>
    <t>1/20/23-12:42pm</t>
  </si>
  <si>
    <t>7823-02753</t>
  </si>
  <si>
    <t>147267</t>
  </si>
  <si>
    <t>1/20/23-12:43pm</t>
  </si>
  <si>
    <t>7823-01434</t>
  </si>
  <si>
    <t>964122</t>
  </si>
  <si>
    <t>7823-02562</t>
  </si>
  <si>
    <t>140080</t>
  </si>
  <si>
    <t>1/20/23-12:44pm</t>
  </si>
  <si>
    <t>7818-25767</t>
  </si>
  <si>
    <t>634010</t>
  </si>
  <si>
    <t>7818-24932</t>
  </si>
  <si>
    <t>7818-21213</t>
  </si>
  <si>
    <t>206079</t>
  </si>
  <si>
    <t>7818-17409</t>
  </si>
  <si>
    <t>425004</t>
  </si>
  <si>
    <t>7818-25407</t>
  </si>
  <si>
    <t>828018</t>
  </si>
  <si>
    <t>7818-18731</t>
  </si>
  <si>
    <t>509036</t>
  </si>
  <si>
    <t>7823-03321</t>
  </si>
  <si>
    <t>1/20/23-12:45pm</t>
  </si>
  <si>
    <t>7810-01558</t>
  </si>
  <si>
    <t>311118</t>
  </si>
  <si>
    <t>7810-01171</t>
  </si>
  <si>
    <t>7810-00506</t>
  </si>
  <si>
    <t>039127</t>
  </si>
  <si>
    <t>1:57am</t>
  </si>
  <si>
    <t>7818-25986</t>
  </si>
  <si>
    <t>7818-27024</t>
  </si>
  <si>
    <t>915007</t>
  </si>
  <si>
    <t>7812-02070</t>
  </si>
  <si>
    <t>Brown</t>
  </si>
  <si>
    <t>7812-03375</t>
  </si>
  <si>
    <t>118019</t>
  </si>
  <si>
    <t>7812-03393</t>
  </si>
  <si>
    <t>123847</t>
  </si>
  <si>
    <t>7818-25977</t>
  </si>
  <si>
    <t>996171</t>
  </si>
  <si>
    <t>7818-22411</t>
  </si>
  <si>
    <t>450142</t>
  </si>
  <si>
    <t>7818-17291</t>
  </si>
  <si>
    <t>7818-22304</t>
  </si>
  <si>
    <t>7818-25170</t>
  </si>
  <si>
    <t>726162</t>
  </si>
  <si>
    <t>7818-21673</t>
  </si>
  <si>
    <t>7818-25789</t>
  </si>
  <si>
    <t>7818-17075</t>
  </si>
  <si>
    <t>7818-25964</t>
  </si>
  <si>
    <t>596140</t>
  </si>
  <si>
    <t>7818-14053</t>
  </si>
  <si>
    <t>1/25/23-12:24pm</t>
  </si>
  <si>
    <t>7810-01583</t>
  </si>
  <si>
    <t>678133</t>
  </si>
  <si>
    <t>1/25/23-12:25pm</t>
  </si>
  <si>
    <t>7818-10377</t>
  </si>
  <si>
    <t>7818-25171</t>
  </si>
  <si>
    <t>720078</t>
  </si>
  <si>
    <t>1/25/23-12:26pm</t>
  </si>
  <si>
    <t>7810-00509</t>
  </si>
  <si>
    <t>351003</t>
  </si>
  <si>
    <t>7818-27025</t>
  </si>
  <si>
    <t>7818-27026</t>
  </si>
  <si>
    <t>1/27/23-10:13am</t>
  </si>
  <si>
    <t>7810-00821</t>
  </si>
  <si>
    <t>008256</t>
  </si>
  <si>
    <t>1/27/23-10:14am</t>
  </si>
  <si>
    <t>1/27/23-10:15am</t>
  </si>
  <si>
    <t>7818-26077</t>
  </si>
  <si>
    <t>589007</t>
  </si>
  <si>
    <t>7818-26076</t>
  </si>
  <si>
    <t>7818-26075</t>
  </si>
  <si>
    <t>7818-17795</t>
  </si>
  <si>
    <t>7818-25497</t>
  </si>
  <si>
    <t>734028</t>
  </si>
  <si>
    <t>7818-25182</t>
  </si>
  <si>
    <t>7818-21655</t>
  </si>
  <si>
    <t>084057</t>
  </si>
  <si>
    <t>1/30/23-2:30pm</t>
  </si>
  <si>
    <t>7818-12241</t>
  </si>
  <si>
    <t>1/30/23-2:31pm</t>
  </si>
  <si>
    <t>7812-01559</t>
  </si>
  <si>
    <t>746000</t>
  </si>
  <si>
    <t>1/30/23-2:32pm</t>
  </si>
  <si>
    <t>7823-01653</t>
  </si>
  <si>
    <t>595019</t>
  </si>
  <si>
    <t>1/30/23-2:33pm</t>
  </si>
  <si>
    <t>7818-25147</t>
  </si>
  <si>
    <t>450033</t>
  </si>
  <si>
    <t>7818-07949</t>
  </si>
  <si>
    <t>7818-16288</t>
  </si>
  <si>
    <t>696004</t>
  </si>
  <si>
    <t>2/1/23-11:14am</t>
  </si>
  <si>
    <t>7823-02842</t>
  </si>
  <si>
    <t>587005</t>
  </si>
  <si>
    <t>7823-02843</t>
  </si>
  <si>
    <t>2/1/23-11:15am</t>
  </si>
  <si>
    <t>7818-20232</t>
  </si>
  <si>
    <t>7818-10378</t>
  </si>
  <si>
    <t>327308</t>
  </si>
  <si>
    <t>7818-24000</t>
  </si>
  <si>
    <t>316034</t>
  </si>
  <si>
    <t>7818-21957</t>
  </si>
  <si>
    <t>753132</t>
  </si>
  <si>
    <t>7818-18768</t>
  </si>
  <si>
    <t>7812-3766</t>
  </si>
  <si>
    <t>7812-02068</t>
  </si>
  <si>
    <t>070027</t>
  </si>
  <si>
    <t>7812-03391</t>
  </si>
  <si>
    <t>599073</t>
  </si>
  <si>
    <t>7812-03390</t>
  </si>
  <si>
    <t>324031</t>
  </si>
  <si>
    <t>7812-03368</t>
  </si>
  <si>
    <t>438100</t>
  </si>
  <si>
    <t>7812-03113</t>
  </si>
  <si>
    <t>470183</t>
  </si>
  <si>
    <t>7812-03053</t>
  </si>
  <si>
    <t>484004</t>
  </si>
  <si>
    <t>7812-01097</t>
  </si>
  <si>
    <t>917022</t>
  </si>
  <si>
    <t>7812-03343</t>
  </si>
  <si>
    <t>917026</t>
  </si>
  <si>
    <t>2/1/23-11:16am</t>
  </si>
  <si>
    <t>7818-18093</t>
  </si>
  <si>
    <t>955074</t>
  </si>
  <si>
    <t>2/1/23-11:09am</t>
  </si>
  <si>
    <t>7823-02632</t>
  </si>
  <si>
    <t>742002</t>
  </si>
  <si>
    <t>7823-02566</t>
  </si>
  <si>
    <t>674075</t>
  </si>
  <si>
    <t>7823-01646</t>
  </si>
  <si>
    <t>725020</t>
  </si>
  <si>
    <t>2/1/23-3:20pm</t>
  </si>
  <si>
    <t>1:30pm</t>
  </si>
  <si>
    <t>2/1/23-3:21pm</t>
  </si>
  <si>
    <t>7818-20470</t>
  </si>
  <si>
    <t>480018</t>
  </si>
  <si>
    <t>7818-26052</t>
  </si>
  <si>
    <t>7818-21778</t>
  </si>
  <si>
    <t>057883</t>
  </si>
  <si>
    <t>7818-25783</t>
  </si>
  <si>
    <t>7818-21029</t>
  </si>
  <si>
    <t>727320</t>
  </si>
  <si>
    <t>7818-16673</t>
  </si>
  <si>
    <t>7818-07085</t>
  </si>
  <si>
    <t>887227</t>
  </si>
  <si>
    <t>7818-07084</t>
  </si>
  <si>
    <t>878025</t>
  </si>
  <si>
    <t>7818-18302</t>
  </si>
  <si>
    <t>M44948</t>
  </si>
  <si>
    <t>7818-26971</t>
  </si>
  <si>
    <t>059249</t>
  </si>
  <si>
    <t>3:53pm</t>
  </si>
  <si>
    <t>2/2/23-10:55am</t>
  </si>
  <si>
    <t>7818-23130</t>
  </si>
  <si>
    <t>849053</t>
  </si>
  <si>
    <t>2/2/23-10:56am</t>
  </si>
  <si>
    <t>7818-19387</t>
  </si>
  <si>
    <t>620134</t>
  </si>
  <si>
    <t>7818-24653</t>
  </si>
  <si>
    <t>545022</t>
  </si>
  <si>
    <t>7818-25402</t>
  </si>
  <si>
    <t>824114</t>
  </si>
  <si>
    <t>7823-02666</t>
  </si>
  <si>
    <t>894008</t>
  </si>
  <si>
    <t>144094</t>
  </si>
  <si>
    <t>7823-02739</t>
  </si>
  <si>
    <t>566135</t>
  </si>
  <si>
    <t>7823-03016</t>
  </si>
  <si>
    <t>247760</t>
  </si>
  <si>
    <t>2/6/23-11:02am</t>
  </si>
  <si>
    <t>7823-03322</t>
  </si>
  <si>
    <t>M32739</t>
  </si>
  <si>
    <t>7823-02772</t>
  </si>
  <si>
    <t>M14609</t>
  </si>
  <si>
    <t>2/6/23-11:03am</t>
  </si>
  <si>
    <t>7823-02835</t>
  </si>
  <si>
    <t>087008</t>
  </si>
  <si>
    <t>7818-26089</t>
  </si>
  <si>
    <t>144103</t>
  </si>
  <si>
    <t>7818-26090</t>
  </si>
  <si>
    <t>7823-03362</t>
  </si>
  <si>
    <t>431012</t>
  </si>
  <si>
    <t>7818-11942</t>
  </si>
  <si>
    <t>Gun Metal (not one of options)</t>
  </si>
  <si>
    <t>158000</t>
  </si>
  <si>
    <t>7818-25264</t>
  </si>
  <si>
    <t>7818-26080</t>
  </si>
  <si>
    <t>199347</t>
  </si>
  <si>
    <t>7818-23646</t>
  </si>
  <si>
    <t>7818-25303</t>
  </si>
  <si>
    <t>7818-25122</t>
  </si>
  <si>
    <t>30019</t>
  </si>
  <si>
    <t>2/6/23-11:04am</t>
  </si>
  <si>
    <t>7823-02479</t>
  </si>
  <si>
    <t>905004</t>
  </si>
  <si>
    <t>2/6/23-2:56pm</t>
  </si>
  <si>
    <t>7818-18098</t>
  </si>
  <si>
    <t>2/6/23-2:57pm</t>
  </si>
  <si>
    <t>7818-23484</t>
  </si>
  <si>
    <t>799073</t>
  </si>
  <si>
    <t>7818-25984</t>
  </si>
  <si>
    <t>2/10/23-4:22pm</t>
  </si>
  <si>
    <t>7818-25555</t>
  </si>
  <si>
    <t>9:50am</t>
  </si>
  <si>
    <t>7824-00336</t>
  </si>
  <si>
    <t>143006</t>
  </si>
  <si>
    <t>7824-00340</t>
  </si>
  <si>
    <t>084035</t>
  </si>
  <si>
    <t>7818-15454</t>
  </si>
  <si>
    <t>2/10/23-4:23pm</t>
  </si>
  <si>
    <t>7818-23408</t>
  </si>
  <si>
    <t>426186</t>
  </si>
  <si>
    <t>2/10/23-4:25pm</t>
  </si>
  <si>
    <t>7823-02149</t>
  </si>
  <si>
    <t>021026</t>
  </si>
  <si>
    <t>7812-03399</t>
  </si>
  <si>
    <t>488013</t>
  </si>
  <si>
    <t>7812-02072</t>
  </si>
  <si>
    <t>7812-03344</t>
  </si>
  <si>
    <t>7812-03345</t>
  </si>
  <si>
    <t>7812-03394</t>
  </si>
  <si>
    <t>7812-02529</t>
  </si>
  <si>
    <t>7812-3840</t>
  </si>
  <si>
    <t>7812-00801</t>
  </si>
  <si>
    <t>434347</t>
  </si>
  <si>
    <t>7824-00378</t>
  </si>
  <si>
    <t>Selection not part of options</t>
  </si>
  <si>
    <t>3:03pm</t>
  </si>
  <si>
    <t>2/10/23-4:26pm</t>
  </si>
  <si>
    <t>7818-27173</t>
  </si>
  <si>
    <t>7818-27174</t>
  </si>
  <si>
    <t>7818-27175</t>
  </si>
  <si>
    <t>7818-27176</t>
  </si>
  <si>
    <t>551016</t>
  </si>
  <si>
    <t>7818-24608</t>
  </si>
  <si>
    <t>316005</t>
  </si>
  <si>
    <t>7818-01275</t>
  </si>
  <si>
    <t>7818-26571</t>
  </si>
  <si>
    <t>7818-18226</t>
  </si>
  <si>
    <t>7818-17790</t>
  </si>
  <si>
    <t>887404</t>
  </si>
  <si>
    <t>7818-12208</t>
  </si>
  <si>
    <t>385061</t>
  </si>
  <si>
    <t>3:36pm</t>
  </si>
  <si>
    <t>7818-03055</t>
  </si>
  <si>
    <t>819756</t>
  </si>
  <si>
    <t>3:46pm</t>
  </si>
  <si>
    <t>7818-23732</t>
  </si>
  <si>
    <t>2/15/23-10:01am</t>
  </si>
  <si>
    <t>7818-25194</t>
  </si>
  <si>
    <t>51408</t>
  </si>
  <si>
    <t>2/15/23-10:02am</t>
  </si>
  <si>
    <t>7818-23088</t>
  </si>
  <si>
    <t>727392</t>
  </si>
  <si>
    <t>2/16/23-2:39pm</t>
  </si>
  <si>
    <t>7812-02071</t>
  </si>
  <si>
    <t>76702</t>
  </si>
  <si>
    <t>7812-03002</t>
  </si>
  <si>
    <t>536014</t>
  </si>
  <si>
    <t>7812-00358</t>
  </si>
  <si>
    <t>330891</t>
  </si>
  <si>
    <t>7812-3861</t>
  </si>
  <si>
    <t>304424</t>
  </si>
  <si>
    <t>2/16/23-2:40pm</t>
  </si>
  <si>
    <t>7810-01772</t>
  </si>
  <si>
    <t>7810-00083</t>
  </si>
  <si>
    <t>3:43pm</t>
  </si>
  <si>
    <t>7818-15030</t>
  </si>
  <si>
    <t>7818-15252</t>
  </si>
  <si>
    <t>770041</t>
  </si>
  <si>
    <t>7818-13882</t>
  </si>
  <si>
    <t>149079</t>
  </si>
  <si>
    <t>7818-16213</t>
  </si>
  <si>
    <t>2/16/23-2:41pm</t>
  </si>
  <si>
    <t>7818-19574</t>
  </si>
  <si>
    <t>104123</t>
  </si>
  <si>
    <t>7818-10388</t>
  </si>
  <si>
    <t>7823-01568</t>
  </si>
  <si>
    <t>M26204</t>
  </si>
  <si>
    <t>7823-01569</t>
  </si>
  <si>
    <t>M33917</t>
  </si>
  <si>
    <t>2/16/23-2:42pm</t>
  </si>
  <si>
    <t>7823-03326</t>
  </si>
  <si>
    <t>M27972</t>
  </si>
  <si>
    <t>7823-03327</t>
  </si>
  <si>
    <t>M39129</t>
  </si>
  <si>
    <t>7823-03328</t>
  </si>
  <si>
    <t>2/16/23-2:38pm</t>
  </si>
  <si>
    <t>7818-10969</t>
  </si>
  <si>
    <t>311043</t>
  </si>
  <si>
    <t>7818-15719</t>
  </si>
  <si>
    <t>7818-22197</t>
  </si>
  <si>
    <t>753181</t>
  </si>
  <si>
    <t>7818-22609</t>
  </si>
  <si>
    <t>7:396am</t>
  </si>
  <si>
    <t>2/16/23-5:38pm</t>
  </si>
  <si>
    <t>7818-27107</t>
  </si>
  <si>
    <t>7818-15880</t>
  </si>
  <si>
    <t>035501</t>
  </si>
  <si>
    <t>2/16/23-5:39pm</t>
  </si>
  <si>
    <t>7818-11672</t>
  </si>
  <si>
    <t>7823-0168</t>
  </si>
  <si>
    <t>2/16/23-5:40pm</t>
  </si>
  <si>
    <t>7818-09023</t>
  </si>
  <si>
    <t>One indicated not an option</t>
  </si>
  <si>
    <t>7818-21341</t>
  </si>
  <si>
    <t>370159</t>
  </si>
  <si>
    <t>6:13am</t>
  </si>
  <si>
    <t>7823-03365</t>
  </si>
  <si>
    <t>640051</t>
  </si>
  <si>
    <t>7823-03361</t>
  </si>
  <si>
    <t>254062</t>
  </si>
  <si>
    <t>7823-02155</t>
  </si>
  <si>
    <t>7818-17611</t>
  </si>
  <si>
    <t>7818-16144</t>
  </si>
  <si>
    <t>2/16/23-5:41pm</t>
  </si>
  <si>
    <t>7818-15029</t>
  </si>
  <si>
    <t>142017</t>
  </si>
  <si>
    <t>7812-02073</t>
  </si>
  <si>
    <t>2/16/23-5:42pm</t>
  </si>
  <si>
    <t>7818-25168</t>
  </si>
  <si>
    <t>143126</t>
  </si>
  <si>
    <t>7818-25187</t>
  </si>
  <si>
    <t>192005</t>
  </si>
  <si>
    <t>2/17/23-9:30am</t>
  </si>
  <si>
    <t>7818-19807</t>
  </si>
  <si>
    <t>7818-19827</t>
  </si>
  <si>
    <t>779062</t>
  </si>
  <si>
    <t>1:41am</t>
  </si>
  <si>
    <t>2/17/23-9:31am</t>
  </si>
  <si>
    <t>7818-20476</t>
  </si>
  <si>
    <t>7818-23724</t>
  </si>
  <si>
    <t>219633</t>
  </si>
  <si>
    <t>7818-17789</t>
  </si>
  <si>
    <t>7818-10970</t>
  </si>
  <si>
    <t>7818-25936</t>
  </si>
  <si>
    <t>2/17/23-9:32am</t>
  </si>
  <si>
    <t>12:48pm</t>
  </si>
  <si>
    <t>7818-13122</t>
  </si>
  <si>
    <t>7818-04389</t>
  </si>
  <si>
    <t>691207</t>
  </si>
  <si>
    <t>7818-10166</t>
  </si>
  <si>
    <t>2/17/23-9:33am</t>
  </si>
  <si>
    <t>7818-08115</t>
  </si>
  <si>
    <t>7818-10972</t>
  </si>
  <si>
    <t>436112</t>
  </si>
  <si>
    <t>7818-23321</t>
  </si>
  <si>
    <t>996169</t>
  </si>
  <si>
    <t>7818-25266</t>
  </si>
  <si>
    <t>7818-10379</t>
  </si>
  <si>
    <t>220s</t>
  </si>
  <si>
    <t>552106</t>
  </si>
  <si>
    <t>2/17/23-11:58am</t>
  </si>
  <si>
    <t>7810-00088</t>
  </si>
  <si>
    <t>545006</t>
  </si>
  <si>
    <t>7818-15752</t>
  </si>
  <si>
    <t>7818-16691</t>
  </si>
  <si>
    <t>525040</t>
  </si>
  <si>
    <t>7818-23120</t>
  </si>
  <si>
    <t>320014</t>
  </si>
  <si>
    <t>7818-27201</t>
  </si>
  <si>
    <t>7818-09445</t>
  </si>
  <si>
    <t>7818-21687</t>
  </si>
  <si>
    <t>7818-14646</t>
  </si>
  <si>
    <t>996085</t>
  </si>
  <si>
    <t>7818-23051</t>
  </si>
  <si>
    <t>7818-27523</t>
  </si>
  <si>
    <t>713000</t>
  </si>
  <si>
    <t>7818-22373</t>
  </si>
  <si>
    <t>7818-21940</t>
  </si>
  <si>
    <t>785017</t>
  </si>
  <si>
    <t>7818-14647</t>
  </si>
  <si>
    <t>439107</t>
  </si>
  <si>
    <t>2/17/23-11:59am</t>
  </si>
  <si>
    <t>7812-03177</t>
  </si>
  <si>
    <t xml:space="preserve">57 </t>
  </si>
  <si>
    <t>457033</t>
  </si>
  <si>
    <t>7823-02669</t>
  </si>
  <si>
    <t>113185</t>
  </si>
  <si>
    <t>7823-02667</t>
  </si>
  <si>
    <t>7818-23644</t>
  </si>
  <si>
    <t>2/17/23-12:00pm</t>
  </si>
  <si>
    <t>7823-02124</t>
  </si>
  <si>
    <t>M43274</t>
  </si>
  <si>
    <t>2/17/23-1:11pm</t>
  </si>
  <si>
    <t>7823-03325</t>
  </si>
  <si>
    <t>M19769</t>
  </si>
  <si>
    <t>7818-17122</t>
  </si>
  <si>
    <t>374008</t>
  </si>
  <si>
    <t>7818-26594</t>
  </si>
  <si>
    <t>7818-27171</t>
  </si>
  <si>
    <t>640016</t>
  </si>
  <si>
    <t>7818-17546</t>
  </si>
  <si>
    <t>065003</t>
  </si>
  <si>
    <t>7818-18187</t>
  </si>
  <si>
    <t>364691</t>
  </si>
  <si>
    <t>7818-18617</t>
  </si>
  <si>
    <t>7818-26153</t>
  </si>
  <si>
    <t>7818-02074</t>
  </si>
  <si>
    <t>7818-19658</t>
  </si>
  <si>
    <t>640052</t>
  </si>
  <si>
    <t>7818-24443</t>
  </si>
  <si>
    <t>153033</t>
  </si>
  <si>
    <t>7818-18312</t>
  </si>
  <si>
    <t>989046</t>
  </si>
  <si>
    <t>7818-26921</t>
  </si>
  <si>
    <t>176044</t>
  </si>
  <si>
    <t>2/17/23-1:12pm</t>
  </si>
  <si>
    <t>7818-18569</t>
  </si>
  <si>
    <t>683817</t>
  </si>
  <si>
    <t>7818-10380</t>
  </si>
  <si>
    <t>555053</t>
  </si>
  <si>
    <t>7818-25158</t>
  </si>
  <si>
    <t>542055</t>
  </si>
  <si>
    <t>7818-15751</t>
  </si>
  <si>
    <t>2/17/23-1:13pm</t>
  </si>
  <si>
    <t>7818-10062</t>
  </si>
  <si>
    <t>7823-02181</t>
  </si>
  <si>
    <t>7818-15877</t>
  </si>
  <si>
    <t>2/20/23-12:10pm</t>
  </si>
  <si>
    <t>7810-01418</t>
  </si>
  <si>
    <t>993076</t>
  </si>
  <si>
    <t>2/20/23-12:11pm</t>
  </si>
  <si>
    <t>7818-15748</t>
  </si>
  <si>
    <t>7818-19894</t>
  </si>
  <si>
    <t>428174</t>
  </si>
  <si>
    <t>12:56am</t>
  </si>
  <si>
    <t>7818-21954</t>
  </si>
  <si>
    <t>534148</t>
  </si>
  <si>
    <t>7818-25965</t>
  </si>
  <si>
    <t>781202</t>
  </si>
  <si>
    <t>7818-24218</t>
  </si>
  <si>
    <t>438105</t>
  </si>
  <si>
    <t>7818-18050</t>
  </si>
  <si>
    <t>555000</t>
  </si>
  <si>
    <t>7818-27181</t>
  </si>
  <si>
    <t>2/21/23-9:54am</t>
  </si>
  <si>
    <t>7818-10449</t>
  </si>
  <si>
    <t>232027</t>
  </si>
  <si>
    <t>7818-25785</t>
  </si>
  <si>
    <t>7818-16468</t>
  </si>
  <si>
    <t>7823-02761</t>
  </si>
  <si>
    <t>510677</t>
  </si>
  <si>
    <t>10:08pm</t>
  </si>
  <si>
    <t>7823-02763</t>
  </si>
  <si>
    <t>M45261</t>
  </si>
  <si>
    <t>2/21/23-2:41pm</t>
  </si>
  <si>
    <t>7818-24651</t>
  </si>
  <si>
    <t>363092</t>
  </si>
  <si>
    <t>7818-14547</t>
  </si>
  <si>
    <t>Black</t>
  </si>
  <si>
    <t>7818-26505</t>
  </si>
  <si>
    <t>727338</t>
  </si>
  <si>
    <t>7818-18831</t>
  </si>
  <si>
    <t>511178</t>
  </si>
  <si>
    <t>2/21/23-2:42pm</t>
  </si>
  <si>
    <t>7818-24245</t>
  </si>
  <si>
    <t>414081</t>
  </si>
  <si>
    <t>7818-10381</t>
  </si>
  <si>
    <t>280025</t>
  </si>
  <si>
    <t>7818-17560</t>
  </si>
  <si>
    <t>035035</t>
  </si>
  <si>
    <t>7818-21123</t>
  </si>
  <si>
    <t>7818-25156</t>
  </si>
  <si>
    <t>634057</t>
  </si>
  <si>
    <t>7823-02115</t>
  </si>
  <si>
    <t>M27890</t>
  </si>
  <si>
    <t>2/22/23-12:29pm</t>
  </si>
  <si>
    <t>7823-02156</t>
  </si>
  <si>
    <t>684001</t>
  </si>
  <si>
    <t>2/22/23-12:30pm</t>
  </si>
  <si>
    <t>7810-00089</t>
  </si>
  <si>
    <t>244008</t>
  </si>
  <si>
    <t>743168</t>
  </si>
  <si>
    <t>12:10pm</t>
  </si>
  <si>
    <t>7818-21318</t>
  </si>
  <si>
    <t>7818-26510</t>
  </si>
  <si>
    <t>Option indicated not part of selection</t>
  </si>
  <si>
    <t>7818-26503</t>
  </si>
  <si>
    <t>7818-16250</t>
  </si>
  <si>
    <t>741051</t>
  </si>
  <si>
    <t>2/22/23-1:39pm</t>
  </si>
  <si>
    <t>7818-10382</t>
  </si>
  <si>
    <t>871083</t>
  </si>
  <si>
    <t>7818-20641</t>
  </si>
  <si>
    <t>7818-15757</t>
  </si>
  <si>
    <t>2/22/23-3:06pm</t>
  </si>
  <si>
    <t>7823-03369</t>
  </si>
  <si>
    <t>693032</t>
  </si>
  <si>
    <t>4:06pm</t>
  </si>
  <si>
    <t>2/24/23-10:48am</t>
  </si>
  <si>
    <t>7823-02021</t>
  </si>
  <si>
    <t>427308</t>
  </si>
  <si>
    <t>4:08pm</t>
  </si>
  <si>
    <t>7823-02020</t>
  </si>
  <si>
    <t>358004</t>
  </si>
  <si>
    <t>2/24/23-10:49am</t>
  </si>
  <si>
    <t>7824-00342</t>
  </si>
  <si>
    <t>7824-00348</t>
  </si>
  <si>
    <t>7824-00292</t>
  </si>
  <si>
    <t>497025</t>
  </si>
  <si>
    <t>2/24/23-4:10pm</t>
  </si>
  <si>
    <t>7818-10383</t>
  </si>
  <si>
    <t>7818-26175</t>
  </si>
  <si>
    <t>2/24/23-4:11pm</t>
  </si>
  <si>
    <t>7823-02158</t>
  </si>
  <si>
    <t>M38233</t>
  </si>
  <si>
    <t>7819-00347</t>
  </si>
  <si>
    <t>494126</t>
  </si>
  <si>
    <t>7812-3550</t>
  </si>
  <si>
    <t>012167</t>
  </si>
  <si>
    <t>7812-03296</t>
  </si>
  <si>
    <t>7812-3780</t>
  </si>
  <si>
    <t>7812-3775</t>
  </si>
  <si>
    <t>289098</t>
  </si>
  <si>
    <t>7812-3604</t>
  </si>
  <si>
    <t>7812-3603</t>
  </si>
  <si>
    <t>7812-03339</t>
  </si>
  <si>
    <t>7812-3772</t>
  </si>
  <si>
    <t>11:44am</t>
  </si>
  <si>
    <t>7812-02075</t>
  </si>
  <si>
    <t>7812-03474</t>
  </si>
  <si>
    <t>498085</t>
  </si>
  <si>
    <t>7812-03469</t>
  </si>
  <si>
    <t>7823-03037</t>
  </si>
  <si>
    <t>628029</t>
  </si>
  <si>
    <t>3:49pm</t>
  </si>
  <si>
    <t>2/24/23-4:12pm</t>
  </si>
  <si>
    <t>7818-26180</t>
  </si>
  <si>
    <t>812097</t>
  </si>
  <si>
    <t>7818-26901</t>
  </si>
  <si>
    <t>7818-15481</t>
  </si>
  <si>
    <t>7818-26504</t>
  </si>
  <si>
    <t>7818-22378</t>
  </si>
  <si>
    <t>7818-25154</t>
  </si>
  <si>
    <t>777129</t>
  </si>
  <si>
    <t>7818-27029</t>
  </si>
  <si>
    <t>323012</t>
  </si>
  <si>
    <t>4:50pm</t>
  </si>
  <si>
    <t>7818-16215</t>
  </si>
  <si>
    <t>189154</t>
  </si>
  <si>
    <t>2/27/23-9:36am</t>
  </si>
  <si>
    <t>7810-01568</t>
  </si>
  <si>
    <t>511161</t>
  </si>
  <si>
    <t>2/27/23-9:37am</t>
  </si>
  <si>
    <t>7818-23981</t>
  </si>
  <si>
    <t>027042</t>
  </si>
  <si>
    <t>7818-10389</t>
  </si>
  <si>
    <t>7818-25351</t>
  </si>
  <si>
    <t>7823-02676</t>
  </si>
  <si>
    <t>Grey</t>
  </si>
  <si>
    <t>M41180</t>
  </si>
  <si>
    <t>7823-02678</t>
  </si>
  <si>
    <t>2/27/23-9:38am</t>
  </si>
  <si>
    <t>7818-26181</t>
  </si>
  <si>
    <t>4:17pm</t>
  </si>
  <si>
    <t>3/2/23-12:53pm</t>
  </si>
  <si>
    <t>7810-00594</t>
  </si>
  <si>
    <t>869013</t>
  </si>
  <si>
    <t>3:14pm</t>
  </si>
  <si>
    <t>7818-19566</t>
  </si>
  <si>
    <t>466004</t>
  </si>
  <si>
    <t>7818-25179</t>
  </si>
  <si>
    <t>7818-25236</t>
  </si>
  <si>
    <t>674157</t>
  </si>
  <si>
    <t>7818-27524</t>
  </si>
  <si>
    <t>5:00pm</t>
  </si>
  <si>
    <t>3/2/23-12:54pm</t>
  </si>
  <si>
    <t>7818-26034</t>
  </si>
  <si>
    <t>964017</t>
  </si>
  <si>
    <t>7823-02839</t>
  </si>
  <si>
    <t>314916</t>
  </si>
  <si>
    <t>3/2/23-12:55pm</t>
  </si>
  <si>
    <t>7818-25172</t>
  </si>
  <si>
    <t>474026</t>
  </si>
  <si>
    <t>7818-18747</t>
  </si>
  <si>
    <t>376027</t>
  </si>
  <si>
    <t>7818-27182</t>
  </si>
  <si>
    <t>3/2/23-12:57pm</t>
  </si>
  <si>
    <t>7818-17833</t>
  </si>
  <si>
    <t>658755</t>
  </si>
  <si>
    <t>7818-05532</t>
  </si>
  <si>
    <t>2:56pm</t>
  </si>
  <si>
    <t>7818-18031</t>
  </si>
  <si>
    <t>784006</t>
  </si>
  <si>
    <t>6:51am</t>
  </si>
  <si>
    <t>3/7/23-3:35pm</t>
  </si>
  <si>
    <t>7818-10390</t>
  </si>
  <si>
    <t>148043</t>
  </si>
  <si>
    <t>7818-23452</t>
  </si>
  <si>
    <t>3/7/23-3:36pm</t>
  </si>
  <si>
    <t>7818-12696</t>
  </si>
  <si>
    <t>144114</t>
  </si>
  <si>
    <t>7818-19876</t>
  </si>
  <si>
    <t>199345</t>
  </si>
  <si>
    <t>3/10/23-11:36am</t>
  </si>
  <si>
    <t>7810-01775</t>
  </si>
  <si>
    <t>7812-3605</t>
  </si>
  <si>
    <t>7812-3779</t>
  </si>
  <si>
    <t>3/14/23-11:41am</t>
  </si>
  <si>
    <t>7823-02659</t>
  </si>
  <si>
    <t>121019</t>
  </si>
  <si>
    <t>7823-02664</t>
  </si>
  <si>
    <t>121010</t>
  </si>
  <si>
    <t>7818-26083</t>
  </si>
  <si>
    <t>7818-07179</t>
  </si>
  <si>
    <t>808015</t>
  </si>
  <si>
    <t>7818-27526</t>
  </si>
  <si>
    <t>753020</t>
  </si>
  <si>
    <t>6:56am</t>
  </si>
  <si>
    <t>3/10/23-11:37am</t>
  </si>
  <si>
    <t>7823-03324</t>
  </si>
  <si>
    <t>M24113</t>
  </si>
  <si>
    <t>3/10/23-11:39am</t>
  </si>
  <si>
    <t>7818-25352</t>
  </si>
  <si>
    <t>834261</t>
  </si>
  <si>
    <t>7818-21689</t>
  </si>
  <si>
    <t>7818-26169</t>
  </si>
  <si>
    <t>900031</t>
  </si>
  <si>
    <t>2:40pm</t>
  </si>
  <si>
    <t>3/10/23-11:38am</t>
  </si>
  <si>
    <t>7824-00379</t>
  </si>
  <si>
    <t>3/14/23-11:40am</t>
  </si>
  <si>
    <t>7818-26652</t>
  </si>
  <si>
    <t>471058</t>
  </si>
  <si>
    <t>7818-18049</t>
  </si>
  <si>
    <t>538041</t>
  </si>
  <si>
    <t>7818-09724</t>
  </si>
  <si>
    <t>7818-26578</t>
  </si>
  <si>
    <t>242031</t>
  </si>
  <si>
    <t>7818-27164</t>
  </si>
  <si>
    <t>7818-25178</t>
  </si>
  <si>
    <t>002076</t>
  </si>
  <si>
    <t>7818-26184</t>
  </si>
  <si>
    <t>3/14/23-11:42am</t>
  </si>
  <si>
    <t>7818-24301</t>
  </si>
  <si>
    <t>7818-11551</t>
  </si>
  <si>
    <t>7818-25751</t>
  </si>
  <si>
    <t>11:05am</t>
  </si>
  <si>
    <t>7818-21782</t>
  </si>
  <si>
    <t>895001</t>
  </si>
  <si>
    <t>7818-20131</t>
  </si>
  <si>
    <t>703786</t>
  </si>
  <si>
    <t>3/14/23-11:43am</t>
  </si>
  <si>
    <t>397203</t>
  </si>
  <si>
    <t>3/14/23-11:44am</t>
  </si>
  <si>
    <t>7818-14541</t>
  </si>
  <si>
    <t>531000</t>
  </si>
  <si>
    <t>7818-19392</t>
  </si>
  <si>
    <t>498055</t>
  </si>
  <si>
    <t>7818-25343</t>
  </si>
  <si>
    <t>Clear</t>
  </si>
  <si>
    <t>690079</t>
  </si>
  <si>
    <t>7818-25342</t>
  </si>
  <si>
    <t>964493</t>
  </si>
  <si>
    <t>7818-25347</t>
  </si>
  <si>
    <t>964494</t>
  </si>
  <si>
    <t>3/14/23-11:45am</t>
  </si>
  <si>
    <t>7824-00350</t>
  </si>
  <si>
    <t>7824-00352</t>
  </si>
  <si>
    <t>247129</t>
  </si>
  <si>
    <t>7824-00351</t>
  </si>
  <si>
    <t>869446</t>
  </si>
  <si>
    <t>7824-00380</t>
  </si>
  <si>
    <t>6:20am</t>
  </si>
  <si>
    <t>3/14/23-5:46pm</t>
  </si>
  <si>
    <t>7811-00323</t>
  </si>
  <si>
    <t>912027</t>
  </si>
  <si>
    <t>6:22am</t>
  </si>
  <si>
    <t>7811-00250</t>
  </si>
  <si>
    <t>3/14/23-5:47pm</t>
  </si>
  <si>
    <t>7818-2426</t>
  </si>
  <si>
    <t>843113</t>
  </si>
  <si>
    <t>7818-09442</t>
  </si>
  <si>
    <t>079018</t>
  </si>
  <si>
    <t>7818-26520</t>
  </si>
  <si>
    <t>148039</t>
  </si>
  <si>
    <t>7818-25638</t>
  </si>
  <si>
    <t>3/14/23-11:22am</t>
  </si>
  <si>
    <t>7818-10391</t>
  </si>
  <si>
    <t>7818-26744</t>
  </si>
  <si>
    <t>7818-24660</t>
  </si>
  <si>
    <t>557078</t>
  </si>
  <si>
    <t>7818-19118</t>
  </si>
  <si>
    <t>615001</t>
  </si>
  <si>
    <t>7818-17575</t>
  </si>
  <si>
    <t>597079</t>
  </si>
  <si>
    <t>7818-24803</t>
  </si>
  <si>
    <t>7818-07525</t>
  </si>
  <si>
    <t>4:23pm</t>
  </si>
  <si>
    <t>3/14/23-11:23am</t>
  </si>
  <si>
    <t>7818-10392</t>
  </si>
  <si>
    <t>7818-26183</t>
  </si>
  <si>
    <t>597071</t>
  </si>
  <si>
    <t>3/15/23-3:13pm</t>
  </si>
  <si>
    <t>7818-19946</t>
  </si>
  <si>
    <t>7818-21709</t>
  </si>
  <si>
    <t>596103</t>
  </si>
  <si>
    <t>7818-24261</t>
  </si>
  <si>
    <t>7823-02734</t>
  </si>
  <si>
    <t>333029</t>
  </si>
  <si>
    <t>3/15/23-3:14pm</t>
  </si>
  <si>
    <t>7818-21684</t>
  </si>
  <si>
    <t>211040</t>
  </si>
  <si>
    <t>7818-25304</t>
  </si>
  <si>
    <t>679000</t>
  </si>
  <si>
    <t>7823-02840</t>
  </si>
  <si>
    <t>000064</t>
  </si>
  <si>
    <t>7823-02441</t>
  </si>
  <si>
    <t>610006</t>
  </si>
  <si>
    <t>7823-03371</t>
  </si>
  <si>
    <t>990006</t>
  </si>
  <si>
    <t>7823-03372</t>
  </si>
  <si>
    <t>726143</t>
  </si>
  <si>
    <t>7823-03370</t>
  </si>
  <si>
    <t>029047</t>
  </si>
  <si>
    <t>7823-03368</t>
  </si>
  <si>
    <t>281684</t>
  </si>
  <si>
    <t>1:37am</t>
  </si>
  <si>
    <t>7818-21914</t>
  </si>
  <si>
    <t>7818-19675</t>
  </si>
  <si>
    <t>033006</t>
  </si>
  <si>
    <t>7818-20699</t>
  </si>
  <si>
    <t>274451</t>
  </si>
  <si>
    <t>7818-22416</t>
  </si>
  <si>
    <t>7818-26189</t>
  </si>
  <si>
    <t>327205</t>
  </si>
  <si>
    <t>7818-24657</t>
  </si>
  <si>
    <t>138037</t>
  </si>
  <si>
    <t>7818-26912</t>
  </si>
  <si>
    <t>3/15/23-3:17pm</t>
  </si>
  <si>
    <t>7818-27178</t>
  </si>
  <si>
    <t>673070</t>
  </si>
  <si>
    <t>3/15/23-3:18pm</t>
  </si>
  <si>
    <t>7818-25184</t>
  </si>
  <si>
    <t>824075</t>
  </si>
  <si>
    <t>7818-13099</t>
  </si>
  <si>
    <t>7812-3930</t>
  </si>
  <si>
    <t>557034</t>
  </si>
  <si>
    <t>7812-02080</t>
  </si>
  <si>
    <t>696024</t>
  </si>
  <si>
    <t>7818-14946</t>
  </si>
  <si>
    <t>7818-16914</t>
  </si>
  <si>
    <t>3/22/23-3:36pm</t>
  </si>
  <si>
    <t>7818-25733</t>
  </si>
  <si>
    <t>7818-21886</t>
  </si>
  <si>
    <t>017083</t>
  </si>
  <si>
    <t>7818-06526</t>
  </si>
  <si>
    <t>7823-02279</t>
  </si>
  <si>
    <t>3/22/23-3:37pm</t>
  </si>
  <si>
    <t>7818-27130</t>
  </si>
  <si>
    <t>7812-3663</t>
  </si>
  <si>
    <t>887405</t>
  </si>
  <si>
    <t>210023</t>
  </si>
  <si>
    <t>7812-03492</t>
  </si>
  <si>
    <t>521087</t>
  </si>
  <si>
    <t>7812-01211</t>
  </si>
  <si>
    <t>424009</t>
  </si>
  <si>
    <t>7812-01204</t>
  </si>
  <si>
    <t>724007</t>
  </si>
  <si>
    <t>7810-01833</t>
  </si>
  <si>
    <t>450098</t>
  </si>
  <si>
    <t>7810-01871</t>
  </si>
  <si>
    <t>322431</t>
  </si>
  <si>
    <t>7810-01826</t>
  </si>
  <si>
    <t>928019</t>
  </si>
  <si>
    <t>7810-01814</t>
  </si>
  <si>
    <t>780069</t>
  </si>
  <si>
    <t>7810-01831</t>
  </si>
  <si>
    <t>471080</t>
  </si>
  <si>
    <t>7810-01870</t>
  </si>
  <si>
    <t>937536</t>
  </si>
  <si>
    <t>3/22/23-3:38pm</t>
  </si>
  <si>
    <t>7818-26154</t>
  </si>
  <si>
    <t>7818-21758</t>
  </si>
  <si>
    <t>7818-18748</t>
  </si>
  <si>
    <t>091027</t>
  </si>
  <si>
    <t>3/23/23-3:50pm</t>
  </si>
  <si>
    <t>7818-22413</t>
  </si>
  <si>
    <t>104236</t>
  </si>
  <si>
    <t>7818-25325</t>
  </si>
  <si>
    <t>189087</t>
  </si>
  <si>
    <t>7818-25193</t>
  </si>
  <si>
    <t>3/23/23-3:51pm</t>
  </si>
  <si>
    <t>7818-25032</t>
  </si>
  <si>
    <t>7818-25333</t>
  </si>
  <si>
    <t>869104</t>
  </si>
  <si>
    <t>3/23/23-3:52pm</t>
  </si>
  <si>
    <t>7810-01569</t>
  </si>
  <si>
    <t>134001</t>
  </si>
  <si>
    <t>7810-01882</t>
  </si>
  <si>
    <t>01935</t>
  </si>
  <si>
    <t>7810-01884</t>
  </si>
  <si>
    <t>522053</t>
  </si>
  <si>
    <t>7810-01879</t>
  </si>
  <si>
    <t>887082</t>
  </si>
  <si>
    <t>7810-01809</t>
  </si>
  <si>
    <t>7810-01886</t>
  </si>
  <si>
    <t>127060</t>
  </si>
  <si>
    <t>3/24/23-11:30am</t>
  </si>
  <si>
    <t>7818-20689</t>
  </si>
  <si>
    <t>750822</t>
  </si>
  <si>
    <t>7818-25391</t>
  </si>
  <si>
    <t>7818-16289</t>
  </si>
  <si>
    <t>663041</t>
  </si>
  <si>
    <t>7823-02539</t>
  </si>
  <si>
    <t>B08952</t>
  </si>
  <si>
    <t>7823-02549</t>
  </si>
  <si>
    <t>B06372</t>
  </si>
  <si>
    <t>7823-02550</t>
  </si>
  <si>
    <t>B08476</t>
  </si>
  <si>
    <t>3/24/23-11:31am</t>
  </si>
  <si>
    <t>7818-15947</t>
  </si>
  <si>
    <t>7818-16915</t>
  </si>
  <si>
    <t>7818-29809</t>
  </si>
  <si>
    <t>7818-17412</t>
  </si>
  <si>
    <t>628004</t>
  </si>
  <si>
    <t>7818-25735</t>
  </si>
  <si>
    <t>7818-10674</t>
  </si>
  <si>
    <t>3/24/23-11:32am</t>
  </si>
  <si>
    <t>7812-3788</t>
  </si>
  <si>
    <t>7812-3785</t>
  </si>
  <si>
    <t>7812-03347</t>
  </si>
  <si>
    <t>7812-02076</t>
  </si>
  <si>
    <t>046018</t>
  </si>
  <si>
    <t>10:28am</t>
  </si>
  <si>
    <t>7812-12795</t>
  </si>
  <si>
    <t>7818-26192</t>
  </si>
  <si>
    <t>7818-25395</t>
  </si>
  <si>
    <t>11:27pm</t>
  </si>
  <si>
    <t>3/24/23-11:33am</t>
  </si>
  <si>
    <t>7823-02281</t>
  </si>
  <si>
    <t>M46210</t>
  </si>
  <si>
    <t>7823-02903</t>
  </si>
  <si>
    <t>702840</t>
  </si>
  <si>
    <t>3/29/23-12:34pm</t>
  </si>
  <si>
    <t>7818-21960</t>
  </si>
  <si>
    <t>859104</t>
  </si>
  <si>
    <t>7818-25189</t>
  </si>
  <si>
    <t>7818-25398</t>
  </si>
  <si>
    <t>271041</t>
  </si>
  <si>
    <t>3/29/23-12:35pm</t>
  </si>
  <si>
    <t>7810-01776</t>
  </si>
  <si>
    <t>552135</t>
  </si>
  <si>
    <t>7810-01829</t>
  </si>
  <si>
    <t>107858</t>
  </si>
  <si>
    <t>7810-00091</t>
  </si>
  <si>
    <t>7810-01570</t>
  </si>
  <si>
    <t>497028</t>
  </si>
  <si>
    <t>7810-00099</t>
  </si>
  <si>
    <t>473705</t>
  </si>
  <si>
    <t>7818-24614</t>
  </si>
  <si>
    <t>355531</t>
  </si>
  <si>
    <t>7818-10824</t>
  </si>
  <si>
    <t>3/29/23-12:36pm</t>
  </si>
  <si>
    <t>7818-10386</t>
  </si>
  <si>
    <t>7818-24633</t>
  </si>
  <si>
    <t>633066</t>
  </si>
  <si>
    <t>7818-24663</t>
  </si>
  <si>
    <t>686058</t>
  </si>
  <si>
    <t>7818-24665</t>
  </si>
  <si>
    <t>615119</t>
  </si>
  <si>
    <t>7818-24667</t>
  </si>
  <si>
    <t>434511</t>
  </si>
  <si>
    <t>3/31/23:9:57am</t>
  </si>
  <si>
    <t>7811-00196</t>
  </si>
  <si>
    <t>817056</t>
  </si>
  <si>
    <t>7811-00312</t>
  </si>
  <si>
    <t>858004</t>
  </si>
  <si>
    <t>not indicated</t>
  </si>
  <si>
    <t>7811-00306</t>
  </si>
  <si>
    <t>224019</t>
  </si>
  <si>
    <t>7811-00322</t>
  </si>
  <si>
    <t>427306</t>
  </si>
  <si>
    <t>not an option</t>
  </si>
  <si>
    <t>3/31/23-9:56am</t>
  </si>
  <si>
    <t>7823-03329</t>
  </si>
  <si>
    <t>M34034</t>
  </si>
  <si>
    <t>7812-02945</t>
  </si>
  <si>
    <t>230026</t>
  </si>
  <si>
    <t>7812-03494</t>
  </si>
  <si>
    <t>367881</t>
  </si>
  <si>
    <t>3/31/23-9:55am</t>
  </si>
  <si>
    <t>7812-3852</t>
  </si>
  <si>
    <t>474005</t>
  </si>
  <si>
    <t>7818-02736</t>
  </si>
  <si>
    <t>647034</t>
  </si>
  <si>
    <t>5:14pm</t>
  </si>
  <si>
    <t>7823-02282</t>
  </si>
  <si>
    <t>4/3/23-2:37pm</t>
  </si>
  <si>
    <t>4:16pm</t>
  </si>
  <si>
    <t>4/3/23-2:38pm</t>
  </si>
  <si>
    <t>7818-18719</t>
  </si>
  <si>
    <t>190058</t>
  </si>
  <si>
    <t>7818-23034</t>
  </si>
  <si>
    <t>7818-25399</t>
  </si>
  <si>
    <t>573066</t>
  </si>
  <si>
    <t>7818-26096</t>
  </si>
  <si>
    <t>7818-24941</t>
  </si>
  <si>
    <t>151039</t>
  </si>
  <si>
    <t>7818-03993</t>
  </si>
  <si>
    <t>472070</t>
  </si>
  <si>
    <t>7818-26073</t>
  </si>
  <si>
    <t>7818-23360</t>
  </si>
  <si>
    <t>005630</t>
  </si>
  <si>
    <t>4/3/23-2:39pm</t>
  </si>
  <si>
    <t>7818-26607</t>
  </si>
  <si>
    <t>342012</t>
  </si>
  <si>
    <t>7818-20237</t>
  </si>
  <si>
    <t>4/3/23-2:40pm</t>
  </si>
  <si>
    <t>7818-24662</t>
  </si>
  <si>
    <t>743173</t>
  </si>
  <si>
    <t>4/3/23-2:52pm</t>
  </si>
  <si>
    <t>7810-01888</t>
  </si>
  <si>
    <t>757740</t>
  </si>
  <si>
    <t>7810-01773</t>
  </si>
  <si>
    <t>7810-01835</t>
  </si>
  <si>
    <t>677024</t>
  </si>
  <si>
    <t>7818-27170</t>
  </si>
  <si>
    <t>7818-12695</t>
  </si>
  <si>
    <t>7818-16913</t>
  </si>
  <si>
    <t>7818-01597</t>
  </si>
  <si>
    <t>750162</t>
  </si>
  <si>
    <t>7818-25376</t>
  </si>
  <si>
    <t>737085</t>
  </si>
  <si>
    <t>7818-29773</t>
  </si>
  <si>
    <t>618037</t>
  </si>
  <si>
    <t>4/3/23-2:53pm</t>
  </si>
  <si>
    <t>7818-23507</t>
  </si>
  <si>
    <t>7818-29763</t>
  </si>
  <si>
    <t>7818-25397</t>
  </si>
  <si>
    <t>7818-29764</t>
  </si>
  <si>
    <t>4/3/23-2:54pm</t>
  </si>
  <si>
    <t>7818-29843</t>
  </si>
  <si>
    <t>7818-22216</t>
  </si>
  <si>
    <t>346084</t>
  </si>
  <si>
    <t>7818-29844</t>
  </si>
  <si>
    <t>Re-male</t>
  </si>
  <si>
    <t>4/4/23-3:07pm</t>
  </si>
  <si>
    <t>7818-26741</t>
  </si>
  <si>
    <t>662107</t>
  </si>
  <si>
    <t>7812-3662</t>
  </si>
  <si>
    <t>523095</t>
  </si>
  <si>
    <t>7818-24284</t>
  </si>
  <si>
    <t>312047</t>
  </si>
  <si>
    <t>7818-26978</t>
  </si>
  <si>
    <t>4/4/23-3:08pm</t>
  </si>
  <si>
    <t>7818-29765</t>
  </si>
  <si>
    <t>7818-26574</t>
  </si>
  <si>
    <t>7818-17244</t>
  </si>
  <si>
    <t>7818-18012</t>
  </si>
  <si>
    <t>4/4/23-3:09pm</t>
  </si>
  <si>
    <t>7818-18770</t>
  </si>
  <si>
    <t>644040</t>
  </si>
  <si>
    <t>4/4/23-4:38pm</t>
  </si>
  <si>
    <t>7810-01805</t>
  </si>
  <si>
    <t>7818-25489</t>
  </si>
  <si>
    <t>604040</t>
  </si>
  <si>
    <t>7818-25388</t>
  </si>
  <si>
    <t>001166</t>
  </si>
  <si>
    <t>7818-24716</t>
  </si>
  <si>
    <t>424274</t>
  </si>
  <si>
    <t>7818-15316</t>
  </si>
  <si>
    <t>557056</t>
  </si>
  <si>
    <t>7818-23250</t>
  </si>
  <si>
    <t>970142</t>
  </si>
  <si>
    <t>7824-00366</t>
  </si>
  <si>
    <t>7824-00364</t>
  </si>
  <si>
    <t>575864</t>
  </si>
  <si>
    <t>7824-00365</t>
  </si>
  <si>
    <t>699059</t>
  </si>
  <si>
    <t>7824-00367</t>
  </si>
  <si>
    <t>Steven Helms</t>
  </si>
  <si>
    <t>382009</t>
  </si>
  <si>
    <t>7824-00368</t>
  </si>
  <si>
    <t>088090</t>
  </si>
  <si>
    <t>7824-00403</t>
  </si>
  <si>
    <t>7824-00404</t>
  </si>
  <si>
    <t>30932</t>
  </si>
  <si>
    <t>7824-00406</t>
  </si>
  <si>
    <t>7824-00405</t>
  </si>
  <si>
    <t>756058</t>
  </si>
  <si>
    <t>7824-00407</t>
  </si>
  <si>
    <t>388098</t>
  </si>
  <si>
    <t>7824-00369</t>
  </si>
  <si>
    <t>729012</t>
  </si>
  <si>
    <t>7824-00408</t>
  </si>
  <si>
    <t>913038</t>
  </si>
  <si>
    <t>7824-00383</t>
  </si>
  <si>
    <t>391244</t>
  </si>
  <si>
    <t>7824-00401</t>
  </si>
  <si>
    <t>866002</t>
  </si>
  <si>
    <t>7824-00384</t>
  </si>
  <si>
    <t>554937</t>
  </si>
  <si>
    <t>7824-00363</t>
  </si>
  <si>
    <t>7824-00385</t>
  </si>
  <si>
    <t>M35845</t>
  </si>
  <si>
    <t>7824-00382</t>
  </si>
  <si>
    <t>M33829</t>
  </si>
  <si>
    <t>7824-00386</t>
  </si>
  <si>
    <t>4/4/23-4:39pm</t>
  </si>
  <si>
    <t>7812-3856</t>
  </si>
  <si>
    <t>777093</t>
  </si>
  <si>
    <t>7812-03370</t>
  </si>
  <si>
    <t>566133</t>
  </si>
  <si>
    <t>7812-3583</t>
  </si>
  <si>
    <t>612539</t>
  </si>
  <si>
    <t>7812-3789</t>
  </si>
  <si>
    <t>4/4/23-4:40pm</t>
  </si>
  <si>
    <t>7818-2506</t>
  </si>
  <si>
    <t>435056</t>
  </si>
  <si>
    <t>7:39am</t>
  </si>
  <si>
    <t>7812-3938</t>
  </si>
  <si>
    <t>7818-29859</t>
  </si>
  <si>
    <t>4/5/23-12:05pm</t>
  </si>
  <si>
    <t>7818-21698</t>
  </si>
  <si>
    <t>233007</t>
  </si>
  <si>
    <t>7818-26194</t>
  </si>
  <si>
    <t>261494</t>
  </si>
  <si>
    <t>7818-26573</t>
  </si>
  <si>
    <t>102006</t>
  </si>
  <si>
    <t>7818-23055</t>
  </si>
  <si>
    <t>339010</t>
  </si>
  <si>
    <t>7818-23049</t>
  </si>
  <si>
    <t>7818-23522</t>
  </si>
  <si>
    <t>383068</t>
  </si>
  <si>
    <t>7818-14955</t>
  </si>
  <si>
    <t>428166</t>
  </si>
  <si>
    <t>7818-29766</t>
  </si>
  <si>
    <t>7818-14956</t>
  </si>
  <si>
    <t>612021</t>
  </si>
  <si>
    <t>7818-29767</t>
  </si>
  <si>
    <t>624055</t>
  </si>
  <si>
    <t>7818-23105</t>
  </si>
  <si>
    <t>609082</t>
  </si>
  <si>
    <t>4/5/23-12:06pm</t>
  </si>
  <si>
    <t>7818-07116</t>
  </si>
  <si>
    <t>7818-26549</t>
  </si>
  <si>
    <t>159014</t>
  </si>
  <si>
    <t>7818-26548</t>
  </si>
  <si>
    <t>218029</t>
  </si>
  <si>
    <t>4/5/23-12:07pm</t>
  </si>
  <si>
    <t>7823-02042</t>
  </si>
  <si>
    <t>914000</t>
  </si>
  <si>
    <t>7812-02947</t>
  </si>
  <si>
    <t>7812-3746</t>
  </si>
  <si>
    <t>4/5/23-12:08pm</t>
  </si>
  <si>
    <t>7818-22248</t>
  </si>
  <si>
    <t>269050</t>
  </si>
  <si>
    <t>7818-10776</t>
  </si>
  <si>
    <t>7818-21917</t>
  </si>
  <si>
    <t>4/6/23-3:23pm</t>
  </si>
  <si>
    <t>7818-13883</t>
  </si>
  <si>
    <t>7818-25353</t>
  </si>
  <si>
    <t>7818-29886</t>
  </si>
  <si>
    <t>4/6/23-3:24pm</t>
  </si>
  <si>
    <t>7823-02774</t>
  </si>
  <si>
    <t>M34198</t>
  </si>
  <si>
    <t>7818-10393</t>
  </si>
  <si>
    <t>4/7/23-11:57am</t>
  </si>
  <si>
    <t>7823-01242</t>
  </si>
  <si>
    <t>684008</t>
  </si>
  <si>
    <t>7812-01730</t>
  </si>
  <si>
    <t>4/7/23-11:58am</t>
  </si>
  <si>
    <t>7810-01820</t>
  </si>
  <si>
    <t>149098</t>
  </si>
  <si>
    <t>7810-01877</t>
  </si>
  <si>
    <t>917137</t>
  </si>
  <si>
    <t>7810-01577</t>
  </si>
  <si>
    <t>421032</t>
  </si>
  <si>
    <t>7810-01541</t>
  </si>
  <si>
    <t>916106</t>
  </si>
  <si>
    <t>7810-3670</t>
  </si>
  <si>
    <t>658360</t>
  </si>
  <si>
    <t>7818-24521</t>
  </si>
  <si>
    <t>583019</t>
  </si>
  <si>
    <t>7818-26654</t>
  </si>
  <si>
    <t>7815-00105</t>
  </si>
  <si>
    <t>003296</t>
  </si>
  <si>
    <t>7815-00101</t>
  </si>
  <si>
    <t>523157</t>
  </si>
  <si>
    <t>4/7/23-12:20pm</t>
  </si>
  <si>
    <t>7815-00106</t>
  </si>
  <si>
    <t>128452</t>
  </si>
  <si>
    <t>7815-00038</t>
  </si>
  <si>
    <t>722217</t>
  </si>
  <si>
    <t>7818-26038</t>
  </si>
  <si>
    <t>757655</t>
  </si>
  <si>
    <t>6:54am</t>
  </si>
  <si>
    <t>4/11/23-2:20pm</t>
  </si>
  <si>
    <t>7818-21217</t>
  </si>
  <si>
    <t>4/11/23-2:21pm</t>
  </si>
  <si>
    <t>7818-22418</t>
  </si>
  <si>
    <t>7818-17692</t>
  </si>
  <si>
    <t>759137</t>
  </si>
  <si>
    <t>7818-29768</t>
  </si>
  <si>
    <t>536029</t>
  </si>
  <si>
    <t>7818-29769</t>
  </si>
  <si>
    <t>884038</t>
  </si>
  <si>
    <t>7818-24209</t>
  </si>
  <si>
    <t>067066</t>
  </si>
  <si>
    <t>7818-26170</t>
  </si>
  <si>
    <t>127109</t>
  </si>
  <si>
    <t>7818-20159</t>
  </si>
  <si>
    <t>7823-02809</t>
  </si>
  <si>
    <t>7812-3853</t>
  </si>
  <si>
    <t>4/12/23-12:13pm</t>
  </si>
  <si>
    <t>7812-02946</t>
  </si>
  <si>
    <t>7818-21699</t>
  </si>
  <si>
    <t>7818-08752</t>
  </si>
  <si>
    <t>842089</t>
  </si>
  <si>
    <t>7818-25944</t>
  </si>
  <si>
    <t>450267</t>
  </si>
  <si>
    <t>7818-27319</t>
  </si>
  <si>
    <t>576059</t>
  </si>
  <si>
    <t>4/12/23-12:14pm</t>
  </si>
  <si>
    <t>7810-00010</t>
  </si>
  <si>
    <t>7810-01895</t>
  </si>
  <si>
    <t>494022</t>
  </si>
  <si>
    <t>7810-01851</t>
  </si>
  <si>
    <t>7810-18966</t>
  </si>
  <si>
    <t>181966</t>
  </si>
  <si>
    <t>7810-01206</t>
  </si>
  <si>
    <t>988114</t>
  </si>
  <si>
    <t>4/12/23-12:15pm</t>
  </si>
  <si>
    <t>7823-03026</t>
  </si>
  <si>
    <t>479006</t>
  </si>
  <si>
    <t>7818-29401</t>
  </si>
  <si>
    <t>7818-21251</t>
  </si>
  <si>
    <t>432317</t>
  </si>
  <si>
    <t>7818-27309</t>
  </si>
  <si>
    <t>484008</t>
  </si>
  <si>
    <t>7818-29402</t>
  </si>
  <si>
    <t>4/12/23-12:16pm</t>
  </si>
  <si>
    <t>7818-22023</t>
  </si>
  <si>
    <t>032003</t>
  </si>
  <si>
    <t>7818-15603</t>
  </si>
  <si>
    <t>4/12/23-2:49pm</t>
  </si>
  <si>
    <t>7818-15458</t>
  </si>
  <si>
    <t>457030</t>
  </si>
  <si>
    <t>7810-01578</t>
  </si>
  <si>
    <t>525094</t>
  </si>
  <si>
    <t>7810-01900</t>
  </si>
  <si>
    <t>891246</t>
  </si>
  <si>
    <t>7810-01412</t>
  </si>
  <si>
    <t>900098</t>
  </si>
  <si>
    <t>7810-01894</t>
  </si>
  <si>
    <t>4/12/23-2:50pm</t>
  </si>
  <si>
    <t>7818-24288</t>
  </si>
  <si>
    <t>878076</t>
  </si>
  <si>
    <t>7818-26171</t>
  </si>
  <si>
    <t>878073</t>
  </si>
  <si>
    <t>4/12/23-3:49pm</t>
  </si>
  <si>
    <t>7818-17394</t>
  </si>
  <si>
    <t>512220</t>
  </si>
  <si>
    <t>7818-25197</t>
  </si>
  <si>
    <t>7818-22469</t>
  </si>
  <si>
    <t>7818-12700</t>
  </si>
  <si>
    <t>6:06pm</t>
  </si>
  <si>
    <t>7818-29403</t>
  </si>
  <si>
    <t>084058</t>
  </si>
  <si>
    <t>4/12/23-3:50pm</t>
  </si>
  <si>
    <t>7818-26655</t>
  </si>
  <si>
    <t>7823-01663</t>
  </si>
  <si>
    <t>006077</t>
  </si>
  <si>
    <t>7818-29862</t>
  </si>
  <si>
    <t>466054</t>
  </si>
  <si>
    <t>7818-23781</t>
  </si>
  <si>
    <t>756318</t>
  </si>
  <si>
    <t>7818-17588</t>
  </si>
  <si>
    <t>756189</t>
  </si>
  <si>
    <t>7818-23314</t>
  </si>
  <si>
    <t>163003</t>
  </si>
  <si>
    <t>4/14/23-11:53am</t>
  </si>
  <si>
    <t>7:31am</t>
  </si>
  <si>
    <t>4/14/23-11:56am</t>
  </si>
  <si>
    <t>7818-11705</t>
  </si>
  <si>
    <t>7818-28335</t>
  </si>
  <si>
    <t>7810-01853</t>
  </si>
  <si>
    <t>7810-01897</t>
  </si>
  <si>
    <t>970678</t>
  </si>
  <si>
    <t>4/14/23-12:56pm</t>
  </si>
  <si>
    <t>7818-22668</t>
  </si>
  <si>
    <t>7818-20776</t>
  </si>
  <si>
    <t>703259</t>
  </si>
  <si>
    <t>7818-03992</t>
  </si>
  <si>
    <t>748005</t>
  </si>
  <si>
    <t>7818-01156</t>
  </si>
  <si>
    <t>7818-25356</t>
  </si>
  <si>
    <t>626008</t>
  </si>
  <si>
    <t>4/14/23-12:57pm</t>
  </si>
  <si>
    <t>7818-29441</t>
  </si>
  <si>
    <t>7818-29772</t>
  </si>
  <si>
    <t>7818-14649</t>
  </si>
  <si>
    <t>7818-25908</t>
  </si>
  <si>
    <t>561262</t>
  </si>
  <si>
    <t>7818-07086</t>
  </si>
  <si>
    <t>7818-07088</t>
  </si>
  <si>
    <t>523091</t>
  </si>
  <si>
    <t>4/18/23-10:04am</t>
  </si>
  <si>
    <t>7818-12664</t>
  </si>
  <si>
    <t>4/18/23-10:05am</t>
  </si>
  <si>
    <t>7812-03385</t>
  </si>
  <si>
    <t>645026</t>
  </si>
  <si>
    <t>7818-05508</t>
  </si>
  <si>
    <t>7818-19272</t>
  </si>
  <si>
    <t>342046</t>
  </si>
  <si>
    <t>4/18/23-11:55am</t>
  </si>
  <si>
    <t>7812-02208</t>
  </si>
  <si>
    <t>980941</t>
  </si>
  <si>
    <t>7812-00392</t>
  </si>
  <si>
    <t>7812-0308</t>
  </si>
  <si>
    <t>7812-03118</t>
  </si>
  <si>
    <t>439342</t>
  </si>
  <si>
    <t>7812-03117</t>
  </si>
  <si>
    <t>7812-00397</t>
  </si>
  <si>
    <t>036010</t>
  </si>
  <si>
    <t>7812-3752</t>
  </si>
  <si>
    <t>534752</t>
  </si>
  <si>
    <t>7812-01272</t>
  </si>
  <si>
    <t>524006</t>
  </si>
  <si>
    <t>7812-08752</t>
  </si>
  <si>
    <t>7818-11548</t>
  </si>
  <si>
    <t>7818-24324</t>
  </si>
  <si>
    <t>377034</t>
  </si>
  <si>
    <t>7818-03118</t>
  </si>
  <si>
    <t>261025</t>
  </si>
  <si>
    <t>7818-28383</t>
  </si>
  <si>
    <t>7818-24294</t>
  </si>
  <si>
    <t>176119</t>
  </si>
  <si>
    <t>7818-22981</t>
  </si>
  <si>
    <t>095154</t>
  </si>
  <si>
    <t>7818-10396</t>
  </si>
  <si>
    <t>7818-24457</t>
  </si>
  <si>
    <t>013129</t>
  </si>
  <si>
    <t>7818-25080</t>
  </si>
  <si>
    <t>7818-25120</t>
  </si>
  <si>
    <t>257011</t>
  </si>
  <si>
    <t>4/18/23-11:57am</t>
  </si>
  <si>
    <t>7824-00381</t>
  </si>
  <si>
    <t>4/18/23-12:50pm</t>
  </si>
  <si>
    <t>7818-29411</t>
  </si>
  <si>
    <t>M44949</t>
  </si>
  <si>
    <t>7818-24452</t>
  </si>
  <si>
    <t>513014</t>
  </si>
  <si>
    <t>4/18/23-12:51pm</t>
  </si>
  <si>
    <t>7818-19959</t>
  </si>
  <si>
    <t>856028</t>
  </si>
  <si>
    <t>6:42am</t>
  </si>
  <si>
    <t>4/19/23-9:45am</t>
  </si>
  <si>
    <t>7818-26190</t>
  </si>
  <si>
    <t>1284593</t>
  </si>
  <si>
    <t>7818-29863</t>
  </si>
  <si>
    <t>327307</t>
  </si>
  <si>
    <t>7818-22685</t>
  </si>
  <si>
    <t>4/19/23-9:49am</t>
  </si>
  <si>
    <t>7812-3846</t>
  </si>
  <si>
    <t>727124</t>
  </si>
  <si>
    <t>7812-3863</t>
  </si>
  <si>
    <t>4/19/23-9:50am</t>
  </si>
  <si>
    <t>7818-24299</t>
  </si>
  <si>
    <t>826238</t>
  </si>
  <si>
    <t>7818-07549</t>
  </si>
  <si>
    <t>803269</t>
  </si>
  <si>
    <t>7818-25335</t>
  </si>
  <si>
    <t>252080</t>
  </si>
  <si>
    <t>7818-21744</t>
  </si>
  <si>
    <t>7818-29448</t>
  </si>
  <si>
    <t>135036</t>
  </si>
  <si>
    <t>7818-10398</t>
  </si>
  <si>
    <t>840034</t>
  </si>
  <si>
    <t>7818-26141</t>
  </si>
  <si>
    <t>774616</t>
  </si>
  <si>
    <t>4/19/23-9:52am</t>
  </si>
  <si>
    <t>7818-10397</t>
  </si>
  <si>
    <t>914026</t>
  </si>
  <si>
    <t>7818-04213</t>
  </si>
  <si>
    <t>544434</t>
  </si>
  <si>
    <t>4/20/23-9:38am</t>
  </si>
  <si>
    <t>7818-25979</t>
  </si>
  <si>
    <t>472084</t>
  </si>
  <si>
    <t>7818-07834</t>
  </si>
  <si>
    <t>996166</t>
  </si>
  <si>
    <t>7818-15225</t>
  </si>
  <si>
    <t>530056</t>
  </si>
  <si>
    <t>7818-23258</t>
  </si>
  <si>
    <t>573040</t>
  </si>
  <si>
    <t>7818-08728</t>
  </si>
  <si>
    <t>245030</t>
  </si>
  <si>
    <t>7818-24828</t>
  </si>
  <si>
    <t>708043</t>
  </si>
  <si>
    <t>7818-29758</t>
  </si>
  <si>
    <t>212032</t>
  </si>
  <si>
    <t>7818-22686</t>
  </si>
  <si>
    <t>7818-18882</t>
  </si>
  <si>
    <t>7818-07647</t>
  </si>
  <si>
    <t>4/20/23-11:21am</t>
  </si>
  <si>
    <t>7823-01535</t>
  </si>
  <si>
    <t>B01221</t>
  </si>
  <si>
    <t>7818-29421</t>
  </si>
  <si>
    <t>7818-29422</t>
  </si>
  <si>
    <t>Re-make</t>
  </si>
  <si>
    <t>4/20/23-11:24am</t>
  </si>
  <si>
    <t>7818-18311</t>
  </si>
  <si>
    <t>100926</t>
  </si>
  <si>
    <t>4/20/23-1:30pm</t>
  </si>
  <si>
    <t>7818-21578</t>
  </si>
  <si>
    <t>4/20/23-3:16pm</t>
  </si>
  <si>
    <t>7818-26137</t>
  </si>
  <si>
    <t>7818-07391</t>
  </si>
  <si>
    <t>432139</t>
  </si>
  <si>
    <t>7818-28327</t>
  </si>
  <si>
    <t>7818-21574</t>
  </si>
  <si>
    <t>750179</t>
  </si>
  <si>
    <t>4/20/23-3:20pm</t>
  </si>
  <si>
    <t>7824-00387</t>
  </si>
  <si>
    <t>327016</t>
  </si>
  <si>
    <t>4/21/23-9:17am</t>
  </si>
  <si>
    <t>7818-26072</t>
  </si>
  <si>
    <t>046210</t>
  </si>
  <si>
    <t>7818-25992</t>
  </si>
  <si>
    <t>4/21/23-3:31pm</t>
  </si>
  <si>
    <t>7810-01854</t>
  </si>
  <si>
    <t>032016</t>
  </si>
  <si>
    <t>4/24/23-11:10am</t>
  </si>
  <si>
    <t>7818-29907</t>
  </si>
  <si>
    <t>189155</t>
  </si>
  <si>
    <t>7818-20411</t>
  </si>
  <si>
    <t>3:22pm</t>
  </si>
  <si>
    <t>4/24/23-4:24pm</t>
  </si>
  <si>
    <t>7823-02775</t>
  </si>
  <si>
    <t>M45004</t>
  </si>
  <si>
    <t>5:39am</t>
  </si>
  <si>
    <t>4/25/23-9:32am</t>
  </si>
  <si>
    <t>7810-01800</t>
  </si>
  <si>
    <t>4/25/23-9:22am</t>
  </si>
  <si>
    <t>7818-22684</t>
  </si>
  <si>
    <t>M41995</t>
  </si>
  <si>
    <t>7818-11023</t>
  </si>
  <si>
    <t>4/25/23-9:25am</t>
  </si>
  <si>
    <t>7818-23361</t>
  </si>
  <si>
    <t>151005</t>
  </si>
  <si>
    <t>4/25/23-12:59pm</t>
  </si>
  <si>
    <t>7818-25286</t>
  </si>
  <si>
    <t>503021</t>
  </si>
  <si>
    <t>7818-29908</t>
  </si>
  <si>
    <t>7818-25205</t>
  </si>
  <si>
    <t>4/25/23-1:00pm</t>
  </si>
  <si>
    <t>7810-00090</t>
  </si>
  <si>
    <t>605087</t>
  </si>
  <si>
    <t>4/25/23-2:57pm</t>
  </si>
  <si>
    <t>7818-18744</t>
  </si>
  <si>
    <t>185033</t>
  </si>
  <si>
    <t>6:34am</t>
  </si>
  <si>
    <t>7810-01815</t>
  </si>
  <si>
    <t>916000</t>
  </si>
  <si>
    <t>4/26/23-9:52am</t>
  </si>
  <si>
    <t>7818-27135</t>
  </si>
  <si>
    <t>761181</t>
  </si>
  <si>
    <t>7818-24668</t>
  </si>
  <si>
    <t>603063</t>
  </si>
  <si>
    <t>4/26/23-11:09am</t>
  </si>
  <si>
    <t>7818-17199</t>
  </si>
  <si>
    <t>7818-00057</t>
  </si>
  <si>
    <t>7818-12697</t>
  </si>
  <si>
    <t>7818-28399</t>
  </si>
  <si>
    <t>446082</t>
  </si>
  <si>
    <t>4/27/23-9:35am</t>
  </si>
  <si>
    <t>7818-20128</t>
  </si>
  <si>
    <t>273059</t>
  </si>
  <si>
    <t>7818-21654</t>
  </si>
  <si>
    <t>605148</t>
  </si>
  <si>
    <t>7818-17694</t>
  </si>
  <si>
    <t>235022</t>
  </si>
  <si>
    <t>7818-21857</t>
  </si>
  <si>
    <t>174036</t>
  </si>
  <si>
    <t>7818-25136</t>
  </si>
  <si>
    <t>259140</t>
  </si>
  <si>
    <t>4/27/23-11:12am</t>
  </si>
  <si>
    <t>7818-16825</t>
  </si>
  <si>
    <t>918146</t>
  </si>
  <si>
    <t>7818-08575</t>
  </si>
  <si>
    <t>285014</t>
  </si>
  <si>
    <t>7812-03396</t>
  </si>
  <si>
    <t>7812-03348</t>
  </si>
  <si>
    <t>921030</t>
  </si>
  <si>
    <t>7812-3612</t>
  </si>
  <si>
    <t>774617</t>
  </si>
  <si>
    <t>7812-3768</t>
  </si>
  <si>
    <t>7812-03312</t>
  </si>
  <si>
    <t>7812-02081</t>
  </si>
  <si>
    <t>7812-3786</t>
  </si>
  <si>
    <t>7812-3941</t>
  </si>
  <si>
    <t>494142</t>
  </si>
  <si>
    <t>7812-3632</t>
  </si>
  <si>
    <t>002001</t>
  </si>
  <si>
    <t>4/27/23-11:16am</t>
  </si>
  <si>
    <t>7818-29569</t>
  </si>
  <si>
    <t>12:19am</t>
  </si>
  <si>
    <t>4/27/23-4:29pm</t>
  </si>
  <si>
    <t>7824-00432</t>
  </si>
  <si>
    <t>M28937</t>
  </si>
  <si>
    <t>7824-00353</t>
  </si>
  <si>
    <t>7824-00424</t>
  </si>
  <si>
    <t>7824-00433</t>
  </si>
  <si>
    <t>001188</t>
  </si>
  <si>
    <t>4/27/23-4:30pm</t>
  </si>
  <si>
    <t>7818-26656</t>
  </si>
  <si>
    <t>884019</t>
  </si>
  <si>
    <t>7818-27007</t>
  </si>
  <si>
    <t>304069</t>
  </si>
  <si>
    <t>5:36am</t>
  </si>
  <si>
    <t>5/1/23-10:19am</t>
  </si>
  <si>
    <t>7810-01229</t>
  </si>
  <si>
    <t>809102</t>
  </si>
  <si>
    <t>7818-21194</t>
  </si>
  <si>
    <t>840015</t>
  </si>
  <si>
    <t>7818-25160</t>
  </si>
  <si>
    <t>082075</t>
  </si>
  <si>
    <t>7818-04472</t>
  </si>
  <si>
    <t>7818-26958</t>
  </si>
  <si>
    <t>5/1/23-10:20am</t>
  </si>
  <si>
    <t>7812-02855</t>
  </si>
  <si>
    <t>487039</t>
  </si>
  <si>
    <t>7818-24285</t>
  </si>
  <si>
    <t>273107</t>
  </si>
  <si>
    <t>7818-21839</t>
  </si>
  <si>
    <t>009098</t>
  </si>
  <si>
    <t>7818-10400</t>
  </si>
  <si>
    <t>7818-24187</t>
  </si>
  <si>
    <t>165062</t>
  </si>
  <si>
    <t>7818-18746</t>
  </si>
  <si>
    <t>103511</t>
  </si>
  <si>
    <t>7818-17268</t>
  </si>
  <si>
    <t>7818-29439</t>
  </si>
  <si>
    <t>446099</t>
  </si>
  <si>
    <t>7818-23717</t>
  </si>
  <si>
    <t>529128</t>
  </si>
  <si>
    <t>7818-14948</t>
  </si>
  <si>
    <t>7818-27307</t>
  </si>
  <si>
    <t>727347</t>
  </si>
  <si>
    <t>7818-27321</t>
  </si>
  <si>
    <t xml:space="preserve">Gold </t>
  </si>
  <si>
    <t>7818-27186</t>
  </si>
  <si>
    <t>5/1/23-10:30am</t>
  </si>
  <si>
    <t>7818-19724</t>
  </si>
  <si>
    <t>217061</t>
  </si>
  <si>
    <t>5/1/23-1:03pm</t>
  </si>
  <si>
    <t>7818-29810</t>
  </si>
  <si>
    <t>5/2/23-11:57am</t>
  </si>
  <si>
    <t>7812-03349</t>
  </si>
  <si>
    <t>7812-03311</t>
  </si>
  <si>
    <t>5/2/23-12:09pm</t>
  </si>
  <si>
    <t>7818-26188</t>
  </si>
  <si>
    <t>M47267</t>
  </si>
  <si>
    <t>7819-00480</t>
  </si>
  <si>
    <t>375007</t>
  </si>
  <si>
    <t>5/3/23-10:21am</t>
  </si>
  <si>
    <t>7823-02623</t>
  </si>
  <si>
    <t>5/3/23-10:22am</t>
  </si>
  <si>
    <t>7810-01625</t>
  </si>
  <si>
    <t>5/3/23-10:28am</t>
  </si>
  <si>
    <t>7818-16749</t>
  </si>
  <si>
    <t>1284592</t>
  </si>
  <si>
    <t>7818-21628</t>
  </si>
  <si>
    <t>7818-29431</t>
  </si>
  <si>
    <t>5/3/23-11:11am</t>
  </si>
  <si>
    <t>7823-02393</t>
  </si>
  <si>
    <t>M26276</t>
  </si>
  <si>
    <t>5/3/23-11:50am</t>
  </si>
  <si>
    <t>7812-03060</t>
  </si>
  <si>
    <t>827082</t>
  </si>
  <si>
    <t>5/4/23-10:01am</t>
  </si>
  <si>
    <t>7818-16483</t>
  </si>
  <si>
    <t>385064</t>
  </si>
  <si>
    <t>7818-25248</t>
  </si>
  <si>
    <t>341081</t>
  </si>
  <si>
    <t>5:51am</t>
  </si>
  <si>
    <t>5/4/23-10:02am</t>
  </si>
  <si>
    <t>7810-01087</t>
  </si>
  <si>
    <t>5/4/23-10:28am</t>
  </si>
  <si>
    <t>7818-25945</t>
  </si>
  <si>
    <t>206109</t>
  </si>
  <si>
    <t>7818-17382</t>
  </si>
  <si>
    <t>335026</t>
  </si>
  <si>
    <t>7818-25727</t>
  </si>
  <si>
    <t>7818-17687</t>
  </si>
  <si>
    <t>374007</t>
  </si>
  <si>
    <t>7818-28419</t>
  </si>
  <si>
    <t>023038</t>
  </si>
  <si>
    <t>9:53am</t>
  </si>
  <si>
    <t>7823-03375</t>
  </si>
  <si>
    <t>008044</t>
  </si>
  <si>
    <t>7823-03374</t>
  </si>
  <si>
    <t>612016</t>
  </si>
  <si>
    <t>5/23/23-4:42pm</t>
  </si>
  <si>
    <t>7812-00347</t>
  </si>
  <si>
    <t>00347</t>
  </si>
  <si>
    <t>7823-02800</t>
  </si>
  <si>
    <t>918682</t>
  </si>
  <si>
    <t>6:46pm</t>
  </si>
  <si>
    <t>5/5/23-1:26pm</t>
  </si>
  <si>
    <t>7818-21565</t>
  </si>
  <si>
    <t>003042</t>
  </si>
  <si>
    <t>5/5/23-1:28pm</t>
  </si>
  <si>
    <t>7810-0191</t>
  </si>
  <si>
    <t>7810-01858</t>
  </si>
  <si>
    <t xml:space="preserve">Brown </t>
  </si>
  <si>
    <t>386233</t>
  </si>
  <si>
    <t>5/5/23-1:29pm</t>
  </si>
  <si>
    <t>7823-03025</t>
  </si>
  <si>
    <t>206426</t>
  </si>
  <si>
    <t>7818-20273</t>
  </si>
  <si>
    <t>555123</t>
  </si>
  <si>
    <t>7818-29918</t>
  </si>
  <si>
    <t>763025</t>
  </si>
  <si>
    <t>7818-21966</t>
  </si>
  <si>
    <t>761186</t>
  </si>
  <si>
    <t>7818-28312</t>
  </si>
  <si>
    <t>104160</t>
  </si>
  <si>
    <t>7818-27544</t>
  </si>
  <si>
    <t>057106</t>
  </si>
  <si>
    <t>7818-28452</t>
  </si>
  <si>
    <t>587088</t>
  </si>
  <si>
    <t>5/5/23-2:55pm</t>
  </si>
  <si>
    <t>7815-00103</t>
  </si>
  <si>
    <t>283677</t>
  </si>
  <si>
    <t>7815-00108</t>
  </si>
  <si>
    <t>207294</t>
  </si>
  <si>
    <t>7823-02555</t>
  </si>
  <si>
    <t>5/8/23-11:15am</t>
  </si>
  <si>
    <t>7812-3628</t>
  </si>
  <si>
    <t>7812-01001</t>
  </si>
  <si>
    <t>470122</t>
  </si>
  <si>
    <t>5/8/23-1:46pm</t>
  </si>
  <si>
    <t>7818-29898</t>
  </si>
  <si>
    <t>691150</t>
  </si>
  <si>
    <t>7818-24936</t>
  </si>
  <si>
    <t>7818-29400</t>
  </si>
  <si>
    <t>750102</t>
  </si>
  <si>
    <t>7818-18819</t>
  </si>
  <si>
    <t>492014</t>
  </si>
  <si>
    <t>5/9/23-10:26am</t>
  </si>
  <si>
    <t>7818-24739</t>
  </si>
  <si>
    <t>785007</t>
  </si>
  <si>
    <t>7818-29447</t>
  </si>
  <si>
    <t>561233</t>
  </si>
  <si>
    <t>7818-07080</t>
  </si>
  <si>
    <t>056002</t>
  </si>
  <si>
    <t>5/9/23-10:30am</t>
  </si>
  <si>
    <t>7812-3857</t>
  </si>
  <si>
    <t>7812-3842</t>
  </si>
  <si>
    <t>7:27am</t>
  </si>
  <si>
    <t>5/10/23-9:48am</t>
  </si>
  <si>
    <t>7818-17693</t>
  </si>
  <si>
    <t>284088</t>
  </si>
  <si>
    <t>7810-01573</t>
  </si>
  <si>
    <t>518023</t>
  </si>
  <si>
    <t>7810-01898</t>
  </si>
  <si>
    <t>7810-147761</t>
  </si>
  <si>
    <t>147761</t>
  </si>
  <si>
    <t>7810-01796</t>
  </si>
  <si>
    <t>5/10/23-9:49am</t>
  </si>
  <si>
    <t>7818-26605</t>
  </si>
  <si>
    <t>641005</t>
  </si>
  <si>
    <t>7818-29802</t>
  </si>
  <si>
    <t>7818-07081</t>
  </si>
  <si>
    <t>0566001</t>
  </si>
  <si>
    <t>7818-07078</t>
  </si>
  <si>
    <t>147130</t>
  </si>
  <si>
    <t>7818-29577</t>
  </si>
  <si>
    <t>387077</t>
  </si>
  <si>
    <t>7818-26977</t>
  </si>
  <si>
    <t>7818-25991</t>
  </si>
  <si>
    <t>270027</t>
  </si>
  <si>
    <t>907007</t>
  </si>
  <si>
    <t>5/10/23-10:21am</t>
  </si>
  <si>
    <t>7818-21130</t>
  </si>
  <si>
    <t>690015</t>
  </si>
  <si>
    <t>7818-16871</t>
  </si>
  <si>
    <t>7818-26084</t>
  </si>
  <si>
    <t>5/10/23-11:40am</t>
  </si>
  <si>
    <t>7812-3800</t>
  </si>
  <si>
    <t>780724</t>
  </si>
  <si>
    <t>7812-3614</t>
  </si>
  <si>
    <t>7812-3616</t>
  </si>
  <si>
    <t>7812-3617</t>
  </si>
  <si>
    <t>7812-3615</t>
  </si>
  <si>
    <t>7:21pm</t>
  </si>
  <si>
    <t>5/11/23-12:41pm</t>
  </si>
  <si>
    <t>7823-02773</t>
  </si>
  <si>
    <t>7:23pm</t>
  </si>
  <si>
    <t>7823-02777</t>
  </si>
  <si>
    <t>M41078</t>
  </si>
  <si>
    <t>5/11/23-12:42pm</t>
  </si>
  <si>
    <t>7810-01859</t>
  </si>
  <si>
    <t>471081</t>
  </si>
  <si>
    <t>5/11/23-12:44pm</t>
  </si>
  <si>
    <t>7818-09508</t>
  </si>
  <si>
    <t>639087</t>
  </si>
  <si>
    <t>7818-29899</t>
  </si>
  <si>
    <t>7818-24120</t>
  </si>
  <si>
    <t>344008</t>
  </si>
  <si>
    <t>7818-20788</t>
  </si>
  <si>
    <t>333032</t>
  </si>
  <si>
    <t>7818-11557</t>
  </si>
  <si>
    <t>145056</t>
  </si>
  <si>
    <t>7818-24331</t>
  </si>
  <si>
    <t>832156</t>
  </si>
  <si>
    <t>7818-24333</t>
  </si>
  <si>
    <t>7818-24322</t>
  </si>
  <si>
    <t>7818-11536</t>
  </si>
  <si>
    <t>7818-15564</t>
  </si>
  <si>
    <t>140043</t>
  </si>
  <si>
    <t>7818-19583</t>
  </si>
  <si>
    <t>739021</t>
  </si>
  <si>
    <t>5/11/23-12:45pm</t>
  </si>
  <si>
    <t>7818-756318</t>
  </si>
  <si>
    <t>5/11/23-1:44pm</t>
  </si>
  <si>
    <t>7824-00439</t>
  </si>
  <si>
    <t>5/11/23-3:02pm</t>
  </si>
  <si>
    <t>7818-16272</t>
  </si>
  <si>
    <t>104364</t>
  </si>
  <si>
    <t>4:15pm</t>
  </si>
  <si>
    <t>5/11/23-4:34pm</t>
  </si>
  <si>
    <t>7823-02661</t>
  </si>
  <si>
    <t>058017</t>
  </si>
  <si>
    <t>5/16/23-9:44am</t>
  </si>
  <si>
    <t>7818-29811</t>
  </si>
  <si>
    <t xml:space="preserve"> 424976</t>
  </si>
  <si>
    <t>7818-29805</t>
  </si>
  <si>
    <t>7818-01200</t>
  </si>
  <si>
    <t>7818-26834</t>
  </si>
  <si>
    <t>5/16/23-9:45am</t>
  </si>
  <si>
    <t>7818-13438</t>
  </si>
  <si>
    <t>564001</t>
  </si>
  <si>
    <t>7818-23266</t>
  </si>
  <si>
    <t>7818-28643</t>
  </si>
  <si>
    <t>5/16/23-9:46am</t>
  </si>
  <si>
    <t>7818-16683</t>
  </si>
  <si>
    <t>711023</t>
  </si>
  <si>
    <t>7818-10615</t>
  </si>
  <si>
    <t>5/16/23-9:48am</t>
  </si>
  <si>
    <t>7818-29774</t>
  </si>
  <si>
    <t>872321</t>
  </si>
  <si>
    <t>7823-03332</t>
  </si>
  <si>
    <t>M27997</t>
  </si>
  <si>
    <t>6:30am</t>
  </si>
  <si>
    <t>7823-02556</t>
  </si>
  <si>
    <t>130892</t>
  </si>
  <si>
    <t>5/16/23-9:50am</t>
  </si>
  <si>
    <t>7818-15688</t>
  </si>
  <si>
    <t>5/16/23-9:51am</t>
  </si>
  <si>
    <t>7812-03356</t>
  </si>
  <si>
    <t>7812-02187</t>
  </si>
  <si>
    <t>7812-3791</t>
  </si>
  <si>
    <t>424977</t>
  </si>
  <si>
    <t>7812-0800</t>
  </si>
  <si>
    <t>7812-3682</t>
  </si>
  <si>
    <t>7812-3750</t>
  </si>
  <si>
    <t>5/16/23-11:09am</t>
  </si>
  <si>
    <t>7810-01715</t>
  </si>
  <si>
    <t>047037</t>
  </si>
  <si>
    <t>5/16/23-3:27pm</t>
  </si>
  <si>
    <t>7823-01536</t>
  </si>
  <si>
    <t>B00047</t>
  </si>
  <si>
    <t>5/16/23-3:28pm</t>
  </si>
  <si>
    <t>7818-26838</t>
  </si>
  <si>
    <t>159033</t>
  </si>
  <si>
    <t>7818-26847</t>
  </si>
  <si>
    <t>988120</t>
  </si>
  <si>
    <t>7818-02793</t>
  </si>
  <si>
    <t>7818-29676</t>
  </si>
  <si>
    <t>8:30pm</t>
  </si>
  <si>
    <t>5/17/23-9:17am</t>
  </si>
  <si>
    <t>7823-02660</t>
  </si>
  <si>
    <t>313027</t>
  </si>
  <si>
    <t>5/17/23-9:19am</t>
  </si>
  <si>
    <t>7818-11378</t>
  </si>
  <si>
    <t>523175</t>
  </si>
  <si>
    <t>8:02am</t>
  </si>
  <si>
    <t>5/17/23-9:20am</t>
  </si>
  <si>
    <t>7818-13374</t>
  </si>
  <si>
    <t>195571</t>
  </si>
  <si>
    <t>7818-26159</t>
  </si>
  <si>
    <t>5/17/23-10:05am</t>
  </si>
  <si>
    <t>275366</t>
  </si>
  <si>
    <t>7818-13588</t>
  </si>
  <si>
    <t>147260</t>
  </si>
  <si>
    <t>7818-13461</t>
  </si>
  <si>
    <t>084061</t>
  </si>
  <si>
    <t>5/17/23-1:03pm</t>
  </si>
  <si>
    <t>7818-29578</t>
  </si>
  <si>
    <t>7818-16315</t>
  </si>
  <si>
    <t>337134</t>
  </si>
  <si>
    <t>7819-00482</t>
  </si>
  <si>
    <t>805027</t>
  </si>
  <si>
    <t>7819-00481</t>
  </si>
  <si>
    <t>304001</t>
  </si>
  <si>
    <t>5/17/23-2:43am</t>
  </si>
  <si>
    <t>7818-26608</t>
  </si>
  <si>
    <t>549002</t>
  </si>
  <si>
    <t>5/18/23-2:42pm</t>
  </si>
  <si>
    <t>7810-01268</t>
  </si>
  <si>
    <t>5/18/23-2:43pm</t>
  </si>
  <si>
    <t>7812-3944</t>
  </si>
  <si>
    <t>964452</t>
  </si>
  <si>
    <t>7812-00845</t>
  </si>
  <si>
    <t>not</t>
  </si>
  <si>
    <t>869050</t>
  </si>
  <si>
    <t>7812-4008</t>
  </si>
  <si>
    <t>7812-3706</t>
  </si>
  <si>
    <t>131022</t>
  </si>
  <si>
    <t>7818-29579</t>
  </si>
  <si>
    <t>124845</t>
  </si>
  <si>
    <t>5/18/23-2:44pm</t>
  </si>
  <si>
    <t>7818-21330</t>
  </si>
  <si>
    <t>7818-11970</t>
  </si>
  <si>
    <t>7818-25734</t>
  </si>
  <si>
    <t>7818-28388</t>
  </si>
  <si>
    <t>269081</t>
  </si>
  <si>
    <t>7818-08653</t>
  </si>
  <si>
    <t>5/19/23-10:27am</t>
  </si>
  <si>
    <t>7818-25321</t>
  </si>
  <si>
    <t>181299</t>
  </si>
  <si>
    <t>5/19/23-11:57am</t>
  </si>
  <si>
    <t>7810-01876</t>
  </si>
  <si>
    <t>5/19/23-12:04pm</t>
  </si>
  <si>
    <t>7818-23301</t>
  </si>
  <si>
    <t>732457</t>
  </si>
  <si>
    <t>7818-26036</t>
  </si>
  <si>
    <t>5/22/23-2:15pm</t>
  </si>
  <si>
    <t>7815-00100</t>
  </si>
  <si>
    <t>7818-00115</t>
  </si>
  <si>
    <t>011183</t>
  </si>
  <si>
    <t>7818-30780</t>
  </si>
  <si>
    <t>5/22/23-3:40pm</t>
  </si>
  <si>
    <t>7824-00441</t>
  </si>
  <si>
    <t>632181</t>
  </si>
  <si>
    <t>3:50pm</t>
  </si>
  <si>
    <t>5/23/23:12:02pm</t>
  </si>
  <si>
    <t>7818-07983</t>
  </si>
  <si>
    <t>7818-28408</t>
  </si>
  <si>
    <t>691250</t>
  </si>
  <si>
    <t>7818-30779</t>
  </si>
  <si>
    <t>941014</t>
  </si>
  <si>
    <t>7818-26085</t>
  </si>
  <si>
    <t>678353</t>
  </si>
  <si>
    <t>7818-28690</t>
  </si>
  <si>
    <t>756343</t>
  </si>
  <si>
    <t>5/23/23-12:01pm</t>
  </si>
  <si>
    <t>7812-4009</t>
  </si>
  <si>
    <t>554037</t>
  </si>
  <si>
    <t>7812-01877</t>
  </si>
  <si>
    <t>470102</t>
  </si>
  <si>
    <t>7812-3635</t>
  </si>
  <si>
    <t>782046</t>
  </si>
  <si>
    <t>7812-02796</t>
  </si>
  <si>
    <t>7812-3574</t>
  </si>
  <si>
    <t>489004</t>
  </si>
  <si>
    <t>7812-02794</t>
  </si>
  <si>
    <t>7812-02797</t>
  </si>
  <si>
    <t>5/23/23-12:16pm</t>
  </si>
  <si>
    <t>7818-29580</t>
  </si>
  <si>
    <t>935043</t>
  </si>
  <si>
    <t>7818-17581</t>
  </si>
  <si>
    <t>7818-23018</t>
  </si>
  <si>
    <t>345000</t>
  </si>
  <si>
    <t>5/23/23-12:18pm</t>
  </si>
  <si>
    <t>7812-3748</t>
  </si>
  <si>
    <t>5/23/23-12:23pm</t>
  </si>
  <si>
    <t>7818-28601</t>
  </si>
  <si>
    <t>759133</t>
  </si>
  <si>
    <t>5/24/23-11:26am</t>
  </si>
  <si>
    <t>7818-23536</t>
  </si>
  <si>
    <t>996170</t>
  </si>
  <si>
    <t>7818-14943</t>
  </si>
  <si>
    <t>5/24/23-11:27am</t>
  </si>
  <si>
    <t>7812-3907</t>
  </si>
  <si>
    <t>5/24/23-11:30am</t>
  </si>
  <si>
    <t>7812-03470</t>
  </si>
  <si>
    <t>516671</t>
  </si>
  <si>
    <t>5/25/23-9:18am</t>
  </si>
  <si>
    <t>7818-21975</t>
  </si>
  <si>
    <t>990074</t>
  </si>
  <si>
    <t>7818-29581</t>
  </si>
  <si>
    <t>809101</t>
  </si>
  <si>
    <t>5/25/23-12:34pm</t>
  </si>
  <si>
    <t>7812-3575</t>
  </si>
  <si>
    <t>6:24am</t>
  </si>
  <si>
    <t>5/26/23-11:51am</t>
  </si>
  <si>
    <t>7818-25152</t>
  </si>
  <si>
    <t>Written in not part of option</t>
  </si>
  <si>
    <t>296006</t>
  </si>
  <si>
    <t>7818-26546</t>
  </si>
  <si>
    <t>7818-25165</t>
  </si>
  <si>
    <t>756356</t>
  </si>
  <si>
    <t>7818-30789</t>
  </si>
  <si>
    <t>5/26/23-11:54am</t>
  </si>
  <si>
    <t>7823-02161</t>
  </si>
  <si>
    <t>008724</t>
  </si>
  <si>
    <t>5/26/23-11:55am</t>
  </si>
  <si>
    <t>7818-30791</t>
  </si>
  <si>
    <t>739036</t>
  </si>
  <si>
    <t>7818-07914</t>
  </si>
  <si>
    <t>740003</t>
  </si>
  <si>
    <t>7818-24246</t>
  </si>
  <si>
    <t>993094</t>
  </si>
  <si>
    <t>5/26/23-11:57am</t>
  </si>
  <si>
    <t>7823-02110</t>
  </si>
  <si>
    <t>Order Type</t>
  </si>
  <si>
    <t>Adjusted Form #</t>
  </si>
  <si>
    <t>Corrected Form #
 (If Duplicated)</t>
  </si>
  <si>
    <t>Check vs WIP
Billed (Trk #)</t>
  </si>
  <si>
    <t>Check vs WIP
Billed (Delivery Date)</t>
  </si>
  <si>
    <t>Check vs WIP
Completed (Trk #)</t>
  </si>
  <si>
    <t>Check vs WIP
Completed (Delivery Date)</t>
  </si>
  <si>
    <t>Check vs WIP
In Progress (Trk #)</t>
  </si>
  <si>
    <t>Delivery Date</t>
  </si>
  <si>
    <t>No. of Days Old</t>
  </si>
  <si>
    <t>Status
(From WIP)</t>
  </si>
  <si>
    <t>Updated Status</t>
  </si>
  <si>
    <t>Not in WIP</t>
  </si>
  <si>
    <t>Shipped</t>
  </si>
  <si>
    <t>POG Order Confirmation Status</t>
  </si>
  <si>
    <t>6:40am</t>
  </si>
  <si>
    <t>7810-01903</t>
  </si>
  <si>
    <t>5/30/23-11:23am</t>
  </si>
  <si>
    <t>7812-3909</t>
  </si>
  <si>
    <t>7818-25149</t>
  </si>
  <si>
    <t>276048</t>
  </si>
  <si>
    <t>7818-17695</t>
  </si>
  <si>
    <t>349014</t>
  </si>
  <si>
    <t>7818-00815</t>
  </si>
  <si>
    <t>7818-23032</t>
  </si>
  <si>
    <t>7818-22268</t>
  </si>
  <si>
    <t>7810-01838</t>
  </si>
  <si>
    <t>736007</t>
  </si>
  <si>
    <t>7810-01797</t>
  </si>
  <si>
    <t>028029</t>
  </si>
  <si>
    <t>7812-3610</t>
  </si>
  <si>
    <t>532564</t>
  </si>
  <si>
    <t>7812-3715</t>
  </si>
  <si>
    <t>7812-02799</t>
  </si>
  <si>
    <t>319089</t>
  </si>
  <si>
    <t>7818-30790</t>
  </si>
  <si>
    <t>7818-29472</t>
  </si>
  <si>
    <t>658249</t>
  </si>
  <si>
    <t>5/31/23</t>
  </si>
  <si>
    <t>7823-02811</t>
  </si>
  <si>
    <t>M41863</t>
  </si>
  <si>
    <t>7810-01738</t>
  </si>
  <si>
    <t>7823-02875</t>
  </si>
  <si>
    <t>M45143</t>
  </si>
  <si>
    <t>No</t>
  </si>
  <si>
    <t>7818-25484</t>
  </si>
  <si>
    <t>314092</t>
  </si>
  <si>
    <t>7818-28409</t>
  </si>
  <si>
    <t>633074</t>
  </si>
  <si>
    <t>7818-24944</t>
  </si>
  <si>
    <t>827048</t>
  </si>
  <si>
    <t>7818-26801</t>
  </si>
  <si>
    <t>832384</t>
  </si>
  <si>
    <t>7818-22421</t>
  </si>
  <si>
    <t>454038</t>
  </si>
  <si>
    <t>7818-28695</t>
  </si>
  <si>
    <t>341357</t>
  </si>
  <si>
    <t>7818-28694</t>
  </si>
  <si>
    <t>073515</t>
  </si>
  <si>
    <t>7818-16822</t>
  </si>
  <si>
    <t>7818-10763</t>
  </si>
  <si>
    <t>7818-07848</t>
  </si>
  <si>
    <t>030205</t>
  </si>
  <si>
    <t>7818-22687</t>
  </si>
  <si>
    <t>M37316</t>
  </si>
  <si>
    <t>7818-20815</t>
  </si>
  <si>
    <t>gold</t>
  </si>
  <si>
    <t>7818-28696</t>
  </si>
  <si>
    <t>7818-28697</t>
  </si>
  <si>
    <t>7818-18633</t>
  </si>
  <si>
    <t>856050</t>
  </si>
  <si>
    <t>6/1/23-2:28pm</t>
  </si>
  <si>
    <t>6/1/23-2:31pm</t>
  </si>
  <si>
    <t>6/1/23-2:33pm</t>
  </si>
  <si>
    <t>6/1/23-2:34pm</t>
  </si>
  <si>
    <t>6/1/23-2:45pm</t>
  </si>
  <si>
    <t>6/1/23-2:46pm</t>
  </si>
  <si>
    <t>6/1/23-2:59pm</t>
  </si>
  <si>
    <t>7812-03361</t>
  </si>
  <si>
    <t>Form# Duplicate Check</t>
  </si>
  <si>
    <t>Check vs WIP
Rejected Orders</t>
  </si>
  <si>
    <t>7818-22683</t>
  </si>
  <si>
    <t>M43223</t>
  </si>
  <si>
    <t>7818-21949</t>
  </si>
  <si>
    <t>673096</t>
  </si>
  <si>
    <t>7810-01734</t>
  </si>
  <si>
    <t>417029</t>
  </si>
  <si>
    <t>Not</t>
  </si>
  <si>
    <t>6/2/23-10:09am</t>
  </si>
  <si>
    <t>6/2/23-10:10am</t>
  </si>
  <si>
    <t>7818-26609</t>
  </si>
  <si>
    <t>6/2/23-1:06pm</t>
  </si>
  <si>
    <t>7818-26199</t>
  </si>
  <si>
    <t>6/2/23-2:46pm</t>
  </si>
  <si>
    <t>7818-29779</t>
  </si>
  <si>
    <t>397703</t>
  </si>
  <si>
    <t>7818-29922</t>
  </si>
  <si>
    <t>254172</t>
  </si>
  <si>
    <t>7818-29927</t>
  </si>
  <si>
    <t>7818-28397</t>
  </si>
  <si>
    <t>802140</t>
  </si>
  <si>
    <t>7818-19353</t>
  </si>
  <si>
    <t>985847</t>
  </si>
  <si>
    <t>7818-26200</t>
  </si>
  <si>
    <t>887311</t>
  </si>
  <si>
    <t>7818-17082</t>
  </si>
  <si>
    <t>722023</t>
  </si>
  <si>
    <t>7818-27169</t>
  </si>
  <si>
    <t>722028</t>
  </si>
  <si>
    <t>7818-26583</t>
  </si>
  <si>
    <t>141000</t>
  </si>
  <si>
    <t>7818-21657</t>
  </si>
  <si>
    <t>376028</t>
  </si>
  <si>
    <t>7818-28005</t>
  </si>
  <si>
    <t>217220</t>
  </si>
  <si>
    <t>7818-01312</t>
  </si>
  <si>
    <t>143070</t>
  </si>
  <si>
    <t>7818-30795</t>
  </si>
  <si>
    <t>7818-26088</t>
  </si>
  <si>
    <t>7818-22960</t>
  </si>
  <si>
    <t>7818-12124</t>
  </si>
  <si>
    <t>914033</t>
  </si>
  <si>
    <t>7823-03030</t>
  </si>
  <si>
    <t>140773</t>
  </si>
  <si>
    <t>7823-03376</t>
  </si>
  <si>
    <t>856007</t>
  </si>
  <si>
    <t>6/6/23-3:09pm</t>
  </si>
  <si>
    <t>6/6/23-3:16pm</t>
  </si>
  <si>
    <t>6/6/23-3:17pm</t>
  </si>
  <si>
    <t>7818-28499</t>
  </si>
  <si>
    <t>7818-27184</t>
  </si>
  <si>
    <t>6/6/23-4:11pm</t>
  </si>
  <si>
    <t>6:41pm</t>
  </si>
  <si>
    <t>7823-03027</t>
  </si>
  <si>
    <t>074001</t>
  </si>
  <si>
    <t>6:34pm</t>
  </si>
  <si>
    <t>7823-03007</t>
  </si>
  <si>
    <t>259087</t>
  </si>
  <si>
    <t>7823-03029</t>
  </si>
  <si>
    <t>756147</t>
  </si>
  <si>
    <t>7818-09307</t>
  </si>
  <si>
    <t>7818-20412</t>
  </si>
  <si>
    <t>281008</t>
  </si>
  <si>
    <t>6/7/23-11:20am</t>
  </si>
  <si>
    <t>7812-3534</t>
  </si>
  <si>
    <t>6/7/23-12:59pm</t>
  </si>
  <si>
    <t>7818-29790</t>
  </si>
  <si>
    <t>7823-02834</t>
  </si>
  <si>
    <t>312019</t>
  </si>
  <si>
    <t>7823-02599</t>
  </si>
  <si>
    <t>M36487</t>
  </si>
  <si>
    <t>6/8/23-4:30pm</t>
  </si>
  <si>
    <t>7818-29799</t>
  </si>
  <si>
    <t>175070</t>
  </si>
  <si>
    <t>7818-29536</t>
  </si>
  <si>
    <t>581010</t>
  </si>
  <si>
    <t>7818-25293</t>
  </si>
  <si>
    <t>7818-30787</t>
  </si>
  <si>
    <t>722008</t>
  </si>
  <si>
    <t>7818-23062</t>
  </si>
  <si>
    <t>894010</t>
  </si>
  <si>
    <t>7818-26037</t>
  </si>
  <si>
    <t>7818-24367</t>
  </si>
  <si>
    <t>7818-29798</t>
  </si>
  <si>
    <t>276026</t>
  </si>
  <si>
    <t>6/8/23-4:37pm</t>
  </si>
  <si>
    <t>7818-29797</t>
  </si>
  <si>
    <t>011275</t>
  </si>
  <si>
    <t>4:58pm</t>
  </si>
  <si>
    <t>7818-26587</t>
  </si>
  <si>
    <t>6/8/23-5:17pm</t>
  </si>
  <si>
    <t>6:13pm</t>
  </si>
  <si>
    <t>7818-18522</t>
  </si>
  <si>
    <t>7818-18533</t>
  </si>
  <si>
    <t>996106</t>
  </si>
  <si>
    <t>7818-03323</t>
  </si>
  <si>
    <t>7818-3909</t>
  </si>
  <si>
    <t>7823-02779</t>
  </si>
  <si>
    <t>M413565</t>
  </si>
  <si>
    <t>7818-29778</t>
  </si>
  <si>
    <t>7818-24453</t>
  </si>
  <si>
    <t>7818-26849</t>
  </si>
  <si>
    <t>708093</t>
  </si>
  <si>
    <t>6/9/23-3:25pm</t>
  </si>
  <si>
    <t>6/9/23-3:26pm</t>
  </si>
  <si>
    <t>6/9/23-3:28pm</t>
  </si>
  <si>
    <t>7810-02110</t>
  </si>
  <si>
    <t>703017</t>
  </si>
  <si>
    <t>7810-02117</t>
  </si>
  <si>
    <t>7810-02118</t>
  </si>
  <si>
    <t>906060</t>
  </si>
  <si>
    <t>7810-02115</t>
  </si>
  <si>
    <t>515007</t>
  </si>
  <si>
    <t>7810-02116</t>
  </si>
  <si>
    <t>7810-02113</t>
  </si>
  <si>
    <t>7823-02907</t>
  </si>
  <si>
    <t>699137</t>
  </si>
  <si>
    <t>7818-29789</t>
  </si>
  <si>
    <t>7823-02613</t>
  </si>
  <si>
    <t>B09237</t>
  </si>
  <si>
    <t>7823-03355</t>
  </si>
  <si>
    <t>7823-02605</t>
  </si>
  <si>
    <t>B08949</t>
  </si>
  <si>
    <t>7818-29405</t>
  </si>
  <si>
    <t>412027</t>
  </si>
  <si>
    <t>7818-09534</t>
  </si>
  <si>
    <t>133025</t>
  </si>
  <si>
    <t>7818-02747</t>
  </si>
  <si>
    <t>337278</t>
  </si>
  <si>
    <t>7818-22415</t>
  </si>
  <si>
    <t>7818-29929</t>
  </si>
  <si>
    <t>226050</t>
  </si>
  <si>
    <t>7818-21666</t>
  </si>
  <si>
    <t>7818-26196</t>
  </si>
  <si>
    <t>551076</t>
  </si>
  <si>
    <t>7818-16183</t>
  </si>
  <si>
    <t>7818-17698</t>
  </si>
  <si>
    <t>6/12/23-2:58pm</t>
  </si>
  <si>
    <t>6/12/23-3:00pm</t>
  </si>
  <si>
    <t>6/12/23-3:01pm</t>
  </si>
  <si>
    <t>7810-02109</t>
  </si>
  <si>
    <t>7810-02121</t>
  </si>
  <si>
    <t>14726</t>
  </si>
  <si>
    <t>7810-01864</t>
  </si>
  <si>
    <t>7818-12246</t>
  </si>
  <si>
    <t>095161</t>
  </si>
  <si>
    <t>7812-02079</t>
  </si>
  <si>
    <t>12:46PM</t>
  </si>
  <si>
    <t>6/13/23-12:47pm</t>
  </si>
  <si>
    <t>7812-3708</t>
  </si>
  <si>
    <t>7812-02800</t>
  </si>
  <si>
    <t>7812-02983</t>
  </si>
  <si>
    <t>7818-19832</t>
  </si>
  <si>
    <t>6/13/23-3:12pm</t>
  </si>
  <si>
    <t>6/13/23-12:37PM</t>
  </si>
  <si>
    <t>In Progress</t>
  </si>
  <si>
    <t>6/14/23-9:28am</t>
  </si>
  <si>
    <t>7823-02683</t>
  </si>
  <si>
    <t>M38229</t>
  </si>
  <si>
    <t>7823-02681</t>
  </si>
  <si>
    <t>M45860</t>
  </si>
  <si>
    <t>7818-29585</t>
  </si>
  <si>
    <t>759127</t>
  </si>
  <si>
    <t>7818-24223</t>
  </si>
  <si>
    <t>778182</t>
  </si>
  <si>
    <t>7818-20138</t>
  </si>
  <si>
    <t>7818-19157</t>
  </si>
  <si>
    <t>521168</t>
  </si>
  <si>
    <t>7818-25953</t>
  </si>
  <si>
    <t>6/14/23-9:45am</t>
  </si>
  <si>
    <t>7818-12245</t>
  </si>
  <si>
    <t>613089</t>
  </si>
  <si>
    <t>6/4/23-2:33pm</t>
  </si>
  <si>
    <t>7818-12242</t>
  </si>
  <si>
    <t>7818-10703</t>
  </si>
  <si>
    <t>7818-21350</t>
  </si>
  <si>
    <t>519000</t>
  </si>
  <si>
    <t>7818-26860</t>
  </si>
  <si>
    <t>980089</t>
  </si>
  <si>
    <t>7818-26861</t>
  </si>
  <si>
    <t>471086</t>
  </si>
  <si>
    <t>7818-26862</t>
  </si>
  <si>
    <t>573076</t>
  </si>
  <si>
    <t>6/4/23-2:57pm</t>
  </si>
  <si>
    <t>7818-30918</t>
  </si>
  <si>
    <t>7823-02776</t>
  </si>
  <si>
    <t>M45496</t>
  </si>
  <si>
    <t>6/15/23-2:47pm</t>
  </si>
  <si>
    <t>4:46pm</t>
  </si>
  <si>
    <t>7818-26508</t>
  </si>
  <si>
    <t>366131</t>
  </si>
  <si>
    <t>7818-07313</t>
  </si>
  <si>
    <t>300054</t>
  </si>
  <si>
    <t>7818-26842</t>
  </si>
  <si>
    <t>439518</t>
  </si>
  <si>
    <t>7818-16790</t>
  </si>
  <si>
    <t>228070</t>
  </si>
  <si>
    <t>7818-06930</t>
  </si>
  <si>
    <t>663029</t>
  </si>
  <si>
    <t>7818-16033</t>
  </si>
  <si>
    <t>7818-25287</t>
  </si>
  <si>
    <t>7818-29796</t>
  </si>
  <si>
    <t>6/15/23-5:27pm</t>
  </si>
  <si>
    <t>6/16/23-9:43am</t>
  </si>
  <si>
    <t>7812-3939</t>
  </si>
  <si>
    <t>6/16/23-11:08am</t>
  </si>
  <si>
    <t>7818-20305</t>
  </si>
  <si>
    <t>7818-16338</t>
  </si>
  <si>
    <t>887323</t>
  </si>
  <si>
    <t>7810-02164</t>
  </si>
  <si>
    <t>147291</t>
  </si>
  <si>
    <t>7818-23228</t>
  </si>
  <si>
    <t>869030</t>
  </si>
  <si>
    <t>7818-23229</t>
  </si>
  <si>
    <t>899084</t>
  </si>
  <si>
    <t>6/16/23-3:00pm</t>
  </si>
  <si>
    <t>6/16/23-3:04pm</t>
  </si>
  <si>
    <t>7823-03035</t>
  </si>
  <si>
    <t>397100</t>
  </si>
  <si>
    <t>6/19/23-12:22pm</t>
  </si>
  <si>
    <t>7823-02164</t>
  </si>
  <si>
    <t>6/20/23-10:04am</t>
  </si>
  <si>
    <t>7818-19961</t>
  </si>
  <si>
    <t>7818-19696</t>
  </si>
  <si>
    <t>7818-29051</t>
  </si>
  <si>
    <t>7818-21031</t>
  </si>
  <si>
    <t>6/20/23-11:49am</t>
  </si>
  <si>
    <t>7823-02187</t>
  </si>
  <si>
    <t>712933</t>
  </si>
  <si>
    <t>7810-01901</t>
  </si>
  <si>
    <t>115038</t>
  </si>
  <si>
    <t>6/20/23-12:11pm</t>
  </si>
  <si>
    <t>6/20/23-12:12pm</t>
  </si>
  <si>
    <t>7823-02117</t>
  </si>
  <si>
    <t>M34743</t>
  </si>
  <si>
    <t>7810-01703</t>
  </si>
  <si>
    <t>7810-01795</t>
  </si>
  <si>
    <t>292009</t>
  </si>
  <si>
    <t>7810-02122</t>
  </si>
  <si>
    <t>6/21/23-10:08am</t>
  </si>
  <si>
    <t>7812-3903</t>
  </si>
  <si>
    <t>7818-20818</t>
  </si>
  <si>
    <t>733026</t>
  </si>
  <si>
    <t>7818-29944</t>
  </si>
  <si>
    <t>6/21/23-2:43pm</t>
  </si>
  <si>
    <t>6/21/23-2:44pm</t>
  </si>
  <si>
    <t>7818-18632</t>
  </si>
  <si>
    <t>550055</t>
  </si>
  <si>
    <t>7818-28391</t>
  </si>
  <si>
    <t>030027</t>
  </si>
  <si>
    <t>7818-29471</t>
  </si>
  <si>
    <t>072039</t>
  </si>
  <si>
    <t>7818-23915</t>
  </si>
  <si>
    <t>818991</t>
  </si>
  <si>
    <t>7818-19919</t>
  </si>
  <si>
    <t>088041</t>
  </si>
  <si>
    <t>6:15am</t>
  </si>
  <si>
    <t>622916</t>
  </si>
  <si>
    <t>7818-14055</t>
  </si>
  <si>
    <t>298045</t>
  </si>
  <si>
    <t>6/23/23-2:09pm</t>
  </si>
  <si>
    <t>7818-28137</t>
  </si>
  <si>
    <t>6/23/23-11:18am</t>
  </si>
  <si>
    <t>7823-02780</t>
  </si>
  <si>
    <t>598058</t>
  </si>
  <si>
    <t>7823-02813</t>
  </si>
  <si>
    <t>6/26/23-9:32am</t>
  </si>
  <si>
    <t>7810-01904</t>
  </si>
  <si>
    <t>6/26/23-2:26pm</t>
  </si>
  <si>
    <t>7818-16795</t>
  </si>
  <si>
    <t>5633998</t>
  </si>
  <si>
    <t>7818-27136</t>
  </si>
  <si>
    <t>6/26/23-2:29pm</t>
  </si>
  <si>
    <t>7818-21637</t>
  </si>
  <si>
    <t>148018</t>
  </si>
  <si>
    <t>7818-26552</t>
  </si>
  <si>
    <t>683142</t>
  </si>
  <si>
    <t>7818-28031</t>
  </si>
  <si>
    <t>623041</t>
  </si>
  <si>
    <t>7818-831145</t>
  </si>
  <si>
    <t>7818-22338</t>
  </si>
  <si>
    <t>899105</t>
  </si>
  <si>
    <t>7818-26863</t>
  </si>
  <si>
    <t>424108</t>
  </si>
  <si>
    <t>7818-24949</t>
  </si>
  <si>
    <t>47070</t>
  </si>
  <si>
    <t>7818-20406</t>
  </si>
  <si>
    <t>7818-01595</t>
  </si>
  <si>
    <t>7818-16713</t>
  </si>
  <si>
    <t>658073</t>
  </si>
  <si>
    <t>7818-23039</t>
  </si>
  <si>
    <t>7818-25137</t>
  </si>
  <si>
    <t>147295</t>
  </si>
  <si>
    <t>7818-29920</t>
  </si>
  <si>
    <t>293930</t>
  </si>
  <si>
    <t>7818-27191</t>
  </si>
  <si>
    <t>7818-03053</t>
  </si>
  <si>
    <t>7818-26589</t>
  </si>
  <si>
    <t>7818-07851</t>
  </si>
  <si>
    <t>7818-24188</t>
  </si>
  <si>
    <t>693108</t>
  </si>
  <si>
    <t>6/26/23-4:07pm</t>
  </si>
  <si>
    <t>7818-26746</t>
  </si>
  <si>
    <t>7818-29586</t>
  </si>
  <si>
    <t>613056</t>
  </si>
  <si>
    <t>6/27/23-11:33am</t>
  </si>
  <si>
    <t>8:09pm</t>
  </si>
  <si>
    <t>7823-03023</t>
  </si>
  <si>
    <t>431009</t>
  </si>
  <si>
    <t>7823-03005</t>
  </si>
  <si>
    <t>5:37pm</t>
  </si>
  <si>
    <t>7810-01584</t>
  </si>
  <si>
    <t>916110</t>
  </si>
  <si>
    <t>7812-03126</t>
  </si>
  <si>
    <t>7812-03129</t>
  </si>
  <si>
    <t>342040</t>
  </si>
  <si>
    <t>7812-3929</t>
  </si>
  <si>
    <t>7812-01441</t>
  </si>
  <si>
    <t>668045</t>
  </si>
  <si>
    <t>7812-03131</t>
  </si>
  <si>
    <t>670022</t>
  </si>
  <si>
    <t>7812-03124</t>
  </si>
  <si>
    <t>7818-31052</t>
  </si>
  <si>
    <t>7818-27253</t>
  </si>
  <si>
    <t>7818-26062</t>
  </si>
  <si>
    <t>7823-02680</t>
  </si>
  <si>
    <t>29484</t>
  </si>
  <si>
    <t>6/28/23-11:55am</t>
  </si>
  <si>
    <t>6/28/23-11:56am</t>
  </si>
  <si>
    <t>6/28/23-12:10pm</t>
  </si>
  <si>
    <t>6/28/23-12:13pm</t>
  </si>
  <si>
    <t>6/28/23-12:16pm</t>
  </si>
  <si>
    <t>30042</t>
  </si>
  <si>
    <t>7818-14056</t>
  </si>
  <si>
    <t>7818-29942</t>
  </si>
  <si>
    <t>756256</t>
  </si>
  <si>
    <t>7818-4019</t>
  </si>
  <si>
    <t>6/28/23-4:17pm</t>
  </si>
  <si>
    <t>7818-25221</t>
  </si>
  <si>
    <t>409057</t>
  </si>
  <si>
    <t>7818-13589</t>
  </si>
  <si>
    <t>8170559</t>
  </si>
  <si>
    <t>7810-01193</t>
  </si>
  <si>
    <t>7818-1823</t>
  </si>
  <si>
    <t>7812-01564</t>
  </si>
  <si>
    <t>6/29/23-11:05am</t>
  </si>
  <si>
    <t>6/29/23-11:06am</t>
  </si>
  <si>
    <t>6/29/23-11:07am</t>
  </si>
  <si>
    <t>7818-25974</t>
  </si>
  <si>
    <t>7818-2466</t>
  </si>
  <si>
    <t>7818-29588</t>
  </si>
  <si>
    <t>7818-21131</t>
  </si>
  <si>
    <t>674140</t>
  </si>
  <si>
    <t>7818-26841</t>
  </si>
  <si>
    <t>626045</t>
  </si>
  <si>
    <t>7818-23665</t>
  </si>
  <si>
    <t>1:32pm</t>
  </si>
  <si>
    <t>7818-26809</t>
  </si>
  <si>
    <t>023052</t>
  </si>
  <si>
    <t>7823-02238</t>
  </si>
  <si>
    <t>M39462</t>
  </si>
  <si>
    <t>028071</t>
  </si>
  <si>
    <t>7818-18935</t>
  </si>
  <si>
    <t>7818-24635</t>
  </si>
  <si>
    <t>596132</t>
  </si>
  <si>
    <t>7818-14057</t>
  </si>
  <si>
    <t>6/30/23-3:21pm</t>
  </si>
  <si>
    <t>6/30/23-3:29pm</t>
  </si>
  <si>
    <t>6/30/23-3:30pm</t>
  </si>
  <si>
    <t>6/30/23-3:31pm</t>
  </si>
  <si>
    <t>6/30/23-3:32pm</t>
  </si>
  <si>
    <t>7810-02211</t>
  </si>
  <si>
    <t>12:08PM</t>
  </si>
  <si>
    <t>7/3/23-2:52pm</t>
  </si>
  <si>
    <t>7812-4027</t>
  </si>
  <si>
    <t>994236</t>
  </si>
  <si>
    <t>7823-02765</t>
  </si>
  <si>
    <t>M45260</t>
  </si>
  <si>
    <t>7811-00197</t>
  </si>
  <si>
    <t>722025</t>
  </si>
  <si>
    <t>7818-28631</t>
  </si>
  <si>
    <t>147476</t>
  </si>
  <si>
    <t>7818-21695</t>
  </si>
  <si>
    <t>7818-29701</t>
  </si>
  <si>
    <t>7818-29590</t>
  </si>
  <si>
    <t>7818-28422</t>
  </si>
  <si>
    <t>315018</t>
  </si>
  <si>
    <t>7818-28726</t>
  </si>
  <si>
    <t>7818-22490</t>
  </si>
  <si>
    <t>294012</t>
  </si>
  <si>
    <t>7/5/23-12:06pm</t>
  </si>
  <si>
    <t>7/5/23-12:08pm</t>
  </si>
  <si>
    <t>7818-04473</t>
  </si>
  <si>
    <t>10133</t>
  </si>
  <si>
    <t>7/5/23-12:47pm</t>
  </si>
  <si>
    <t>7810-01623</t>
  </si>
  <si>
    <t>113034</t>
  </si>
  <si>
    <t>7810-4023</t>
  </si>
  <si>
    <t>7810-15669</t>
  </si>
  <si>
    <t>7810-03413</t>
  </si>
  <si>
    <t>727213</t>
  </si>
  <si>
    <t>7810-03220</t>
  </si>
  <si>
    <t>7810-3716</t>
  </si>
  <si>
    <t>988801</t>
  </si>
  <si>
    <t>7/5/23-2:25pm</t>
  </si>
  <si>
    <t>7818-11323</t>
  </si>
  <si>
    <t>899597</t>
  </si>
  <si>
    <t>7818-24993</t>
  </si>
  <si>
    <t>366002</t>
  </si>
  <si>
    <t>7818-29495</t>
  </si>
  <si>
    <t>7/5/23-3:21pm</t>
  </si>
  <si>
    <t>7823-02846</t>
  </si>
  <si>
    <t>159008</t>
  </si>
  <si>
    <t>7818-28085</t>
  </si>
  <si>
    <t>122527</t>
  </si>
  <si>
    <t>7818-28492</t>
  </si>
  <si>
    <t>7818-25115</t>
  </si>
  <si>
    <t>621007</t>
  </si>
  <si>
    <t>7818-31162</t>
  </si>
  <si>
    <t>7818-26599</t>
  </si>
  <si>
    <t>341025</t>
  </si>
  <si>
    <t>7818-31164</t>
  </si>
  <si>
    <t>7/6/23-2:52pm</t>
  </si>
  <si>
    <t>7818-28400</t>
  </si>
  <si>
    <t>7812-03132</t>
  </si>
  <si>
    <t>7812-03142</t>
  </si>
  <si>
    <t>7812-01541</t>
  </si>
  <si>
    <t>517514</t>
  </si>
  <si>
    <t>7818-31165</t>
  </si>
  <si>
    <t>782457</t>
  </si>
  <si>
    <t>7818-28207</t>
  </si>
  <si>
    <t>954012</t>
  </si>
  <si>
    <t>7818-03128</t>
  </si>
  <si>
    <t>7812-4019</t>
  </si>
  <si>
    <t>484023</t>
  </si>
  <si>
    <t>7818-00355</t>
  </si>
  <si>
    <t>7818-21220</t>
  </si>
  <si>
    <t>8:00pm</t>
  </si>
  <si>
    <t>7812-03020</t>
  </si>
  <si>
    <t>128343</t>
  </si>
  <si>
    <t>7810-02232</t>
  </si>
  <si>
    <t>7812-05887</t>
  </si>
  <si>
    <t>7823-03335</t>
  </si>
  <si>
    <t>M46093</t>
  </si>
  <si>
    <t>7:56am</t>
  </si>
  <si>
    <t>7818-19300</t>
  </si>
  <si>
    <t>18700</t>
  </si>
  <si>
    <t>7818-26845</t>
  </si>
  <si>
    <t>298048</t>
  </si>
  <si>
    <t>7818-26835</t>
  </si>
  <si>
    <t>895051</t>
  </si>
  <si>
    <t>7810-02111</t>
  </si>
  <si>
    <t>7812-02092</t>
  </si>
  <si>
    <t>727279</t>
  </si>
  <si>
    <t>7/12/23-2:36pm</t>
  </si>
  <si>
    <t>7/12/23-2:53pm</t>
  </si>
  <si>
    <t>7/12/23-2:55pm</t>
  </si>
  <si>
    <t>7/12/23-2:56pm</t>
  </si>
  <si>
    <t>7818-25055</t>
  </si>
  <si>
    <t xml:space="preserve"> 723805</t>
  </si>
  <si>
    <t>7818-12809</t>
  </si>
  <si>
    <t>7818-14792</t>
  </si>
  <si>
    <t>259071</t>
  </si>
  <si>
    <t>7818-30913</t>
  </si>
  <si>
    <t>701029</t>
  </si>
  <si>
    <t>7818-28701</t>
  </si>
  <si>
    <t>172952</t>
  </si>
  <si>
    <t>7/12/23-2:57pm</t>
  </si>
  <si>
    <t>7/12/23-2:58pm</t>
  </si>
  <si>
    <t>7/12/23-3:00pm</t>
  </si>
  <si>
    <t>7/12/23-3:02pm</t>
  </si>
  <si>
    <t>7/12/23-3:03pm</t>
  </si>
  <si>
    <t>7/12/23-3:04pm</t>
  </si>
  <si>
    <t>7/12/23-4:07pm</t>
  </si>
  <si>
    <t>7/12/23-4:10pm</t>
  </si>
  <si>
    <t>7/12/23-4:11pm</t>
  </si>
  <si>
    <t>7810-01120</t>
  </si>
  <si>
    <t>7823-02905</t>
  </si>
  <si>
    <t>284026</t>
  </si>
  <si>
    <t>7/13/23-11:44am</t>
  </si>
  <si>
    <t>7818-28132</t>
  </si>
  <si>
    <t>4:30pm</t>
  </si>
  <si>
    <t>7818-22468</t>
  </si>
  <si>
    <t>036013</t>
  </si>
  <si>
    <t>7818-12439</t>
  </si>
  <si>
    <t>759449</t>
  </si>
  <si>
    <t>7818-30934</t>
  </si>
  <si>
    <t>7818-30977</t>
  </si>
  <si>
    <t>7818-28454</t>
  </si>
  <si>
    <t>7818-17391</t>
  </si>
  <si>
    <t>7818-26064</t>
  </si>
  <si>
    <t>7818-29948</t>
  </si>
  <si>
    <t>376024</t>
  </si>
  <si>
    <t>7818-14910</t>
  </si>
  <si>
    <t>7818-18056</t>
  </si>
  <si>
    <t>7818-29815</t>
  </si>
  <si>
    <t>089029</t>
  </si>
  <si>
    <t>7818-29865</t>
  </si>
  <si>
    <t>7818-30976</t>
  </si>
  <si>
    <t>7818-19957</t>
  </si>
  <si>
    <t>7/13/23-4:46pm</t>
  </si>
  <si>
    <t>7812-3659</t>
  </si>
  <si>
    <t>7818-29794</t>
  </si>
  <si>
    <t>7818-25283</t>
  </si>
  <si>
    <t>968512</t>
  </si>
  <si>
    <t>7/14/23-11:33am</t>
  </si>
  <si>
    <t>7/14/23-9:52am</t>
  </si>
  <si>
    <t>7818-10385</t>
  </si>
  <si>
    <t>Frame 80 Discontinued. 7/1/23, new selection SWO6 (substitute)</t>
  </si>
  <si>
    <t xml:space="preserve">Vendor did not confirm order on 3/10/23  but confirmed on 7/6/23 after liasion inquiry </t>
  </si>
  <si>
    <t>7/18/23-10:06am</t>
  </si>
  <si>
    <t>7818-14518</t>
  </si>
  <si>
    <t>7818-28173</t>
  </si>
  <si>
    <t>7/18/23-10:09am</t>
  </si>
  <si>
    <t>7812-01806</t>
  </si>
  <si>
    <t>190688</t>
  </si>
  <si>
    <t>7/18/23-10:10am</t>
  </si>
  <si>
    <t>7818-19659</t>
  </si>
  <si>
    <t>313022</t>
  </si>
  <si>
    <t>7/18/23-11:05am</t>
  </si>
  <si>
    <t>7810-02173</t>
  </si>
  <si>
    <t>7818-28229</t>
  </si>
  <si>
    <t>598107</t>
  </si>
  <si>
    <t>7/19/23-10:18am</t>
  </si>
  <si>
    <t>7818-29571</t>
  </si>
  <si>
    <t>7818-29570</t>
  </si>
  <si>
    <t>7818-29001</t>
  </si>
  <si>
    <t>056052</t>
  </si>
  <si>
    <t>7818-26898</t>
  </si>
  <si>
    <t>505072</t>
  </si>
  <si>
    <t>7/19/23-11:50am</t>
  </si>
  <si>
    <t>7815-00119</t>
  </si>
  <si>
    <t>M35784</t>
  </si>
  <si>
    <t>7/19/23-3:28pm</t>
  </si>
  <si>
    <t>7818-30978</t>
  </si>
  <si>
    <t>7812-02798</t>
  </si>
  <si>
    <t>767017</t>
  </si>
  <si>
    <t>7823-03336</t>
  </si>
  <si>
    <t>M30043</t>
  </si>
  <si>
    <t>7818-31077</t>
  </si>
  <si>
    <t>098055</t>
  </si>
  <si>
    <t>7818-29414</t>
  </si>
  <si>
    <t>7818-31047</t>
  </si>
  <si>
    <t>7818-21370</t>
  </si>
  <si>
    <t>924021</t>
  </si>
  <si>
    <t>7818-19607</t>
  </si>
  <si>
    <t>304139</t>
  </si>
  <si>
    <t>7818-19608</t>
  </si>
  <si>
    <t>7818-29951</t>
  </si>
  <si>
    <t>228052</t>
  </si>
  <si>
    <t>7818-30914</t>
  </si>
  <si>
    <t>7812-03019</t>
  </si>
  <si>
    <t>897008</t>
  </si>
  <si>
    <t>7818-21190</t>
  </si>
  <si>
    <t>818020</t>
  </si>
  <si>
    <t>7818-27138</t>
  </si>
  <si>
    <t>7810-00600</t>
  </si>
  <si>
    <t>273112</t>
  </si>
  <si>
    <t>7/21/23-11:21am</t>
  </si>
  <si>
    <t>7/21/23-11:22am</t>
  </si>
  <si>
    <t>7823-02847</t>
  </si>
  <si>
    <t>615009</t>
  </si>
  <si>
    <t>7810-01911</t>
  </si>
  <si>
    <t>7/21/23-2:27pm</t>
  </si>
  <si>
    <t>7/21/23-2:29pm</t>
  </si>
  <si>
    <t>7823-01539</t>
  </si>
  <si>
    <t>B08658</t>
  </si>
  <si>
    <t>7/21/23-3:23pm</t>
  </si>
  <si>
    <t>7818-14054</t>
  </si>
  <si>
    <t>001568</t>
  </si>
  <si>
    <t>7823-02511</t>
  </si>
  <si>
    <t>M35701</t>
  </si>
  <si>
    <t>7812-4025</t>
  </si>
  <si>
    <t>7812-3587</t>
  </si>
  <si>
    <t>7812-3797</t>
  </si>
  <si>
    <t>626015</t>
  </si>
  <si>
    <t>561235</t>
  </si>
  <si>
    <t>7812-4028</t>
  </si>
  <si>
    <t>7818-26604</t>
  </si>
  <si>
    <t>7818-28632</t>
  </si>
  <si>
    <t>618828</t>
  </si>
  <si>
    <t>7818-19728</t>
  </si>
  <si>
    <t>7818-29433</t>
  </si>
  <si>
    <t>7/24/23-3:20pm</t>
  </si>
  <si>
    <t>7/24/23-3:21pm</t>
  </si>
  <si>
    <t>7/24/23-3:22pm</t>
  </si>
  <si>
    <t>7/24/23-3:23pm</t>
  </si>
  <si>
    <t>7810-02130</t>
  </si>
  <si>
    <t>479010</t>
  </si>
  <si>
    <t>7818-13884</t>
  </si>
  <si>
    <t>7818-14954</t>
  </si>
  <si>
    <t>199220</t>
  </si>
  <si>
    <t>7818-16290</t>
  </si>
  <si>
    <t>1:49am</t>
  </si>
  <si>
    <t>7818-22390</t>
  </si>
  <si>
    <t>7818-26840</t>
  </si>
  <si>
    <t>569027</t>
  </si>
  <si>
    <t>7818-26980</t>
  </si>
  <si>
    <t>7818-28241</t>
  </si>
  <si>
    <t>565013</t>
  </si>
  <si>
    <t>7818-29901</t>
  </si>
  <si>
    <t>043062</t>
  </si>
  <si>
    <t>7/25/23-2:48pm</t>
  </si>
  <si>
    <t>7/25/23-2:54pm</t>
  </si>
  <si>
    <t>7/25/23-2:46pm</t>
  </si>
  <si>
    <t>7812-02093</t>
  </si>
  <si>
    <t>843426</t>
  </si>
  <si>
    <t>7/26/23-12:59pm</t>
  </si>
  <si>
    <t>7818-16340</t>
  </si>
  <si>
    <t>7/26/23-2:06pm</t>
  </si>
  <si>
    <t>7818-30979</t>
  </si>
  <si>
    <t>7/26/23-2:17pm</t>
  </si>
  <si>
    <t>7818-29455</t>
  </si>
  <si>
    <t>970146</t>
  </si>
  <si>
    <t>7/26/23-4:39am</t>
  </si>
  <si>
    <t>7823-01340</t>
  </si>
  <si>
    <t>7823-02816</t>
  </si>
  <si>
    <t>7/27/23-10:35am</t>
  </si>
  <si>
    <t>Post Office Return to Sender</t>
  </si>
  <si>
    <t>7812-01554</t>
  </si>
  <si>
    <t>7/28/23-11:49am</t>
  </si>
  <si>
    <t>7818-01425</t>
  </si>
  <si>
    <t>7818-25014</t>
  </si>
  <si>
    <t>928076</t>
  </si>
  <si>
    <t>7811-00307</t>
  </si>
  <si>
    <t>7811-00316</t>
  </si>
  <si>
    <t>199858</t>
  </si>
  <si>
    <t>7/28/23-3:39pm</t>
  </si>
  <si>
    <t>7/30/23-7:10pm</t>
  </si>
  <si>
    <t>5:40am</t>
  </si>
  <si>
    <t>7810-01839</t>
  </si>
  <si>
    <t>7810-02218</t>
  </si>
  <si>
    <t>658059</t>
  </si>
  <si>
    <t>7818-31214</t>
  </si>
  <si>
    <t>7/31/23-9:58am</t>
  </si>
  <si>
    <t>7/31/23-9:59am</t>
  </si>
  <si>
    <t>7818-18941</t>
  </si>
  <si>
    <t>7818-28389</t>
  </si>
  <si>
    <t>028072</t>
  </si>
  <si>
    <t>7818-18558</t>
  </si>
  <si>
    <t>7818-25819</t>
  </si>
  <si>
    <t>525043</t>
  </si>
  <si>
    <t>7818-17334</t>
  </si>
  <si>
    <t>759055</t>
  </si>
  <si>
    <t>7818-29016</t>
  </si>
  <si>
    <t>722084</t>
  </si>
  <si>
    <t>7818-19576</t>
  </si>
  <si>
    <t>7818-17760</t>
  </si>
  <si>
    <t>592049</t>
  </si>
  <si>
    <t>7818-31220</t>
  </si>
  <si>
    <t>366181</t>
  </si>
  <si>
    <t>7810-02244</t>
  </si>
  <si>
    <t>7818-29911</t>
  </si>
  <si>
    <t>7818-08649</t>
  </si>
  <si>
    <t>123061</t>
  </si>
  <si>
    <t>7818-10485</t>
  </si>
  <si>
    <t>7823-03031</t>
  </si>
  <si>
    <t>595001</t>
  </si>
  <si>
    <t>8/1/23-12:46pm</t>
  </si>
  <si>
    <t>8/1/23-12:47pm</t>
  </si>
  <si>
    <t>8/1/23-12:48pm</t>
  </si>
  <si>
    <t>8/1/23-12:49pm</t>
  </si>
  <si>
    <t>7823-01537</t>
  </si>
  <si>
    <t>B08651</t>
  </si>
  <si>
    <t>8/1/23-3:28pm</t>
  </si>
  <si>
    <t>7:14am</t>
  </si>
  <si>
    <t>7810-01924</t>
  </si>
  <si>
    <t>7812-03133</t>
  </si>
  <si>
    <t>7810-01629</t>
  </si>
  <si>
    <t>842088</t>
  </si>
  <si>
    <t>7810-01630</t>
  </si>
  <si>
    <t>658362</t>
  </si>
  <si>
    <t>7818-29484</t>
  </si>
  <si>
    <t>7818-29434</t>
  </si>
  <si>
    <t>7818-18826</t>
  </si>
  <si>
    <t>8/2/23-9:53am</t>
  </si>
  <si>
    <t>8/2/23-9:55am</t>
  </si>
  <si>
    <t>8/2/23-9:56am</t>
  </si>
  <si>
    <t>8/2/23-9:57am</t>
  </si>
  <si>
    <t>7818-29013</t>
  </si>
  <si>
    <t>8/2/23-10:47am</t>
  </si>
  <si>
    <t>1:39am</t>
  </si>
  <si>
    <t>7823-01538</t>
  </si>
  <si>
    <t>B01223</t>
  </si>
  <si>
    <t>7810-01920</t>
  </si>
  <si>
    <t>8/2/23-3:22pm</t>
  </si>
  <si>
    <t>8/2/23-3:22am</t>
  </si>
  <si>
    <t>7818-01989</t>
  </si>
  <si>
    <t>928045</t>
  </si>
  <si>
    <t>7818-31079</t>
  </si>
  <si>
    <t>7818-28270</t>
  </si>
  <si>
    <t>7818-14847</t>
  </si>
  <si>
    <t>215036</t>
  </si>
  <si>
    <t>7818-23363</t>
  </si>
  <si>
    <t>7818-32139</t>
  </si>
  <si>
    <t>7818-23386</t>
  </si>
  <si>
    <t>5:55pm</t>
  </si>
  <si>
    <t>7810-01792</t>
  </si>
  <si>
    <t>7810-01119</t>
  </si>
  <si>
    <t>8/3/23-5:21pm</t>
  </si>
  <si>
    <t>8/4/23-9:25am</t>
  </si>
  <si>
    <t>7818-28214</t>
  </si>
  <si>
    <t>645005</t>
  </si>
  <si>
    <t>8/4/23-10:29am</t>
  </si>
  <si>
    <t>7824-00452</t>
  </si>
  <si>
    <t>7824-00444</t>
  </si>
  <si>
    <t>657008</t>
  </si>
  <si>
    <t>7810-02284</t>
  </si>
  <si>
    <t>8/7/23-9:23am</t>
  </si>
  <si>
    <t>7812-3709</t>
  </si>
  <si>
    <t>7812-03314</t>
  </si>
  <si>
    <t>7812-02285</t>
  </si>
  <si>
    <t>809130</t>
  </si>
  <si>
    <t>7818-30933</t>
  </si>
  <si>
    <t>290204</t>
  </si>
  <si>
    <t>7818-32146</t>
  </si>
  <si>
    <t>7818-32145</t>
  </si>
  <si>
    <t>7818-16946</t>
  </si>
  <si>
    <t>595017</t>
  </si>
  <si>
    <t>7818-14009</t>
  </si>
  <si>
    <t>322039</t>
  </si>
  <si>
    <t>201243</t>
  </si>
  <si>
    <t>7818-15946</t>
  </si>
  <si>
    <t>470077</t>
  </si>
  <si>
    <t>7810-02264</t>
  </si>
  <si>
    <t>903010</t>
  </si>
  <si>
    <t>7823-03061</t>
  </si>
  <si>
    <t>8/8/23-10:23am</t>
  </si>
  <si>
    <t>8/8/23-10:28am</t>
  </si>
  <si>
    <t>8/8/23-10:30am</t>
  </si>
  <si>
    <t>7818-20820</t>
  </si>
  <si>
    <t>7818-28228</t>
  </si>
  <si>
    <t>727631</t>
  </si>
  <si>
    <t>7818-28271</t>
  </si>
  <si>
    <t>763024</t>
  </si>
  <si>
    <t>220SA</t>
  </si>
  <si>
    <t>7818-14911</t>
  </si>
  <si>
    <t>013128</t>
  </si>
  <si>
    <t>7818-24638</t>
  </si>
  <si>
    <t>450257</t>
  </si>
  <si>
    <t>7818-32103</t>
  </si>
  <si>
    <t>7811-00317</t>
  </si>
  <si>
    <t>124650</t>
  </si>
  <si>
    <t>7810-01499</t>
  </si>
  <si>
    <t>7823-02992</t>
  </si>
  <si>
    <t>176016</t>
  </si>
  <si>
    <t>42439</t>
  </si>
  <si>
    <t>7818-30796</t>
  </si>
  <si>
    <t>7811-00198</t>
  </si>
  <si>
    <t>722053</t>
  </si>
  <si>
    <t>8/10/23-12:20pm</t>
  </si>
  <si>
    <t>8/10/23-12:25pm</t>
  </si>
  <si>
    <t>8/10/23-12:26pm</t>
  </si>
  <si>
    <t>8/10/23-12:28pm</t>
  </si>
  <si>
    <t>8/10/23-12:59pm</t>
  </si>
  <si>
    <t>7823-02444</t>
  </si>
  <si>
    <t>7818-26551</t>
  </si>
  <si>
    <t>7818-26813</t>
  </si>
  <si>
    <t>176120</t>
  </si>
  <si>
    <t>7818-14710</t>
  </si>
  <si>
    <t>8/11/23-9:24am</t>
  </si>
  <si>
    <t>8/11/23-9:27am</t>
  </si>
  <si>
    <t>7818-24994</t>
  </si>
  <si>
    <t>466029</t>
  </si>
  <si>
    <t>7818-29826</t>
  </si>
  <si>
    <t>996001</t>
  </si>
  <si>
    <t>7810-02216</t>
  </si>
  <si>
    <t>8/14/23-10:57am</t>
  </si>
  <si>
    <t>7818-28215</t>
  </si>
  <si>
    <t>618018</t>
  </si>
  <si>
    <t>8/14/26-11:26am</t>
  </si>
  <si>
    <t>7812-04601</t>
  </si>
  <si>
    <t>620124</t>
  </si>
  <si>
    <t>7818-18305</t>
  </si>
  <si>
    <t>7818-27323</t>
  </si>
  <si>
    <t>8/14/26-12:40am</t>
  </si>
  <si>
    <t>7818-16866</t>
  </si>
  <si>
    <t>881063</t>
  </si>
  <si>
    <t>8/14/23-3:17pm</t>
  </si>
  <si>
    <t>8/14/23-12:20pm</t>
  </si>
  <si>
    <t>8/14/23-4:20pm</t>
  </si>
  <si>
    <t>7818-05438</t>
  </si>
  <si>
    <t>942004</t>
  </si>
  <si>
    <t>8/15/23-2:19PM</t>
  </si>
  <si>
    <t>10:02pm</t>
  </si>
  <si>
    <t>7823-02815</t>
  </si>
  <si>
    <t>7818-20822</t>
  </si>
  <si>
    <t>7818-28009</t>
  </si>
  <si>
    <t>973049</t>
  </si>
  <si>
    <t>7818-16917</t>
  </si>
  <si>
    <t>7818-28255</t>
  </si>
  <si>
    <t>432166</t>
  </si>
  <si>
    <t>7818-29532</t>
  </si>
  <si>
    <t>7818-31226</t>
  </si>
  <si>
    <t>036031</t>
  </si>
  <si>
    <t>7818-09258</t>
  </si>
  <si>
    <t>7818-26839</t>
  </si>
  <si>
    <t>183004</t>
  </si>
  <si>
    <t>7824-00458</t>
  </si>
  <si>
    <t>02731</t>
  </si>
  <si>
    <t>7818-20255</t>
  </si>
  <si>
    <t>8/16/23-3:21pm</t>
  </si>
  <si>
    <t>8/16/23-3:22pm</t>
  </si>
  <si>
    <t>8/16/23-3:23pm</t>
  </si>
  <si>
    <t>8/16/23-3:24pm</t>
  </si>
  <si>
    <t>7818-25498</t>
  </si>
  <si>
    <t>7818-28238</t>
  </si>
  <si>
    <t>262042</t>
  </si>
  <si>
    <t>7818-26198</t>
  </si>
  <si>
    <t>634026</t>
  </si>
  <si>
    <t>8/17/23-2:53pm</t>
  </si>
  <si>
    <t>7812-02131</t>
  </si>
  <si>
    <t>7812-02132</t>
  </si>
  <si>
    <t>716015</t>
  </si>
  <si>
    <t>7818-23903</t>
  </si>
  <si>
    <t>8/18/23-12:51pm</t>
  </si>
  <si>
    <t>7818-30926</t>
  </si>
  <si>
    <t>051004</t>
  </si>
  <si>
    <t>7818-29497</t>
  </si>
  <si>
    <t>7818-26891</t>
  </si>
  <si>
    <t>658400</t>
  </si>
  <si>
    <t>7823-0266</t>
  </si>
  <si>
    <t>7818-15377</t>
  </si>
  <si>
    <t>166082</t>
  </si>
  <si>
    <t>8/18/23-3:54pm</t>
  </si>
  <si>
    <t>8/18/23-3:56pm</t>
  </si>
  <si>
    <t>7818-28448</t>
  </si>
  <si>
    <t>7818-19325</t>
  </si>
  <si>
    <t>7818-22382</t>
  </si>
  <si>
    <t>131093</t>
  </si>
  <si>
    <t>7818-12890</t>
  </si>
  <si>
    <t>111015</t>
  </si>
  <si>
    <t>7818-13272</t>
  </si>
  <si>
    <t>908013</t>
  </si>
  <si>
    <t>7818-29950</t>
  </si>
  <si>
    <t>7818-20177</t>
  </si>
  <si>
    <t>7818-15086</t>
  </si>
  <si>
    <t>626018</t>
  </si>
  <si>
    <t>7810-01594</t>
  </si>
  <si>
    <t>826098</t>
  </si>
  <si>
    <t>8/21/23-3:21pm</t>
  </si>
  <si>
    <t>8/21/23-12:09pm</t>
  </si>
  <si>
    <t>8/21/23-12:36pm</t>
  </si>
  <si>
    <t>8/22/23-2:33pm</t>
  </si>
  <si>
    <t>326019</t>
  </si>
  <si>
    <t>8/22/23-2:34pm</t>
  </si>
  <si>
    <t>103005</t>
  </si>
  <si>
    <t>605175</t>
  </si>
  <si>
    <t>7818-28377</t>
  </si>
  <si>
    <t>7818-20430</t>
  </si>
  <si>
    <t>7818-28013</t>
  </si>
  <si>
    <t>7815-00123</t>
  </si>
  <si>
    <t>M36013</t>
  </si>
  <si>
    <t>7815-00120</t>
  </si>
  <si>
    <t>M44333</t>
  </si>
  <si>
    <t>8/22/23-3:44pm</t>
  </si>
  <si>
    <t>7810-01199</t>
  </si>
  <si>
    <t>7810-01664</t>
  </si>
  <si>
    <t>7810-02132</t>
  </si>
  <si>
    <t>8/23/23-9:48am</t>
  </si>
  <si>
    <t>7818-23604</t>
  </si>
  <si>
    <t>088168</t>
  </si>
  <si>
    <t>7818-26553</t>
  </si>
  <si>
    <t>7818-18232</t>
  </si>
  <si>
    <t>8/23/23-2:58pm</t>
  </si>
  <si>
    <t>8/23/23-2:59pm</t>
  </si>
  <si>
    <t>7818-22423</t>
  </si>
  <si>
    <t>7818-28420</t>
  </si>
  <si>
    <t>127140</t>
  </si>
  <si>
    <t>7810-02119</t>
  </si>
  <si>
    <t>912018</t>
  </si>
  <si>
    <t>8/23/23-11:08am</t>
  </si>
  <si>
    <t>8/24/23-11:10am</t>
  </si>
  <si>
    <t>8/24/23-11:11am</t>
  </si>
  <si>
    <t>7818-25641</t>
  </si>
  <si>
    <t>7818-17754</t>
  </si>
  <si>
    <t>366149</t>
  </si>
  <si>
    <t>7818-11660</t>
  </si>
  <si>
    <t>666004</t>
  </si>
  <si>
    <t>7818-31618</t>
  </si>
  <si>
    <t>7818-28236</t>
  </si>
  <si>
    <t>348057</t>
  </si>
  <si>
    <t>8/24/23-4:08pm</t>
  </si>
  <si>
    <t>7818-31167</t>
  </si>
  <si>
    <t>8/25/23-9:30am</t>
  </si>
  <si>
    <t>7810-02135</t>
  </si>
  <si>
    <t>916058</t>
  </si>
  <si>
    <t>8/25/23-10:42am</t>
  </si>
  <si>
    <t>7812-4018</t>
  </si>
  <si>
    <t>8/25/23-11:13am</t>
  </si>
  <si>
    <t>12:12am</t>
  </si>
  <si>
    <t>7824-00291</t>
  </si>
  <si>
    <t>409029</t>
  </si>
  <si>
    <t>7824-00268</t>
  </si>
  <si>
    <t>624378</t>
  </si>
  <si>
    <t>8/25/23-12:27am</t>
  </si>
  <si>
    <t>7818-31101</t>
  </si>
  <si>
    <t>7818-29937</t>
  </si>
  <si>
    <t>8/25/23-2:55pm</t>
  </si>
  <si>
    <t>7818-24952</t>
  </si>
  <si>
    <t>7818-16944</t>
  </si>
  <si>
    <t>7818-24821</t>
  </si>
  <si>
    <t>7818-23925</t>
  </si>
  <si>
    <t>8/28/23-4:09pm</t>
  </si>
  <si>
    <t>7818-28237</t>
  </si>
  <si>
    <t>756377</t>
  </si>
  <si>
    <t>7818-18233</t>
  </si>
  <si>
    <t>778050</t>
  </si>
  <si>
    <t>7818-03016</t>
  </si>
  <si>
    <t>012033</t>
  </si>
  <si>
    <t>7818-3837</t>
  </si>
  <si>
    <t>220A</t>
  </si>
  <si>
    <t>7818-02294</t>
  </si>
  <si>
    <t>7818-22697</t>
  </si>
  <si>
    <t>7818-29032</t>
  </si>
  <si>
    <t>7818-19418</t>
  </si>
  <si>
    <t>928050</t>
  </si>
  <si>
    <t>7818-26812</t>
  </si>
  <si>
    <t>752083</t>
  </si>
  <si>
    <t>7818-31168</t>
  </si>
  <si>
    <t>7818-31169</t>
  </si>
  <si>
    <t>8/29/23-3:34pm</t>
  </si>
  <si>
    <t>8/29/23-3:35pm</t>
  </si>
  <si>
    <t>8/29/23-3:36pm</t>
  </si>
  <si>
    <t>7818-26065</t>
  </si>
  <si>
    <t>073240</t>
  </si>
  <si>
    <t>8/30/23-10:04am</t>
  </si>
  <si>
    <t>8/30/23-11:04am</t>
  </si>
  <si>
    <t>7823-03036</t>
  </si>
  <si>
    <t>214012</t>
  </si>
  <si>
    <t>8/30/23-10:28am</t>
  </si>
  <si>
    <t>7818-22424</t>
  </si>
  <si>
    <t>7818-31067</t>
  </si>
  <si>
    <t>851011</t>
  </si>
  <si>
    <t>7818-31633</t>
  </si>
  <si>
    <t>7818-17333</t>
  </si>
  <si>
    <t>423181</t>
  </si>
  <si>
    <t>7818-09263</t>
  </si>
  <si>
    <t>474015</t>
  </si>
  <si>
    <t>7818-30939</t>
  </si>
  <si>
    <t>201138</t>
  </si>
  <si>
    <t>7818-29930</t>
  </si>
  <si>
    <t>262027</t>
  </si>
  <si>
    <t>7818-09740</t>
  </si>
  <si>
    <t>538341</t>
  </si>
  <si>
    <t>7818-26857</t>
  </si>
  <si>
    <t>431077</t>
  </si>
  <si>
    <t>7818-28147</t>
  </si>
  <si>
    <t>057039</t>
  </si>
  <si>
    <t>7818-21751</t>
  </si>
  <si>
    <t>7818-10556</t>
  </si>
  <si>
    <t>706841</t>
  </si>
  <si>
    <t>7818-21223</t>
  </si>
  <si>
    <t>563506</t>
  </si>
  <si>
    <t>7818-28457</t>
  </si>
  <si>
    <t>7823-02781</t>
  </si>
  <si>
    <t>8/31/23-1:22pm</t>
  </si>
  <si>
    <t>8/31/23-1:21pm</t>
  </si>
  <si>
    <t>7818-31617</t>
  </si>
  <si>
    <t>35054</t>
  </si>
  <si>
    <t>8/31/23-3:37pm</t>
  </si>
  <si>
    <t>4:52pm</t>
  </si>
  <si>
    <t>7818-31634</t>
  </si>
  <si>
    <t>7818-17335</t>
  </si>
  <si>
    <t>7818-19835</t>
  </si>
  <si>
    <t>4:55pm</t>
  </si>
  <si>
    <t>7818-31635</t>
  </si>
  <si>
    <t>8/31/23-5:11pm</t>
  </si>
  <si>
    <t>7818-21208</t>
  </si>
  <si>
    <t>807068</t>
  </si>
  <si>
    <t>9/1/23-9:25am</t>
  </si>
  <si>
    <t>7812-02764</t>
  </si>
  <si>
    <t>470526</t>
  </si>
  <si>
    <t>9/1/23-11:31am</t>
  </si>
  <si>
    <t>7818-25642</t>
  </si>
  <si>
    <t>9/1/23-3:34pm</t>
  </si>
  <si>
    <t>7811-00314</t>
  </si>
  <si>
    <t>9/2/23-5:07pm</t>
  </si>
  <si>
    <t>8/25/23-12:27PM</t>
  </si>
  <si>
    <t>7824-00457</t>
  </si>
  <si>
    <t>427065</t>
  </si>
  <si>
    <t>9/5/23-10:59am</t>
  </si>
  <si>
    <t>7824-00445</t>
  </si>
  <si>
    <t>7824-00423</t>
  </si>
  <si>
    <t>7824-00446</t>
  </si>
  <si>
    <t>634013</t>
  </si>
  <si>
    <t>7812-3718</t>
  </si>
  <si>
    <t>240755</t>
  </si>
  <si>
    <t>7818-26982</t>
  </si>
  <si>
    <t>713001</t>
  </si>
  <si>
    <t>7818-28056</t>
  </si>
  <si>
    <t>215063</t>
  </si>
  <si>
    <t>7818-18038</t>
  </si>
  <si>
    <t>7818-31631</t>
  </si>
  <si>
    <t>061000</t>
  </si>
  <si>
    <t>7818-12441</t>
  </si>
  <si>
    <t>9/5/23-3:34pm</t>
  </si>
  <si>
    <t>9/5/23-3:35pm</t>
  </si>
  <si>
    <t>7818-28479</t>
  </si>
  <si>
    <t>598880</t>
  </si>
  <si>
    <t>9/6/23-11:55am</t>
  </si>
  <si>
    <t>7818-23044</t>
  </si>
  <si>
    <t>615074</t>
  </si>
  <si>
    <t>7810-01631</t>
  </si>
  <si>
    <t>596137</t>
  </si>
  <si>
    <t>7818-25817</t>
  </si>
  <si>
    <t>7818-27401</t>
  </si>
  <si>
    <t>7818-27334</t>
  </si>
  <si>
    <t>7818-23707</t>
  </si>
  <si>
    <t>739032</t>
  </si>
  <si>
    <t>7818-31219</t>
  </si>
  <si>
    <t>817024</t>
  </si>
  <si>
    <t>brown</t>
  </si>
  <si>
    <t>9/7/23-2:59pm</t>
  </si>
  <si>
    <t>4:12pm</t>
  </si>
  <si>
    <t>7818-21337</t>
  </si>
  <si>
    <t>7818-25844</t>
  </si>
  <si>
    <t>824123</t>
  </si>
  <si>
    <t>7818-18557</t>
  </si>
  <si>
    <t>7818-14651</t>
  </si>
  <si>
    <t>7818-21938</t>
  </si>
  <si>
    <t>523126</t>
  </si>
  <si>
    <t>9/8/23-9:37am</t>
  </si>
  <si>
    <t>7818-30902</t>
  </si>
  <si>
    <t>7810-02245</t>
  </si>
  <si>
    <t>311121</t>
  </si>
  <si>
    <t>7810-02153</t>
  </si>
  <si>
    <t>9/8/23-11:27am</t>
  </si>
  <si>
    <t>7818-30905</t>
  </si>
  <si>
    <t>7818-27035</t>
  </si>
  <si>
    <t>012220</t>
  </si>
  <si>
    <t>7818-29551</t>
  </si>
  <si>
    <t>7818-30991</t>
  </si>
  <si>
    <t>871592</t>
  </si>
  <si>
    <t>7818-30993</t>
  </si>
  <si>
    <t>9/8/23-3:33pm</t>
  </si>
  <si>
    <t>9/8/23-3:35pm</t>
  </si>
  <si>
    <t>7823-03227</t>
  </si>
  <si>
    <t>B09978</t>
  </si>
  <si>
    <t>8:08am</t>
  </si>
  <si>
    <t>7823-03226</t>
  </si>
  <si>
    <t>B07054</t>
  </si>
  <si>
    <t>9/7/23-3:00pm</t>
  </si>
  <si>
    <r>
      <t>6/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4/23-2:57pm</t>
    </r>
  </si>
  <si>
    <t>9/11/23-1:04pm</t>
  </si>
  <si>
    <t>9/11/23-1:10pm</t>
  </si>
  <si>
    <t>7812-05001</t>
  </si>
  <si>
    <t>7812-04509</t>
  </si>
  <si>
    <t>7812-04511</t>
  </si>
  <si>
    <t>9/11/23-1:11pm</t>
  </si>
  <si>
    <t>7810-02228</t>
  </si>
  <si>
    <t>7818-32204</t>
  </si>
  <si>
    <t>9/12/23-9:48am</t>
  </si>
  <si>
    <t>7818-25645</t>
  </si>
  <si>
    <t>9/12/23-9:49am</t>
  </si>
  <si>
    <t>7812-04708</t>
  </si>
  <si>
    <t>7823-03230</t>
  </si>
  <si>
    <t>7818-27422</t>
  </si>
  <si>
    <t>455021</t>
  </si>
  <si>
    <t>872024</t>
  </si>
  <si>
    <t>427059</t>
  </si>
  <si>
    <t>021033</t>
  </si>
  <si>
    <t>359013</t>
  </si>
  <si>
    <t>B09966</t>
  </si>
  <si>
    <t>9/11/23-1:06pm</t>
  </si>
  <si>
    <t>9/12/23--12:57pm</t>
  </si>
  <si>
    <t>7818-32147</t>
  </si>
  <si>
    <t>7818-07338</t>
  </si>
  <si>
    <t>7818-24844</t>
  </si>
  <si>
    <t>9/12/23-2:18pm</t>
  </si>
  <si>
    <t>9/12/23-2:21pm</t>
  </si>
  <si>
    <t>7823-02445</t>
  </si>
  <si>
    <t>470043</t>
  </si>
  <si>
    <t>7812-04508</t>
  </si>
  <si>
    <t>7818-31269</t>
  </si>
  <si>
    <t>964171</t>
  </si>
  <si>
    <t>9/13/23-2:48pm</t>
  </si>
  <si>
    <t>7818-31647</t>
  </si>
  <si>
    <t>941026</t>
  </si>
  <si>
    <t>7818-28149</t>
  </si>
  <si>
    <t>7818-11863</t>
  </si>
  <si>
    <t>910703</t>
  </si>
  <si>
    <t>7818-25896</t>
  </si>
  <si>
    <t>921098</t>
  </si>
  <si>
    <t>7818-19836</t>
  </si>
  <si>
    <t>147177</t>
  </si>
  <si>
    <t>7818-4038</t>
  </si>
  <si>
    <t>7818-11903</t>
  </si>
  <si>
    <t>9/14/23-9:19am</t>
  </si>
  <si>
    <t>7818-11623</t>
  </si>
  <si>
    <t>7810-00580</t>
  </si>
  <si>
    <t>566078</t>
  </si>
  <si>
    <t>7818-25016</t>
  </si>
  <si>
    <t>289197</t>
  </si>
  <si>
    <t>7818-30929</t>
  </si>
  <si>
    <t>011239</t>
  </si>
  <si>
    <t>9/14/23-2:32pm</t>
  </si>
  <si>
    <t>9/14/23-2:39pm</t>
  </si>
  <si>
    <t>7812-04949</t>
  </si>
  <si>
    <t>7812-3588</t>
  </si>
  <si>
    <t>310026</t>
  </si>
  <si>
    <t>7823-03337</t>
  </si>
  <si>
    <t>843749</t>
  </si>
  <si>
    <t>7818-08488</t>
  </si>
  <si>
    <t>66295</t>
  </si>
  <si>
    <t>9/15/23-9:53am</t>
  </si>
  <si>
    <t>9/15/23-9:54am</t>
  </si>
  <si>
    <t>7810-02233</t>
  </si>
  <si>
    <t>9/15/23-10:46am</t>
  </si>
  <si>
    <t>Form #</t>
  </si>
  <si>
    <t>7823-03231</t>
  </si>
  <si>
    <t>B10038</t>
  </si>
  <si>
    <t>9/15/23-12:26pm</t>
  </si>
  <si>
    <t>7818-29427</t>
  </si>
  <si>
    <t>084056</t>
  </si>
  <si>
    <t>9/15/23-2:47pm</t>
  </si>
  <si>
    <t>7810-01316</t>
  </si>
  <si>
    <t>259018</t>
  </si>
  <si>
    <t>9/15/23-10:59am</t>
  </si>
  <si>
    <t>7818-29800</t>
  </si>
  <si>
    <t>7818-25847</t>
  </si>
  <si>
    <t>7818-29946</t>
  </si>
  <si>
    <t>7818-26662</t>
  </si>
  <si>
    <t>7818-25858</t>
  </si>
  <si>
    <t>7818-23230</t>
  </si>
  <si>
    <t>7818-09377</t>
  </si>
  <si>
    <t>521194</t>
  </si>
  <si>
    <t>137324</t>
  </si>
  <si>
    <t>658387</t>
  </si>
  <si>
    <t>726161</t>
  </si>
  <si>
    <t>9/18/23-2:18pm</t>
  </si>
  <si>
    <t>7818-31244</t>
  </si>
  <si>
    <t>647023</t>
  </si>
  <si>
    <t>7818-25005</t>
  </si>
  <si>
    <t>9/18/23-2:37pm</t>
  </si>
  <si>
    <t>7818-28681</t>
  </si>
  <si>
    <t>630012</t>
  </si>
  <si>
    <t>7818-31171</t>
  </si>
  <si>
    <t>7812-04952</t>
  </si>
  <si>
    <t>9/19/23-9:19am</t>
  </si>
  <si>
    <t>9/19/23-9:20am</t>
  </si>
  <si>
    <t>7823-03044</t>
  </si>
  <si>
    <t>452016</t>
  </si>
  <si>
    <t>7818-30949</t>
  </si>
  <si>
    <t>587090</t>
  </si>
  <si>
    <t>9/19/23-1:56pm</t>
  </si>
  <si>
    <t>7823-02817</t>
  </si>
  <si>
    <t>M42875</t>
  </si>
  <si>
    <t>9/19/23-3:38pm</t>
  </si>
  <si>
    <t>7:12am</t>
  </si>
  <si>
    <t>7818-30953</t>
  </si>
  <si>
    <t>7818-30701</t>
  </si>
  <si>
    <t>566069</t>
  </si>
  <si>
    <t>7812-04605</t>
  </si>
  <si>
    <t>9/20/23-9:33am</t>
  </si>
  <si>
    <t>7812-04950</t>
  </si>
  <si>
    <t>809121</t>
  </si>
  <si>
    <t>7818-30756</t>
  </si>
  <si>
    <t>9/20/23-12:18pm</t>
  </si>
  <si>
    <t>7812-04709</t>
  </si>
  <si>
    <t>498117</t>
  </si>
  <si>
    <t>9/20/2023-2:42pm</t>
  </si>
  <si>
    <t>7818-32250</t>
  </si>
  <si>
    <t>763037</t>
  </si>
  <si>
    <t>7818-32148</t>
  </si>
  <si>
    <t>7818-26588</t>
  </si>
  <si>
    <t>7818-07761</t>
  </si>
  <si>
    <t>127139</t>
  </si>
  <si>
    <t>7818-23736</t>
  </si>
  <si>
    <t>7818-24902</t>
  </si>
  <si>
    <t>7818-31218</t>
  </si>
  <si>
    <t>968462</t>
  </si>
  <si>
    <t>7818-24504</t>
  </si>
  <si>
    <t>726053</t>
  </si>
  <si>
    <t>7818-38024</t>
  </si>
  <si>
    <t>260079</t>
  </si>
  <si>
    <t>7818-30946</t>
  </si>
  <si>
    <t>77113</t>
  </si>
  <si>
    <t>7818-32141</t>
  </si>
  <si>
    <t>203907</t>
  </si>
  <si>
    <t>7818-26850</t>
  </si>
  <si>
    <t>727628</t>
  </si>
  <si>
    <t>7818-17745</t>
  </si>
  <si>
    <t>672038</t>
  </si>
  <si>
    <t>7818-01670</t>
  </si>
  <si>
    <t>9/21/23-9:21am</t>
  </si>
  <si>
    <t>7812-04715</t>
  </si>
  <si>
    <t>610031</t>
  </si>
  <si>
    <t>7818-27428</t>
  </si>
  <si>
    <t>7818-31172</t>
  </si>
  <si>
    <t>6:31 am</t>
  </si>
  <si>
    <t>218288</t>
  </si>
  <si>
    <t>9/22/23-9:17am</t>
  </si>
  <si>
    <t>7812-04703</t>
  </si>
  <si>
    <t>7818-31619</t>
  </si>
  <si>
    <t>9/22/23-3:12pm</t>
  </si>
  <si>
    <t>7823-02951</t>
  </si>
  <si>
    <t>28575</t>
  </si>
  <si>
    <t>7810-01861</t>
  </si>
  <si>
    <t>986013</t>
  </si>
  <si>
    <t>9/25/2023-2:19pm</t>
  </si>
  <si>
    <t>7818-32252</t>
  </si>
  <si>
    <t>7818-27340</t>
  </si>
  <si>
    <t>694962</t>
  </si>
  <si>
    <t>7818-30960</t>
  </si>
  <si>
    <t>371765</t>
  </si>
  <si>
    <t>7818-03772</t>
  </si>
  <si>
    <t>7818-28232</t>
  </si>
  <si>
    <t>498148</t>
  </si>
  <si>
    <t>7812-03473</t>
  </si>
  <si>
    <t>9/26/2023-9:19am</t>
  </si>
  <si>
    <t>9/26/2023-9:23am</t>
  </si>
  <si>
    <t>7818-27081</t>
  </si>
  <si>
    <t>7818-16218</t>
  </si>
  <si>
    <t>130411</t>
  </si>
  <si>
    <t>7818-28628</t>
  </si>
  <si>
    <t>7818-11624</t>
  </si>
  <si>
    <t>012170</t>
  </si>
  <si>
    <t>7818-15033</t>
  </si>
  <si>
    <t>GM</t>
  </si>
  <si>
    <t>9/26/2023-2:33pm</t>
  </si>
  <si>
    <t>9/26/2023-2:34pm</t>
  </si>
  <si>
    <t>7811-00320</t>
  </si>
  <si>
    <t>242822</t>
  </si>
  <si>
    <t>9/27/2023-9:09am</t>
  </si>
  <si>
    <t>7812-01819</t>
  </si>
  <si>
    <t>9/27/2023-9:33am</t>
  </si>
  <si>
    <t>7810-01147</t>
  </si>
  <si>
    <t>818008</t>
  </si>
  <si>
    <t>GUN</t>
  </si>
  <si>
    <t>9/27/2023-3:04pm</t>
  </si>
  <si>
    <t>4:40pm</t>
  </si>
  <si>
    <t>7818-18884</t>
  </si>
  <si>
    <t>626537</t>
  </si>
  <si>
    <t>7818-32868</t>
  </si>
  <si>
    <t>826080</t>
  </si>
  <si>
    <t>7818-24372</t>
  </si>
  <si>
    <t>131105</t>
  </si>
  <si>
    <t>7818-29556</t>
  </si>
  <si>
    <t>073072</t>
  </si>
  <si>
    <t>7818-11661</t>
  </si>
  <si>
    <t>7818-24208</t>
  </si>
  <si>
    <t>259104</t>
  </si>
  <si>
    <t>7818-25800</t>
  </si>
  <si>
    <t>9/27/2023-4:48pm</t>
  </si>
  <si>
    <t>7818-25859</t>
  </si>
  <si>
    <t>411026</t>
  </si>
  <si>
    <t>7818-25002</t>
  </si>
  <si>
    <t>851047</t>
  </si>
  <si>
    <t>9/28/2023-10:44am</t>
  </si>
  <si>
    <t>7818-18907</t>
  </si>
  <si>
    <t>7818-27404</t>
  </si>
  <si>
    <t>9/28/2023-2:57pm</t>
  </si>
  <si>
    <t>7823-03121</t>
  </si>
  <si>
    <t>M24102</t>
  </si>
  <si>
    <t>7823-02993</t>
  </si>
  <si>
    <t>619763</t>
  </si>
  <si>
    <t>9/29/2023-10:12am</t>
  </si>
  <si>
    <t>7818-25703</t>
  </si>
  <si>
    <t>425077</t>
  </si>
  <si>
    <t>7818-15525</t>
  </si>
  <si>
    <t>043008</t>
  </si>
  <si>
    <t>9/29/2023-3:50pm</t>
  </si>
  <si>
    <t>9/29/2023-4:13pm</t>
  </si>
  <si>
    <t>7:59am</t>
  </si>
  <si>
    <t>7812-3717</t>
  </si>
  <si>
    <t>7812-01228</t>
  </si>
  <si>
    <t>7812-3576</t>
  </si>
  <si>
    <t>10/2/2023-9:27am</t>
  </si>
  <si>
    <t>7812-3630</t>
  </si>
  <si>
    <t>474018</t>
  </si>
  <si>
    <t>7810-01593</t>
  </si>
  <si>
    <t>7818-07082</t>
  </si>
  <si>
    <t>7818-32882</t>
  </si>
  <si>
    <t>964343</t>
  </si>
  <si>
    <t>7818-32253</t>
  </si>
  <si>
    <t>7818-29959</t>
  </si>
  <si>
    <t>658230</t>
  </si>
  <si>
    <t>7818-26985</t>
  </si>
  <si>
    <t>385059</t>
  </si>
  <si>
    <t>7818-12897</t>
  </si>
  <si>
    <t>10/2/2023-3:08pm</t>
  </si>
  <si>
    <t>7818-17714</t>
  </si>
  <si>
    <t>10/2/2023-3:16pm</t>
  </si>
  <si>
    <t>10/2/2023-3:17pm</t>
  </si>
  <si>
    <t>7818-15852</t>
  </si>
  <si>
    <t>10/2/2023 5:08pm</t>
  </si>
  <si>
    <t>7823-03414</t>
  </si>
  <si>
    <t>BOJ864</t>
  </si>
  <si>
    <t>7812-01763</t>
  </si>
  <si>
    <t>7812-04506</t>
  </si>
  <si>
    <t>7812-04526</t>
  </si>
  <si>
    <t>7818-18635</t>
  </si>
  <si>
    <t>670005</t>
  </si>
  <si>
    <t>7818-27606</t>
  </si>
  <si>
    <t>7818-27405</t>
  </si>
  <si>
    <t>10/4/2023-9:26am</t>
  </si>
  <si>
    <t>7823-02244</t>
  </si>
  <si>
    <t>M34519</t>
  </si>
  <si>
    <t>7823-02243</t>
  </si>
  <si>
    <t>7823-02237</t>
  </si>
  <si>
    <t>M36122</t>
  </si>
  <si>
    <t>7823-02611</t>
  </si>
  <si>
    <t>M36134</t>
  </si>
  <si>
    <t>10/4/2023-3:02pm</t>
  </si>
  <si>
    <t>10/4/2023-3:03pm</t>
  </si>
  <si>
    <t>7812-4037</t>
  </si>
  <si>
    <t>7812-04651</t>
  </si>
  <si>
    <t>265029</t>
  </si>
  <si>
    <t>7811-00034</t>
  </si>
  <si>
    <t>605072</t>
  </si>
  <si>
    <t>10/5/2023-9:31am</t>
  </si>
  <si>
    <t>10/5/2023-9:32am</t>
  </si>
  <si>
    <t>10/5/2023-9:33am</t>
  </si>
  <si>
    <t>7818-26667</t>
  </si>
  <si>
    <t>902014</t>
  </si>
  <si>
    <t>7818-17330</t>
  </si>
  <si>
    <t>887216</t>
  </si>
  <si>
    <t>7812-03440</t>
  </si>
  <si>
    <t>7818-22512</t>
  </si>
  <si>
    <t>726155</t>
  </si>
  <si>
    <t>7818-32820</t>
  </si>
  <si>
    <t>7818-28234</t>
  </si>
  <si>
    <t>411025</t>
  </si>
  <si>
    <t>7818-25818</t>
  </si>
  <si>
    <t>727635</t>
  </si>
  <si>
    <t>7818-25088</t>
  </si>
  <si>
    <t>741142</t>
  </si>
  <si>
    <t>7818-25793</t>
  </si>
  <si>
    <t>059049</t>
  </si>
  <si>
    <t>7818-32883</t>
  </si>
  <si>
    <t>110192</t>
  </si>
  <si>
    <t>10/5/2023-3:42pm</t>
  </si>
  <si>
    <t>7824-00467</t>
  </si>
  <si>
    <t>7812-04743</t>
  </si>
  <si>
    <t>7824-00469</t>
  </si>
  <si>
    <t>10/6/2023-3:13pm</t>
  </si>
  <si>
    <t>10/6/2023-3:14pm</t>
  </si>
  <si>
    <t>10/6/2023-3:15pm</t>
  </si>
  <si>
    <t>7818-27427</t>
  </si>
  <si>
    <t>7818-16337</t>
  </si>
  <si>
    <t>7818-11368</t>
  </si>
  <si>
    <t>10/9/23-11:52am</t>
  </si>
  <si>
    <t>7823-01858</t>
  </si>
  <si>
    <t>331551</t>
  </si>
  <si>
    <t>5:38pm</t>
  </si>
  <si>
    <t>7818-19610</t>
  </si>
  <si>
    <t>647019</t>
  </si>
  <si>
    <t>7818-21602</t>
  </si>
  <si>
    <t>286822</t>
  </si>
  <si>
    <t>7818-31213</t>
  </si>
  <si>
    <t>7810-01598</t>
  </si>
  <si>
    <t>001077</t>
  </si>
  <si>
    <t>7818-20813</t>
  </si>
  <si>
    <t>057012</t>
  </si>
  <si>
    <t>7818-28060</t>
  </si>
  <si>
    <t>359035</t>
  </si>
  <si>
    <t>7812-04904</t>
  </si>
  <si>
    <t>064004</t>
  </si>
  <si>
    <t>10/10/23-9:41am</t>
  </si>
  <si>
    <t>314018</t>
  </si>
  <si>
    <t>10/10/23-9:44am</t>
  </si>
  <si>
    <t>7818-26668</t>
  </si>
  <si>
    <t>988997</t>
  </si>
  <si>
    <t>10/10/23-9:48am</t>
  </si>
  <si>
    <t>10/10/23-9:49am</t>
  </si>
  <si>
    <t>10/10/23-9:50am</t>
  </si>
  <si>
    <t>7818-31173</t>
  </si>
  <si>
    <t>10/10/23-9:52am</t>
  </si>
  <si>
    <t>7812-04518</t>
  </si>
  <si>
    <t>7818-22935</t>
  </si>
  <si>
    <t>10/10/23-3:14pm</t>
  </si>
  <si>
    <t>10/10/23-11:50am</t>
  </si>
  <si>
    <t>7818-21420</t>
  </si>
  <si>
    <t>7818-27607</t>
  </si>
  <si>
    <t>450140</t>
  </si>
  <si>
    <t>10/11/23-10:44am</t>
  </si>
  <si>
    <t>7823-03172</t>
  </si>
  <si>
    <t>10/11/23-12:02pm</t>
  </si>
  <si>
    <t>7810-01397</t>
  </si>
  <si>
    <t>807084</t>
  </si>
  <si>
    <t>7810-01863</t>
  </si>
  <si>
    <t>7818-30938</t>
  </si>
  <si>
    <t>10/12/23-9:15am</t>
  </si>
  <si>
    <t>10/12/23-11:46am</t>
  </si>
  <si>
    <t>7818-00130</t>
  </si>
  <si>
    <t>241806</t>
  </si>
  <si>
    <t>7818-00097</t>
  </si>
  <si>
    <t>683562</t>
  </si>
  <si>
    <t>10/12/23-12:45pm</t>
  </si>
  <si>
    <t>7812-3559</t>
  </si>
  <si>
    <t>10/12/23-1:42pm</t>
  </si>
  <si>
    <t>7818-24901</t>
  </si>
  <si>
    <t>7818-14756</t>
  </si>
  <si>
    <t>337082</t>
  </si>
  <si>
    <t>7818-10762</t>
  </si>
  <si>
    <t>012193</t>
  </si>
  <si>
    <t>7818-17377</t>
  </si>
  <si>
    <t>7818-19813</t>
  </si>
  <si>
    <t>166073</t>
  </si>
  <si>
    <t>7818-27336</t>
  </si>
  <si>
    <t>B02104</t>
  </si>
  <si>
    <t>7818-24459</t>
  </si>
  <si>
    <t>10/12/23-2:42pm</t>
  </si>
  <si>
    <t>3:55pm</t>
  </si>
  <si>
    <t>7818-32889</t>
  </si>
  <si>
    <t>219017</t>
  </si>
  <si>
    <t>10/12/23-3:58pm</t>
  </si>
  <si>
    <t>4:07pm</t>
  </si>
  <si>
    <t>4:13pm</t>
  </si>
  <si>
    <t>7818-22250</t>
  </si>
  <si>
    <t>7818-25774</t>
  </si>
  <si>
    <t>10/12/23-4:14pm</t>
  </si>
  <si>
    <t>7818-04704</t>
  </si>
  <si>
    <t>7812-04559</t>
  </si>
  <si>
    <t>889605</t>
  </si>
  <si>
    <t>7810-03012</t>
  </si>
  <si>
    <t>7810-00591</t>
  </si>
  <si>
    <t>758658</t>
  </si>
  <si>
    <t>10/13/23-11:26am</t>
  </si>
  <si>
    <t>10/13/23-11:27am</t>
  </si>
  <si>
    <t>10/13/23-11:28am</t>
  </si>
  <si>
    <t>7818-28213</t>
  </si>
  <si>
    <t>768015</t>
  </si>
  <si>
    <t>10/13/23-12:16pm</t>
  </si>
  <si>
    <t>7818-26423</t>
  </si>
  <si>
    <t>759145</t>
  </si>
  <si>
    <t>7818-12857</t>
  </si>
  <si>
    <t>789079</t>
  </si>
  <si>
    <t>10/13/23-3:47pm</t>
  </si>
  <si>
    <t>7818-28223</t>
  </si>
  <si>
    <t>658401</t>
  </si>
  <si>
    <t>7818-32808</t>
  </si>
  <si>
    <t>06931</t>
  </si>
  <si>
    <t>7818-21400</t>
  </si>
  <si>
    <t>7818-24917</t>
  </si>
  <si>
    <t>515019</t>
  </si>
  <si>
    <t>10/13/23-2:15pm</t>
  </si>
  <si>
    <t>7812-04540</t>
  </si>
  <si>
    <t>10/13/23-2:16pm</t>
  </si>
  <si>
    <t>7823-03252</t>
  </si>
  <si>
    <t>202793</t>
  </si>
  <si>
    <t>7818-32901</t>
  </si>
  <si>
    <t>7818-26550</t>
  </si>
  <si>
    <t>439449</t>
  </si>
  <si>
    <t>7818-07811</t>
  </si>
  <si>
    <t>10/16/23-4:05pm</t>
  </si>
  <si>
    <t>7812-01030</t>
  </si>
  <si>
    <t>070010</t>
  </si>
  <si>
    <t>7818-25440</t>
  </si>
  <si>
    <t>7818-27605</t>
  </si>
  <si>
    <t>7818-25101</t>
  </si>
  <si>
    <t>157018</t>
  </si>
  <si>
    <t>10/17/23-3:01pm</t>
  </si>
  <si>
    <t>10/17/23-9:30am</t>
  </si>
  <si>
    <t>7812-04723</t>
  </si>
  <si>
    <t>7812-04525</t>
  </si>
  <si>
    <t>7812-04721</t>
  </si>
  <si>
    <t>662050</t>
  </si>
  <si>
    <t>10/18/23-9:03am</t>
  </si>
  <si>
    <t>1:40am</t>
  </si>
  <si>
    <t>7818-26657</t>
  </si>
  <si>
    <t>7812-04609</t>
  </si>
  <si>
    <t>7812-04610</t>
  </si>
  <si>
    <t>906083</t>
  </si>
  <si>
    <t>7812-03123</t>
  </si>
  <si>
    <t>036015</t>
  </si>
  <si>
    <t>7812-03134</t>
  </si>
  <si>
    <t>062008</t>
  </si>
  <si>
    <t>7812-04607</t>
  </si>
  <si>
    <t>424107</t>
  </si>
  <si>
    <t>10/18/23-2:21pm</t>
  </si>
  <si>
    <t>7812-04541</t>
  </si>
  <si>
    <t>7812-3703</t>
  </si>
  <si>
    <t>818017</t>
  </si>
  <si>
    <t>10/19/23-9:09am</t>
  </si>
  <si>
    <t>7818-28049</t>
  </si>
  <si>
    <t>433050</t>
  </si>
  <si>
    <t>7818-24601</t>
  </si>
  <si>
    <t>7818-27701</t>
  </si>
  <si>
    <t>7818-01544</t>
  </si>
  <si>
    <t>56107</t>
  </si>
  <si>
    <t>7818-24325</t>
  </si>
  <si>
    <t>7818-24314</t>
  </si>
  <si>
    <t>7818-32809</t>
  </si>
  <si>
    <t>123081</t>
  </si>
  <si>
    <t>7818-28001</t>
  </si>
  <si>
    <t>865018</t>
  </si>
  <si>
    <t>7818-30955</t>
  </si>
  <si>
    <t>7818-22696</t>
  </si>
  <si>
    <t>857812</t>
  </si>
  <si>
    <t>7818-27087</t>
  </si>
  <si>
    <t>7818-26910</t>
  </si>
  <si>
    <t>7818-25849</t>
  </si>
  <si>
    <t>104356</t>
  </si>
  <si>
    <t>10/19/23-4:26pm</t>
  </si>
  <si>
    <t>7823-03150</t>
  </si>
  <si>
    <t>919148</t>
  </si>
  <si>
    <t>10/20/23-9:33am</t>
  </si>
  <si>
    <t>3:32am</t>
  </si>
  <si>
    <t>7818-32887</t>
  </si>
  <si>
    <t>7818-32144</t>
  </si>
  <si>
    <t>609011</t>
  </si>
  <si>
    <t>7818-26445</t>
  </si>
  <si>
    <t>728039</t>
  </si>
  <si>
    <t>7818-31002</t>
  </si>
  <si>
    <t>7818-18629</t>
  </si>
  <si>
    <t>10/20/23-3:37pm</t>
  </si>
  <si>
    <t>7823-03014</t>
  </si>
  <si>
    <t>887128</t>
  </si>
  <si>
    <t>10/23/23-11:57am</t>
  </si>
  <si>
    <t>7818-27084</t>
  </si>
  <si>
    <t>7818-32801</t>
  </si>
  <si>
    <t>7818-16783</t>
  </si>
  <si>
    <t>7818-23650</t>
  </si>
  <si>
    <t>7818-22215</t>
  </si>
  <si>
    <t>104410</t>
  </si>
  <si>
    <t>7818-18908</t>
  </si>
  <si>
    <t>7818-25054</t>
  </si>
  <si>
    <t>10/23/23-2:06pm</t>
  </si>
  <si>
    <t>7818-15037</t>
  </si>
  <si>
    <t>7818-25001</t>
  </si>
  <si>
    <t>366134</t>
  </si>
  <si>
    <t>10/23/23-4:12pm</t>
  </si>
  <si>
    <t>7812-04717</t>
  </si>
  <si>
    <t>7812-04528</t>
  </si>
  <si>
    <t>10/23/23-9:14am</t>
  </si>
  <si>
    <t>7812-04613</t>
  </si>
  <si>
    <t>7812-04606</t>
  </si>
  <si>
    <t>04606</t>
  </si>
  <si>
    <t>7812-04953</t>
  </si>
  <si>
    <t>010664</t>
  </si>
  <si>
    <t>10/23/23-11:06am</t>
  </si>
  <si>
    <t>7818-32896</t>
  </si>
  <si>
    <t>7818-21658</t>
  </si>
  <si>
    <t>354061</t>
  </si>
  <si>
    <t>10/24/23-3:37pm</t>
  </si>
  <si>
    <t>4:48pm</t>
  </si>
  <si>
    <t>7823-02223</t>
  </si>
  <si>
    <t>B04502</t>
  </si>
  <si>
    <t>10/24/23-5:40pm</t>
  </si>
  <si>
    <t>7823-02818</t>
  </si>
  <si>
    <t>10/25/23-10:11am</t>
  </si>
  <si>
    <t>7810-02300</t>
  </si>
  <si>
    <t>7810-04719</t>
  </si>
  <si>
    <t>10/25/23-11:09am</t>
  </si>
  <si>
    <t>7818-28247</t>
  </si>
  <si>
    <t>610040</t>
  </si>
  <si>
    <t>7818-26611</t>
  </si>
  <si>
    <t>535084</t>
  </si>
  <si>
    <t>063024</t>
  </si>
  <si>
    <t>7818-19735</t>
  </si>
  <si>
    <t>7818-32898</t>
  </si>
  <si>
    <t>995083</t>
  </si>
  <si>
    <t>10/25/23-3:53pm</t>
  </si>
  <si>
    <t>7812-04566</t>
  </si>
  <si>
    <t>7812-04505</t>
  </si>
  <si>
    <t>10/26/23-9:52am</t>
  </si>
  <si>
    <t>7818-26865</t>
  </si>
  <si>
    <t>041065</t>
  </si>
  <si>
    <t>7818-09447</t>
  </si>
  <si>
    <t>675032</t>
  </si>
  <si>
    <t>7818-19838</t>
  </si>
  <si>
    <t>7818-32909</t>
  </si>
  <si>
    <t>943012</t>
  </si>
  <si>
    <t>7818-31217</t>
  </si>
  <si>
    <t>262007</t>
  </si>
  <si>
    <t>7818-23511</t>
  </si>
  <si>
    <t>245044</t>
  </si>
  <si>
    <t>7818-28246</t>
  </si>
  <si>
    <t>446306</t>
  </si>
  <si>
    <t>7818-20731</t>
  </si>
  <si>
    <t>097003</t>
  </si>
  <si>
    <t>7818-22016</t>
  </si>
  <si>
    <t>7818-26852</t>
  </si>
  <si>
    <t>685009</t>
  </si>
  <si>
    <t>809182</t>
  </si>
  <si>
    <t>10/26/23-10:24am</t>
  </si>
  <si>
    <t>7818-33348</t>
  </si>
  <si>
    <t>7818-24441</t>
  </si>
  <si>
    <t>382007</t>
  </si>
  <si>
    <t>10/26/23-4:22pm</t>
  </si>
  <si>
    <t>5:53pm</t>
  </si>
  <si>
    <t>7818-17390</t>
  </si>
  <si>
    <t>10/26/23-5:57pm</t>
  </si>
  <si>
    <t>7812-01027</t>
  </si>
  <si>
    <t>533024</t>
  </si>
  <si>
    <t>7810-01552</t>
  </si>
  <si>
    <t>7818-17036</t>
  </si>
  <si>
    <t>7823-03356</t>
  </si>
  <si>
    <t>10/27/23-2:51pm</t>
  </si>
  <si>
    <t>4:27pm</t>
  </si>
  <si>
    <t>298049</t>
  </si>
  <si>
    <t>7818-26448</t>
  </si>
  <si>
    <t>7818-19093</t>
  </si>
  <si>
    <t>735010</t>
  </si>
  <si>
    <t>7818-26449</t>
  </si>
  <si>
    <t>199379</t>
  </si>
  <si>
    <t>7823-03161</t>
  </si>
  <si>
    <t>7812-03358</t>
  </si>
  <si>
    <t>7812-4030</t>
  </si>
  <si>
    <t>7818-29969</t>
  </si>
  <si>
    <t>7818-28243</t>
  </si>
  <si>
    <t>832400</t>
  </si>
  <si>
    <t>7818-26415</t>
  </si>
  <si>
    <t>734030</t>
  </si>
  <si>
    <t>7818-32807</t>
  </si>
  <si>
    <t>451022</t>
  </si>
  <si>
    <t>7818-32828</t>
  </si>
  <si>
    <t>658295</t>
  </si>
  <si>
    <t>7818-19148</t>
  </si>
  <si>
    <t>238049</t>
  </si>
  <si>
    <t>7818-16223</t>
  </si>
  <si>
    <t>7818-33350</t>
  </si>
  <si>
    <t>809022</t>
  </si>
  <si>
    <t>7818-25583</t>
  </si>
  <si>
    <t>926001</t>
  </si>
  <si>
    <t>7818-32822</t>
  </si>
  <si>
    <t>950003</t>
  </si>
  <si>
    <t>7818-33351</t>
  </si>
  <si>
    <t>7812-04902</t>
  </si>
  <si>
    <t>7811-00203</t>
  </si>
  <si>
    <t>7811-00321</t>
  </si>
  <si>
    <t>739015</t>
  </si>
  <si>
    <t>10/31/23-10:29am</t>
  </si>
  <si>
    <t>10/31/23-10:33am</t>
  </si>
  <si>
    <t>10/31/23-10:34am</t>
  </si>
  <si>
    <t>10/31/23-10:35am</t>
  </si>
  <si>
    <t>10/31/23-10:36am</t>
  </si>
  <si>
    <t>7818-21712</t>
  </si>
  <si>
    <t>645596</t>
  </si>
  <si>
    <t>7818-32899</t>
  </si>
  <si>
    <t>020057</t>
  </si>
  <si>
    <t>7818-28227</t>
  </si>
  <si>
    <t>587130</t>
  </si>
  <si>
    <t>7818-15318</t>
  </si>
  <si>
    <t>7818-14453</t>
  </si>
  <si>
    <t>766050</t>
  </si>
  <si>
    <t>7818-25897</t>
  </si>
  <si>
    <t>10/31/23-12:14pm</t>
  </si>
  <si>
    <t>7818-32900</t>
  </si>
  <si>
    <t>7818-18059</t>
  </si>
  <si>
    <t>995153</t>
  </si>
  <si>
    <t>10/31/23-3:49pm</t>
  </si>
  <si>
    <t>7:18pm</t>
  </si>
  <si>
    <t>7811-00329</t>
  </si>
  <si>
    <t>499096</t>
  </si>
  <si>
    <t>11/1/23-9:18pm</t>
  </si>
  <si>
    <t>7823-01342</t>
  </si>
  <si>
    <t>B11479</t>
  </si>
  <si>
    <t>11/1/23-11:35am</t>
  </si>
  <si>
    <t>7812-04517</t>
  </si>
  <si>
    <t>11/1/23-1:12pm</t>
  </si>
  <si>
    <t>7818-27407</t>
  </si>
  <si>
    <t>7818-11452</t>
  </si>
  <si>
    <t>7818-31247</t>
  </si>
  <si>
    <t>7818-2669</t>
  </si>
  <si>
    <t>782044</t>
  </si>
  <si>
    <t>7818-29971</t>
  </si>
  <si>
    <t>11/1/23-3:38pm</t>
  </si>
  <si>
    <t>11/1/23-3:42pm</t>
  </si>
  <si>
    <t>7812-04612</t>
  </si>
  <si>
    <t>597103</t>
  </si>
  <si>
    <t>7818-29956</t>
  </si>
  <si>
    <t>7818-27706</t>
  </si>
  <si>
    <t>7818-26807</t>
  </si>
  <si>
    <t>222052</t>
  </si>
  <si>
    <t>7818-14546</t>
  </si>
  <si>
    <t>756249</t>
  </si>
  <si>
    <t>7818-26521</t>
  </si>
  <si>
    <t>7818-30966</t>
  </si>
  <si>
    <t>7818-28272</t>
  </si>
  <si>
    <t>7818-32818</t>
  </si>
  <si>
    <t>7823-03415</t>
  </si>
  <si>
    <t>7818-25810</t>
  </si>
  <si>
    <t>996127</t>
  </si>
  <si>
    <t>7818-26990</t>
  </si>
  <si>
    <t>5:25pm</t>
  </si>
  <si>
    <t>7818-31650</t>
  </si>
  <si>
    <t>11/3/23-1:23pm</t>
  </si>
  <si>
    <t>11/3/23-1:24pm</t>
  </si>
  <si>
    <t>11/3/23-1:25pm</t>
  </si>
  <si>
    <t>7:13pm</t>
  </si>
  <si>
    <t>7810-02210</t>
  </si>
  <si>
    <t>008025</t>
  </si>
  <si>
    <t>7812-01990</t>
  </si>
  <si>
    <t>7812-04585</t>
  </si>
  <si>
    <t>918137</t>
  </si>
  <si>
    <t>7818-29974</t>
  </si>
  <si>
    <t>7818-33355</t>
  </si>
  <si>
    <t>678134</t>
  </si>
  <si>
    <t>7818-29555</t>
  </si>
  <si>
    <t>7818-21950</t>
  </si>
  <si>
    <t>102050</t>
  </si>
  <si>
    <t>7818-28682</t>
  </si>
  <si>
    <t>276042</t>
  </si>
  <si>
    <t>7818-33356</t>
  </si>
  <si>
    <t>7818-33354</t>
  </si>
  <si>
    <t>7812-4020</t>
  </si>
  <si>
    <t>11/7/23-10:22am</t>
  </si>
  <si>
    <t>7818-25894</t>
  </si>
  <si>
    <t>7818-32202</t>
  </si>
  <si>
    <t>7818-10947</t>
  </si>
  <si>
    <t>7818-32802</t>
  </si>
  <si>
    <t>7818-27088</t>
  </si>
  <si>
    <t>7818-26558</t>
  </si>
  <si>
    <t>11/7/23-10:23am</t>
  </si>
  <si>
    <t>7818-26665</t>
  </si>
  <si>
    <t>11/7/23-10:26pm</t>
  </si>
  <si>
    <t>7818-28180</t>
  </si>
  <si>
    <t>7818-18060</t>
  </si>
  <si>
    <t>7818-23253</t>
  </si>
  <si>
    <t>7818-18061</t>
  </si>
  <si>
    <t>7818-20841</t>
  </si>
  <si>
    <t>7824-00476</t>
  </si>
  <si>
    <t>11/7/23-10:27pm</t>
  </si>
  <si>
    <t>7824-00402</t>
  </si>
  <si>
    <t>7824-00474</t>
  </si>
  <si>
    <t>7824-00473</t>
  </si>
  <si>
    <t>7824-00477</t>
  </si>
  <si>
    <t>11/7/23-10:45am</t>
  </si>
  <si>
    <t>7823-03162</t>
  </si>
  <si>
    <t>641222</t>
  </si>
  <si>
    <t>776755</t>
  </si>
  <si>
    <t>145153</t>
  </si>
  <si>
    <t>549018</t>
  </si>
  <si>
    <t>176011</t>
  </si>
  <si>
    <t>544011</t>
  </si>
  <si>
    <t>742351</t>
  </si>
  <si>
    <t>472000</t>
  </si>
  <si>
    <t>11/7/23-9:44am</t>
  </si>
  <si>
    <t>11/7/23-9:49am</t>
  </si>
  <si>
    <t>11/7/23-10:02am</t>
  </si>
  <si>
    <t>11/7/23-10:17am</t>
  </si>
  <si>
    <t>11/6/23-2:58pm</t>
  </si>
  <si>
    <t>7823-03338</t>
  </si>
  <si>
    <t>740617</t>
  </si>
  <si>
    <t>11/7/23-1:27pm</t>
  </si>
  <si>
    <t xml:space="preserve">11:01am </t>
  </si>
  <si>
    <t>7812-00380</t>
  </si>
  <si>
    <t>7812-03097</t>
  </si>
  <si>
    <t>7812-04584</t>
  </si>
  <si>
    <t>7812-04560</t>
  </si>
  <si>
    <t>11/8/23-11:27am</t>
  </si>
  <si>
    <t>3:17pm</t>
  </si>
  <si>
    <t>7818-28032</t>
  </si>
  <si>
    <t>521175</t>
  </si>
  <si>
    <t>11/8/23-3:57pm</t>
  </si>
  <si>
    <t>7818-16911</t>
  </si>
  <si>
    <t>7818-28151</t>
  </si>
  <si>
    <t>7818-11367</t>
  </si>
  <si>
    <t>872004</t>
  </si>
  <si>
    <t>7818-33347</t>
  </si>
  <si>
    <t>7818-33204</t>
  </si>
  <si>
    <t>946223</t>
  </si>
  <si>
    <t>7818-29976</t>
  </si>
  <si>
    <t>7818-31053</t>
  </si>
  <si>
    <t>7818-29965</t>
  </si>
  <si>
    <t>7818-29836</t>
  </si>
  <si>
    <t>072065</t>
  </si>
  <si>
    <t>7812-04586</t>
  </si>
  <si>
    <t>7812-00806</t>
  </si>
  <si>
    <t>7818-25803</t>
  </si>
  <si>
    <t>7818-28225</t>
  </si>
  <si>
    <t>658365</t>
  </si>
  <si>
    <t>11/9/23-6:24pm</t>
  </si>
  <si>
    <t>11/9/23-6:25pm</t>
  </si>
  <si>
    <t>11/9/23-6:26pm</t>
  </si>
  <si>
    <t>7818-14913</t>
  </si>
  <si>
    <t>7818-28242</t>
  </si>
  <si>
    <t>917162</t>
  </si>
  <si>
    <t>7818-16892</t>
  </si>
  <si>
    <t>732017</t>
  </si>
  <si>
    <t>7818-27733</t>
  </si>
  <si>
    <t>598112</t>
  </si>
  <si>
    <t>7818-26044</t>
  </si>
  <si>
    <t>7818-11704</t>
  </si>
  <si>
    <t>524002</t>
  </si>
  <si>
    <t>7818-08650</t>
  </si>
  <si>
    <t>437021</t>
  </si>
  <si>
    <t>7818-22932</t>
  </si>
  <si>
    <t>7818-25911</t>
  </si>
  <si>
    <t>387153</t>
  </si>
  <si>
    <t>7818-33363</t>
  </si>
  <si>
    <t>7818-33364</t>
  </si>
  <si>
    <t>11/13/23-12:28pm</t>
  </si>
  <si>
    <t>11/13/23-10:45am</t>
  </si>
  <si>
    <t>7823-02820</t>
  </si>
  <si>
    <t>11/13/23-2:13pm</t>
  </si>
  <si>
    <t>7812-04507</t>
  </si>
  <si>
    <t>11/13/23-2:44pm</t>
  </si>
  <si>
    <t>7812-02598</t>
  </si>
  <si>
    <t>11/14/23-3:08pm</t>
  </si>
  <si>
    <t>11/15/23-9:24am</t>
  </si>
  <si>
    <t>7812-02843</t>
  </si>
  <si>
    <t>11/15/23-11:34am</t>
  </si>
  <si>
    <t>7810-0042</t>
  </si>
  <si>
    <t>566959</t>
  </si>
  <si>
    <t>11/15/23-2:28pm</t>
  </si>
  <si>
    <t>7818-14058</t>
  </si>
  <si>
    <t>7818-32916</t>
  </si>
  <si>
    <t>533035</t>
  </si>
  <si>
    <t>7818-29559</t>
  </si>
  <si>
    <t>3:05pm</t>
  </si>
  <si>
    <t>7818-29968</t>
  </si>
  <si>
    <t>7818-14708</t>
  </si>
  <si>
    <t>7818-30702</t>
  </si>
  <si>
    <t>7033788</t>
  </si>
  <si>
    <t>7818-30965</t>
  </si>
  <si>
    <t>446217</t>
  </si>
  <si>
    <t>7818-26924</t>
  </si>
  <si>
    <t>703067</t>
  </si>
  <si>
    <t>11/15/23-5:58pm</t>
  </si>
  <si>
    <t>11/15/23-5:59pm</t>
  </si>
  <si>
    <t>7812-04727</t>
  </si>
  <si>
    <t>7812-04616</t>
  </si>
  <si>
    <t>726171</t>
  </si>
  <si>
    <t>11/16/23-9:46am</t>
  </si>
  <si>
    <t>7823-03413</t>
  </si>
  <si>
    <t>B2091</t>
  </si>
  <si>
    <t>7818-33353</t>
  </si>
  <si>
    <t>7818-18229</t>
  </si>
  <si>
    <t>360030</t>
  </si>
  <si>
    <t>7818-12332</t>
  </si>
  <si>
    <t>11/16/23-3:27pm</t>
  </si>
  <si>
    <t>7818-15035</t>
  </si>
  <si>
    <t>7818-29952</t>
  </si>
  <si>
    <t>11/17/23-9:33am</t>
  </si>
  <si>
    <t>7818-29505</t>
  </si>
  <si>
    <t>421052</t>
  </si>
  <si>
    <t>7812-04595</t>
  </si>
  <si>
    <t>7812-04594</t>
  </si>
  <si>
    <t>7818-18937</t>
  </si>
  <si>
    <t>7818-09325</t>
  </si>
  <si>
    <t>424052</t>
  </si>
  <si>
    <t>7818-28702</t>
  </si>
  <si>
    <t>678592</t>
  </si>
  <si>
    <t>7818-27780</t>
  </si>
  <si>
    <t>7818-15319</t>
  </si>
  <si>
    <t>11/17/23-3:26pm</t>
  </si>
  <si>
    <t>11/17/23-3:27pm</t>
  </si>
  <si>
    <t>7811-00315</t>
  </si>
  <si>
    <t>324036</t>
  </si>
  <si>
    <t>11/17/23-4:59pm</t>
  </si>
  <si>
    <t>7818-16918</t>
  </si>
  <si>
    <t>7818-10450</t>
  </si>
  <si>
    <t>7818-27613</t>
  </si>
  <si>
    <t>11/20/23-9:16am</t>
  </si>
  <si>
    <t>7818-33654</t>
  </si>
  <si>
    <t>7818-23257</t>
  </si>
  <si>
    <t>7818-07813</t>
  </si>
  <si>
    <t>11/20/23-11:44am</t>
  </si>
  <si>
    <t>4:00pm</t>
  </si>
  <si>
    <t>7818-22399</t>
  </si>
  <si>
    <t>11/20/23-4:27pm</t>
  </si>
  <si>
    <t>6:19pm</t>
  </si>
  <si>
    <t>7818-18885</t>
  </si>
  <si>
    <t>291603</t>
  </si>
  <si>
    <t>7823-03102</t>
  </si>
  <si>
    <t>280033</t>
  </si>
  <si>
    <t>7823-03201</t>
  </si>
  <si>
    <t>11/21/23-9:10am</t>
  </si>
  <si>
    <t>7823-02821</t>
  </si>
  <si>
    <t>7818-29977</t>
  </si>
  <si>
    <t>7818-18371</t>
  </si>
  <si>
    <t>964414</t>
  </si>
  <si>
    <t>7818-14652</t>
  </si>
  <si>
    <t>7818-33361</t>
  </si>
  <si>
    <t>7812-3774</t>
  </si>
  <si>
    <t>994030</t>
  </si>
  <si>
    <t>7812-04561</t>
  </si>
  <si>
    <t>733627</t>
  </si>
  <si>
    <t>11/21/23-1:34pm</t>
  </si>
  <si>
    <t>11/21/23-1:35pm</t>
  </si>
  <si>
    <t>3:45pm</t>
  </si>
  <si>
    <t>7818-00259</t>
  </si>
  <si>
    <t>641791</t>
  </si>
  <si>
    <t>7818-17941</t>
  </si>
  <si>
    <t>M36345</t>
  </si>
  <si>
    <t>7818-31612</t>
  </si>
  <si>
    <t>081023</t>
  </si>
  <si>
    <t>7818-11366</t>
  </si>
  <si>
    <t>519001</t>
  </si>
  <si>
    <t>7818-22629</t>
  </si>
  <si>
    <t>168022</t>
  </si>
  <si>
    <t>7818-22700</t>
  </si>
  <si>
    <t>511143</t>
  </si>
  <si>
    <t>7818-33202</t>
  </si>
  <si>
    <t>993006</t>
  </si>
  <si>
    <t>7818-33201</t>
  </si>
  <si>
    <t>7818-23367</t>
  </si>
  <si>
    <t>7818-26986</t>
  </si>
  <si>
    <t>7818-25188</t>
  </si>
  <si>
    <t>Brown/orange</t>
  </si>
  <si>
    <t>7818-33360</t>
  </si>
  <si>
    <t>7818-32805</t>
  </si>
  <si>
    <t>7818-33660</t>
  </si>
  <si>
    <t>7818-01955</t>
  </si>
  <si>
    <t>191038</t>
  </si>
  <si>
    <t>7818-19015</t>
  </si>
  <si>
    <t>7818-27313</t>
  </si>
  <si>
    <t>826000</t>
  </si>
  <si>
    <t>832409</t>
  </si>
  <si>
    <t>7818-27745</t>
  </si>
  <si>
    <t>7818-01884</t>
  </si>
  <si>
    <t>7818-10429</t>
  </si>
  <si>
    <t>807008</t>
  </si>
  <si>
    <t>7818-27348</t>
  </si>
  <si>
    <t>882381</t>
  </si>
  <si>
    <t>7818-30919</t>
  </si>
  <si>
    <t>429031</t>
  </si>
  <si>
    <t>7818-25305</t>
  </si>
  <si>
    <t>096011</t>
  </si>
  <si>
    <t>7823-02668</t>
  </si>
  <si>
    <t>11/27/23-12:33pm</t>
  </si>
  <si>
    <t>11/27/23-10:06am</t>
  </si>
  <si>
    <t>7824-00478</t>
  </si>
  <si>
    <t>7824-00466</t>
  </si>
  <si>
    <t>756381</t>
  </si>
  <si>
    <t>7824-00470</t>
  </si>
  <si>
    <t>7824-00464</t>
  </si>
  <si>
    <t>439529</t>
  </si>
  <si>
    <t>11/27/23-3:.36pm</t>
  </si>
  <si>
    <t>11/22/23-9:46am</t>
  </si>
  <si>
    <t>11/27/23-4:33pm</t>
  </si>
  <si>
    <t>4:34pm</t>
  </si>
  <si>
    <t>7818-26894</t>
  </si>
  <si>
    <t>485013</t>
  </si>
  <si>
    <t>7818-15290</t>
  </si>
  <si>
    <t>726278</t>
  </si>
  <si>
    <t>7818-28463</t>
  </si>
  <si>
    <t>11/27/23-4:35pm</t>
  </si>
  <si>
    <t>11/27/23-4:36pm</t>
  </si>
  <si>
    <t>7823-03347</t>
  </si>
  <si>
    <t>027259</t>
  </si>
  <si>
    <t>7812-04513</t>
  </si>
  <si>
    <t>11/28/23-9:26am</t>
  </si>
  <si>
    <t>11/28/23-9:27am</t>
  </si>
  <si>
    <t>7812-04621</t>
  </si>
  <si>
    <t>676082</t>
  </si>
  <si>
    <t>7812-00398</t>
  </si>
  <si>
    <t>730009</t>
  </si>
  <si>
    <t>11/28/23-2:13pm</t>
  </si>
  <si>
    <t>7823-01371</t>
  </si>
  <si>
    <t>B08157</t>
  </si>
  <si>
    <t>7823-02710</t>
  </si>
  <si>
    <t>727144</t>
  </si>
  <si>
    <t>7823-02708</t>
  </si>
  <si>
    <t>763005</t>
  </si>
  <si>
    <t>7823-02711</t>
  </si>
  <si>
    <t>728015</t>
  </si>
  <si>
    <t>7823-02707</t>
  </si>
  <si>
    <t>7810-01729</t>
  </si>
  <si>
    <t>7812-04578</t>
  </si>
  <si>
    <t>7812-04567</t>
  </si>
  <si>
    <t>811048</t>
  </si>
  <si>
    <t>11/29/23-11:32am</t>
  </si>
  <si>
    <t>12:23am</t>
  </si>
  <si>
    <t>7823-02245</t>
  </si>
  <si>
    <t>M43795</t>
  </si>
  <si>
    <t>7823-02247</t>
  </si>
  <si>
    <t>M31664</t>
  </si>
  <si>
    <t>7823-02603</t>
  </si>
  <si>
    <t>M38561</t>
  </si>
  <si>
    <t>7818-33661</t>
  </si>
  <si>
    <t>509067</t>
  </si>
  <si>
    <t>7818-29496</t>
  </si>
  <si>
    <t>7818-33664</t>
  </si>
  <si>
    <t>691265</t>
  </si>
  <si>
    <t>11/29/23-2:03pm</t>
  </si>
  <si>
    <t>11/29/23-2:04pm</t>
  </si>
  <si>
    <t>7818-23652</t>
  </si>
  <si>
    <t>7818-31649</t>
  </si>
  <si>
    <t>7818-26616</t>
  </si>
  <si>
    <t>7818-27819</t>
  </si>
  <si>
    <t>7823-03257</t>
  </si>
  <si>
    <t>986011</t>
  </si>
  <si>
    <t>11/29/23-4:00pm</t>
  </si>
  <si>
    <t>11/29/23-4:01pm</t>
  </si>
  <si>
    <t>6:44am</t>
  </si>
  <si>
    <t>7811-00402</t>
  </si>
  <si>
    <t>605048</t>
  </si>
  <si>
    <t>7818-27802</t>
  </si>
  <si>
    <t>247787</t>
  </si>
  <si>
    <t>7818-33666</t>
  </si>
  <si>
    <t>7818-33667</t>
  </si>
  <si>
    <t>11/30/23-10:11am</t>
  </si>
  <si>
    <t>11/30/23-10:12am</t>
  </si>
  <si>
    <t>6:36am</t>
  </si>
  <si>
    <t>7810-01934</t>
  </si>
  <si>
    <t>7812-04590</t>
  </si>
  <si>
    <t>7818-25824</t>
  </si>
  <si>
    <t>073074</t>
  </si>
  <si>
    <t>7818-24846</t>
  </si>
  <si>
    <t>7818-29540</t>
  </si>
  <si>
    <t>013142</t>
  </si>
  <si>
    <t>7818-27621</t>
  </si>
  <si>
    <t>7818-29470</t>
  </si>
  <si>
    <t>7818-33668</t>
  </si>
  <si>
    <t>12/1/23-10:18am</t>
  </si>
  <si>
    <t>7811-00337</t>
  </si>
  <si>
    <t>7810-03047</t>
  </si>
  <si>
    <t>7818-30784</t>
  </si>
  <si>
    <t>450239</t>
  </si>
  <si>
    <t>7818-20651</t>
  </si>
  <si>
    <t>010750</t>
  </si>
  <si>
    <t>7818-21230</t>
  </si>
  <si>
    <t>187008</t>
  </si>
  <si>
    <t>7818-29534</t>
  </si>
  <si>
    <t>7818-27471</t>
  </si>
  <si>
    <t>917164</t>
  </si>
  <si>
    <t>7818-25108</t>
  </si>
  <si>
    <t>7818-26413</t>
  </si>
  <si>
    <t>073075</t>
  </si>
  <si>
    <t>7818-25582</t>
  </si>
  <si>
    <t>7818-16224</t>
  </si>
  <si>
    <t>7818-18750</t>
  </si>
  <si>
    <t>7824-00480</t>
  </si>
  <si>
    <t>7824-26983</t>
  </si>
  <si>
    <t>883003</t>
  </si>
  <si>
    <t>7823-03173</t>
  </si>
  <si>
    <t>199342</t>
  </si>
  <si>
    <t>12/4/23-2:52pm</t>
  </si>
  <si>
    <t>12/4/23-2:54pm</t>
  </si>
  <si>
    <t>12/4/23-2:55pm</t>
  </si>
  <si>
    <t>12/4/23-2:56pm</t>
  </si>
  <si>
    <t>12/4/23-3:02pm</t>
  </si>
  <si>
    <t>7818-33608</t>
  </si>
  <si>
    <t>596136</t>
  </si>
  <si>
    <t>7818-25851</t>
  </si>
  <si>
    <t>329123</t>
  </si>
  <si>
    <t>7818-27772</t>
  </si>
  <si>
    <t>910000</t>
  </si>
  <si>
    <t>7818-30950</t>
  </si>
  <si>
    <t>7818-33358</t>
  </si>
  <si>
    <t>12/5/23-3:25pm</t>
  </si>
  <si>
    <t>7818-27725</t>
  </si>
  <si>
    <t>521197</t>
  </si>
  <si>
    <t>4:02pm</t>
  </si>
  <si>
    <t>7823-01541</t>
  </si>
  <si>
    <t>7812-00426</t>
  </si>
  <si>
    <t>7812-04716</t>
  </si>
  <si>
    <t>12/5/23-4:28pm</t>
  </si>
  <si>
    <t>12/6/23-10:38am</t>
  </si>
  <si>
    <t>12/6/23-10:49am</t>
  </si>
  <si>
    <t>7818-29560</t>
  </si>
  <si>
    <t>564064</t>
  </si>
  <si>
    <t>7818-25996</t>
  </si>
  <si>
    <t>7818-32207</t>
  </si>
  <si>
    <t>12/6/23-12:31pm</t>
  </si>
  <si>
    <t>7818-07455</t>
  </si>
  <si>
    <t>078027</t>
  </si>
  <si>
    <t>7818-27782</t>
  </si>
  <si>
    <t>823055</t>
  </si>
  <si>
    <t>7818-26469</t>
  </si>
  <si>
    <t>12/6/23-3:48pm</t>
  </si>
  <si>
    <t>7823-03011</t>
  </si>
  <si>
    <t>12/7/23-9:28am</t>
  </si>
  <si>
    <t>7818-26173</t>
  </si>
  <si>
    <t>152029</t>
  </si>
  <si>
    <t>7818-14248</t>
  </si>
  <si>
    <t>7818-14984</t>
  </si>
  <si>
    <t>7818-26442</t>
  </si>
  <si>
    <t>846051</t>
  </si>
  <si>
    <t>7818-25891</t>
  </si>
  <si>
    <t>7818-20025</t>
  </si>
  <si>
    <t>010695</t>
  </si>
  <si>
    <t>7818-22431</t>
  </si>
  <si>
    <t>7818-30785</t>
  </si>
  <si>
    <t>12/7/23-10:46am</t>
  </si>
  <si>
    <t>7818-33310</t>
  </si>
  <si>
    <t>7818-11652</t>
  </si>
  <si>
    <t>7818-27409</t>
  </si>
  <si>
    <t>7823-03104</t>
  </si>
  <si>
    <t>7812-04591</t>
  </si>
  <si>
    <t>12/7/23-2:36pm</t>
  </si>
  <si>
    <t>7818-31246</t>
  </si>
  <si>
    <t>756204</t>
  </si>
  <si>
    <t>7818-29961</t>
  </si>
  <si>
    <t>12/7/23-4:17pm</t>
  </si>
  <si>
    <t>7812-00591</t>
  </si>
  <si>
    <t>258037</t>
  </si>
  <si>
    <t>12/28/23-9:16am</t>
  </si>
  <si>
    <t>7818-29418</t>
  </si>
  <si>
    <t>7812-04948</t>
  </si>
  <si>
    <t>658069</t>
  </si>
  <si>
    <t>12/8/23-1:49pm</t>
  </si>
  <si>
    <t>7823-03107</t>
  </si>
  <si>
    <t>7812-04655</t>
  </si>
  <si>
    <t>149058</t>
  </si>
  <si>
    <t>7812-3589</t>
  </si>
  <si>
    <t>7812-04626</t>
  </si>
  <si>
    <t>12/11/23-12:56pm</t>
  </si>
  <si>
    <t>709012</t>
  </si>
  <si>
    <t>7818-24171</t>
  </si>
  <si>
    <t>7818-29840</t>
  </si>
  <si>
    <t>7818-29982</t>
  </si>
  <si>
    <t>7818-29868</t>
  </si>
  <si>
    <t>7818-26059</t>
  </si>
  <si>
    <t>7818-26467</t>
  </si>
  <si>
    <t>312049</t>
  </si>
  <si>
    <t>7818-24447</t>
  </si>
  <si>
    <t>633045</t>
  </si>
  <si>
    <t>12/11/23-2:30pm</t>
  </si>
  <si>
    <t>3:56pm</t>
  </si>
  <si>
    <t>7818-23368</t>
  </si>
  <si>
    <t>7818-18062</t>
  </si>
  <si>
    <t>12/11/23-4:14pm</t>
  </si>
  <si>
    <t>7812-04923</t>
  </si>
  <si>
    <t>12/12/23-9:20am</t>
  </si>
  <si>
    <t>7819-00222</t>
  </si>
  <si>
    <t>125000</t>
  </si>
  <si>
    <t>12/12/23-11:05am</t>
  </si>
  <si>
    <t>7818-33671</t>
  </si>
  <si>
    <t>7818-11710</t>
  </si>
  <si>
    <t>727266</t>
  </si>
  <si>
    <t>7818-30930</t>
  </si>
  <si>
    <t>247116</t>
  </si>
  <si>
    <t>12/12/23-1:14pm</t>
  </si>
  <si>
    <t>7818-33670</t>
  </si>
  <si>
    <t>5:06am</t>
  </si>
  <si>
    <t>7810-01937</t>
  </si>
  <si>
    <t>12/13/2023-9:20am</t>
  </si>
  <si>
    <t>7810-00380</t>
  </si>
  <si>
    <t>7811-00302</t>
  </si>
  <si>
    <t>329114</t>
  </si>
  <si>
    <t>7811-00325</t>
  </si>
  <si>
    <t>211399</t>
  </si>
  <si>
    <t>7818-27779</t>
  </si>
  <si>
    <t>12/13/23-1:34pm</t>
  </si>
  <si>
    <t>12/13/23-1:35pm</t>
  </si>
  <si>
    <t>12/13/23-3:04pm</t>
  </si>
  <si>
    <t>7812-04502</t>
  </si>
  <si>
    <t>7812-01974</t>
  </si>
  <si>
    <t>12/14/23-9:44am</t>
  </si>
  <si>
    <t>7812-04598</t>
  </si>
  <si>
    <t>995042</t>
  </si>
  <si>
    <t>7818-15776</t>
  </si>
  <si>
    <t>7818-32311</t>
  </si>
  <si>
    <t>677966</t>
  </si>
  <si>
    <t>7818-21667</t>
  </si>
  <si>
    <t>7818-26519</t>
  </si>
  <si>
    <t>7818-33609</t>
  </si>
  <si>
    <t>7818-26923</t>
  </si>
  <si>
    <t>7818-18379</t>
  </si>
  <si>
    <t>7818-27720</t>
  </si>
  <si>
    <t>336014</t>
  </si>
  <si>
    <t>7818-18431</t>
  </si>
  <si>
    <t>027089</t>
  </si>
  <si>
    <t>7818-27765</t>
  </si>
  <si>
    <t>7818-19666</t>
  </si>
  <si>
    <t>7818-23232</t>
  </si>
  <si>
    <t>7818-29919</t>
  </si>
  <si>
    <t>438058</t>
  </si>
  <si>
    <t>5:07am</t>
  </si>
  <si>
    <t>7810-03052</t>
  </si>
  <si>
    <t>12/15/23-10:15am</t>
  </si>
  <si>
    <t>12/15/23-10:17am</t>
  </si>
  <si>
    <t>7818-22618</t>
  </si>
  <si>
    <t>7815-00140</t>
  </si>
  <si>
    <t>7815-00129</t>
  </si>
  <si>
    <t>7815-00136</t>
  </si>
  <si>
    <t>114822</t>
  </si>
  <si>
    <t>7818-18943</t>
  </si>
  <si>
    <t>7818-24173</t>
  </si>
  <si>
    <t>7818-30967</t>
  </si>
  <si>
    <t>029178</t>
  </si>
  <si>
    <t>7818-16920</t>
  </si>
  <si>
    <t>7818-32143</t>
  </si>
  <si>
    <t>12/18/23-12:42pm</t>
  </si>
  <si>
    <t>12/18/23-12:44pm</t>
  </si>
  <si>
    <t>12/18/23-12:47pm</t>
  </si>
  <si>
    <t>7812-04959</t>
  </si>
  <si>
    <t>7812-01464</t>
  </si>
  <si>
    <t>12/18/23-2:29pm</t>
  </si>
  <si>
    <t>7818-26764</t>
  </si>
  <si>
    <t>329121</t>
  </si>
  <si>
    <t>7812-04555</t>
  </si>
  <si>
    <t>1289428</t>
  </si>
  <si>
    <t>1238099</t>
  </si>
  <si>
    <t>12/18/23-2:44pm</t>
  </si>
  <si>
    <t>7818-27726</t>
  </si>
  <si>
    <t>032127</t>
  </si>
  <si>
    <t>7818-11129</t>
  </si>
  <si>
    <t>12/18/23-3:56pm</t>
  </si>
  <si>
    <t>7819-00489</t>
  </si>
  <si>
    <t>7818-28294</t>
  </si>
  <si>
    <t>000142</t>
  </si>
  <si>
    <t>7818-33923</t>
  </si>
  <si>
    <t>7818-11860</t>
  </si>
  <si>
    <t>587085</t>
  </si>
  <si>
    <t>12/19/23-1:44pm</t>
  </si>
  <si>
    <t>12/19/23-1:45pm</t>
  </si>
  <si>
    <t>7823-03238</t>
  </si>
  <si>
    <t>7818-27703</t>
  </si>
  <si>
    <t>7818-34011</t>
  </si>
  <si>
    <t>049012</t>
  </si>
  <si>
    <t>7818-21179</t>
  </si>
  <si>
    <t>B09758</t>
  </si>
  <si>
    <t>12/19/23-3:24pm</t>
  </si>
  <si>
    <t>7810-04510</t>
  </si>
  <si>
    <t>327212</t>
  </si>
  <si>
    <t>7810-03019</t>
  </si>
  <si>
    <t>996112</t>
  </si>
  <si>
    <t>12/20/23-9:29am</t>
  </si>
  <si>
    <t>7812-04599</t>
  </si>
  <si>
    <t>7823-03004</t>
  </si>
  <si>
    <t>752063</t>
  </si>
  <si>
    <t>12/20/23-12:35pm</t>
  </si>
  <si>
    <t>12/20/23-12:36pm</t>
  </si>
  <si>
    <t>7818-31625</t>
  </si>
  <si>
    <t>7818-24605</t>
  </si>
  <si>
    <t>835643</t>
  </si>
  <si>
    <t>7818-21193</t>
  </si>
  <si>
    <t>7818-33675</t>
  </si>
  <si>
    <t>489676</t>
  </si>
  <si>
    <t>7818-28478</t>
  </si>
  <si>
    <t>029044</t>
  </si>
  <si>
    <t>7818-32930</t>
  </si>
  <si>
    <t>137026</t>
  </si>
  <si>
    <t>7818-17326</t>
  </si>
  <si>
    <t>1590206</t>
  </si>
  <si>
    <t>Bronx</t>
  </si>
  <si>
    <t>7818-27707</t>
  </si>
  <si>
    <t>7818-22429</t>
  </si>
  <si>
    <t>697542</t>
  </si>
  <si>
    <t>7818-33693</t>
  </si>
  <si>
    <t>7818-17104</t>
  </si>
  <si>
    <t>997007</t>
  </si>
  <si>
    <t>7818-19740</t>
  </si>
  <si>
    <t>7818-25496</t>
  </si>
  <si>
    <t>036003</t>
  </si>
  <si>
    <t>7818-07090</t>
  </si>
  <si>
    <t>986014</t>
  </si>
  <si>
    <t>7818-33694</t>
  </si>
  <si>
    <t>7818-27008</t>
  </si>
  <si>
    <t>741056</t>
  </si>
  <si>
    <t>7818-01362</t>
  </si>
  <si>
    <t>257788</t>
  </si>
  <si>
    <t>7818-01388</t>
  </si>
  <si>
    <t>626017</t>
  </si>
  <si>
    <t>7810-03058</t>
  </si>
  <si>
    <t>7810-04577</t>
  </si>
  <si>
    <t>809889</t>
  </si>
  <si>
    <t>7810-02599</t>
  </si>
  <si>
    <t>7818-28155</t>
  </si>
  <si>
    <t>636090</t>
  </si>
  <si>
    <t>7818-14997</t>
  </si>
  <si>
    <t>7818-23931</t>
  </si>
  <si>
    <t>502005</t>
  </si>
  <si>
    <t>7818-21039</t>
  </si>
  <si>
    <t>069040</t>
  </si>
  <si>
    <t>12/21/23-3:44pm</t>
  </si>
  <si>
    <t>12/21/23-3:49pm</t>
  </si>
  <si>
    <t>7810-03044</t>
  </si>
  <si>
    <t>653067</t>
  </si>
  <si>
    <t>12/22/23-12:34pm</t>
  </si>
  <si>
    <t>7823-03421</t>
  </si>
  <si>
    <t>301789</t>
  </si>
  <si>
    <t>7823-03501</t>
  </si>
  <si>
    <t>B06735</t>
  </si>
  <si>
    <t>7823-02823</t>
  </si>
  <si>
    <t>M313080</t>
  </si>
  <si>
    <t>12/22/23-3:05pm</t>
  </si>
  <si>
    <t>7823-03256</t>
  </si>
  <si>
    <t>B02680</t>
  </si>
  <si>
    <t>7823-03481</t>
  </si>
  <si>
    <t>B02648</t>
  </si>
  <si>
    <t>7823-03482</t>
  </si>
  <si>
    <t>12/22/23-3:39pm</t>
  </si>
  <si>
    <t>7818-16216</t>
  </si>
  <si>
    <t>7818-29842</t>
  </si>
  <si>
    <t>810028</t>
  </si>
  <si>
    <t>7818-23224</t>
  </si>
  <si>
    <t>7811-00346</t>
  </si>
  <si>
    <t>7812-04623</t>
  </si>
  <si>
    <t>414076</t>
  </si>
  <si>
    <t>7812-04631</t>
  </si>
  <si>
    <t>7818-05270</t>
  </si>
  <si>
    <t>725000</t>
  </si>
  <si>
    <t>12/27/23-9:54am</t>
  </si>
  <si>
    <t>7818-28526</t>
  </si>
  <si>
    <t>672072</t>
  </si>
  <si>
    <t>7818-25731</t>
  </si>
  <si>
    <t>7818-34010</t>
  </si>
  <si>
    <t>7818-33220</t>
  </si>
  <si>
    <t>7818-33389</t>
  </si>
  <si>
    <t>970126</t>
  </si>
  <si>
    <t>12/27/23-10:00am</t>
  </si>
  <si>
    <t>7818-06565</t>
  </si>
  <si>
    <t>002124</t>
  </si>
  <si>
    <t>7818-04476</t>
  </si>
  <si>
    <t>429037</t>
  </si>
  <si>
    <t>7818-25784</t>
  </si>
  <si>
    <t>3:29pm</t>
  </si>
  <si>
    <t>7818-29871</t>
  </si>
  <si>
    <t>7810-01944</t>
  </si>
  <si>
    <t>7810-03065</t>
  </si>
  <si>
    <t>7810-03117</t>
  </si>
  <si>
    <t>722045</t>
  </si>
  <si>
    <t>7810-01941</t>
  </si>
  <si>
    <t>7812-03210</t>
  </si>
  <si>
    <t>7812-02986</t>
  </si>
  <si>
    <t>7812-08654</t>
  </si>
  <si>
    <t>254129</t>
  </si>
  <si>
    <t>7812-3870</t>
  </si>
  <si>
    <t>720051</t>
  </si>
  <si>
    <t>7812-01068</t>
  </si>
  <si>
    <t>99064</t>
  </si>
  <si>
    <t>7812-3873</t>
  </si>
  <si>
    <t>52007</t>
  </si>
  <si>
    <t>7812-3878</t>
  </si>
  <si>
    <t>383015</t>
  </si>
  <si>
    <t>7812-4035</t>
  </si>
  <si>
    <t>7812-01276</t>
  </si>
  <si>
    <t>225018</t>
  </si>
  <si>
    <t>7812-04625</t>
  </si>
  <si>
    <t>12/28/23-9:42am</t>
  </si>
  <si>
    <t>7823-03367</t>
  </si>
  <si>
    <t>960002</t>
  </si>
  <si>
    <t>7818-28217</t>
  </si>
  <si>
    <t>7818-30786</t>
  </si>
  <si>
    <t>5:59am</t>
  </si>
  <si>
    <t>7823-03046</t>
  </si>
  <si>
    <t>338588</t>
  </si>
  <si>
    <t>7818-26419</t>
  </si>
  <si>
    <t>439535</t>
  </si>
  <si>
    <t>12/29/23-9:11am</t>
  </si>
  <si>
    <t>12/28/23-11:24am</t>
  </si>
  <si>
    <t>7818-14941</t>
  </si>
  <si>
    <t>7818-28536</t>
  </si>
  <si>
    <t>7818-20060</t>
  </si>
  <si>
    <t>640033</t>
  </si>
  <si>
    <t>7818-20436</t>
  </si>
  <si>
    <t>7818-22367</t>
  </si>
  <si>
    <t>817050</t>
  </si>
  <si>
    <t>7818-32577</t>
  </si>
  <si>
    <t>7818-16894</t>
  </si>
  <si>
    <t>7818-16893</t>
  </si>
  <si>
    <t>7818-16891</t>
  </si>
  <si>
    <t>7818-33804</t>
  </si>
  <si>
    <t>7818-29992</t>
  </si>
  <si>
    <t>7818-15720</t>
  </si>
  <si>
    <t>12/29/23-4:22pm</t>
  </si>
  <si>
    <t>1/2/24-11:05am</t>
  </si>
  <si>
    <t xml:space="preserve">1 </t>
  </si>
  <si>
    <t>752</t>
  </si>
  <si>
    <t>753</t>
  </si>
  <si>
    <t>754</t>
  </si>
  <si>
    <t>755</t>
  </si>
  <si>
    <t>833</t>
  </si>
  <si>
    <t>834</t>
  </si>
  <si>
    <t>835</t>
  </si>
  <si>
    <t>836</t>
  </si>
  <si>
    <t>1043</t>
  </si>
  <si>
    <t>1044</t>
  </si>
  <si>
    <t>1281</t>
  </si>
  <si>
    <t>1282</t>
  </si>
  <si>
    <t>1283</t>
  </si>
  <si>
    <t>1469</t>
  </si>
  <si>
    <t>1470</t>
  </si>
  <si>
    <t>1471</t>
  </si>
  <si>
    <t>1472</t>
  </si>
  <si>
    <t>1473</t>
  </si>
  <si>
    <t>1822</t>
  </si>
  <si>
    <t>1823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</si>
</sst>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9" fontId="8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 applyAlignment="1">
      <alignment horizontal="center"/>
    </xf>
    <xf numFmtId="0" fontId="6" fillId="0" borderId="0" xfId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wrapText="1"/>
    </xf>
    <xf numFmtId="14" fontId="6" fillId="0" borderId="0" xfId="1" applyNumberFormat="1" applyFont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14" fontId="3" fillId="4" borderId="0" xfId="0" applyNumberFormat="1" applyFont="1" applyFill="1" applyAlignment="1">
      <alignment horizontal="center" wrapText="1"/>
    </xf>
    <xf numFmtId="9" fontId="0" fillId="0" borderId="0" xfId="2" applyFont="1" applyBorder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/>
    </xf>
  </cellXfs>
  <cellStyles count="3">
    <cellStyle name="Normal" xfId="0" builtinId="0"/>
    <cellStyle name="Normal_Sheet3" xfId="1" xr:uid="{72594AC7-9820-4E86-978C-5562A5070D81}"/>
    <cellStyle name="Percent" xfId="2" builtinId="5"/>
  </cellStyles>
  <dxfs count="29"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m/d/yy;@"/>
      <alignment horizontal="center" vertical="bottom" textRotation="0" wrapText="0" indent="0" justifyLastLine="0" shrinkToFit="0" readingOrder="0"/>
    </dxf>
    <dxf>
      <numFmt numFmtId="164" formatCode="m/d/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300\SWCM%20-%20Prescription%20Safety%20Glasses\Precision%20Optical%20Group%20(Aug2019%20-%20Jul2024)\(POG)%20Contract\Reports\MTA%20WIP\New%20MTA%20WIP\MTA%20WIP%2022024.01.1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300\SWCM%20-%20Prescription%20Safety%20Glasses\Precision%20Optical%20Group%20(Aug2019%20-%20Jul2024)\(POG)%20Contract\Reports\MTA%20WIP\New%20MTA%20WIP\MTA%20WIP%202024.01.12.xlsx" TargetMode="External"/><Relationship Id="rId1" Type="http://schemas.openxmlformats.org/officeDocument/2006/relationships/externalLinkPath" Target="file:///S:\A300\SWCM%20-%20Prescription%20Safety%20Glasses\Precision%20Optical%20Group%20(Aug2019%20-%20Jul2024)\(POG)%20Contract\Reports\MTA%20WIP\New%20MTA%20WIP\MTA%20WIP%202024.01.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ED"/>
      <sheetName val="BILLED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 PROGRESS"/>
      <sheetName val="REJECTED ORDERS"/>
      <sheetName val="COMPLETED"/>
      <sheetName val="BILLED"/>
      <sheetName val="OLD COMPLETIONS NOT BILLED"/>
      <sheetName val="RETURNED ORDERS"/>
      <sheetName val="TINT ORDERS"/>
      <sheetName val="TINT ORDERS COMPLETED"/>
      <sheetName val="DUPLICATES REMOVED JH"/>
    </sheetNames>
    <sheetDataSet>
      <sheetData sheetId="0">
        <row r="1">
          <cell r="D1" t="str">
            <v>FORM #</v>
          </cell>
          <cell r="M1" t="str">
            <v>TRACKING #</v>
          </cell>
        </row>
        <row r="2">
          <cell r="D2" t="str">
            <v>7823-01371</v>
          </cell>
        </row>
        <row r="3">
          <cell r="D3" t="str">
            <v>7818-11129</v>
          </cell>
        </row>
        <row r="4">
          <cell r="D4" t="str">
            <v>7812-3873</v>
          </cell>
        </row>
        <row r="5">
          <cell r="D5" t="str">
            <v>7818-22224</v>
          </cell>
        </row>
        <row r="6">
          <cell r="D6" t="str">
            <v>7818-27990</v>
          </cell>
        </row>
        <row r="7">
          <cell r="D7" t="str">
            <v>7818-26464</v>
          </cell>
        </row>
        <row r="8">
          <cell r="D8" t="str">
            <v>7818-26606</v>
          </cell>
        </row>
        <row r="9">
          <cell r="D9" t="str">
            <v>7818-25252</v>
          </cell>
        </row>
        <row r="10">
          <cell r="D10" t="str">
            <v>7818-33659</v>
          </cell>
        </row>
        <row r="11">
          <cell r="D11" t="str">
            <v>7818-25151</v>
          </cell>
        </row>
        <row r="12">
          <cell r="D12" t="str">
            <v>7823-03349</v>
          </cell>
        </row>
        <row r="13">
          <cell r="D13" t="str">
            <v>7823-03003</v>
          </cell>
        </row>
        <row r="14">
          <cell r="D14" t="str">
            <v>7812-3514</v>
          </cell>
        </row>
        <row r="15">
          <cell r="D15" t="str">
            <v>7811-00001</v>
          </cell>
        </row>
        <row r="16">
          <cell r="D16" t="str">
            <v>7812-04521</v>
          </cell>
        </row>
        <row r="17">
          <cell r="D17" t="str">
            <v>7812-04979</v>
          </cell>
        </row>
        <row r="18">
          <cell r="D18" t="str">
            <v>7812-04728</v>
          </cell>
        </row>
        <row r="19">
          <cell r="D19" t="str">
            <v>7812-01398</v>
          </cell>
        </row>
        <row r="20">
          <cell r="D20" t="str">
            <v>7823-01250</v>
          </cell>
        </row>
        <row r="21">
          <cell r="D21" t="str">
            <v>7818-27411</v>
          </cell>
        </row>
        <row r="22">
          <cell r="D22" t="str">
            <v>7818-11625</v>
          </cell>
        </row>
        <row r="23">
          <cell r="D23" t="str">
            <v>7818-15039</v>
          </cell>
        </row>
        <row r="24">
          <cell r="D24" t="str">
            <v>7818-15945</v>
          </cell>
        </row>
        <row r="25">
          <cell r="D25" t="str">
            <v>7818-32908</v>
          </cell>
        </row>
        <row r="26">
          <cell r="D26" t="str">
            <v>7818-29804</v>
          </cell>
        </row>
        <row r="27">
          <cell r="D27" t="str">
            <v>7818-21340</v>
          </cell>
        </row>
        <row r="28">
          <cell r="D28" t="str">
            <v>7818-01217</v>
          </cell>
        </row>
        <row r="29">
          <cell r="D29" t="str">
            <v>7818-33039</v>
          </cell>
        </row>
        <row r="30">
          <cell r="D30" t="str">
            <v>7818-32885</v>
          </cell>
        </row>
        <row r="31">
          <cell r="D31" t="str">
            <v>7818-10451</v>
          </cell>
        </row>
        <row r="32">
          <cell r="D32" t="str">
            <v>7818-33670</v>
          </cell>
        </row>
        <row r="33">
          <cell r="D33" t="str">
            <v>7818-22638</v>
          </cell>
        </row>
        <row r="34">
          <cell r="D34" t="str">
            <v>7824-00486</v>
          </cell>
        </row>
        <row r="35">
          <cell r="D35" t="str">
            <v>7818-10639</v>
          </cell>
        </row>
        <row r="36">
          <cell r="D36" t="str">
            <v>7823-02983</v>
          </cell>
        </row>
        <row r="37">
          <cell r="D37" t="str">
            <v>7818-27410</v>
          </cell>
        </row>
        <row r="38">
          <cell r="D38" t="str">
            <v>7818-29990</v>
          </cell>
        </row>
        <row r="39">
          <cell r="D39" t="str">
            <v>7818-07393</v>
          </cell>
        </row>
        <row r="40">
          <cell r="D40" t="str">
            <v>7818-20026</v>
          </cell>
        </row>
        <row r="41">
          <cell r="D41" t="str">
            <v>7818-28575</v>
          </cell>
        </row>
        <row r="42">
          <cell r="D42" t="str">
            <v>7818-33802</v>
          </cell>
        </row>
        <row r="43">
          <cell r="D43" t="str">
            <v>7818-29921</v>
          </cell>
        </row>
        <row r="44">
          <cell r="D44" t="str">
            <v>7818-33770</v>
          </cell>
        </row>
        <row r="45">
          <cell r="D45" t="str">
            <v>7818-31090</v>
          </cell>
        </row>
        <row r="46">
          <cell r="D46" t="str">
            <v>7818-28393</v>
          </cell>
        </row>
        <row r="47">
          <cell r="D47" t="str">
            <v>7818-21038</v>
          </cell>
        </row>
        <row r="48">
          <cell r="D48" t="str">
            <v>7818-28525</v>
          </cell>
        </row>
        <row r="49">
          <cell r="D49" t="str">
            <v>7818-23282</v>
          </cell>
        </row>
        <row r="50">
          <cell r="D50" t="str">
            <v>7810-01198</v>
          </cell>
        </row>
        <row r="51">
          <cell r="D51" t="str">
            <v>7823-02825</v>
          </cell>
        </row>
        <row r="52">
          <cell r="D52" t="str">
            <v>7818-27425</v>
          </cell>
        </row>
        <row r="53">
          <cell r="D53" t="str">
            <v>7818-15750</v>
          </cell>
        </row>
        <row r="54">
          <cell r="D54" t="str">
            <v>7818-33771</v>
          </cell>
        </row>
        <row r="55">
          <cell r="D55" t="str">
            <v>7810-00570</v>
          </cell>
        </row>
        <row r="56">
          <cell r="D56" t="str">
            <v>7812-05103</v>
          </cell>
        </row>
        <row r="57">
          <cell r="D57" t="str">
            <v>7812-00403</v>
          </cell>
        </row>
        <row r="58">
          <cell r="D58" t="str">
            <v>7812-04921</v>
          </cell>
        </row>
        <row r="59">
          <cell r="D59" t="str">
            <v>7818-33803</v>
          </cell>
        </row>
        <row r="60">
          <cell r="D60" t="str">
            <v>7818-26145</v>
          </cell>
        </row>
        <row r="61">
          <cell r="D61" t="str">
            <v>7818-13595</v>
          </cell>
        </row>
        <row r="62">
          <cell r="D62" t="str">
            <v>7818-00384</v>
          </cell>
        </row>
        <row r="63">
          <cell r="D63" t="str">
            <v>7818-32313</v>
          </cell>
        </row>
        <row r="64">
          <cell r="D64" t="str">
            <v>7818-26994</v>
          </cell>
        </row>
        <row r="65">
          <cell r="D65" t="str">
            <v>7818-00892</v>
          </cell>
        </row>
        <row r="66">
          <cell r="D66" t="str">
            <v>7818-15040</v>
          </cell>
        </row>
        <row r="67">
          <cell r="D67" t="str">
            <v>7818-15041</v>
          </cell>
        </row>
        <row r="68">
          <cell r="D68" t="str">
            <v>7818-28226</v>
          </cell>
        </row>
        <row r="69">
          <cell r="D69" t="str">
            <v>7818-12785</v>
          </cell>
        </row>
        <row r="70">
          <cell r="D70" t="str">
            <v>7818-23447</v>
          </cell>
        </row>
        <row r="71">
          <cell r="D71" t="str">
            <v>7818-31105</v>
          </cell>
        </row>
        <row r="72">
          <cell r="D72" t="str">
            <v>7818-20432</v>
          </cell>
        </row>
        <row r="73">
          <cell r="D73" t="str">
            <v>7812-04956</v>
          </cell>
        </row>
        <row r="74">
          <cell r="D74" t="str">
            <v>7812-05257</v>
          </cell>
        </row>
        <row r="75">
          <cell r="D75" t="str">
            <v>7812-01560</v>
          </cell>
        </row>
        <row r="76">
          <cell r="M76" t="e">
            <v>#REF!</v>
          </cell>
        </row>
        <row r="77">
          <cell r="M77" t="e">
            <v>#REF!</v>
          </cell>
        </row>
        <row r="78">
          <cell r="M78" t="e">
            <v>#REF!</v>
          </cell>
        </row>
        <row r="79">
          <cell r="M79" t="e">
            <v>#REF!</v>
          </cell>
        </row>
        <row r="80">
          <cell r="M80" t="e">
            <v>#REF!</v>
          </cell>
        </row>
        <row r="81">
          <cell r="M81" t="e">
            <v>#REF!</v>
          </cell>
        </row>
        <row r="82">
          <cell r="M82" t="e">
            <v>#REF!</v>
          </cell>
        </row>
        <row r="83">
          <cell r="M83" t="e">
            <v>#REF!</v>
          </cell>
        </row>
        <row r="84">
          <cell r="M84" t="e">
            <v>#REF!</v>
          </cell>
        </row>
        <row r="85">
          <cell r="M85" t="e">
            <v>#REF!</v>
          </cell>
        </row>
        <row r="86">
          <cell r="M86" t="e">
            <v>#REF!</v>
          </cell>
        </row>
        <row r="87">
          <cell r="M87" t="e">
            <v>#REF!</v>
          </cell>
        </row>
        <row r="88">
          <cell r="M88" t="e">
            <v>#REF!</v>
          </cell>
        </row>
        <row r="89">
          <cell r="M89" t="e">
            <v>#REF!</v>
          </cell>
        </row>
        <row r="90">
          <cell r="M90" t="e">
            <v>#REF!</v>
          </cell>
        </row>
        <row r="91">
          <cell r="M91" t="e">
            <v>#REF!</v>
          </cell>
        </row>
        <row r="92">
          <cell r="M92" t="e">
            <v>#REF!</v>
          </cell>
        </row>
        <row r="93">
          <cell r="M93" t="e">
            <v>#REF!</v>
          </cell>
        </row>
      </sheetData>
      <sheetData sheetId="1">
        <row r="1">
          <cell r="D1" t="str">
            <v>FORM#</v>
          </cell>
          <cell r="E1" t="str">
            <v>REASON</v>
          </cell>
        </row>
        <row r="2">
          <cell r="D2" t="str">
            <v>7818-15874</v>
          </cell>
          <cell r="E2" t="str">
            <v>FORM NOT SIGNED</v>
          </cell>
        </row>
        <row r="3">
          <cell r="D3" t="str">
            <v>7818-12659</v>
          </cell>
          <cell r="E3" t="str">
            <v>FORM NOT SIGNED</v>
          </cell>
        </row>
        <row r="4">
          <cell r="D4" t="str">
            <v>7818-17596</v>
          </cell>
          <cell r="E4" t="str">
            <v>F0RM NOT SIGNED</v>
          </cell>
        </row>
        <row r="5">
          <cell r="D5" t="str">
            <v>7818-20790</v>
          </cell>
          <cell r="E5" t="str">
            <v>FORM NUMBER ALREADY USED</v>
          </cell>
        </row>
        <row r="6">
          <cell r="D6" t="str">
            <v>7823-01000</v>
          </cell>
          <cell r="E6" t="str">
            <v>FORM NUMBER ALREADY USED</v>
          </cell>
        </row>
        <row r="7">
          <cell r="D7" t="str">
            <v>7823-01716</v>
          </cell>
          <cell r="E7" t="str">
            <v>FORM NUMBER ALREADY USED</v>
          </cell>
        </row>
        <row r="8">
          <cell r="D8" t="str">
            <v>7818-22242</v>
          </cell>
          <cell r="E8" t="str">
            <v>FORM NOT SIGNED</v>
          </cell>
        </row>
        <row r="9">
          <cell r="D9" t="str">
            <v>7818-24141</v>
          </cell>
          <cell r="E9" t="str">
            <v>FORM NOT SIGNED</v>
          </cell>
        </row>
        <row r="10">
          <cell r="D10" t="str">
            <v>7811-00199</v>
          </cell>
          <cell r="E10" t="str">
            <v>FORM NOT SIGNED</v>
          </cell>
        </row>
        <row r="11">
          <cell r="D11" t="str">
            <v>7818-24549</v>
          </cell>
          <cell r="E11" t="str">
            <v>FORM NUMBER ALREADY USED</v>
          </cell>
        </row>
        <row r="12">
          <cell r="D12" t="str">
            <v>7818-23353</v>
          </cell>
          <cell r="E12" t="str">
            <v>FORM NOT SIGNED</v>
          </cell>
        </row>
        <row r="13">
          <cell r="D13" t="str">
            <v>7818-16937</v>
          </cell>
          <cell r="E13" t="str">
            <v>FORM NOT SIGNED</v>
          </cell>
        </row>
        <row r="14">
          <cell r="D14" t="str">
            <v>7818-22156</v>
          </cell>
          <cell r="E14" t="str">
            <v>FORM NOT SIGNED</v>
          </cell>
        </row>
        <row r="15">
          <cell r="D15" t="str">
            <v>7823-02509</v>
          </cell>
          <cell r="E15" t="str">
            <v>FORM NOT SIGNED</v>
          </cell>
        </row>
        <row r="16">
          <cell r="D16" t="str">
            <v>7818-18565</v>
          </cell>
          <cell r="E16" t="str">
            <v>FORM NOT SIGNED</v>
          </cell>
        </row>
        <row r="17">
          <cell r="D17" t="str">
            <v>7823-00004</v>
          </cell>
          <cell r="E17" t="str">
            <v>FORM NUMBER ALREADY USED</v>
          </cell>
        </row>
        <row r="18">
          <cell r="D18" t="str">
            <v>7812-03319</v>
          </cell>
          <cell r="E18" t="str">
            <v>SELECTED PROGRESSIVE BUT NO ADD POWER GIVEN</v>
          </cell>
        </row>
        <row r="19">
          <cell r="D19" t="str">
            <v>7818-21188</v>
          </cell>
          <cell r="E19" t="str">
            <v>FORM NOT SIGNED</v>
          </cell>
        </row>
        <row r="20">
          <cell r="D20" t="str">
            <v>7812-01775</v>
          </cell>
          <cell r="E20" t="str">
            <v>FORM NUMBER ALREADY USED</v>
          </cell>
        </row>
        <row r="21">
          <cell r="D21" t="str">
            <v>7818-23473</v>
          </cell>
          <cell r="E21" t="str">
            <v>FORM NOT SIGNED</v>
          </cell>
        </row>
        <row r="22">
          <cell r="D22" t="str">
            <v>7818-23072</v>
          </cell>
          <cell r="E22" t="str">
            <v>FORM NOT SIGNED</v>
          </cell>
        </row>
        <row r="23">
          <cell r="D23" t="str">
            <v>7810-01479</v>
          </cell>
          <cell r="E23" t="str">
            <v>FORM NOT SIGNED</v>
          </cell>
        </row>
        <row r="24">
          <cell r="D24" t="str">
            <v>7811-00223</v>
          </cell>
          <cell r="E24" t="str">
            <v>FORM NOT SIGNED</v>
          </cell>
        </row>
        <row r="25">
          <cell r="D25" t="str">
            <v>7818-23472</v>
          </cell>
          <cell r="E25" t="str">
            <v>FORM NOT SIGNED</v>
          </cell>
        </row>
        <row r="26">
          <cell r="D26" t="str">
            <v>7818-21808</v>
          </cell>
          <cell r="E26" t="str">
            <v>FORM NOT SIGNED</v>
          </cell>
        </row>
        <row r="27">
          <cell r="D27" t="str">
            <v>7812-02735</v>
          </cell>
          <cell r="E27" t="str">
            <v>FORM NUMBER ALREADY USED</v>
          </cell>
        </row>
        <row r="28">
          <cell r="D28" t="str">
            <v>7818-22594</v>
          </cell>
          <cell r="E28" t="str">
            <v>FORM NUMBER ALREADY USED</v>
          </cell>
        </row>
        <row r="29">
          <cell r="D29" t="str">
            <v>7818-22135</v>
          </cell>
          <cell r="E29" t="str">
            <v>FORM NUMBER ALREADY USED</v>
          </cell>
        </row>
        <row r="30">
          <cell r="D30" t="str">
            <v>7818-21845</v>
          </cell>
          <cell r="E30" t="str">
            <v>FORM NOT SIGNED</v>
          </cell>
        </row>
        <row r="31">
          <cell r="D31" t="str">
            <v>7818-11194</v>
          </cell>
          <cell r="E31" t="str">
            <v>FORM NOT SIGNED</v>
          </cell>
        </row>
        <row r="32">
          <cell r="D32" t="str">
            <v>7818-22228</v>
          </cell>
          <cell r="E32" t="str">
            <v>FORM NOT SIGNED</v>
          </cell>
        </row>
        <row r="33">
          <cell r="D33" t="str">
            <v>7818-18267</v>
          </cell>
          <cell r="E33" t="str">
            <v>FORM NOT SIGNED</v>
          </cell>
        </row>
        <row r="34">
          <cell r="D34" t="str">
            <v>7812-03284</v>
          </cell>
          <cell r="E34" t="str">
            <v>FORM NOT SIGNED</v>
          </cell>
        </row>
        <row r="35">
          <cell r="D35" t="str">
            <v>7818-16488</v>
          </cell>
          <cell r="E35" t="str">
            <v>FORM NOT SIGNED</v>
          </cell>
        </row>
        <row r="36">
          <cell r="D36" t="str">
            <v>7823-01574</v>
          </cell>
          <cell r="E36" t="str">
            <v>FORM NUMBER ALREADY USED</v>
          </cell>
        </row>
        <row r="37">
          <cell r="D37" t="str">
            <v>7823-02039</v>
          </cell>
          <cell r="E37" t="str">
            <v>FORM NUMBER ALREADY USED</v>
          </cell>
        </row>
        <row r="38">
          <cell r="D38" t="str">
            <v>7823-01622</v>
          </cell>
          <cell r="E38" t="str">
            <v>FORM NUMBER ALREADY USED</v>
          </cell>
        </row>
        <row r="39">
          <cell r="D39" t="str">
            <v>7818-45084</v>
          </cell>
          <cell r="E39" t="str">
            <v>FORM NUMBER ALREADY USED</v>
          </cell>
        </row>
        <row r="40">
          <cell r="D40" t="str">
            <v>7812-01100</v>
          </cell>
          <cell r="E40" t="str">
            <v>FORM NUMBER ALREADY USED</v>
          </cell>
        </row>
        <row r="41">
          <cell r="D41" t="str">
            <v>7818-23533</v>
          </cell>
          <cell r="E41" t="str">
            <v>FORM NOT SIGNED</v>
          </cell>
        </row>
        <row r="42">
          <cell r="D42" t="str">
            <v>7818-14151</v>
          </cell>
          <cell r="E42" t="str">
            <v>FORM NUMBER ALREADY USED</v>
          </cell>
        </row>
        <row r="43">
          <cell r="D43" t="str">
            <v>7818-16268</v>
          </cell>
          <cell r="E43" t="str">
            <v>FORM NOT SIGNED</v>
          </cell>
        </row>
        <row r="44">
          <cell r="D44" t="str">
            <v>7818-23473</v>
          </cell>
          <cell r="E44" t="str">
            <v>FORM NOT SIGNED</v>
          </cell>
        </row>
        <row r="45">
          <cell r="D45" t="str">
            <v>7818-19119</v>
          </cell>
          <cell r="E45" t="str">
            <v>FORM NOT SIGNED</v>
          </cell>
        </row>
        <row r="46">
          <cell r="D46" t="str">
            <v>7818-18549</v>
          </cell>
          <cell r="E46" t="str">
            <v>FORM NUMBER ALREADY USED</v>
          </cell>
        </row>
        <row r="47">
          <cell r="D47" t="str">
            <v>7812-01800</v>
          </cell>
          <cell r="E47" t="str">
            <v>FORM NUMBER ALREADY USED</v>
          </cell>
        </row>
        <row r="48">
          <cell r="D48" t="str">
            <v>7812-02509</v>
          </cell>
          <cell r="E48" t="str">
            <v>FORM NUMBER ALREADY USED</v>
          </cell>
        </row>
        <row r="49">
          <cell r="D49" t="str">
            <v>7810-01554</v>
          </cell>
          <cell r="E49" t="str">
            <v>SELECTED PROGRESSIVE BUT NO ADD POWER GIVEN / ALSO NO SEG HT</v>
          </cell>
        </row>
        <row r="50">
          <cell r="D50" t="str">
            <v>7818-24602</v>
          </cell>
          <cell r="E50" t="str">
            <v>FORM NOT SIGNED</v>
          </cell>
        </row>
        <row r="51">
          <cell r="D51" t="str">
            <v>7818-21826</v>
          </cell>
          <cell r="E51" t="str">
            <v>FORM NOT SIGNED</v>
          </cell>
        </row>
        <row r="52">
          <cell r="D52" t="str">
            <v>7818-24608</v>
          </cell>
          <cell r="E52" t="str">
            <v>FORM NOT SIGNED</v>
          </cell>
        </row>
        <row r="53">
          <cell r="D53" t="str">
            <v>7818-09300</v>
          </cell>
          <cell r="E53" t="str">
            <v>FORM NOT SIGNED</v>
          </cell>
        </row>
        <row r="54">
          <cell r="D54" t="str">
            <v>7810-01616</v>
          </cell>
          <cell r="E54" t="str">
            <v>FORM NOT SIGNED</v>
          </cell>
        </row>
        <row r="55">
          <cell r="D55" t="str">
            <v>7823-02145</v>
          </cell>
          <cell r="E55" t="str">
            <v>FORM NUMBER ALREADY USED</v>
          </cell>
        </row>
        <row r="56">
          <cell r="D56" t="str">
            <v>7818-23103</v>
          </cell>
          <cell r="E56" t="str">
            <v>FORM NUMBER ALREADY USED</v>
          </cell>
        </row>
        <row r="57">
          <cell r="D57" t="str">
            <v>7818-16210</v>
          </cell>
          <cell r="E57" t="str">
            <v>FORM NOT SIGNED</v>
          </cell>
        </row>
        <row r="58">
          <cell r="D58" t="str">
            <v>7818-22105</v>
          </cell>
          <cell r="E58" t="str">
            <v>FORM NOT SIGNED</v>
          </cell>
        </row>
        <row r="59">
          <cell r="D59" t="str">
            <v>7818-21817</v>
          </cell>
          <cell r="E59" t="str">
            <v>FORM NOT SIGNED</v>
          </cell>
        </row>
        <row r="60">
          <cell r="D60" t="str">
            <v>7818-12860</v>
          </cell>
          <cell r="E60" t="str">
            <v>FORM NOT SIGNED</v>
          </cell>
        </row>
        <row r="61">
          <cell r="D61" t="str">
            <v>7818-13009</v>
          </cell>
          <cell r="E61" t="str">
            <v>FORM NOT SIGNED</v>
          </cell>
        </row>
        <row r="62">
          <cell r="D62" t="str">
            <v>7818-24087</v>
          </cell>
          <cell r="E62" t="str">
            <v>FORM NUMBER ALREADY USED</v>
          </cell>
        </row>
        <row r="63">
          <cell r="D63" t="str">
            <v>7812-01777</v>
          </cell>
          <cell r="E63" t="str">
            <v>FORM NUMBER ALREADY USED</v>
          </cell>
        </row>
        <row r="64">
          <cell r="D64" t="str">
            <v>7818-21860</v>
          </cell>
          <cell r="E64" t="str">
            <v>FORM NUMBER ALREADY USED</v>
          </cell>
        </row>
        <row r="65">
          <cell r="D65" t="str">
            <v>7818-23443</v>
          </cell>
          <cell r="E65" t="str">
            <v>FORM NOT SIGNED</v>
          </cell>
        </row>
        <row r="66">
          <cell r="D66" t="str">
            <v>7811-00226</v>
          </cell>
          <cell r="E66" t="str">
            <v>FORM NOT SIGNED</v>
          </cell>
        </row>
        <row r="67">
          <cell r="D67" t="str">
            <v>7810-01711</v>
          </cell>
          <cell r="E67" t="str">
            <v>NO RX INFO GIVEN</v>
          </cell>
        </row>
        <row r="68">
          <cell r="D68" t="str">
            <v>7818-04444</v>
          </cell>
          <cell r="E68" t="str">
            <v>FROM NOT SIGNED</v>
          </cell>
        </row>
        <row r="69">
          <cell r="D69" t="str">
            <v>7818-04984</v>
          </cell>
          <cell r="E69" t="str">
            <v>FORM NUMBER ALREADY USED</v>
          </cell>
        </row>
        <row r="70">
          <cell r="D70" t="str">
            <v>7811-000248</v>
          </cell>
          <cell r="E70" t="str">
            <v>FORM NOT SIGNED</v>
          </cell>
        </row>
        <row r="71">
          <cell r="D71" t="str">
            <v>7818-23474</v>
          </cell>
          <cell r="E71" t="str">
            <v>FORM NOT SIGNED</v>
          </cell>
        </row>
        <row r="72">
          <cell r="D72" t="str">
            <v>7810-01659</v>
          </cell>
          <cell r="E72" t="str">
            <v>FORM NOT SIGNED</v>
          </cell>
        </row>
        <row r="73">
          <cell r="D73" t="str">
            <v>7818-17723</v>
          </cell>
          <cell r="E73" t="str">
            <v>FORM NOT SIGNED</v>
          </cell>
        </row>
        <row r="74">
          <cell r="D74" t="str">
            <v>7812-00492</v>
          </cell>
          <cell r="E74" t="str">
            <v>FORM NOT SIGNED</v>
          </cell>
        </row>
        <row r="75">
          <cell r="D75" t="str">
            <v>7818-21948</v>
          </cell>
          <cell r="E75" t="str">
            <v>FORM NOT SIGNED</v>
          </cell>
        </row>
        <row r="76">
          <cell r="D76" t="str">
            <v>7818-16209</v>
          </cell>
          <cell r="E76" t="str">
            <v>FORM NOT SIGNED</v>
          </cell>
        </row>
        <row r="77">
          <cell r="D77" t="str">
            <v>7829-00033</v>
          </cell>
          <cell r="E77" t="str">
            <v>FORM NUMBER ALREADY USED</v>
          </cell>
        </row>
        <row r="78">
          <cell r="D78" t="str">
            <v>7818-000367</v>
          </cell>
          <cell r="E78" t="str">
            <v>FORM NUMBER ALREADY USED</v>
          </cell>
        </row>
        <row r="79">
          <cell r="D79" t="str">
            <v>7818-17121</v>
          </cell>
          <cell r="E79" t="str">
            <v>FORM NUMBER ALREADY USED</v>
          </cell>
        </row>
        <row r="80">
          <cell r="D80" t="str">
            <v>7818-18613</v>
          </cell>
          <cell r="E80" t="str">
            <v>FORM NUMBER ALREADY USED</v>
          </cell>
        </row>
        <row r="81">
          <cell r="D81" t="str">
            <v>7818-16145</v>
          </cell>
          <cell r="E81" t="str">
            <v>FORM NOT SIGNED</v>
          </cell>
        </row>
        <row r="82">
          <cell r="D82" t="str">
            <v>7818-10426</v>
          </cell>
          <cell r="E82" t="str">
            <v>FORM NOT SIGNED</v>
          </cell>
        </row>
        <row r="83">
          <cell r="D83" t="str">
            <v>7818-21949</v>
          </cell>
          <cell r="E83" t="str">
            <v>FORM NOT SIGNED</v>
          </cell>
        </row>
        <row r="84">
          <cell r="D84" t="str">
            <v>7818-25929</v>
          </cell>
          <cell r="E84" t="str">
            <v>FORM NOT SIGNED</v>
          </cell>
        </row>
        <row r="85">
          <cell r="D85" t="str">
            <v>7818-25555</v>
          </cell>
          <cell r="E85" t="str">
            <v>FORM NOT SIGNED</v>
          </cell>
        </row>
        <row r="86">
          <cell r="D86" t="str">
            <v>7818-22268</v>
          </cell>
          <cell r="E86" t="str">
            <v>FORM NOT SIGNED</v>
          </cell>
        </row>
        <row r="87">
          <cell r="D87" t="str">
            <v>7818-24100</v>
          </cell>
          <cell r="E87" t="str">
            <v>FORM NUMBER ALREADY USED</v>
          </cell>
        </row>
        <row r="88">
          <cell r="D88" t="str">
            <v>7812-02235</v>
          </cell>
          <cell r="E88" t="str">
            <v>FORM NUMBER ALREADY USED</v>
          </cell>
        </row>
        <row r="89">
          <cell r="D89" t="str">
            <v>7812-03518</v>
          </cell>
          <cell r="E89" t="str">
            <v>FORM NOT SIGNED</v>
          </cell>
        </row>
        <row r="90">
          <cell r="D90" t="str">
            <v>7823-01945</v>
          </cell>
          <cell r="E90" t="str">
            <v>FORM NUMBER ALREADY USED</v>
          </cell>
        </row>
        <row r="91">
          <cell r="D91" t="str">
            <v>7812-02235</v>
          </cell>
          <cell r="E91" t="str">
            <v>FORM NUMBER ALREADY USED</v>
          </cell>
        </row>
        <row r="92">
          <cell r="D92" t="str">
            <v>7818-15561</v>
          </cell>
          <cell r="E92" t="str">
            <v>FORM NOT SIGNED</v>
          </cell>
        </row>
        <row r="93">
          <cell r="D93" t="str">
            <v>7818-17634</v>
          </cell>
          <cell r="E93" t="str">
            <v>FORM NOT SIGNED</v>
          </cell>
        </row>
        <row r="94">
          <cell r="D94" t="str">
            <v>7818-24542</v>
          </cell>
          <cell r="E94" t="str">
            <v>FORM NUMBER ALREADY USED</v>
          </cell>
        </row>
        <row r="95">
          <cell r="D95" t="str">
            <v>7811-00232</v>
          </cell>
          <cell r="E95" t="str">
            <v>FORM NUMBER ALREADY USED</v>
          </cell>
        </row>
        <row r="96">
          <cell r="D96" t="str">
            <v>7818-15741</v>
          </cell>
          <cell r="E96" t="str">
            <v>FORM NOT SIGNED</v>
          </cell>
        </row>
        <row r="97">
          <cell r="D97" t="str">
            <v>7818-20298</v>
          </cell>
          <cell r="E97" t="str">
            <v>FORM NOT SIGNED</v>
          </cell>
        </row>
        <row r="98">
          <cell r="D98" t="str">
            <v>7818-24931</v>
          </cell>
          <cell r="E98" t="str">
            <v>FORM NOT SIGNED</v>
          </cell>
        </row>
        <row r="99">
          <cell r="D99" t="str">
            <v>7818-25926</v>
          </cell>
          <cell r="E99" t="str">
            <v>FORM NOT SIGNED</v>
          </cell>
        </row>
        <row r="100">
          <cell r="D100" t="str">
            <v>7812-02527</v>
          </cell>
          <cell r="E100" t="str">
            <v>FORM NOT SIGNED</v>
          </cell>
        </row>
        <row r="101">
          <cell r="D101" t="str">
            <v>7818-00367</v>
          </cell>
          <cell r="E101" t="str">
            <v>FORM NUMBER ALREADY USED</v>
          </cell>
        </row>
        <row r="102">
          <cell r="D102" t="str">
            <v>7818-10968</v>
          </cell>
          <cell r="E102" t="str">
            <v>FORM NUMBER ALREADY USED</v>
          </cell>
        </row>
        <row r="103">
          <cell r="D103" t="str">
            <v>7812-02336</v>
          </cell>
          <cell r="E103" t="str">
            <v>FORM NUMBER ALREADY USED</v>
          </cell>
        </row>
        <row r="104">
          <cell r="D104" t="str">
            <v>7812-03322</v>
          </cell>
          <cell r="E104" t="str">
            <v>FORM NUMBER ALREADY USED</v>
          </cell>
        </row>
        <row r="105">
          <cell r="D105" t="str">
            <v>7812-02336</v>
          </cell>
          <cell r="E105" t="str">
            <v>FORM NUMBER ALREADY USED</v>
          </cell>
        </row>
        <row r="106">
          <cell r="D106" t="str">
            <v>7818-116718</v>
          </cell>
          <cell r="E106" t="str">
            <v>FORM NOT SIGNED</v>
          </cell>
        </row>
        <row r="107">
          <cell r="D107" t="str">
            <v>7818-07180</v>
          </cell>
          <cell r="E107" t="str">
            <v>FORM NOT SIGNED</v>
          </cell>
        </row>
        <row r="108">
          <cell r="D108" t="str">
            <v>7818-07181</v>
          </cell>
          <cell r="E108" t="str">
            <v>FORM NOT SIGNED</v>
          </cell>
        </row>
        <row r="109">
          <cell r="D109" t="str">
            <v>7818-16209</v>
          </cell>
          <cell r="E109" t="str">
            <v>FORM NOT SIGNED</v>
          </cell>
        </row>
        <row r="110">
          <cell r="D110" t="str">
            <v>7818-17292</v>
          </cell>
          <cell r="E110" t="str">
            <v>FORM NOT SIGNED</v>
          </cell>
        </row>
        <row r="111">
          <cell r="D111" t="str">
            <v>7818-17035</v>
          </cell>
          <cell r="E111" t="str">
            <v>FORM NOT SIGNED</v>
          </cell>
        </row>
        <row r="112">
          <cell r="D112" t="str">
            <v>7818-16212</v>
          </cell>
          <cell r="E112" t="str">
            <v>FORM NOT SIGNED</v>
          </cell>
        </row>
        <row r="113">
          <cell r="D113" t="str">
            <v>7818-21635</v>
          </cell>
          <cell r="E113" t="str">
            <v>FROM NOT SIGNED</v>
          </cell>
        </row>
        <row r="114">
          <cell r="D114" t="str">
            <v>7818-15879</v>
          </cell>
          <cell r="E114" t="str">
            <v>FORM NOT SIGNED</v>
          </cell>
        </row>
        <row r="115">
          <cell r="D115" t="str">
            <v>7818-25929</v>
          </cell>
          <cell r="E115" t="str">
            <v>FORM NOT SIGNED</v>
          </cell>
        </row>
        <row r="116">
          <cell r="D116" t="str">
            <v>7818-23299</v>
          </cell>
          <cell r="E116" t="str">
            <v>FORM NOT SIGNED</v>
          </cell>
        </row>
        <row r="117">
          <cell r="D117" t="str">
            <v>7824-00337</v>
          </cell>
          <cell r="E117" t="str">
            <v>FROM NOT SIGNED</v>
          </cell>
        </row>
        <row r="118">
          <cell r="D118" t="str">
            <v>7818-21979</v>
          </cell>
          <cell r="E118" t="str">
            <v>FORM NOT SIGNED</v>
          </cell>
        </row>
        <row r="119">
          <cell r="D119" t="str">
            <v>7829-00033</v>
          </cell>
          <cell r="E119" t="str">
            <v>FORM NOT SIGNED</v>
          </cell>
        </row>
        <row r="120">
          <cell r="D120" t="str">
            <v>7818-25761</v>
          </cell>
          <cell r="E120" t="str">
            <v>FORM NOT SIGNED</v>
          </cell>
        </row>
        <row r="121">
          <cell r="D121" t="str">
            <v>7811-00249</v>
          </cell>
          <cell r="E121" t="str">
            <v>FORM NOT SIGNED</v>
          </cell>
        </row>
        <row r="122">
          <cell r="D122" t="str">
            <v>7811-00249</v>
          </cell>
          <cell r="E122" t="str">
            <v>FORM NOT SIGNED</v>
          </cell>
        </row>
        <row r="123">
          <cell r="D123" t="str">
            <v>7811-00076</v>
          </cell>
          <cell r="E123" t="str">
            <v>FORM NOT SIGNED</v>
          </cell>
        </row>
        <row r="124">
          <cell r="D124" t="str">
            <v>7812-02290</v>
          </cell>
          <cell r="E124" t="str">
            <v>FORM NUMBER ALREADY USED</v>
          </cell>
        </row>
        <row r="125">
          <cell r="D125" t="str">
            <v>7818-13099</v>
          </cell>
          <cell r="E125" t="str">
            <v>FORM NOT SIGNED</v>
          </cell>
        </row>
        <row r="126">
          <cell r="D126" t="str">
            <v>7818-25275</v>
          </cell>
          <cell r="E126" t="str">
            <v>FORM NOT SIGNED</v>
          </cell>
        </row>
        <row r="127">
          <cell r="D127" t="str">
            <v>7823-02148</v>
          </cell>
          <cell r="E127" t="str">
            <v>FORM NUMBER ALREADY USED</v>
          </cell>
        </row>
        <row r="128">
          <cell r="D128" t="str">
            <v>7818-15718</v>
          </cell>
          <cell r="E128" t="str">
            <v>FORM NOT SIGNED</v>
          </cell>
        </row>
        <row r="129">
          <cell r="D129" t="str">
            <v>7818-10448</v>
          </cell>
          <cell r="E129" t="str">
            <v>FORM NOT SIGNED</v>
          </cell>
        </row>
        <row r="130">
          <cell r="D130" t="str">
            <v>7818-25783</v>
          </cell>
          <cell r="E130" t="str">
            <v>FORM NOT SIGNED</v>
          </cell>
        </row>
        <row r="131">
          <cell r="D131" t="str">
            <v>7823-02808</v>
          </cell>
          <cell r="E131" t="str">
            <v>FORM NUMBER ALREADY USED</v>
          </cell>
        </row>
        <row r="132">
          <cell r="D132" t="str">
            <v>7818-18951</v>
          </cell>
          <cell r="E132" t="str">
            <v>FORM NUMBER ALREADY USED</v>
          </cell>
        </row>
        <row r="133">
          <cell r="D133" t="str">
            <v>7818-20787</v>
          </cell>
          <cell r="E133" t="str">
            <v>FORM NOT SIGNED</v>
          </cell>
        </row>
        <row r="134">
          <cell r="D134" t="str">
            <v>7818-15752</v>
          </cell>
          <cell r="E134" t="str">
            <v>FORM NOT SIGNED</v>
          </cell>
        </row>
        <row r="135">
          <cell r="D135" t="str">
            <v>7818-01422</v>
          </cell>
          <cell r="E135" t="str">
            <v>FORM NOT SIGNED</v>
          </cell>
        </row>
        <row r="136">
          <cell r="D136" t="str">
            <v>7818-25168</v>
          </cell>
          <cell r="E136" t="str">
            <v>FORM NOT SIGNED</v>
          </cell>
        </row>
        <row r="137">
          <cell r="D137" t="str">
            <v>7818-15760</v>
          </cell>
          <cell r="E137" t="str">
            <v>FORM NOT SIGNED</v>
          </cell>
        </row>
        <row r="138">
          <cell r="D138" t="str">
            <v>7818-16213</v>
          </cell>
          <cell r="E138" t="str">
            <v>FORM NOT SIGNED</v>
          </cell>
        </row>
        <row r="139">
          <cell r="D139" t="str">
            <v>7829-00033</v>
          </cell>
          <cell r="E139" t="str">
            <v>FORM NOT SIGNED</v>
          </cell>
        </row>
        <row r="140">
          <cell r="D140" t="str">
            <v>7823-01938</v>
          </cell>
          <cell r="E140" t="str">
            <v>FORM NUMBER ALREADY USED</v>
          </cell>
        </row>
        <row r="141">
          <cell r="D141" t="str">
            <v>7823-01946</v>
          </cell>
          <cell r="E141" t="str">
            <v>FORM NUMBER ALREADY USED</v>
          </cell>
        </row>
        <row r="142">
          <cell r="D142" t="str">
            <v>7818-25171</v>
          </cell>
          <cell r="E142" t="str">
            <v>FORM NUMBER ALREADY USED</v>
          </cell>
        </row>
        <row r="143">
          <cell r="D143" t="str">
            <v>7818-25977</v>
          </cell>
          <cell r="E143" t="str">
            <v>FORM NUMBER ALREADY USED</v>
          </cell>
        </row>
        <row r="144">
          <cell r="D144" t="str">
            <v>7818-22411</v>
          </cell>
          <cell r="E144" t="str">
            <v>FORM NUMBER ALREADY USED</v>
          </cell>
        </row>
        <row r="145">
          <cell r="D145" t="str">
            <v>7818-17291</v>
          </cell>
          <cell r="E145" t="str">
            <v>FORM NUMBER ALREADY USED</v>
          </cell>
        </row>
        <row r="146">
          <cell r="D146" t="str">
            <v>7818-22304</v>
          </cell>
          <cell r="E146" t="str">
            <v>FORM NUMBER ALREADY USED</v>
          </cell>
        </row>
        <row r="147">
          <cell r="D147" t="str">
            <v>7829-00037</v>
          </cell>
          <cell r="E147" t="str">
            <v>FORM NUMBER ALREADY USED</v>
          </cell>
        </row>
        <row r="148">
          <cell r="D148" t="str">
            <v>7823-03321</v>
          </cell>
          <cell r="E148" t="str">
            <v>FORM NUMBER ALREADY USED</v>
          </cell>
        </row>
        <row r="149">
          <cell r="D149" t="str">
            <v>7818-21664</v>
          </cell>
          <cell r="E149" t="str">
            <v>FORM NUMBER ALREADY USED</v>
          </cell>
        </row>
        <row r="150">
          <cell r="D150" t="str">
            <v>7823-02772</v>
          </cell>
          <cell r="E150" t="str">
            <v>FORM NUMBER ALREADY USED</v>
          </cell>
        </row>
        <row r="151">
          <cell r="D151" t="str">
            <v>7818-16499</v>
          </cell>
          <cell r="E151" t="str">
            <v>FORM NOT SIGNED</v>
          </cell>
        </row>
        <row r="152">
          <cell r="D152" t="str">
            <v>7818-01058</v>
          </cell>
          <cell r="E152" t="str">
            <v>FORM NOT SIGNED</v>
          </cell>
        </row>
        <row r="153">
          <cell r="D153" t="str">
            <v>7823-02761</v>
          </cell>
          <cell r="E153" t="str">
            <v>FORM NOT SIGNED</v>
          </cell>
        </row>
        <row r="154">
          <cell r="D154" t="str">
            <v>7818-25254</v>
          </cell>
          <cell r="E154" t="str">
            <v>FORM NOT SIGNED</v>
          </cell>
        </row>
        <row r="155">
          <cell r="D155" t="str">
            <v>7818-15757</v>
          </cell>
          <cell r="E155" t="str">
            <v>FORM NOT SIGNED</v>
          </cell>
        </row>
        <row r="156">
          <cell r="D156" t="str">
            <v>7818-14547</v>
          </cell>
          <cell r="E156" t="str">
            <v>FORM NOT SIGNED</v>
          </cell>
        </row>
        <row r="157">
          <cell r="D157" t="str">
            <v>7818-21839</v>
          </cell>
          <cell r="E157" t="str">
            <v>FORM NOT SIGNED</v>
          </cell>
        </row>
        <row r="158">
          <cell r="D158" t="str">
            <v>7818-20476</v>
          </cell>
          <cell r="E158" t="str">
            <v>FORM NOT SIGNED</v>
          </cell>
        </row>
        <row r="159">
          <cell r="D159" t="str">
            <v>7829-00038</v>
          </cell>
          <cell r="E159" t="str">
            <v>FORM NUMBER ALREADY USED</v>
          </cell>
        </row>
        <row r="160">
          <cell r="D160" t="str">
            <v>7818-18821</v>
          </cell>
          <cell r="E160" t="str">
            <v>FORM NUMBER ALREADY USED</v>
          </cell>
        </row>
        <row r="161">
          <cell r="D161" t="str">
            <v>7818-21844</v>
          </cell>
          <cell r="E161" t="str">
            <v>FORM NUMBER ALREADY USED</v>
          </cell>
        </row>
        <row r="162">
          <cell r="D162" t="str">
            <v>7823-01968</v>
          </cell>
          <cell r="E162" t="str">
            <v>FORM NUMBER ALREADY USED</v>
          </cell>
        </row>
        <row r="163">
          <cell r="D163" t="str">
            <v>7812-02920</v>
          </cell>
          <cell r="E163" t="str">
            <v>FORM NUMBER ALREADY USED</v>
          </cell>
        </row>
        <row r="164">
          <cell r="D164" t="str">
            <v>7818-16786</v>
          </cell>
          <cell r="E164" t="str">
            <v>FORM NUMBER ALREADY USED</v>
          </cell>
        </row>
        <row r="165">
          <cell r="D165" t="str">
            <v>7818-25073</v>
          </cell>
          <cell r="E165" t="str">
            <v>FORM NOT SIGNED</v>
          </cell>
        </row>
        <row r="166">
          <cell r="D166" t="str">
            <v>7818-25331</v>
          </cell>
          <cell r="E166" t="str">
            <v>FORM NOT SIGNED</v>
          </cell>
        </row>
        <row r="167">
          <cell r="D167" t="str">
            <v>7818-19118</v>
          </cell>
          <cell r="E167" t="str">
            <v>FORM NOT SIGNED</v>
          </cell>
        </row>
        <row r="168">
          <cell r="D168" t="str">
            <v>7818-10449</v>
          </cell>
          <cell r="E168" t="str">
            <v>FORM NOT SIGNED</v>
          </cell>
        </row>
        <row r="169">
          <cell r="D169" t="str">
            <v>7818-25347</v>
          </cell>
          <cell r="E169" t="str">
            <v>FORM NOT SIGNED</v>
          </cell>
        </row>
        <row r="170">
          <cell r="D170" t="str">
            <v>7818-25236</v>
          </cell>
          <cell r="E170" t="str">
            <v>FORM NOT SIGNED</v>
          </cell>
        </row>
        <row r="171">
          <cell r="D171" t="str">
            <v>7818-16468</v>
          </cell>
          <cell r="E171" t="str">
            <v>FORM NUMBER ALREADY USED</v>
          </cell>
        </row>
        <row r="172">
          <cell r="D172" t="str">
            <v>7810-01489</v>
          </cell>
          <cell r="E172" t="str">
            <v>FORM NOT SIGNED</v>
          </cell>
        </row>
        <row r="173">
          <cell r="D173" t="str">
            <v>7818-13099</v>
          </cell>
          <cell r="E173" t="str">
            <v>FORM NOT SIGNED</v>
          </cell>
        </row>
        <row r="174">
          <cell r="D174" t="str">
            <v>7818-27202</v>
          </cell>
          <cell r="E174" t="str">
            <v>FORM NOT SIGNED</v>
          </cell>
        </row>
        <row r="175">
          <cell r="D175" t="str">
            <v>7818-18747</v>
          </cell>
          <cell r="E175" t="str">
            <v>FORM NOT SIGNED</v>
          </cell>
        </row>
        <row r="176">
          <cell r="D176" t="str">
            <v>7818-21684</v>
          </cell>
          <cell r="E176" t="str">
            <v>FORM NOT SIGNED</v>
          </cell>
        </row>
        <row r="177">
          <cell r="D177" t="str">
            <v>7818-07525</v>
          </cell>
          <cell r="E177" t="str">
            <v>FORM NOT SIGNED</v>
          </cell>
        </row>
        <row r="178">
          <cell r="D178" t="str">
            <v>7818-21664</v>
          </cell>
          <cell r="E178" t="str">
            <v>FORM NUMBER ALREADY USED</v>
          </cell>
        </row>
        <row r="179">
          <cell r="D179" t="str">
            <v>7811-00312</v>
          </cell>
          <cell r="E179" t="str">
            <v>FORM NOT SIGNED</v>
          </cell>
        </row>
        <row r="180">
          <cell r="D180" t="str">
            <v>7818-24261</v>
          </cell>
          <cell r="E180" t="str">
            <v>FORM NOT SIGNED</v>
          </cell>
        </row>
        <row r="181">
          <cell r="D181" t="str">
            <v>7818-21844</v>
          </cell>
          <cell r="E181" t="str">
            <v>FORM NUMBER ALREADY USED</v>
          </cell>
        </row>
        <row r="182">
          <cell r="D182" t="str">
            <v>7818-25179</v>
          </cell>
          <cell r="E182" t="str">
            <v>FORM NUMBER ALREADY USED</v>
          </cell>
        </row>
        <row r="183">
          <cell r="D183" t="str">
            <v>7823-02801</v>
          </cell>
          <cell r="E183" t="str">
            <v>FORM NUMBER ALREADY USED</v>
          </cell>
        </row>
        <row r="184">
          <cell r="D184" t="str">
            <v>7823-02678</v>
          </cell>
          <cell r="E184" t="str">
            <v>FORM NUMBER ALREADY USED</v>
          </cell>
        </row>
        <row r="185">
          <cell r="D185" t="str">
            <v>7829-00033</v>
          </cell>
          <cell r="E185" t="str">
            <v>FORM NOT SIGNED</v>
          </cell>
        </row>
        <row r="186">
          <cell r="D186" t="str">
            <v>7812-3746</v>
          </cell>
          <cell r="E186" t="str">
            <v>FORM NOT SIGNED</v>
          </cell>
        </row>
        <row r="187">
          <cell r="D187" t="str">
            <v>7818-15316</v>
          </cell>
          <cell r="E187" t="str">
            <v>FORM NOT SIGNED</v>
          </cell>
        </row>
        <row r="188">
          <cell r="D188" t="str">
            <v>7823-02282</v>
          </cell>
          <cell r="E188" t="str">
            <v>FORM NOT SIGNED</v>
          </cell>
        </row>
        <row r="189">
          <cell r="D189" t="str">
            <v>7818-02736</v>
          </cell>
          <cell r="E189" t="str">
            <v>FORM NOT SIGNED</v>
          </cell>
        </row>
        <row r="190">
          <cell r="D190" t="str">
            <v>7818-26548</v>
          </cell>
          <cell r="E190" t="str">
            <v>FORM NOT SIGNED</v>
          </cell>
        </row>
        <row r="191">
          <cell r="D191" t="str">
            <v>7818-23105</v>
          </cell>
          <cell r="E191" t="str">
            <v>FORM NOT SIGNED</v>
          </cell>
        </row>
        <row r="192">
          <cell r="D192" t="str">
            <v>7818-26073</v>
          </cell>
          <cell r="E192" t="str">
            <v>FORM NOT SIGNED</v>
          </cell>
        </row>
        <row r="193">
          <cell r="D193" t="str">
            <v>7818-23314</v>
          </cell>
          <cell r="E193" t="str">
            <v>FORM NOT SIGNED</v>
          </cell>
        </row>
        <row r="194">
          <cell r="D194" t="str">
            <v>7812-01730</v>
          </cell>
          <cell r="E194" t="str">
            <v>FORM NOT SIGNED</v>
          </cell>
        </row>
        <row r="195">
          <cell r="D195" t="str">
            <v>7829-00033</v>
          </cell>
          <cell r="E195" t="str">
            <v>FORM NOT SIGNED</v>
          </cell>
        </row>
        <row r="196">
          <cell r="D196" t="str">
            <v>7829-00033</v>
          </cell>
          <cell r="E196" t="str">
            <v>FORM NOT SIGNED</v>
          </cell>
        </row>
        <row r="197">
          <cell r="D197" t="str">
            <v>7818-25172</v>
          </cell>
          <cell r="E197" t="str">
            <v>FORM NOT SIGNED</v>
          </cell>
        </row>
        <row r="198">
          <cell r="D198" t="str">
            <v>7818-26190</v>
          </cell>
          <cell r="E198" t="str">
            <v>FORM NOT SIGNED</v>
          </cell>
        </row>
        <row r="199">
          <cell r="D199" t="str">
            <v>7811-00196</v>
          </cell>
          <cell r="E199" t="str">
            <v>FORM NUMBER ALREADY USED</v>
          </cell>
        </row>
        <row r="200">
          <cell r="D200" t="str">
            <v>7811-00141</v>
          </cell>
          <cell r="E200" t="str">
            <v>FORM NUMBER ALREADY USED</v>
          </cell>
        </row>
        <row r="201">
          <cell r="D201" t="str">
            <v>7811-00306</v>
          </cell>
          <cell r="E201" t="str">
            <v>FORM NUMBER ALREADY USED</v>
          </cell>
        </row>
        <row r="202">
          <cell r="D202" t="str">
            <v>7811-00051</v>
          </cell>
          <cell r="E202" t="str">
            <v>FORM NUMBER ALREADY USED</v>
          </cell>
        </row>
        <row r="203">
          <cell r="D203" t="str">
            <v>7811-00322</v>
          </cell>
          <cell r="E203" t="str">
            <v>FORM NUMBER ALREADY USED</v>
          </cell>
        </row>
        <row r="204">
          <cell r="D204" t="str">
            <v>7818-29402</v>
          </cell>
          <cell r="E204" t="str">
            <v>FORM NUMBER ALREADY USED</v>
          </cell>
        </row>
        <row r="205">
          <cell r="D205" t="str">
            <v>7811-00194</v>
          </cell>
          <cell r="E205" t="str">
            <v>FORM NUMBER ALREADY USED</v>
          </cell>
        </row>
        <row r="206">
          <cell r="D206" t="str">
            <v>7811-00249</v>
          </cell>
          <cell r="E206" t="str">
            <v>FORM NUMBER ALREADY USED</v>
          </cell>
        </row>
        <row r="207">
          <cell r="D207" t="str">
            <v>7811-00216</v>
          </cell>
          <cell r="E207" t="str">
            <v>FORM NUMBER ALREADY USED</v>
          </cell>
        </row>
        <row r="208">
          <cell r="D208" t="str">
            <v>7811-00250</v>
          </cell>
          <cell r="E208" t="str">
            <v>FORM NUMBER ALREADY USED</v>
          </cell>
        </row>
        <row r="209">
          <cell r="D209" t="str">
            <v>7811-00323</v>
          </cell>
          <cell r="E209" t="str">
            <v>FORM NUMBER ALREADY USED</v>
          </cell>
        </row>
        <row r="210">
          <cell r="D210" t="str">
            <v>7811-00312</v>
          </cell>
          <cell r="E210" t="str">
            <v>FORM NUMBER ALREADY USED</v>
          </cell>
        </row>
        <row r="211">
          <cell r="D211" t="str">
            <v>???</v>
          </cell>
          <cell r="E211" t="str">
            <v>FROM NOT SIGNED / NO ORDER NUMBER ON FORM</v>
          </cell>
        </row>
        <row r="212">
          <cell r="D212" t="str">
            <v>7823-01535</v>
          </cell>
          <cell r="E212" t="str">
            <v>FORM NUMBER ALREADY USED</v>
          </cell>
        </row>
        <row r="213">
          <cell r="D213" t="str">
            <v>7818-22686</v>
          </cell>
          <cell r="E213" t="str">
            <v>FORM NOT SIGNED</v>
          </cell>
        </row>
        <row r="214">
          <cell r="D214" t="str">
            <v>7818-20273</v>
          </cell>
          <cell r="E214" t="str">
            <v>FORM NOT SIGNED</v>
          </cell>
        </row>
        <row r="215">
          <cell r="D215" t="str">
            <v>7818-29891</v>
          </cell>
          <cell r="E215" t="str">
            <v>FORM NOT SIGNED</v>
          </cell>
        </row>
        <row r="216">
          <cell r="D216" t="str">
            <v>7818-21194</v>
          </cell>
          <cell r="E216" t="str">
            <v>FORM NOT SIGNED</v>
          </cell>
        </row>
        <row r="217">
          <cell r="D217" t="str">
            <v>7824-00433</v>
          </cell>
          <cell r="E217" t="str">
            <v>FORM NOT SIGNED</v>
          </cell>
        </row>
        <row r="218">
          <cell r="D218" t="str">
            <v>7818-29427</v>
          </cell>
          <cell r="E218" t="str">
            <v>FORM NOT SIGNED</v>
          </cell>
        </row>
        <row r="219">
          <cell r="D219" t="str">
            <v>7818-28419</v>
          </cell>
          <cell r="E219" t="str">
            <v>FORM NOT SIGNED</v>
          </cell>
        </row>
        <row r="220">
          <cell r="D220" t="str">
            <v>7810-01191</v>
          </cell>
          <cell r="E220" t="str">
            <v>FORM NOT SIGNED</v>
          </cell>
        </row>
        <row r="221">
          <cell r="D221" t="str">
            <v>7823-02315</v>
          </cell>
          <cell r="E221" t="str">
            <v>NOTHING SELECTED ON FORM. NO RX, LENS, OR FRAME SELECTED.</v>
          </cell>
        </row>
        <row r="222">
          <cell r="D222" t="str">
            <v>7823-02316</v>
          </cell>
          <cell r="E222" t="str">
            <v>DID NOT SELECT A LENS STYLE</v>
          </cell>
        </row>
        <row r="223">
          <cell r="D223" t="str">
            <v>7818-13078</v>
          </cell>
          <cell r="E223" t="str">
            <v>FORM NOT SIGNED</v>
          </cell>
        </row>
        <row r="224">
          <cell r="D224" t="str">
            <v>7812-03008</v>
          </cell>
          <cell r="E224" t="str">
            <v>FORM NOT SIGNED</v>
          </cell>
        </row>
        <row r="225">
          <cell r="D225" t="str">
            <v>7818-10582</v>
          </cell>
          <cell r="E225" t="str">
            <v>FORM NOT SIGNED</v>
          </cell>
        </row>
        <row r="226">
          <cell r="D226" t="str">
            <v>7818-26188</v>
          </cell>
          <cell r="E226" t="str">
            <v>FORM NUMBER ALREADY USED</v>
          </cell>
        </row>
        <row r="227">
          <cell r="D227" t="str">
            <v>7812-02665</v>
          </cell>
          <cell r="E227" t="str">
            <v>FORM NUMBER ALREADY USED</v>
          </cell>
        </row>
        <row r="228">
          <cell r="D228" t="str">
            <v>7812-02645</v>
          </cell>
          <cell r="E228" t="str">
            <v>FORM NUMBER ALREADY USED</v>
          </cell>
        </row>
        <row r="229">
          <cell r="D229" t="str">
            <v>7812-00800</v>
          </cell>
          <cell r="E229" t="str">
            <v>FORM NUMBER ALREADY USED</v>
          </cell>
        </row>
        <row r="230">
          <cell r="D230" t="str">
            <v>7818-28388</v>
          </cell>
          <cell r="E230" t="str">
            <v>FORM NOT SIGNED</v>
          </cell>
        </row>
        <row r="231">
          <cell r="D231" t="str">
            <v>7812-02923</v>
          </cell>
          <cell r="E231" t="str">
            <v>FORM NUMBER ALREADY USED</v>
          </cell>
        </row>
        <row r="232">
          <cell r="D232" t="str">
            <v>7812-3857</v>
          </cell>
          <cell r="E232" t="str">
            <v>FORM NUMBER ALREADY USED</v>
          </cell>
        </row>
        <row r="233">
          <cell r="D233" t="str">
            <v>7133-00073</v>
          </cell>
          <cell r="E233" t="str">
            <v>FORM NUMBER ALREADY USED</v>
          </cell>
        </row>
        <row r="234">
          <cell r="D234" t="str">
            <v>7812-00801</v>
          </cell>
          <cell r="E234" t="str">
            <v>FORM NUMBER ALREADY USED</v>
          </cell>
        </row>
        <row r="235">
          <cell r="D235" t="str">
            <v>7818-26862</v>
          </cell>
          <cell r="E235" t="str">
            <v>FORM NOT SIGNED</v>
          </cell>
        </row>
        <row r="236">
          <cell r="D236" t="str">
            <v>7823-02680</v>
          </cell>
          <cell r="E236" t="str">
            <v>FORM NUMBER ALREADY USED</v>
          </cell>
        </row>
        <row r="237">
          <cell r="D237" t="str">
            <v>7823-02623</v>
          </cell>
          <cell r="E237" t="str">
            <v>FORM NUMBER ALREADY USED</v>
          </cell>
        </row>
        <row r="238">
          <cell r="D238" t="str">
            <v>7827-00033</v>
          </cell>
          <cell r="E238" t="str">
            <v>FORM NOT SIGNED</v>
          </cell>
        </row>
        <row r="239">
          <cell r="D239" t="str">
            <v>7827-00039</v>
          </cell>
          <cell r="E239" t="str">
            <v>FORM NOT SIGNED</v>
          </cell>
        </row>
        <row r="240">
          <cell r="D240" t="str">
            <v>7824-00452</v>
          </cell>
          <cell r="E240" t="str">
            <v>FORM NOT SIGNED</v>
          </cell>
        </row>
        <row r="241">
          <cell r="D241" t="str">
            <v>7824-00444</v>
          </cell>
          <cell r="E241" t="str">
            <v>FORM NOT SIGNED</v>
          </cell>
        </row>
        <row r="242">
          <cell r="D242" t="str">
            <v>7818-19919</v>
          </cell>
          <cell r="E242" t="str">
            <v>FORM NUMBER ALREADY USED</v>
          </cell>
        </row>
        <row r="243">
          <cell r="D243" t="str">
            <v>7818-23915</v>
          </cell>
          <cell r="E243" t="str">
            <v>FORM NUMBER ALREADY USED</v>
          </cell>
        </row>
        <row r="244">
          <cell r="D244" t="str">
            <v>7818-29471</v>
          </cell>
          <cell r="E244" t="str">
            <v>FORM NUMBER ALREADY USED</v>
          </cell>
        </row>
        <row r="245">
          <cell r="D245" t="str">
            <v>7818-28391</v>
          </cell>
          <cell r="E245" t="str">
            <v>FORM NUMBER ALREADY USED</v>
          </cell>
        </row>
        <row r="246">
          <cell r="D246" t="str">
            <v>7818-18632</v>
          </cell>
          <cell r="E246" t="str">
            <v>FORM NUMBER ALREADY USED</v>
          </cell>
        </row>
        <row r="247">
          <cell r="D247" t="str">
            <v>7810-02285</v>
          </cell>
          <cell r="E247" t="str">
            <v>FORM NUMBER ALREADY USED</v>
          </cell>
        </row>
        <row r="248">
          <cell r="D248" t="str">
            <v>7823-02316</v>
          </cell>
          <cell r="E248" t="str">
            <v>FORM NUMBER ALREADY USED</v>
          </cell>
        </row>
        <row r="249">
          <cell r="D249" t="str">
            <v>7810-02111</v>
          </cell>
          <cell r="E249" t="str">
            <v>FORM NUMBER ALREADY USED</v>
          </cell>
        </row>
        <row r="250">
          <cell r="D250" t="str">
            <v>7818-18233</v>
          </cell>
          <cell r="E250" t="str">
            <v>FORM NUMBER ALREADY USED</v>
          </cell>
        </row>
        <row r="251">
          <cell r="D251" t="str">
            <v>7818-28237</v>
          </cell>
          <cell r="E251" t="str">
            <v>FORM NUMBER ALREADY USED</v>
          </cell>
        </row>
        <row r="252">
          <cell r="D252" t="str">
            <v>7823-02445</v>
          </cell>
          <cell r="E252" t="str">
            <v>FORM NOT SIGNED</v>
          </cell>
        </row>
        <row r="253">
          <cell r="D253" t="str">
            <v>7818-30949</v>
          </cell>
          <cell r="E253" t="str">
            <v>FORM NOT SIGNED</v>
          </cell>
        </row>
        <row r="254">
          <cell r="D254" t="str">
            <v>7812-01554</v>
          </cell>
          <cell r="E254" t="str">
            <v>FORM NUMBER ALREADY USED</v>
          </cell>
        </row>
        <row r="255">
          <cell r="D255" t="str">
            <v>7818-16218</v>
          </cell>
          <cell r="E255" t="str">
            <v>FORM NOT SIGNED</v>
          </cell>
        </row>
        <row r="256">
          <cell r="D256" t="str">
            <v>7818-24821</v>
          </cell>
          <cell r="E256" t="str">
            <v>FORM NUMBER ALREADY USED</v>
          </cell>
        </row>
        <row r="257">
          <cell r="D257" t="str">
            <v>7818-23925</v>
          </cell>
          <cell r="E257" t="str">
            <v>FORM NUMBER ALREADY USED</v>
          </cell>
        </row>
        <row r="258">
          <cell r="D258" t="str">
            <v>7818-16944</v>
          </cell>
          <cell r="E258" t="str">
            <v>FORM NUMBER ALREADY USED</v>
          </cell>
        </row>
        <row r="259">
          <cell r="D259" t="str">
            <v>7818-24952</v>
          </cell>
          <cell r="E259" t="str">
            <v>FORM NUMBER ALREADY USED</v>
          </cell>
        </row>
        <row r="260">
          <cell r="D260" t="str">
            <v>7810-01593</v>
          </cell>
          <cell r="E260" t="str">
            <v>FORM NOT SIGNED</v>
          </cell>
        </row>
        <row r="261">
          <cell r="D261" t="str">
            <v>7823-02445</v>
          </cell>
          <cell r="E261" t="str">
            <v>FORM NOT SIGNED</v>
          </cell>
        </row>
        <row r="262">
          <cell r="D262" t="str">
            <v>7811-00314</v>
          </cell>
          <cell r="E262" t="str">
            <v>FORM NUMBER ALREADY USED</v>
          </cell>
        </row>
        <row r="263">
          <cell r="D263" t="str">
            <v>7819-00001</v>
          </cell>
          <cell r="E263" t="str">
            <v>FORM NOT SIGNED</v>
          </cell>
        </row>
        <row r="264">
          <cell r="D264" t="str">
            <v>7818-19813</v>
          </cell>
          <cell r="E264" t="str">
            <v>FORM NOT SIGNED</v>
          </cell>
        </row>
        <row r="265">
          <cell r="D265" t="str">
            <v>7815-00097</v>
          </cell>
          <cell r="E265" t="str">
            <v>FORM NOT SIGNED</v>
          </cell>
        </row>
        <row r="266">
          <cell r="D266" t="str">
            <v>7815-00130</v>
          </cell>
          <cell r="E266" t="str">
            <v>FORM NOT SIGNED</v>
          </cell>
        </row>
        <row r="267">
          <cell r="D267" t="str">
            <v>7818-26611</v>
          </cell>
          <cell r="E267" t="str">
            <v>CANT READ RX INFO ON FORM</v>
          </cell>
        </row>
        <row r="268">
          <cell r="D268" t="str">
            <v>7818-31650</v>
          </cell>
          <cell r="E268" t="str">
            <v>FORM NOT SIGNED</v>
          </cell>
        </row>
        <row r="269">
          <cell r="D269" t="str">
            <v>7823-02690</v>
          </cell>
          <cell r="E269" t="str">
            <v>FORM NUMBER ALREADY USED</v>
          </cell>
        </row>
        <row r="270">
          <cell r="D270" t="str">
            <v>7812-04721</v>
          </cell>
          <cell r="E270" t="str">
            <v>FORM NUMBER ALREADY USED</v>
          </cell>
        </row>
        <row r="271">
          <cell r="D271" t="str">
            <v>7818-15319</v>
          </cell>
          <cell r="E271" t="str">
            <v>FORM NOT SIGNED</v>
          </cell>
        </row>
        <row r="272">
          <cell r="D272" t="str">
            <v>7818-27780</v>
          </cell>
          <cell r="E272" t="str">
            <v>FORM NOT SIGNED</v>
          </cell>
        </row>
        <row r="273">
          <cell r="D273" t="str">
            <v>7818-28702</v>
          </cell>
          <cell r="E273" t="str">
            <v>FORM NOT SIGNED</v>
          </cell>
        </row>
        <row r="274">
          <cell r="D274" t="str">
            <v>7818-09325</v>
          </cell>
          <cell r="E274" t="str">
            <v>FORM NOT SIGNED</v>
          </cell>
        </row>
        <row r="275">
          <cell r="D275" t="str">
            <v>7818-18937</v>
          </cell>
          <cell r="E275" t="str">
            <v>FORM NOT SIGNED</v>
          </cell>
        </row>
        <row r="276">
          <cell r="D276" t="str">
            <v>7829-00159</v>
          </cell>
          <cell r="E276" t="str">
            <v>FORM NUMBER ALREADY USED</v>
          </cell>
        </row>
        <row r="277">
          <cell r="D277" t="str">
            <v>7829-00158</v>
          </cell>
          <cell r="E277" t="str">
            <v>FORM NUMBER ALREADY USED</v>
          </cell>
        </row>
        <row r="278">
          <cell r="D278" t="str">
            <v>7823-03011</v>
          </cell>
          <cell r="E278" t="str">
            <v>FORM NUMBER ALREADY USED</v>
          </cell>
        </row>
        <row r="279">
          <cell r="D279" t="str">
            <v>7818-29560</v>
          </cell>
          <cell r="E279" t="str">
            <v>FORM NUMBER ALREADY USED</v>
          </cell>
        </row>
        <row r="280">
          <cell r="D280" t="str">
            <v>7811-00302</v>
          </cell>
          <cell r="E280" t="str">
            <v>FORM NOT SIGNED</v>
          </cell>
        </row>
        <row r="281">
          <cell r="D281" t="str">
            <v>7811-00325</v>
          </cell>
          <cell r="E281" t="str">
            <v>FORM NOT SIGNED</v>
          </cell>
        </row>
        <row r="282">
          <cell r="D282" t="str">
            <v>7815-00129</v>
          </cell>
          <cell r="E282" t="str">
            <v>NO PASS NUMBER</v>
          </cell>
        </row>
        <row r="283">
          <cell r="D283" t="str">
            <v>7815-00136</v>
          </cell>
          <cell r="E283" t="str">
            <v>NO PASS NUMBER</v>
          </cell>
        </row>
      </sheetData>
      <sheetData sheetId="2">
        <row r="1">
          <cell r="O1">
            <v>234</v>
          </cell>
        </row>
        <row r="2">
          <cell r="D2" t="str">
            <v>FORM#</v>
          </cell>
          <cell r="M2" t="str">
            <v>TRACKING #</v>
          </cell>
          <cell r="O2" t="str">
            <v>DELIVERY DATE</v>
          </cell>
        </row>
        <row r="3">
          <cell r="D3" t="str">
            <v>7812-03218</v>
          </cell>
          <cell r="M3" t="str">
            <v>1Z5063EOYW42326137</v>
          </cell>
        </row>
        <row r="4">
          <cell r="D4" t="str">
            <v>7818-17723</v>
          </cell>
          <cell r="M4" t="str">
            <v>1Z5063EOYW42099919</v>
          </cell>
        </row>
        <row r="5">
          <cell r="D5" t="str">
            <v>7818-19707</v>
          </cell>
          <cell r="M5" t="str">
            <v>9400 1112 0620 7601 3724 63</v>
          </cell>
        </row>
        <row r="6">
          <cell r="D6" t="str">
            <v>7818-24533</v>
          </cell>
          <cell r="M6" t="str">
            <v>1Z5063E0YW40984582</v>
          </cell>
        </row>
        <row r="7">
          <cell r="D7" t="str">
            <v>7818-25403</v>
          </cell>
          <cell r="M7" t="str">
            <v>1Z5063E0YW41206821</v>
          </cell>
        </row>
        <row r="8">
          <cell r="D8" t="str">
            <v>7818-23755</v>
          </cell>
          <cell r="M8" t="str">
            <v>1Z5063E0YW42864109</v>
          </cell>
        </row>
        <row r="9">
          <cell r="D9" t="str">
            <v>7818-20470</v>
          </cell>
          <cell r="M9" t="str">
            <v>1Z5063E0YW42739567</v>
          </cell>
        </row>
        <row r="10">
          <cell r="D10" t="str">
            <v>7818-12241</v>
          </cell>
          <cell r="M10" t="str">
            <v>1Z5063E0YW40187612</v>
          </cell>
        </row>
        <row r="11">
          <cell r="D11" t="str">
            <v>7818-27173</v>
          </cell>
          <cell r="M11" t="str">
            <v>1Z5063E0YW41448918</v>
          </cell>
        </row>
        <row r="12">
          <cell r="D12" t="str">
            <v>7823-02669</v>
          </cell>
          <cell r="M12" t="str">
            <v>1Z5063E0YW42606647</v>
          </cell>
        </row>
        <row r="13">
          <cell r="D13" t="str">
            <v>7810-01249</v>
          </cell>
          <cell r="M13" t="str">
            <v>1Z5063E0UW41324524</v>
          </cell>
        </row>
        <row r="14">
          <cell r="D14" t="str">
            <v>7824-00292</v>
          </cell>
          <cell r="M14" t="str">
            <v>1Z5063E0YW41067919</v>
          </cell>
        </row>
        <row r="15">
          <cell r="D15" t="str">
            <v>7812-02075</v>
          </cell>
          <cell r="M15" t="str">
            <v>1Z5063E0YW41244978</v>
          </cell>
        </row>
        <row r="16">
          <cell r="D16" t="str">
            <v>7823-03037</v>
          </cell>
          <cell r="M16" t="str">
            <v>1Z5063E0YW40318542</v>
          </cell>
        </row>
        <row r="17">
          <cell r="D17" t="str">
            <v>7824-00342</v>
          </cell>
          <cell r="M17" t="str">
            <v>1Z5063E0YW41858109</v>
          </cell>
        </row>
        <row r="18">
          <cell r="D18" t="str">
            <v>7824-00348</v>
          </cell>
          <cell r="M18" t="str">
            <v>1Z5063E0YW40371921</v>
          </cell>
        </row>
        <row r="19">
          <cell r="D19" t="str">
            <v>7818-26504</v>
          </cell>
          <cell r="M19" t="str">
            <v>1Z5063E0YW42014134</v>
          </cell>
        </row>
        <row r="20">
          <cell r="D20" t="str">
            <v>7818-18747</v>
          </cell>
          <cell r="M20" t="str">
            <v>1Z5063E0YW40209964</v>
          </cell>
        </row>
        <row r="21">
          <cell r="D21" t="str">
            <v>7818-21123</v>
          </cell>
          <cell r="M21" t="str">
            <v>1Z5063E0YW41287173</v>
          </cell>
        </row>
        <row r="22">
          <cell r="D22" t="str">
            <v>7823-03372</v>
          </cell>
          <cell r="M22" t="str">
            <v>1Z5063E0YW40843797</v>
          </cell>
        </row>
        <row r="23">
          <cell r="D23" t="str">
            <v>7810-01775</v>
          </cell>
          <cell r="M23" t="str">
            <v>1Z5063E0YW41356071</v>
          </cell>
        </row>
        <row r="24">
          <cell r="D24" t="str">
            <v>7818-19876</v>
          </cell>
          <cell r="M24" t="str">
            <v>1Z5063E0YW40112308</v>
          </cell>
        </row>
        <row r="25">
          <cell r="D25" t="str">
            <v>7823-03324</v>
          </cell>
          <cell r="M25" t="str">
            <v>1Z5063E0YW42766117</v>
          </cell>
        </row>
        <row r="26">
          <cell r="D26" t="str">
            <v>7818-21689</v>
          </cell>
          <cell r="M26" t="str">
            <v>1Z5063E0YW40769403</v>
          </cell>
        </row>
        <row r="27">
          <cell r="D27" t="str">
            <v>7818-26169</v>
          </cell>
          <cell r="M27" t="str">
            <v>1Z5063E0YW41684387</v>
          </cell>
        </row>
        <row r="28">
          <cell r="D28" t="str">
            <v>7818-09724</v>
          </cell>
          <cell r="M28" t="str">
            <v>1Z5063E0YW40751289</v>
          </cell>
        </row>
        <row r="29">
          <cell r="D29" t="str">
            <v>7818-26578</v>
          </cell>
          <cell r="M29" t="str">
            <v>1Z5063E0YW42563354</v>
          </cell>
        </row>
        <row r="30">
          <cell r="D30" t="str">
            <v>7818-03230</v>
          </cell>
          <cell r="M30" t="str">
            <v>1Z5063E0YW42745210</v>
          </cell>
        </row>
        <row r="31">
          <cell r="D31" t="str">
            <v>7818-26184</v>
          </cell>
          <cell r="M31" t="str">
            <v>1Z5063E0YW42559065</v>
          </cell>
        </row>
        <row r="32">
          <cell r="D32" t="str">
            <v>7818-11551</v>
          </cell>
          <cell r="M32" t="str">
            <v>1Z5063E0YW40228747</v>
          </cell>
        </row>
        <row r="33">
          <cell r="D33" t="str">
            <v>7818-14541</v>
          </cell>
          <cell r="M33" t="str">
            <v>1Z5063E0YW40594128</v>
          </cell>
        </row>
        <row r="34">
          <cell r="D34" t="str">
            <v>7818-25343</v>
          </cell>
          <cell r="M34" t="str">
            <v>1Z5063E0YW42268692</v>
          </cell>
        </row>
        <row r="35">
          <cell r="D35" t="str">
            <v>7818-15752</v>
          </cell>
          <cell r="M35" t="str">
            <v>1Z5063E0YW42104993</v>
          </cell>
        </row>
        <row r="36">
          <cell r="D36" t="str">
            <v>7818-27182</v>
          </cell>
          <cell r="M36" t="str">
            <v>1Z5063E0YW42254410</v>
          </cell>
        </row>
        <row r="37">
          <cell r="D37" t="str">
            <v>7818-26652</v>
          </cell>
          <cell r="M37" t="str">
            <v>1Z5063E0YW41038272</v>
          </cell>
        </row>
        <row r="38">
          <cell r="D38" t="str">
            <v>7818-27164</v>
          </cell>
          <cell r="M38" t="str">
            <v>1Z5063E0YW41837480</v>
          </cell>
        </row>
        <row r="39">
          <cell r="D39" t="str">
            <v>7818-20131</v>
          </cell>
          <cell r="M39" t="str">
            <v>1Z5063E0YW41214607</v>
          </cell>
        </row>
        <row r="40">
          <cell r="D40" t="str">
            <v>7818-25342</v>
          </cell>
          <cell r="M40" t="str">
            <v>1Z5063E0YW42517261</v>
          </cell>
        </row>
        <row r="41">
          <cell r="D41" t="str">
            <v>7818-25347</v>
          </cell>
          <cell r="M41" t="str">
            <v>1Z5063E0YW41038898</v>
          </cell>
        </row>
        <row r="42">
          <cell r="D42" t="str">
            <v>7824-00380</v>
          </cell>
          <cell r="M42" t="str">
            <v>1Z5063E0YW42446507</v>
          </cell>
        </row>
        <row r="43">
          <cell r="D43" t="str">
            <v>7823-02179</v>
          </cell>
          <cell r="M43" t="str">
            <v>1Z5063E0YW40248234</v>
          </cell>
        </row>
        <row r="44">
          <cell r="D44" t="str">
            <v>7818-13099</v>
          </cell>
          <cell r="M44" t="str">
            <v>1Z5063E0YW42029253</v>
          </cell>
        </row>
        <row r="45">
          <cell r="D45" t="str">
            <v>7818-26194</v>
          </cell>
          <cell r="M45" t="str">
            <v>9402 1112 0620 7776 6689 04</v>
          </cell>
        </row>
        <row r="46">
          <cell r="D46" t="str">
            <v>7818-25944</v>
          </cell>
          <cell r="M46" t="str">
            <v>1Z5063E0YW42805851</v>
          </cell>
        </row>
        <row r="47">
          <cell r="D47" t="str">
            <v>7818-13883</v>
          </cell>
          <cell r="M47" t="str">
            <v>1Z5063E0YW40196719</v>
          </cell>
        </row>
        <row r="48">
          <cell r="D48" t="str">
            <v>7818-23359</v>
          </cell>
          <cell r="M48" t="str">
            <v>9400 1112 0620 7210 8307 08</v>
          </cell>
        </row>
        <row r="49">
          <cell r="D49" t="str">
            <v>7818-27007</v>
          </cell>
          <cell r="M49" t="str">
            <v>9400 1112 0620 7061 1120 53</v>
          </cell>
        </row>
        <row r="50">
          <cell r="D50" t="str">
            <v>7818-14649</v>
          </cell>
          <cell r="M50" t="str">
            <v>1Z5063E0YW40982084</v>
          </cell>
        </row>
        <row r="51">
          <cell r="D51" t="str">
            <v>7818-25160</v>
          </cell>
          <cell r="M51" t="str">
            <v>1Z5063E0YW40795545</v>
          </cell>
        </row>
        <row r="52">
          <cell r="D52" t="str">
            <v>7818-26977</v>
          </cell>
          <cell r="M52" t="str">
            <v>1Z5063E0YW40640685</v>
          </cell>
        </row>
        <row r="53">
          <cell r="D53" t="str">
            <v>7812-03349</v>
          </cell>
          <cell r="M53" t="str">
            <v>9400 1112 0620 7075 0091 72</v>
          </cell>
        </row>
        <row r="54">
          <cell r="D54" t="str">
            <v>7818-21255</v>
          </cell>
          <cell r="M54" t="str">
            <v>1Z5063E0YW40286881</v>
          </cell>
        </row>
        <row r="55">
          <cell r="D55" t="str">
            <v>7818-25149</v>
          </cell>
          <cell r="M55" t="str">
            <v>1Z5063E0YW41777796</v>
          </cell>
        </row>
        <row r="56">
          <cell r="D56" t="str">
            <v>7818-28499</v>
          </cell>
          <cell r="M56" t="str">
            <v>9402 1112 0620 7626 5330 93</v>
          </cell>
        </row>
        <row r="57">
          <cell r="D57" t="str">
            <v>7818-14649</v>
          </cell>
          <cell r="M57" t="str">
            <v>9405 5112 0620 7629 8035 69</v>
          </cell>
        </row>
        <row r="58">
          <cell r="D58" t="str">
            <v>7818-29790</v>
          </cell>
          <cell r="M58" t="str">
            <v>1Z506ED0YW40059297</v>
          </cell>
        </row>
        <row r="59">
          <cell r="D59" t="str">
            <v>7818-22683</v>
          </cell>
          <cell r="M59" t="str">
            <v>1Z5063E0YW40806514</v>
          </cell>
        </row>
        <row r="60">
          <cell r="D60" t="str">
            <v>7823-02683</v>
          </cell>
          <cell r="M60" t="str">
            <v>1Z5063E0YW42762522</v>
          </cell>
        </row>
        <row r="61">
          <cell r="D61" t="str">
            <v>7818-26552</v>
          </cell>
          <cell r="M61" t="str">
            <v>1Z5063E0YW41624638</v>
          </cell>
        </row>
        <row r="62">
          <cell r="D62" t="str">
            <v>7812-3929</v>
          </cell>
          <cell r="M62" t="str">
            <v>1Z5063E0YW41494485</v>
          </cell>
        </row>
        <row r="63">
          <cell r="D63" t="str">
            <v>7818-26835</v>
          </cell>
          <cell r="M63" t="str">
            <v>9400 1361 0605 3198 0032 76</v>
          </cell>
        </row>
        <row r="64">
          <cell r="D64">
            <v>1991</v>
          </cell>
          <cell r="M64" t="str">
            <v>9400 1112 0620 9459 3207 43</v>
          </cell>
          <cell r="O64">
            <v>45164</v>
          </cell>
        </row>
        <row r="65">
          <cell r="D65" t="str">
            <v>7818-29429</v>
          </cell>
          <cell r="M65" t="str">
            <v>9400 1112 0620 7251 6410 66</v>
          </cell>
        </row>
        <row r="66">
          <cell r="D66" t="str">
            <v>7823-02905</v>
          </cell>
          <cell r="M66" t="str">
            <v>9400 1112 0620 9964 8304 16</v>
          </cell>
        </row>
        <row r="67">
          <cell r="D67" t="str">
            <v>7818-25088</v>
          </cell>
          <cell r="M67" t="str">
            <v>9400 1361 0605 3482 8380 27</v>
          </cell>
        </row>
        <row r="68">
          <cell r="D68" t="str">
            <v>7823-03011</v>
          </cell>
          <cell r="M68" t="str">
            <v>9400 1112 0620 9349 7597 76</v>
          </cell>
        </row>
        <row r="69">
          <cell r="D69" t="str">
            <v>7818-33348</v>
          </cell>
          <cell r="M69" t="str">
            <v>9400 1361 0605 3629 2449 71</v>
          </cell>
          <cell r="O69">
            <v>45264</v>
          </cell>
        </row>
        <row r="70">
          <cell r="D70" t="str">
            <v>7818-27733</v>
          </cell>
          <cell r="M70" t="str">
            <v>9400 1361 0605 3659 7768 24</v>
          </cell>
          <cell r="O70">
            <v>45262</v>
          </cell>
        </row>
        <row r="71">
          <cell r="D71" t="str">
            <v>7812-04586</v>
          </cell>
          <cell r="M71" t="str">
            <v>9400 1361 0605 3690 8350 23</v>
          </cell>
          <cell r="O71" t="e">
            <v>#N/A</v>
          </cell>
        </row>
        <row r="72">
          <cell r="D72" t="str">
            <v>7818-27613</v>
          </cell>
          <cell r="M72" t="str">
            <v>9400 1361 0605 3732 6045 87</v>
          </cell>
          <cell r="O72">
            <v>45262</v>
          </cell>
        </row>
        <row r="73">
          <cell r="D73" t="str">
            <v>7818-16918</v>
          </cell>
          <cell r="M73" t="str">
            <v>9400 1361 0605 3740  0570 78</v>
          </cell>
          <cell r="O73">
            <v>45262</v>
          </cell>
        </row>
        <row r="74">
          <cell r="D74" t="str">
            <v>7823-03102</v>
          </cell>
          <cell r="M74" t="str">
            <v>9400 1361 0605 3740 3005 94</v>
          </cell>
          <cell r="O74">
            <v>45262</v>
          </cell>
        </row>
        <row r="75">
          <cell r="D75" t="str">
            <v>7818-29977</v>
          </cell>
          <cell r="M75" t="str">
            <v>9400 1361 0605 3739 9849 65</v>
          </cell>
          <cell r="O75">
            <v>45262</v>
          </cell>
        </row>
        <row r="76">
          <cell r="D76" t="str">
            <v>7818-14652</v>
          </cell>
          <cell r="M76" t="str">
            <v>9400 1361 0605 3740 0452 59</v>
          </cell>
          <cell r="O76">
            <v>45264</v>
          </cell>
        </row>
        <row r="77">
          <cell r="D77" t="str">
            <v>7818-33361</v>
          </cell>
          <cell r="M77" t="str">
            <v>9400 136 10605 3740 2853 10</v>
          </cell>
          <cell r="O77">
            <v>45262</v>
          </cell>
        </row>
        <row r="78">
          <cell r="D78" t="str">
            <v>7823-03201</v>
          </cell>
          <cell r="M78" t="str">
            <v>9400 1361 0605 3750 2129 86</v>
          </cell>
          <cell r="O78">
            <v>45264</v>
          </cell>
        </row>
        <row r="79">
          <cell r="D79" t="str">
            <v>7812-3774</v>
          </cell>
          <cell r="M79" t="str">
            <v>9400 1361 0605 3750 0361 31</v>
          </cell>
          <cell r="O79">
            <v>45264</v>
          </cell>
        </row>
        <row r="80">
          <cell r="D80" t="str">
            <v>7818-18885</v>
          </cell>
          <cell r="M80" t="str">
            <v>9400 1361 0605 3750 1976 72</v>
          </cell>
          <cell r="O80">
            <v>45264</v>
          </cell>
        </row>
        <row r="81">
          <cell r="D81" t="str">
            <v>7818-33660</v>
          </cell>
          <cell r="M81" t="str">
            <v>9400 1361 0605 3764 6997 80</v>
          </cell>
          <cell r="O81">
            <v>45264</v>
          </cell>
        </row>
        <row r="82">
          <cell r="D82" t="str">
            <v>7812-04513</v>
          </cell>
          <cell r="M82" t="str">
            <v>9400 1361 0605 3758 9643 75</v>
          </cell>
          <cell r="O82">
            <v>45265</v>
          </cell>
        </row>
        <row r="83">
          <cell r="D83" t="str">
            <v>7818-31612</v>
          </cell>
          <cell r="M83" t="str">
            <v>9400 1361 0605 3759 0110 78</v>
          </cell>
          <cell r="O83">
            <v>45264</v>
          </cell>
        </row>
        <row r="84">
          <cell r="D84" t="str">
            <v>7818-26986</v>
          </cell>
          <cell r="M84" t="str">
            <v>9400 1361 0605 3771 9627 09</v>
          </cell>
          <cell r="O84">
            <v>45266</v>
          </cell>
        </row>
        <row r="85">
          <cell r="D85" t="str">
            <v>7818-25188</v>
          </cell>
          <cell r="M85" t="str">
            <v>9400 1361 0605 3758 9415 50</v>
          </cell>
          <cell r="O85">
            <v>45264</v>
          </cell>
        </row>
        <row r="86">
          <cell r="D86" t="str">
            <v>7818-33360</v>
          </cell>
          <cell r="M86" t="str">
            <v>9400 1361 0605 3758 9955 39</v>
          </cell>
          <cell r="O86">
            <v>45265</v>
          </cell>
        </row>
        <row r="87">
          <cell r="D87" t="str">
            <v>7818-32805</v>
          </cell>
          <cell r="M87" t="str">
            <v>9400 1361 0605 3762 5645 78</v>
          </cell>
          <cell r="O87">
            <v>45264</v>
          </cell>
        </row>
        <row r="88">
          <cell r="D88" t="str">
            <v>7818-15290</v>
          </cell>
          <cell r="M88" t="str">
            <v>9400 1361 0605 3762 5807 52</v>
          </cell>
          <cell r="O88">
            <v>45264</v>
          </cell>
        </row>
        <row r="89">
          <cell r="D89" t="str">
            <v>7824-00466</v>
          </cell>
          <cell r="M89" t="str">
            <v>9400 1361 0605 3762 5319 14</v>
          </cell>
          <cell r="O89">
            <v>45265</v>
          </cell>
        </row>
        <row r="90">
          <cell r="D90" t="str">
            <v>7824-00470</v>
          </cell>
          <cell r="M90" t="str">
            <v>9400 1361 0605 3762 5511 65</v>
          </cell>
          <cell r="O90">
            <v>45265</v>
          </cell>
        </row>
        <row r="91">
          <cell r="D91" t="str">
            <v>7823-02668</v>
          </cell>
          <cell r="M91" t="str">
            <v>9400 1361 0605 3758 9760 71</v>
          </cell>
          <cell r="O91">
            <v>45265</v>
          </cell>
        </row>
        <row r="92">
          <cell r="D92" t="str">
            <v>7818-01988</v>
          </cell>
          <cell r="M92" t="str">
            <v>9400 1361 0605 3771 9770 79</v>
          </cell>
          <cell r="O92">
            <v>45265</v>
          </cell>
        </row>
        <row r="93">
          <cell r="D93" t="str">
            <v>7818-19015</v>
          </cell>
          <cell r="M93" t="str">
            <v>9400 1361 0605 3764 7151 69</v>
          </cell>
          <cell r="O93">
            <v>45264</v>
          </cell>
        </row>
        <row r="94">
          <cell r="D94" t="str">
            <v>7818-10429</v>
          </cell>
          <cell r="M94" t="str">
            <v>9400 1361 0605 3758 9511 60</v>
          </cell>
          <cell r="O94">
            <v>45265</v>
          </cell>
        </row>
        <row r="95">
          <cell r="D95" t="str">
            <v>7818-30919</v>
          </cell>
          <cell r="M95" t="str">
            <v>9400 1361 0605 3758 9263 66</v>
          </cell>
          <cell r="O95">
            <v>45265</v>
          </cell>
        </row>
        <row r="96">
          <cell r="D96" t="str">
            <v>7823-02910</v>
          </cell>
          <cell r="M96" t="str">
            <v>9400 1112 0621 0874 1562 37</v>
          </cell>
          <cell r="O96">
            <v>45275</v>
          </cell>
        </row>
        <row r="97">
          <cell r="D97" t="str">
            <v>7823-0334</v>
          </cell>
          <cell r="M97" t="str">
            <v>9400 1361 0605 3759 0241 77</v>
          </cell>
          <cell r="O97">
            <v>45264</v>
          </cell>
        </row>
        <row r="98">
          <cell r="D98" t="str">
            <v>7818-26616</v>
          </cell>
          <cell r="M98" t="str">
            <v>9400 1361 0605 3800 1488 76</v>
          </cell>
          <cell r="O98">
            <v>45267</v>
          </cell>
        </row>
        <row r="99">
          <cell r="D99" t="str">
            <v>7818-33661</v>
          </cell>
          <cell r="M99" t="str">
            <v>9400 1361 0605 3800 0019 35</v>
          </cell>
          <cell r="O99">
            <v>45267</v>
          </cell>
        </row>
        <row r="100">
          <cell r="D100" t="str">
            <v>7818-29496</v>
          </cell>
          <cell r="M100" t="str">
            <v>9400 1361 0605 3793 6820 43</v>
          </cell>
          <cell r="O100">
            <v>45267</v>
          </cell>
        </row>
        <row r="101">
          <cell r="D101" t="str">
            <v>7812-04578</v>
          </cell>
          <cell r="M101" t="str">
            <v>9400 1361 0605 3793 6196 67</v>
          </cell>
          <cell r="O101">
            <v>45267</v>
          </cell>
        </row>
        <row r="102">
          <cell r="D102" t="str">
            <v>7812-04567</v>
          </cell>
          <cell r="M102" t="str">
            <v>9400 1361 0605 3793 5863 96</v>
          </cell>
          <cell r="O102">
            <v>45267</v>
          </cell>
        </row>
        <row r="103">
          <cell r="D103" t="str">
            <v>7812-00398</v>
          </cell>
          <cell r="M103" t="str">
            <v>9400 1361 0605 3793 6429 55</v>
          </cell>
          <cell r="O103">
            <v>45267</v>
          </cell>
        </row>
        <row r="104">
          <cell r="D104" t="str">
            <v>7823-02695</v>
          </cell>
          <cell r="M104" t="str">
            <v>9400 1361 0605 3797 9674 74</v>
          </cell>
          <cell r="O104">
            <v>45267</v>
          </cell>
        </row>
        <row r="105">
          <cell r="D105" t="str">
            <v>7818-33668</v>
          </cell>
          <cell r="M105" t="str">
            <v>9400 1361 0605 3801 5603 63</v>
          </cell>
          <cell r="O105">
            <v>45268</v>
          </cell>
        </row>
        <row r="106">
          <cell r="D106" t="str">
            <v>7818-27802</v>
          </cell>
          <cell r="M106" t="str">
            <v>9400 1361 0605 3801 5786 65</v>
          </cell>
          <cell r="O106">
            <v>45268</v>
          </cell>
        </row>
        <row r="107">
          <cell r="D107" t="str">
            <v>7818-27075</v>
          </cell>
          <cell r="M107" t="str">
            <v>9400 1361 0605 3797 7160 96</v>
          </cell>
          <cell r="O107">
            <v>45267</v>
          </cell>
        </row>
        <row r="108">
          <cell r="D108" t="str">
            <v>7823-02821</v>
          </cell>
          <cell r="M108" t="str">
            <v>9400 1112 0621 0880 3840 75</v>
          </cell>
          <cell r="O108">
            <v>45271</v>
          </cell>
        </row>
        <row r="109">
          <cell r="D109" t="str">
            <v>7818-29470</v>
          </cell>
          <cell r="M109" t="str">
            <v>9400 1112 0621 0880 3057 35</v>
          </cell>
          <cell r="O109">
            <v>45271</v>
          </cell>
        </row>
        <row r="110">
          <cell r="D110" t="str">
            <v>7818-29678</v>
          </cell>
          <cell r="M110" t="str">
            <v>9400 1112 0621 0880 2178 09</v>
          </cell>
          <cell r="O110">
            <v>45271</v>
          </cell>
        </row>
        <row r="111">
          <cell r="D111" t="str">
            <v>7818-26412</v>
          </cell>
          <cell r="M111" t="str">
            <v>9400 1112 0621 0880 2349 43</v>
          </cell>
          <cell r="O111">
            <v>45271</v>
          </cell>
        </row>
        <row r="112">
          <cell r="D112" t="str">
            <v>7818-18229</v>
          </cell>
          <cell r="M112" t="str">
            <v>9400136106053826847821</v>
          </cell>
          <cell r="O112">
            <v>45271</v>
          </cell>
        </row>
        <row r="113">
          <cell r="D113" t="str">
            <v>7812-02343</v>
          </cell>
          <cell r="M113" t="str">
            <v>9400136106053831828556</v>
          </cell>
          <cell r="O113">
            <v>45271</v>
          </cell>
        </row>
        <row r="114">
          <cell r="D114" t="str">
            <v>7818-15035</v>
          </cell>
          <cell r="M114" t="str">
            <v>9400136106053831781622</v>
          </cell>
          <cell r="O114">
            <v>45271</v>
          </cell>
        </row>
        <row r="115">
          <cell r="D115" t="str">
            <v>7818-07813</v>
          </cell>
          <cell r="M115" t="str">
            <v>9400136106053835771629</v>
          </cell>
          <cell r="O115">
            <v>45271</v>
          </cell>
        </row>
        <row r="116">
          <cell r="D116" t="str">
            <v>7818-29505</v>
          </cell>
          <cell r="M116" t="str">
            <v>9400136106053835809285</v>
          </cell>
          <cell r="O116">
            <v>45271</v>
          </cell>
        </row>
        <row r="117">
          <cell r="D117" t="str">
            <v>7818-18371</v>
          </cell>
          <cell r="M117" t="str">
            <v>9400136106053835783868</v>
          </cell>
          <cell r="O117">
            <v>45271</v>
          </cell>
        </row>
        <row r="118">
          <cell r="D118" t="str">
            <v>7823-03347</v>
          </cell>
          <cell r="M118" t="str">
            <v>9400136106053835834058</v>
          </cell>
          <cell r="O118">
            <v>45271</v>
          </cell>
        </row>
        <row r="119">
          <cell r="D119" t="str">
            <v>7818-11366</v>
          </cell>
          <cell r="M119" t="str">
            <v>9400136106053811342980</v>
          </cell>
          <cell r="O119">
            <v>45268</v>
          </cell>
        </row>
        <row r="120">
          <cell r="D120" t="str">
            <v>7818-22629</v>
          </cell>
          <cell r="M120" t="str">
            <v>9400136106053837728775</v>
          </cell>
          <cell r="O120">
            <v>45271</v>
          </cell>
        </row>
        <row r="121">
          <cell r="D121" t="str">
            <v>7818-22700</v>
          </cell>
          <cell r="M121" t="str">
            <v>9400136106053831717232</v>
          </cell>
          <cell r="O121">
            <v>45271</v>
          </cell>
        </row>
        <row r="122">
          <cell r="D122" t="str">
            <v>7818-33202</v>
          </cell>
          <cell r="M122" t="str">
            <v>9400136106053831680819</v>
          </cell>
          <cell r="O122">
            <v>45271</v>
          </cell>
        </row>
        <row r="123">
          <cell r="D123" t="str">
            <v>7818-33201</v>
          </cell>
          <cell r="M123" t="str">
            <v>9400136106053831708377</v>
          </cell>
          <cell r="O123">
            <v>45271</v>
          </cell>
        </row>
        <row r="124">
          <cell r="D124" t="str">
            <v>7818-23367</v>
          </cell>
          <cell r="M124" t="str">
            <v>9400136106053835822611</v>
          </cell>
          <cell r="O124">
            <v>45271</v>
          </cell>
        </row>
        <row r="125">
          <cell r="D125" t="str">
            <v>7818-26894</v>
          </cell>
          <cell r="M125" t="str">
            <v>9400136106053831689218</v>
          </cell>
          <cell r="O125">
            <v>45271</v>
          </cell>
        </row>
        <row r="126">
          <cell r="D126" t="str">
            <v>7818-28463</v>
          </cell>
          <cell r="M126" t="str">
            <v>9400136106053831697183</v>
          </cell>
          <cell r="O126">
            <v>45270</v>
          </cell>
        </row>
        <row r="127">
          <cell r="D127" t="str">
            <v>7824-00464</v>
          </cell>
          <cell r="M127" t="str">
            <v>9400136106053808467054</v>
          </cell>
          <cell r="O127">
            <v>45272</v>
          </cell>
        </row>
        <row r="128">
          <cell r="D128" t="str">
            <v>7824-00478</v>
          </cell>
          <cell r="M128" t="str">
            <v>9400136106053826816766</v>
          </cell>
          <cell r="O128">
            <v>45271</v>
          </cell>
        </row>
        <row r="129">
          <cell r="D129" t="str">
            <v>7818-27313</v>
          </cell>
          <cell r="M129" t="str">
            <v>9400136106053831671886</v>
          </cell>
          <cell r="O129">
            <v>45272</v>
          </cell>
        </row>
        <row r="130">
          <cell r="D130" t="str">
            <v>7818-27745</v>
          </cell>
          <cell r="M130" t="str">
            <v>9400136106053811329554</v>
          </cell>
          <cell r="O130">
            <v>45268</v>
          </cell>
        </row>
        <row r="131">
          <cell r="D131" t="str">
            <v>7818-27348</v>
          </cell>
          <cell r="M131" t="str">
            <v>9400136106053831819691</v>
          </cell>
          <cell r="O131">
            <v>45271</v>
          </cell>
        </row>
        <row r="132">
          <cell r="D132" t="str">
            <v>7818-25305</v>
          </cell>
          <cell r="M132" t="str">
            <v>9400136106053831803256</v>
          </cell>
          <cell r="O132">
            <v>45271</v>
          </cell>
        </row>
        <row r="133">
          <cell r="D133" t="str">
            <v>7823-03257</v>
          </cell>
          <cell r="M133" t="str">
            <v>9400136106053836317529</v>
          </cell>
          <cell r="O133">
            <v>45271</v>
          </cell>
        </row>
        <row r="134">
          <cell r="D134" t="str">
            <v>7818-23652</v>
          </cell>
          <cell r="M134" t="str">
            <v>9400136106053813921206</v>
          </cell>
          <cell r="O134">
            <v>45269</v>
          </cell>
        </row>
        <row r="135">
          <cell r="D135" t="str">
            <v>7818-31649</v>
          </cell>
          <cell r="M135" t="str">
            <v>9400136106053831747321</v>
          </cell>
          <cell r="O135">
            <v>45271</v>
          </cell>
        </row>
        <row r="136">
          <cell r="D136" t="str">
            <v>7818-27819</v>
          </cell>
          <cell r="M136" t="str">
            <v>9400136106053831729099</v>
          </cell>
          <cell r="O136">
            <v>45271</v>
          </cell>
        </row>
        <row r="137">
          <cell r="D137" t="str">
            <v>7818-33664</v>
          </cell>
          <cell r="M137" t="str">
            <v>9400136106053831838319</v>
          </cell>
          <cell r="O137">
            <v>45271</v>
          </cell>
        </row>
        <row r="138">
          <cell r="D138" t="str">
            <v>7823-02245</v>
          </cell>
          <cell r="M138" t="str">
            <v>9400136106053823822944</v>
          </cell>
          <cell r="O138">
            <v>45269</v>
          </cell>
        </row>
        <row r="139">
          <cell r="D139" t="str">
            <v>7823-02247</v>
          </cell>
          <cell r="M139" t="str">
            <v>9400136106053831846499</v>
          </cell>
          <cell r="O139">
            <v>45271</v>
          </cell>
        </row>
        <row r="140">
          <cell r="D140" t="str">
            <v>7823-02603</v>
          </cell>
          <cell r="M140" t="str">
            <v>9400136106053813820394</v>
          </cell>
          <cell r="O140">
            <v>45268</v>
          </cell>
        </row>
        <row r="141">
          <cell r="D141" t="str">
            <v>7810-01729</v>
          </cell>
          <cell r="M141" t="str">
            <v>9400136106053836295131</v>
          </cell>
          <cell r="O141">
            <v>45271</v>
          </cell>
        </row>
        <row r="142">
          <cell r="D142" t="str">
            <v>7812-04621</v>
          </cell>
          <cell r="M142" t="str">
            <v>9400136106053835762320</v>
          </cell>
          <cell r="O142">
            <v>45271</v>
          </cell>
        </row>
        <row r="143">
          <cell r="D143" t="str">
            <v>7812-04590</v>
          </cell>
          <cell r="M143" t="str">
            <v>9400136106053835728722</v>
          </cell>
          <cell r="O143">
            <v>45271</v>
          </cell>
        </row>
        <row r="144">
          <cell r="D144" t="str">
            <v>7818-25824</v>
          </cell>
          <cell r="M144" t="str">
            <v>9400136106053826862381</v>
          </cell>
          <cell r="O144">
            <v>45271</v>
          </cell>
        </row>
        <row r="145">
          <cell r="D145" t="str">
            <v>7818-24846</v>
          </cell>
          <cell r="M145" t="str">
            <v>9400136106053831772156</v>
          </cell>
          <cell r="O145">
            <v>45271</v>
          </cell>
        </row>
        <row r="146">
          <cell r="D146" t="str">
            <v>7818-29540</v>
          </cell>
          <cell r="M146" t="str">
            <v>9400136106053826884239</v>
          </cell>
          <cell r="O146">
            <v>45271</v>
          </cell>
        </row>
        <row r="147">
          <cell r="D147" t="str">
            <v>7818-27621</v>
          </cell>
          <cell r="M147" t="str">
            <v>9400136106053808503387</v>
          </cell>
          <cell r="O147">
            <v>45268</v>
          </cell>
        </row>
        <row r="148">
          <cell r="D148" t="str">
            <v>7810-01934</v>
          </cell>
          <cell r="M148" t="str">
            <v>9400136106053822447551</v>
          </cell>
          <cell r="O148">
            <v>45269</v>
          </cell>
        </row>
        <row r="149">
          <cell r="D149" t="str">
            <v>7812-04950</v>
          </cell>
          <cell r="M149" t="str">
            <v>9400136106053837767361</v>
          </cell>
          <cell r="O149">
            <v>45271</v>
          </cell>
        </row>
        <row r="150">
          <cell r="D150" t="str">
            <v>7818-33666</v>
          </cell>
          <cell r="M150" t="str">
            <v>9400136106053826326197</v>
          </cell>
          <cell r="O150">
            <v>45269</v>
          </cell>
        </row>
        <row r="151">
          <cell r="D151" t="str">
            <v>7811-00402</v>
          </cell>
          <cell r="M151" t="str">
            <v>9400136106053808519166</v>
          </cell>
          <cell r="O151">
            <v>45268</v>
          </cell>
        </row>
        <row r="152">
          <cell r="D152" t="str">
            <v>7818-22399</v>
          </cell>
          <cell r="M152" t="str">
            <v>9400 1361 0605 3850 9383 28</v>
          </cell>
          <cell r="O152">
            <v>45275</v>
          </cell>
        </row>
        <row r="153">
          <cell r="D153" t="str">
            <v>7818-01884</v>
          </cell>
          <cell r="M153" t="str">
            <v>9400 1361 0605 3850 6869 77</v>
          </cell>
          <cell r="O153">
            <v>45271</v>
          </cell>
        </row>
        <row r="154">
          <cell r="D154" t="str">
            <v>7818-33667</v>
          </cell>
          <cell r="M154" t="str">
            <v>9400 1112 0621 0457 0154 49</v>
          </cell>
        </row>
        <row r="155">
          <cell r="D155" t="str">
            <v>7818-16224</v>
          </cell>
          <cell r="M155" t="str">
            <v>9400 1361 0605 3849 6103 03</v>
          </cell>
          <cell r="O155">
            <v>45271</v>
          </cell>
        </row>
        <row r="156">
          <cell r="D156" t="str">
            <v>7823-03173</v>
          </cell>
          <cell r="M156" t="str">
            <v>9400 1361 0605 3847 0868 89</v>
          </cell>
          <cell r="O156">
            <v>45271</v>
          </cell>
        </row>
        <row r="157">
          <cell r="D157" t="str">
            <v>7823-01541</v>
          </cell>
          <cell r="M157" t="str">
            <v>9400 1361 0605 3849 4782 79</v>
          </cell>
          <cell r="O157">
            <v>45271</v>
          </cell>
        </row>
        <row r="158">
          <cell r="D158" t="str">
            <v>7818-15319</v>
          </cell>
          <cell r="M158" t="str">
            <v>9400 1361 0605 3849 4932 34</v>
          </cell>
          <cell r="O158">
            <v>45271</v>
          </cell>
        </row>
        <row r="159">
          <cell r="D159" t="str">
            <v>7811-00337</v>
          </cell>
          <cell r="M159" t="str">
            <v>9400 1361 0605 3850 9521 40</v>
          </cell>
          <cell r="O159">
            <v>45275</v>
          </cell>
        </row>
        <row r="160">
          <cell r="D160" t="str">
            <v>7818-26983</v>
          </cell>
          <cell r="M160" t="str">
            <v>9400 1361 0605 3849 5943 51</v>
          </cell>
          <cell r="O160">
            <v>45272</v>
          </cell>
        </row>
        <row r="161">
          <cell r="D161" t="str">
            <v>7818-26611</v>
          </cell>
          <cell r="M161" t="str">
            <v>9400 1112 0621 0811 8665 40</v>
          </cell>
          <cell r="O161">
            <v>45278</v>
          </cell>
        </row>
        <row r="162">
          <cell r="D162" t="str">
            <v>7818-33654</v>
          </cell>
          <cell r="M162" t="str">
            <v>9400 1361 0605 3873 5824 47</v>
          </cell>
          <cell r="O162">
            <v>45275</v>
          </cell>
        </row>
        <row r="163">
          <cell r="D163" t="str">
            <v>7818-09325</v>
          </cell>
          <cell r="M163" t="str">
            <v>9400 1361 0605 3908 9180 74</v>
          </cell>
          <cell r="O163">
            <v>45277</v>
          </cell>
        </row>
        <row r="164">
          <cell r="D164" t="str">
            <v>7818-27780</v>
          </cell>
          <cell r="M164" t="str">
            <v>9400 1361 0605 3872 7812 92</v>
          </cell>
          <cell r="O164">
            <v>45275</v>
          </cell>
        </row>
        <row r="165">
          <cell r="D165" t="str">
            <v>7818-18750</v>
          </cell>
          <cell r="M165" t="str">
            <v>9400 1361 0605 3872 7674 25</v>
          </cell>
          <cell r="O165">
            <v>45275</v>
          </cell>
        </row>
        <row r="166">
          <cell r="D166" t="str">
            <v>7810-03047</v>
          </cell>
          <cell r="M166" t="str">
            <v>9400 1361 0605 3885 0228 70</v>
          </cell>
          <cell r="O166">
            <v>45275</v>
          </cell>
        </row>
        <row r="167">
          <cell r="D167" t="str">
            <v>7818-30784</v>
          </cell>
          <cell r="M167" t="str">
            <v>9400 1361 0605 3872 7385 86</v>
          </cell>
          <cell r="O167">
            <v>45275</v>
          </cell>
        </row>
        <row r="168">
          <cell r="D168" t="str">
            <v>7818-20651</v>
          </cell>
          <cell r="M168" t="str">
            <v>9400 1361 0605 3872 7236 98</v>
          </cell>
          <cell r="O168">
            <v>45275</v>
          </cell>
        </row>
        <row r="169">
          <cell r="D169" t="str">
            <v>7818-21230</v>
          </cell>
          <cell r="M169" t="str">
            <v>9400 1361 0605 3872 7536 88</v>
          </cell>
          <cell r="O169">
            <v>45278</v>
          </cell>
        </row>
        <row r="170">
          <cell r="D170" t="str">
            <v>7818-29534</v>
          </cell>
          <cell r="M170" t="str">
            <v>9400 1112 0621 0874 1857 94</v>
          </cell>
          <cell r="O170">
            <v>45275</v>
          </cell>
        </row>
        <row r="171">
          <cell r="D171" t="str">
            <v>7818-27471</v>
          </cell>
          <cell r="M171" t="str">
            <v>9400 1361 0605 3908 9285 54</v>
          </cell>
          <cell r="O171">
            <v>45278</v>
          </cell>
        </row>
        <row r="172">
          <cell r="D172" t="str">
            <v>7818-26413</v>
          </cell>
          <cell r="M172" t="str">
            <v>9400 1361 0605 3917 3880 35</v>
          </cell>
          <cell r="O172">
            <v>45278</v>
          </cell>
        </row>
        <row r="173">
          <cell r="D173" t="str">
            <v>7818-25582</v>
          </cell>
          <cell r="M173" t="str">
            <v>9400 1361 0605 3885 0980 11</v>
          </cell>
          <cell r="O173">
            <v>45275</v>
          </cell>
        </row>
        <row r="174">
          <cell r="D174" t="str">
            <v>7818-27772</v>
          </cell>
          <cell r="M174" t="str">
            <v>9400 1112 0621 0874 4172 15</v>
          </cell>
          <cell r="O174">
            <v>45275</v>
          </cell>
        </row>
        <row r="175">
          <cell r="D175" t="str">
            <v>7818-30950</v>
          </cell>
          <cell r="M175" t="str">
            <v>9400 1112 0621 0874 4735 87</v>
          </cell>
          <cell r="O175">
            <v>45275</v>
          </cell>
        </row>
        <row r="176">
          <cell r="D176" t="str">
            <v>7818-33608</v>
          </cell>
          <cell r="M176" t="str">
            <v>9400 1361 0605 3885 8305 81</v>
          </cell>
          <cell r="O176">
            <v>45275</v>
          </cell>
        </row>
        <row r="177">
          <cell r="D177" t="str">
            <v>7818-27725</v>
          </cell>
          <cell r="M177" t="str">
            <v>9400 1112 0621 0874 4334 20</v>
          </cell>
          <cell r="O177">
            <v>45275</v>
          </cell>
        </row>
        <row r="178">
          <cell r="D178" t="str">
            <v>7823-03104</v>
          </cell>
          <cell r="M178" t="str">
            <v>9400 1361 0605 3885 8631 38</v>
          </cell>
          <cell r="O178">
            <v>45275</v>
          </cell>
        </row>
        <row r="179">
          <cell r="D179" t="str">
            <v>7818-29560</v>
          </cell>
          <cell r="M179" t="str">
            <v>9400 1361 0605 3885 8494 77</v>
          </cell>
          <cell r="O179">
            <v>45275</v>
          </cell>
        </row>
        <row r="180">
          <cell r="D180" t="str">
            <v>7812-04716</v>
          </cell>
          <cell r="M180" t="str">
            <v>9400 1361 0605 3903 2731 54</v>
          </cell>
          <cell r="O180">
            <v>45276</v>
          </cell>
        </row>
        <row r="181">
          <cell r="D181" t="str">
            <v>7818-29961</v>
          </cell>
          <cell r="M181" t="str">
            <v>9400 1361 0605 3911 6873 32</v>
          </cell>
          <cell r="O181">
            <v>45278</v>
          </cell>
        </row>
        <row r="182">
          <cell r="D182" t="str">
            <v>7818-33310</v>
          </cell>
          <cell r="M182" t="str">
            <v>9400 1361 0605 3911 1845 72</v>
          </cell>
          <cell r="O182">
            <v>45278</v>
          </cell>
        </row>
        <row r="183">
          <cell r="D183" t="str">
            <v>7818-11652</v>
          </cell>
          <cell r="M183" t="str">
            <v>9400 1112 0621 0811 3103 88</v>
          </cell>
          <cell r="O183">
            <v>45278</v>
          </cell>
        </row>
        <row r="184">
          <cell r="D184" t="str">
            <v>7818-27409</v>
          </cell>
          <cell r="M184" t="str">
            <v>9400 1361 0605 3898 9970 97</v>
          </cell>
          <cell r="O184">
            <v>45278</v>
          </cell>
        </row>
        <row r="185">
          <cell r="D185" t="str">
            <v>7818-14984</v>
          </cell>
          <cell r="M185" t="str">
            <v>9400 1361 0605 3899 0599 54</v>
          </cell>
          <cell r="O185">
            <v>45278</v>
          </cell>
        </row>
        <row r="186">
          <cell r="D186" t="str">
            <v>7818-25891</v>
          </cell>
          <cell r="M186" t="str">
            <v>9400 1361 0605 3908 9424 99</v>
          </cell>
          <cell r="O186">
            <v>45278</v>
          </cell>
        </row>
        <row r="187">
          <cell r="D187" t="str">
            <v>7818-22431</v>
          </cell>
          <cell r="M187" t="str">
            <v>9400 1361 0605 3903 2544 98</v>
          </cell>
          <cell r="O187">
            <v>45278</v>
          </cell>
        </row>
        <row r="188">
          <cell r="D188" t="str">
            <v>7818-18062</v>
          </cell>
          <cell r="M188" t="str">
            <v>9400 1361 0605 3917 3828 80</v>
          </cell>
          <cell r="O188">
            <v>45278</v>
          </cell>
        </row>
        <row r="189">
          <cell r="D189" t="str">
            <v>7818-18937</v>
          </cell>
          <cell r="M189" t="str">
            <v>9400 1361 0605 3898 7587 42</v>
          </cell>
          <cell r="O189">
            <v>45276</v>
          </cell>
        </row>
        <row r="190">
          <cell r="D190" t="str">
            <v>7824-00480</v>
          </cell>
          <cell r="M190" t="str">
            <v>9400 1361 0605 3898 8318 58</v>
          </cell>
          <cell r="O190">
            <v>45278</v>
          </cell>
        </row>
        <row r="191">
          <cell r="D191" t="str">
            <v>7818-25108</v>
          </cell>
          <cell r="M191" t="str">
            <v>9400 1361 0605 3885 8834 26</v>
          </cell>
          <cell r="O191">
            <v>45275</v>
          </cell>
        </row>
        <row r="192">
          <cell r="D192" t="str">
            <v>7818-25851</v>
          </cell>
          <cell r="M192" t="str">
            <v>9400 1361 0605 3887 4291 27</v>
          </cell>
          <cell r="O192">
            <v>45278</v>
          </cell>
        </row>
        <row r="193">
          <cell r="D193" t="str">
            <v>7818-26469</v>
          </cell>
          <cell r="M193" t="str">
            <v>9400 1361 0605 3898 7930 02</v>
          </cell>
          <cell r="O193">
            <v>45278</v>
          </cell>
        </row>
        <row r="194">
          <cell r="D194" t="str">
            <v>7818-25996</v>
          </cell>
          <cell r="M194" t="str">
            <v>9400 1361 0605 3887 4522 86</v>
          </cell>
          <cell r="O194">
            <v>45278</v>
          </cell>
        </row>
        <row r="195">
          <cell r="D195" t="str">
            <v>7818-32207</v>
          </cell>
          <cell r="M195" t="str">
            <v>9400 1361 0605 3895 9455 34</v>
          </cell>
          <cell r="O195">
            <v>45278</v>
          </cell>
        </row>
        <row r="196">
          <cell r="D196" t="str">
            <v>7818-31246</v>
          </cell>
          <cell r="M196" t="str">
            <v>9400 1361 0605 3898 8585 72</v>
          </cell>
          <cell r="O196">
            <v>45278</v>
          </cell>
        </row>
        <row r="197">
          <cell r="D197" t="str">
            <v>7812-04591</v>
          </cell>
          <cell r="M197" t="str">
            <v>9400 1361 0605 3895 9569 12</v>
          </cell>
          <cell r="O197">
            <v>45278</v>
          </cell>
        </row>
        <row r="198">
          <cell r="D198" t="str">
            <v>7818-26173</v>
          </cell>
          <cell r="M198" t="str">
            <v>9400 1361 0605 3887 4106 99</v>
          </cell>
          <cell r="O198">
            <v>45275</v>
          </cell>
        </row>
        <row r="199">
          <cell r="D199" t="str">
            <v>7818-14248</v>
          </cell>
          <cell r="M199" t="str">
            <v>9400 1361 0605 3895 8063 16</v>
          </cell>
          <cell r="O199">
            <v>45278</v>
          </cell>
        </row>
        <row r="200">
          <cell r="D200" t="str">
            <v>7818-20025</v>
          </cell>
          <cell r="M200" t="str">
            <v>9400 1361 0605 3887 4992 50</v>
          </cell>
          <cell r="O200">
            <v>45275</v>
          </cell>
        </row>
        <row r="201">
          <cell r="D201" t="str">
            <v>7812-00426</v>
          </cell>
          <cell r="M201" t="str">
            <v>9400 1361 0605 3898 9271 24</v>
          </cell>
          <cell r="O201">
            <v>45278</v>
          </cell>
        </row>
        <row r="202">
          <cell r="D202" t="str">
            <v>7823-03107</v>
          </cell>
          <cell r="M202" t="str">
            <v>9400 1361 0605 3898 7034 52</v>
          </cell>
          <cell r="O202">
            <v>45278</v>
          </cell>
        </row>
        <row r="203">
          <cell r="D203" t="str">
            <v>7818-33358</v>
          </cell>
          <cell r="M203" t="str">
            <v>9400 1361 0605 3962 7693 39</v>
          </cell>
          <cell r="O203">
            <v>45282</v>
          </cell>
        </row>
        <row r="204">
          <cell r="D204" t="str">
            <v>7818-07455</v>
          </cell>
          <cell r="M204" t="str">
            <v>9400 1361 0605 3954 8470 14</v>
          </cell>
          <cell r="O204">
            <v>45282</v>
          </cell>
        </row>
        <row r="205">
          <cell r="D205" t="str">
            <v>7818-27782</v>
          </cell>
          <cell r="M205" t="str">
            <v>9400 1361 0605 3923 9167 96</v>
          </cell>
          <cell r="O205">
            <v>45278</v>
          </cell>
        </row>
        <row r="206">
          <cell r="D206" t="str">
            <v>7812-00425</v>
          </cell>
          <cell r="M206" t="str">
            <v>9400 1361 0605 3960 7264 40</v>
          </cell>
          <cell r="O206">
            <v>45282</v>
          </cell>
        </row>
        <row r="207">
          <cell r="D207" t="str">
            <v>7818-26442</v>
          </cell>
          <cell r="M207" t="str">
            <v>9400 1361 0605 3980 2055 05</v>
          </cell>
          <cell r="O207">
            <v>45286</v>
          </cell>
        </row>
        <row r="208">
          <cell r="D208" t="str">
            <v>7818-30785</v>
          </cell>
          <cell r="M208" t="str">
            <v>9400 1361 0605 3974 9099 14</v>
          </cell>
          <cell r="O208">
            <v>45283</v>
          </cell>
        </row>
        <row r="209">
          <cell r="D209" t="str">
            <v>7829-00157</v>
          </cell>
          <cell r="M209" t="str">
            <v>9400 1361 0605 3954 5478 53</v>
          </cell>
          <cell r="O209">
            <v>45282</v>
          </cell>
        </row>
        <row r="210">
          <cell r="D210" t="str">
            <v>7810-00591</v>
          </cell>
          <cell r="M210" t="str">
            <v>9400 1112 0621 0467 6809 58</v>
          </cell>
          <cell r="O210">
            <v>45293</v>
          </cell>
        </row>
        <row r="211">
          <cell r="D211" t="str">
            <v>7823-02911</v>
          </cell>
          <cell r="M211" t="str">
            <v>9400 1361 0605 3966 0189 76</v>
          </cell>
          <cell r="O211">
            <v>45282</v>
          </cell>
        </row>
        <row r="212">
          <cell r="D212" t="str">
            <v>7823-03045</v>
          </cell>
          <cell r="M212" t="str">
            <v>9400 1361 0605 3966 0807 68</v>
          </cell>
          <cell r="O212">
            <v>45282</v>
          </cell>
        </row>
        <row r="213">
          <cell r="D213" t="str">
            <v>7818-33671</v>
          </cell>
          <cell r="M213" t="str">
            <v>9400 1361 0605 3966 0612 79</v>
          </cell>
          <cell r="O213">
            <v>45282</v>
          </cell>
        </row>
        <row r="214">
          <cell r="D214" t="str">
            <v>7818-11710</v>
          </cell>
          <cell r="M214" t="str">
            <v>9400 1361 0605 3960 787236</v>
          </cell>
          <cell r="O214">
            <v>45282</v>
          </cell>
        </row>
        <row r="215">
          <cell r="D215" t="str">
            <v>7818-30930</v>
          </cell>
          <cell r="M215" t="str">
            <v>9400 1361 0605 3967 1870 46</v>
          </cell>
          <cell r="O215">
            <v>45286</v>
          </cell>
        </row>
        <row r="216">
          <cell r="D216" t="str">
            <v>7819-00222</v>
          </cell>
          <cell r="M216" t="str">
            <v>9400 1361 0605 3960 7442 15</v>
          </cell>
          <cell r="O216">
            <v>45282</v>
          </cell>
        </row>
        <row r="217">
          <cell r="D217" t="str">
            <v>7812-04923</v>
          </cell>
          <cell r="M217" t="str">
            <v>9400 1361 0605 3960 9631 59</v>
          </cell>
          <cell r="O217">
            <v>45294</v>
          </cell>
        </row>
        <row r="218">
          <cell r="D218" t="str">
            <v>7811-00329</v>
          </cell>
          <cell r="M218" t="str">
            <v>9400 1112 0621 0467 6686 80</v>
          </cell>
          <cell r="O218">
            <v>45290</v>
          </cell>
        </row>
        <row r="219">
          <cell r="D219" t="str">
            <v>7818-24171</v>
          </cell>
          <cell r="M219" t="str">
            <v>9400 1361 0605 3960 8159 15</v>
          </cell>
          <cell r="O219">
            <v>45282</v>
          </cell>
        </row>
        <row r="220">
          <cell r="D220" t="str">
            <v>7818-29840</v>
          </cell>
          <cell r="M220" t="str">
            <v>9400 1361 0605 3960 6827 46</v>
          </cell>
          <cell r="O220">
            <v>45282</v>
          </cell>
        </row>
        <row r="221">
          <cell r="D221" t="str">
            <v>7818-29982</v>
          </cell>
          <cell r="M221" t="str">
            <v>9400 1361 0605 3960 8789 96</v>
          </cell>
          <cell r="O221">
            <v>45282</v>
          </cell>
        </row>
        <row r="222">
          <cell r="D222" t="str">
            <v>7818-29868</v>
          </cell>
          <cell r="M222" t="str">
            <v>9400 1361 0605 3974 8978 15</v>
          </cell>
          <cell r="O222">
            <v>45283</v>
          </cell>
        </row>
        <row r="223">
          <cell r="D223" t="str">
            <v>7818-26059</v>
          </cell>
          <cell r="M223" t="str">
            <v>9400 1361 0605 3960 8596 43</v>
          </cell>
          <cell r="O223">
            <v>45282</v>
          </cell>
        </row>
        <row r="224">
          <cell r="D224" t="str">
            <v>7818-26467</v>
          </cell>
          <cell r="M224" t="str">
            <v>9400 1361 0605 3960 6343 87</v>
          </cell>
          <cell r="O224">
            <v>45282</v>
          </cell>
        </row>
        <row r="225">
          <cell r="D225" t="str">
            <v>7818-24447</v>
          </cell>
          <cell r="M225" t="str">
            <v>9400 1361 0605 3960 9238 32</v>
          </cell>
          <cell r="O225">
            <v>45282</v>
          </cell>
        </row>
        <row r="226">
          <cell r="D226" t="str">
            <v>7812-04655</v>
          </cell>
          <cell r="M226" t="str">
            <v>9400 1361 0605 3960 9394 68</v>
          </cell>
          <cell r="O226">
            <v>45282</v>
          </cell>
        </row>
        <row r="227">
          <cell r="D227" t="str">
            <v>7812-3589</v>
          </cell>
          <cell r="M227" t="str">
            <v>9400 1361 0605 3954 8299 35</v>
          </cell>
          <cell r="O227">
            <v>45282</v>
          </cell>
        </row>
        <row r="228">
          <cell r="D228" t="str">
            <v>7812-04626</v>
          </cell>
          <cell r="M228" t="str">
            <v>9400 1112 0621 0467 6050 29</v>
          </cell>
          <cell r="O228">
            <v>45290</v>
          </cell>
        </row>
        <row r="229">
          <cell r="D229" t="str">
            <v>7818-23368</v>
          </cell>
          <cell r="M229" t="str">
            <v>9400 1361 0605 3980 1912 11</v>
          </cell>
          <cell r="O229">
            <v>45286</v>
          </cell>
        </row>
        <row r="230">
          <cell r="D230" t="str">
            <v>7812-04948</v>
          </cell>
          <cell r="M230" t="str">
            <v>9400 1361 0605 3960 6930 94</v>
          </cell>
          <cell r="O230">
            <v>45282</v>
          </cell>
        </row>
        <row r="231">
          <cell r="D231" t="str">
            <v>7818-29418</v>
          </cell>
          <cell r="M231" t="str">
            <v>9400 1361 0605 3960 7101 97</v>
          </cell>
          <cell r="O231">
            <v>45282</v>
          </cell>
        </row>
        <row r="232">
          <cell r="D232" t="str">
            <v>7812-04598</v>
          </cell>
          <cell r="M232" t="str">
            <v>9400 1361 0605 3005 2212 99</v>
          </cell>
          <cell r="O232">
            <v>45289</v>
          </cell>
        </row>
        <row r="233">
          <cell r="D233" t="str">
            <v>7818-15776</v>
          </cell>
          <cell r="M233" t="str">
            <v>9400 1361 0605 3005 2595 13</v>
          </cell>
          <cell r="O233">
            <v>45289</v>
          </cell>
        </row>
        <row r="234">
          <cell r="D234" t="str">
            <v>7818-32311</v>
          </cell>
          <cell r="M234" t="str">
            <v>9400 1361 0605 3002 8063 21</v>
          </cell>
          <cell r="O234">
            <v>45289</v>
          </cell>
        </row>
        <row r="235">
          <cell r="D235" t="str">
            <v>7818-21667</v>
          </cell>
          <cell r="M235" t="str">
            <v>9400 1361 0605 3004 2865 72</v>
          </cell>
          <cell r="O235">
            <v>45289</v>
          </cell>
        </row>
        <row r="236">
          <cell r="D236" t="str">
            <v>7818-26519</v>
          </cell>
          <cell r="M236" t="str">
            <v>9400 1361 0605 3002 1211 72</v>
          </cell>
          <cell r="O236">
            <v>45289</v>
          </cell>
        </row>
        <row r="237">
          <cell r="D237" t="str">
            <v>7818-33609</v>
          </cell>
          <cell r="M237" t="str">
            <v>9400 1361 0605 3004 3516 52</v>
          </cell>
          <cell r="O237">
            <v>45289</v>
          </cell>
        </row>
        <row r="238">
          <cell r="D238" t="str">
            <v>7818-26923</v>
          </cell>
          <cell r="M238" t="str">
            <v>9400 1361 0605 3002 2175 85</v>
          </cell>
          <cell r="O238">
            <v>45289</v>
          </cell>
        </row>
        <row r="239">
          <cell r="D239" t="str">
            <v>7818-18379</v>
          </cell>
          <cell r="M239" t="str">
            <v>9400 1361 0605 3005 1122 38</v>
          </cell>
          <cell r="O239">
            <v>45289</v>
          </cell>
        </row>
        <row r="240">
          <cell r="D240" t="str">
            <v>7818-27720</v>
          </cell>
          <cell r="M240" t="str">
            <v>9400 1361 0605 3002 1392 14</v>
          </cell>
          <cell r="O240">
            <v>45289</v>
          </cell>
        </row>
        <row r="241">
          <cell r="D241" t="str">
            <v>7818-18431</v>
          </cell>
          <cell r="M241" t="str">
            <v>9400 1361 0605 3002 1949 78</v>
          </cell>
          <cell r="O241">
            <v>45289</v>
          </cell>
        </row>
        <row r="242">
          <cell r="D242" t="str">
            <v>7818-27765</v>
          </cell>
          <cell r="M242" t="str">
            <v>9400 1361 0605 3002 1530 43</v>
          </cell>
          <cell r="O242">
            <v>45289</v>
          </cell>
        </row>
        <row r="243">
          <cell r="D243" t="str">
            <v>7818-19666</v>
          </cell>
          <cell r="M243" t="str">
            <v>9400 1361 0605 3005 3237 64</v>
          </cell>
          <cell r="O243">
            <v>45289</v>
          </cell>
        </row>
        <row r="244">
          <cell r="D244" t="str">
            <v>7818-23232</v>
          </cell>
          <cell r="M244" t="str">
            <v>9400 1361 0605 3004 9432 22</v>
          </cell>
          <cell r="O244">
            <v>45289</v>
          </cell>
        </row>
        <row r="245">
          <cell r="D245" t="str">
            <v>7818-29919</v>
          </cell>
          <cell r="M245" t="str">
            <v>9400 1361 0605 3002 2347 59</v>
          </cell>
          <cell r="O245" t="e">
            <v>#N/A</v>
          </cell>
        </row>
        <row r="246">
          <cell r="D246" t="str">
            <v>7812-04502</v>
          </cell>
          <cell r="M246" t="str">
            <v>9400 1361 0605 3002 2650 12</v>
          </cell>
          <cell r="O246">
            <v>45289</v>
          </cell>
        </row>
        <row r="247">
          <cell r="D247" t="str">
            <v>7812-01974</v>
          </cell>
          <cell r="M247" t="str">
            <v>9400 1361 0605 3003 8917 39</v>
          </cell>
          <cell r="O247">
            <v>45289</v>
          </cell>
        </row>
        <row r="248">
          <cell r="D248" t="str">
            <v>7818-27779</v>
          </cell>
          <cell r="M248" t="str">
            <v>9400 1361 0605 3003 5122 21</v>
          </cell>
          <cell r="O248">
            <v>45289</v>
          </cell>
        </row>
        <row r="249">
          <cell r="D249" t="str">
            <v>7810-00380</v>
          </cell>
          <cell r="M249" t="str">
            <v>9400 1112 0621 0467 9392 92</v>
          </cell>
          <cell r="O249">
            <v>45293</v>
          </cell>
        </row>
        <row r="250">
          <cell r="D250" t="str">
            <v>7810-01937</v>
          </cell>
          <cell r="M250" t="str">
            <v>9400 1361 0605 3004 3155 17</v>
          </cell>
          <cell r="O250">
            <v>45289</v>
          </cell>
        </row>
        <row r="251">
          <cell r="D251" t="str">
            <v>7815-00130</v>
          </cell>
          <cell r="M251" t="str">
            <v>9400 1361 0605 3003 8780 75</v>
          </cell>
          <cell r="O251">
            <v>45289</v>
          </cell>
        </row>
        <row r="252">
          <cell r="D252" t="str">
            <v>7815-00097</v>
          </cell>
          <cell r="M252" t="str">
            <v>9400 1361 0605 3005 0658 55</v>
          </cell>
          <cell r="O252">
            <v>45289</v>
          </cell>
        </row>
        <row r="253">
          <cell r="D253" t="str">
            <v>7818-18943</v>
          </cell>
          <cell r="M253" t="str">
            <v>9400 1361 0605 3004 3360 79</v>
          </cell>
          <cell r="O253">
            <v>45289</v>
          </cell>
        </row>
        <row r="254">
          <cell r="D254" t="str">
            <v>7818-24173</v>
          </cell>
          <cell r="M254" t="str">
            <v>9400 1361 0605 3004 9853 83</v>
          </cell>
          <cell r="O254">
            <v>45289</v>
          </cell>
        </row>
        <row r="255">
          <cell r="D255" t="str">
            <v>7818-30967</v>
          </cell>
          <cell r="M255" t="str">
            <v>9400 1361 0605 3003 8367 16</v>
          </cell>
          <cell r="O255">
            <v>45289</v>
          </cell>
        </row>
        <row r="256">
          <cell r="D256" t="str">
            <v>7818-16920</v>
          </cell>
          <cell r="M256" t="str">
            <v>9400 1361 0605 3005 0480 01</v>
          </cell>
          <cell r="O256">
            <v>45289</v>
          </cell>
        </row>
        <row r="257">
          <cell r="D257" t="str">
            <v>7818-32143</v>
          </cell>
          <cell r="M257" t="str">
            <v>9400 1361 0605 3005 0781 69</v>
          </cell>
          <cell r="O257">
            <v>45289</v>
          </cell>
        </row>
        <row r="258">
          <cell r="D258" t="str">
            <v>7818-22618</v>
          </cell>
          <cell r="M258" t="str">
            <v>9400 1361 0605 3005 2382 80</v>
          </cell>
          <cell r="O258">
            <v>45289</v>
          </cell>
        </row>
        <row r="259">
          <cell r="D259" t="str">
            <v>7815-00140</v>
          </cell>
          <cell r="M259" t="str">
            <v>9400 1361 0605 3004 1739 57</v>
          </cell>
          <cell r="O259">
            <v>45289</v>
          </cell>
        </row>
        <row r="260">
          <cell r="D260" t="str">
            <v>7812-04555</v>
          </cell>
          <cell r="M260" t="str">
            <v>9400 1361 0605 3005 1582 36</v>
          </cell>
          <cell r="O260">
            <v>45289</v>
          </cell>
        </row>
        <row r="261">
          <cell r="D261" t="str">
            <v>7818-26764</v>
          </cell>
          <cell r="M261" t="str">
            <v>9400 1361 0605 3004 9978 29</v>
          </cell>
          <cell r="O261">
            <v>45289</v>
          </cell>
        </row>
        <row r="262">
          <cell r="D262" t="str">
            <v>7818-27728</v>
          </cell>
          <cell r="M262" t="str">
            <v>9400 1361 0605 3003 8497 78</v>
          </cell>
          <cell r="O262">
            <v>45289</v>
          </cell>
        </row>
        <row r="263">
          <cell r="D263" t="str">
            <v>7818-28294</v>
          </cell>
          <cell r="M263" t="str">
            <v>9400 1361 0605 3004 9651 94</v>
          </cell>
          <cell r="O263">
            <v>45289</v>
          </cell>
        </row>
        <row r="264">
          <cell r="D264" t="str">
            <v>7818-33923</v>
          </cell>
          <cell r="M264" t="str">
            <v>9400 1361 0605 3002 5435 78</v>
          </cell>
          <cell r="O264">
            <v>45290</v>
          </cell>
        </row>
        <row r="265">
          <cell r="D265" t="str">
            <v>7818-11860</v>
          </cell>
          <cell r="M265" t="str">
            <v>9400 1361 0605 3002 1779 33</v>
          </cell>
          <cell r="O265">
            <v>45289</v>
          </cell>
        </row>
        <row r="266">
          <cell r="D266" t="str">
            <v>7823-03344</v>
          </cell>
          <cell r="M266" t="str">
            <v>9400 1361 0605 3005 1859 80</v>
          </cell>
          <cell r="O266">
            <v>45289</v>
          </cell>
        </row>
        <row r="267">
          <cell r="D267" t="str">
            <v>7823-03238</v>
          </cell>
          <cell r="M267" t="str">
            <v>9400 1361 0605 3002 9011 94</v>
          </cell>
          <cell r="O267">
            <v>45289</v>
          </cell>
        </row>
        <row r="268">
          <cell r="D268" t="str">
            <v>7818-27703</v>
          </cell>
          <cell r="M268" t="str">
            <v>9400 1361 0605 3002 2505 20</v>
          </cell>
          <cell r="O268">
            <v>45289</v>
          </cell>
        </row>
        <row r="269">
          <cell r="D269" t="str">
            <v>7818-34011</v>
          </cell>
          <cell r="M269" t="str">
            <v>9400 1361 0605 3005 0945 34</v>
          </cell>
          <cell r="O269">
            <v>45289</v>
          </cell>
        </row>
        <row r="270">
          <cell r="D270" t="str">
            <v>7818-21179</v>
          </cell>
          <cell r="M270" t="str">
            <v>9400 1361 0605 3003 4579 35</v>
          </cell>
          <cell r="O270">
            <v>45289</v>
          </cell>
        </row>
        <row r="271">
          <cell r="D271" t="str">
            <v>7812-04510</v>
          </cell>
          <cell r="M271" t="str">
            <v>9400 1361 0605 3002 5336 54</v>
          </cell>
          <cell r="O271">
            <v>45289</v>
          </cell>
        </row>
        <row r="272">
          <cell r="D272" t="str">
            <v>7818-00259</v>
          </cell>
          <cell r="M272" t="str">
            <v>9400 1112 0620 9105 7468 97</v>
          </cell>
          <cell r="O272">
            <v>45262</v>
          </cell>
        </row>
        <row r="273">
          <cell r="D273" t="str">
            <v>7818-17941</v>
          </cell>
          <cell r="M273" t="str">
            <v>9400 1112 0620 9105 7916 44</v>
          </cell>
          <cell r="O273">
            <v>45262</v>
          </cell>
        </row>
        <row r="274">
          <cell r="D274" t="str">
            <v>7812-04561</v>
          </cell>
          <cell r="M274" t="str">
            <v>9400 1112 0620 9105 7142 61</v>
          </cell>
          <cell r="O274">
            <v>45262</v>
          </cell>
        </row>
        <row r="275">
          <cell r="D275" t="str">
            <v>7810-03052</v>
          </cell>
          <cell r="M275" t="str">
            <v>9400 1361 0605 3010 2899 01</v>
          </cell>
          <cell r="O275">
            <v>45290</v>
          </cell>
        </row>
        <row r="276">
          <cell r="D276" t="str">
            <v>7823-03356</v>
          </cell>
          <cell r="M276" t="str">
            <v>9405 5112 0621 0482 7174 96</v>
          </cell>
          <cell r="O276">
            <v>45293</v>
          </cell>
        </row>
        <row r="277">
          <cell r="D277" t="str">
            <v>7812-01464</v>
          </cell>
          <cell r="M277" t="str">
            <v>9400 1361 0605 3012 5433 46</v>
          </cell>
          <cell r="O277">
            <v>45290</v>
          </cell>
        </row>
        <row r="278">
          <cell r="D278" t="str">
            <v>7812-04599</v>
          </cell>
          <cell r="M278" t="str">
            <v>9400 1361 0605 3012 5269 67</v>
          </cell>
          <cell r="O278">
            <v>45293</v>
          </cell>
        </row>
        <row r="279">
          <cell r="D279" t="str">
            <v>7819-00489</v>
          </cell>
          <cell r="M279" t="str">
            <v>9400 1361 0605 3012 5082 08</v>
          </cell>
          <cell r="O279">
            <v>45290</v>
          </cell>
        </row>
        <row r="280">
          <cell r="D280" t="str">
            <v>7810-03044</v>
          </cell>
          <cell r="M280" t="str">
            <v>9400 1361 0605 3011 1145 92</v>
          </cell>
          <cell r="O280">
            <v>45290</v>
          </cell>
        </row>
        <row r="281">
          <cell r="D281" t="str">
            <v>7818-28155</v>
          </cell>
          <cell r="M281" t="str">
            <v>9400 1361 0605 3011 2603 98</v>
          </cell>
          <cell r="O281">
            <v>45290</v>
          </cell>
        </row>
        <row r="282">
          <cell r="D282" t="str">
            <v>7818-14997</v>
          </cell>
          <cell r="M282" t="str">
            <v>9400 1361 0605 3015 3218 73</v>
          </cell>
          <cell r="O282">
            <v>45293</v>
          </cell>
        </row>
        <row r="283">
          <cell r="D283" t="str">
            <v>7818-23931</v>
          </cell>
          <cell r="M283" t="str">
            <v>9400 1361 0605 3015 2803 92</v>
          </cell>
          <cell r="O283">
            <v>45293</v>
          </cell>
        </row>
        <row r="284">
          <cell r="D284" t="str">
            <v>7818-21039</v>
          </cell>
          <cell r="M284" t="str">
            <v>9400 1361 0605 3012 8039 07</v>
          </cell>
          <cell r="O284">
            <v>45290</v>
          </cell>
        </row>
        <row r="285">
          <cell r="D285" t="str">
            <v>7818-31625</v>
          </cell>
          <cell r="M285" t="str">
            <v>9400 1361 0605 3015 0141 71</v>
          </cell>
          <cell r="O285">
            <v>45293</v>
          </cell>
        </row>
        <row r="286">
          <cell r="D286" t="str">
            <v>7818-21193</v>
          </cell>
          <cell r="M286" t="str">
            <v>9400 1361 0605 3011 1018 82</v>
          </cell>
          <cell r="O286">
            <v>45290</v>
          </cell>
        </row>
        <row r="287">
          <cell r="D287" t="str">
            <v>7818-33675</v>
          </cell>
          <cell r="M287" t="str">
            <v>9400 1361 0605 3011 2717 14</v>
          </cell>
          <cell r="O287">
            <v>45290</v>
          </cell>
        </row>
        <row r="288">
          <cell r="D288" t="str">
            <v>7818-32930</v>
          </cell>
          <cell r="M288" t="str">
            <v>9400 1361 0605 3012 8481 99</v>
          </cell>
          <cell r="O288">
            <v>45290</v>
          </cell>
        </row>
        <row r="289">
          <cell r="D289" t="str">
            <v>7818-27707</v>
          </cell>
          <cell r="M289" t="str">
            <v>9400 1361 0605 3014 5631 99</v>
          </cell>
          <cell r="O289">
            <v>45290</v>
          </cell>
        </row>
        <row r="290">
          <cell r="D290" t="str">
            <v>7818-17104</v>
          </cell>
          <cell r="M290" t="str">
            <v>9400 1361 0605 3015 0427 92</v>
          </cell>
          <cell r="O290">
            <v>45293</v>
          </cell>
        </row>
        <row r="291">
          <cell r="D291" t="str">
            <v>7818-19740</v>
          </cell>
          <cell r="M291" t="str">
            <v>9400 1361 0605 3015 0335 16</v>
          </cell>
          <cell r="O291">
            <v>45293</v>
          </cell>
        </row>
        <row r="292">
          <cell r="D292" t="str">
            <v>7818-25496</v>
          </cell>
          <cell r="M292" t="str">
            <v>9400 1361 0605 3015 0027 03</v>
          </cell>
          <cell r="O292">
            <v>45293</v>
          </cell>
        </row>
        <row r="293">
          <cell r="D293" t="str">
            <v>7818-27008</v>
          </cell>
          <cell r="M293" t="str">
            <v>9400 1361 0605 3014 7699 59</v>
          </cell>
          <cell r="O293">
            <v>45293</v>
          </cell>
        </row>
        <row r="294">
          <cell r="D294" t="str">
            <v>7810-03058</v>
          </cell>
          <cell r="M294" t="str">
            <v>9400 1361 0605 3015 3328 17</v>
          </cell>
          <cell r="O294">
            <v>45293</v>
          </cell>
        </row>
        <row r="295">
          <cell r="D295" t="str">
            <v>7812-02599</v>
          </cell>
          <cell r="M295" t="str">
            <v>9400 1361 0605 3015 0239 06</v>
          </cell>
          <cell r="O295">
            <v>45293</v>
          </cell>
        </row>
        <row r="296">
          <cell r="D296" t="str">
            <v>7818-28702</v>
          </cell>
          <cell r="M296" t="str">
            <v>9400 1361 0605 3020 0535 61</v>
          </cell>
          <cell r="O296">
            <v>45293</v>
          </cell>
        </row>
        <row r="297">
          <cell r="D297" t="str">
            <v>7810-03019</v>
          </cell>
          <cell r="M297" t="str">
            <v>9400 1361 0605 3019 9895 29</v>
          </cell>
          <cell r="O297">
            <v>45293</v>
          </cell>
        </row>
        <row r="298">
          <cell r="D298" t="str">
            <v>7818-24605</v>
          </cell>
          <cell r="M298" t="str">
            <v>9400 1361 0605 3023 4155 95</v>
          </cell>
          <cell r="O298">
            <v>45293</v>
          </cell>
        </row>
        <row r="299">
          <cell r="D299" t="str">
            <v>7818-28478</v>
          </cell>
          <cell r="M299" t="str">
            <v>9400 1361 0605 3018 9195 96</v>
          </cell>
          <cell r="O299">
            <v>45293</v>
          </cell>
        </row>
        <row r="300">
          <cell r="D300" t="str">
            <v>7818-17326</v>
          </cell>
          <cell r="M300" t="str">
            <v>9400 1361 0605 3023 4241 60</v>
          </cell>
          <cell r="O300">
            <v>45293</v>
          </cell>
        </row>
        <row r="301">
          <cell r="D301" t="str">
            <v>7818-07090</v>
          </cell>
          <cell r="M301" t="str">
            <v>9400 1361 0605 3023 4046 36</v>
          </cell>
          <cell r="O301">
            <v>45293</v>
          </cell>
        </row>
        <row r="302">
          <cell r="D302" t="str">
            <v>7818-33694</v>
          </cell>
          <cell r="M302" t="str">
            <v>9400 1361 0605 3020 0122 16</v>
          </cell>
          <cell r="O302">
            <v>45293</v>
          </cell>
        </row>
        <row r="303">
          <cell r="D303" t="str">
            <v>7818-01362</v>
          </cell>
          <cell r="M303" t="str">
            <v>9400 1361 0605 3023 4336 67</v>
          </cell>
          <cell r="O303">
            <v>45293</v>
          </cell>
        </row>
        <row r="304">
          <cell r="D304" t="str">
            <v>7818-01388</v>
          </cell>
          <cell r="M304" t="str">
            <v>9400 1361 0605 3022 9231 38</v>
          </cell>
          <cell r="O304">
            <v>45289</v>
          </cell>
        </row>
        <row r="305">
          <cell r="D305" t="str">
            <v>7818-22429</v>
          </cell>
          <cell r="M305" t="str">
            <v>9400 1361 0605 3028 5769 01</v>
          </cell>
          <cell r="O305" t="e">
            <v>#N/A</v>
          </cell>
        </row>
        <row r="306">
          <cell r="D306" t="str">
            <v>7818-33693</v>
          </cell>
          <cell r="M306" t="str">
            <v>9400 1361 0605 3052 1596 37</v>
          </cell>
          <cell r="O306" t="e">
            <v>#N/A</v>
          </cell>
        </row>
        <row r="307">
          <cell r="D307" t="str">
            <v>7811-00346</v>
          </cell>
          <cell r="M307" t="str">
            <v>9400 1361 0605 3027 6210 77</v>
          </cell>
          <cell r="O307" t="e">
            <v>#N/A</v>
          </cell>
        </row>
        <row r="308">
          <cell r="D308" t="str">
            <v>7818-16216</v>
          </cell>
          <cell r="M308" t="str">
            <v>9400 1361 0605 3027 6032 88</v>
          </cell>
          <cell r="O308" t="e">
            <v>#N/A</v>
          </cell>
        </row>
        <row r="309">
          <cell r="D309" t="str">
            <v>7818-29842</v>
          </cell>
          <cell r="M309" t="str">
            <v>9400 1361 0605 3027 6474 73</v>
          </cell>
          <cell r="O309" t="e">
            <v>#N/A</v>
          </cell>
        </row>
        <row r="310">
          <cell r="D310" t="str">
            <v>7818-23224</v>
          </cell>
          <cell r="M310" t="str">
            <v>9400 1361 0605 3027 6712 87</v>
          </cell>
          <cell r="O310" t="e">
            <v>#N/A</v>
          </cell>
        </row>
        <row r="311">
          <cell r="D311" t="str">
            <v>7823-02823</v>
          </cell>
          <cell r="M311" t="str">
            <v>9400 1361 0605 3027 6849 59</v>
          </cell>
          <cell r="O311" t="e">
            <v>#N/A</v>
          </cell>
        </row>
        <row r="312">
          <cell r="D312" t="str">
            <v>7823-03256</v>
          </cell>
          <cell r="M312" t="str">
            <v>9400 1361 0605 3027 5757 14</v>
          </cell>
          <cell r="O312" t="e">
            <v>#N/A</v>
          </cell>
        </row>
        <row r="313">
          <cell r="D313" t="str">
            <v>7823-03481</v>
          </cell>
          <cell r="M313" t="str">
            <v>9400 1361 0605 3027 6322 57</v>
          </cell>
          <cell r="O313" t="e">
            <v>#N/A</v>
          </cell>
        </row>
        <row r="314">
          <cell r="D314" t="str">
            <v>7823-03482</v>
          </cell>
          <cell r="M314" t="str">
            <v>9400 1361 060 53027 6591 55</v>
          </cell>
          <cell r="O314" t="e">
            <v>#N/A</v>
          </cell>
        </row>
        <row r="315">
          <cell r="D315" t="str">
            <v>7818-05270</v>
          </cell>
          <cell r="M315" t="str">
            <v>9400 1361 0605 3027 5914 86</v>
          </cell>
          <cell r="O315" t="e">
            <v>#N/A</v>
          </cell>
        </row>
        <row r="316">
          <cell r="D316" t="str">
            <v>7818-28526</v>
          </cell>
          <cell r="M316" t="str">
            <v>9400 1361 0605 3046 4602 44</v>
          </cell>
          <cell r="O316" t="e">
            <v>#N/A</v>
          </cell>
        </row>
        <row r="317">
          <cell r="D317" t="str">
            <v>7818-25731</v>
          </cell>
          <cell r="M317" t="str">
            <v>9400 1361 0605 3052 6328 02</v>
          </cell>
          <cell r="O317" t="e">
            <v>#N/A</v>
          </cell>
        </row>
        <row r="318">
          <cell r="D318" t="str">
            <v>7818-34010</v>
          </cell>
          <cell r="M318" t="str">
            <v>9400 1361 0605 3046 4755 07</v>
          </cell>
          <cell r="O318" t="e">
            <v>#N/A</v>
          </cell>
        </row>
        <row r="319">
          <cell r="D319" t="str">
            <v>7818-33220</v>
          </cell>
          <cell r="M319" t="str">
            <v>9400 1361 0605 3051 4184 21</v>
          </cell>
          <cell r="O319" t="e">
            <v>#N/A</v>
          </cell>
        </row>
        <row r="320">
          <cell r="D320" t="str">
            <v>7818-33389</v>
          </cell>
          <cell r="M320" t="str">
            <v>9400 1361 0605 3051 0911 67</v>
          </cell>
          <cell r="O320" t="e">
            <v>#N/A</v>
          </cell>
        </row>
        <row r="321">
          <cell r="D321" t="str">
            <v>7818-28217</v>
          </cell>
          <cell r="M321" t="str">
            <v>9400 1361 0605 3052 6566 24</v>
          </cell>
          <cell r="O321" t="e">
            <v>#N/A</v>
          </cell>
        </row>
        <row r="322">
          <cell r="D322" t="str">
            <v>7818-30786</v>
          </cell>
          <cell r="M322" t="str">
            <v>9400 1361 0605 3051 0776 35</v>
          </cell>
          <cell r="O322" t="e">
            <v>#N/A</v>
          </cell>
        </row>
        <row r="323">
          <cell r="D323" t="str">
            <v>7812-03210</v>
          </cell>
          <cell r="M323" t="str">
            <v>9400 1361 0605 3046 4085 05</v>
          </cell>
          <cell r="O323" t="e">
            <v>#N/A</v>
          </cell>
        </row>
        <row r="324">
          <cell r="D324" t="str">
            <v>7812-02986</v>
          </cell>
          <cell r="M324" t="str">
            <v>9400 1361 0605 3046 4268 06</v>
          </cell>
          <cell r="O324" t="e">
            <v>#N/A</v>
          </cell>
        </row>
        <row r="325">
          <cell r="D325" t="str">
            <v>7818-08654</v>
          </cell>
          <cell r="M325" t="str">
            <v>9400 1361 0605 3052 1237 99</v>
          </cell>
          <cell r="O325" t="e">
            <v>#N/A</v>
          </cell>
        </row>
        <row r="326">
          <cell r="D326" t="str">
            <v>7812-3870</v>
          </cell>
          <cell r="M326" t="str">
            <v>9400 1361 0605 3052 6810 15</v>
          </cell>
          <cell r="O326" t="e">
            <v>#N/A</v>
          </cell>
        </row>
        <row r="327">
          <cell r="D327" t="str">
            <v>7812-01068</v>
          </cell>
          <cell r="M327" t="str">
            <v>9400 1361 0605 3052 0401 57</v>
          </cell>
          <cell r="O327" t="e">
            <v>#N/A</v>
          </cell>
        </row>
        <row r="328">
          <cell r="D328" t="str">
            <v>7812-3878</v>
          </cell>
          <cell r="M328" t="str">
            <v>9400 1361 0605 3052 6494 59</v>
          </cell>
          <cell r="O328" t="e">
            <v>#N/A</v>
          </cell>
        </row>
        <row r="329">
          <cell r="D329" t="str">
            <v>7812-4035</v>
          </cell>
          <cell r="M329" t="str">
            <v>9400 1361 0605 3051 4081 94</v>
          </cell>
          <cell r="O329" t="e">
            <v>#N/A</v>
          </cell>
        </row>
        <row r="330">
          <cell r="D330" t="str">
            <v>7812-01276</v>
          </cell>
          <cell r="M330" t="str">
            <v>9400 1361 0605 3052 7108 83</v>
          </cell>
          <cell r="O330" t="e">
            <v>#N/A</v>
          </cell>
        </row>
        <row r="331">
          <cell r="D331" t="str">
            <v>7812-04625</v>
          </cell>
          <cell r="M331" t="str">
            <v>9400 1361 0605 3052 7180 49</v>
          </cell>
          <cell r="O331" t="e">
            <v>#N/A</v>
          </cell>
        </row>
        <row r="332">
          <cell r="D332" t="str">
            <v>7810-01944</v>
          </cell>
          <cell r="M332" t="str">
            <v>9400 1361 0605 3052 7037 62</v>
          </cell>
          <cell r="O332" t="e">
            <v>#N/A</v>
          </cell>
        </row>
        <row r="333">
          <cell r="D333" t="str">
            <v>7810-03117</v>
          </cell>
          <cell r="M333" t="str">
            <v>9400 1361 0605 3052 6984 95</v>
          </cell>
          <cell r="O333" t="e">
            <v>#N/A</v>
          </cell>
        </row>
        <row r="334">
          <cell r="D334" t="str">
            <v>7818-33382</v>
          </cell>
          <cell r="M334" t="str">
            <v>9400 1361 0605 3052 0787 23</v>
          </cell>
          <cell r="O334" t="e">
            <v>#N/A</v>
          </cell>
        </row>
        <row r="335">
          <cell r="D335" t="str">
            <v>7818-22366</v>
          </cell>
          <cell r="M335" t="str">
            <v>9400 1361 0605 3052 7224 66</v>
          </cell>
          <cell r="O335" t="e">
            <v>#N/A</v>
          </cell>
        </row>
        <row r="336">
          <cell r="D336" t="str">
            <v>7818-27822</v>
          </cell>
          <cell r="M336" t="str">
            <v>9400 1361 0605 3052 7329 91</v>
          </cell>
          <cell r="O336" t="e">
            <v>#N/A</v>
          </cell>
        </row>
        <row r="337">
          <cell r="D337" t="str">
            <v>7818-29528</v>
          </cell>
          <cell r="M337" t="str">
            <v>9400 1361 0605 3052 6281 02</v>
          </cell>
          <cell r="O337" t="e">
            <v>#N/A</v>
          </cell>
        </row>
        <row r="338">
          <cell r="D338" t="str">
            <v>7818-26619</v>
          </cell>
          <cell r="M338" t="str">
            <v>9400 1361 0605 3052 1428 20</v>
          </cell>
          <cell r="O338" t="e">
            <v>#N/A</v>
          </cell>
        </row>
        <row r="339">
          <cell r="D339" t="str">
            <v>7818-15773</v>
          </cell>
          <cell r="M339" t="str">
            <v>9400 1361 0605 3052 0968 64</v>
          </cell>
          <cell r="O339" t="e">
            <v>#N/A</v>
          </cell>
        </row>
        <row r="340">
          <cell r="D340" t="str">
            <v>7818-09019</v>
          </cell>
          <cell r="M340" t="str">
            <v>9400 1361 0605 3052 1492 49</v>
          </cell>
          <cell r="O340" t="e">
            <v>#N/A</v>
          </cell>
        </row>
        <row r="341">
          <cell r="D341" t="str">
            <v>7818-26419</v>
          </cell>
          <cell r="M341" t="str">
            <v>9400 1361 0605 3051 0145 31</v>
          </cell>
          <cell r="O341" t="e">
            <v>#N/A</v>
          </cell>
        </row>
        <row r="342">
          <cell r="D342" t="str">
            <v>7818-28536</v>
          </cell>
          <cell r="M342" t="str">
            <v>9400 1361 0605 3051 1034 95</v>
          </cell>
          <cell r="O342" t="e">
            <v>#N/A</v>
          </cell>
        </row>
        <row r="343">
          <cell r="D343" t="str">
            <v>7818-20060</v>
          </cell>
          <cell r="M343" t="str">
            <v>9400 1361 0605 3051 0433 71</v>
          </cell>
          <cell r="O343" t="e">
            <v>#N/A</v>
          </cell>
        </row>
        <row r="344">
          <cell r="D344" t="str">
            <v>7818-32577</v>
          </cell>
          <cell r="M344" t="str">
            <v>9400 136 10605 3052 6150 65</v>
          </cell>
          <cell r="O344" t="e">
            <v>#N/A</v>
          </cell>
        </row>
        <row r="345">
          <cell r="D345" t="str">
            <v>7818-16894</v>
          </cell>
          <cell r="M345" t="str">
            <v>9400 1361 0605 3052 0229 55</v>
          </cell>
          <cell r="O345" t="e">
            <v>#N/A</v>
          </cell>
        </row>
        <row r="346">
          <cell r="D346" t="str">
            <v>7823-03004</v>
          </cell>
          <cell r="M346" t="str">
            <v>9400 1112 0621 0448 3325 55</v>
          </cell>
          <cell r="O346" t="e">
            <v>#N/A</v>
          </cell>
        </row>
        <row r="347">
          <cell r="D347" t="str">
            <v>7812-04577</v>
          </cell>
          <cell r="M347" t="str">
            <v>9400 1361 0605 3057 1360 77</v>
          </cell>
          <cell r="O347" t="e">
            <v>#N/A</v>
          </cell>
        </row>
        <row r="348">
          <cell r="D348" t="str">
            <v>7810-03065</v>
          </cell>
          <cell r="M348" t="str">
            <v>9400 1361 0605 3055 9147 14</v>
          </cell>
          <cell r="O348" t="e">
            <v>#N/A</v>
          </cell>
        </row>
        <row r="349">
          <cell r="D349" t="str">
            <v>7810-01941</v>
          </cell>
          <cell r="M349" t="str">
            <v>9400 1361 0605 3055 9291 14</v>
          </cell>
          <cell r="O349" t="e">
            <v>#N/A</v>
          </cell>
        </row>
        <row r="350">
          <cell r="D350" t="str">
            <v>7818-25094</v>
          </cell>
          <cell r="M350" t="str">
            <v>9400 1361 0605 3065 8715 19</v>
          </cell>
          <cell r="O350" t="e">
            <v>#N/A</v>
          </cell>
        </row>
        <row r="351">
          <cell r="D351" t="str">
            <v>7823-03046</v>
          </cell>
          <cell r="M351" t="str">
            <v>9400 1361 0605 3064 9454 95</v>
          </cell>
          <cell r="O351" t="e">
            <v>#N/A</v>
          </cell>
        </row>
        <row r="352">
          <cell r="D352" t="str">
            <v>7818-14941</v>
          </cell>
          <cell r="M352" t="str">
            <v>9400 1361 0605 3055 8985 71</v>
          </cell>
          <cell r="O352" t="e">
            <v>#N/A</v>
          </cell>
        </row>
        <row r="353">
          <cell r="D353" t="str">
            <v>7818-20436</v>
          </cell>
          <cell r="M353" t="str">
            <v>9400 1361 0605 3064 9317 40</v>
          </cell>
          <cell r="O353" t="e">
            <v>#N/A</v>
          </cell>
        </row>
        <row r="354">
          <cell r="D354" t="str">
            <v>7818-22367</v>
          </cell>
          <cell r="M354" t="str">
            <v>9400 1361 0605 3064 9255 58</v>
          </cell>
          <cell r="O354" t="e">
            <v>#N/A</v>
          </cell>
        </row>
        <row r="355">
          <cell r="D355" t="str">
            <v>7818-16891</v>
          </cell>
          <cell r="M355" t="str">
            <v>9400 1361 0605 3064 9383 12</v>
          </cell>
          <cell r="O355" t="e">
            <v>#N/A</v>
          </cell>
        </row>
        <row r="356">
          <cell r="D356" t="str">
            <v>7818-33804</v>
          </cell>
          <cell r="M356" t="str">
            <v>9400 1361 0605 3056 5653 66</v>
          </cell>
          <cell r="O356" t="e">
            <v>#N/A</v>
          </cell>
        </row>
        <row r="357">
          <cell r="D357" t="str">
            <v>7818-29992</v>
          </cell>
          <cell r="M357" t="str">
            <v>9400 1361 0605 3064 9525 23</v>
          </cell>
          <cell r="O357" t="e">
            <v>#N/A</v>
          </cell>
        </row>
        <row r="358">
          <cell r="D358" t="str">
            <v>7818-15720</v>
          </cell>
          <cell r="M358" t="str">
            <v>9400 1361 0605 3056 5560 67</v>
          </cell>
          <cell r="O358" t="e">
            <v>#N/A</v>
          </cell>
        </row>
        <row r="359">
          <cell r="D359" t="str">
            <v>7818-16893</v>
          </cell>
          <cell r="M359" t="str">
            <v>9400 1361 0605 3075 1987 43</v>
          </cell>
          <cell r="O359" t="e">
            <v>#N/A</v>
          </cell>
        </row>
        <row r="360">
          <cell r="D360" t="str">
            <v>7823-03422</v>
          </cell>
          <cell r="M360" t="str">
            <v>9400 1361 0605 3078 1422 86</v>
          </cell>
          <cell r="O360" t="e">
            <v>#N/A</v>
          </cell>
        </row>
        <row r="361">
          <cell r="D361" t="str">
            <v>7823-02696</v>
          </cell>
          <cell r="M361" t="str">
            <v>9400 1361 0605 3078 1614 16</v>
          </cell>
          <cell r="O361" t="e">
            <v>#N/A</v>
          </cell>
        </row>
        <row r="362">
          <cell r="D362" t="str">
            <v>7818-27410</v>
          </cell>
          <cell r="M362" t="str">
            <v>9400 1361 0605 3078 1522 78</v>
          </cell>
          <cell r="O362" t="e">
            <v>#N/A</v>
          </cell>
        </row>
        <row r="363">
          <cell r="D363" t="str">
            <v>7818-26491</v>
          </cell>
          <cell r="M363" t="str">
            <v>9400 1361 0605 3078 1333 69</v>
          </cell>
          <cell r="O363" t="e">
            <v>#N/A</v>
          </cell>
        </row>
        <row r="364">
          <cell r="D364" t="str">
            <v>7818-20821</v>
          </cell>
          <cell r="M364" t="str">
            <v>9400 1112 0621 0417 6206 21</v>
          </cell>
          <cell r="O364" t="e">
            <v>#N/A</v>
          </cell>
        </row>
        <row r="365">
          <cell r="D365" t="str">
            <v>7823-03232</v>
          </cell>
          <cell r="M365" t="str">
            <v>9400 1112 0621 0417 6901 43</v>
          </cell>
          <cell r="O365" t="e">
            <v>#N/A</v>
          </cell>
        </row>
        <row r="366">
          <cell r="D366" t="str">
            <v>7823-02567</v>
          </cell>
          <cell r="M366" t="str">
            <v>9405 5112 0621 0432 1607 85</v>
          </cell>
          <cell r="O366" t="e">
            <v>#N/A</v>
          </cell>
        </row>
      </sheetData>
      <sheetData sheetId="3">
        <row r="2">
          <cell r="D2" t="str">
            <v>FORM#</v>
          </cell>
          <cell r="M2" t="str">
            <v>TRACKING #</v>
          </cell>
        </row>
        <row r="3">
          <cell r="D3" t="str">
            <v>7818-18726</v>
          </cell>
          <cell r="M3" t="str">
            <v>9400 1118 9956 1260 6612 43</v>
          </cell>
        </row>
        <row r="4">
          <cell r="D4" t="str">
            <v>7818-15634</v>
          </cell>
          <cell r="M4" t="str">
            <v>9400 1118 9956 2533 7463 22</v>
          </cell>
        </row>
        <row r="5">
          <cell r="D5" t="str">
            <v>7818-22116</v>
          </cell>
          <cell r="M5" t="str">
            <v>9400 1118 9956 2534 5061 85</v>
          </cell>
        </row>
        <row r="6">
          <cell r="D6" t="str">
            <v>7812-03014</v>
          </cell>
          <cell r="M6" t="str">
            <v>9402 1118 9956 2589 3913 21</v>
          </cell>
        </row>
        <row r="7">
          <cell r="D7" t="str">
            <v>7818-22135</v>
          </cell>
          <cell r="M7" t="str">
            <v>9400 1118 9956 2573 7994 49</v>
          </cell>
        </row>
        <row r="8">
          <cell r="D8" t="str">
            <v>7823-00997</v>
          </cell>
          <cell r="M8" t="str">
            <v>9400 1118 9956 1290 9116 39</v>
          </cell>
        </row>
        <row r="9">
          <cell r="D9" t="str">
            <v>7812-01456</v>
          </cell>
          <cell r="M9" t="str">
            <v>9402 1118 9956 1731 1567 19</v>
          </cell>
        </row>
        <row r="10">
          <cell r="D10" t="str">
            <v>7818-24537</v>
          </cell>
          <cell r="M10" t="str">
            <v>9400 1118 9956 1290 9349 28</v>
          </cell>
        </row>
        <row r="11">
          <cell r="D11" t="str">
            <v>7818-18810</v>
          </cell>
          <cell r="M11" t="str">
            <v>9400 1118 9956 2995 2258 92</v>
          </cell>
        </row>
        <row r="12">
          <cell r="D12" t="str">
            <v>7810-00582</v>
          </cell>
          <cell r="M12" t="str">
            <v>9402 1118 9956 1290 6057 10</v>
          </cell>
        </row>
        <row r="13">
          <cell r="D13" t="str">
            <v>7818-23978</v>
          </cell>
          <cell r="M13" t="str">
            <v>9402 1118 9956 1290 6075 30</v>
          </cell>
        </row>
        <row r="14">
          <cell r="D14" t="str">
            <v>7818-20180</v>
          </cell>
          <cell r="M14" t="str">
            <v>9402 1118 9956 1290 9871 06</v>
          </cell>
        </row>
        <row r="15">
          <cell r="D15" t="str">
            <v>7812-01830</v>
          </cell>
          <cell r="M15" t="str">
            <v>9402 1118 9956 1290 9662 93</v>
          </cell>
        </row>
        <row r="16">
          <cell r="D16" t="str">
            <v>7818-24111</v>
          </cell>
          <cell r="M16" t="str">
            <v>9402 1118 9956 1299 7681 26</v>
          </cell>
        </row>
        <row r="17">
          <cell r="D17" t="str">
            <v>7815-00080</v>
          </cell>
          <cell r="M17" t="str">
            <v>9400 1118 9956 1290 9198 88</v>
          </cell>
        </row>
        <row r="18">
          <cell r="D18" t="str">
            <v>7812-03316</v>
          </cell>
          <cell r="M18" t="str">
            <v>9402 1118 9956 1299 7204 21</v>
          </cell>
        </row>
        <row r="19">
          <cell r="D19" t="str">
            <v>7818-10350</v>
          </cell>
          <cell r="M19" t="str">
            <v>9402 1118 9956 1224 2561 17</v>
          </cell>
        </row>
        <row r="20">
          <cell r="D20" t="str">
            <v>7818-14487</v>
          </cell>
          <cell r="M20" t="str">
            <v>9400 1118 9956 1290 9858 14</v>
          </cell>
        </row>
        <row r="21">
          <cell r="D21" t="str">
            <v>7811-00215</v>
          </cell>
          <cell r="M21" t="str">
            <v>9400 1118 9956 1299 7295 87</v>
          </cell>
        </row>
        <row r="22">
          <cell r="D22" t="str">
            <v>7818-17749</v>
          </cell>
          <cell r="M22" t="str">
            <v>9402 1118 9956 1299 7590 32</v>
          </cell>
        </row>
        <row r="23">
          <cell r="D23" t="str">
            <v>7818-17524</v>
          </cell>
          <cell r="M23" t="str">
            <v>9402 1118 9956 1299 7505 41</v>
          </cell>
        </row>
        <row r="24">
          <cell r="D24" t="str">
            <v>7823-00004</v>
          </cell>
          <cell r="M24" t="str">
            <v>9402 1118 9956 1299 7637 32</v>
          </cell>
        </row>
        <row r="25">
          <cell r="D25" t="str">
            <v>7818-17576</v>
          </cell>
          <cell r="M25" t="str">
            <v>1Z5063E0YW42613004</v>
          </cell>
        </row>
        <row r="26">
          <cell r="D26" t="str">
            <v>7812-02662</v>
          </cell>
          <cell r="M26" t="str">
            <v>1Z5063E0YW41880530</v>
          </cell>
        </row>
        <row r="27">
          <cell r="D27" t="str">
            <v>7818-14352</v>
          </cell>
          <cell r="M27" t="str">
            <v>1Z5063E0YW42978595</v>
          </cell>
        </row>
        <row r="28">
          <cell r="D28" t="str">
            <v>7818-11966</v>
          </cell>
          <cell r="M28" t="str">
            <v>1Z5063E0YW42731421</v>
          </cell>
        </row>
        <row r="29">
          <cell r="D29" t="str">
            <v>7823-01937</v>
          </cell>
          <cell r="M29" t="str">
            <v>1Z5063E0YW41054478</v>
          </cell>
        </row>
        <row r="30">
          <cell r="D30" t="str">
            <v>7823-02856</v>
          </cell>
          <cell r="M30" t="str">
            <v>1Z5063E0YW42663639</v>
          </cell>
        </row>
        <row r="31">
          <cell r="D31" t="str">
            <v>7818-14575</v>
          </cell>
          <cell r="M31" t="str">
            <v>1Z5063E0YW41472016</v>
          </cell>
        </row>
        <row r="32">
          <cell r="D32" t="str">
            <v>7818-18332</v>
          </cell>
          <cell r="M32" t="str">
            <v>1Z5063E0YW42833482</v>
          </cell>
        </row>
        <row r="33">
          <cell r="D33" t="str">
            <v>7810-01226</v>
          </cell>
          <cell r="M33" t="str">
            <v>1Z5063E0YW42403188</v>
          </cell>
        </row>
        <row r="34">
          <cell r="D34" t="str">
            <v>7818-14587</v>
          </cell>
          <cell r="M34" t="str">
            <v>1Z5063E0YW41267999</v>
          </cell>
        </row>
        <row r="35">
          <cell r="D35" t="str">
            <v>7818-19151</v>
          </cell>
          <cell r="M35" t="str">
            <v>1Z5063E0YW40974333</v>
          </cell>
        </row>
        <row r="36">
          <cell r="D36" t="str">
            <v>7823-01956</v>
          </cell>
          <cell r="M36" t="str">
            <v>1Z5063E0YW42101950</v>
          </cell>
        </row>
        <row r="37">
          <cell r="D37" t="str">
            <v>7823-01965</v>
          </cell>
          <cell r="M37" t="str">
            <v>1Z5063E0YW40332937</v>
          </cell>
        </row>
        <row r="38">
          <cell r="D38" t="str">
            <v>7818-23518</v>
          </cell>
          <cell r="M38" t="str">
            <v>1Z5063E0YW40955345</v>
          </cell>
        </row>
        <row r="39">
          <cell r="D39" t="str">
            <v>7818-23633</v>
          </cell>
          <cell r="M39" t="str">
            <v>1Z5063E0YW40700360</v>
          </cell>
        </row>
        <row r="40">
          <cell r="D40" t="str">
            <v>7818-24147</v>
          </cell>
          <cell r="M40" t="str">
            <v>1Z5063E0YW41342531</v>
          </cell>
        </row>
        <row r="41">
          <cell r="D41" t="str">
            <v>7823-00922</v>
          </cell>
          <cell r="M41" t="str">
            <v>1Z5063E0YW42891366</v>
          </cell>
        </row>
        <row r="42">
          <cell r="D42" t="str">
            <v>7823-01692</v>
          </cell>
          <cell r="M42" t="str">
            <v>1Z5063E0YW40529467</v>
          </cell>
        </row>
        <row r="43">
          <cell r="D43" t="str">
            <v>7818-10540</v>
          </cell>
          <cell r="M43" t="str">
            <v>1Z5063E0YW42754157</v>
          </cell>
        </row>
        <row r="44">
          <cell r="D44" t="str">
            <v>7823-02855</v>
          </cell>
          <cell r="M44" t="str">
            <v>1Z5063E0YW41440201</v>
          </cell>
        </row>
        <row r="45">
          <cell r="D45" t="str">
            <v>7810-00589</v>
          </cell>
          <cell r="M45" t="str">
            <v>1Z5063E0YW42863379</v>
          </cell>
        </row>
        <row r="46">
          <cell r="D46" t="str">
            <v>7810-01555</v>
          </cell>
          <cell r="M46" t="str">
            <v>1Z5063E0YW42202485</v>
          </cell>
        </row>
        <row r="47">
          <cell r="D47" t="str">
            <v>7818-24148</v>
          </cell>
          <cell r="M47" t="str">
            <v>1Z5063E0YW42411553</v>
          </cell>
        </row>
        <row r="48">
          <cell r="D48" t="str">
            <v>7823-01985</v>
          </cell>
          <cell r="M48" t="str">
            <v>1Z5063E0YW41505721</v>
          </cell>
        </row>
        <row r="49">
          <cell r="D49" t="str">
            <v>7823-00996</v>
          </cell>
          <cell r="M49" t="str">
            <v>1Z5063E0YW42632949</v>
          </cell>
        </row>
        <row r="50">
          <cell r="D50" t="str">
            <v>7818-24832</v>
          </cell>
          <cell r="M50" t="str">
            <v>1Z5063E0YW40937418</v>
          </cell>
        </row>
        <row r="51">
          <cell r="D51" t="str">
            <v>7818-17191</v>
          </cell>
          <cell r="M51" t="str">
            <v>1Z5063E0YW41205715</v>
          </cell>
        </row>
        <row r="52">
          <cell r="D52" t="str">
            <v>7818-20701</v>
          </cell>
          <cell r="M52" t="str">
            <v>1Z5063E0YW40920462</v>
          </cell>
        </row>
        <row r="53">
          <cell r="D53" t="str">
            <v>7818-12209</v>
          </cell>
          <cell r="M53" t="str">
            <v>1Z5063E0YW42016721</v>
          </cell>
        </row>
        <row r="54">
          <cell r="D54" t="str">
            <v>7818-23115</v>
          </cell>
          <cell r="M54" t="str">
            <v>1Z5063E0YW42427868</v>
          </cell>
        </row>
        <row r="55">
          <cell r="D55" t="str">
            <v>7818-24002</v>
          </cell>
          <cell r="M55" t="str">
            <v>1Z5063E0YW41611535</v>
          </cell>
        </row>
        <row r="56">
          <cell r="D56" t="str">
            <v>7818-21188</v>
          </cell>
          <cell r="M56" t="str">
            <v>1Z5063E0YW41409317</v>
          </cell>
        </row>
        <row r="57">
          <cell r="D57" t="str">
            <v>7818-24149</v>
          </cell>
          <cell r="M57" t="str">
            <v>1Z5063E0YW42642429</v>
          </cell>
        </row>
        <row r="58">
          <cell r="D58" t="str">
            <v>7818-23103</v>
          </cell>
          <cell r="M58" t="str">
            <v>1Z5063E0YW42409048</v>
          </cell>
        </row>
        <row r="59">
          <cell r="D59" t="str">
            <v>7823-02756</v>
          </cell>
          <cell r="M59" t="str">
            <v>1Z5063E0YW41309970</v>
          </cell>
        </row>
        <row r="60">
          <cell r="D60" t="str">
            <v>7811-00121</v>
          </cell>
          <cell r="M60" t="str">
            <v>1Z5063E0YW42220830</v>
          </cell>
        </row>
        <row r="61">
          <cell r="D61" t="str">
            <v>7812-03401</v>
          </cell>
          <cell r="M61" t="str">
            <v>1Z5063E0YW41089655</v>
          </cell>
        </row>
        <row r="62">
          <cell r="D62" t="str">
            <v>7823-02127</v>
          </cell>
          <cell r="M62" t="str">
            <v>1Z5063E0YW40168688</v>
          </cell>
        </row>
        <row r="63">
          <cell r="D63" t="str">
            <v>7812-03303</v>
          </cell>
          <cell r="M63" t="str">
            <v>1Z5063E0YW42228412</v>
          </cell>
        </row>
        <row r="64">
          <cell r="D64" t="str">
            <v>7812-01986</v>
          </cell>
          <cell r="M64" t="str">
            <v>1Z5063E0YW41103272</v>
          </cell>
        </row>
        <row r="65">
          <cell r="D65" t="str">
            <v>7812-01793</v>
          </cell>
          <cell r="M65" t="str">
            <v>1Z5063E0YW41703892</v>
          </cell>
        </row>
        <row r="66">
          <cell r="D66" t="str">
            <v>7812-01796</v>
          </cell>
          <cell r="M66" t="str">
            <v>1Z5063E0YW40144748</v>
          </cell>
        </row>
        <row r="67">
          <cell r="D67" t="str">
            <v>7810-01544</v>
          </cell>
          <cell r="M67" t="str">
            <v>1Z5063E0YW42783947</v>
          </cell>
        </row>
        <row r="68">
          <cell r="D68" t="str">
            <v>7818-22508</v>
          </cell>
          <cell r="M68" t="str">
            <v>1Z5063E0YW41500315</v>
          </cell>
        </row>
        <row r="69">
          <cell r="D69" t="str">
            <v>7818-10361</v>
          </cell>
          <cell r="M69" t="str">
            <v>1Z5063E0YW41307678</v>
          </cell>
        </row>
        <row r="70">
          <cell r="D70" t="str">
            <v>7133-00065</v>
          </cell>
          <cell r="M70" t="str">
            <v>1Z5063E0YW41485379</v>
          </cell>
        </row>
        <row r="71">
          <cell r="D71" t="str">
            <v>7819-00464</v>
          </cell>
          <cell r="M71" t="str">
            <v>1Z5063E0YW40519245</v>
          </cell>
        </row>
        <row r="72">
          <cell r="D72" t="str">
            <v>7812-02646</v>
          </cell>
          <cell r="M72" t="str">
            <v>1Z5063E0YW40411502</v>
          </cell>
        </row>
        <row r="73">
          <cell r="D73" t="str">
            <v>7810-01174</v>
          </cell>
          <cell r="M73" t="str">
            <v>1Z5063E0YW41661320</v>
          </cell>
        </row>
        <row r="74">
          <cell r="D74" t="str">
            <v>7824-00316</v>
          </cell>
          <cell r="M74" t="str">
            <v>1Z5063E0YW42082365</v>
          </cell>
        </row>
        <row r="75">
          <cell r="D75" t="str">
            <v>7811-00212</v>
          </cell>
          <cell r="M75" t="str">
            <v>1Z5063E0YW40594637</v>
          </cell>
        </row>
        <row r="76">
          <cell r="D76" t="str">
            <v>7818-22681</v>
          </cell>
          <cell r="M76" t="str">
            <v>1Z5063E0YW41116286</v>
          </cell>
        </row>
        <row r="77">
          <cell r="D77" t="str">
            <v>7818-24152</v>
          </cell>
          <cell r="M77" t="str">
            <v>1Z5063E0YW41238663</v>
          </cell>
        </row>
        <row r="78">
          <cell r="D78" t="str">
            <v>7818-18984</v>
          </cell>
          <cell r="M78" t="str">
            <v>1Z5063E0YW42353554</v>
          </cell>
        </row>
        <row r="79">
          <cell r="D79" t="str">
            <v>7818-24151</v>
          </cell>
          <cell r="M79" t="str">
            <v>1Z5063E0YW40320977</v>
          </cell>
        </row>
        <row r="80">
          <cell r="D80" t="str">
            <v>7818-17257</v>
          </cell>
          <cell r="M80" t="str">
            <v>1Z5063E0YW41014887</v>
          </cell>
        </row>
        <row r="81">
          <cell r="D81" t="str">
            <v>7818-16330</v>
          </cell>
          <cell r="M81" t="str">
            <v>1Z5063E0YW40825708</v>
          </cell>
        </row>
        <row r="82">
          <cell r="D82" t="str">
            <v>7818-22340</v>
          </cell>
          <cell r="M82" t="str">
            <v>1Z5063E0YW40467515</v>
          </cell>
        </row>
        <row r="83">
          <cell r="D83" t="str">
            <v>7818-22604</v>
          </cell>
          <cell r="M83" t="str">
            <v>1Z5063E0YW40394933</v>
          </cell>
        </row>
        <row r="84">
          <cell r="D84" t="str">
            <v>7818-14695</v>
          </cell>
          <cell r="M84" t="str">
            <v>1Z5063E0YW40684290</v>
          </cell>
        </row>
        <row r="85">
          <cell r="D85" t="str">
            <v>7818-06060</v>
          </cell>
          <cell r="M85" t="str">
            <v>1Z5063E0YW40065477</v>
          </cell>
        </row>
        <row r="86">
          <cell r="D86" t="str">
            <v>7815-00042</v>
          </cell>
          <cell r="M86" t="str">
            <v>1Z5063E0YW40108608</v>
          </cell>
        </row>
        <row r="87">
          <cell r="D87" t="str">
            <v>7810-01545</v>
          </cell>
          <cell r="M87" t="str">
            <v>9402 1118 9956 2533 7288 45</v>
          </cell>
        </row>
        <row r="88">
          <cell r="D88" t="str">
            <v>7818-12611</v>
          </cell>
          <cell r="M88" t="str">
            <v>1Z5063E0YW40273260</v>
          </cell>
        </row>
        <row r="89">
          <cell r="D89" t="str">
            <v>7818-16653</v>
          </cell>
          <cell r="M89" t="str">
            <v>1Z5063E0YW41554526</v>
          </cell>
        </row>
        <row r="90">
          <cell r="D90" t="str">
            <v>7823-01706</v>
          </cell>
          <cell r="M90" t="str">
            <v>1Z5063E0YW40928731</v>
          </cell>
        </row>
        <row r="91">
          <cell r="D91" t="str">
            <v>7823-01623</v>
          </cell>
          <cell r="M91" t="str">
            <v>1Z5063E0YW41033802</v>
          </cell>
        </row>
        <row r="92">
          <cell r="D92" t="str">
            <v>7823-01703</v>
          </cell>
          <cell r="M92" t="str">
            <v>1Z5063E0YW42934944</v>
          </cell>
        </row>
        <row r="93">
          <cell r="D93" t="str">
            <v>7823-01629</v>
          </cell>
          <cell r="M93" t="str">
            <v>1Z5063E0YW41660198</v>
          </cell>
        </row>
        <row r="94">
          <cell r="D94" t="str">
            <v>7823-02035</v>
          </cell>
          <cell r="M94" t="str">
            <v>1Z5063E0YW41096709</v>
          </cell>
        </row>
        <row r="95">
          <cell r="D95" t="str">
            <v>7823-02726</v>
          </cell>
          <cell r="M95" t="str">
            <v>1Z5063E0YW42487571</v>
          </cell>
        </row>
        <row r="96">
          <cell r="D96" t="str">
            <v>7818-18904</v>
          </cell>
          <cell r="M96" t="str">
            <v>1Z5063E0YW40205146</v>
          </cell>
        </row>
        <row r="97">
          <cell r="D97" t="str">
            <v>7810-01540</v>
          </cell>
          <cell r="M97" t="str">
            <v>1Z5063E0YW40187756</v>
          </cell>
        </row>
        <row r="98">
          <cell r="D98" t="str">
            <v>7823-00456</v>
          </cell>
          <cell r="M98" t="str">
            <v>9402 1118 9956 2533 7837 07</v>
          </cell>
        </row>
        <row r="99">
          <cell r="D99" t="str">
            <v>7812-01838</v>
          </cell>
          <cell r="M99" t="str">
            <v>1Z5063E0YW42860023</v>
          </cell>
        </row>
        <row r="100">
          <cell r="D100" t="str">
            <v>7818-16488</v>
          </cell>
          <cell r="M100" t="str">
            <v>1Z5063E0YW40454010</v>
          </cell>
        </row>
        <row r="101">
          <cell r="D101" t="str">
            <v>7818-08571</v>
          </cell>
          <cell r="M101" t="str">
            <v>1Z5063E0YW42153501</v>
          </cell>
        </row>
        <row r="102">
          <cell r="D102" t="str">
            <v>7818-06940</v>
          </cell>
          <cell r="M102" t="str">
            <v>1Z5063E0YW40205913</v>
          </cell>
        </row>
        <row r="103">
          <cell r="D103" t="str">
            <v>7818-23980</v>
          </cell>
          <cell r="M103" t="str">
            <v>1Z5063E0YW41982206</v>
          </cell>
        </row>
        <row r="104">
          <cell r="D104" t="str">
            <v>7818-11194</v>
          </cell>
          <cell r="M104" t="str">
            <v>1Z5063E0YW41810418</v>
          </cell>
        </row>
        <row r="105">
          <cell r="D105" t="str">
            <v>7818-23524</v>
          </cell>
          <cell r="M105" t="str">
            <v>1Z5063E0YW42237582</v>
          </cell>
        </row>
        <row r="106">
          <cell r="D106" t="str">
            <v>7818-22169</v>
          </cell>
          <cell r="M106" t="str">
            <v>1Z5063E0YW42296376</v>
          </cell>
        </row>
        <row r="107">
          <cell r="D107" t="str">
            <v>7818-03398</v>
          </cell>
          <cell r="M107" t="str">
            <v>1Z5063E0YW41147967</v>
          </cell>
        </row>
        <row r="108">
          <cell r="D108" t="str">
            <v>7818-23972</v>
          </cell>
          <cell r="M108" t="str">
            <v>1Z5063E0YW41273366</v>
          </cell>
        </row>
        <row r="109">
          <cell r="D109" t="str">
            <v>7823-02486</v>
          </cell>
          <cell r="M109" t="str">
            <v>1Z5063E0YW40089059</v>
          </cell>
        </row>
        <row r="110">
          <cell r="D110" t="str">
            <v>7812-02335</v>
          </cell>
          <cell r="M110" t="str">
            <v>1Z5063E0YW40805891</v>
          </cell>
        </row>
        <row r="111">
          <cell r="D111" t="str">
            <v>7812-03325</v>
          </cell>
          <cell r="M111" t="str">
            <v>1Z5063E0YW42020994</v>
          </cell>
        </row>
        <row r="112">
          <cell r="D112" t="str">
            <v>7818-19952</v>
          </cell>
          <cell r="M112" t="str">
            <v>1Z5063E0YW41342979</v>
          </cell>
        </row>
        <row r="113">
          <cell r="D113" t="str">
            <v>7818-23011</v>
          </cell>
          <cell r="M113" t="str">
            <v>1Z5063E0YW40458034</v>
          </cell>
        </row>
        <row r="114">
          <cell r="D114" t="str">
            <v>7818-24979</v>
          </cell>
          <cell r="M114" t="str">
            <v>1Z5063E0YW41250603</v>
          </cell>
        </row>
        <row r="115">
          <cell r="D115" t="str">
            <v>7812-03202</v>
          </cell>
          <cell r="M115" t="str">
            <v>1Z5063E0YW41669920</v>
          </cell>
        </row>
        <row r="116">
          <cell r="D116" t="str">
            <v>7818-10276</v>
          </cell>
          <cell r="M116" t="str">
            <v>1Z5063E0YW40672132</v>
          </cell>
        </row>
        <row r="117">
          <cell r="D117" t="str">
            <v>7818-11440</v>
          </cell>
          <cell r="M117" t="str">
            <v>1Z5063E0YW40536548</v>
          </cell>
        </row>
        <row r="118">
          <cell r="D118" t="str">
            <v>7818-20302</v>
          </cell>
          <cell r="M118" t="str">
            <v>1Z5063E0YW42396491</v>
          </cell>
        </row>
        <row r="119">
          <cell r="D119" t="str">
            <v>7818-10128</v>
          </cell>
          <cell r="M119" t="str">
            <v>1Z5063E0YW40036105</v>
          </cell>
        </row>
        <row r="120">
          <cell r="D120" t="str">
            <v>7812-01709</v>
          </cell>
          <cell r="M120" t="str">
            <v>1Z5063E0YW41646749</v>
          </cell>
        </row>
        <row r="121">
          <cell r="D121" t="str">
            <v>7810-01495</v>
          </cell>
          <cell r="M121" t="str">
            <v>1Z5063E0YW42260449</v>
          </cell>
        </row>
        <row r="122">
          <cell r="D122" t="str">
            <v>7810-01546</v>
          </cell>
          <cell r="M122" t="str">
            <v>9402 1118 9956 2927 6500 35</v>
          </cell>
        </row>
        <row r="123">
          <cell r="D123" t="str">
            <v>7818-21070</v>
          </cell>
          <cell r="M123" t="str">
            <v>9400 1118 9956 2902 0955 01</v>
          </cell>
        </row>
        <row r="124">
          <cell r="D124" t="str">
            <v>7818-21210</v>
          </cell>
          <cell r="M124" t="str">
            <v>9400 1111 0546 8891 5174 07</v>
          </cell>
        </row>
        <row r="125">
          <cell r="D125" t="str">
            <v>7818-24150</v>
          </cell>
          <cell r="M125" t="str">
            <v>9400 1118 9956 2962 5203 57</v>
          </cell>
        </row>
        <row r="126">
          <cell r="D126" t="str">
            <v>7818-23121</v>
          </cell>
          <cell r="M126" t="str">
            <v>9400 1118 9956 2968 3507 05</v>
          </cell>
        </row>
        <row r="127">
          <cell r="D127" t="str">
            <v>7818-16404</v>
          </cell>
          <cell r="M127" t="str">
            <v>1Z5063E0YW42324559</v>
          </cell>
        </row>
        <row r="128">
          <cell r="D128" t="str">
            <v>7812-00068</v>
          </cell>
          <cell r="M128" t="str">
            <v>1Z5063E0YW42403080</v>
          </cell>
        </row>
        <row r="129">
          <cell r="D129" t="str">
            <v>7818-21860</v>
          </cell>
          <cell r="M129" t="str">
            <v>1Z5063E0YW40267151</v>
          </cell>
        </row>
        <row r="130">
          <cell r="D130" t="str">
            <v>7818-18879</v>
          </cell>
          <cell r="M130" t="str">
            <v>1Z5063E0YW40261684</v>
          </cell>
        </row>
        <row r="131">
          <cell r="D131" t="str">
            <v>7818-24141</v>
          </cell>
          <cell r="M131" t="str">
            <v>1Z5063E0YW42392600</v>
          </cell>
        </row>
        <row r="132">
          <cell r="D132" t="str">
            <v>7823-01693</v>
          </cell>
          <cell r="M132" t="str">
            <v>1Z5063E0YW41773316</v>
          </cell>
        </row>
        <row r="133">
          <cell r="D133" t="str">
            <v>7823-02535</v>
          </cell>
          <cell r="M133" t="str">
            <v>1Z5063E0YW40895508</v>
          </cell>
        </row>
        <row r="134">
          <cell r="D134" t="str">
            <v>7818-06100</v>
          </cell>
          <cell r="M134" t="str">
            <v>1Z5063E0YW41987934</v>
          </cell>
        </row>
        <row r="135">
          <cell r="D135" t="str">
            <v>7818-20900</v>
          </cell>
          <cell r="M135" t="str">
            <v>1Z5063E0YW41308622</v>
          </cell>
        </row>
        <row r="136">
          <cell r="D136" t="str">
            <v>7815-00086</v>
          </cell>
          <cell r="M136" t="str">
            <v>1Z5063E0YW40523249</v>
          </cell>
        </row>
        <row r="137">
          <cell r="D137" t="str">
            <v>7818-23760</v>
          </cell>
          <cell r="M137" t="str">
            <v>1Z5063E0YW40549721</v>
          </cell>
        </row>
        <row r="138">
          <cell r="D138" t="str">
            <v>7823-02365</v>
          </cell>
          <cell r="M138" t="str">
            <v>1Z5063E0YW41392415</v>
          </cell>
        </row>
        <row r="139">
          <cell r="D139" t="str">
            <v>7819-00465</v>
          </cell>
          <cell r="M139" t="str">
            <v>1Z5063E0YW40808343</v>
          </cell>
        </row>
        <row r="140">
          <cell r="D140" t="str">
            <v>7818-14778</v>
          </cell>
          <cell r="M140" t="str">
            <v>1Z5063E0YW40544833</v>
          </cell>
        </row>
        <row r="141">
          <cell r="D141" t="str">
            <v>7810-01122</v>
          </cell>
          <cell r="M141" t="str">
            <v>1Z5063E0YW40674907</v>
          </cell>
        </row>
        <row r="142">
          <cell r="D142" t="str">
            <v>7810-01179</v>
          </cell>
          <cell r="M142" t="str">
            <v>1Z5063E0YW40015440</v>
          </cell>
        </row>
        <row r="143">
          <cell r="D143" t="str">
            <v>7818-15025</v>
          </cell>
          <cell r="M143" t="str">
            <v>1Z5063E0YW42362679</v>
          </cell>
        </row>
        <row r="144">
          <cell r="D144" t="str">
            <v>7818-23345</v>
          </cell>
          <cell r="M144" t="str">
            <v>1Z5063E0YW41418852</v>
          </cell>
        </row>
        <row r="145">
          <cell r="D145" t="str">
            <v>7818-22843</v>
          </cell>
          <cell r="M145" t="str">
            <v>1Z5063E0YW41213779</v>
          </cell>
        </row>
        <row r="146">
          <cell r="D146" t="str">
            <v>7818-18657</v>
          </cell>
          <cell r="M146" t="str">
            <v>1Z5063E0YW42502286</v>
          </cell>
        </row>
        <row r="147">
          <cell r="D147" t="str">
            <v>7812-02508</v>
          </cell>
          <cell r="M147" t="str">
            <v>1Z5063E0YW42875464</v>
          </cell>
        </row>
        <row r="148">
          <cell r="D148" t="str">
            <v>7818-21245</v>
          </cell>
          <cell r="M148" t="str">
            <v>1Z5063E0YW40193669</v>
          </cell>
        </row>
        <row r="149">
          <cell r="D149" t="str">
            <v>7818-21246</v>
          </cell>
          <cell r="M149" t="str">
            <v>1Z5063E0YW41883359</v>
          </cell>
        </row>
        <row r="150">
          <cell r="D150" t="str">
            <v>7812-03405</v>
          </cell>
          <cell r="M150" t="str">
            <v>9400 1111 0546 8891 7137 55</v>
          </cell>
        </row>
        <row r="151">
          <cell r="D151" t="str">
            <v>7812-01797</v>
          </cell>
          <cell r="M151" t="str">
            <v>1Z5063E0YW40875833</v>
          </cell>
        </row>
        <row r="152">
          <cell r="D152" t="str">
            <v>7810-01479</v>
          </cell>
          <cell r="M152" t="str">
            <v>1Z5063E0YW40321458</v>
          </cell>
        </row>
        <row r="153">
          <cell r="D153" t="str">
            <v>7823-02752</v>
          </cell>
          <cell r="M153" t="str">
            <v>1Z5063E0YW41274249</v>
          </cell>
        </row>
        <row r="154">
          <cell r="D154" t="str">
            <v>7818-24155</v>
          </cell>
          <cell r="M154" t="str">
            <v>1Z5063E0YW42607253</v>
          </cell>
        </row>
        <row r="155">
          <cell r="D155" t="str">
            <v>7818-05328</v>
          </cell>
          <cell r="M155" t="str">
            <v>1Z5063E0YW42607253</v>
          </cell>
        </row>
        <row r="156">
          <cell r="D156" t="str">
            <v>7818-07680</v>
          </cell>
          <cell r="M156" t="str">
            <v>1Z5063E0YW40839695</v>
          </cell>
        </row>
        <row r="157">
          <cell r="D157" t="str">
            <v>7818-24087</v>
          </cell>
          <cell r="M157" t="str">
            <v>1Z5063E0YW42944059</v>
          </cell>
        </row>
        <row r="158">
          <cell r="D158" t="str">
            <v>7823-02530</v>
          </cell>
          <cell r="M158" t="str">
            <v>1Z5063E0YW40895508</v>
          </cell>
        </row>
        <row r="159">
          <cell r="D159" t="str">
            <v>7818-24158</v>
          </cell>
          <cell r="M159" t="str">
            <v>1Z5063E0YW41169881</v>
          </cell>
        </row>
        <row r="160">
          <cell r="D160" t="str">
            <v>7823-02755</v>
          </cell>
          <cell r="M160" t="str">
            <v>1Z5063E0YW40619628</v>
          </cell>
        </row>
        <row r="161">
          <cell r="D161" t="str">
            <v>7818-25051</v>
          </cell>
          <cell r="M161" t="str">
            <v>1Z5063E0YW40323689</v>
          </cell>
        </row>
        <row r="162">
          <cell r="D162" t="str">
            <v>7818-23708</v>
          </cell>
          <cell r="M162" t="str">
            <v>1Z5063E0YW42637506</v>
          </cell>
        </row>
        <row r="163">
          <cell r="D163" t="str">
            <v>7829-00033/
7829-00034</v>
          </cell>
          <cell r="M163" t="str">
            <v>1Z5063E0YW41484843</v>
          </cell>
        </row>
        <row r="164">
          <cell r="D164" t="str">
            <v>7812-03288</v>
          </cell>
          <cell r="M164" t="str">
            <v>1Z5063E0YW42940544</v>
          </cell>
        </row>
        <row r="165">
          <cell r="D165" t="str">
            <v>7811-00223</v>
          </cell>
          <cell r="M165" t="str">
            <v>1Z5063E0YW42687079</v>
          </cell>
        </row>
        <row r="166">
          <cell r="D166" t="str">
            <v>7818-24156</v>
          </cell>
          <cell r="M166" t="str">
            <v>1Z5063E0YW41120477</v>
          </cell>
        </row>
        <row r="167">
          <cell r="D167" t="str">
            <v>7823-02213</v>
          </cell>
          <cell r="M167" t="str">
            <v>1Z5063E0YW42589185</v>
          </cell>
        </row>
        <row r="168">
          <cell r="D168" t="str">
            <v>7818-24711</v>
          </cell>
          <cell r="M168" t="str">
            <v>1Z5063E0YW40917805</v>
          </cell>
        </row>
        <row r="169">
          <cell r="D169" t="str">
            <v>7818-16879</v>
          </cell>
          <cell r="M169" t="str">
            <v>1Z5063E0YW40066207</v>
          </cell>
        </row>
        <row r="170">
          <cell r="D170" t="str">
            <v>7818-24157</v>
          </cell>
          <cell r="M170" t="str">
            <v>1Z5063E0YW42264196</v>
          </cell>
        </row>
        <row r="171">
          <cell r="D171" t="str">
            <v>7812-03406</v>
          </cell>
          <cell r="M171" t="str">
            <v>1Z5063E0YW40518933</v>
          </cell>
        </row>
        <row r="172">
          <cell r="D172" t="str">
            <v>7812-03409</v>
          </cell>
          <cell r="M172" t="str">
            <v>1Z5063E0YW42939298</v>
          </cell>
        </row>
        <row r="173">
          <cell r="D173" t="str">
            <v>7812-02500</v>
          </cell>
          <cell r="M173" t="str">
            <v>1Z5063E0YW41660714</v>
          </cell>
        </row>
        <row r="174">
          <cell r="D174" t="str">
            <v>7818-07810</v>
          </cell>
          <cell r="M174" t="str">
            <v>1Z5063E0YW42228261</v>
          </cell>
        </row>
        <row r="175">
          <cell r="D175" t="str">
            <v>7818-17729</v>
          </cell>
          <cell r="M175" t="str">
            <v>1Z5063E0YW42482763</v>
          </cell>
        </row>
        <row r="176">
          <cell r="D176" t="str">
            <v>7823-02538</v>
          </cell>
          <cell r="M176" t="str">
            <v>1Z5063E0YW42988486</v>
          </cell>
        </row>
        <row r="177">
          <cell r="D177" t="str">
            <v>7812-03286</v>
          </cell>
          <cell r="M177" t="str">
            <v>1Z5063E0YW42400494</v>
          </cell>
        </row>
        <row r="178">
          <cell r="D178" t="str">
            <v>7812-01624</v>
          </cell>
          <cell r="M178" t="str">
            <v>1Z5063E0YW40025359</v>
          </cell>
        </row>
        <row r="179">
          <cell r="D179" t="str">
            <v>7818-09294</v>
          </cell>
          <cell r="M179" t="str">
            <v>1Z5063E0YW41769278</v>
          </cell>
        </row>
        <row r="180">
          <cell r="D180" t="str">
            <v>7818-21826</v>
          </cell>
          <cell r="M180" t="str">
            <v>1Z5063E0YW41396135</v>
          </cell>
        </row>
        <row r="181">
          <cell r="D181" t="str">
            <v>7818-19119</v>
          </cell>
          <cell r="M181" t="str">
            <v>1Z5063E0YW40630169</v>
          </cell>
        </row>
        <row r="182">
          <cell r="D182" t="str">
            <v>7818-21806</v>
          </cell>
          <cell r="M182" t="str">
            <v>1Z5063E0YW42927327</v>
          </cell>
        </row>
        <row r="183">
          <cell r="D183" t="str">
            <v>7818-19571</v>
          </cell>
          <cell r="M183" t="str">
            <v>1Z5063E0YW41930422</v>
          </cell>
        </row>
        <row r="184">
          <cell r="D184" t="str">
            <v>7818-21859</v>
          </cell>
          <cell r="M184" t="str">
            <v>1Z5063E0YW42866045</v>
          </cell>
        </row>
        <row r="185">
          <cell r="D185" t="str">
            <v>7818-01624</v>
          </cell>
          <cell r="M185" t="str">
            <v>1Z5063E0YW40727083</v>
          </cell>
        </row>
        <row r="186">
          <cell r="D186" t="str">
            <v>7810-01547</v>
          </cell>
          <cell r="M186" t="str">
            <v>1Z5063E0YW42875464</v>
          </cell>
        </row>
        <row r="187">
          <cell r="D187" t="str">
            <v>7812-01236</v>
          </cell>
          <cell r="M187" t="str">
            <v>1Z5063E0YW41650743</v>
          </cell>
        </row>
        <row r="188">
          <cell r="D188" t="str">
            <v>7824-00064</v>
          </cell>
          <cell r="M188" t="str">
            <v>1Z5063E0YW42369912</v>
          </cell>
        </row>
        <row r="189">
          <cell r="D189" t="str">
            <v>7818-04934</v>
          </cell>
          <cell r="M189" t="str">
            <v>1Z5063E0YW40695877</v>
          </cell>
        </row>
        <row r="190">
          <cell r="D190" t="str">
            <v>7818-18267</v>
          </cell>
          <cell r="M190" t="str">
            <v>1Z5063E0YW42320106</v>
          </cell>
        </row>
        <row r="191">
          <cell r="D191" t="str">
            <v>7812-10351</v>
          </cell>
          <cell r="M191" t="str">
            <v>1Z5063E0YW40586593</v>
          </cell>
        </row>
        <row r="192">
          <cell r="D192" t="str">
            <v>7812-02064</v>
          </cell>
          <cell r="M192" t="str">
            <v>1Z5063E0YW41037362</v>
          </cell>
        </row>
        <row r="193">
          <cell r="D193" t="str">
            <v>7818-24978</v>
          </cell>
          <cell r="M193" t="str">
            <v>1Z5063E0YW41382864</v>
          </cell>
        </row>
        <row r="194">
          <cell r="D194" t="str">
            <v>7818-14698</v>
          </cell>
          <cell r="M194" t="str">
            <v>1Z5063E0YW40689946</v>
          </cell>
        </row>
        <row r="195">
          <cell r="D195" t="str">
            <v>7818-20268</v>
          </cell>
          <cell r="M195" t="str">
            <v>1Z5063E0YW41955316</v>
          </cell>
        </row>
        <row r="196">
          <cell r="D196" t="str">
            <v>7818-10352</v>
          </cell>
          <cell r="M196" t="str">
            <v>1Z5063E0YW42540379</v>
          </cell>
        </row>
        <row r="197">
          <cell r="D197" t="str">
            <v>7818-16336</v>
          </cell>
          <cell r="M197" t="str">
            <v>1Z5063E0YW42009891</v>
          </cell>
        </row>
        <row r="198">
          <cell r="D198" t="str">
            <v>7818-16708</v>
          </cell>
          <cell r="M198" t="str">
            <v>1Z5063E0YW42997538</v>
          </cell>
        </row>
        <row r="199">
          <cell r="D199" t="str">
            <v>7810-00573</v>
          </cell>
          <cell r="M199" t="str">
            <v>1Z5063E0YW42184675</v>
          </cell>
        </row>
        <row r="200">
          <cell r="D200" t="str">
            <v>7810-01400</v>
          </cell>
          <cell r="M200" t="str">
            <v>1Z5063E0YW42142479</v>
          </cell>
        </row>
        <row r="201">
          <cell r="D201" t="str">
            <v>7823-02807</v>
          </cell>
          <cell r="M201" t="str">
            <v>1Z5063E0YW41111638</v>
          </cell>
        </row>
        <row r="202">
          <cell r="D202" t="str">
            <v>7812-01880</v>
          </cell>
          <cell r="M202" t="str">
            <v>1Z5063E0YW41784751</v>
          </cell>
        </row>
        <row r="203">
          <cell r="D203" t="str">
            <v>7812-02780</v>
          </cell>
          <cell r="M203" t="str">
            <v>1Z5063E0YW42722708</v>
          </cell>
        </row>
        <row r="204">
          <cell r="D204" t="str">
            <v>7812-02183</v>
          </cell>
          <cell r="M204" t="str">
            <v>1Z5063E0YW42641297</v>
          </cell>
        </row>
        <row r="205">
          <cell r="D205" t="str">
            <v>7812-02060</v>
          </cell>
          <cell r="M205" t="str">
            <v>1Z5063E0YW40031888</v>
          </cell>
        </row>
        <row r="206">
          <cell r="D206" t="str">
            <v>7812-03429</v>
          </cell>
          <cell r="M206" t="str">
            <v>1Z5063E0YW42019424</v>
          </cell>
        </row>
        <row r="207">
          <cell r="D207" t="str">
            <v>7812-03416</v>
          </cell>
          <cell r="M207" t="str">
            <v>1Z5063E0YW41111094</v>
          </cell>
        </row>
        <row r="208">
          <cell r="D208" t="str">
            <v>7812-02065</v>
          </cell>
          <cell r="M208" t="str">
            <v>1Z5063E0YW42265417</v>
          </cell>
        </row>
        <row r="209">
          <cell r="D209" t="str">
            <v>7812-02865</v>
          </cell>
          <cell r="M209" t="str">
            <v>1Z5063E0YW41829784</v>
          </cell>
        </row>
        <row r="210">
          <cell r="D210" t="str">
            <v>7818-21876</v>
          </cell>
          <cell r="M210" t="str">
            <v>1Z5063E0YW40286658</v>
          </cell>
        </row>
        <row r="211">
          <cell r="D211" t="str">
            <v>7818-09300</v>
          </cell>
          <cell r="M211" t="str">
            <v>1Z5063E0YW40212165</v>
          </cell>
        </row>
        <row r="212">
          <cell r="D212" t="str">
            <v>7818-10363</v>
          </cell>
          <cell r="M212" t="str">
            <v>1Z5063E0YW40385685</v>
          </cell>
        </row>
        <row r="213">
          <cell r="D213" t="str">
            <v>7818-12002</v>
          </cell>
          <cell r="M213" t="str">
            <v>1Z5063E0YW42330800</v>
          </cell>
        </row>
        <row r="214">
          <cell r="D214" t="str">
            <v>7818-01192</v>
          </cell>
          <cell r="M214" t="str">
            <v>1Z5063E0YW41167356</v>
          </cell>
        </row>
        <row r="215">
          <cell r="D215" t="str">
            <v>7818-10364</v>
          </cell>
          <cell r="M215" t="str">
            <v>1Z5063E0YW40657462</v>
          </cell>
        </row>
        <row r="216">
          <cell r="D216" t="str">
            <v>7818-24100</v>
          </cell>
          <cell r="M216" t="str">
            <v>1Z5063E0YW40465795</v>
          </cell>
        </row>
        <row r="217">
          <cell r="D217" t="str">
            <v>7818-19396</v>
          </cell>
          <cell r="M217" t="str">
            <v>1Z5063E0YW41978257</v>
          </cell>
        </row>
        <row r="218">
          <cell r="D218" t="str">
            <v>7810-00957</v>
          </cell>
          <cell r="M218" t="str">
            <v>1Z5063E0YW42247213</v>
          </cell>
        </row>
        <row r="219">
          <cell r="D219" t="str">
            <v>7810-00672</v>
          </cell>
          <cell r="M219" t="str">
            <v>1Z5063E0YW40608201</v>
          </cell>
        </row>
        <row r="220">
          <cell r="D220" t="str">
            <v>7818-23357</v>
          </cell>
          <cell r="M220" t="str">
            <v>1Z5063E0YW41210263</v>
          </cell>
        </row>
        <row r="221">
          <cell r="D221" t="str">
            <v>7818-22606</v>
          </cell>
          <cell r="M221" t="str">
            <v>1Z5063E0YW42030232</v>
          </cell>
        </row>
        <row r="222">
          <cell r="D222" t="str">
            <v>7818-11746</v>
          </cell>
          <cell r="M222" t="str">
            <v>1Z5063E0YW41284336</v>
          </cell>
        </row>
        <row r="223">
          <cell r="D223" t="str">
            <v>7818-21740</v>
          </cell>
          <cell r="M223" t="str">
            <v>1Z5063E0YW41217195</v>
          </cell>
        </row>
        <row r="224">
          <cell r="D224" t="str">
            <v>7812-02972</v>
          </cell>
          <cell r="M224" t="str">
            <v>1Z5063E0YW41217042</v>
          </cell>
        </row>
        <row r="225">
          <cell r="D225" t="str">
            <v>7818-21819</v>
          </cell>
          <cell r="M225" t="str">
            <v>1Z5063E0YW41162379</v>
          </cell>
        </row>
        <row r="226">
          <cell r="D226" t="str">
            <v>7818-23901</v>
          </cell>
          <cell r="M226" t="str">
            <v>1Z5063E0YW41036649</v>
          </cell>
        </row>
        <row r="227">
          <cell r="D227" t="str">
            <v>7818-21882</v>
          </cell>
          <cell r="M227" t="str">
            <v>1Z5063E0YW42886050</v>
          </cell>
        </row>
        <row r="228">
          <cell r="D228" t="str">
            <v>7812-03047</v>
          </cell>
          <cell r="M228" t="str">
            <v>1Z5063E0YW40152748</v>
          </cell>
        </row>
        <row r="229">
          <cell r="D229" t="str">
            <v>7818-25063</v>
          </cell>
          <cell r="M229" t="str">
            <v>1Z5063E0YW41223580</v>
          </cell>
        </row>
        <row r="230">
          <cell r="D230" t="str">
            <v>7818-24190</v>
          </cell>
          <cell r="M230" t="str">
            <v>1Z5063E0YW40526022</v>
          </cell>
        </row>
        <row r="231">
          <cell r="D231" t="str">
            <v>7818-01481</v>
          </cell>
          <cell r="M231" t="str">
            <v>1Z5063E0YW42042630</v>
          </cell>
        </row>
        <row r="232">
          <cell r="D232" t="str">
            <v>7818-17710</v>
          </cell>
          <cell r="M232" t="str">
            <v>1Z5063E0YW42419368</v>
          </cell>
        </row>
        <row r="233">
          <cell r="D233" t="str">
            <v>7818-22372</v>
          </cell>
          <cell r="M233" t="str">
            <v>1Z5063E0YW40497386</v>
          </cell>
        </row>
        <row r="234">
          <cell r="D234" t="str">
            <v>7818-24540</v>
          </cell>
          <cell r="M234" t="str">
            <v>1Z5063E0YW40400014</v>
          </cell>
        </row>
        <row r="235">
          <cell r="D235" t="str">
            <v>7818-00367</v>
          </cell>
          <cell r="M235" t="str">
            <v>1Z5063E0YW42610221</v>
          </cell>
        </row>
        <row r="236">
          <cell r="D236" t="str">
            <v>7818-21707</v>
          </cell>
          <cell r="M236" t="str">
            <v>1Z5063E0YW42158435</v>
          </cell>
        </row>
        <row r="237">
          <cell r="D237" t="str">
            <v>7818-20257</v>
          </cell>
          <cell r="M237" t="str">
            <v>1Z5063E0YW41920219</v>
          </cell>
        </row>
        <row r="238">
          <cell r="D238" t="str">
            <v>7823-02522</v>
          </cell>
          <cell r="M238" t="str">
            <v>1Z5063E0YW41941116</v>
          </cell>
        </row>
        <row r="239">
          <cell r="D239" t="str">
            <v>7823-02278</v>
          </cell>
          <cell r="M239" t="str">
            <v>1Z5063E0YW41615335</v>
          </cell>
        </row>
        <row r="240">
          <cell r="D240" t="str">
            <v>7818-16306</v>
          </cell>
          <cell r="M240" t="str">
            <v>1Z5063E0YW42120135</v>
          </cell>
        </row>
        <row r="241">
          <cell r="D241" t="str">
            <v>7818-14584</v>
          </cell>
          <cell r="M241" t="str">
            <v>1Z5063E0YW41444403</v>
          </cell>
        </row>
        <row r="242">
          <cell r="D242" t="str">
            <v>7818-14697</v>
          </cell>
          <cell r="M242" t="str">
            <v>1Z5063E0YW40903749</v>
          </cell>
        </row>
        <row r="243">
          <cell r="D243" t="str">
            <v>7818-20885</v>
          </cell>
          <cell r="M243" t="str">
            <v>1Z5063E0YW40288843</v>
          </cell>
        </row>
        <row r="244">
          <cell r="D244" t="str">
            <v>7823-01945</v>
          </cell>
          <cell r="M244" t="str">
            <v>1Z5063E0YW41405455</v>
          </cell>
        </row>
        <row r="245">
          <cell r="D245" t="str">
            <v>7823-02858</v>
          </cell>
          <cell r="M245" t="str">
            <v>1Z5063E0YW40036614</v>
          </cell>
        </row>
        <row r="246">
          <cell r="D246" t="str">
            <v>7812-00697</v>
          </cell>
          <cell r="M246" t="str">
            <v>1Z5063E0YW42268772</v>
          </cell>
        </row>
        <row r="247">
          <cell r="D247" t="str">
            <v>7818-14639</v>
          </cell>
          <cell r="M247" t="str">
            <v>1Z5063E0YW42092550</v>
          </cell>
        </row>
        <row r="248">
          <cell r="D248" t="str">
            <v>7818-10354</v>
          </cell>
          <cell r="M248" t="str">
            <v>1Z5063E0YW40192268</v>
          </cell>
        </row>
        <row r="249">
          <cell r="D249" t="str">
            <v>7823-02088</v>
          </cell>
          <cell r="M249" t="str">
            <v>1Z5063E0YW40755883</v>
          </cell>
        </row>
        <row r="250">
          <cell r="D250" t="str">
            <v>7815-00095</v>
          </cell>
          <cell r="M250" t="str">
            <v>1Z5063E0YW40801368</v>
          </cell>
        </row>
        <row r="251">
          <cell r="D251" t="str">
            <v>7815-00089</v>
          </cell>
          <cell r="M251" t="str">
            <v>1Z5063E0YW42239848</v>
          </cell>
        </row>
        <row r="252">
          <cell r="D252" t="str">
            <v>7818-18173</v>
          </cell>
          <cell r="M252" t="str">
            <v>1Z5063E0YW42272801</v>
          </cell>
        </row>
        <row r="253">
          <cell r="D253" t="str">
            <v>7818-22228</v>
          </cell>
          <cell r="M253" t="str">
            <v>1Z5063E0YW42807000</v>
          </cell>
        </row>
        <row r="254">
          <cell r="D254" t="str">
            <v>7818-22585</v>
          </cell>
          <cell r="M254" t="str">
            <v>1Z5063E0YW40868921</v>
          </cell>
        </row>
        <row r="255">
          <cell r="D255" t="str">
            <v>7818-16816</v>
          </cell>
          <cell r="M255" t="str">
            <v>1Z5063E0YW40174626</v>
          </cell>
        </row>
        <row r="256">
          <cell r="D256" t="str">
            <v>7818-09878</v>
          </cell>
          <cell r="M256" t="str">
            <v>1Z5063E0YW41705818</v>
          </cell>
        </row>
        <row r="257">
          <cell r="D257" t="str">
            <v>7818-23202</v>
          </cell>
          <cell r="M257" t="str">
            <v>1Z5063E0YW41614818</v>
          </cell>
        </row>
        <row r="258">
          <cell r="D258" t="str">
            <v>7818-24106</v>
          </cell>
          <cell r="M258" t="str">
            <v>1Z5063E0YW41614818</v>
          </cell>
        </row>
        <row r="259">
          <cell r="D259" t="str">
            <v>7824-00373</v>
          </cell>
          <cell r="M259" t="str">
            <v>1Z5063E0YW42028996</v>
          </cell>
        </row>
        <row r="260">
          <cell r="D260" t="str">
            <v>7824-00311</v>
          </cell>
          <cell r="M260" t="str">
            <v>1Z5063E0YW42530835</v>
          </cell>
        </row>
        <row r="261">
          <cell r="D261" t="str">
            <v>7818-17559</v>
          </cell>
          <cell r="M261" t="str">
            <v>1Z5063E0YW42861835</v>
          </cell>
        </row>
        <row r="262">
          <cell r="D262" t="str">
            <v>7818-22227</v>
          </cell>
          <cell r="M262" t="str">
            <v>1Z5063E0YW41269120</v>
          </cell>
        </row>
        <row r="263">
          <cell r="D263" t="str">
            <v>7818-11126</v>
          </cell>
          <cell r="M263" t="str">
            <v>1Z5063E0YW41519190</v>
          </cell>
        </row>
        <row r="264">
          <cell r="D264" t="str">
            <v>7818-19169</v>
          </cell>
          <cell r="M264" t="str">
            <v>1Z5063E0YW41806156</v>
          </cell>
        </row>
        <row r="265">
          <cell r="D265" t="str">
            <v>7818-23983</v>
          </cell>
          <cell r="M265" t="str">
            <v>1Z5063E0YW40876823</v>
          </cell>
        </row>
        <row r="266">
          <cell r="D266" t="str">
            <v>7823-02147</v>
          </cell>
          <cell r="M266" t="str">
            <v>1Z5063E0YW41186479</v>
          </cell>
        </row>
        <row r="267">
          <cell r="D267" t="str">
            <v>7818-02437</v>
          </cell>
          <cell r="M267" t="str">
            <v>1Z5063E0YW41489393</v>
          </cell>
        </row>
        <row r="268">
          <cell r="D268" t="str">
            <v>7810-01616</v>
          </cell>
          <cell r="M268" t="str">
            <v>1Z5063E0YW40170193</v>
          </cell>
        </row>
        <row r="269">
          <cell r="D269" t="str">
            <v>7133-00069</v>
          </cell>
          <cell r="M269" t="str">
            <v>1Z5063E0YW41811953</v>
          </cell>
        </row>
        <row r="270">
          <cell r="D270" t="str">
            <v>7810-00598</v>
          </cell>
          <cell r="M270" t="str">
            <v>1Z5063E0YW41939665</v>
          </cell>
        </row>
        <row r="271">
          <cell r="D271" t="str">
            <v>7810-01375</v>
          </cell>
          <cell r="M271" t="str">
            <v>1Z5063E0YW40678001</v>
          </cell>
        </row>
        <row r="272">
          <cell r="D272" t="str">
            <v>7810-00596</v>
          </cell>
          <cell r="M272" t="str">
            <v>1Z5063E0YW42045299</v>
          </cell>
        </row>
        <row r="273">
          <cell r="D273" t="str">
            <v>7818-22307</v>
          </cell>
          <cell r="M273" t="str">
            <v>1Z5063E0YW41879775</v>
          </cell>
        </row>
        <row r="274">
          <cell r="D274" t="str">
            <v>7818-12432</v>
          </cell>
          <cell r="M274" t="str">
            <v>1Z5063E0YW42410312</v>
          </cell>
        </row>
        <row r="275">
          <cell r="D275" t="str">
            <v>7818-22536</v>
          </cell>
          <cell r="M275" t="str">
            <v>1Z5063E0YW42824910</v>
          </cell>
        </row>
        <row r="276">
          <cell r="D276" t="str">
            <v>7818-21648</v>
          </cell>
          <cell r="M276" t="str">
            <v>1Z5063E0YW42540397</v>
          </cell>
        </row>
        <row r="277">
          <cell r="D277" t="str">
            <v>7818-24200</v>
          </cell>
          <cell r="M277" t="str">
            <v>1Z5063E0YW42780244</v>
          </cell>
        </row>
        <row r="278">
          <cell r="D278" t="str">
            <v>7818-24103</v>
          </cell>
          <cell r="M278" t="str">
            <v>1Z5063E0YW41208981</v>
          </cell>
        </row>
        <row r="279">
          <cell r="D279" t="str">
            <v>7818-24658</v>
          </cell>
          <cell r="M279" t="str">
            <v>1Z5063E0YW40695546</v>
          </cell>
        </row>
        <row r="280">
          <cell r="D280" t="str">
            <v>7818-17290</v>
          </cell>
          <cell r="M280" t="str">
            <v>1Z5063E0YW42428769</v>
          </cell>
        </row>
        <row r="281">
          <cell r="D281" t="str">
            <v>7818-10357</v>
          </cell>
          <cell r="M281" t="str">
            <v>1Z5063E0YW40051133</v>
          </cell>
        </row>
        <row r="282">
          <cell r="D282" t="str">
            <v>7818-24977</v>
          </cell>
          <cell r="M282" t="str">
            <v>1Z5063E0YW42587829</v>
          </cell>
        </row>
        <row r="283">
          <cell r="D283" t="str">
            <v>7812-01TTT</v>
          </cell>
          <cell r="M283" t="str">
            <v>1Z5063E0YW41655499</v>
          </cell>
        </row>
        <row r="284">
          <cell r="D284" t="str">
            <v>7824-00318</v>
          </cell>
          <cell r="M284" t="str">
            <v>1Z5063E0YW42390595</v>
          </cell>
        </row>
        <row r="285">
          <cell r="D285" t="str">
            <v>7811-00214</v>
          </cell>
          <cell r="M285" t="str">
            <v>1Z5063E0YW41441979</v>
          </cell>
        </row>
        <row r="286">
          <cell r="D286" t="str">
            <v>7823-02732</v>
          </cell>
          <cell r="M286" t="str">
            <v>1Z5063E0YW41666969</v>
          </cell>
        </row>
        <row r="287">
          <cell r="D287" t="str">
            <v>7818-20472</v>
          </cell>
          <cell r="M287" t="str">
            <v>1Z5063E0YW40768039</v>
          </cell>
        </row>
        <row r="288">
          <cell r="D288" t="str">
            <v>7818-23967</v>
          </cell>
          <cell r="M288" t="str">
            <v>1Z5063E0YW42775189</v>
          </cell>
        </row>
        <row r="289">
          <cell r="D289" t="str">
            <v>7811-00076</v>
          </cell>
          <cell r="M289" t="str">
            <v>1Z5063E0YW40337861</v>
          </cell>
        </row>
        <row r="290">
          <cell r="D290" t="str">
            <v>7810-01620</v>
          </cell>
          <cell r="M290" t="str">
            <v>1Z5063E0YW40882085</v>
          </cell>
        </row>
        <row r="291">
          <cell r="D291" t="str">
            <v>7810-01562</v>
          </cell>
          <cell r="M291" t="str">
            <v>1Z5063E0YW40675102</v>
          </cell>
        </row>
        <row r="292">
          <cell r="D292" t="str">
            <v>7812-03090</v>
          </cell>
          <cell r="M292" t="str">
            <v>1Z5063E0YW42799056</v>
          </cell>
        </row>
        <row r="293">
          <cell r="D293" t="str">
            <v>7812-03323</v>
          </cell>
          <cell r="M293" t="str">
            <v>1Z5063E0YW42799056</v>
          </cell>
        </row>
        <row r="294">
          <cell r="D294" t="str">
            <v>7812-03408</v>
          </cell>
          <cell r="M294" t="str">
            <v>1Z5063E0YW41750877</v>
          </cell>
        </row>
        <row r="295">
          <cell r="D295" t="str">
            <v>7812-02336</v>
          </cell>
          <cell r="M295" t="str">
            <v>1Z5063E0YW41692207</v>
          </cell>
        </row>
        <row r="296">
          <cell r="D296" t="str">
            <v>7810-01712</v>
          </cell>
          <cell r="M296" t="str">
            <v>1Z5063E0YW41364017</v>
          </cell>
        </row>
        <row r="297">
          <cell r="D297" t="str">
            <v>7810-00238</v>
          </cell>
          <cell r="M297" t="str">
            <v>9400 1112 0620 7811 7333 30</v>
          </cell>
        </row>
        <row r="298">
          <cell r="D298" t="str">
            <v>7818-17569</v>
          </cell>
          <cell r="M298" t="str">
            <v>9400 1112 0620 7811 5580 70</v>
          </cell>
        </row>
        <row r="299">
          <cell r="D299" t="str">
            <v>7823-01300</v>
          </cell>
          <cell r="M299" t="str">
            <v>1Z5063E0YW40464483</v>
          </cell>
        </row>
        <row r="300">
          <cell r="D300" t="str">
            <v>7818-23985</v>
          </cell>
          <cell r="M300" t="str">
            <v>1Z5063E0YW41658745</v>
          </cell>
        </row>
        <row r="301">
          <cell r="D301" t="str">
            <v>7812-03403</v>
          </cell>
          <cell r="M301" t="str">
            <v>9400 1112 0620 7868 9604 06</v>
          </cell>
        </row>
        <row r="302">
          <cell r="D302" t="str">
            <v>7818-19653</v>
          </cell>
          <cell r="M302" t="str">
            <v>1Z5063E0YW42422792</v>
          </cell>
        </row>
        <row r="303">
          <cell r="D303" t="str">
            <v>7818-09187</v>
          </cell>
          <cell r="M303" t="str">
            <v>9400 1112 0620 7844 0197 08</v>
          </cell>
        </row>
        <row r="304">
          <cell r="D304" t="str">
            <v>7818-09421</v>
          </cell>
          <cell r="M304" t="str">
            <v>9400 1112 0620 7849 9889 48</v>
          </cell>
        </row>
        <row r="305">
          <cell r="D305" t="str">
            <v>7818-10356</v>
          </cell>
          <cell r="M305" t="str">
            <v>9400 1112 0620 7860 2107 38</v>
          </cell>
        </row>
        <row r="306">
          <cell r="D306" t="str">
            <v>7823-02012</v>
          </cell>
          <cell r="M306" t="str">
            <v>9400 1112 0620 7844 0749 29</v>
          </cell>
        </row>
        <row r="307">
          <cell r="D307" t="str">
            <v>7818-11959</v>
          </cell>
          <cell r="M307" t="str">
            <v>1Z5063E0YW40323045</v>
          </cell>
        </row>
        <row r="308">
          <cell r="D308" t="str">
            <v>7818-19915</v>
          </cell>
          <cell r="M308" t="str">
            <v>1Z5063E0YW40083386</v>
          </cell>
        </row>
        <row r="309">
          <cell r="D309" t="str">
            <v>7818-19916</v>
          </cell>
          <cell r="M309" t="str">
            <v>1Z5063E0YW41219479</v>
          </cell>
        </row>
        <row r="310">
          <cell r="D310" t="str">
            <v>7818-23752</v>
          </cell>
          <cell r="M310" t="str">
            <v>1Z5063E0YW41156260</v>
          </cell>
        </row>
        <row r="311">
          <cell r="D311" t="str">
            <v>7818-10360</v>
          </cell>
          <cell r="M311" t="str">
            <v>1Z5063E0YW42559636</v>
          </cell>
        </row>
        <row r="312">
          <cell r="D312" t="str">
            <v>7818-15857</v>
          </cell>
          <cell r="M312" t="str">
            <v>1Z5063E0YW40367347</v>
          </cell>
        </row>
        <row r="313">
          <cell r="D313" t="str">
            <v>7818-10358</v>
          </cell>
          <cell r="M313" t="str">
            <v>1Z5063E0YW41970022</v>
          </cell>
        </row>
        <row r="314">
          <cell r="D314" t="str">
            <v>7818-23072</v>
          </cell>
          <cell r="M314" t="str">
            <v>1Z5063E0YW42712273</v>
          </cell>
        </row>
        <row r="315">
          <cell r="D315" t="str">
            <v>7818-10359</v>
          </cell>
          <cell r="M315" t="str">
            <v>1Z5063E0YW41657273</v>
          </cell>
        </row>
        <row r="316">
          <cell r="D316" t="str">
            <v>7818-24835</v>
          </cell>
          <cell r="M316" t="str">
            <v>1Z5063E0YW42167167</v>
          </cell>
        </row>
        <row r="317">
          <cell r="D317" t="str">
            <v>7818-23737</v>
          </cell>
          <cell r="M317" t="str">
            <v>1Z5063E0YW42282434</v>
          </cell>
        </row>
        <row r="318">
          <cell r="D318" t="str">
            <v>7818-23443</v>
          </cell>
          <cell r="M318" t="str">
            <v>1Z5063E0YW42292861</v>
          </cell>
        </row>
        <row r="319">
          <cell r="D319" t="str">
            <v>7818-15315</v>
          </cell>
          <cell r="M319" t="str">
            <v>1Z5063E0YW40484210</v>
          </cell>
        </row>
        <row r="320">
          <cell r="D320" t="str">
            <v>7818-01694</v>
          </cell>
          <cell r="M320" t="str">
            <v>1Z5063E0YW40106173</v>
          </cell>
        </row>
        <row r="321">
          <cell r="D321" t="str">
            <v>7818-23123</v>
          </cell>
          <cell r="M321" t="str">
            <v>1Z5063E0YW41022350</v>
          </cell>
        </row>
        <row r="322">
          <cell r="D322" t="str">
            <v>7818-21856</v>
          </cell>
          <cell r="M322" t="str">
            <v>1Z5063E0YW40128408</v>
          </cell>
        </row>
        <row r="323">
          <cell r="D323" t="str">
            <v>7818-24879</v>
          </cell>
          <cell r="M323" t="str">
            <v>1Z5063E0YW40485979</v>
          </cell>
        </row>
        <row r="324">
          <cell r="D324" t="str">
            <v>7818-24880</v>
          </cell>
          <cell r="M324" t="str">
            <v>1Z5063E0YW41654221</v>
          </cell>
        </row>
        <row r="325">
          <cell r="D325" t="str">
            <v>7823-02175</v>
          </cell>
          <cell r="M325" t="str">
            <v>1Z5063E0YW40416061</v>
          </cell>
        </row>
        <row r="326">
          <cell r="D326" t="str">
            <v>7818-16937</v>
          </cell>
          <cell r="M326" t="str">
            <v>1Z5063E0YW42092845</v>
          </cell>
        </row>
        <row r="327">
          <cell r="D327" t="str">
            <v>7818-21737</v>
          </cell>
          <cell r="M327" t="str">
            <v>1Z5063E0YW41410761</v>
          </cell>
        </row>
        <row r="328">
          <cell r="D328" t="str">
            <v>7818-23662</v>
          </cell>
          <cell r="M328" t="str">
            <v>1Z5063E0YW42240649</v>
          </cell>
        </row>
        <row r="329">
          <cell r="D329" t="str">
            <v>7812-02862</v>
          </cell>
          <cell r="M329" t="str">
            <v>1Z5063E0YW41833251</v>
          </cell>
        </row>
        <row r="330">
          <cell r="D330" t="str">
            <v>7818-24083</v>
          </cell>
          <cell r="M330" t="str">
            <v>1Z5063E0YW40209580</v>
          </cell>
        </row>
        <row r="331">
          <cell r="D331" t="str">
            <v>7812-03048</v>
          </cell>
          <cell r="M331" t="str">
            <v>1Z5063E0YW42489453</v>
          </cell>
        </row>
        <row r="332">
          <cell r="D332" t="str">
            <v>7818-19183</v>
          </cell>
          <cell r="M332" t="str">
            <v>1Z5063E0YW41619706</v>
          </cell>
        </row>
        <row r="333">
          <cell r="D333" t="str">
            <v>7818-20502</v>
          </cell>
          <cell r="M333" t="str">
            <v>1Z5063E0YW42341512</v>
          </cell>
        </row>
        <row r="334">
          <cell r="D334" t="str">
            <v>7810-01508</v>
          </cell>
          <cell r="M334" t="str">
            <v>1Z5063E0YW42102600</v>
          </cell>
        </row>
        <row r="335">
          <cell r="D335" t="str">
            <v>7818-21885</v>
          </cell>
          <cell r="M335" t="str">
            <v>1Z5063E0YW41581283</v>
          </cell>
        </row>
        <row r="336">
          <cell r="D336" t="str">
            <v>7818-22682</v>
          </cell>
          <cell r="M336" t="str">
            <v>1Z5063E0YW41642396</v>
          </cell>
        </row>
        <row r="337">
          <cell r="D337" t="str">
            <v>7823-01150</v>
          </cell>
          <cell r="M337" t="str">
            <v>1Z5063E0YW41396420</v>
          </cell>
        </row>
        <row r="338">
          <cell r="D338" t="str">
            <v>7812-03181</v>
          </cell>
          <cell r="M338" t="str">
            <v>1Z5063E0YW42353956</v>
          </cell>
        </row>
        <row r="339">
          <cell r="D339" t="str">
            <v>7812-00714</v>
          </cell>
          <cell r="M339" t="str">
            <v>1Z5063E0YW42470981</v>
          </cell>
        </row>
        <row r="340">
          <cell r="D340" t="str">
            <v>7812-03335</v>
          </cell>
          <cell r="M340" t="str">
            <v>1Z5063E0YW42302411</v>
          </cell>
        </row>
        <row r="341">
          <cell r="D341" t="str">
            <v>7812-03426</v>
          </cell>
          <cell r="M341" t="str">
            <v>1Z5063E0YW41650378</v>
          </cell>
        </row>
        <row r="342">
          <cell r="D342" t="str">
            <v>7818-04214</v>
          </cell>
          <cell r="M342" t="str">
            <v>1Z5063E0YW42032990</v>
          </cell>
        </row>
        <row r="343">
          <cell r="D343" t="str">
            <v>7818-10446</v>
          </cell>
          <cell r="M343" t="str">
            <v>1Z5063E0YW42654050</v>
          </cell>
        </row>
        <row r="344">
          <cell r="D344" t="str">
            <v>7823-02663</v>
          </cell>
          <cell r="M344" t="str">
            <v>1Z5063E0YW42654050</v>
          </cell>
        </row>
        <row r="345">
          <cell r="D345" t="str">
            <v>7818-03133</v>
          </cell>
          <cell r="M345" t="str">
            <v>1Z5063E0YW40490632</v>
          </cell>
        </row>
        <row r="346">
          <cell r="D346" t="str">
            <v>7818-20284</v>
          </cell>
          <cell r="M346" t="str">
            <v>1Z5063E0YW40490632</v>
          </cell>
        </row>
        <row r="347">
          <cell r="D347" t="str">
            <v>7818-21897</v>
          </cell>
          <cell r="M347" t="str">
            <v>1Z5063E0YW40028374</v>
          </cell>
        </row>
        <row r="348">
          <cell r="D348" t="str">
            <v>7818-18969</v>
          </cell>
          <cell r="M348" t="str">
            <v>1Z5063E0YW40394460</v>
          </cell>
        </row>
        <row r="349">
          <cell r="D349" t="str">
            <v>7810-01725</v>
          </cell>
          <cell r="M349" t="str">
            <v>1Z5063E0YW41586073</v>
          </cell>
        </row>
        <row r="350">
          <cell r="D350" t="str">
            <v>7810-01723</v>
          </cell>
          <cell r="M350" t="str">
            <v>1Z5063E0YW41593350</v>
          </cell>
        </row>
        <row r="351">
          <cell r="D351" t="str">
            <v>7818-22200</v>
          </cell>
          <cell r="M351" t="str">
            <v>1Z5063E0YW41268096</v>
          </cell>
        </row>
        <row r="352">
          <cell r="D352" t="str">
            <v>7812-03404</v>
          </cell>
          <cell r="M352" t="str">
            <v>1Z5063E0YW41795392</v>
          </cell>
        </row>
        <row r="353">
          <cell r="D353" t="str">
            <v>7812-03168</v>
          </cell>
          <cell r="M353" t="str">
            <v>1Z5063E0YW40824129</v>
          </cell>
        </row>
        <row r="354">
          <cell r="D354" t="str">
            <v>7812-02119</v>
          </cell>
          <cell r="M354" t="str">
            <v>1Z5063E0YW41218425</v>
          </cell>
        </row>
        <row r="355">
          <cell r="D355" t="str">
            <v>7812-02885</v>
          </cell>
          <cell r="M355" t="str">
            <v>1Z5063E0YW41218425</v>
          </cell>
        </row>
        <row r="356">
          <cell r="D356" t="str">
            <v>7812-02868</v>
          </cell>
          <cell r="M356" t="str">
            <v>1Z5063E0YW42564611</v>
          </cell>
        </row>
        <row r="357">
          <cell r="D357" t="str">
            <v>7812-02869</v>
          </cell>
          <cell r="M357" t="str">
            <v>1Z5063E0YW42483655</v>
          </cell>
        </row>
        <row r="358">
          <cell r="D358" t="str">
            <v>7812-02126</v>
          </cell>
          <cell r="M358" t="str">
            <v>1Z5063E0YW42799403</v>
          </cell>
        </row>
        <row r="359">
          <cell r="D359" t="str">
            <v>7812-03270</v>
          </cell>
          <cell r="M359" t="str">
            <v>1Z5063E0YW42142308</v>
          </cell>
        </row>
        <row r="360">
          <cell r="D360" t="str">
            <v>7818-25556</v>
          </cell>
          <cell r="M360" t="str">
            <v>1Z5063E0YW41103665</v>
          </cell>
        </row>
        <row r="361">
          <cell r="D361" t="str">
            <v>7818-10672</v>
          </cell>
          <cell r="M361" t="str">
            <v>1Z5063E0YW42084309</v>
          </cell>
        </row>
        <row r="362">
          <cell r="D362" t="str">
            <v>7810-00574</v>
          </cell>
          <cell r="M362" t="str">
            <v>1Z5063E0YW42084309</v>
          </cell>
        </row>
        <row r="363">
          <cell r="D363" t="str">
            <v>7810-01754</v>
          </cell>
          <cell r="M363" t="str">
            <v>1Z5063E0YW42165221</v>
          </cell>
        </row>
        <row r="364">
          <cell r="D364" t="str">
            <v>7823-02833</v>
          </cell>
          <cell r="M364" t="str">
            <v>1Z5063E0YW42396115</v>
          </cell>
        </row>
        <row r="365">
          <cell r="D365" t="str">
            <v>7818-19374</v>
          </cell>
          <cell r="M365" t="str">
            <v>1Z5063E0YW41674049</v>
          </cell>
        </row>
        <row r="366">
          <cell r="D366" t="str">
            <v>7818-23988</v>
          </cell>
          <cell r="M366" t="str">
            <v>1Z5063E0YW40698696</v>
          </cell>
        </row>
        <row r="367">
          <cell r="D367" t="str">
            <v>7818-23754</v>
          </cell>
          <cell r="M367" t="str">
            <v>1Z5063E0YW40662625</v>
          </cell>
        </row>
        <row r="368">
          <cell r="D368" t="str">
            <v>7818-16210</v>
          </cell>
          <cell r="M368" t="str">
            <v>1Z5063E0YW41958162</v>
          </cell>
        </row>
        <row r="369">
          <cell r="D369" t="str">
            <v>7818-24174</v>
          </cell>
          <cell r="M369" t="str">
            <v>1Z5063E0YW40485979</v>
          </cell>
        </row>
        <row r="370">
          <cell r="D370" t="str">
            <v>7818-18507</v>
          </cell>
          <cell r="M370" t="str">
            <v>9400 1112 0620 7429 7817 16</v>
          </cell>
        </row>
        <row r="371">
          <cell r="D371" t="str">
            <v>7818-18506</v>
          </cell>
          <cell r="M371" t="str">
            <v>1Z5063E0YW41828678</v>
          </cell>
        </row>
        <row r="372">
          <cell r="D372" t="str">
            <v>7811-00245</v>
          </cell>
          <cell r="M372" t="str">
            <v>1Z5063E0YW41947361</v>
          </cell>
        </row>
        <row r="373">
          <cell r="D373" t="str">
            <v>7818-07182</v>
          </cell>
          <cell r="M373" t="str">
            <v>1Z5063E0YW42805879</v>
          </cell>
        </row>
        <row r="374">
          <cell r="D374" t="str">
            <v>7812-01873</v>
          </cell>
          <cell r="M374" t="str">
            <v>1Z5063E0YW40616872</v>
          </cell>
        </row>
        <row r="375">
          <cell r="D375" t="str">
            <v>7823-01322</v>
          </cell>
          <cell r="M375" t="str">
            <v>1Z5063E0YW41666950</v>
          </cell>
        </row>
        <row r="376">
          <cell r="D376" t="str">
            <v>7818-25756</v>
          </cell>
          <cell r="M376" t="str">
            <v>1Z5063E0YW41847835</v>
          </cell>
        </row>
        <row r="377">
          <cell r="D377" t="str">
            <v>7818-24824</v>
          </cell>
          <cell r="M377" t="str">
            <v>1Z5063E0YW42199945</v>
          </cell>
        </row>
        <row r="378">
          <cell r="D378" t="str">
            <v>7823-02507</v>
          </cell>
          <cell r="M378" t="str">
            <v>1Z5063E0YW41918553</v>
          </cell>
        </row>
        <row r="379">
          <cell r="D379" t="str">
            <v>7818-14638</v>
          </cell>
          <cell r="M379" t="str">
            <v>1Z5063E0YW42142826</v>
          </cell>
        </row>
        <row r="380">
          <cell r="D380" t="str">
            <v>7818-10365</v>
          </cell>
          <cell r="M380" t="str">
            <v>1Z5063E0YW40263477</v>
          </cell>
        </row>
        <row r="381">
          <cell r="D381" t="str">
            <v>7823-02793</v>
          </cell>
          <cell r="M381" t="str">
            <v>1Z5063E0YW41182615</v>
          </cell>
        </row>
        <row r="382">
          <cell r="D382" t="str">
            <v>7818-10534</v>
          </cell>
          <cell r="M382" t="str">
            <v>1Z5063E0YW41525441</v>
          </cell>
        </row>
        <row r="383">
          <cell r="D383" t="str">
            <v>7818-24886</v>
          </cell>
          <cell r="M383" t="str">
            <v>1Z5063E0YW42446123</v>
          </cell>
        </row>
        <row r="384">
          <cell r="D384" t="str">
            <v>7818-18613</v>
          </cell>
          <cell r="M384" t="str">
            <v>1Z5063E0YW41570893</v>
          </cell>
        </row>
        <row r="385">
          <cell r="D385" t="str">
            <v>7818-20269</v>
          </cell>
          <cell r="M385" t="str">
            <v>1Z5063E0YW42423031</v>
          </cell>
        </row>
        <row r="386">
          <cell r="D386" t="str">
            <v>7818-04467</v>
          </cell>
          <cell r="M386" t="str">
            <v>1Z5063E0YW41363983</v>
          </cell>
        </row>
        <row r="387">
          <cell r="D387" t="str">
            <v>7818-25425</v>
          </cell>
          <cell r="M387" t="str">
            <v>1Z5063E0YW42033006</v>
          </cell>
        </row>
        <row r="388">
          <cell r="D388" t="str">
            <v>7818-13009</v>
          </cell>
          <cell r="M388" t="str">
            <v>1Z5063E0YW41884410</v>
          </cell>
        </row>
        <row r="389">
          <cell r="D389" t="str">
            <v>7818-09782</v>
          </cell>
          <cell r="M389" t="str">
            <v>1Z5063E0YW42930180</v>
          </cell>
        </row>
        <row r="390">
          <cell r="D390" t="str">
            <v>7818-18042</v>
          </cell>
          <cell r="M390" t="str">
            <v>1Z5063E0YW42098803</v>
          </cell>
        </row>
        <row r="391">
          <cell r="D391" t="str">
            <v>7818-17743</v>
          </cell>
          <cell r="M391" t="str">
            <v>1Z5063E0YW41037086</v>
          </cell>
        </row>
        <row r="392">
          <cell r="D392" t="str">
            <v>7818-24637</v>
          </cell>
          <cell r="M392" t="str">
            <v>1Z5063E0YW42048214</v>
          </cell>
        </row>
        <row r="393">
          <cell r="D393" t="str">
            <v>7818-23358</v>
          </cell>
          <cell r="M393" t="str">
            <v>1Z5063E0YW40111265</v>
          </cell>
        </row>
        <row r="394">
          <cell r="D394" t="str">
            <v>7818-16206</v>
          </cell>
          <cell r="M394" t="str">
            <v>1Z5063E0YW40535245</v>
          </cell>
        </row>
        <row r="395">
          <cell r="D395" t="str">
            <v>7818-16207</v>
          </cell>
          <cell r="M395" t="str">
            <v>1Z5063E0YW40160748</v>
          </cell>
        </row>
        <row r="396">
          <cell r="D396" t="str">
            <v>7818-19276</v>
          </cell>
          <cell r="M396" t="str">
            <v>1Z5063E0YW41699853</v>
          </cell>
        </row>
        <row r="397">
          <cell r="D397" t="str">
            <v>7818-12240</v>
          </cell>
          <cell r="M397" t="str">
            <v>1Z5063E0YW41386600</v>
          </cell>
        </row>
        <row r="398">
          <cell r="D398" t="str">
            <v>7818-23993</v>
          </cell>
          <cell r="M398" t="str">
            <v>1Z5063E0YW42861915</v>
          </cell>
        </row>
        <row r="399">
          <cell r="D399" t="str">
            <v>7823-02725</v>
          </cell>
          <cell r="M399" t="str">
            <v>1Z5063E0YW40778117</v>
          </cell>
        </row>
        <row r="400">
          <cell r="D400" t="str">
            <v>7823-01152</v>
          </cell>
          <cell r="M400" t="str">
            <v>1Z5063E0YW40580339</v>
          </cell>
        </row>
        <row r="401">
          <cell r="D401" t="str">
            <v>7818-09779</v>
          </cell>
          <cell r="M401" t="str">
            <v>1Z5063E0YW42735356</v>
          </cell>
        </row>
        <row r="402">
          <cell r="D402" t="str">
            <v>7810-01517</v>
          </cell>
          <cell r="M402" t="str">
            <v>1Z5063E0YW40244603</v>
          </cell>
        </row>
        <row r="403">
          <cell r="D403" t="str">
            <v>7810-01520</v>
          </cell>
          <cell r="M403" t="str">
            <v>1Z5063E0YW42359932</v>
          </cell>
        </row>
        <row r="404">
          <cell r="D404" t="str">
            <v>7810-01227</v>
          </cell>
          <cell r="M404" t="str">
            <v>1Z5063E0YW40894661</v>
          </cell>
        </row>
        <row r="405">
          <cell r="D405" t="str">
            <v>7810-01516</v>
          </cell>
          <cell r="M405" t="str">
            <v>9400 1112 0620 7429 7842 81</v>
          </cell>
        </row>
        <row r="406">
          <cell r="D406" t="str">
            <v>7818-24833</v>
          </cell>
          <cell r="M406" t="str">
            <v>1Z5063E0YW42178833</v>
          </cell>
        </row>
        <row r="407">
          <cell r="D407" t="str">
            <v>7818-24630</v>
          </cell>
          <cell r="M407" t="str">
            <v>1Z5063E0YW42934775</v>
          </cell>
        </row>
        <row r="408">
          <cell r="D408" t="str">
            <v>7818-25552</v>
          </cell>
          <cell r="M408" t="str">
            <v>1Z5063E0YW40685664</v>
          </cell>
        </row>
        <row r="409">
          <cell r="D409" t="str">
            <v>7812-02872</v>
          </cell>
          <cell r="M409" t="str">
            <v>1Z5063E0YW41461715</v>
          </cell>
        </row>
        <row r="410">
          <cell r="D410" t="str">
            <v>7812-02890</v>
          </cell>
          <cell r="M410" t="str">
            <v>1Z5063E0YW40681720</v>
          </cell>
        </row>
        <row r="411">
          <cell r="D411" t="str">
            <v>7812-02876</v>
          </cell>
          <cell r="M411" t="str">
            <v>1Z5063E0YW42315603</v>
          </cell>
        </row>
        <row r="412">
          <cell r="D412" t="str">
            <v>7812-02893</v>
          </cell>
          <cell r="M412" t="str">
            <v>1Z5063E0YW40672892</v>
          </cell>
        </row>
        <row r="413">
          <cell r="D413" t="str">
            <v>7818-25759</v>
          </cell>
          <cell r="M413" t="str">
            <v>1Z5063E0YW42040623</v>
          </cell>
        </row>
        <row r="414">
          <cell r="D414" t="str">
            <v>7818-18658</v>
          </cell>
          <cell r="M414" t="str">
            <v>1Z5063E0YW40726682</v>
          </cell>
        </row>
        <row r="415">
          <cell r="D415" t="str">
            <v>7818-25757</v>
          </cell>
          <cell r="M415" t="str">
            <v>1Z5063E0YW40218507</v>
          </cell>
        </row>
        <row r="416">
          <cell r="D416" t="str">
            <v>7812-02197</v>
          </cell>
          <cell r="M416" t="str">
            <v>1Z5063E0YW42270858</v>
          </cell>
        </row>
        <row r="417">
          <cell r="D417" t="str">
            <v>7812-01792</v>
          </cell>
          <cell r="M417" t="str">
            <v>1Z5063E0YW41340579</v>
          </cell>
        </row>
        <row r="418">
          <cell r="D418" t="str">
            <v>7812-02061</v>
          </cell>
          <cell r="M418" t="str">
            <v>1Z5063E0YW40490276</v>
          </cell>
        </row>
        <row r="419">
          <cell r="D419" t="str">
            <v>7812-03046</v>
          </cell>
          <cell r="M419" t="str">
            <v>1Z5063E0YW40341883</v>
          </cell>
        </row>
        <row r="420">
          <cell r="D420" t="str">
            <v>7812-03320</v>
          </cell>
          <cell r="M420" t="str">
            <v>1Z5063E0YW40710617</v>
          </cell>
        </row>
        <row r="421">
          <cell r="D421" t="str">
            <v>7812-02871</v>
          </cell>
          <cell r="M421" t="str">
            <v>1Z5063E0YW42727043</v>
          </cell>
        </row>
        <row r="422">
          <cell r="D422" t="str">
            <v>7812-02859</v>
          </cell>
          <cell r="M422" t="str">
            <v>1Z5063E0YW41466416</v>
          </cell>
        </row>
        <row r="423">
          <cell r="D423" t="str">
            <v>7818-25554</v>
          </cell>
          <cell r="M423" t="str">
            <v>1Z5063E0YW42347767</v>
          </cell>
        </row>
        <row r="424">
          <cell r="D424" t="str">
            <v>7823-02788</v>
          </cell>
          <cell r="M424" t="str">
            <v>1Z5063E0YW40720759</v>
          </cell>
        </row>
        <row r="425">
          <cell r="D425" t="str">
            <v>7812-01829</v>
          </cell>
          <cell r="M425" t="str">
            <v>1Z5063E0YW40929481</v>
          </cell>
        </row>
        <row r="426">
          <cell r="D426" t="str">
            <v>7818-23474</v>
          </cell>
          <cell r="M426" t="str">
            <v>1Z5063E0YW41129263</v>
          </cell>
        </row>
        <row r="427">
          <cell r="D427" t="str">
            <v>7818-22602</v>
          </cell>
          <cell r="M427" t="str">
            <v>1Z5063E0YW40525783</v>
          </cell>
        </row>
        <row r="428">
          <cell r="D428" t="str">
            <v>7818-24836</v>
          </cell>
          <cell r="M428" t="str">
            <v>1Z5063E0YW42528624</v>
          </cell>
        </row>
        <row r="429">
          <cell r="D429" t="str">
            <v>7812-03737</v>
          </cell>
          <cell r="M429" t="str">
            <v>1Z5063E0YW41101103</v>
          </cell>
        </row>
        <row r="430">
          <cell r="D430" t="str">
            <v>7818-16939</v>
          </cell>
          <cell r="M430" t="str">
            <v>1Z5063E0YW40932333</v>
          </cell>
        </row>
        <row r="431">
          <cell r="D431" t="str">
            <v>7812-03701</v>
          </cell>
          <cell r="M431" t="str">
            <v>1Z5063E0YW40161498</v>
          </cell>
        </row>
        <row r="432">
          <cell r="D432" t="str">
            <v>7818-21939</v>
          </cell>
          <cell r="M432" t="str">
            <v>1Z5063E0YW42036996</v>
          </cell>
        </row>
        <row r="433">
          <cell r="D433" t="str">
            <v>7824-00331</v>
          </cell>
          <cell r="M433" t="str">
            <v>1Z5063E0YW42352635</v>
          </cell>
        </row>
        <row r="434">
          <cell r="D434" t="str">
            <v>7810-01746</v>
          </cell>
          <cell r="M434" t="str">
            <v>1Z5063E0YW41866805</v>
          </cell>
        </row>
        <row r="435">
          <cell r="D435" t="str">
            <v>7810-01521</v>
          </cell>
          <cell r="M435" t="str">
            <v>1Z5063E0YW41287995</v>
          </cell>
        </row>
        <row r="436">
          <cell r="D436" t="str">
            <v>7818-25901</v>
          </cell>
          <cell r="M436" t="str">
            <v>1Z5063E0YW41040429</v>
          </cell>
        </row>
        <row r="437">
          <cell r="D437" t="str">
            <v>7818-23728</v>
          </cell>
          <cell r="M437" t="str">
            <v>1Z5063E0YW41540166</v>
          </cell>
        </row>
        <row r="438">
          <cell r="D438" t="str">
            <v>7818-21900</v>
          </cell>
          <cell r="M438" t="str">
            <v>1Z5063E0YW40245924</v>
          </cell>
        </row>
        <row r="439">
          <cell r="D439" t="str">
            <v>7818-23472</v>
          </cell>
          <cell r="M439" t="str">
            <v>1Z5063E0YW41167650</v>
          </cell>
        </row>
        <row r="440">
          <cell r="D440" t="str">
            <v>7818-22019</v>
          </cell>
          <cell r="M440" t="str">
            <v>1Z5063E0YW40272378</v>
          </cell>
        </row>
        <row r="441">
          <cell r="D441" t="str">
            <v>7818-24894</v>
          </cell>
          <cell r="M441" t="str">
            <v>9400 1112 0620 7403 9917 42</v>
          </cell>
        </row>
        <row r="442">
          <cell r="D442" t="str">
            <v>7818-22456</v>
          </cell>
          <cell r="M442" t="str">
            <v>1Z5063E0YW42652945</v>
          </cell>
        </row>
        <row r="443">
          <cell r="D443" t="str">
            <v>7818-17292</v>
          </cell>
          <cell r="M443" t="str">
            <v>1Z5063E0YW41958466</v>
          </cell>
        </row>
        <row r="444">
          <cell r="D444" t="str">
            <v>7818-23989</v>
          </cell>
          <cell r="M444" t="str">
            <v>1Z5063E0YW41294674</v>
          </cell>
        </row>
        <row r="445">
          <cell r="D445" t="str">
            <v>7823-01858</v>
          </cell>
          <cell r="M445" t="str">
            <v>1Z5063E0YW41812407</v>
          </cell>
        </row>
        <row r="446">
          <cell r="D446" t="str">
            <v>7818-24693</v>
          </cell>
          <cell r="M446" t="str">
            <v>1Z5063E0YW40633193</v>
          </cell>
        </row>
        <row r="447">
          <cell r="D447" t="str">
            <v>7818-21212</v>
          </cell>
          <cell r="M447" t="str">
            <v>1Z5063E0YW40951429</v>
          </cell>
        </row>
        <row r="448">
          <cell r="D448" t="str">
            <v>7818-19809</v>
          </cell>
          <cell r="M448" t="str">
            <v>1Z5063E0YW42338651</v>
          </cell>
        </row>
        <row r="449">
          <cell r="D449" t="str">
            <v>7824-00329</v>
          </cell>
          <cell r="M449" t="str">
            <v>1Z5063E0YW42796513</v>
          </cell>
        </row>
        <row r="450">
          <cell r="D450" t="str">
            <v>7824-00315</v>
          </cell>
          <cell r="M450" t="str">
            <v>1Z5063E0YW40138317</v>
          </cell>
        </row>
        <row r="451">
          <cell r="D451" t="str">
            <v>7818-18729</v>
          </cell>
          <cell r="M451" t="str">
            <v>1Z5063E0YW41078041</v>
          </cell>
        </row>
        <row r="452">
          <cell r="D452" t="str">
            <v>7812-03582</v>
          </cell>
          <cell r="M452" t="str">
            <v>1Z5063E0YW42274470</v>
          </cell>
        </row>
        <row r="453">
          <cell r="D453" t="str">
            <v>7812-03280</v>
          </cell>
          <cell r="M453" t="str">
            <v>1Z5063E0YW40283633</v>
          </cell>
        </row>
        <row r="454">
          <cell r="D454" t="str">
            <v>7812-03309</v>
          </cell>
          <cell r="M454" t="str">
            <v>1Z5063E0YW40364582</v>
          </cell>
        </row>
        <row r="455">
          <cell r="D455" t="str">
            <v>7812-03581</v>
          </cell>
          <cell r="M455" t="str">
            <v>1Z5063E0YW41960506</v>
          </cell>
        </row>
        <row r="456">
          <cell r="D456" t="str">
            <v>7810-01566</v>
          </cell>
          <cell r="M456" t="str">
            <v>1Z5063E0YW42974704</v>
          </cell>
        </row>
        <row r="457">
          <cell r="D457" t="str">
            <v>7810-01554</v>
          </cell>
          <cell r="M457" t="str">
            <v>1Z5063E0YW42500537</v>
          </cell>
        </row>
        <row r="458">
          <cell r="D458" t="str">
            <v>7810-01659</v>
          </cell>
          <cell r="M458" t="str">
            <v>1Z5063E0YW41326068</v>
          </cell>
        </row>
        <row r="459">
          <cell r="D459" t="str">
            <v>7810-01135</v>
          </cell>
          <cell r="M459" t="str">
            <v>1Z5063E0YW41703721</v>
          </cell>
        </row>
        <row r="460">
          <cell r="D460" t="str">
            <v>7812-03049</v>
          </cell>
          <cell r="M460" t="str">
            <v>1Z5063E0YW41543252</v>
          </cell>
        </row>
        <row r="461">
          <cell r="D461" t="str">
            <v>7818-23075</v>
          </cell>
          <cell r="M461" t="str">
            <v>1Z5063E0YW42529972</v>
          </cell>
        </row>
        <row r="462">
          <cell r="D462" t="str">
            <v>7818-01139</v>
          </cell>
          <cell r="M462" t="str">
            <v>1Z5063E0YW42757412</v>
          </cell>
        </row>
        <row r="463">
          <cell r="D463" t="str">
            <v>7818-24704</v>
          </cell>
          <cell r="M463" t="str">
            <v>1Z5063E0YW41083375</v>
          </cell>
        </row>
        <row r="464">
          <cell r="D464" t="str">
            <v>7818-22319</v>
          </cell>
          <cell r="M464" t="str">
            <v>1Z5063E0YW42349461</v>
          </cell>
        </row>
        <row r="465">
          <cell r="D465" t="str">
            <v>7818-21771</v>
          </cell>
          <cell r="M465" t="str">
            <v>1Z5063E0YW40757685</v>
          </cell>
        </row>
        <row r="466">
          <cell r="D466" t="str">
            <v>7818-10543</v>
          </cell>
          <cell r="M466" t="str">
            <v>1Z5063E0YW40704295</v>
          </cell>
        </row>
        <row r="467">
          <cell r="D467" t="str">
            <v>7818-19954</v>
          </cell>
          <cell r="M467" t="str">
            <v>1Z5063E0YW40862427</v>
          </cell>
        </row>
        <row r="468">
          <cell r="D468" t="str">
            <v>7812-03739</v>
          </cell>
          <cell r="M468" t="str">
            <v>1Z5063E0YW41739907</v>
          </cell>
        </row>
        <row r="469">
          <cell r="D469" t="str">
            <v>7818-17635</v>
          </cell>
          <cell r="M469" t="str">
            <v>1Z5063E0YW40025715</v>
          </cell>
        </row>
        <row r="470">
          <cell r="D470" t="str">
            <v>7818-20230</v>
          </cell>
          <cell r="M470" t="str">
            <v>1Z5063E0YW40674149</v>
          </cell>
        </row>
        <row r="471">
          <cell r="D471" t="str">
            <v>7818-00703</v>
          </cell>
          <cell r="M471" t="str">
            <v>1Z5063E0YW42483931</v>
          </cell>
        </row>
        <row r="472">
          <cell r="D472" t="str">
            <v>7818-25907</v>
          </cell>
          <cell r="M472" t="str">
            <v>1Z5063E0YW41048412</v>
          </cell>
        </row>
        <row r="473">
          <cell r="D473" t="str">
            <v>7818-25910</v>
          </cell>
          <cell r="M473" t="str">
            <v>1Z5063E0YW41199643</v>
          </cell>
        </row>
        <row r="474">
          <cell r="D474" t="str">
            <v>7818-25905</v>
          </cell>
          <cell r="M474" t="str">
            <v>1Z5063E0YW41379798</v>
          </cell>
        </row>
        <row r="475">
          <cell r="D475" t="str">
            <v>7818-25906</v>
          </cell>
          <cell r="M475" t="str">
            <v>1Z5063E0YW42024347</v>
          </cell>
        </row>
        <row r="476">
          <cell r="D476" t="str">
            <v>7818-24098</v>
          </cell>
          <cell r="M476" t="str">
            <v>1Z5063E0YW41634887</v>
          </cell>
        </row>
        <row r="477">
          <cell r="D477" t="str">
            <v>7818-16907</v>
          </cell>
          <cell r="M477" t="str">
            <v>1Z5063E0YW40543245</v>
          </cell>
        </row>
        <row r="478">
          <cell r="D478" t="str">
            <v>7823-01329</v>
          </cell>
          <cell r="M478" t="str">
            <v>1Z5063E0YW41164831</v>
          </cell>
        </row>
        <row r="479">
          <cell r="D479" t="str">
            <v>7818-22576</v>
          </cell>
          <cell r="M479" t="str">
            <v>1Z5063E0YW42195583</v>
          </cell>
        </row>
        <row r="480">
          <cell r="D480" t="str">
            <v>7810-01571</v>
          </cell>
          <cell r="M480" t="str">
            <v>1Z5063E0YW42750955</v>
          </cell>
        </row>
        <row r="481">
          <cell r="D481" t="str">
            <v>7818-23904</v>
          </cell>
          <cell r="M481" t="str">
            <v>1Z5063E0YW42001120</v>
          </cell>
        </row>
        <row r="482">
          <cell r="D482" t="str">
            <v>7823-02704</v>
          </cell>
          <cell r="M482" t="str">
            <v>1Z5063E0YW40267857</v>
          </cell>
        </row>
        <row r="483">
          <cell r="D483" t="str">
            <v>7818-07340</v>
          </cell>
          <cell r="M483" t="str">
            <v>1Z5063E0YW42172259</v>
          </cell>
        </row>
        <row r="484">
          <cell r="D484" t="str">
            <v>7824-00314</v>
          </cell>
          <cell r="M484" t="str">
            <v>1Z5063E0YW41312126</v>
          </cell>
        </row>
        <row r="485">
          <cell r="D485" t="str">
            <v>7812-02936</v>
          </cell>
          <cell r="M485" t="str">
            <v>1Z5063E0YW40315509</v>
          </cell>
        </row>
        <row r="486">
          <cell r="D486" t="str">
            <v>7812-00492</v>
          </cell>
          <cell r="M486" t="str">
            <v>1Z5063E0YW41721210</v>
          </cell>
        </row>
        <row r="487">
          <cell r="D487" t="str">
            <v>7818-22369</v>
          </cell>
          <cell r="M487" t="str">
            <v>1Z5063E0YW42780566</v>
          </cell>
        </row>
        <row r="488">
          <cell r="D488" t="str">
            <v>7810-00534</v>
          </cell>
          <cell r="M488" t="str">
            <v>1Z5063E0YW41924117</v>
          </cell>
        </row>
        <row r="489">
          <cell r="D489" t="str">
            <v>7823-02517</v>
          </cell>
          <cell r="M489" t="str">
            <v>1Z5063E0YW41402207</v>
          </cell>
        </row>
        <row r="490">
          <cell r="D490" t="str">
            <v>7823-02515</v>
          </cell>
          <cell r="M490" t="str">
            <v>1Z5063E0YW42274014</v>
          </cell>
        </row>
        <row r="491">
          <cell r="D491" t="str">
            <v>7818-23906</v>
          </cell>
          <cell r="M491" t="str">
            <v>1Z5063E0YW41916715</v>
          </cell>
        </row>
        <row r="492">
          <cell r="D492" t="str">
            <v>7818-24648</v>
          </cell>
          <cell r="M492" t="str">
            <v>1Z5063E0YW42587338</v>
          </cell>
        </row>
        <row r="493">
          <cell r="D493" t="str">
            <v>7818-21252</v>
          </cell>
          <cell r="M493" t="str">
            <v>1Z5063E0YW42171670</v>
          </cell>
        </row>
        <row r="494">
          <cell r="D494" t="str">
            <v>7818-19153</v>
          </cell>
          <cell r="M494" t="str">
            <v>1Z5063E0YW41531381</v>
          </cell>
        </row>
        <row r="495">
          <cell r="D495" t="str">
            <v>7818-24655</v>
          </cell>
          <cell r="M495" t="str">
            <v>1Z5063E0YW41878141</v>
          </cell>
        </row>
        <row r="496">
          <cell r="D496" t="str">
            <v>7815-00099</v>
          </cell>
          <cell r="M496" t="str">
            <v>1Z5063E0YW42358880</v>
          </cell>
        </row>
        <row r="497">
          <cell r="D497" t="str">
            <v>7823-02852</v>
          </cell>
          <cell r="M497" t="str">
            <v>1Z5063E0YW41812603</v>
          </cell>
        </row>
        <row r="498">
          <cell r="D498" t="str">
            <v>7823-01936</v>
          </cell>
          <cell r="M498" t="str">
            <v>1Z5063E0YW40212414</v>
          </cell>
        </row>
        <row r="499">
          <cell r="D499" t="str">
            <v>7812-03109</v>
          </cell>
          <cell r="M499" t="str">
            <v>1Z5063E0YW41941732</v>
          </cell>
        </row>
        <row r="500">
          <cell r="D500" t="str">
            <v>7823-00588</v>
          </cell>
          <cell r="M500" t="str">
            <v>1Z5063E0YW41329707</v>
          </cell>
        </row>
        <row r="501">
          <cell r="D501" t="str">
            <v>7823-01967</v>
          </cell>
          <cell r="M501" t="str">
            <v>1Z5063E0YW40107529</v>
          </cell>
        </row>
        <row r="502">
          <cell r="D502" t="str">
            <v>7818-23036</v>
          </cell>
          <cell r="M502" t="str">
            <v>1Z5063E0YW40251515</v>
          </cell>
        </row>
        <row r="503">
          <cell r="D503" t="str">
            <v>7818-10613</v>
          </cell>
          <cell r="M503" t="str">
            <v>1Z5063E0YW40233893</v>
          </cell>
        </row>
        <row r="504">
          <cell r="D504" t="str">
            <v>7818-21880</v>
          </cell>
          <cell r="M504" t="str">
            <v>1Z5063E0YW41826796</v>
          </cell>
        </row>
        <row r="505">
          <cell r="D505" t="str">
            <v>7810-01117</v>
          </cell>
          <cell r="M505" t="str">
            <v>9400 1112 0620 7562 2440 86</v>
          </cell>
        </row>
        <row r="506">
          <cell r="D506" t="str">
            <v>7818-25782</v>
          </cell>
          <cell r="M506" t="str">
            <v>1Z5063E0YW40228336</v>
          </cell>
        </row>
        <row r="507">
          <cell r="D507" t="str">
            <v>7818-24882</v>
          </cell>
          <cell r="M507" t="str">
            <v>1Z5063E0YW42527670</v>
          </cell>
        </row>
        <row r="508">
          <cell r="D508" t="str">
            <v>7818-21958</v>
          </cell>
          <cell r="M508" t="str">
            <v>9400 1112 0620 7484 3142 94</v>
          </cell>
        </row>
        <row r="509">
          <cell r="D509" t="str">
            <v>7818-21211</v>
          </cell>
          <cell r="M509" t="str">
            <v>9400 1112 0620 7455 6674 66</v>
          </cell>
        </row>
        <row r="510">
          <cell r="D510" t="str">
            <v>7818-21817</v>
          </cell>
          <cell r="M510" t="str">
            <v>9400 1112 0620 7443 4462 02</v>
          </cell>
        </row>
        <row r="511">
          <cell r="D511" t="str">
            <v>7818-24636</v>
          </cell>
          <cell r="M511" t="str">
            <v>9400 1112 0620 7597 0056 45</v>
          </cell>
        </row>
        <row r="512">
          <cell r="D512" t="str">
            <v>7818-22333</v>
          </cell>
          <cell r="M512" t="str">
            <v>1Z5063E0YW40841208</v>
          </cell>
        </row>
        <row r="513">
          <cell r="D513" t="str">
            <v>7818-02977</v>
          </cell>
          <cell r="M513" t="str">
            <v>1Z5063E0YW40693011</v>
          </cell>
        </row>
        <row r="514">
          <cell r="D514" t="str">
            <v>7819-00463</v>
          </cell>
          <cell r="M514" t="str">
            <v>1Z5063E0YW41042981</v>
          </cell>
        </row>
        <row r="515">
          <cell r="D515" t="str">
            <v>7818-21827</v>
          </cell>
          <cell r="M515" t="str">
            <v>1Z5063E0YW40825459</v>
          </cell>
        </row>
        <row r="516">
          <cell r="D516" t="str">
            <v>7818-22018</v>
          </cell>
          <cell r="M516" t="str">
            <v>1Z5063E0YW41959590</v>
          </cell>
        </row>
        <row r="517">
          <cell r="D517" t="str">
            <v>7818-23714</v>
          </cell>
          <cell r="M517" t="str">
            <v>1Z5063E0YW40970453</v>
          </cell>
        </row>
        <row r="518">
          <cell r="D518" t="str">
            <v>7818-11676</v>
          </cell>
          <cell r="M518" t="str">
            <v>1Z5063E0YW42092612</v>
          </cell>
        </row>
        <row r="519">
          <cell r="D519" t="str">
            <v>7818-25912</v>
          </cell>
          <cell r="M519" t="str">
            <v>1Z5063E0YW40114691</v>
          </cell>
        </row>
        <row r="520">
          <cell r="D520" t="str">
            <v>7818-16209</v>
          </cell>
          <cell r="M520" t="str">
            <v>1Z5063E0YW41092445</v>
          </cell>
        </row>
        <row r="521">
          <cell r="D521" t="str">
            <v>7818-16209</v>
          </cell>
          <cell r="M521" t="str">
            <v>1Z5063E0YW42254394</v>
          </cell>
        </row>
        <row r="522">
          <cell r="D522" t="str">
            <v>7818-07181</v>
          </cell>
          <cell r="M522" t="str">
            <v>1Z5063E0YW41505641</v>
          </cell>
        </row>
        <row r="523">
          <cell r="D523" t="str">
            <v>7818-07180</v>
          </cell>
          <cell r="M523" t="str">
            <v>1Z5063E0YW42433771</v>
          </cell>
        </row>
        <row r="524">
          <cell r="D524" t="str">
            <v>7818-16212</v>
          </cell>
          <cell r="M524" t="str">
            <v>1Z5063E0YW42553847</v>
          </cell>
        </row>
        <row r="525">
          <cell r="D525" t="str">
            <v>7818-21635</v>
          </cell>
          <cell r="M525" t="str">
            <v>1Z5063E0YW40968028</v>
          </cell>
        </row>
        <row r="526">
          <cell r="D526" t="str">
            <v>7818-18990</v>
          </cell>
          <cell r="M526" t="str">
            <v>1Z5063E0YW40057262</v>
          </cell>
        </row>
        <row r="527">
          <cell r="D527" t="str">
            <v>7818-23021</v>
          </cell>
          <cell r="M527" t="str">
            <v>1Z5063E0YW41678303</v>
          </cell>
        </row>
        <row r="528">
          <cell r="D528" t="str">
            <v>7818-17738</v>
          </cell>
          <cell r="M528" t="str">
            <v>1Z5063E0YW41808805</v>
          </cell>
        </row>
        <row r="529">
          <cell r="D529" t="str">
            <v>7818-25445</v>
          </cell>
          <cell r="M529" t="str">
            <v>1Z5063E0YW41202012</v>
          </cell>
        </row>
        <row r="530">
          <cell r="D530" t="str">
            <v>7818-11133</v>
          </cell>
          <cell r="M530" t="str">
            <v>1Z5063E0YW41302762</v>
          </cell>
        </row>
        <row r="531">
          <cell r="D531" t="str">
            <v>7818-21731</v>
          </cell>
          <cell r="M531" t="str">
            <v>1Z5063E0YW41800125</v>
          </cell>
        </row>
        <row r="532">
          <cell r="D532" t="str">
            <v>7818-10278</v>
          </cell>
          <cell r="M532" t="str">
            <v>1Z5063E0YW41750804</v>
          </cell>
        </row>
        <row r="533">
          <cell r="D533" t="str">
            <v>7818-19708</v>
          </cell>
          <cell r="M533" t="str">
            <v>1Z5063E0YW41302762</v>
          </cell>
        </row>
        <row r="534">
          <cell r="D534" t="str">
            <v>7818-23720</v>
          </cell>
          <cell r="M534" t="str">
            <v>1Z5063E0YW42079020</v>
          </cell>
        </row>
        <row r="535">
          <cell r="D535" t="str">
            <v>7818-23994</v>
          </cell>
          <cell r="M535" t="str">
            <v>1Z5063E0YW42176219</v>
          </cell>
        </row>
        <row r="536">
          <cell r="D536" t="str">
            <v>7818-23513</v>
          </cell>
          <cell r="M536" t="str">
            <v>1Z5063E0YW40132484</v>
          </cell>
        </row>
        <row r="537">
          <cell r="D537" t="str">
            <v>7818-23738</v>
          </cell>
          <cell r="M537" t="str">
            <v>1Z5063E0YW41535047</v>
          </cell>
        </row>
        <row r="538">
          <cell r="D538" t="str">
            <v>7812-01460</v>
          </cell>
          <cell r="M538" t="str">
            <v>1Z5063E0YW42595972</v>
          </cell>
        </row>
        <row r="539">
          <cell r="D539" t="str">
            <v>7812-02874</v>
          </cell>
          <cell r="M539" t="str">
            <v>1Z5063E0YW40635020</v>
          </cell>
        </row>
        <row r="540">
          <cell r="D540" t="str">
            <v>7812-03585</v>
          </cell>
          <cell r="M540" t="str">
            <v>1Z5063E0YW41535654</v>
          </cell>
        </row>
        <row r="541">
          <cell r="D541" t="str">
            <v>7818-24433</v>
          </cell>
          <cell r="M541" t="str">
            <v>1Z5063E0YW41347081</v>
          </cell>
        </row>
        <row r="542">
          <cell r="D542" t="str">
            <v>7818-20674</v>
          </cell>
          <cell r="M542" t="str">
            <v>1Z5063E0YW42979816</v>
          </cell>
        </row>
        <row r="543">
          <cell r="D543" t="str">
            <v>7818-12848</v>
          </cell>
          <cell r="M543" t="str">
            <v>1Z5063E0YW40519236</v>
          </cell>
        </row>
        <row r="544">
          <cell r="D544" t="str">
            <v>7818-12860</v>
          </cell>
          <cell r="M544" t="str">
            <v>1Z5063E0YW42180400</v>
          </cell>
        </row>
        <row r="545">
          <cell r="D545" t="str">
            <v>7818-15740</v>
          </cell>
          <cell r="M545" t="str">
            <v>1Z5063E0YW42455631</v>
          </cell>
        </row>
        <row r="546">
          <cell r="D546" t="str">
            <v>7823-01651</v>
          </cell>
          <cell r="M546" t="str">
            <v>1Z5063E0YW40709941</v>
          </cell>
        </row>
        <row r="547">
          <cell r="D547" t="str">
            <v>7823-02012</v>
          </cell>
          <cell r="M547" t="str">
            <v>9400 1112 0620 7597 0509 04</v>
          </cell>
        </row>
        <row r="548">
          <cell r="D548" t="str">
            <v>7827-00030</v>
          </cell>
          <cell r="M548" t="str">
            <v>1Z5063E0YW41463697</v>
          </cell>
        </row>
        <row r="549">
          <cell r="D549" t="str">
            <v>7823-02596</v>
          </cell>
          <cell r="M549" t="str">
            <v>1Z5063E0YW40207304</v>
          </cell>
        </row>
        <row r="550">
          <cell r="D550" t="str">
            <v>7824-00335</v>
          </cell>
          <cell r="M550" t="str">
            <v>1Z5063E0YW41398259</v>
          </cell>
        </row>
        <row r="551">
          <cell r="D551" t="str">
            <v>7818-21849</v>
          </cell>
          <cell r="M551" t="str">
            <v>1Z5063E0YW42297222</v>
          </cell>
        </row>
        <row r="552">
          <cell r="D552" t="str">
            <v>7818-21956</v>
          </cell>
          <cell r="M552" t="str">
            <v>1Z5063E0YW42455631</v>
          </cell>
        </row>
        <row r="553">
          <cell r="D553" t="str">
            <v>7818-18823</v>
          </cell>
          <cell r="M553" t="str">
            <v>1Z5063E0YW42460956</v>
          </cell>
        </row>
        <row r="554">
          <cell r="D554" t="str">
            <v>7824-00332</v>
          </cell>
          <cell r="M554" t="str">
            <v>1Z5063E0YW42729014</v>
          </cell>
        </row>
        <row r="555">
          <cell r="D555" t="str">
            <v>7810-01747</v>
          </cell>
          <cell r="M555" t="str">
            <v>1Z5063E0YW40485791</v>
          </cell>
        </row>
        <row r="556">
          <cell r="D556" t="str">
            <v>7818-17411</v>
          </cell>
          <cell r="M556" t="str">
            <v>1Z5063E0YW41751072</v>
          </cell>
        </row>
        <row r="557">
          <cell r="D557" t="str">
            <v>7818-17410</v>
          </cell>
          <cell r="M557" t="str">
            <v>1Z5063E0YW42046289</v>
          </cell>
        </row>
        <row r="558">
          <cell r="D558" t="str">
            <v>7818-15010</v>
          </cell>
          <cell r="M558" t="str">
            <v>1Z5063E0YW40155594</v>
          </cell>
        </row>
        <row r="559">
          <cell r="D559" t="str">
            <v>7818-22902</v>
          </cell>
          <cell r="M559" t="str">
            <v>1Z5063E0YW41851400</v>
          </cell>
        </row>
        <row r="560">
          <cell r="D560" t="str">
            <v>7818-24881</v>
          </cell>
          <cell r="M560" t="str">
            <v>1Z5063E0YW42757207</v>
          </cell>
        </row>
        <row r="561">
          <cell r="D561" t="str">
            <v>7818-17634</v>
          </cell>
          <cell r="M561" t="str">
            <v>1Z5063E0YW40333089</v>
          </cell>
        </row>
        <row r="562">
          <cell r="D562" t="str">
            <v>7818-17634</v>
          </cell>
          <cell r="M562" t="str">
            <v>1Z5063E0YW41067213</v>
          </cell>
        </row>
        <row r="563">
          <cell r="D563" t="str">
            <v>7818-05968</v>
          </cell>
          <cell r="M563" t="str">
            <v>9405 5112 0620 7443 1883 65</v>
          </cell>
        </row>
        <row r="564">
          <cell r="D564" t="str">
            <v>7818-24542</v>
          </cell>
          <cell r="M564" t="str">
            <v>1Z5063E0YW41237191</v>
          </cell>
        </row>
        <row r="565">
          <cell r="D565" t="str">
            <v>7811-00141</v>
          </cell>
          <cell r="M565" t="str">
            <v>1Z5063E0YW41284890</v>
          </cell>
        </row>
        <row r="566">
          <cell r="D566" t="str">
            <v>7818-14942</v>
          </cell>
          <cell r="M566" t="str">
            <v>1Z5063E0YW42048652</v>
          </cell>
        </row>
        <row r="567">
          <cell r="D567" t="str">
            <v>7818-24912</v>
          </cell>
          <cell r="M567" t="str">
            <v>1Z5063E0YW41067688</v>
          </cell>
        </row>
        <row r="568">
          <cell r="D568" t="str">
            <v>7812-01285</v>
          </cell>
          <cell r="M568" t="str">
            <v>1Z5063E0YW42033097</v>
          </cell>
        </row>
        <row r="569">
          <cell r="D569" t="str">
            <v>7818-24104</v>
          </cell>
          <cell r="M569" t="str">
            <v>1Z5063E0YW41298241</v>
          </cell>
        </row>
        <row r="570">
          <cell r="D570" t="str">
            <v>7818-09303</v>
          </cell>
          <cell r="M570" t="str">
            <v>1Z5063E0YW41433273</v>
          </cell>
        </row>
        <row r="571">
          <cell r="D571" t="str">
            <v>7818-15305</v>
          </cell>
          <cell r="M571" t="str">
            <v>1Z5063E0YW40706515</v>
          </cell>
        </row>
        <row r="572">
          <cell r="D572" t="str">
            <v>7818-22246</v>
          </cell>
          <cell r="M572" t="str">
            <v>1Z5063E0YW42012261</v>
          </cell>
        </row>
        <row r="573">
          <cell r="D573" t="str">
            <v>7818-24931</v>
          </cell>
          <cell r="M573" t="str">
            <v>9402 1112 0620 7577 1954 25</v>
          </cell>
        </row>
        <row r="574">
          <cell r="D574" t="str">
            <v>7812-3763</v>
          </cell>
          <cell r="M574" t="str">
            <v>1Z5063E0YW42662523</v>
          </cell>
        </row>
        <row r="575">
          <cell r="D575" t="str">
            <v>7818-25422</v>
          </cell>
          <cell r="M575" t="str">
            <v>1Z5063E0YW41384479</v>
          </cell>
        </row>
        <row r="576">
          <cell r="D576" t="str">
            <v>7818-13294</v>
          </cell>
          <cell r="M576" t="str">
            <v>1Z5063E0YW42049240</v>
          </cell>
        </row>
        <row r="577">
          <cell r="D577" t="str">
            <v>7818-21559</v>
          </cell>
          <cell r="M577" t="str">
            <v>1Z5063E0YW40206403</v>
          </cell>
        </row>
        <row r="578">
          <cell r="D578" t="str">
            <v>7818-20061</v>
          </cell>
          <cell r="M578" t="str">
            <v>1Z5063E0YW41504179</v>
          </cell>
        </row>
        <row r="579">
          <cell r="D579" t="str">
            <v>7818-18043</v>
          </cell>
          <cell r="M579" t="str">
            <v>1Z5063E0YW40259464</v>
          </cell>
        </row>
        <row r="580">
          <cell r="D580" t="str">
            <v>7812-3761</v>
          </cell>
          <cell r="M580" t="str">
            <v>1Z5063E0YW41405160</v>
          </cell>
        </row>
        <row r="581">
          <cell r="D581" t="str">
            <v>7812-01788</v>
          </cell>
          <cell r="M581" t="str">
            <v>1Z5063E0YW42684705</v>
          </cell>
        </row>
        <row r="582">
          <cell r="D582" t="str">
            <v>7810-01728</v>
          </cell>
          <cell r="M582" t="str">
            <v>1Z5063E0YW42740797</v>
          </cell>
        </row>
        <row r="583">
          <cell r="D583" t="str">
            <v>7812-3757</v>
          </cell>
          <cell r="M583" t="str">
            <v>1Z5063E0YW42300351</v>
          </cell>
        </row>
        <row r="584">
          <cell r="D584" t="str">
            <v>7812-03340</v>
          </cell>
          <cell r="M584" t="str">
            <v>1Z5063E0YW41522211</v>
          </cell>
        </row>
        <row r="585">
          <cell r="D585" t="str">
            <v>7810-01588</v>
          </cell>
          <cell r="M585" t="str">
            <v>9402 1112 0620 7577 1570 96</v>
          </cell>
        </row>
        <row r="586">
          <cell r="D586" t="str">
            <v>7818-23641</v>
          </cell>
          <cell r="M586" t="str">
            <v>9402 1112 0620 7577 1702 55</v>
          </cell>
        </row>
        <row r="587">
          <cell r="D587" t="str">
            <v>7818-23998</v>
          </cell>
          <cell r="M587" t="str">
            <v>1Z5063E0YW41992044</v>
          </cell>
        </row>
        <row r="588">
          <cell r="D588" t="str">
            <v>7818-25777</v>
          </cell>
          <cell r="M588" t="str">
            <v>1Z5063E0YW40850038</v>
          </cell>
        </row>
        <row r="589">
          <cell r="D589" t="str">
            <v>7823-02540</v>
          </cell>
          <cell r="M589" t="str">
            <v>9400 1112 0620 7577 1276 95</v>
          </cell>
        </row>
        <row r="590">
          <cell r="D590" t="str">
            <v>7823-01938</v>
          </cell>
          <cell r="M590" t="str">
            <v>9400 1112 0620 7577 1003 77</v>
          </cell>
        </row>
        <row r="591">
          <cell r="D591" t="str">
            <v>7823-02304</v>
          </cell>
          <cell r="M591" t="str">
            <v>9402 1112 0620 7577 1527 70</v>
          </cell>
        </row>
        <row r="592">
          <cell r="D592" t="str">
            <v>7824-00375</v>
          </cell>
          <cell r="M592" t="str">
            <v>9400 1112 0620 7577 1654 99</v>
          </cell>
        </row>
        <row r="593">
          <cell r="D593" t="str">
            <v>7818-22591</v>
          </cell>
          <cell r="M593" t="str">
            <v>9402 1112 0620 7577 1690 06</v>
          </cell>
        </row>
        <row r="594">
          <cell r="D594" t="str">
            <v>7818-00730</v>
          </cell>
          <cell r="M594" t="str">
            <v>9402 1118 9956 1887 6173 62</v>
          </cell>
        </row>
        <row r="595">
          <cell r="D595" t="str">
            <v>7823-01006</v>
          </cell>
          <cell r="M595" t="str">
            <v>9402 1118 9956 0438 6450 90</v>
          </cell>
        </row>
        <row r="596">
          <cell r="D596" t="str">
            <v>7818-13092</v>
          </cell>
          <cell r="M596" t="str">
            <v>9402 1118 9956 0508 8161 84</v>
          </cell>
        </row>
        <row r="597">
          <cell r="D597" t="str">
            <v>7818-00416</v>
          </cell>
          <cell r="M597" t="str">
            <v>9400 1118 9956 0568 9280 10</v>
          </cell>
        </row>
        <row r="598">
          <cell r="D598" t="str">
            <v>7818-10820</v>
          </cell>
          <cell r="M598" t="str">
            <v>9402 1118 9956 0575 1141 76</v>
          </cell>
        </row>
        <row r="599">
          <cell r="D599" t="str">
            <v>7818-15204</v>
          </cell>
          <cell r="M599" t="str">
            <v>9402 1118 9956 0924 8397 05</v>
          </cell>
        </row>
        <row r="600">
          <cell r="D600" t="str">
            <v>7818-03031</v>
          </cell>
          <cell r="M600" t="str">
            <v>9402 1118 9956 0997 3067 84</v>
          </cell>
        </row>
        <row r="601">
          <cell r="D601" t="str">
            <v>7818-01888</v>
          </cell>
          <cell r="M601" t="str">
            <v>9402 1118 9956 0924 0406 68</v>
          </cell>
        </row>
        <row r="602">
          <cell r="D602" t="str">
            <v>7818-02486</v>
          </cell>
          <cell r="M602" t="str">
            <v>9400 1118 9956 0964 6806 97</v>
          </cell>
        </row>
        <row r="603">
          <cell r="D603" t="str">
            <v>7818-15333</v>
          </cell>
          <cell r="M603" t="str">
            <v>9402 1118 9956 0970 0792 30</v>
          </cell>
        </row>
        <row r="604">
          <cell r="D604" t="str">
            <v>7818-09722</v>
          </cell>
          <cell r="M604" t="str">
            <v>9402 1118 9956 0305 5571 98</v>
          </cell>
        </row>
        <row r="605">
          <cell r="D605" t="str">
            <v>7810-00944</v>
          </cell>
          <cell r="M605" t="str">
            <v>9400 1118 9956 0152 4259 32</v>
          </cell>
        </row>
        <row r="606">
          <cell r="D606" t="str">
            <v>7818-09986</v>
          </cell>
          <cell r="M606" t="str">
            <v>9402 1118 9956 0319 5785 30</v>
          </cell>
        </row>
        <row r="607">
          <cell r="D607" t="str">
            <v>7818-04041</v>
          </cell>
          <cell r="M607" t="str">
            <v>9402 1118 9956 0199 2263 61</v>
          </cell>
        </row>
        <row r="608">
          <cell r="D608" t="str">
            <v>7818-13935</v>
          </cell>
          <cell r="M608" t="str">
            <v>9402 1118 9956 0112 1186 98</v>
          </cell>
        </row>
        <row r="609">
          <cell r="D609" t="str">
            <v>7818-15334</v>
          </cell>
          <cell r="M609" t="str">
            <v>9402 1118 9956 0170 5650 45</v>
          </cell>
        </row>
        <row r="610">
          <cell r="D610" t="str">
            <v>7818-00416</v>
          </cell>
          <cell r="M610" t="str">
            <v>9400 1118 9956 0296 3448 09</v>
          </cell>
        </row>
        <row r="611">
          <cell r="D611" t="str">
            <v>7818-10788</v>
          </cell>
          <cell r="M611" t="str">
            <v>9402 1118 9956 0724 5466 98</v>
          </cell>
        </row>
        <row r="612">
          <cell r="D612" t="str">
            <v>7818-15204</v>
          </cell>
          <cell r="M612" t="str">
            <v>9402 1118 9956 0707 9493 93</v>
          </cell>
        </row>
        <row r="613">
          <cell r="D613" t="str">
            <v>7818-06197</v>
          </cell>
          <cell r="M613" t="str">
            <v>9402 1118 9956 0789 3460 73</v>
          </cell>
        </row>
        <row r="614">
          <cell r="D614" t="str">
            <v>7810-00999</v>
          </cell>
          <cell r="M614" t="str">
            <v>9402 1118 9956 0778 0553 99</v>
          </cell>
        </row>
        <row r="615">
          <cell r="D615" t="str">
            <v>7818-13667</v>
          </cell>
          <cell r="M615" t="str">
            <v>9400 1118 9956 0280 2562 24</v>
          </cell>
        </row>
        <row r="616">
          <cell r="D616" t="str">
            <v>7818-10514</v>
          </cell>
          <cell r="M616" t="str">
            <v>9402 1118 9956 0268 8486 23</v>
          </cell>
        </row>
        <row r="617">
          <cell r="D617" t="str">
            <v>7818-05166</v>
          </cell>
          <cell r="M617" t="str">
            <v>9402 1118 9956 0257 7465 89</v>
          </cell>
        </row>
        <row r="618">
          <cell r="D618" t="str">
            <v>7818-00256</v>
          </cell>
          <cell r="M618" t="str">
            <v>9400 1118 9956 0256 0700 21</v>
          </cell>
        </row>
        <row r="619">
          <cell r="D619" t="str">
            <v>7818-07326</v>
          </cell>
          <cell r="M619" t="str">
            <v>9400 1118 9956 0280 7969 42</v>
          </cell>
        </row>
        <row r="620">
          <cell r="D620" t="str">
            <v>7818-11566</v>
          </cell>
          <cell r="M620" t="str">
            <v>9402 1118 9956 0213 0107 47</v>
          </cell>
        </row>
        <row r="621">
          <cell r="D621" t="str">
            <v>7818-13912</v>
          </cell>
          <cell r="M621" t="str">
            <v>9402 1118 9956 0213 3137 72</v>
          </cell>
        </row>
        <row r="622">
          <cell r="D622" t="str">
            <v>7818-10041</v>
          </cell>
          <cell r="M622" t="str">
            <v>9402 1118 9956 0237 1927 49</v>
          </cell>
        </row>
        <row r="623">
          <cell r="D623" t="str">
            <v>7818-07112</v>
          </cell>
          <cell r="M623" t="str">
            <v>9402 1118 9956 0069 9773 24</v>
          </cell>
        </row>
        <row r="624">
          <cell r="D624" t="str">
            <v>7810-00952</v>
          </cell>
          <cell r="M624" t="str">
            <v>9402 1118 9956 0070 7319 46</v>
          </cell>
        </row>
        <row r="625">
          <cell r="D625" t="str">
            <v>7818-06384</v>
          </cell>
          <cell r="M625" t="str">
            <v>9402 1118 9956 0033 3498 05</v>
          </cell>
        </row>
        <row r="626">
          <cell r="D626" t="str">
            <v>7810-00867</v>
          </cell>
          <cell r="M626" t="str">
            <v>9402 1118 9956 0621 1383 61</v>
          </cell>
        </row>
        <row r="627">
          <cell r="D627" t="str">
            <v>7818-13740</v>
          </cell>
          <cell r="M627" t="str">
            <v>9400 1118 9956 1893 1297 83</v>
          </cell>
        </row>
        <row r="628">
          <cell r="D628" t="str">
            <v>7818-13211</v>
          </cell>
          <cell r="M628" t="str">
            <v>9400 1118 9956 1502 8373 75</v>
          </cell>
        </row>
        <row r="629">
          <cell r="D629" t="str">
            <v>7812-02485</v>
          </cell>
          <cell r="M629" t="str">
            <v>9402 1118 9956 1887 1550 24</v>
          </cell>
        </row>
        <row r="630">
          <cell r="D630" t="str">
            <v>7818-13878</v>
          </cell>
          <cell r="M630" t="str">
            <v>9400 1118 9956 1502 8367 43</v>
          </cell>
        </row>
        <row r="631">
          <cell r="D631" t="str">
            <v>7823-01009</v>
          </cell>
          <cell r="M631" t="str">
            <v>9402 1118 9956 1816 7619 85</v>
          </cell>
        </row>
        <row r="632">
          <cell r="D632" t="str">
            <v>7818-00860</v>
          </cell>
          <cell r="M632" t="str">
            <v>9400 1118 9956 1502 8378 32</v>
          </cell>
        </row>
        <row r="633">
          <cell r="D633" t="str">
            <v>7818-12855</v>
          </cell>
          <cell r="M633" t="str">
            <v>9400 1118 9956 1502 8381 36</v>
          </cell>
        </row>
        <row r="634">
          <cell r="D634" t="str">
            <v>7812-00867</v>
          </cell>
          <cell r="M634" t="str">
            <v>9400 1118 9956 1479 4430 67</v>
          </cell>
        </row>
        <row r="635">
          <cell r="D635" t="str">
            <v>7818-13131</v>
          </cell>
          <cell r="M635" t="str">
            <v>9402 1118 9956 1561 4121 39</v>
          </cell>
        </row>
        <row r="636">
          <cell r="D636" t="str">
            <v>7823-01368</v>
          </cell>
          <cell r="M636" t="str">
            <v>9402 1118 9956 1922 2141 74</v>
          </cell>
        </row>
        <row r="637">
          <cell r="D637" t="str">
            <v>7810-01263</v>
          </cell>
          <cell r="M637" t="str">
            <v>9402 1118 9956 1517 5983 44</v>
          </cell>
        </row>
        <row r="638">
          <cell r="D638" t="str">
            <v>7810-00893</v>
          </cell>
          <cell r="M638" t="str">
            <v>9402 1118 9956 1922 2344 79</v>
          </cell>
        </row>
        <row r="639">
          <cell r="D639" t="str">
            <v>7818-14926</v>
          </cell>
          <cell r="M639" t="str">
            <v>9402 1118 9956 1530 3653 43</v>
          </cell>
        </row>
        <row r="640">
          <cell r="D640" t="str">
            <v>7818-10625</v>
          </cell>
          <cell r="M640" t="str">
            <v>9400 1118 9956 1993 5985 40</v>
          </cell>
        </row>
        <row r="641">
          <cell r="D641" t="str">
            <v>7818-03049</v>
          </cell>
          <cell r="M641" t="str">
            <v>9400 1118 9956 1993 5749 64</v>
          </cell>
        </row>
        <row r="642">
          <cell r="D642" t="str">
            <v>7818-17113</v>
          </cell>
          <cell r="M642" t="str">
            <v>9402 1118 9956 1993 0558 43</v>
          </cell>
        </row>
        <row r="643">
          <cell r="D643" t="str">
            <v>7818-11178</v>
          </cell>
          <cell r="M643" t="str">
            <v>9402 1118 9956 1982 9882 44</v>
          </cell>
        </row>
        <row r="644">
          <cell r="D644" t="str">
            <v>7818-13161</v>
          </cell>
          <cell r="M644" t="str">
            <v>9402 1118 9956 1932 5709 56</v>
          </cell>
        </row>
        <row r="645">
          <cell r="D645" t="str">
            <v>7823-01519</v>
          </cell>
          <cell r="M645" t="str">
            <v>9400 1118 9956 1161 5499 30</v>
          </cell>
        </row>
        <row r="646">
          <cell r="D646" t="str">
            <v>7818-05960</v>
          </cell>
          <cell r="M646" t="str">
            <v>9400 1118 9956 1161 2583 82</v>
          </cell>
        </row>
        <row r="647">
          <cell r="D647" t="str">
            <v>7812-02491</v>
          </cell>
          <cell r="M647" t="str">
            <v>9402 1118 9956 1366 8561 21</v>
          </cell>
        </row>
        <row r="648">
          <cell r="D648" t="str">
            <v>7818-16882</v>
          </cell>
          <cell r="M648" t="str">
            <v>9402 1118 9956 1369 6769 62</v>
          </cell>
        </row>
        <row r="649">
          <cell r="D649" t="str">
            <v>7818-09493</v>
          </cell>
          <cell r="M649" t="str">
            <v>9402 1118 9956 0409 6514 26</v>
          </cell>
        </row>
        <row r="650">
          <cell r="D650" t="str">
            <v>7818-13929</v>
          </cell>
          <cell r="M650" t="str">
            <v>9400 1118 9956 0856 4301 26</v>
          </cell>
        </row>
        <row r="651">
          <cell r="D651" t="str">
            <v>7818-13758</v>
          </cell>
          <cell r="M651" t="str">
            <v>9400 1118 9956 0851 6650 33</v>
          </cell>
        </row>
        <row r="652">
          <cell r="D652" t="str">
            <v>7818-18578</v>
          </cell>
          <cell r="M652" t="str">
            <v>9400 1118 9956 0851 4848 56</v>
          </cell>
        </row>
        <row r="653">
          <cell r="D653" t="str">
            <v>7823-01542</v>
          </cell>
          <cell r="M653" t="str">
            <v>9400 1118 9956 1161 5310 03</v>
          </cell>
        </row>
        <row r="654">
          <cell r="D654" t="str">
            <v>7818-15216</v>
          </cell>
          <cell r="M654" t="str">
            <v>9402 1118 9956 0482 7290 35</v>
          </cell>
        </row>
        <row r="655">
          <cell r="D655" t="str">
            <v>7818-01389</v>
          </cell>
          <cell r="M655" t="str">
            <v>9402 1118 9956 0489 7965 29</v>
          </cell>
        </row>
        <row r="656">
          <cell r="D656" t="str">
            <v>7818-03750</v>
          </cell>
          <cell r="M656" t="str">
            <v>9402 1118 9956 0489 2930 99</v>
          </cell>
        </row>
        <row r="657">
          <cell r="D657" t="str">
            <v>7812-02756</v>
          </cell>
          <cell r="M657" t="str">
            <v>9402 1118 9956 0483 5696 93</v>
          </cell>
        </row>
        <row r="658">
          <cell r="D658" t="str">
            <v>7810-01353</v>
          </cell>
          <cell r="M658" t="str">
            <v>9400 1118 9956 1161 2075 71</v>
          </cell>
        </row>
        <row r="659">
          <cell r="D659" t="str">
            <v>7818-16655</v>
          </cell>
          <cell r="M659" t="str">
            <v>9402 1118 9956 1191 2027 66</v>
          </cell>
        </row>
        <row r="660">
          <cell r="D660" t="str">
            <v>7818-14281</v>
          </cell>
          <cell r="M660" t="str">
            <v>9400 1118 9956 1191 0511 73</v>
          </cell>
        </row>
        <row r="661">
          <cell r="D661" t="str">
            <v>7818-05886</v>
          </cell>
          <cell r="M661" t="str">
            <v>9400 1118 9956 1189 1072 42</v>
          </cell>
        </row>
        <row r="662">
          <cell r="D662" t="str">
            <v>7818-18068</v>
          </cell>
          <cell r="M662" t="str">
            <v>9400 1118 9956 1729 6347 26</v>
          </cell>
        </row>
        <row r="663">
          <cell r="D663" t="str">
            <v>7812-01853</v>
          </cell>
          <cell r="M663" t="str">
            <v>9400 1118 9956 1197 2734 41</v>
          </cell>
        </row>
        <row r="664">
          <cell r="D664" t="str">
            <v>7818-14309</v>
          </cell>
          <cell r="M664" t="str">
            <v>9400 1118 9956 1751 1287 81</v>
          </cell>
        </row>
        <row r="665">
          <cell r="D665" t="str">
            <v>7823-02259</v>
          </cell>
          <cell r="M665" t="str">
            <v>9402 1118 9956 1107 2561 28</v>
          </cell>
        </row>
        <row r="666">
          <cell r="D666" t="str">
            <v>7812-00578</v>
          </cell>
          <cell r="M666" t="str">
            <v>9400 1118 9956 1197 2167 52</v>
          </cell>
        </row>
        <row r="667">
          <cell r="D667" t="str">
            <v>7818-10465</v>
          </cell>
          <cell r="M667" t="str">
            <v>9400 1118 9956 1161 2687 94</v>
          </cell>
        </row>
        <row r="668">
          <cell r="D668" t="str">
            <v>7818-09015</v>
          </cell>
          <cell r="M668" t="str">
            <v>9402 1118 9956 1191 3786 38</v>
          </cell>
        </row>
        <row r="669">
          <cell r="D669" t="str">
            <v>7818-09276</v>
          </cell>
          <cell r="M669" t="str">
            <v>9402 1118 9956 1191 8579 73</v>
          </cell>
        </row>
        <row r="670">
          <cell r="D670" t="str">
            <v>7818-20376</v>
          </cell>
          <cell r="M670" t="str">
            <v>9402 1118 9956 1191 2376 07</v>
          </cell>
        </row>
        <row r="671">
          <cell r="D671" t="str">
            <v>7818-17016</v>
          </cell>
          <cell r="M671" t="str">
            <v>9402 1118 9956 1160 0079 58</v>
          </cell>
        </row>
        <row r="672">
          <cell r="D672" t="str">
            <v>7818-10469</v>
          </cell>
          <cell r="M672" t="str">
            <v>9402 1118 9956 1122 2547 72</v>
          </cell>
        </row>
        <row r="673">
          <cell r="D673" t="str">
            <v>7812-00006</v>
          </cell>
          <cell r="M673" t="str">
            <v>9402 1118 9956 1120 5006 04</v>
          </cell>
        </row>
        <row r="674">
          <cell r="D674" t="str">
            <v>7818-16009</v>
          </cell>
          <cell r="M674" t="str">
            <v>9402 1118 9956 1191 5388 41</v>
          </cell>
        </row>
        <row r="675">
          <cell r="D675" t="str">
            <v>7818-15715</v>
          </cell>
          <cell r="M675" t="str">
            <v>9402 1118 9956 1191 8659 47</v>
          </cell>
        </row>
        <row r="676">
          <cell r="D676" t="str">
            <v>7818-11235</v>
          </cell>
          <cell r="M676" t="str">
            <v>9402 1118 9956 1191 2298 48</v>
          </cell>
        </row>
        <row r="677">
          <cell r="D677" t="str">
            <v>7818-14272</v>
          </cell>
          <cell r="M677" t="str">
            <v>9402 1118 9956 1191 5396 19</v>
          </cell>
        </row>
        <row r="678">
          <cell r="D678" t="str">
            <v>7818-18112</v>
          </cell>
          <cell r="M678" t="str">
            <v>9400 1118 9956 1127 7476 60</v>
          </cell>
        </row>
        <row r="679">
          <cell r="D679" t="str">
            <v>7818-18134</v>
          </cell>
          <cell r="M679" t="str">
            <v>9402 1118 9956 1127 1896 97</v>
          </cell>
        </row>
        <row r="680">
          <cell r="D680" t="str">
            <v>7812-02168</v>
          </cell>
          <cell r="M680" t="str">
            <v>9400 1118 9956 1120 5862 73</v>
          </cell>
        </row>
        <row r="681">
          <cell r="D681" t="str">
            <v>7823-02077</v>
          </cell>
          <cell r="M681" t="str">
            <v>9402 1118 9956 1120 7343 82</v>
          </cell>
        </row>
        <row r="682">
          <cell r="D682" t="str">
            <v>7812-01703</v>
          </cell>
          <cell r="M682" t="str">
            <v>9402 1118 9956 1105 6139 09</v>
          </cell>
        </row>
        <row r="683">
          <cell r="D683" t="str">
            <v>7810-01365</v>
          </cell>
          <cell r="M683" t="str">
            <v>9402 1118 9956 1197 5553 16</v>
          </cell>
        </row>
        <row r="684">
          <cell r="D684" t="str">
            <v>7818-06022</v>
          </cell>
          <cell r="M684" t="str">
            <v>9402 1118 9956 1191 3981 55</v>
          </cell>
        </row>
        <row r="685">
          <cell r="D685" t="str">
            <v>7818-03540</v>
          </cell>
          <cell r="M685" t="str">
            <v>9402 1118 9956 1190 8472 65</v>
          </cell>
        </row>
        <row r="686">
          <cell r="D686" t="str">
            <v>7818-18294</v>
          </cell>
          <cell r="M686" t="str">
            <v>9402 1118 9956 1101 7193 93</v>
          </cell>
        </row>
        <row r="687">
          <cell r="D687" t="str">
            <v>7823-00005</v>
          </cell>
          <cell r="M687" t="str">
            <v>9400 1118 9956 1197 5956 66</v>
          </cell>
        </row>
        <row r="688">
          <cell r="D688" t="str">
            <v>7823-01452</v>
          </cell>
          <cell r="M688" t="str">
            <v>9402 1118 9956 1190 8809 65</v>
          </cell>
        </row>
        <row r="689">
          <cell r="D689" t="str">
            <v>7818-10435</v>
          </cell>
          <cell r="M689" t="str">
            <v>9402 1118 9956 1191 8202 43</v>
          </cell>
        </row>
        <row r="690">
          <cell r="D690" t="str">
            <v>7818-10662</v>
          </cell>
          <cell r="M690" t="str">
            <v>9402 1118 9956 1191 0017 89</v>
          </cell>
        </row>
        <row r="691">
          <cell r="D691" t="str">
            <v>7818-10684</v>
          </cell>
          <cell r="M691" t="str">
            <v>9400 1118 9956 1160 0780 66</v>
          </cell>
        </row>
        <row r="692">
          <cell r="D692" t="str">
            <v>7818-07806</v>
          </cell>
          <cell r="M692" t="str">
            <v>9402 1118 9956 1190 8297 42</v>
          </cell>
        </row>
        <row r="693">
          <cell r="D693" t="str">
            <v>7818-02514</v>
          </cell>
          <cell r="M693" t="str">
            <v>9400 1118 9956 1107 4444 42</v>
          </cell>
        </row>
        <row r="694">
          <cell r="D694" t="str">
            <v>7818-14906</v>
          </cell>
          <cell r="M694" t="str">
            <v>9400 1118 9956 1101 5014 79</v>
          </cell>
        </row>
        <row r="695">
          <cell r="D695" t="str">
            <v>7818-14269</v>
          </cell>
          <cell r="M695" t="str">
            <v>9400 1118 9956 1105 7408 50</v>
          </cell>
        </row>
        <row r="696">
          <cell r="D696" t="str">
            <v>7823-02100</v>
          </cell>
          <cell r="M696" t="str">
            <v>9400 1118 9956 1107 4900 36</v>
          </cell>
        </row>
        <row r="697">
          <cell r="D697" t="str">
            <v>7823-01453</v>
          </cell>
          <cell r="M697" t="str">
            <v>9400 1118 9956 1107 7733 75</v>
          </cell>
        </row>
        <row r="698">
          <cell r="D698" t="str">
            <v>7823-01402</v>
          </cell>
          <cell r="M698" t="str">
            <v>9402 1118 9956 1193 6303 83</v>
          </cell>
        </row>
        <row r="699">
          <cell r="D699" t="str">
            <v>7823-01604</v>
          </cell>
          <cell r="M699" t="str">
            <v>9400 1118 9956 1193 4800 10</v>
          </cell>
        </row>
        <row r="700">
          <cell r="D700" t="str">
            <v>7818-18528</v>
          </cell>
          <cell r="M700" t="str">
            <v>9400 1118 9956 1193 6739 79</v>
          </cell>
        </row>
        <row r="701">
          <cell r="D701" t="str">
            <v>7818-09952</v>
          </cell>
          <cell r="M701" t="str">
            <v>9402 1118 9956 1105 6998 35</v>
          </cell>
        </row>
        <row r="702">
          <cell r="D702" t="str">
            <v>7818-07752</v>
          </cell>
          <cell r="M702" t="str">
            <v>9400 1118 9956 1107 4704 41</v>
          </cell>
        </row>
        <row r="703">
          <cell r="D703" t="str">
            <v>7818-18528</v>
          </cell>
          <cell r="M703" t="str">
            <v>9400 1118 9956 1112 4416 10</v>
          </cell>
        </row>
        <row r="704">
          <cell r="D704" t="str">
            <v>7823-01453</v>
          </cell>
          <cell r="M704" t="str">
            <v>9400 1118 9956 1112 4142 94</v>
          </cell>
        </row>
        <row r="705">
          <cell r="D705" t="str">
            <v>7818-08018</v>
          </cell>
          <cell r="M705" t="str">
            <v>9400 1118 9956 1107 4582 89</v>
          </cell>
        </row>
        <row r="706">
          <cell r="D706" t="str">
            <v>7812-01100</v>
          </cell>
          <cell r="M706" t="str">
            <v>9400 1118 9956 1107 2460 08</v>
          </cell>
        </row>
        <row r="707">
          <cell r="D707" t="str">
            <v>7812-02571</v>
          </cell>
          <cell r="M707" t="str">
            <v>9402 1118 9956 1193 4081 35</v>
          </cell>
        </row>
        <row r="708">
          <cell r="D708" t="str">
            <v>7812-01985</v>
          </cell>
          <cell r="M708" t="str">
            <v>9400 1118 9956 1101 5059 96</v>
          </cell>
        </row>
        <row r="709">
          <cell r="D709" t="str">
            <v>7818-14838</v>
          </cell>
          <cell r="M709" t="str">
            <v>9402 1118 9956 1102 0475 85</v>
          </cell>
        </row>
        <row r="710">
          <cell r="D710" t="str">
            <v>7812-01715</v>
          </cell>
          <cell r="M710" t="str">
            <v>9400 1118 9956 1176 4377 10</v>
          </cell>
        </row>
        <row r="711">
          <cell r="D711" t="str">
            <v>7812-02492</v>
          </cell>
          <cell r="M711" t="str">
            <v>9400 1118 9956 1107 6427 87</v>
          </cell>
        </row>
        <row r="712">
          <cell r="D712" t="str">
            <v>7823-01853</v>
          </cell>
          <cell r="M712" t="str">
            <v>9400 1118 9956 1214 6989 05</v>
          </cell>
        </row>
        <row r="713">
          <cell r="D713" t="str">
            <v>7818-17171</v>
          </cell>
          <cell r="M713" t="str">
            <v>9400 1118 9956 1160 5352 00</v>
          </cell>
        </row>
        <row r="714">
          <cell r="D714" t="str">
            <v>7812-02394</v>
          </cell>
          <cell r="M714" t="str">
            <v>9400 1118 9956 1160 3180 32</v>
          </cell>
        </row>
        <row r="715">
          <cell r="D715" t="str">
            <v>7818-15485</v>
          </cell>
          <cell r="M715" t="str">
            <v>9400 1118 9956 1101 7185 32</v>
          </cell>
        </row>
        <row r="716">
          <cell r="D716" t="str">
            <v>7818-05622</v>
          </cell>
          <cell r="M716" t="str">
            <v>9402 1118 9956 1198 9685 34</v>
          </cell>
        </row>
        <row r="717">
          <cell r="D717" t="str">
            <v>7818-17156</v>
          </cell>
          <cell r="M717" t="str">
            <v>9400 1118 9956 1107 6976 19</v>
          </cell>
        </row>
        <row r="718">
          <cell r="D718" t="str">
            <v>7811-00189</v>
          </cell>
          <cell r="M718" t="str">
            <v>9400 1118 9956 1101 7410 28</v>
          </cell>
        </row>
        <row r="719">
          <cell r="D719" t="str">
            <v>7818-04680</v>
          </cell>
          <cell r="M719" t="str">
            <v>9400 1118 9956 1160 5480 71</v>
          </cell>
        </row>
        <row r="720">
          <cell r="D720" t="str">
            <v>7818-11244</v>
          </cell>
          <cell r="M720" t="str">
            <v>9400 1118 9956 1160 5246 79</v>
          </cell>
        </row>
        <row r="721">
          <cell r="D721" t="str">
            <v>7812-01718</v>
          </cell>
          <cell r="M721" t="str">
            <v>9400 11118 9956 1766 9314 37</v>
          </cell>
        </row>
        <row r="722">
          <cell r="D722" t="str">
            <v>7812-02495</v>
          </cell>
          <cell r="M722" t="str">
            <v>9400 1118 9956 1766 9362 58</v>
          </cell>
        </row>
        <row r="723">
          <cell r="D723" t="str">
            <v>7812-01726</v>
          </cell>
          <cell r="M723" t="str">
            <v>9400 1118 9956 1112 7742 37</v>
          </cell>
        </row>
        <row r="724">
          <cell r="D724" t="str">
            <v>7810-00452</v>
          </cell>
          <cell r="M724" t="str">
            <v>9400 1118 9956 1107 2116 00</v>
          </cell>
        </row>
        <row r="725">
          <cell r="D725" t="str">
            <v>7818-14535</v>
          </cell>
          <cell r="M725" t="str">
            <v>9400 1118 9956 1729 6390 42</v>
          </cell>
        </row>
        <row r="726">
          <cell r="D726" t="str">
            <v>7811-00183</v>
          </cell>
          <cell r="M726" t="str">
            <v>9400 1118 9956 1182 8619 74</v>
          </cell>
        </row>
        <row r="727">
          <cell r="D727" t="str">
            <v>7818-13910</v>
          </cell>
          <cell r="M727" t="str">
            <v>9400 1118 9956 1160 5764 25</v>
          </cell>
        </row>
        <row r="728">
          <cell r="D728" t="str">
            <v>7818-16902</v>
          </cell>
          <cell r="M728" t="str">
            <v>9400 1118 9956 1101 7006 43</v>
          </cell>
        </row>
        <row r="729">
          <cell r="D729" t="str">
            <v>7818-15229</v>
          </cell>
          <cell r="M729" t="str">
            <v>9400 1118 9956 1107 4225 25</v>
          </cell>
        </row>
        <row r="730">
          <cell r="D730" t="str">
            <v>7818-15620</v>
          </cell>
          <cell r="M730" t="str">
            <v>9400 1118 9956 1101 7306 40</v>
          </cell>
        </row>
        <row r="731">
          <cell r="D731" t="str">
            <v>7818-14351</v>
          </cell>
          <cell r="M731" t="str">
            <v>9400 1118 9956 1160 2866 14</v>
          </cell>
        </row>
        <row r="732">
          <cell r="D732" t="str">
            <v>7818-16610</v>
          </cell>
          <cell r="M732" t="str">
            <v>9400 1118 9956 1281 6521 83</v>
          </cell>
        </row>
        <row r="733">
          <cell r="D733" t="str">
            <v>7812-01724</v>
          </cell>
          <cell r="M733" t="str">
            <v>9400 1118 9956 1101 7459 58</v>
          </cell>
        </row>
        <row r="734">
          <cell r="D734" t="str">
            <v>7823-00989</v>
          </cell>
          <cell r="M734" t="str">
            <v>9400 1118 9956 1176 1274 51</v>
          </cell>
        </row>
        <row r="735">
          <cell r="D735" t="str">
            <v>7818-15342</v>
          </cell>
          <cell r="M735" t="str">
            <v>9402 1118 9956 1176 1553 91</v>
          </cell>
        </row>
        <row r="736">
          <cell r="D736" t="str">
            <v>7812-01198</v>
          </cell>
          <cell r="M736" t="str">
            <v>9400 1118 9956 1153 9560 36</v>
          </cell>
        </row>
        <row r="737">
          <cell r="D737" t="str">
            <v>7818-13538</v>
          </cell>
          <cell r="M737" t="str">
            <v>9400 1118 9956 1176 1985 50</v>
          </cell>
        </row>
        <row r="738">
          <cell r="D738" t="str">
            <v>7810-01267</v>
          </cell>
          <cell r="M738" t="str">
            <v>9400 1118 9956 1153 6890 33</v>
          </cell>
        </row>
        <row r="739">
          <cell r="D739" t="str">
            <v>7810-00670</v>
          </cell>
          <cell r="M739" t="str">
            <v>9400 1118 9956 1153 6521 05</v>
          </cell>
        </row>
        <row r="740">
          <cell r="D740" t="str">
            <v>7810-00764</v>
          </cell>
          <cell r="M740" t="str">
            <v>9400 1118 9956 1176 1765 96</v>
          </cell>
        </row>
        <row r="741">
          <cell r="D741" t="str">
            <v>7818-04145</v>
          </cell>
          <cell r="M741" t="str">
            <v>9400 1118 9956 1176 1531 53</v>
          </cell>
        </row>
        <row r="742">
          <cell r="D742" t="str">
            <v>7818-14836</v>
          </cell>
          <cell r="M742" t="str">
            <v>9400 1118 9956 1153 9726 54</v>
          </cell>
        </row>
        <row r="743">
          <cell r="D743" t="str">
            <v>7824-00239</v>
          </cell>
          <cell r="M743" t="str">
            <v>9400 1118 9956 1176 1505 89</v>
          </cell>
        </row>
        <row r="744">
          <cell r="D744" t="str">
            <v>7818-10964</v>
          </cell>
          <cell r="M744" t="str">
            <v>9402 1118 9956 1176 1945 29</v>
          </cell>
        </row>
        <row r="745">
          <cell r="D745" t="str">
            <v>7818-10482</v>
          </cell>
          <cell r="M745" t="str">
            <v>9400 1118 9956 1275 6354 51</v>
          </cell>
        </row>
        <row r="746">
          <cell r="D746" t="str">
            <v>7818-10607</v>
          </cell>
          <cell r="M746" t="str">
            <v>9400 1118 9956 1176 4193 03</v>
          </cell>
        </row>
        <row r="747">
          <cell r="D747" t="str">
            <v>7818-11519</v>
          </cell>
          <cell r="M747" t="str">
            <v>9400 1118 9956 1214 6581 07</v>
          </cell>
        </row>
        <row r="748">
          <cell r="D748" t="str">
            <v>7818-18193</v>
          </cell>
          <cell r="M748" t="str">
            <v>9400 1118 9956 1176 1059 23</v>
          </cell>
        </row>
        <row r="749">
          <cell r="D749" t="str">
            <v>7818-03751</v>
          </cell>
          <cell r="M749" t="str">
            <v>9400 1118 9956 1176 1849 04</v>
          </cell>
        </row>
        <row r="750">
          <cell r="D750" t="str">
            <v>7810-01390</v>
          </cell>
          <cell r="M750" t="str">
            <v>9400 1118 9956 1176 1863 42</v>
          </cell>
        </row>
        <row r="751">
          <cell r="D751" t="str">
            <v>7810-00769</v>
          </cell>
          <cell r="M751" t="str">
            <v>9400 1118 9956 1176 1070 71</v>
          </cell>
        </row>
        <row r="752">
          <cell r="D752" t="str">
            <v>7818-12887</v>
          </cell>
          <cell r="M752" t="str">
            <v>9402 1118 9956 1176 1814 99</v>
          </cell>
        </row>
        <row r="753">
          <cell r="D753" t="str">
            <v>7812-02627</v>
          </cell>
          <cell r="M753" t="str">
            <v>9400 1118 9956 1176 4124 58</v>
          </cell>
        </row>
        <row r="754">
          <cell r="D754" t="str">
            <v>7829-00127</v>
          </cell>
          <cell r="M754" t="str">
            <v>9400 1118 9956 1176 1655 90</v>
          </cell>
        </row>
        <row r="755">
          <cell r="D755" t="str">
            <v>7829-00126</v>
          </cell>
          <cell r="M755" t="str">
            <v>9400 1118 9956 1176 4395 61</v>
          </cell>
        </row>
        <row r="756">
          <cell r="D756" t="str">
            <v>7811-00190</v>
          </cell>
          <cell r="M756" t="str">
            <v>9400 1118 9956 1111 2677 54</v>
          </cell>
        </row>
        <row r="757">
          <cell r="D757" t="str">
            <v>7823-01107</v>
          </cell>
          <cell r="M757" t="str">
            <v>9400 1118 9956 1111 7510 93</v>
          </cell>
        </row>
        <row r="758">
          <cell r="D758" t="str">
            <v>7818-15630</v>
          </cell>
          <cell r="M758" t="str">
            <v>9400 1118 9956 1111 2164 31</v>
          </cell>
        </row>
        <row r="759">
          <cell r="D759" t="str">
            <v>7818-19604</v>
          </cell>
          <cell r="M759" t="str">
            <v>9400 1118 9956 1111 1456 56</v>
          </cell>
        </row>
        <row r="760">
          <cell r="D760" t="str">
            <v>7811-00099</v>
          </cell>
          <cell r="M760" t="str">
            <v>9400 1118 9956 1111 1523 02</v>
          </cell>
        </row>
        <row r="761">
          <cell r="D761" t="str">
            <v>7812-02702</v>
          </cell>
          <cell r="M761" t="str">
            <v>9400 1118 9956 1111 7011 59</v>
          </cell>
        </row>
        <row r="762">
          <cell r="D762" t="str">
            <v>7812-02493</v>
          </cell>
          <cell r="M762" t="str">
            <v>9400 1118 9956 1111 7679 71</v>
          </cell>
        </row>
        <row r="763">
          <cell r="D763" t="str">
            <v>7812-01748</v>
          </cell>
          <cell r="M763" t="str">
            <v>9400 1118 9956 1111 9987 64</v>
          </cell>
        </row>
        <row r="764">
          <cell r="D764" t="str">
            <v>7812-01862</v>
          </cell>
          <cell r="M764" t="str">
            <v>9400 1118 9956 1111 1648 00</v>
          </cell>
        </row>
        <row r="765">
          <cell r="D765" t="str">
            <v>7812-02650</v>
          </cell>
          <cell r="M765" t="str">
            <v>9400 1118 9956 1131 3551 65</v>
          </cell>
        </row>
        <row r="766">
          <cell r="D766" t="str">
            <v>7818-14038</v>
          </cell>
          <cell r="M766" t="str">
            <v>9400 1118 9956 1729 5902 51</v>
          </cell>
        </row>
        <row r="767">
          <cell r="D767" t="str">
            <v>7818-06843</v>
          </cell>
          <cell r="M767" t="str">
            <v>9400 1118 9956 1792 6133 45</v>
          </cell>
        </row>
        <row r="768">
          <cell r="D768" t="str">
            <v>7810-01308</v>
          </cell>
          <cell r="M768" t="str">
            <v>9400 1118 9956 1131 0687 06</v>
          </cell>
        </row>
        <row r="769">
          <cell r="D769" t="str">
            <v>7810-01104</v>
          </cell>
          <cell r="M769" t="str">
            <v>9400 1118 9956 1729 4227 36</v>
          </cell>
        </row>
        <row r="770">
          <cell r="D770" t="str">
            <v>7810-01275</v>
          </cell>
          <cell r="M770" t="str">
            <v>9400 1118 9956 1729 4684 20</v>
          </cell>
        </row>
        <row r="771">
          <cell r="D771" t="str">
            <v>7810-00603</v>
          </cell>
          <cell r="M771" t="str">
            <v>9400 1118 9956 1131 3896 72</v>
          </cell>
        </row>
        <row r="772">
          <cell r="D772" t="str">
            <v>7818-18308</v>
          </cell>
          <cell r="M772" t="str">
            <v>9400 1118 9956 1275 6358 57</v>
          </cell>
        </row>
        <row r="773">
          <cell r="D773" t="str">
            <v>7818-16901</v>
          </cell>
          <cell r="M773" t="str">
            <v>9400 1118 9956 1131 3567 42</v>
          </cell>
        </row>
        <row r="774">
          <cell r="D774" t="str">
            <v>7818-09055</v>
          </cell>
          <cell r="M774" t="str">
            <v>9400 1118 9956 1727 8417 99</v>
          </cell>
        </row>
        <row r="775">
          <cell r="D775" t="str">
            <v>7133-00057</v>
          </cell>
          <cell r="M775" t="str">
            <v>9400 1118 9956 1130 5530 43</v>
          </cell>
        </row>
        <row r="776">
          <cell r="D776" t="str">
            <v>7823-02261</v>
          </cell>
          <cell r="M776" t="str">
            <v>9400 1118 9956 1281 6988 60</v>
          </cell>
        </row>
        <row r="777">
          <cell r="D777" t="str">
            <v>7818-19022</v>
          </cell>
          <cell r="M777" t="str">
            <v>9400 1118 9956 1705 1913 04</v>
          </cell>
        </row>
        <row r="778">
          <cell r="D778" t="str">
            <v>7818-14794</v>
          </cell>
          <cell r="M778" t="str">
            <v>9400 1118 9956 1790 5602 90</v>
          </cell>
        </row>
        <row r="779">
          <cell r="D779" t="str">
            <v>7818-10701</v>
          </cell>
          <cell r="M779" t="str">
            <v>9400 1118 9956 1705 1496 26</v>
          </cell>
        </row>
        <row r="780">
          <cell r="D780" t="str">
            <v>7818-13314</v>
          </cell>
          <cell r="M780" t="str">
            <v>9400 1118 9956 1790 7167 34</v>
          </cell>
        </row>
        <row r="781">
          <cell r="D781" t="str">
            <v>7818-20161</v>
          </cell>
          <cell r="M781" t="str">
            <v>9400 1118 9956 1790 7011 74</v>
          </cell>
        </row>
        <row r="782">
          <cell r="D782" t="str">
            <v>7818-20938</v>
          </cell>
          <cell r="M782" t="str">
            <v>9400 1118 9956 1790 7574 85</v>
          </cell>
        </row>
        <row r="783">
          <cell r="D783" t="str">
            <v>7812-01482</v>
          </cell>
          <cell r="M783" t="str">
            <v>9400 1118 9956 1799 4822 34</v>
          </cell>
        </row>
        <row r="784">
          <cell r="D784" t="str">
            <v>7812-02509</v>
          </cell>
          <cell r="M784" t="str">
            <v>9400 1118 9956 1790 7056 08</v>
          </cell>
        </row>
        <row r="785">
          <cell r="D785" t="str">
            <v>7812-02512</v>
          </cell>
          <cell r="M785" t="str">
            <v>9400 1118 9956 1790 5836 19</v>
          </cell>
        </row>
        <row r="786">
          <cell r="D786" t="str">
            <v>7824-00238</v>
          </cell>
          <cell r="M786" t="str">
            <v>9400 1118 9956 1790 5020 78</v>
          </cell>
        </row>
        <row r="787">
          <cell r="D787" t="str">
            <v>7812-01843</v>
          </cell>
          <cell r="M787" t="str">
            <v>9400 1118 9956 1705 1745 50</v>
          </cell>
        </row>
        <row r="788">
          <cell r="D788" t="str">
            <v>7818-12734</v>
          </cell>
          <cell r="M788" t="str">
            <v>9400 1118 9956 1769 5360 35</v>
          </cell>
        </row>
        <row r="789">
          <cell r="D789" t="str">
            <v>7824-00245</v>
          </cell>
          <cell r="M789" t="str">
            <v>9400 1118 9956 1766 6796 74</v>
          </cell>
        </row>
        <row r="790">
          <cell r="D790" t="str">
            <v>7812-01745</v>
          </cell>
          <cell r="M790" t="str">
            <v>9400 1118 9956 1782 3126 78</v>
          </cell>
        </row>
        <row r="791">
          <cell r="D791" t="str">
            <v>7818-20186</v>
          </cell>
          <cell r="M791" t="str">
            <v>9400 1118 9956 1782 8480 85</v>
          </cell>
        </row>
        <row r="792">
          <cell r="D792" t="str">
            <v>7818-20185</v>
          </cell>
          <cell r="M792" t="str">
            <v>9400 1118 9956 1766 6252 44</v>
          </cell>
        </row>
        <row r="793">
          <cell r="D793" t="str">
            <v>7818-00779</v>
          </cell>
          <cell r="M793" t="str">
            <v>9400 1118 9956 1766 6153 75</v>
          </cell>
        </row>
        <row r="794">
          <cell r="D794" t="str">
            <v>7818-20183</v>
          </cell>
          <cell r="M794" t="str">
            <v>9400 1118 9956 1782 3325 53</v>
          </cell>
        </row>
        <row r="795">
          <cell r="D795" t="str">
            <v>7818-00808</v>
          </cell>
          <cell r="M795" t="str">
            <v>9400 1118 9956 1782 3434 29</v>
          </cell>
        </row>
        <row r="796">
          <cell r="D796" t="str">
            <v>7823-02083</v>
          </cell>
          <cell r="M796" t="str">
            <v>9400 1118 9956 1766 6951 93</v>
          </cell>
        </row>
        <row r="797">
          <cell r="D797" t="str">
            <v>7818-03970</v>
          </cell>
          <cell r="M797" t="str">
            <v>9400 1118 9956 1780 8697 23</v>
          </cell>
        </row>
        <row r="798">
          <cell r="D798" t="str">
            <v>7818-18802</v>
          </cell>
          <cell r="M798" t="str">
            <v>9400 1118 9956 1754 5064 18</v>
          </cell>
        </row>
        <row r="799">
          <cell r="D799" t="str">
            <v>7818-17010</v>
          </cell>
          <cell r="M799" t="str">
            <v>9400 1118 9956 1256 7219 51</v>
          </cell>
        </row>
        <row r="800">
          <cell r="D800" t="str">
            <v>7818-20469</v>
          </cell>
          <cell r="M800" t="str">
            <v>9400 1118 9956 1780 8907 72</v>
          </cell>
        </row>
        <row r="801">
          <cell r="D801" t="str">
            <v>7824-00250</v>
          </cell>
          <cell r="M801" t="str">
            <v>9400 1118 9956 1782 6583 94</v>
          </cell>
        </row>
        <row r="802">
          <cell r="D802" t="str">
            <v>7824-00226</v>
          </cell>
          <cell r="M802" t="str">
            <v>9400 1118 9956 1215 8820 13</v>
          </cell>
        </row>
        <row r="803">
          <cell r="D803" t="str">
            <v>7818-18929</v>
          </cell>
          <cell r="M803" t="str">
            <v>9400 1118 9956 1275 4201 32</v>
          </cell>
        </row>
        <row r="804">
          <cell r="D804" t="str">
            <v>7818-09192</v>
          </cell>
          <cell r="M804" t="str">
            <v>9400 1118 9956 1275 9866 90</v>
          </cell>
        </row>
        <row r="805">
          <cell r="D805" t="str">
            <v>7818-19186</v>
          </cell>
          <cell r="M805" t="str">
            <v>9400 1118 9956 1275 4569 19</v>
          </cell>
        </row>
        <row r="806">
          <cell r="D806" t="str">
            <v>7818-12858</v>
          </cell>
          <cell r="M806" t="str">
            <v>9400 1118 9956 1214 4290 97</v>
          </cell>
        </row>
        <row r="807">
          <cell r="D807" t="str">
            <v>7818-12835</v>
          </cell>
          <cell r="M807" t="str">
            <v>9402 1118 9956 1275 4536 97</v>
          </cell>
        </row>
        <row r="808">
          <cell r="D808" t="str">
            <v>7812-01737</v>
          </cell>
          <cell r="M808" t="str">
            <v>9402 1118 9956 1238 9633 84</v>
          </cell>
        </row>
        <row r="809">
          <cell r="D809" t="str">
            <v>7812-01755</v>
          </cell>
          <cell r="M809" t="str">
            <v>9400 1118 9956 1230 0331 48</v>
          </cell>
        </row>
        <row r="810">
          <cell r="D810" t="str">
            <v>7823-00055</v>
          </cell>
          <cell r="M810" t="str">
            <v>9400 1118 9956 1238 9168 87</v>
          </cell>
        </row>
        <row r="811">
          <cell r="D811" t="str">
            <v>7820-00015</v>
          </cell>
          <cell r="M811" t="str">
            <v>9400 1118 9956 1238 9393 50</v>
          </cell>
        </row>
        <row r="812">
          <cell r="D812" t="str">
            <v>7818-06468</v>
          </cell>
          <cell r="M812" t="str">
            <v>9400 1118 9956 1238 9296 56</v>
          </cell>
        </row>
        <row r="813">
          <cell r="D813" t="str">
            <v>7818-07530</v>
          </cell>
          <cell r="M813" t="str">
            <v>9400 1118 9956 1230 0509 92</v>
          </cell>
        </row>
        <row r="814">
          <cell r="D814" t="str">
            <v>7818-12417</v>
          </cell>
          <cell r="M814" t="str">
            <v>9402 1118 9956 1016 0128 45</v>
          </cell>
        </row>
        <row r="815">
          <cell r="D815" t="str">
            <v>7823-01147</v>
          </cell>
          <cell r="M815" t="str">
            <v>9402 1118 9956 1070 0157 13</v>
          </cell>
        </row>
        <row r="816">
          <cell r="D816" t="str">
            <v>7812-03015</v>
          </cell>
          <cell r="M816" t="str">
            <v>9402 1118 9956 1016 2398 09</v>
          </cell>
        </row>
        <row r="817">
          <cell r="D817" t="str">
            <v>7823-02167</v>
          </cell>
          <cell r="M817" t="str">
            <v>9402 1118 9956 1016 2979 60</v>
          </cell>
        </row>
        <row r="818">
          <cell r="D818" t="str">
            <v>7823-02008</v>
          </cell>
          <cell r="M818" t="str">
            <v>9400 1118 9956 1660 3656 81</v>
          </cell>
        </row>
        <row r="819">
          <cell r="D819" t="str">
            <v>7818-17162</v>
          </cell>
          <cell r="M819" t="str">
            <v>9402 1118 9956 1654 2158 38</v>
          </cell>
        </row>
        <row r="820">
          <cell r="D820" t="str">
            <v>7818-20484</v>
          </cell>
          <cell r="M820" t="str">
            <v>9402 1118 9956 1635 0988 49</v>
          </cell>
        </row>
        <row r="821">
          <cell r="D821" t="str">
            <v>7818-22941</v>
          </cell>
          <cell r="M821" t="str">
            <v>9402 1118 9956 1675 6663 29</v>
          </cell>
        </row>
        <row r="822">
          <cell r="D822" t="str">
            <v>7818-13086</v>
          </cell>
          <cell r="M822" t="str">
            <v>9402 1118 9956 2804 4133 53</v>
          </cell>
        </row>
        <row r="823">
          <cell r="D823" t="str">
            <v>7818-19101</v>
          </cell>
          <cell r="M823" t="str">
            <v>9402 1118 9956 2882 2191 62</v>
          </cell>
        </row>
        <row r="824">
          <cell r="D824" t="str">
            <v>7818-19643</v>
          </cell>
          <cell r="M824" t="str">
            <v>9400 1118 9956 2845 6672 10</v>
          </cell>
        </row>
        <row r="825">
          <cell r="D825" t="str">
            <v>7818-20579</v>
          </cell>
          <cell r="M825" t="str">
            <v>9402 1118 9956 2842 2433 02</v>
          </cell>
        </row>
        <row r="826">
          <cell r="D826" t="str">
            <v>7818-20583</v>
          </cell>
          <cell r="M826" t="str">
            <v>9402 1118 9956 2422 2268 65</v>
          </cell>
        </row>
        <row r="827">
          <cell r="D827" t="str">
            <v>7818-22545</v>
          </cell>
          <cell r="M827" t="str">
            <v>9402 1118 9956 2836 3459 85</v>
          </cell>
        </row>
        <row r="828">
          <cell r="D828" t="str">
            <v>7818-21622</v>
          </cell>
          <cell r="M828" t="str">
            <v>9402 1118 9956 2836 3127 10</v>
          </cell>
        </row>
        <row r="829">
          <cell r="D829" t="str">
            <v>7812-02059</v>
          </cell>
          <cell r="M829" t="str">
            <v>9402 1118 9956 2836 3734 14</v>
          </cell>
        </row>
        <row r="830">
          <cell r="D830" t="str">
            <v>7818-02565</v>
          </cell>
          <cell r="M830" t="str">
            <v>9400 1118 9956 2493 9431 44</v>
          </cell>
        </row>
        <row r="831">
          <cell r="D831" t="str">
            <v>7810-01345</v>
          </cell>
          <cell r="M831" t="str">
            <v>9402 1118 9956 2493 9138 86</v>
          </cell>
        </row>
        <row r="832">
          <cell r="D832" t="str">
            <v>7818-02690</v>
          </cell>
          <cell r="M832" t="str">
            <v>9400 1118 9956 2836 3546 75</v>
          </cell>
        </row>
        <row r="833">
          <cell r="D833" t="str">
            <v>7824-00283</v>
          </cell>
          <cell r="M833" t="str">
            <v>9400 1118 9956 2409 3348 20</v>
          </cell>
        </row>
        <row r="834">
          <cell r="D834" t="str">
            <v>7823-02476</v>
          </cell>
          <cell r="M834" t="str">
            <v>9400 1118 9956 2409 8971 34</v>
          </cell>
        </row>
        <row r="835">
          <cell r="D835" t="str">
            <v>7818-20304</v>
          </cell>
          <cell r="M835" t="str">
            <v>9400 1118 9956 2493 9189 51</v>
          </cell>
        </row>
        <row r="836">
          <cell r="D836" t="str">
            <v>7812-02634</v>
          </cell>
          <cell r="M836" t="str">
            <v>9400 1118 9956 2493 9485 52</v>
          </cell>
        </row>
        <row r="837">
          <cell r="D837" t="str">
            <v>7812-02642</v>
          </cell>
          <cell r="M837" t="str">
            <v>9400 1118 9956 2409 3806 98</v>
          </cell>
        </row>
        <row r="838">
          <cell r="D838" t="str">
            <v>7812-02643</v>
          </cell>
          <cell r="M838" t="str">
            <v>9400 1118 9956 2409 3031 23</v>
          </cell>
        </row>
        <row r="839">
          <cell r="D839" t="str">
            <v>7824-00270</v>
          </cell>
          <cell r="M839" t="str">
            <v>9400 1118 9956 2409 3368 48</v>
          </cell>
        </row>
        <row r="840">
          <cell r="D840" t="str">
            <v>7818-23157</v>
          </cell>
          <cell r="M840" t="str">
            <v>9402 1118 9956 2409 8169 73</v>
          </cell>
        </row>
        <row r="841">
          <cell r="D841" t="str">
            <v>7818-23602</v>
          </cell>
          <cell r="M841" t="str">
            <v>9400 1118 9956 2409 3593 80</v>
          </cell>
        </row>
        <row r="842">
          <cell r="D842" t="str">
            <v>7818-17094</v>
          </cell>
          <cell r="M842" t="str">
            <v>9400 1118 9956 2402 9597 23</v>
          </cell>
        </row>
        <row r="843">
          <cell r="D843" t="str">
            <v>7818-23613</v>
          </cell>
          <cell r="M843" t="str">
            <v>9400 1118 9956 2402 1772 64</v>
          </cell>
        </row>
        <row r="844">
          <cell r="D844" t="str">
            <v>7818-23618</v>
          </cell>
          <cell r="M844" t="str">
            <v>9400 1118 9956 2409 2757 58</v>
          </cell>
        </row>
        <row r="845">
          <cell r="D845" t="str">
            <v>7818-23612</v>
          </cell>
          <cell r="M845" t="str">
            <v>9400 1118 9956 2409 2319 90</v>
          </cell>
        </row>
        <row r="846">
          <cell r="D846" t="str">
            <v>7818-23615</v>
          </cell>
          <cell r="M846" t="str">
            <v>9400 1118 9956 2402 1096 78</v>
          </cell>
        </row>
        <row r="847">
          <cell r="D847" t="str">
            <v>7818-14871</v>
          </cell>
          <cell r="M847" t="str">
            <v>9402 1118 9956 2409 8203 07</v>
          </cell>
        </row>
        <row r="848">
          <cell r="D848" t="str">
            <v>7818-11118</v>
          </cell>
          <cell r="M848" t="str">
            <v>9402 1118 9956 2456 8596 53</v>
          </cell>
        </row>
        <row r="849">
          <cell r="D849" t="str">
            <v>7810-01399</v>
          </cell>
          <cell r="M849" t="str">
            <v>9402 1118 9956 2486 0181 12</v>
          </cell>
        </row>
        <row r="850">
          <cell r="D850" t="str">
            <v>7818-14508</v>
          </cell>
          <cell r="M850" t="str">
            <v>9402 1118 9956 2470 7292 71</v>
          </cell>
        </row>
        <row r="851">
          <cell r="D851" t="str">
            <v>7818-16620</v>
          </cell>
          <cell r="M851" t="str">
            <v>9402 1118 9956 2472 0404 59</v>
          </cell>
        </row>
        <row r="852">
          <cell r="D852" t="str">
            <v>7818-03041</v>
          </cell>
          <cell r="M852" t="str">
            <v>9402 1118 9956 2470 5530 04</v>
          </cell>
        </row>
        <row r="853">
          <cell r="D853" t="str">
            <v>7812-01777</v>
          </cell>
          <cell r="M853" t="str">
            <v>9400 1118 9956 2470 1062 68</v>
          </cell>
        </row>
        <row r="854">
          <cell r="D854" t="str">
            <v>7812-01893</v>
          </cell>
          <cell r="M854" t="str">
            <v>9402 1118 9956 2520 8237 68</v>
          </cell>
        </row>
        <row r="855">
          <cell r="D855" t="str">
            <v>7818-13745</v>
          </cell>
          <cell r="M855" t="str">
            <v>9402 1118 9956 2520 2090 67</v>
          </cell>
        </row>
        <row r="856">
          <cell r="D856" t="str">
            <v>7818-12419</v>
          </cell>
          <cell r="M856" t="str">
            <v>9400 1111 0546 8820 1773 06</v>
          </cell>
        </row>
        <row r="857">
          <cell r="D857" t="str">
            <v>7818-12661</v>
          </cell>
          <cell r="M857" t="str">
            <v>9402 1118 9956 2540 9242 78</v>
          </cell>
        </row>
        <row r="858">
          <cell r="D858" t="str">
            <v>7812-03045</v>
          </cell>
          <cell r="M858" t="str">
            <v>9402 1118 9956 1731 6161 25</v>
          </cell>
        </row>
        <row r="859">
          <cell r="D859" t="str">
            <v>7818-20796</v>
          </cell>
          <cell r="M859" t="str">
            <v>9400 1118 9956 2573 7910 47</v>
          </cell>
        </row>
        <row r="860">
          <cell r="D860" t="str">
            <v>7818-12423</v>
          </cell>
          <cell r="M860" t="str">
            <v>1Z5063E0YW40924084</v>
          </cell>
        </row>
        <row r="861">
          <cell r="D861" t="str">
            <v>7823-02145</v>
          </cell>
          <cell r="M861" t="str">
            <v>1Z5063E0YW42027693</v>
          </cell>
        </row>
        <row r="862">
          <cell r="D862" t="str">
            <v>7811-00227</v>
          </cell>
          <cell r="M862" t="str">
            <v>1Z5063E0YW41251308</v>
          </cell>
        </row>
        <row r="863">
          <cell r="D863" t="str">
            <v>7818-22243</v>
          </cell>
          <cell r="M863" t="str">
            <v>1Z5063E0YW42152879</v>
          </cell>
        </row>
        <row r="864">
          <cell r="D864" t="str">
            <v>7818-24142</v>
          </cell>
          <cell r="M864" t="str">
            <v>1Z5063E0YW41778062</v>
          </cell>
        </row>
        <row r="865">
          <cell r="D865" t="str">
            <v>7818-16580</v>
          </cell>
          <cell r="M865" t="str">
            <v>1Z5063E0YW40200347</v>
          </cell>
        </row>
        <row r="866">
          <cell r="D866" t="str">
            <v>7818-17404</v>
          </cell>
          <cell r="M866" t="str">
            <v>1Z5063E0YW40940486</v>
          </cell>
        </row>
        <row r="867">
          <cell r="D867" t="str">
            <v>7818-22392</v>
          </cell>
          <cell r="M867" t="str">
            <v>1Z5063E0YW40886358</v>
          </cell>
        </row>
        <row r="868">
          <cell r="D868" t="str">
            <v>7818-22365</v>
          </cell>
          <cell r="M868" t="str">
            <v>1Z5063E0YW42241157</v>
          </cell>
        </row>
        <row r="869">
          <cell r="D869" t="str">
            <v>7818-10672</v>
          </cell>
          <cell r="M869" t="str">
            <v>1Z5063E0YW42246956</v>
          </cell>
        </row>
        <row r="870">
          <cell r="D870" t="str">
            <v>7818-23354</v>
          </cell>
          <cell r="M870" t="str">
            <v>1Z5063E0YW42310180</v>
          </cell>
        </row>
        <row r="871">
          <cell r="D871" t="str">
            <v>7818-18549</v>
          </cell>
          <cell r="M871" t="str">
            <v>1Z5063E0YW41552144</v>
          </cell>
        </row>
        <row r="872">
          <cell r="D872" t="str">
            <v>7818-22156</v>
          </cell>
          <cell r="M872" t="str">
            <v>9400 1118 9956 2533 7760 46</v>
          </cell>
        </row>
        <row r="873">
          <cell r="D873" t="str">
            <v>7818-24191</v>
          </cell>
          <cell r="M873" t="str">
            <v>1Z5063E0YW41714773</v>
          </cell>
        </row>
        <row r="874">
          <cell r="D874" t="str">
            <v>7818-14381</v>
          </cell>
          <cell r="M874" t="str">
            <v>1Z5063E0YW40922826</v>
          </cell>
        </row>
        <row r="875">
          <cell r="D875" t="str">
            <v>7818-23968</v>
          </cell>
          <cell r="M875" t="str">
            <v>1Z5063E0YW41739934</v>
          </cell>
        </row>
        <row r="876">
          <cell r="D876" t="str">
            <v>7823-02212</v>
          </cell>
          <cell r="M876" t="str">
            <v>1Z5063E0YW40743985</v>
          </cell>
        </row>
        <row r="877">
          <cell r="D877" t="str">
            <v>7818-22167</v>
          </cell>
          <cell r="M877" t="str">
            <v>1Z5063E0YW41803033</v>
          </cell>
        </row>
        <row r="878">
          <cell r="D878" t="str">
            <v>7818-14560</v>
          </cell>
          <cell r="M878" t="str">
            <v>1Z5063E0YW42850856</v>
          </cell>
        </row>
        <row r="879">
          <cell r="D879" t="str">
            <v>7818-17405</v>
          </cell>
          <cell r="M879" t="str">
            <v>1Z5063E0YW42469555</v>
          </cell>
        </row>
        <row r="880">
          <cell r="D880" t="str">
            <v>7823-02736</v>
          </cell>
          <cell r="M880" t="str">
            <v>1Z5063E0YW42750919</v>
          </cell>
        </row>
        <row r="881">
          <cell r="D881" t="str">
            <v>7818-24778</v>
          </cell>
          <cell r="M881" t="str">
            <v>1Z5063E0YW40891744</v>
          </cell>
        </row>
        <row r="882">
          <cell r="D882" t="str">
            <v>7818-22143</v>
          </cell>
          <cell r="M882" t="str">
            <v>1Z5063E0YW40340811</v>
          </cell>
        </row>
        <row r="883">
          <cell r="D883" t="str">
            <v>7818-45084</v>
          </cell>
          <cell r="M883" t="str">
            <v>1Z5063E0YW41775396</v>
          </cell>
        </row>
        <row r="884">
          <cell r="D884" t="str">
            <v>7823-01149</v>
          </cell>
          <cell r="M884" t="str">
            <v>1Z5063E0YW40788071</v>
          </cell>
        </row>
        <row r="885">
          <cell r="D885" t="str">
            <v>7818-21629</v>
          </cell>
          <cell r="M885" t="str">
            <v>1Z5063E0YW42765994</v>
          </cell>
        </row>
        <row r="886">
          <cell r="D886" t="str">
            <v>7818-22517</v>
          </cell>
          <cell r="M886" t="str">
            <v>1Z5063E0YW41669500</v>
          </cell>
        </row>
        <row r="887">
          <cell r="D887" t="str">
            <v>7818-11982</v>
          </cell>
          <cell r="M887" t="str">
            <v>1Z5063E0YW42721405</v>
          </cell>
        </row>
        <row r="888">
          <cell r="D888" t="str">
            <v>7812-00714</v>
          </cell>
          <cell r="M888" t="str">
            <v>1Z5063E0YW42848127</v>
          </cell>
        </row>
        <row r="889">
          <cell r="D889" t="str">
            <v>7812-01696</v>
          </cell>
          <cell r="M889" t="str">
            <v>1Z5063E0YW41505445</v>
          </cell>
        </row>
        <row r="890">
          <cell r="D890" t="str">
            <v>7812-00800</v>
          </cell>
          <cell r="M890" t="str">
            <v>1Z5063E0YW41239322</v>
          </cell>
        </row>
        <row r="891">
          <cell r="D891" t="str">
            <v>7823-02299</v>
          </cell>
          <cell r="M891" t="str">
            <v>1Z5063E0YW42268254</v>
          </cell>
        </row>
        <row r="892">
          <cell r="D892" t="str">
            <v>7818-01245</v>
          </cell>
          <cell r="M892" t="str">
            <v>1Z5063E0YW42563765</v>
          </cell>
        </row>
        <row r="893">
          <cell r="D893" t="str">
            <v>7818-20110</v>
          </cell>
          <cell r="M893" t="str">
            <v>1Z5063E0YW41625593</v>
          </cell>
        </row>
        <row r="894">
          <cell r="D894" t="str">
            <v>7823-01372</v>
          </cell>
          <cell r="M894" t="str">
            <v>1Z5063E0YW42975641</v>
          </cell>
        </row>
        <row r="895">
          <cell r="D895" t="str">
            <v>7818-11968</v>
          </cell>
          <cell r="M895" t="str">
            <v>1Z5063E0YW42999018</v>
          </cell>
        </row>
        <row r="896">
          <cell r="D896" t="str">
            <v>7818-18565</v>
          </cell>
          <cell r="M896" t="str">
            <v>1Z5063E0YW40305029</v>
          </cell>
        </row>
        <row r="897">
          <cell r="D897" t="str">
            <v>7823-02235</v>
          </cell>
          <cell r="M897" t="str">
            <v>1Z5063E0YW40317436</v>
          </cell>
        </row>
        <row r="898">
          <cell r="D898" t="str">
            <v>7818-24170</v>
          </cell>
          <cell r="M898" t="str">
            <v>1Z5063E0YW40627208</v>
          </cell>
        </row>
        <row r="899">
          <cell r="D899" t="str">
            <v>7818-24192</v>
          </cell>
          <cell r="M899" t="str">
            <v>1Z5063E0YW40551067</v>
          </cell>
        </row>
        <row r="900">
          <cell r="D900" t="str">
            <v>7818-23509</v>
          </cell>
          <cell r="M900" t="str">
            <v>1Z5063E0YW42528320</v>
          </cell>
        </row>
        <row r="901">
          <cell r="D901" t="str">
            <v>7818-20224</v>
          </cell>
          <cell r="M901" t="str">
            <v>1Z5063E0YW42589238</v>
          </cell>
        </row>
        <row r="902">
          <cell r="D902" t="str">
            <v>7823-02387</v>
          </cell>
          <cell r="M902" t="str">
            <v>1Z5063E0YW42909427</v>
          </cell>
        </row>
        <row r="903">
          <cell r="D903" t="str">
            <v>7810-01543</v>
          </cell>
          <cell r="M903" t="str">
            <v>1Z5063E0YW42418538</v>
          </cell>
        </row>
        <row r="904">
          <cell r="D904" t="str">
            <v>7812-03283</v>
          </cell>
          <cell r="M904" t="str">
            <v>1Z5063E0YW42318360</v>
          </cell>
        </row>
        <row r="905">
          <cell r="D905" t="str">
            <v>7812-03322</v>
          </cell>
          <cell r="M905" t="str">
            <v>1Z5063E0YW41355410</v>
          </cell>
        </row>
        <row r="906">
          <cell r="D906" t="str">
            <v>7812-02406</v>
          </cell>
          <cell r="M906" t="str">
            <v>1Z5063E0YW42895602</v>
          </cell>
        </row>
        <row r="907">
          <cell r="D907" t="str">
            <v>7812-03226</v>
          </cell>
          <cell r="M907" t="str">
            <v>1Z5063E0YW42082589</v>
          </cell>
        </row>
        <row r="908">
          <cell r="D908" t="str">
            <v>7818-23355</v>
          </cell>
          <cell r="M908" t="str">
            <v>1Z5063E0YW42330944</v>
          </cell>
        </row>
        <row r="909">
          <cell r="D909" t="str">
            <v>7823-01437</v>
          </cell>
          <cell r="M909" t="str">
            <v>1Z5063E0YW41241373</v>
          </cell>
        </row>
        <row r="910">
          <cell r="D910" t="str">
            <v>7812-03269</v>
          </cell>
          <cell r="M910" t="str">
            <v>1Z5063E0YW41276970</v>
          </cell>
        </row>
        <row r="911">
          <cell r="D911" t="str">
            <v>7818-22158</v>
          </cell>
          <cell r="M911" t="str">
            <v>1Z5063E0YW40340115</v>
          </cell>
        </row>
        <row r="912">
          <cell r="D912" t="str">
            <v>7818-21325</v>
          </cell>
          <cell r="M912" t="str">
            <v>1Z5063E0YW42601893</v>
          </cell>
        </row>
        <row r="913">
          <cell r="D913" t="str">
            <v>7818-00251</v>
          </cell>
          <cell r="M913" t="str">
            <v>1Z5063E0YW41227317</v>
          </cell>
        </row>
        <row r="914">
          <cell r="D914" t="str">
            <v>7818-23356</v>
          </cell>
          <cell r="M914" t="str">
            <v>1Z5063E0YW41058045</v>
          </cell>
        </row>
        <row r="915">
          <cell r="D915" t="str">
            <v>7818-22214</v>
          </cell>
          <cell r="M915" t="str">
            <v>1Z5063E0YW41355009</v>
          </cell>
        </row>
        <row r="916">
          <cell r="D916" t="str">
            <v>7818-24145</v>
          </cell>
          <cell r="M916" t="str">
            <v>1Z5063E0YW42527590</v>
          </cell>
        </row>
        <row r="917">
          <cell r="D917" t="str">
            <v>7823-02737</v>
          </cell>
          <cell r="M917" t="str">
            <v>1Z5063E0YW42372186</v>
          </cell>
        </row>
        <row r="918">
          <cell r="D918" t="str">
            <v>7823-02111</v>
          </cell>
          <cell r="M918" t="str">
            <v>1Z5063E0YW40877395</v>
          </cell>
        </row>
        <row r="919">
          <cell r="D919" t="str">
            <v>7818-24194</v>
          </cell>
          <cell r="M919" t="str">
            <v>1Z5063E0YW42918659</v>
          </cell>
        </row>
        <row r="920">
          <cell r="D920" t="str">
            <v>7818-24146</v>
          </cell>
          <cell r="M920" t="str">
            <v>1Z5063E0YW40522811</v>
          </cell>
        </row>
        <row r="921">
          <cell r="D921" t="str">
            <v>7818-24520</v>
          </cell>
          <cell r="M921" t="str">
            <v>1Z5063E0YW42606307</v>
          </cell>
        </row>
        <row r="922">
          <cell r="D922" t="str">
            <v>7823-02853</v>
          </cell>
          <cell r="M922" t="str">
            <v>1Z5063E0YW41037602</v>
          </cell>
        </row>
        <row r="923">
          <cell r="D923" t="str">
            <v>7823-01805</v>
          </cell>
          <cell r="M923" t="str">
            <v>1Z5063E0YW41435619</v>
          </cell>
        </row>
        <row r="924">
          <cell r="D924" t="str">
            <v>7818-24169</v>
          </cell>
          <cell r="M924" t="str">
            <v>1Z5063E0YW42744588</v>
          </cell>
        </row>
        <row r="925">
          <cell r="D925" t="str">
            <v>7818-15410</v>
          </cell>
          <cell r="M925" t="str">
            <v>1Z5063E0YW41863933</v>
          </cell>
        </row>
        <row r="926">
          <cell r="D926" t="str">
            <v>7818-21764</v>
          </cell>
          <cell r="M926" t="str">
            <v>1Z5063E0YW40833299</v>
          </cell>
        </row>
        <row r="927">
          <cell r="D927" t="str">
            <v>7818-23119</v>
          </cell>
          <cell r="M927" t="str">
            <v>1Z5063E0YW42382559</v>
          </cell>
        </row>
        <row r="928">
          <cell r="D928" t="str">
            <v>7823-02508</v>
          </cell>
          <cell r="M928" t="str">
            <v>1Z5063E0YW42212787</v>
          </cell>
        </row>
        <row r="929">
          <cell r="D929" t="str">
            <v>7810-01500</v>
          </cell>
          <cell r="M929" t="str">
            <v>9400 1111 0546 8820 4457 26</v>
          </cell>
        </row>
        <row r="930">
          <cell r="D930" t="str">
            <v>7818-10483</v>
          </cell>
          <cell r="M930" t="str">
            <v>1Z5063E0YW42684590</v>
          </cell>
        </row>
        <row r="931">
          <cell r="D931" t="str">
            <v>7818-19811</v>
          </cell>
          <cell r="M931" t="str">
            <v>1Z5063E0YW41552144</v>
          </cell>
        </row>
        <row r="932">
          <cell r="D932" t="str">
            <v>7818-10353</v>
          </cell>
          <cell r="M932" t="str">
            <v>1Z5063E0YW42764860</v>
          </cell>
        </row>
        <row r="933">
          <cell r="D933" t="str">
            <v>7818-21247</v>
          </cell>
          <cell r="M933" t="str">
            <v>1Z5063E0YW40991270</v>
          </cell>
        </row>
        <row r="934">
          <cell r="D934" t="str">
            <v>7818-19204</v>
          </cell>
          <cell r="M934" t="str">
            <v>1Z5063E0YW42465344</v>
          </cell>
        </row>
        <row r="935">
          <cell r="D935" t="str">
            <v>7818-10355</v>
          </cell>
          <cell r="M935" t="str">
            <v>1Z5063E0YW42029244</v>
          </cell>
        </row>
        <row r="936">
          <cell r="D936" t="str">
            <v>7818-21531</v>
          </cell>
          <cell r="M936" t="str">
            <v>1Z5063E0YW40602681</v>
          </cell>
        </row>
        <row r="937">
          <cell r="D937" t="str">
            <v>7818-24893</v>
          </cell>
          <cell r="M937" t="str">
            <v>1Z5063E041101774</v>
          </cell>
        </row>
        <row r="938">
          <cell r="D938" t="str">
            <v>7810-00600</v>
          </cell>
          <cell r="M938" t="str">
            <v>9400 1112 0620 7403 9739 22</v>
          </cell>
        </row>
        <row r="939">
          <cell r="D939" t="str">
            <v>7818-11616</v>
          </cell>
          <cell r="M939" t="str">
            <v>1Z506EOYW41151292</v>
          </cell>
        </row>
        <row r="940">
          <cell r="D940" t="str">
            <v>7812-03107</v>
          </cell>
          <cell r="M940" t="str">
            <v>1Z5053E0YW40175410</v>
          </cell>
        </row>
        <row r="941">
          <cell r="D941" t="str">
            <v>7812-03584</v>
          </cell>
          <cell r="M941" t="str">
            <v>1Z5053E0YW41831557</v>
          </cell>
        </row>
        <row r="942">
          <cell r="D942" t="str">
            <v>7810-01567</v>
          </cell>
          <cell r="M942" t="str">
            <v>1Z5063E0YW425005397</v>
          </cell>
        </row>
        <row r="943">
          <cell r="D943" t="str">
            <v>7818-16989</v>
          </cell>
          <cell r="M943" t="str">
            <v>1Z5063E0YW40523998</v>
          </cell>
        </row>
        <row r="944">
          <cell r="D944" t="str">
            <v>7818-24405</v>
          </cell>
          <cell r="M944" t="str">
            <v>1Z5063E0YW40825404</v>
          </cell>
        </row>
        <row r="945">
          <cell r="D945" t="str">
            <v>7818-17121</v>
          </cell>
          <cell r="M945" t="str">
            <v>9400 1112 0620 7577 1877 74</v>
          </cell>
        </row>
        <row r="946">
          <cell r="D946" t="str">
            <v>7818-17121</v>
          </cell>
          <cell r="M946" t="str">
            <v>9400 1112 0620 7077 1877 74</v>
          </cell>
        </row>
        <row r="947">
          <cell r="D947" t="str">
            <v>7818-23905</v>
          </cell>
          <cell r="M947" t="str">
            <v>1Z5063E9YW41233113</v>
          </cell>
        </row>
        <row r="948">
          <cell r="D948" t="str">
            <v>7819-00001</v>
          </cell>
          <cell r="M948" t="str">
            <v>9400 1112 0620 7597 0495 95</v>
          </cell>
        </row>
        <row r="949">
          <cell r="D949" t="str">
            <v>7818-23750</v>
          </cell>
          <cell r="M949" t="str">
            <v>1Z5063E0YW40872005</v>
          </cell>
        </row>
        <row r="950">
          <cell r="D950" t="str">
            <v>7818-23149</v>
          </cell>
          <cell r="M950" t="str">
            <v>1Z5063E0YW40070206</v>
          </cell>
        </row>
        <row r="951">
          <cell r="D951" t="str">
            <v>7818-18822</v>
          </cell>
          <cell r="M951" t="str">
            <v>9400 1112 0620 7577 1346 86</v>
          </cell>
        </row>
        <row r="952">
          <cell r="D952" t="str">
            <v>7818-25204</v>
          </cell>
          <cell r="M952" t="str">
            <v>1Z5063E0YW4177667</v>
          </cell>
        </row>
        <row r="953">
          <cell r="D953" t="str">
            <v>7812-3756</v>
          </cell>
          <cell r="M953" t="str">
            <v>1Z5053E0YW42588042</v>
          </cell>
        </row>
        <row r="954">
          <cell r="D954" t="str">
            <v>7818-17017</v>
          </cell>
          <cell r="M954" t="str">
            <v>9400 1112 0620 7577 1733 02</v>
          </cell>
        </row>
        <row r="955">
          <cell r="D955" t="str">
            <v>7818-12681</v>
          </cell>
          <cell r="M955" t="str">
            <v>1Z5063E0YW41229824</v>
          </cell>
        </row>
        <row r="956">
          <cell r="D956" t="str">
            <v>7818-16145</v>
          </cell>
          <cell r="M956" t="str">
            <v>9400 1112 0620 7577 1825 26</v>
          </cell>
        </row>
        <row r="957">
          <cell r="D957" t="str">
            <v>7818-24984</v>
          </cell>
          <cell r="M957" t="str">
            <v>9400 1112 0620 7577 1846 43</v>
          </cell>
        </row>
        <row r="958">
          <cell r="D958" t="str">
            <v>7818-20702</v>
          </cell>
          <cell r="M958" t="str">
            <v>9400 1112 0620 7577 1619 34</v>
          </cell>
        </row>
        <row r="959">
          <cell r="D959" t="str">
            <v>7823-00558</v>
          </cell>
          <cell r="M959" t="str">
            <v>9410 8118 9956 3588 2423 15</v>
          </cell>
        </row>
        <row r="960">
          <cell r="D960" t="str">
            <v>7812-01084</v>
          </cell>
          <cell r="M960" t="str">
            <v>9402 1118 9956 3303 5101 65</v>
          </cell>
        </row>
        <row r="961">
          <cell r="D961" t="str">
            <v>7818-05564</v>
          </cell>
          <cell r="M961" t="str">
            <v>9402 1118 9956 3103 9865 73</v>
          </cell>
        </row>
        <row r="962">
          <cell r="D962" t="str">
            <v>7818-06504</v>
          </cell>
          <cell r="M962" t="str">
            <v>9402 1118 9956 3705 6165 95</v>
          </cell>
        </row>
        <row r="963">
          <cell r="D963" t="str">
            <v>7810-00896</v>
          </cell>
          <cell r="M963" t="str">
            <v>9400 1118 9956 3710 5053 74</v>
          </cell>
        </row>
        <row r="964">
          <cell r="D964" t="str">
            <v>7818-02602</v>
          </cell>
          <cell r="M964" t="str">
            <v>9402 1118 9956 3282 3895 92</v>
          </cell>
        </row>
        <row r="965">
          <cell r="D965" t="str">
            <v>7818-09837</v>
          </cell>
          <cell r="M965" t="str">
            <v>9402 1118 9956 3212 1301 57</v>
          </cell>
        </row>
        <row r="966">
          <cell r="D966" t="str">
            <v>7823-00690</v>
          </cell>
          <cell r="M966" t="str">
            <v>9402 1118 9956 3008 9196 38</v>
          </cell>
        </row>
        <row r="967">
          <cell r="D967" t="str">
            <v>7823-00774</v>
          </cell>
          <cell r="M967" t="str">
            <v>9402 1118 9956 3072 9518 00</v>
          </cell>
        </row>
        <row r="968">
          <cell r="D968" t="str">
            <v>7818-09231</v>
          </cell>
          <cell r="M968" t="str">
            <v>9400 1118 9956 3089 9659 39</v>
          </cell>
        </row>
        <row r="969">
          <cell r="D969" t="str">
            <v>7818-02752</v>
          </cell>
          <cell r="M969" t="str">
            <v>9402 1118 9956 3082 9569 18</v>
          </cell>
        </row>
        <row r="970">
          <cell r="D970" t="str">
            <v>7812-01231</v>
          </cell>
          <cell r="M970" t="str">
            <v>9402 1118 9956 3089 8715 59</v>
          </cell>
        </row>
        <row r="971">
          <cell r="D971" t="str">
            <v>7818-02744</v>
          </cell>
          <cell r="M971" t="str">
            <v>9402 1118 9956 3083 8085 37</v>
          </cell>
        </row>
        <row r="972">
          <cell r="D972" t="str">
            <v>7818-08103</v>
          </cell>
          <cell r="M972" t="str">
            <v>9400 1118 9956 4800 5639 22</v>
          </cell>
        </row>
        <row r="973">
          <cell r="D973" t="str">
            <v>7818-00269</v>
          </cell>
          <cell r="M973" t="str">
            <v>9402 1118 9956 3012 1961 24</v>
          </cell>
        </row>
        <row r="974">
          <cell r="D974" t="str">
            <v>7818-05612</v>
          </cell>
          <cell r="M974" t="str">
            <v>9400 1118 9956 4828 3330 88</v>
          </cell>
        </row>
        <row r="975">
          <cell r="D975" t="str">
            <v>7818-04937</v>
          </cell>
          <cell r="M975" t="str">
            <v>9402 1118 9956 3675 3837 25</v>
          </cell>
        </row>
        <row r="976">
          <cell r="D976" t="str">
            <v>7818-06472</v>
          </cell>
          <cell r="M976" t="str">
            <v>9402 1118 9956 3675 3053 14</v>
          </cell>
        </row>
        <row r="977">
          <cell r="D977" t="str">
            <v>7818-06186</v>
          </cell>
          <cell r="M977" t="str">
            <v>9402 1118 9956 4816 6804 06</v>
          </cell>
        </row>
        <row r="978">
          <cell r="D978" t="str">
            <v>7823-00271</v>
          </cell>
          <cell r="M978" t="str">
            <v>9402 1118 9956 4489 7464 85</v>
          </cell>
        </row>
        <row r="979">
          <cell r="D979" t="str">
            <v>7812-01085</v>
          </cell>
          <cell r="M979" t="str">
            <v>9400 1118 9956 4457 0221 24</v>
          </cell>
        </row>
        <row r="980">
          <cell r="D980" t="str">
            <v>7818-06628</v>
          </cell>
          <cell r="M980" t="str">
            <v>9400 1118 9956 4470 4652 43</v>
          </cell>
        </row>
        <row r="981">
          <cell r="D981" t="str">
            <v>7818-10163</v>
          </cell>
          <cell r="M981" t="str">
            <v>9402 1118 9956 4569 4186 53</v>
          </cell>
        </row>
        <row r="982">
          <cell r="D982" t="str">
            <v>7818-07727</v>
          </cell>
          <cell r="M982" t="str">
            <v>9400 1118 9956 4373 5798 01</v>
          </cell>
        </row>
        <row r="983">
          <cell r="D983" t="str">
            <v>7818-02657</v>
          </cell>
          <cell r="M983" t="str">
            <v>9402 1118 9956 4510 8002 30</v>
          </cell>
        </row>
        <row r="984">
          <cell r="D984" t="str">
            <v>7818-11733</v>
          </cell>
          <cell r="M984" t="str">
            <v>9402 1118 9956 4919 3344 66</v>
          </cell>
        </row>
        <row r="985">
          <cell r="D985" t="str">
            <v>7812-01572</v>
          </cell>
          <cell r="M985" t="str">
            <v>9402 1118 9956 4395 9125 47</v>
          </cell>
        </row>
        <row r="986">
          <cell r="D986" t="str">
            <v>7818-08951</v>
          </cell>
          <cell r="M986" t="str">
            <v>9402 1118 9956 4382 7703 65</v>
          </cell>
        </row>
        <row r="987">
          <cell r="D987" t="str">
            <v>7823-00029</v>
          </cell>
          <cell r="M987" t="str">
            <v>9402 1118 9956 4371 3960 88</v>
          </cell>
        </row>
        <row r="988">
          <cell r="D988" t="str">
            <v>7812-01261</v>
          </cell>
          <cell r="M988" t="str">
            <v>9400 1118 9956 4345 2752 43</v>
          </cell>
        </row>
        <row r="989">
          <cell r="D989" t="str">
            <v>7818-04921</v>
          </cell>
          <cell r="M989" t="str">
            <v>9402 1118 9956 4102 3327 50</v>
          </cell>
        </row>
        <row r="990">
          <cell r="D990" t="str">
            <v>7818-10201</v>
          </cell>
          <cell r="M990" t="str">
            <v>9402 1118 9956 4186 9128 62</v>
          </cell>
        </row>
        <row r="991">
          <cell r="D991" t="str">
            <v>7812-01304</v>
          </cell>
          <cell r="M991" t="str">
            <v>9402 1118 9956 4146 8976 11</v>
          </cell>
        </row>
        <row r="992">
          <cell r="D992" t="str">
            <v>7818-11932</v>
          </cell>
          <cell r="M992" t="str">
            <v>9402 1118 9956 4146 3976 92</v>
          </cell>
        </row>
        <row r="993">
          <cell r="D993" t="str">
            <v>7823-00866</v>
          </cell>
          <cell r="M993" t="str">
            <v>9402 1118 9956 4624 3353 83</v>
          </cell>
        </row>
        <row r="994">
          <cell r="D994" t="str">
            <v>7818-02981</v>
          </cell>
          <cell r="M994" t="str">
            <v>9402 1118 9956 4677 5375 98</v>
          </cell>
        </row>
        <row r="995">
          <cell r="D995" t="str">
            <v>7818-11484</v>
          </cell>
          <cell r="M995" t="str">
            <v>9402 1118 9956 4691 5877 08</v>
          </cell>
        </row>
        <row r="996">
          <cell r="D996" t="str">
            <v>7812-00937</v>
          </cell>
          <cell r="M996" t="str">
            <v>9400 1118 9956 4075 2795 80</v>
          </cell>
        </row>
        <row r="997">
          <cell r="D997" t="str">
            <v>7823-00826</v>
          </cell>
          <cell r="M997" t="str">
            <v>9402 1118 9956 4607 8944 32</v>
          </cell>
        </row>
        <row r="998">
          <cell r="D998" t="str">
            <v>7818-01187</v>
          </cell>
          <cell r="M998" t="str">
            <v>9400 1118 9956 4642 0343 69</v>
          </cell>
        </row>
        <row r="999">
          <cell r="D999" t="str">
            <v>7818-00183</v>
          </cell>
          <cell r="M999" t="str">
            <v>9400 1118 9956 4688 1853 46</v>
          </cell>
        </row>
        <row r="1000">
          <cell r="D1000" t="str">
            <v>7818-04921</v>
          </cell>
          <cell r="M1000" t="str">
            <v>9400 1118 9956 4688 1427 14</v>
          </cell>
        </row>
        <row r="1001">
          <cell r="D1001" t="str">
            <v>7818-09424</v>
          </cell>
          <cell r="M1001" t="str">
            <v>9400 1118 9956 0412 8595 52</v>
          </cell>
        </row>
        <row r="1002">
          <cell r="D1002" t="str">
            <v>7810-00908</v>
          </cell>
          <cell r="M1002" t="str">
            <v>9400 1118 9956 0882 8713 68</v>
          </cell>
        </row>
        <row r="1003">
          <cell r="D1003" t="str">
            <v>7818-09956</v>
          </cell>
          <cell r="M1003" t="str">
            <v>9402 1118 9956 0834 0613 26</v>
          </cell>
        </row>
        <row r="1004">
          <cell r="D1004" t="str">
            <v>7818-03373</v>
          </cell>
          <cell r="M1004" t="str">
            <v>9402 1118 9956 0837 1911 81</v>
          </cell>
        </row>
        <row r="1005">
          <cell r="D1005" t="str">
            <v>7810-00512</v>
          </cell>
          <cell r="M1005" t="str">
            <v>9400 1118 9956 0330 1675 24</v>
          </cell>
        </row>
        <row r="1006">
          <cell r="D1006" t="str">
            <v>7823-00948</v>
          </cell>
          <cell r="M1006" t="str">
            <v>9400 1118 9956 1887 1032 01</v>
          </cell>
        </row>
        <row r="1007">
          <cell r="D1007" t="str">
            <v>7829-00016</v>
          </cell>
          <cell r="M1007" t="str">
            <v>9402 1118 9956 1960 0809 91</v>
          </cell>
        </row>
        <row r="1008">
          <cell r="D1008" t="str">
            <v>7818-23533</v>
          </cell>
          <cell r="M1008" t="str">
            <v>1Z5063E0YW41349258</v>
          </cell>
        </row>
        <row r="1009">
          <cell r="D1009" t="str">
            <v>7818-17520</v>
          </cell>
          <cell r="M1009" t="str">
            <v>1Z5063E0YW40317445</v>
          </cell>
        </row>
        <row r="1010">
          <cell r="D1010" t="str">
            <v>7818-25768</v>
          </cell>
          <cell r="M1010" t="str">
            <v>1Z5063E0YW40122851</v>
          </cell>
        </row>
        <row r="1011">
          <cell r="D1011" t="str">
            <v>7823-02391</v>
          </cell>
          <cell r="M1011" t="str">
            <v>1Z5063E0YW40596733</v>
          </cell>
        </row>
        <row r="1012">
          <cell r="D1012" t="str">
            <v>7811-00229</v>
          </cell>
          <cell r="M1012" t="str">
            <v>9402 1112 0620 7577 1969 34</v>
          </cell>
        </row>
        <row r="1013">
          <cell r="D1013" t="str">
            <v>7811-00232</v>
          </cell>
          <cell r="M1013" t="str">
            <v>9402 1112 0620 7577 1999 04</v>
          </cell>
        </row>
        <row r="1014">
          <cell r="D1014" t="str">
            <v>7818-21916</v>
          </cell>
          <cell r="M1014" t="str">
            <v>9400 1112 0620 7514 3464 17</v>
          </cell>
        </row>
        <row r="1015">
          <cell r="D1015" t="str">
            <v>7823-02838</v>
          </cell>
          <cell r="M1015" t="str">
            <v>9400 1112 0620 7514 2144 57</v>
          </cell>
        </row>
        <row r="1016">
          <cell r="D1016" t="str">
            <v>7818-23975</v>
          </cell>
          <cell r="M1016" t="str">
            <v>9400 1112 0620 7514 3930 46</v>
          </cell>
        </row>
        <row r="1017">
          <cell r="D1017" t="str">
            <v>7818-24639</v>
          </cell>
          <cell r="M1017" t="str">
            <v>9400 1112 0620 7514 3241 94</v>
          </cell>
        </row>
        <row r="1018">
          <cell r="D1018" t="str">
            <v>7818-25781</v>
          </cell>
          <cell r="M1018" t="str">
            <v>9402 1112 0620 7514 3601 21</v>
          </cell>
        </row>
        <row r="1019">
          <cell r="D1019" t="str">
            <v>7818-25776</v>
          </cell>
          <cell r="M1019" t="str">
            <v>9400 1112 0620 7514 3548 49</v>
          </cell>
        </row>
        <row r="1020">
          <cell r="D1020" t="str">
            <v>7818-16445</v>
          </cell>
          <cell r="M1020" t="str">
            <v>9402 1112 0620 7514 3815 15</v>
          </cell>
        </row>
        <row r="1021">
          <cell r="D1021" t="str">
            <v>7823-02391</v>
          </cell>
          <cell r="M1021" t="str">
            <v>9402 1112 0620 7534 2058 91</v>
          </cell>
        </row>
        <row r="1022">
          <cell r="D1022" t="str">
            <v>7811-00225</v>
          </cell>
          <cell r="M1022" t="str">
            <v>9400 1112 0620 7534 1169 77</v>
          </cell>
        </row>
        <row r="1023">
          <cell r="D1023" t="str">
            <v>7818-21317</v>
          </cell>
          <cell r="M1023" t="str">
            <v>1Z5063E0YW41643920</v>
          </cell>
        </row>
        <row r="1024">
          <cell r="D1024" t="str">
            <v>7818-22571</v>
          </cell>
          <cell r="M1024" t="str">
            <v>1Z5063E0YW41901721</v>
          </cell>
        </row>
        <row r="1025">
          <cell r="D1025" t="str">
            <v>7818-22454</v>
          </cell>
          <cell r="M1025" t="str">
            <v>1Z5063E0YW40930497</v>
          </cell>
        </row>
        <row r="1026">
          <cell r="D1026" t="str">
            <v>7823-01532</v>
          </cell>
          <cell r="M1026" t="str">
            <v>1Z5063E0YW41657086</v>
          </cell>
        </row>
        <row r="1027">
          <cell r="D1027" t="str">
            <v>7818-24861</v>
          </cell>
          <cell r="M1027" t="str">
            <v>1Z5063E0YW41025875</v>
          </cell>
        </row>
        <row r="1028">
          <cell r="D1028" t="str">
            <v>7823-02166</v>
          </cell>
          <cell r="M1028" t="str">
            <v>1Z5063E0YW41470545</v>
          </cell>
        </row>
        <row r="1029">
          <cell r="D1029" t="str">
            <v>7812-3541</v>
          </cell>
          <cell r="M1029" t="str">
            <v>9400 1112 0620 7514 2339 91</v>
          </cell>
        </row>
        <row r="1030">
          <cell r="D1030" t="str">
            <v>7823-02790</v>
          </cell>
          <cell r="M1030" t="str">
            <v>1Z5063E0YW41450101</v>
          </cell>
        </row>
        <row r="1031">
          <cell r="D1031" t="str">
            <v>7818-00448</v>
          </cell>
          <cell r="M1031" t="str">
            <v>1Z5063E0YW41663284</v>
          </cell>
        </row>
        <row r="1032">
          <cell r="D1032" t="str">
            <v>7818-21891</v>
          </cell>
          <cell r="M1032" t="str">
            <v>1Z5063E0YW41977212</v>
          </cell>
        </row>
        <row r="1033">
          <cell r="D1033" t="str">
            <v>7818-23289</v>
          </cell>
          <cell r="M1033" t="str">
            <v>1Z5063E0YW42949269</v>
          </cell>
        </row>
        <row r="1034">
          <cell r="D1034" t="str">
            <v>7818-21951</v>
          </cell>
          <cell r="M1034" t="str">
            <v>1Z5063E0YW40180744</v>
          </cell>
        </row>
        <row r="1035">
          <cell r="D1035" t="str">
            <v>7818-22087</v>
          </cell>
          <cell r="M1035" t="str">
            <v>1Z5063E0YW41561401</v>
          </cell>
        </row>
        <row r="1036">
          <cell r="D1036" t="str">
            <v>7812-3743</v>
          </cell>
          <cell r="M1036" t="str">
            <v>1Z5063E0YW41968320</v>
          </cell>
        </row>
        <row r="1037">
          <cell r="D1037" t="str">
            <v>7823-02876</v>
          </cell>
          <cell r="M1037" t="str">
            <v>1Z5063E0YW40360166</v>
          </cell>
        </row>
        <row r="1038">
          <cell r="D1038" t="str">
            <v>7818-21845</v>
          </cell>
          <cell r="M1038" t="str">
            <v>1Z5063E0YW41590899</v>
          </cell>
        </row>
        <row r="1039">
          <cell r="D1039" t="str">
            <v>7812-02527</v>
          </cell>
          <cell r="M1039" t="str">
            <v>1Z5063E0YW42412721</v>
          </cell>
        </row>
        <row r="1040">
          <cell r="D1040" t="str">
            <v>7812-3536</v>
          </cell>
          <cell r="M1040" t="str">
            <v>1Z5063E0YW41222456</v>
          </cell>
        </row>
        <row r="1041">
          <cell r="D1041" t="str">
            <v>7818-23997</v>
          </cell>
          <cell r="M1041" t="str">
            <v>1Z5063E0YW40666121</v>
          </cell>
        </row>
        <row r="1042">
          <cell r="D1042" t="str">
            <v>7810-01581</v>
          </cell>
          <cell r="M1042" t="str">
            <v>1Z5063E0YW41776313</v>
          </cell>
        </row>
        <row r="1043">
          <cell r="D1043" t="str">
            <v>7818-18991</v>
          </cell>
          <cell r="M1043" t="str">
            <v>1Z5063E0YW41552331</v>
          </cell>
        </row>
        <row r="1044">
          <cell r="D1044" t="str">
            <v>7823-01979</v>
          </cell>
          <cell r="M1044" t="str">
            <v>1Z5063E0YW41407220</v>
          </cell>
        </row>
        <row r="1045">
          <cell r="D1045" t="str">
            <v>7818-22188</v>
          </cell>
          <cell r="M1045" t="str">
            <v>1Z5063E0YW41495439</v>
          </cell>
        </row>
        <row r="1046">
          <cell r="D1046" t="str">
            <v>7818-21207</v>
          </cell>
          <cell r="M1046" t="str">
            <v>1Z5063E0YW41965841</v>
          </cell>
        </row>
        <row r="1047">
          <cell r="D1047" t="str">
            <v>7818-24985</v>
          </cell>
          <cell r="M1047" t="str">
            <v>1Z5063E0YW42598111</v>
          </cell>
        </row>
        <row r="1048">
          <cell r="D1048" t="str">
            <v>7818-18825</v>
          </cell>
          <cell r="M1048" t="str">
            <v>1Z5063E0YW40228078</v>
          </cell>
        </row>
        <row r="1049">
          <cell r="D1049" t="str">
            <v>7818-18619</v>
          </cell>
          <cell r="M1049" t="str">
            <v>1Z5063E0YW41191061</v>
          </cell>
        </row>
        <row r="1050">
          <cell r="D1050" t="str">
            <v>7818-25794</v>
          </cell>
          <cell r="M1050" t="str">
            <v>1Z5063E0YW41995792</v>
          </cell>
        </row>
        <row r="1051">
          <cell r="D1051" t="str">
            <v>7812-03410</v>
          </cell>
          <cell r="M1051" t="str">
            <v>1Z5063E0YW41504302</v>
          </cell>
        </row>
        <row r="1052">
          <cell r="D1052" t="str">
            <v>7818-18987</v>
          </cell>
          <cell r="M1052" t="str">
            <v>1Z5063E0YW41020692</v>
          </cell>
        </row>
        <row r="1053">
          <cell r="D1053" t="str">
            <v>7818-25787</v>
          </cell>
          <cell r="M1053" t="str">
            <v>1Z5063E0YW41996380</v>
          </cell>
        </row>
        <row r="1054">
          <cell r="D1054" t="str">
            <v>7818-25926</v>
          </cell>
          <cell r="M1054" t="str">
            <v>1Z5063E0YW42559172</v>
          </cell>
        </row>
        <row r="1055">
          <cell r="D1055" t="str">
            <v>7818-01369</v>
          </cell>
          <cell r="M1055" t="str">
            <v>1Z5063E0YW42191345</v>
          </cell>
        </row>
        <row r="1056">
          <cell r="D1056" t="str">
            <v>7818-24884</v>
          </cell>
          <cell r="M1056" t="str">
            <v>1Z5063E0YW42638505</v>
          </cell>
        </row>
        <row r="1057">
          <cell r="D1057" t="str">
            <v>7812-03110</v>
          </cell>
          <cell r="M1057" t="str">
            <v>1Z5063E0YW40658532</v>
          </cell>
        </row>
        <row r="1058">
          <cell r="D1058" t="str">
            <v>7812-3548</v>
          </cell>
          <cell r="M1058" t="str">
            <v>1Z5063E0YW41710277</v>
          </cell>
        </row>
        <row r="1059">
          <cell r="D1059" t="str">
            <v>7818-18622</v>
          </cell>
          <cell r="M1059" t="str">
            <v>1Z5063E0YW41510939</v>
          </cell>
        </row>
        <row r="1060">
          <cell r="D1060" t="str">
            <v>7818-19917</v>
          </cell>
          <cell r="M1060" t="str">
            <v>1Z5063E0YW41549489</v>
          </cell>
        </row>
        <row r="1061">
          <cell r="D1061" t="str">
            <v>7812-3760</v>
          </cell>
          <cell r="M1061" t="str">
            <v>1Z5063E0YW41280554</v>
          </cell>
        </row>
        <row r="1062">
          <cell r="D1062" t="str">
            <v>7810-01660</v>
          </cell>
          <cell r="M1062" t="str">
            <v>1Z5063E0YW40390919</v>
          </cell>
        </row>
        <row r="1063">
          <cell r="D1063" t="str">
            <v>7811-00226</v>
          </cell>
          <cell r="M1063" t="str">
            <v>9400 1112 0620 7926 9581 16</v>
          </cell>
        </row>
        <row r="1064">
          <cell r="D1064" t="str">
            <v>7818-23999</v>
          </cell>
          <cell r="M1064" t="str">
            <v>1Z5063E0YW40181494</v>
          </cell>
        </row>
        <row r="1065">
          <cell r="D1065" t="str">
            <v>7812-03284</v>
          </cell>
          <cell r="M1065" t="str">
            <v>1Z5063E0YW42153583</v>
          </cell>
        </row>
        <row r="1066">
          <cell r="D1066" t="str">
            <v>7818-17719</v>
          </cell>
          <cell r="M1066" t="str">
            <v>1Z5063E0YW41554928</v>
          </cell>
        </row>
        <row r="1067">
          <cell r="D1067" t="str">
            <v>7818-22908</v>
          </cell>
          <cell r="M1067" t="str">
            <v>1Z5063E0YW41696445</v>
          </cell>
        </row>
        <row r="1068">
          <cell r="D1068" t="str">
            <v>7818-16418</v>
          </cell>
          <cell r="M1068" t="str">
            <v>1Z5063E0YW41492370</v>
          </cell>
        </row>
        <row r="1069">
          <cell r="D1069" t="str">
            <v>7812-3764</v>
          </cell>
          <cell r="M1069" t="str">
            <v>1Z5063E0YW41836874</v>
          </cell>
        </row>
        <row r="1070">
          <cell r="D1070" t="str">
            <v>7818-17731</v>
          </cell>
          <cell r="M1070" t="str">
            <v>1Z5063E0YW40257135</v>
          </cell>
        </row>
        <row r="1071">
          <cell r="D1071" t="str">
            <v>7823-01927</v>
          </cell>
          <cell r="M1071" t="str">
            <v>1Z5063E0YW42045057</v>
          </cell>
        </row>
        <row r="1072">
          <cell r="D1072" t="str">
            <v>7810-01731</v>
          </cell>
          <cell r="M1072" t="str">
            <v>9402 1112 0620 7996 2840 21</v>
          </cell>
        </row>
        <row r="1073">
          <cell r="D1073" t="str">
            <v>7818-18814</v>
          </cell>
          <cell r="M1073" t="str">
            <v>9402 1112 0620 7996 5228 33</v>
          </cell>
        </row>
        <row r="1074">
          <cell r="D1074" t="str">
            <v>7818-00564</v>
          </cell>
          <cell r="M1074" t="str">
            <v>9402 1112 0620 7996 5977 49</v>
          </cell>
        </row>
        <row r="1075">
          <cell r="D1075" t="str">
            <v>7823-02541</v>
          </cell>
          <cell r="M1075" t="str">
            <v>9400 1112 0620 7998 9322 74</v>
          </cell>
        </row>
        <row r="1076">
          <cell r="D1076" t="str">
            <v>7812-03460</v>
          </cell>
          <cell r="M1076" t="str">
            <v>1Z5063E0YW42149365</v>
          </cell>
        </row>
        <row r="1077">
          <cell r="D1077" t="str">
            <v>7818-20013</v>
          </cell>
          <cell r="M1077" t="str">
            <v>1Z5063E0YW42832965</v>
          </cell>
        </row>
        <row r="1078">
          <cell r="D1078" t="str">
            <v>7818-17609</v>
          </cell>
          <cell r="M1078" t="str">
            <v>1Z5063E0YW42056992</v>
          </cell>
        </row>
        <row r="1079">
          <cell r="D1079" t="str">
            <v>7818-16192</v>
          </cell>
          <cell r="M1079" t="str">
            <v>9402 1112 0620 7996 5489 70</v>
          </cell>
        </row>
        <row r="1080">
          <cell r="D1080" t="str">
            <v>7818-24407</v>
          </cell>
          <cell r="M1080" t="str">
            <v>9402 1112 0620 7996 5753 89</v>
          </cell>
        </row>
        <row r="1081">
          <cell r="D1081" t="str">
            <v>7818-24602</v>
          </cell>
          <cell r="M1081" t="str">
            <v>9402 1112 0620 7996 5145 62</v>
          </cell>
        </row>
        <row r="1082">
          <cell r="D1082" t="str">
            <v>7815-00093</v>
          </cell>
          <cell r="M1082" t="str">
            <v>9400 1112 0620 7996 2624 96</v>
          </cell>
        </row>
        <row r="1083">
          <cell r="D1083" t="str">
            <v>7818-22907</v>
          </cell>
          <cell r="M1083" t="str">
            <v>9400 1112 0620 7996 2033 90</v>
          </cell>
        </row>
        <row r="1084">
          <cell r="D1084" t="str">
            <v>7818-17035</v>
          </cell>
          <cell r="M1084" t="str">
            <v>9402 1112 0620 7996 5322 90</v>
          </cell>
        </row>
        <row r="1085">
          <cell r="D1085" t="str">
            <v>7818-09063</v>
          </cell>
          <cell r="M1085" t="str">
            <v>9402 1112 0620 7996 2074 95</v>
          </cell>
        </row>
        <row r="1086">
          <cell r="D1086" t="str">
            <v>7823-02861</v>
          </cell>
          <cell r="M1086" t="str">
            <v>9402 1112 0620 7996 2979 60</v>
          </cell>
        </row>
        <row r="1087">
          <cell r="D1087" t="str">
            <v>7823-01697</v>
          </cell>
          <cell r="M1087" t="str">
            <v>1Z5063E0YW42821548</v>
          </cell>
        </row>
        <row r="1088">
          <cell r="D1088" t="str">
            <v>7818-16869</v>
          </cell>
          <cell r="M1088" t="str">
            <v>1Z5063E0YW41162815</v>
          </cell>
        </row>
        <row r="1089">
          <cell r="D1089" t="str">
            <v>7818-18878</v>
          </cell>
          <cell r="M1089" t="str">
            <v>1Z5063E0YW42747192</v>
          </cell>
        </row>
        <row r="1090">
          <cell r="D1090" t="str">
            <v>7818-22921</v>
          </cell>
          <cell r="M1090" t="str">
            <v>1Z5063E0YW41022298</v>
          </cell>
        </row>
        <row r="1091">
          <cell r="D1091" t="str">
            <v>7818-25797</v>
          </cell>
          <cell r="M1091" t="str">
            <v>1Z5063E0YW40376775</v>
          </cell>
        </row>
        <row r="1092">
          <cell r="D1092" t="str">
            <v>7818-22247</v>
          </cell>
          <cell r="M1092" t="str">
            <v>1Z5063E0YW40245988</v>
          </cell>
        </row>
        <row r="1093">
          <cell r="D1093" t="str">
            <v>7823-02546</v>
          </cell>
          <cell r="M1093" t="str">
            <v>1Z5063E0YW40303861</v>
          </cell>
        </row>
        <row r="1094">
          <cell r="D1094" t="str">
            <v>7818-23636</v>
          </cell>
          <cell r="M1094" t="str">
            <v>1Z5063E0YW40195005</v>
          </cell>
        </row>
        <row r="1095">
          <cell r="D1095" t="str">
            <v>7812-03373</v>
          </cell>
          <cell r="M1095" t="str">
            <v>1Z5063E0YW42185763</v>
          </cell>
        </row>
        <row r="1096">
          <cell r="D1096" t="str">
            <v>7812-3543</v>
          </cell>
          <cell r="M1096" t="str">
            <v>1Z5063E0YW41817902</v>
          </cell>
        </row>
        <row r="1097">
          <cell r="D1097" t="str">
            <v>7823-02148</v>
          </cell>
          <cell r="M1097" t="str">
            <v>1Z5063E0YW41063717</v>
          </cell>
        </row>
        <row r="1098">
          <cell r="D1098" t="str">
            <v>7812-03051</v>
          </cell>
          <cell r="M1098" t="str">
            <v>1Z5063E0YW41142346</v>
          </cell>
        </row>
        <row r="1099">
          <cell r="D1099" t="str">
            <v>7812-3767</v>
          </cell>
          <cell r="M1099" t="str">
            <v>1Z5063E0YW42296661</v>
          </cell>
        </row>
        <row r="1100">
          <cell r="D1100" t="str">
            <v>7812-02067</v>
          </cell>
          <cell r="M1100" t="str">
            <v>1Z5063E0YW40925672</v>
          </cell>
        </row>
        <row r="1101">
          <cell r="D1101" t="str">
            <v>7818-25790</v>
          </cell>
          <cell r="M1101" t="str">
            <v>1Z5063E0YW40917396</v>
          </cell>
        </row>
        <row r="1102">
          <cell r="D1102" t="str">
            <v>7818-24918</v>
          </cell>
          <cell r="M1102" t="str">
            <v>1Z5063E0YW42288125</v>
          </cell>
        </row>
        <row r="1103">
          <cell r="D1103" t="str">
            <v>7818-15561</v>
          </cell>
          <cell r="M1103" t="str">
            <v>1Z5063E0YW41628956</v>
          </cell>
        </row>
        <row r="1104">
          <cell r="D1104" t="str">
            <v>7818-23758</v>
          </cell>
          <cell r="M1104" t="str">
            <v>1Z5063E0YW42867848</v>
          </cell>
        </row>
        <row r="1105">
          <cell r="D1105" t="str">
            <v>7818-22039</v>
          </cell>
          <cell r="M1105" t="str">
            <v>1Z5063E0YW41446303</v>
          </cell>
        </row>
        <row r="1106">
          <cell r="D1106" t="str">
            <v>7818-11618</v>
          </cell>
          <cell r="M1106" t="str">
            <v>1Z5063E0YW41557434</v>
          </cell>
        </row>
        <row r="1107">
          <cell r="D1107" t="str">
            <v>7810-01519</v>
          </cell>
          <cell r="M1107" t="str">
            <v>1Z5063E0YW42759214</v>
          </cell>
        </row>
        <row r="1108">
          <cell r="D1108" t="str">
            <v>7811-00214</v>
          </cell>
          <cell r="M1108" t="str">
            <v>1Z5063E0YW40392882</v>
          </cell>
        </row>
        <row r="1109">
          <cell r="D1109" t="str">
            <v>7818-25929</v>
          </cell>
          <cell r="M1109" t="str">
            <v>1Z5063E0YW40932271</v>
          </cell>
        </row>
        <row r="1110">
          <cell r="D1110" t="str">
            <v>7818-11132</v>
          </cell>
          <cell r="M1110" t="str">
            <v>1Z5063E0YW42877604</v>
          </cell>
        </row>
        <row r="1111">
          <cell r="D1111" t="str">
            <v>7812-3742</v>
          </cell>
          <cell r="M1111" t="str">
            <v>1Z5063E0YW42811488</v>
          </cell>
        </row>
        <row r="1112">
          <cell r="D1112" t="str">
            <v>7818-17408</v>
          </cell>
          <cell r="M1112" t="str">
            <v>1Z5063E0YW40903632</v>
          </cell>
        </row>
        <row r="1113">
          <cell r="D1113" t="str">
            <v>7818-20778</v>
          </cell>
          <cell r="M1113" t="str">
            <v>1Z5063E0YW41577412</v>
          </cell>
        </row>
        <row r="1114">
          <cell r="D1114" t="str">
            <v>7818-15457</v>
          </cell>
          <cell r="M1114" t="str">
            <v>1Z5063E0YW41098047</v>
          </cell>
        </row>
        <row r="1115">
          <cell r="D1115" t="str">
            <v>7812-03372</v>
          </cell>
          <cell r="M1115" t="str">
            <v>1Z5063E0YW42171429</v>
          </cell>
        </row>
        <row r="1116">
          <cell r="D1116" t="str">
            <v>7819-00111</v>
          </cell>
          <cell r="M1116" t="str">
            <v>1Z5063E0YW42214338</v>
          </cell>
        </row>
        <row r="1117">
          <cell r="D1117" t="str">
            <v>7818-23284</v>
          </cell>
          <cell r="M1117" t="str">
            <v>1Z5063E0YW40297351</v>
          </cell>
        </row>
        <row r="1118">
          <cell r="D1118" t="str">
            <v>7818-25788</v>
          </cell>
          <cell r="M1118" t="str">
            <v>1Z5063E0YW41967027</v>
          </cell>
        </row>
        <row r="1119">
          <cell r="D1119" t="str">
            <v>7810-01139</v>
          </cell>
          <cell r="M1119" t="str">
            <v>1Z5063E0YW41764451</v>
          </cell>
        </row>
        <row r="1120">
          <cell r="D1120" t="str">
            <v>7818-24175</v>
          </cell>
          <cell r="M1120" t="str">
            <v>1Z5063E0YW41931261</v>
          </cell>
        </row>
        <row r="1121">
          <cell r="D1121" t="str">
            <v>7818-25250</v>
          </cell>
          <cell r="M1121" t="str">
            <v>1Z5063E0YW40980111</v>
          </cell>
        </row>
        <row r="1122">
          <cell r="D1122" t="str">
            <v>7818-20687</v>
          </cell>
          <cell r="M1122" t="str">
            <v>1Z5063E0YW42942168</v>
          </cell>
        </row>
        <row r="1123">
          <cell r="D1123" t="str">
            <v>7818-21968</v>
          </cell>
          <cell r="M1123" t="str">
            <v>1Z5063E0YW41682745</v>
          </cell>
        </row>
        <row r="1124">
          <cell r="D1124" t="str">
            <v>7818-23757</v>
          </cell>
          <cell r="M1124" t="str">
            <v>1Z5063E0YW42923723</v>
          </cell>
        </row>
        <row r="1125">
          <cell r="D1125" t="str">
            <v>7812-03054</v>
          </cell>
          <cell r="M1125" t="str">
            <v>1Z5063E0YW41572935</v>
          </cell>
        </row>
        <row r="1126">
          <cell r="D1126" t="str">
            <v>7810-01587</v>
          </cell>
          <cell r="M1126" t="str">
            <v>1Z5063E0YW42429222</v>
          </cell>
        </row>
        <row r="1127">
          <cell r="D1127" t="str">
            <v>7818-25909</v>
          </cell>
          <cell r="M1127" t="str">
            <v>1Z5063E0YW41169461</v>
          </cell>
        </row>
        <row r="1128">
          <cell r="D1128" t="str">
            <v>7818-09064</v>
          </cell>
          <cell r="M1128" t="str">
            <v>1Z5063E0YW41758655</v>
          </cell>
        </row>
        <row r="1129">
          <cell r="D1129" t="str">
            <v>7811-00232</v>
          </cell>
          <cell r="M1129" t="str">
            <v>9400 1112 0620 7903 1415 93</v>
          </cell>
        </row>
        <row r="1130">
          <cell r="D1130" t="str">
            <v>7818-18041</v>
          </cell>
          <cell r="M1130" t="str">
            <v>1Z5063E0YW40692898</v>
          </cell>
        </row>
        <row r="1131">
          <cell r="D1131" t="str">
            <v>7812-03377</v>
          </cell>
          <cell r="M1131" t="str">
            <v>1Z5063E0YW42973698</v>
          </cell>
        </row>
        <row r="1132">
          <cell r="D1132" t="str">
            <v>7811-00229</v>
          </cell>
          <cell r="M1132" t="str">
            <v>9402 1112 0620 7969 9287 47</v>
          </cell>
        </row>
        <row r="1133">
          <cell r="D1133" t="str">
            <v>7818-20067</v>
          </cell>
          <cell r="M1133" t="str">
            <v>1Z5063E0YW41968393</v>
          </cell>
        </row>
        <row r="1134">
          <cell r="D1134" t="str">
            <v>7812-02103</v>
          </cell>
          <cell r="M1134" t="str">
            <v>1Z5063E0YW40643182</v>
          </cell>
        </row>
        <row r="1135">
          <cell r="D1135" t="str">
            <v>7818-20464</v>
          </cell>
          <cell r="M1135" t="str">
            <v>1Z5063E0YW42917301</v>
          </cell>
        </row>
        <row r="1136">
          <cell r="D1136" t="str">
            <v>7818-15879</v>
          </cell>
          <cell r="M1136" t="str">
            <v>1Z5063E0YW41066009</v>
          </cell>
        </row>
        <row r="1137">
          <cell r="D1137" t="str">
            <v>7818-22105</v>
          </cell>
          <cell r="M1137" t="str">
            <v>1Z5063E0YW40018590</v>
          </cell>
        </row>
        <row r="1138">
          <cell r="D1138" t="str">
            <v>7818-19810</v>
          </cell>
          <cell r="M1138" t="str">
            <v>1Z5063E0YW42221786</v>
          </cell>
        </row>
        <row r="1139">
          <cell r="D1139" t="str">
            <v>7818-23315</v>
          </cell>
          <cell r="M1139" t="str">
            <v>1Z5063E0YW42158766</v>
          </cell>
        </row>
        <row r="1140">
          <cell r="D1140" t="str">
            <v>7818-24898</v>
          </cell>
          <cell r="M1140" t="str">
            <v>1Z5063E0YW40800047</v>
          </cell>
        </row>
        <row r="1141">
          <cell r="D1141" t="str">
            <v>7810-01560</v>
          </cell>
          <cell r="M1141" t="str">
            <v>1Z5063E0YW40941958</v>
          </cell>
        </row>
        <row r="1142">
          <cell r="D1142" t="str">
            <v>7818-21511</v>
          </cell>
          <cell r="M1142" t="str">
            <v>9400 1112 0620 7989 0914 92</v>
          </cell>
        </row>
        <row r="1143">
          <cell r="D1143" t="str">
            <v>7812-02645</v>
          </cell>
          <cell r="M1143" t="str">
            <v>1Z5063E0YW42356284</v>
          </cell>
        </row>
        <row r="1144">
          <cell r="D1144" t="str">
            <v>7818-18554</v>
          </cell>
          <cell r="M1144" t="str">
            <v>1Z5063E0YW42495820</v>
          </cell>
        </row>
        <row r="1145">
          <cell r="D1145" t="str">
            <v>7812-02854</v>
          </cell>
          <cell r="M1145" t="str">
            <v>1Z5063E0YW41344815</v>
          </cell>
        </row>
        <row r="1146">
          <cell r="D1146" t="str">
            <v>7812-03116</v>
          </cell>
          <cell r="M1146" t="str">
            <v>1Z5063E0YW41402805</v>
          </cell>
        </row>
        <row r="1147">
          <cell r="D1147" t="str">
            <v>7818-23299</v>
          </cell>
          <cell r="M1147" t="str">
            <v>1Z5063E0YW42149445</v>
          </cell>
        </row>
        <row r="1148">
          <cell r="D1148" t="str">
            <v>7812-01826</v>
          </cell>
          <cell r="M1148" t="str">
            <v>1Z5063E0YW41958055</v>
          </cell>
        </row>
        <row r="1149">
          <cell r="D1149" t="str">
            <v>7812-02198</v>
          </cell>
          <cell r="M1149" t="str">
            <v>1Z5063E0YW41599121</v>
          </cell>
        </row>
        <row r="1150">
          <cell r="D1150" t="str">
            <v>7824-00376</v>
          </cell>
          <cell r="M1150" t="str">
            <v>1Z5063E0YW42766617</v>
          </cell>
        </row>
        <row r="1151">
          <cell r="D1151" t="str">
            <v>7818-13617</v>
          </cell>
          <cell r="M1151" t="str">
            <v>1Z5063E0YW40460834</v>
          </cell>
        </row>
        <row r="1152">
          <cell r="D1152" t="str">
            <v>7823-01421</v>
          </cell>
          <cell r="M1152" t="str">
            <v>1Z5063E0YW40874549</v>
          </cell>
        </row>
        <row r="1153">
          <cell r="D1153" t="str">
            <v>7812-01740</v>
          </cell>
          <cell r="M1153" t="str">
            <v>1Z5063E0YW40049191</v>
          </cell>
        </row>
        <row r="1154">
          <cell r="D1154" t="str">
            <v>7823-02794</v>
          </cell>
          <cell r="M1154" t="str">
            <v>1Z5063E0YW42760971</v>
          </cell>
        </row>
        <row r="1155">
          <cell r="D1155" t="str">
            <v>7818-17193</v>
          </cell>
          <cell r="M1155" t="str">
            <v>1Z5063E0YW41671113</v>
          </cell>
        </row>
        <row r="1156">
          <cell r="D1156" t="str">
            <v>7818-16992</v>
          </cell>
          <cell r="M1156" t="str">
            <v>1Z5063E0YW40469595</v>
          </cell>
        </row>
        <row r="1157">
          <cell r="D1157" t="str">
            <v>7818-23783</v>
          </cell>
          <cell r="M1157" t="str">
            <v>1Z5063E0YW40504626</v>
          </cell>
        </row>
        <row r="1158">
          <cell r="D1158" t="str">
            <v>7818-25275</v>
          </cell>
          <cell r="M1158" t="str">
            <v>1Z5063E0YW40543272</v>
          </cell>
        </row>
        <row r="1159">
          <cell r="D1159" t="str">
            <v>7818-09756</v>
          </cell>
          <cell r="M1159" t="str">
            <v>1Z5063E0YW42545338</v>
          </cell>
        </row>
        <row r="1160">
          <cell r="D1160" t="str">
            <v>7818-18556</v>
          </cell>
          <cell r="M1160" t="str">
            <v>1Z5063E0YW40551209</v>
          </cell>
        </row>
        <row r="1161">
          <cell r="D1161" t="str">
            <v>7818-24896</v>
          </cell>
          <cell r="M1161" t="str">
            <v>1Z5063E0YW41967036</v>
          </cell>
        </row>
        <row r="1162">
          <cell r="D1162" t="str">
            <v>7818-06950</v>
          </cell>
          <cell r="M1162" t="str">
            <v>1Z5063E0YW42873804</v>
          </cell>
        </row>
        <row r="1163">
          <cell r="D1163" t="str">
            <v>7823-02808</v>
          </cell>
          <cell r="M1163" t="str">
            <v>1Z5063E0YW41603017</v>
          </cell>
        </row>
        <row r="1164">
          <cell r="D1164" t="str">
            <v>7811-00051</v>
          </cell>
          <cell r="M1164" t="str">
            <v>1Z5063E0YW42107150</v>
          </cell>
        </row>
        <row r="1165">
          <cell r="D1165" t="str">
            <v>7818-04391</v>
          </cell>
          <cell r="M1165" t="str">
            <v>1Z5063E0YW40736180</v>
          </cell>
        </row>
        <row r="1166">
          <cell r="D1166" t="str">
            <v>7818-04390</v>
          </cell>
          <cell r="M1166" t="str">
            <v>1Z5063E0YW41787963</v>
          </cell>
        </row>
        <row r="1167">
          <cell r="D1167" t="str">
            <v>7812-03438</v>
          </cell>
          <cell r="M1167" t="str">
            <v>1Z5063E0YW41473220</v>
          </cell>
        </row>
        <row r="1168">
          <cell r="D1168" t="str">
            <v>7818-11583</v>
          </cell>
          <cell r="M1168" t="str">
            <v>1Z5063E0YW40124466</v>
          </cell>
        </row>
        <row r="1169">
          <cell r="D1169" t="str">
            <v>7818-23441</v>
          </cell>
          <cell r="M1169" t="str">
            <v>1Z5063E0YW41532684</v>
          </cell>
        </row>
        <row r="1170">
          <cell r="D1170" t="str">
            <v>7818-23077</v>
          </cell>
          <cell r="M1170" t="str">
            <v>1Z5063E0YW41549470</v>
          </cell>
        </row>
        <row r="1171">
          <cell r="D1171" t="str">
            <v>7823-02769</v>
          </cell>
          <cell r="M1171" t="str">
            <v>1Z5063E0YW42112019</v>
          </cell>
        </row>
        <row r="1172">
          <cell r="D1172" t="str">
            <v>7818-24097</v>
          </cell>
          <cell r="M1172" t="str">
            <v>1Z5063E0YW41637428</v>
          </cell>
        </row>
        <row r="1173">
          <cell r="D1173" t="str">
            <v>7818-21175</v>
          </cell>
          <cell r="M1173" t="str">
            <v>1Z5063E0YW41598275</v>
          </cell>
        </row>
        <row r="1174">
          <cell r="D1174" t="str">
            <v>7818-18041</v>
          </cell>
          <cell r="M1174" t="str">
            <v>1Z5063E0YW41223393</v>
          </cell>
        </row>
        <row r="1175">
          <cell r="D1175" t="str">
            <v>7812-02069</v>
          </cell>
          <cell r="M1175" t="str">
            <v>1Z5063E0YW41031984</v>
          </cell>
        </row>
        <row r="1176">
          <cell r="D1176" t="str">
            <v>7823-02178</v>
          </cell>
          <cell r="M1176" t="str">
            <v>1Z5063E0YW40653199</v>
          </cell>
        </row>
        <row r="1177">
          <cell r="D1177" t="str">
            <v>7818-24687</v>
          </cell>
          <cell r="M1177" t="str">
            <v>1Z5063E0YW41286807</v>
          </cell>
        </row>
        <row r="1178">
          <cell r="D1178" t="str">
            <v>7818-14118</v>
          </cell>
          <cell r="M1178" t="str">
            <v>1Z5063E0YW40578940</v>
          </cell>
        </row>
        <row r="1179">
          <cell r="D1179" t="str">
            <v>7812-023909</v>
          </cell>
          <cell r="M1179" t="str">
            <v>1Z5063E0YW40597483</v>
          </cell>
        </row>
        <row r="1180">
          <cell r="D1180" t="str">
            <v>7818-25051</v>
          </cell>
          <cell r="M1180" t="str">
            <v>1Z5063E0YW40323410</v>
          </cell>
        </row>
        <row r="1181">
          <cell r="D1181" t="str">
            <v>7818-24900</v>
          </cell>
          <cell r="M1181" t="str">
            <v>1Z5063E0YW42131767</v>
          </cell>
        </row>
        <row r="1182">
          <cell r="D1182" t="str">
            <v>7818-22412</v>
          </cell>
          <cell r="M1182" t="str">
            <v>1Z5063E0YW40254950</v>
          </cell>
        </row>
        <row r="1183">
          <cell r="D1183" t="str">
            <v>7818-22127</v>
          </cell>
          <cell r="M1183" t="str">
            <v>1Z5063E0YW40880943</v>
          </cell>
        </row>
        <row r="1184">
          <cell r="D1184" t="str">
            <v>7823-01856</v>
          </cell>
          <cell r="M1184" t="str">
            <v>1Z5063E0YW41890814</v>
          </cell>
        </row>
        <row r="1185">
          <cell r="D1185" t="str">
            <v>7133-00071</v>
          </cell>
          <cell r="M1185" t="str">
            <v>1Z5063E0YW40782979</v>
          </cell>
        </row>
        <row r="1186">
          <cell r="D1186" t="str">
            <v>7818-26039</v>
          </cell>
          <cell r="M1186" t="str">
            <v>1Z5063E0YW41613659</v>
          </cell>
        </row>
        <row r="1187">
          <cell r="D1187" t="str">
            <v>7818-22106</v>
          </cell>
          <cell r="M1187" t="str">
            <v>1Z5063E0YW40968537</v>
          </cell>
        </row>
        <row r="1188">
          <cell r="D1188" t="str">
            <v>7818-10376</v>
          </cell>
          <cell r="M1188" t="str">
            <v>1Z5063E0YW40932459</v>
          </cell>
        </row>
        <row r="1189">
          <cell r="D1189" t="str">
            <v>7818-26905</v>
          </cell>
          <cell r="M1189" t="str">
            <v>1Z5063E0YW41019551</v>
          </cell>
        </row>
        <row r="1190">
          <cell r="D1190" t="str">
            <v>7810-01709</v>
          </cell>
          <cell r="M1190" t="str">
            <v>1Z5063E0YW40475846</v>
          </cell>
        </row>
        <row r="1191">
          <cell r="D1191" t="str">
            <v>7818-18957</v>
          </cell>
          <cell r="M1191" t="str">
            <v>1Z5063E0YW41474452</v>
          </cell>
        </row>
        <row r="1192">
          <cell r="D1192" t="str">
            <v>7818-18561</v>
          </cell>
          <cell r="M1192" t="str">
            <v>1Z5063E0YW41078327</v>
          </cell>
        </row>
        <row r="1193">
          <cell r="D1193" t="str">
            <v>7818-25764</v>
          </cell>
          <cell r="M1193" t="str">
            <v>1Z5063E0YW41151096</v>
          </cell>
        </row>
        <row r="1194">
          <cell r="D1194" t="str">
            <v>7818-16468</v>
          </cell>
          <cell r="M1194" t="str">
            <v>1Z5063E0YW42146564</v>
          </cell>
        </row>
        <row r="1195">
          <cell r="D1195" t="str">
            <v>7818-10507</v>
          </cell>
          <cell r="M1195" t="str">
            <v>1Z5063E0YW41625682</v>
          </cell>
        </row>
        <row r="1196">
          <cell r="D1196" t="str">
            <v>7823-02741</v>
          </cell>
          <cell r="M1196" t="str">
            <v>9400 1112 0620 7937 4878 65</v>
          </cell>
        </row>
        <row r="1197">
          <cell r="D1197" t="str">
            <v>7818-11668</v>
          </cell>
          <cell r="M1197" t="str">
            <v>1Z5063E0YW42297722</v>
          </cell>
        </row>
        <row r="1198">
          <cell r="D1198" t="str">
            <v>7818-24532</v>
          </cell>
          <cell r="M1198" t="str">
            <v>1Z5063E0YW40230190</v>
          </cell>
        </row>
        <row r="1199">
          <cell r="D1199" t="str">
            <v>7823-01420</v>
          </cell>
          <cell r="M1199" t="str">
            <v>1Z5063E0YW42403295</v>
          </cell>
        </row>
        <row r="1200">
          <cell r="D1200" t="str">
            <v>7818-18949</v>
          </cell>
          <cell r="M1200" t="str">
            <v>1Z5063E0YW41165116</v>
          </cell>
        </row>
        <row r="1201">
          <cell r="D1201" t="str">
            <v>7818-22185</v>
          </cell>
          <cell r="M1201" t="str">
            <v>1Z5063E0YW41549390</v>
          </cell>
        </row>
        <row r="1202">
          <cell r="D1202" t="str">
            <v>7812-02920</v>
          </cell>
          <cell r="M1202" t="str">
            <v>1Z5063E0YW42749645</v>
          </cell>
        </row>
        <row r="1203">
          <cell r="D1203" t="str">
            <v>7812-03364</v>
          </cell>
          <cell r="M1203" t="str">
            <v>1Z5063E0YW41103067</v>
          </cell>
        </row>
        <row r="1204">
          <cell r="D1204" t="str">
            <v>7812-01286</v>
          </cell>
          <cell r="M1204" t="str">
            <v>1Z5063E0YW40613955</v>
          </cell>
        </row>
        <row r="1205">
          <cell r="D1205" t="str">
            <v>7818-14376</v>
          </cell>
          <cell r="M1205" t="str">
            <v>1Z5063E0YW41956299</v>
          </cell>
        </row>
        <row r="1206">
          <cell r="D1206" t="str">
            <v>7818-23512</v>
          </cell>
          <cell r="M1206" t="str">
            <v>1Z5063E0YW42998359</v>
          </cell>
        </row>
        <row r="1207">
          <cell r="D1207" t="str">
            <v>7818-17528</v>
          </cell>
          <cell r="M1207" t="str">
            <v>1Z5063E0YW42704406</v>
          </cell>
        </row>
        <row r="1208">
          <cell r="D1208" t="str">
            <v>7812-03461</v>
          </cell>
          <cell r="M1208" t="str">
            <v>1Z5063E0YW40521107</v>
          </cell>
        </row>
        <row r="1209">
          <cell r="D1209" t="str">
            <v>7818-03134</v>
          </cell>
          <cell r="M1209" t="str">
            <v>1Z5063E0YW42684714</v>
          </cell>
        </row>
        <row r="1210">
          <cell r="D1210" t="str">
            <v>7823-02791</v>
          </cell>
          <cell r="M1210" t="str">
            <v>1Z5063E0YW41536822</v>
          </cell>
        </row>
        <row r="1211">
          <cell r="D1211" t="str">
            <v>7818-21528</v>
          </cell>
          <cell r="M1211" t="str">
            <v>1Z5063E0YW41074812</v>
          </cell>
        </row>
        <row r="1212">
          <cell r="D1212" t="str">
            <v>7818-15454</v>
          </cell>
          <cell r="M1212" t="str">
            <v>1Z5063E0YW42145421</v>
          </cell>
        </row>
        <row r="1213">
          <cell r="D1213" t="str">
            <v>7823-01694</v>
          </cell>
          <cell r="M1213" t="str">
            <v>9402 1112 0620 7389 5139 74</v>
          </cell>
        </row>
        <row r="1214">
          <cell r="D1214" t="str">
            <v>7818-18820</v>
          </cell>
          <cell r="M1214" t="str">
            <v>1Z5063E0YW42868472</v>
          </cell>
        </row>
        <row r="1215">
          <cell r="D1215" t="str">
            <v>7818-22358</v>
          </cell>
          <cell r="M1215" t="str">
            <v>1Z5063E0YW42254161</v>
          </cell>
        </row>
        <row r="1216">
          <cell r="D1216" t="str">
            <v>7818-23740</v>
          </cell>
          <cell r="M1216" t="str">
            <v>1Z5063E0YW42557638</v>
          </cell>
        </row>
        <row r="1217">
          <cell r="D1217" t="str">
            <v>7818-21733</v>
          </cell>
          <cell r="M1217" t="str">
            <v>1Z5063E0YW40569352</v>
          </cell>
        </row>
        <row r="1218">
          <cell r="D1218" t="str">
            <v>7818-09021</v>
          </cell>
          <cell r="M1218" t="str">
            <v>1Z5063E0YW42681208</v>
          </cell>
        </row>
        <row r="1219">
          <cell r="D1219" t="str">
            <v>7818-01274</v>
          </cell>
          <cell r="M1219" t="str">
            <v>1Z5063E0YW42897039</v>
          </cell>
        </row>
        <row r="1220">
          <cell r="D1220" t="str">
            <v>7818-21971</v>
          </cell>
          <cell r="M1220" t="str">
            <v>1Z5063E0YW41623344</v>
          </cell>
        </row>
        <row r="1221">
          <cell r="D1221" t="str">
            <v>7818-19559</v>
          </cell>
          <cell r="M1221" t="str">
            <v>1Z5063E0YW40236550</v>
          </cell>
        </row>
        <row r="1222">
          <cell r="D1222" t="str">
            <v>7818-22212</v>
          </cell>
          <cell r="M1222" t="str">
            <v>1Z5063E0YW40471411</v>
          </cell>
        </row>
        <row r="1223">
          <cell r="D1223" t="str">
            <v>7812-03111</v>
          </cell>
          <cell r="M1223" t="str">
            <v>1Z5063E0YW42572657</v>
          </cell>
        </row>
        <row r="1224">
          <cell r="D1224" t="str">
            <v>7812-3771</v>
          </cell>
          <cell r="M1224" t="str">
            <v>1Z5063E0YW40963747</v>
          </cell>
        </row>
        <row r="1225">
          <cell r="D1225" t="str">
            <v>7810-00542</v>
          </cell>
          <cell r="M1225" t="str">
            <v>1Z5063E0YW41929121</v>
          </cell>
        </row>
        <row r="1226">
          <cell r="D1226" t="str">
            <v>7810-01748</v>
          </cell>
          <cell r="M1226" t="str">
            <v>1Z5063E0YW40466712</v>
          </cell>
        </row>
        <row r="1227">
          <cell r="D1227" t="str">
            <v>7818-21664</v>
          </cell>
          <cell r="M1227" t="str">
            <v>1Z5063E0YW42436536</v>
          </cell>
        </row>
        <row r="1228">
          <cell r="D1228" t="str">
            <v>7818-10403</v>
          </cell>
          <cell r="M1228" t="str">
            <v>1Z5063E0YW42464498</v>
          </cell>
        </row>
        <row r="1229">
          <cell r="D1229" t="str">
            <v>7818-21028</v>
          </cell>
          <cell r="M1229" t="str">
            <v>9400 1112 0620 7377 9077 01</v>
          </cell>
        </row>
        <row r="1230">
          <cell r="D1230" t="str">
            <v>7818-10971</v>
          </cell>
          <cell r="M1230" t="str">
            <v>1Z5063E0YW41503698</v>
          </cell>
        </row>
        <row r="1231">
          <cell r="D1231" t="str">
            <v>7818-18821</v>
          </cell>
          <cell r="M1231" t="str">
            <v>1Z5063E0YW41604187</v>
          </cell>
        </row>
        <row r="1232">
          <cell r="D1232" t="str">
            <v>7818-19955</v>
          </cell>
          <cell r="M1232" t="str">
            <v>1Z5063E0YW42105296</v>
          </cell>
        </row>
        <row r="1233">
          <cell r="D1233" t="str">
            <v>7818-18803</v>
          </cell>
          <cell r="M1233" t="str">
            <v>1Z5063E0YW42092998</v>
          </cell>
        </row>
        <row r="1234">
          <cell r="D1234" t="str">
            <v>7818-25501</v>
          </cell>
          <cell r="M1234" t="str">
            <v>1Z5063E0YW42069586</v>
          </cell>
        </row>
        <row r="1235">
          <cell r="D1235" t="str">
            <v>7812-03374</v>
          </cell>
          <cell r="M1235" t="str">
            <v>1Z5063E0YW41957949</v>
          </cell>
        </row>
        <row r="1236">
          <cell r="D1236" t="str">
            <v>7810-00356</v>
          </cell>
          <cell r="M1236" t="str">
            <v>1Z5063E0YW42561865</v>
          </cell>
        </row>
        <row r="1237">
          <cell r="D1237" t="str">
            <v>7810-01228</v>
          </cell>
          <cell r="M1237" t="str">
            <v>1Z5063E0YW40764720</v>
          </cell>
        </row>
        <row r="1238">
          <cell r="D1238" t="str">
            <v>7823-02672</v>
          </cell>
          <cell r="M1238" t="str">
            <v>1Z5063E0YW41714746</v>
          </cell>
        </row>
        <row r="1239">
          <cell r="D1239" t="str">
            <v>7811-00216</v>
          </cell>
          <cell r="M1239" t="str">
            <v>1Z5063E0YW40456698</v>
          </cell>
        </row>
        <row r="1240">
          <cell r="D1240" t="str">
            <v>7811-00208</v>
          </cell>
          <cell r="M1240" t="str">
            <v>1Z5063E0YW40488083</v>
          </cell>
        </row>
        <row r="1241">
          <cell r="D1241" t="str">
            <v>7811-00239</v>
          </cell>
          <cell r="M1241" t="str">
            <v>1Z5063E0YW42862129</v>
          </cell>
        </row>
        <row r="1242">
          <cell r="D1242" t="str">
            <v>7811-00249</v>
          </cell>
          <cell r="M1242" t="str">
            <v>1Z5063E0YW41666183</v>
          </cell>
        </row>
        <row r="1243">
          <cell r="D1243" t="str">
            <v>7818-18034</v>
          </cell>
          <cell r="M1243" t="str">
            <v>1Z5063E0YW41401119</v>
          </cell>
        </row>
        <row r="1244">
          <cell r="D1244" t="str">
            <v>7818-25242</v>
          </cell>
          <cell r="M1244" t="str">
            <v>1Z5063E0YW42047304</v>
          </cell>
        </row>
        <row r="1245">
          <cell r="D1245" t="str">
            <v>7818-12841</v>
          </cell>
          <cell r="M1245" t="str">
            <v>1Z5063E0YW42960906</v>
          </cell>
        </row>
        <row r="1246">
          <cell r="D1246" t="str">
            <v>7812-03313</v>
          </cell>
          <cell r="M1246" t="str">
            <v>1Z5063E0YW40766175</v>
          </cell>
        </row>
        <row r="1247">
          <cell r="D1247" t="str">
            <v>7810-01757</v>
          </cell>
          <cell r="M1247" t="str">
            <v>1Z5063E0YW40104853</v>
          </cell>
        </row>
        <row r="1248">
          <cell r="D1248" t="str">
            <v>7811-00304</v>
          </cell>
          <cell r="M1248" t="str">
            <v>1Z5063E0YW41205368</v>
          </cell>
        </row>
        <row r="1249">
          <cell r="D1249" t="str">
            <v>7818-26601</v>
          </cell>
          <cell r="M1249" t="str">
            <v>1Z5063E0YW41511036</v>
          </cell>
        </row>
        <row r="1250">
          <cell r="D1250" t="str">
            <v>7818-13453</v>
          </cell>
          <cell r="M1250" t="str">
            <v>1Z5063E0YW40475337</v>
          </cell>
        </row>
        <row r="1251">
          <cell r="D1251" t="str">
            <v>7818-08079</v>
          </cell>
          <cell r="M1251" t="str">
            <v>1Z5063E0YW41856110</v>
          </cell>
        </row>
        <row r="1252">
          <cell r="D1252" t="str">
            <v>7823-02757</v>
          </cell>
          <cell r="M1252" t="str">
            <v>1Z5063E0YW40749970</v>
          </cell>
        </row>
        <row r="1253">
          <cell r="D1253" t="str">
            <v>7812-03147</v>
          </cell>
          <cell r="M1253" t="str">
            <v>1Z5063E0YW42631904</v>
          </cell>
        </row>
        <row r="1254">
          <cell r="D1254" t="str">
            <v>7812-02886</v>
          </cell>
          <cell r="M1254" t="str">
            <v>1Z5063E0YW41283239</v>
          </cell>
        </row>
        <row r="1255">
          <cell r="D1255" t="str">
            <v>7812-00444</v>
          </cell>
          <cell r="M1255" t="str">
            <v>1Z5063E0YW42901596</v>
          </cell>
        </row>
        <row r="1256">
          <cell r="D1256" t="str">
            <v>7812-01744</v>
          </cell>
          <cell r="M1256" t="str">
            <v>1Z5063E0YW41088058</v>
          </cell>
        </row>
        <row r="1257">
          <cell r="D1257" t="str">
            <v>7818-25763</v>
          </cell>
          <cell r="M1257" t="str">
            <v>1Z5063E0YW40722257</v>
          </cell>
        </row>
        <row r="1258">
          <cell r="D1258" t="str">
            <v>7818-10367</v>
          </cell>
          <cell r="M1258" t="str">
            <v>1Z5063E0YW41651279</v>
          </cell>
        </row>
        <row r="1259">
          <cell r="D1259" t="str">
            <v>7818-12694</v>
          </cell>
          <cell r="M1259" t="str">
            <v>1Z5063E0YW41402074</v>
          </cell>
        </row>
        <row r="1260">
          <cell r="D1260" t="str">
            <v>7818-12467</v>
          </cell>
          <cell r="M1260" t="str">
            <v>1Z5063E0YW40741021</v>
          </cell>
        </row>
        <row r="1261">
          <cell r="D1261" t="str">
            <v>7812-03052</v>
          </cell>
          <cell r="M1261" t="str">
            <v>1Z5063E0YW42502937</v>
          </cell>
        </row>
        <row r="1262">
          <cell r="D1262" t="str">
            <v>7818-24713</v>
          </cell>
          <cell r="M1262" t="str">
            <v>1Z5063E0YW40528815</v>
          </cell>
        </row>
        <row r="1263">
          <cell r="D1263" t="str">
            <v>7818-21665</v>
          </cell>
          <cell r="M1263" t="str">
            <v>1Z5063E0YW41851642</v>
          </cell>
        </row>
        <row r="1264">
          <cell r="D1264" t="str">
            <v>7812-01555</v>
          </cell>
          <cell r="M1264" t="str">
            <v>1Z5063E0YW42046887</v>
          </cell>
        </row>
        <row r="1265">
          <cell r="D1265" t="str">
            <v>7812-02665</v>
          </cell>
          <cell r="M1265" t="str">
            <v>1Z5063E0YW42073099</v>
          </cell>
        </row>
        <row r="1266">
          <cell r="D1266" t="str">
            <v>7812-03464</v>
          </cell>
          <cell r="M1266" t="str">
            <v>1Z5063E0YW41346519</v>
          </cell>
        </row>
        <row r="1267">
          <cell r="D1267" t="str">
            <v>7818-01450</v>
          </cell>
          <cell r="M1267" t="str">
            <v>1Z5063E0YW42819346</v>
          </cell>
        </row>
        <row r="1268">
          <cell r="D1268" t="str">
            <v>7818-24856</v>
          </cell>
          <cell r="M1268" t="str">
            <v>1Z5063E0YW41219380</v>
          </cell>
        </row>
        <row r="1269">
          <cell r="D1269" t="str">
            <v>7818-25219</v>
          </cell>
          <cell r="M1269" t="str">
            <v>1Z5063E0YW41517281</v>
          </cell>
        </row>
        <row r="1270">
          <cell r="D1270" t="str">
            <v>7818-23316</v>
          </cell>
          <cell r="M1270" t="str">
            <v>1Z5063E0YW41519029</v>
          </cell>
        </row>
        <row r="1271">
          <cell r="D1271" t="str">
            <v>7818-23127</v>
          </cell>
          <cell r="M1271" t="str">
            <v>1Z5063E0YW41120717</v>
          </cell>
        </row>
        <row r="1272">
          <cell r="D1272" t="str">
            <v>7818-21741</v>
          </cell>
          <cell r="M1272" t="str">
            <v>1Z5063E0YW41122171</v>
          </cell>
        </row>
        <row r="1273">
          <cell r="D1273" t="str">
            <v>7810-01749</v>
          </cell>
          <cell r="M1273" t="str">
            <v>1Z5063E0YW42464256</v>
          </cell>
        </row>
        <row r="1274">
          <cell r="D1274" t="str">
            <v>7810-01768</v>
          </cell>
          <cell r="M1274" t="str">
            <v>1Z5063E0YW41980253</v>
          </cell>
        </row>
        <row r="1275">
          <cell r="D1275" t="str">
            <v>7810-01180</v>
          </cell>
          <cell r="M1275" t="str">
            <v>1Z5063E0YW40486003</v>
          </cell>
        </row>
        <row r="1276">
          <cell r="D1276" t="str">
            <v>7810-01572</v>
          </cell>
          <cell r="M1276" t="str">
            <v>1Z5063E0YW41171896</v>
          </cell>
        </row>
        <row r="1277">
          <cell r="D1277" t="str">
            <v>7823-02151</v>
          </cell>
          <cell r="M1277" t="str">
            <v>1Z5063E0YW40270825</v>
          </cell>
        </row>
        <row r="1278">
          <cell r="D1278" t="str">
            <v>7823-01696</v>
          </cell>
          <cell r="M1278" t="str">
            <v>1Z5063E0YW40036114</v>
          </cell>
        </row>
        <row r="1279">
          <cell r="D1279" t="str">
            <v>7818-23281</v>
          </cell>
          <cell r="M1279" t="str">
            <v>1Z5063E0YW42468378</v>
          </cell>
        </row>
        <row r="1280">
          <cell r="D1280" t="str">
            <v>7818-17003</v>
          </cell>
          <cell r="M1280" t="str">
            <v>1Z5063E0YW41811686</v>
          </cell>
        </row>
        <row r="1281">
          <cell r="D1281" t="str">
            <v>7818-20298</v>
          </cell>
          <cell r="M1281" t="str">
            <v>1Z5063E0YW42463462</v>
          </cell>
        </row>
        <row r="1282">
          <cell r="D1282" t="str">
            <v>7818-18555</v>
          </cell>
          <cell r="M1282" t="str">
            <v>1Z5063E0YW40979285</v>
          </cell>
        </row>
        <row r="1283">
          <cell r="D1283" t="str">
            <v>7818-19826</v>
          </cell>
          <cell r="M1283" t="str">
            <v>1Z5063E0YW42046574</v>
          </cell>
        </row>
        <row r="1284">
          <cell r="D1284" t="str">
            <v>7818-25663</v>
          </cell>
          <cell r="M1284" t="str">
            <v>1Z5063E0YW41467068</v>
          </cell>
        </row>
        <row r="1285">
          <cell r="D1285" t="str">
            <v>7818-18033</v>
          </cell>
          <cell r="M1285" t="str">
            <v>1Z5063E0YW40490516</v>
          </cell>
        </row>
        <row r="1286">
          <cell r="D1286" t="str">
            <v>7818-26902</v>
          </cell>
          <cell r="M1286" t="str">
            <v>1Z5063E0YW40188700</v>
          </cell>
        </row>
        <row r="1287">
          <cell r="D1287" t="str">
            <v>7818-02868</v>
          </cell>
          <cell r="M1287" t="str">
            <v>1Z5063E0YW40857095</v>
          </cell>
        </row>
        <row r="1288">
          <cell r="D1288" t="str">
            <v>7818-24897</v>
          </cell>
          <cell r="M1288" t="str">
            <v>1Z5063E0YW42378939</v>
          </cell>
        </row>
        <row r="1289">
          <cell r="D1289" t="str">
            <v>7818-25725</v>
          </cell>
          <cell r="M1289" t="str">
            <v>1Z5063E0YW42545230</v>
          </cell>
        </row>
        <row r="1290">
          <cell r="D1290" t="str">
            <v>7818-24165</v>
          </cell>
          <cell r="M1290" t="str">
            <v>1Z5063E0YW40110480</v>
          </cell>
        </row>
        <row r="1291">
          <cell r="D1291" t="str">
            <v>7818-22191</v>
          </cell>
          <cell r="M1291" t="str">
            <v>1Z5063E0YW41114617</v>
          </cell>
        </row>
        <row r="1292">
          <cell r="D1292" t="str">
            <v>7823-01330</v>
          </cell>
          <cell r="M1292" t="str">
            <v>1Z5063E0YW42666672</v>
          </cell>
        </row>
        <row r="1293">
          <cell r="D1293" t="str">
            <v>7823-02863</v>
          </cell>
          <cell r="M1293" t="str">
            <v>1Z5063E0YW42463168</v>
          </cell>
        </row>
        <row r="1294">
          <cell r="D1294" t="str">
            <v>7812-00800</v>
          </cell>
          <cell r="M1294" t="str">
            <v>1Z5063E0YW41855513</v>
          </cell>
        </row>
        <row r="1295">
          <cell r="D1295" t="str">
            <v>7823-02216</v>
          </cell>
          <cell r="M1295" t="str">
            <v>1Z5063E0YW42705736</v>
          </cell>
        </row>
        <row r="1296">
          <cell r="D1296" t="str">
            <v>7823-02873</v>
          </cell>
          <cell r="M1296" t="str">
            <v>1Z5063E0YW40044758</v>
          </cell>
        </row>
        <row r="1297">
          <cell r="D1297" t="str">
            <v>7818-10368</v>
          </cell>
          <cell r="M1297" t="str">
            <v>1Z5063E0YW41891886</v>
          </cell>
        </row>
        <row r="1298">
          <cell r="D1298" t="str">
            <v>7818-25952</v>
          </cell>
          <cell r="M1298" t="str">
            <v>1Z5063E0YW40675853</v>
          </cell>
        </row>
        <row r="1299">
          <cell r="D1299" t="str">
            <v>7823-01968</v>
          </cell>
          <cell r="M1299" t="str">
            <v>1Z5063E0YW41895159</v>
          </cell>
        </row>
        <row r="1300">
          <cell r="D1300" t="str">
            <v>7818-26040</v>
          </cell>
          <cell r="M1300" t="str">
            <v>1Z5063E0YW42844676</v>
          </cell>
        </row>
        <row r="1301">
          <cell r="D1301" t="str">
            <v>7818-00866</v>
          </cell>
          <cell r="M1301" t="str">
            <v>9400 1112 0620 7978 5326 23</v>
          </cell>
        </row>
        <row r="1302">
          <cell r="D1302" t="str">
            <v>7818-21662</v>
          </cell>
          <cell r="M1302" t="str">
            <v>1Z5063E0YW41575718</v>
          </cell>
        </row>
        <row r="1303">
          <cell r="D1303" t="str">
            <v>7818-22150</v>
          </cell>
          <cell r="M1303" t="str">
            <v>1Z5063E0YW40647642</v>
          </cell>
        </row>
        <row r="1304">
          <cell r="D1304" t="str">
            <v>7818-24989</v>
          </cell>
          <cell r="M1304" t="str">
            <v>1Z5063E0YW40508462</v>
          </cell>
        </row>
        <row r="1305">
          <cell r="D1305" t="str">
            <v>7818-24986</v>
          </cell>
          <cell r="M1305" t="str">
            <v>1Z5063E0YW40122146</v>
          </cell>
        </row>
        <row r="1306">
          <cell r="D1306" t="str">
            <v>7818-13072</v>
          </cell>
          <cell r="M1306" t="str">
            <v>1Z5063E0YW40083582</v>
          </cell>
        </row>
        <row r="1307">
          <cell r="D1307" t="str">
            <v>7818-26041</v>
          </cell>
          <cell r="M1307" t="str">
            <v>1Z5063E0YW41253708</v>
          </cell>
        </row>
        <row r="1308">
          <cell r="D1308" t="str">
            <v>7823-02218</v>
          </cell>
          <cell r="M1308" t="str">
            <v>1Z5063E0YW40586995</v>
          </cell>
        </row>
        <row r="1309">
          <cell r="D1309" t="str">
            <v>7823-02217</v>
          </cell>
          <cell r="M1309" t="str">
            <v>1Z5063E0YW40591247</v>
          </cell>
        </row>
        <row r="1310">
          <cell r="D1310" t="str">
            <v>7818-24919</v>
          </cell>
          <cell r="M1310" t="str">
            <v>1Z5063E0YW41999592</v>
          </cell>
        </row>
        <row r="1311">
          <cell r="D1311" t="str">
            <v>7818-25761</v>
          </cell>
          <cell r="M1311" t="str">
            <v>9402 1112 0620 7978 5112 68</v>
          </cell>
        </row>
        <row r="1312">
          <cell r="D1312" t="str">
            <v>7818-10099</v>
          </cell>
          <cell r="M1312" t="str">
            <v>1Z5063E0YW42701294</v>
          </cell>
        </row>
        <row r="1313">
          <cell r="D1313" t="str">
            <v>7818-10729</v>
          </cell>
          <cell r="M1313" t="str">
            <v>1Z5063E0YW41624576</v>
          </cell>
        </row>
        <row r="1314">
          <cell r="D1314" t="str">
            <v>7818-19715</v>
          </cell>
          <cell r="M1314" t="str">
            <v>1Z5063E0YW41824074</v>
          </cell>
        </row>
        <row r="1315">
          <cell r="D1315" t="str">
            <v>7818-11983</v>
          </cell>
          <cell r="M1315" t="str">
            <v>1Z5063E0YW40982306</v>
          </cell>
        </row>
        <row r="1316">
          <cell r="D1316" t="str">
            <v>7810-01706</v>
          </cell>
          <cell r="M1316" t="str">
            <v>1Z5063E0YW40488636</v>
          </cell>
        </row>
        <row r="1317">
          <cell r="D1317" t="str">
            <v>7810-01708</v>
          </cell>
          <cell r="M1317" t="str">
            <v>1Z5063E0YW42257579</v>
          </cell>
        </row>
        <row r="1318">
          <cell r="D1318" t="str">
            <v>7812-03462</v>
          </cell>
          <cell r="M1318" t="str">
            <v>1Z5063E0YW40650389</v>
          </cell>
        </row>
        <row r="1319">
          <cell r="D1319" t="str">
            <v>7818-15718</v>
          </cell>
          <cell r="M1319" t="str">
            <v>1Z5063E0YW41382784</v>
          </cell>
        </row>
        <row r="1320">
          <cell r="D1320" t="str">
            <v>7818-20211</v>
          </cell>
          <cell r="M1320" t="str">
            <v>1Z5063E0YW40286283</v>
          </cell>
        </row>
        <row r="1321">
          <cell r="D1321" t="str">
            <v>7818-25951</v>
          </cell>
          <cell r="M1321" t="str">
            <v>1Z5063E0YW41477897</v>
          </cell>
        </row>
        <row r="1322">
          <cell r="D1322" t="str">
            <v>7818-24899</v>
          </cell>
          <cell r="M1322" t="str">
            <v>1Z5063E0YW40991529</v>
          </cell>
        </row>
        <row r="1323">
          <cell r="D1323" t="str">
            <v>7810-01582</v>
          </cell>
          <cell r="M1323" t="str">
            <v>1Z5063E0YW40090976</v>
          </cell>
        </row>
        <row r="1324">
          <cell r="D1324" t="str">
            <v>7818-25130</v>
          </cell>
          <cell r="M1324" t="str">
            <v>1Z5063E0YW42456621</v>
          </cell>
        </row>
        <row r="1325">
          <cell r="D1325" t="str">
            <v>7818-21834</v>
          </cell>
          <cell r="M1325" t="str">
            <v>1Z5063E0YW40315018</v>
          </cell>
        </row>
        <row r="1326">
          <cell r="D1326" t="str">
            <v>7818-21844</v>
          </cell>
          <cell r="M1326" t="str">
            <v>1Z5063E0YW40911089</v>
          </cell>
        </row>
        <row r="1327">
          <cell r="D1327" t="str">
            <v>7810-00583</v>
          </cell>
          <cell r="M1327" t="str">
            <v>1Z5063E0YW42183194</v>
          </cell>
        </row>
        <row r="1328">
          <cell r="D1328" t="str">
            <v>7818-25424</v>
          </cell>
          <cell r="M1328" t="str">
            <v>1Z5063E0YW42717652</v>
          </cell>
        </row>
        <row r="1329">
          <cell r="D1329" t="str">
            <v>7823-03321</v>
          </cell>
          <cell r="M1329" t="str">
            <v>1Z5063E0YW40159545</v>
          </cell>
        </row>
        <row r="1330">
          <cell r="D1330" t="str">
            <v>7823-00789</v>
          </cell>
          <cell r="M1330" t="str">
            <v>1Z5063E0YW40223206</v>
          </cell>
        </row>
        <row r="1331">
          <cell r="D1331" t="str">
            <v>7823-01939</v>
          </cell>
          <cell r="M1331" t="str">
            <v>1Z5063E0YW40518308</v>
          </cell>
        </row>
        <row r="1332">
          <cell r="D1332" t="str">
            <v>7823-02758</v>
          </cell>
          <cell r="M1332" t="str">
            <v>1Z5063E0YW41219102</v>
          </cell>
        </row>
        <row r="1333">
          <cell r="D1333" t="str">
            <v>7810-00077</v>
          </cell>
          <cell r="M1333" t="str">
            <v>1Z5063E0YW41720720</v>
          </cell>
        </row>
        <row r="1334">
          <cell r="D1334" t="str">
            <v>7133-00074</v>
          </cell>
          <cell r="M1334" t="str">
            <v>1Z5063E0YW40151785</v>
          </cell>
        </row>
        <row r="1335">
          <cell r="D1335" t="str">
            <v>7818-25263</v>
          </cell>
          <cell r="M1335" t="str">
            <v>1Z5063E0YW42212625</v>
          </cell>
        </row>
        <row r="1336">
          <cell r="D1336" t="str">
            <v>7823-02789</v>
          </cell>
          <cell r="M1336" t="str">
            <v>1Z5063E0YW42235806</v>
          </cell>
        </row>
        <row r="1337">
          <cell r="D1337" t="str">
            <v>7812-01557</v>
          </cell>
          <cell r="M1337" t="str">
            <v>1Z5063E0YW42753390</v>
          </cell>
        </row>
        <row r="1338">
          <cell r="D1338" t="str">
            <v>7818-14909</v>
          </cell>
          <cell r="M1338" t="str">
            <v>1Z5063E0YW40896481</v>
          </cell>
        </row>
        <row r="1339">
          <cell r="D1339" t="str">
            <v>7823-02862</v>
          </cell>
          <cell r="M1339" t="str">
            <v>1Z5063E0YW42437982</v>
          </cell>
        </row>
        <row r="1340">
          <cell r="D1340" t="str">
            <v>7818-16498</v>
          </cell>
          <cell r="M1340" t="str">
            <v>1Z5063E0YW41846470</v>
          </cell>
        </row>
        <row r="1341">
          <cell r="D1341" t="str">
            <v>7810-01579</v>
          </cell>
          <cell r="M1341" t="str">
            <v>1Z5063E0YW40016412</v>
          </cell>
        </row>
        <row r="1342">
          <cell r="D1342" t="str">
            <v>7810-01736</v>
          </cell>
          <cell r="M1342" t="str">
            <v>1Z5063E0YW42032043</v>
          </cell>
        </row>
        <row r="1343">
          <cell r="D1343" t="str">
            <v>7823-02405</v>
          </cell>
          <cell r="M1343" t="str">
            <v>1Z5063E0YW42276683</v>
          </cell>
        </row>
        <row r="1344">
          <cell r="D1344" t="str">
            <v>7818-24661</v>
          </cell>
          <cell r="M1344" t="str">
            <v>1Z5063E0YW41617922</v>
          </cell>
        </row>
        <row r="1345">
          <cell r="D1345" t="str">
            <v>7818-25941</v>
          </cell>
          <cell r="M1345" t="str">
            <v>1Z5063E0YW40735967</v>
          </cell>
        </row>
        <row r="1346">
          <cell r="D1346" t="str">
            <v>7818-19046</v>
          </cell>
          <cell r="M1346" t="str">
            <v>1Z5063E0YW41582479</v>
          </cell>
        </row>
        <row r="1347">
          <cell r="D1347" t="str">
            <v>7818-16786</v>
          </cell>
          <cell r="M1347" t="str">
            <v>1Z5063E0YW40184884</v>
          </cell>
        </row>
        <row r="1348">
          <cell r="D1348" t="str">
            <v>7818-19812</v>
          </cell>
          <cell r="M1348" t="str">
            <v>1Z5063E0YW41622096</v>
          </cell>
        </row>
        <row r="1349">
          <cell r="D1349" t="str">
            <v>7829-00033</v>
          </cell>
          <cell r="M1349" t="str">
            <v>1Z5063E0YW40728831</v>
          </cell>
        </row>
        <row r="1350">
          <cell r="D1350" t="str">
            <v>7823-02510</v>
          </cell>
          <cell r="M1350" t="str">
            <v>9400 1112 0620 7389 2061 82</v>
          </cell>
        </row>
        <row r="1351">
          <cell r="D1351" t="str">
            <v>7823-02753</v>
          </cell>
          <cell r="M1351" t="str">
            <v>1Z5063E0YW42773449</v>
          </cell>
        </row>
        <row r="1352">
          <cell r="D1352" t="str">
            <v>7818-25986</v>
          </cell>
          <cell r="M1352" t="str">
            <v>1Z5063E0YW42590422</v>
          </cell>
        </row>
        <row r="1353">
          <cell r="D1353" t="str">
            <v>7810-01558</v>
          </cell>
          <cell r="M1353" t="str">
            <v>1Z5063E0YW41277193</v>
          </cell>
        </row>
        <row r="1354">
          <cell r="D1354" t="str">
            <v>7818-17409</v>
          </cell>
          <cell r="M1354" t="str">
            <v>1Z5063E0YW40590800</v>
          </cell>
        </row>
        <row r="1355">
          <cell r="D1355" t="str">
            <v>7823-01434</v>
          </cell>
          <cell r="M1355" t="str">
            <v>1Z5063E0YW40289904</v>
          </cell>
        </row>
        <row r="1356">
          <cell r="D1356" t="str">
            <v>7823-02562</v>
          </cell>
          <cell r="M1356" t="str">
            <v>1Z5063E0YW41931305</v>
          </cell>
        </row>
        <row r="1357">
          <cell r="D1357" t="str">
            <v>7823-02566</v>
          </cell>
          <cell r="M1357" t="str">
            <v>1Z5063E0YW40758693</v>
          </cell>
        </row>
        <row r="1358">
          <cell r="D1358" t="str">
            <v>7810-01171</v>
          </cell>
          <cell r="M1358" t="str">
            <v>1Z5063E0YW41276907</v>
          </cell>
        </row>
        <row r="1359">
          <cell r="D1359" t="str">
            <v>7810-00506</v>
          </cell>
          <cell r="M1359" t="str">
            <v>1Z5063E0YW40688376</v>
          </cell>
        </row>
        <row r="1360">
          <cell r="D1360" t="str">
            <v>7818-25767</v>
          </cell>
          <cell r="M1360" t="str">
            <v>1Z5063E0YW42821280</v>
          </cell>
        </row>
        <row r="1361">
          <cell r="D1361" t="str">
            <v>7818-24932</v>
          </cell>
          <cell r="M1361" t="str">
            <v>1Z5063E0YW42076998</v>
          </cell>
        </row>
        <row r="1362">
          <cell r="D1362" t="str">
            <v>7818-20067</v>
          </cell>
          <cell r="M1362" t="str">
            <v>1Z5063E0YW41996764</v>
          </cell>
        </row>
        <row r="1363">
          <cell r="D1363" t="str">
            <v>7818-25407</v>
          </cell>
          <cell r="M1363" t="str">
            <v>1Z5063E0YW40897766</v>
          </cell>
        </row>
        <row r="1364">
          <cell r="D1364" t="str">
            <v>7823-02675</v>
          </cell>
          <cell r="M1364" t="str">
            <v>1Z5063E0YW41277040</v>
          </cell>
        </row>
        <row r="1365">
          <cell r="D1365" t="str">
            <v>7823-02853</v>
          </cell>
          <cell r="M1365" t="str">
            <v>1Z5063E0YW42690967</v>
          </cell>
        </row>
        <row r="1366">
          <cell r="D1366" t="str">
            <v>7818-25977</v>
          </cell>
          <cell r="M1366" t="str">
            <v>1Z5063E0YW42254296</v>
          </cell>
        </row>
        <row r="1367">
          <cell r="D1367" t="str">
            <v>7818-17291</v>
          </cell>
          <cell r="M1367" t="str">
            <v>1Z5063E0YW40689786</v>
          </cell>
        </row>
        <row r="1368">
          <cell r="D1368" t="str">
            <v>7818-22304</v>
          </cell>
          <cell r="M1368" t="str">
            <v>1Z5063E0YW42533850</v>
          </cell>
        </row>
        <row r="1369">
          <cell r="D1369" t="str">
            <v>7812-02070</v>
          </cell>
          <cell r="M1369" t="str">
            <v>1Z5063E0YW42280641</v>
          </cell>
        </row>
        <row r="1370">
          <cell r="D1370" t="str">
            <v>7812-03375</v>
          </cell>
          <cell r="M1370" t="str">
            <v>1Z5063E0YW40264127</v>
          </cell>
        </row>
        <row r="1371">
          <cell r="D1371" t="str">
            <v>7812-03393</v>
          </cell>
          <cell r="M1371" t="str">
            <v>1Z5063E0YW40651959</v>
          </cell>
        </row>
        <row r="1372">
          <cell r="D1372" t="str">
            <v>7829-00038</v>
          </cell>
          <cell r="M1372" t="str">
            <v>1Z5063E0YW41988399</v>
          </cell>
        </row>
        <row r="1373">
          <cell r="D1373" t="str">
            <v>7818-25170</v>
          </cell>
          <cell r="M1373" t="str">
            <v>1Z5063E0YW40980139</v>
          </cell>
        </row>
        <row r="1374">
          <cell r="D1374" t="str">
            <v>7818-25789</v>
          </cell>
          <cell r="M1374" t="str">
            <v>1Z5063E0YW41721836</v>
          </cell>
        </row>
        <row r="1375">
          <cell r="D1375" t="str">
            <v>7818-14053</v>
          </cell>
          <cell r="M1375" t="str">
            <v>9400 1112 0620 7345 9713 69</v>
          </cell>
        </row>
        <row r="1376">
          <cell r="D1376" t="str">
            <v>7818-17075</v>
          </cell>
          <cell r="M1376" t="str">
            <v>1Z5063E0YW40078794</v>
          </cell>
        </row>
        <row r="1377">
          <cell r="D1377" t="str">
            <v>7818-10448</v>
          </cell>
          <cell r="M1377" t="str">
            <v>1Z5063E0YW42856038</v>
          </cell>
        </row>
        <row r="1378">
          <cell r="D1378" t="str">
            <v>7818-24920</v>
          </cell>
          <cell r="M1378" t="str">
            <v>1Z5063E0YW41813479</v>
          </cell>
        </row>
        <row r="1379">
          <cell r="D1379" t="str">
            <v>7818-25964</v>
          </cell>
          <cell r="M1379" t="str">
            <v>1Z5063E0YW40618905</v>
          </cell>
        </row>
        <row r="1380">
          <cell r="D1380" t="str">
            <v>7818-21673</v>
          </cell>
          <cell r="M1380" t="str">
            <v>1Z5063E0YW40738697</v>
          </cell>
        </row>
        <row r="1381">
          <cell r="D1381" t="str">
            <v>7811-00194</v>
          </cell>
          <cell r="M1381" t="str">
            <v>1Z5063E0YW41285068</v>
          </cell>
        </row>
        <row r="1382">
          <cell r="D1382" t="str">
            <v>7818-10369</v>
          </cell>
          <cell r="M1382" t="str">
            <v>1Z5063E0YW42819953</v>
          </cell>
        </row>
        <row r="1383">
          <cell r="D1383" t="str">
            <v>7818-27024</v>
          </cell>
          <cell r="M1383" t="str">
            <v>1Z5063E0YW40902633</v>
          </cell>
        </row>
        <row r="1384">
          <cell r="D1384" t="str">
            <v>7823-01946</v>
          </cell>
          <cell r="M1384" t="str">
            <v>1Z5063E0YW41775145</v>
          </cell>
        </row>
        <row r="1385">
          <cell r="D1385" t="str">
            <v>7818-17324</v>
          </cell>
          <cell r="M1385" t="str">
            <v>9400 1112 0620 7302 4247 16</v>
          </cell>
        </row>
        <row r="1386">
          <cell r="D1386" t="str">
            <v>7810-01787</v>
          </cell>
          <cell r="M1386" t="str">
            <v>1Z5063E0YW42460867</v>
          </cell>
        </row>
        <row r="1387">
          <cell r="D1387" t="str">
            <v>7810-00509</v>
          </cell>
          <cell r="M1387" t="str">
            <v>1Z5063E0YW41597203</v>
          </cell>
        </row>
        <row r="1388">
          <cell r="D1388" t="str">
            <v>7810-01583</v>
          </cell>
          <cell r="M1388" t="str">
            <v>1Z5063E0YW41608665</v>
          </cell>
        </row>
        <row r="1389">
          <cell r="D1389" t="str">
            <v>7818-26076</v>
          </cell>
          <cell r="M1389" t="str">
            <v>1Z5063E0YW40715827</v>
          </cell>
        </row>
        <row r="1390">
          <cell r="D1390" t="str">
            <v>7818-26075</v>
          </cell>
          <cell r="M1390" t="str">
            <v>1Z5063E0YW41300951</v>
          </cell>
        </row>
        <row r="1391">
          <cell r="D1391" t="str">
            <v>7818-25497</v>
          </cell>
          <cell r="M1391" t="str">
            <v>1Z5063E0YW42224149</v>
          </cell>
        </row>
        <row r="1392">
          <cell r="D1392" t="str">
            <v>7818-25182</v>
          </cell>
          <cell r="M1392" t="str">
            <v>1Z5063E0YW42733876</v>
          </cell>
        </row>
        <row r="1393">
          <cell r="D1393" t="str">
            <v>7818-21655</v>
          </cell>
          <cell r="M1393" t="str">
            <v>1Z5063E0YW41207777</v>
          </cell>
        </row>
        <row r="1394">
          <cell r="D1394" t="str">
            <v>7818-25757</v>
          </cell>
          <cell r="M1394" t="str">
            <v>1Z5063E0YW40073815</v>
          </cell>
        </row>
        <row r="1395">
          <cell r="D1395" t="str">
            <v>7823-02307</v>
          </cell>
          <cell r="M1395" t="str">
            <v>1Z5063E0YW40806336</v>
          </cell>
        </row>
        <row r="1396">
          <cell r="D1396" t="str">
            <v>7823-03323</v>
          </cell>
          <cell r="M1396" t="str">
            <v>1Z5063E0YW42928773</v>
          </cell>
        </row>
        <row r="1397">
          <cell r="D1397" t="str">
            <v>7823-03322</v>
          </cell>
          <cell r="M1397" t="str">
            <v>1Z5063E0YW40362600</v>
          </cell>
        </row>
        <row r="1398">
          <cell r="D1398" t="str">
            <v>7810-00821</v>
          </cell>
          <cell r="M1398" t="str">
            <v>1Z5063E0YW41496983</v>
          </cell>
        </row>
        <row r="1399">
          <cell r="D1399" t="str">
            <v>7818-26077</v>
          </cell>
          <cell r="M1399" t="str">
            <v>1Z5063E0YW41390837</v>
          </cell>
        </row>
        <row r="1400">
          <cell r="D1400" t="str">
            <v>7818-10377</v>
          </cell>
          <cell r="M1400" t="str">
            <v>1Z5063E0YW41033937</v>
          </cell>
        </row>
        <row r="1401">
          <cell r="D1401" t="str">
            <v>7818-25171</v>
          </cell>
          <cell r="M1401" t="str">
            <v>1Z5063E0YW42092112</v>
          </cell>
        </row>
        <row r="1402">
          <cell r="D1402" t="str">
            <v>7818-23248</v>
          </cell>
          <cell r="M1402" t="str">
            <v>1Z5063E0YW40993910</v>
          </cell>
        </row>
        <row r="1403">
          <cell r="D1403" t="str">
            <v>7823-02801</v>
          </cell>
          <cell r="M1403" t="str">
            <v>1Z5063E0YW41240123</v>
          </cell>
        </row>
        <row r="1404">
          <cell r="D1404" t="str">
            <v>7818-26971</v>
          </cell>
          <cell r="M1404" t="str">
            <v>1Z5063E0YW42557567</v>
          </cell>
        </row>
        <row r="1405">
          <cell r="D1405" t="str">
            <v>7818-18302</v>
          </cell>
          <cell r="M1405" t="str">
            <v>1Z5063E0YW42089242</v>
          </cell>
        </row>
        <row r="1406">
          <cell r="D1406" t="str">
            <v>7818-07085</v>
          </cell>
          <cell r="M1406" t="str">
            <v>1Z5063E0YW40154693</v>
          </cell>
        </row>
        <row r="1407">
          <cell r="D1407" t="str">
            <v>7823-01151</v>
          </cell>
          <cell r="M1407" t="str">
            <v>9402 1112 0620 7316 3638 01</v>
          </cell>
        </row>
        <row r="1408">
          <cell r="D1408" t="str">
            <v>7818-21029</v>
          </cell>
          <cell r="M1408" t="str">
            <v>1Z5063E0YW41943383</v>
          </cell>
        </row>
        <row r="1409">
          <cell r="D1409" t="str">
            <v>7818-25783</v>
          </cell>
          <cell r="M1409" t="str">
            <v>1Z5063E0YW40679448</v>
          </cell>
        </row>
        <row r="1410">
          <cell r="D1410" t="str">
            <v>7812-03270</v>
          </cell>
          <cell r="M1410" t="str">
            <v>1Z5063E0YW41835571</v>
          </cell>
        </row>
        <row r="1411">
          <cell r="D1411" t="str">
            <v>7829-00037</v>
          </cell>
          <cell r="M1411" t="str">
            <v>1Z5063E0YW41148564</v>
          </cell>
        </row>
        <row r="1412">
          <cell r="D1412" t="str">
            <v>7818-24653</v>
          </cell>
          <cell r="M1412" t="str">
            <v>1Z5063E0YW40402307</v>
          </cell>
        </row>
        <row r="1413">
          <cell r="D1413" t="str">
            <v>7818-19387</v>
          </cell>
          <cell r="M1413" t="str">
            <v>1Z5063E0YW42404543</v>
          </cell>
        </row>
        <row r="1414">
          <cell r="D1414" t="str">
            <v>7823-02739</v>
          </cell>
          <cell r="M1414" t="str">
            <v>1Z5063E0YW41333014</v>
          </cell>
        </row>
        <row r="1415">
          <cell r="D1415" t="str">
            <v>7823-02723</v>
          </cell>
          <cell r="M1415" t="str">
            <v>1Z5063E0YW42357710</v>
          </cell>
        </row>
        <row r="1416">
          <cell r="D1416" t="str">
            <v>7823-02666</v>
          </cell>
          <cell r="M1416" t="str">
            <v>1Z5063E0YW42488678</v>
          </cell>
        </row>
        <row r="1417">
          <cell r="D1417" t="str">
            <v>7818-25122</v>
          </cell>
          <cell r="M1417" t="str">
            <v>1Z5063E0YW41599872</v>
          </cell>
        </row>
        <row r="1418">
          <cell r="D1418" t="str">
            <v>7818-25303</v>
          </cell>
          <cell r="M1418" t="str">
            <v>1Z5063E0YW42615888</v>
          </cell>
        </row>
        <row r="1419">
          <cell r="D1419" t="str">
            <v>7818-23646</v>
          </cell>
          <cell r="M1419" t="str">
            <v>1Z5063E0YW40753885</v>
          </cell>
        </row>
        <row r="1420">
          <cell r="D1420" t="str">
            <v>7818-26080</v>
          </cell>
          <cell r="M1420" t="str">
            <v>1Z5063E0YW40967734</v>
          </cell>
        </row>
        <row r="1421">
          <cell r="D1421" t="str">
            <v>7818-25264</v>
          </cell>
          <cell r="M1421" t="str">
            <v>1Z5063E0YW41067008</v>
          </cell>
        </row>
        <row r="1422">
          <cell r="D1422" t="str">
            <v>7818-11942</v>
          </cell>
          <cell r="M1422" t="str">
            <v>1Z5063E0YW40606865</v>
          </cell>
        </row>
        <row r="1423">
          <cell r="D1423" t="str">
            <v>7823-01653</v>
          </cell>
          <cell r="M1423" t="str">
            <v>1Z5063E0YW41579198</v>
          </cell>
        </row>
        <row r="1424">
          <cell r="D1424" t="str">
            <v>7818-16288</v>
          </cell>
          <cell r="M1424" t="str">
            <v>1Z5063E0YW42496614</v>
          </cell>
        </row>
        <row r="1425">
          <cell r="D1425" t="str">
            <v>7823-02843</v>
          </cell>
          <cell r="M1425" t="str">
            <v>1Z5063E0YW40383043</v>
          </cell>
        </row>
        <row r="1426">
          <cell r="D1426" t="str">
            <v>7818-18768</v>
          </cell>
          <cell r="M1426" t="str">
            <v>1Z5063E0YW42003806</v>
          </cell>
        </row>
        <row r="1427">
          <cell r="D1427" t="str">
            <v>7818-24000</v>
          </cell>
          <cell r="M1427" t="str">
            <v>1Z5063E0YW40145621</v>
          </cell>
        </row>
        <row r="1428">
          <cell r="D1428" t="str">
            <v>7818-02518</v>
          </cell>
          <cell r="M1428" t="str">
            <v>1Z5063E0YW42052834</v>
          </cell>
        </row>
        <row r="1429">
          <cell r="D1429" t="str">
            <v>7818-25924</v>
          </cell>
          <cell r="M1429" t="str">
            <v>1Z5063E0YW40899675</v>
          </cell>
        </row>
        <row r="1430">
          <cell r="D1430" t="str">
            <v>7812-03109</v>
          </cell>
          <cell r="M1430" t="str">
            <v>1Z5063E0YW41399669</v>
          </cell>
        </row>
        <row r="1431">
          <cell r="D1431" t="str">
            <v>7812-03105</v>
          </cell>
          <cell r="M1431" t="str">
            <v>1Z5063E0YW41172920</v>
          </cell>
        </row>
        <row r="1432">
          <cell r="D1432" t="str">
            <v>7812-3766</v>
          </cell>
          <cell r="M1432" t="str">
            <v>1Z5063E0YW41275720</v>
          </cell>
        </row>
        <row r="1433">
          <cell r="D1433" t="str">
            <v>7812-02068</v>
          </cell>
          <cell r="M1433" t="str">
            <v>1Z5063E0YW42533172</v>
          </cell>
        </row>
        <row r="1434">
          <cell r="D1434" t="str">
            <v>7812-03391</v>
          </cell>
          <cell r="M1434" t="str">
            <v>1Z5063E0YW40834627</v>
          </cell>
        </row>
        <row r="1435">
          <cell r="D1435" t="str">
            <v>7818-10378</v>
          </cell>
          <cell r="M1435" t="str">
            <v>1Z5063E0YW42107696</v>
          </cell>
        </row>
        <row r="1436">
          <cell r="D1436" t="str">
            <v>7810-01790</v>
          </cell>
          <cell r="M1436" t="str">
            <v>9402 1112 0620 7338 6818 84</v>
          </cell>
        </row>
        <row r="1437">
          <cell r="D1437" t="str">
            <v>7823-02479</v>
          </cell>
          <cell r="M1437" t="str">
            <v>1Z5063E0YW40967743</v>
          </cell>
        </row>
        <row r="1438">
          <cell r="D1438" t="str">
            <v>7823-02835</v>
          </cell>
          <cell r="M1438" t="str">
            <v>1Z5063E0YW41552037</v>
          </cell>
        </row>
        <row r="1439">
          <cell r="D1439" t="str">
            <v>7823-02772</v>
          </cell>
          <cell r="M1439" t="str">
            <v>1Z5063E0YW41879471</v>
          </cell>
        </row>
        <row r="1440">
          <cell r="D1440" t="str">
            <v>7812-03343</v>
          </cell>
          <cell r="M1440" t="str">
            <v>1Z5063E0YW40943054</v>
          </cell>
        </row>
        <row r="1441">
          <cell r="D1441" t="str">
            <v>7818-20232</v>
          </cell>
          <cell r="M1441" t="str">
            <v>1Z5063E0YW40245460</v>
          </cell>
        </row>
        <row r="1442">
          <cell r="D1442" t="str">
            <v>7823-02632</v>
          </cell>
          <cell r="M1442" t="str">
            <v>1Z5063E0YW42854469</v>
          </cell>
        </row>
        <row r="1443">
          <cell r="D1443" t="str">
            <v>7818-07949</v>
          </cell>
          <cell r="M1443" t="str">
            <v>1Z5063E0YW40441284</v>
          </cell>
        </row>
        <row r="1444">
          <cell r="D1444" t="str">
            <v>7812-01559</v>
          </cell>
          <cell r="M1444" t="str">
            <v>1Z5063E0YW41145978</v>
          </cell>
        </row>
        <row r="1445">
          <cell r="D1445" t="str">
            <v>7823-03381</v>
          </cell>
          <cell r="M1445" t="str">
            <v>9400 1112 0620 7376 7081 25</v>
          </cell>
        </row>
        <row r="1446">
          <cell r="D1446" t="str">
            <v>7818-25984</v>
          </cell>
          <cell r="M1446" t="str">
            <v>1Z5063E0YW40058065</v>
          </cell>
        </row>
        <row r="1447">
          <cell r="D1447" t="str">
            <v>7818-26090</v>
          </cell>
          <cell r="M1447" t="str">
            <v>1Z5063E0YW42654872</v>
          </cell>
        </row>
        <row r="1448">
          <cell r="D1448" t="str">
            <v>7812-03055</v>
          </cell>
          <cell r="M1448" t="str">
            <v>1Z5063E0YW40870767</v>
          </cell>
        </row>
        <row r="1449">
          <cell r="D1449" t="str">
            <v>7818-12208</v>
          </cell>
          <cell r="M1449" t="str">
            <v>1Z5063E0YW41627162</v>
          </cell>
        </row>
        <row r="1450">
          <cell r="D1450" t="str">
            <v>7818-18226</v>
          </cell>
          <cell r="M1450" t="str">
            <v>1Z5063E0YW41761776</v>
          </cell>
        </row>
        <row r="1451">
          <cell r="D1451" t="str">
            <v>7818-01275</v>
          </cell>
          <cell r="M1451" t="str">
            <v>1Z5063E0YW42431684</v>
          </cell>
        </row>
        <row r="1452">
          <cell r="D1452" t="str">
            <v>7818-24608</v>
          </cell>
          <cell r="M1452" t="str">
            <v>1Z5063E0YW41434441</v>
          </cell>
        </row>
        <row r="1453">
          <cell r="D1453" t="str">
            <v>7818-27176</v>
          </cell>
          <cell r="M1453" t="str">
            <v>1Z5063E0YW40877091</v>
          </cell>
        </row>
        <row r="1454">
          <cell r="D1454" t="str">
            <v>7824-00378</v>
          </cell>
          <cell r="M1454" t="str">
            <v>1Z5063E0YW41641753</v>
          </cell>
        </row>
        <row r="1455">
          <cell r="D1455" t="str">
            <v>7812-02529</v>
          </cell>
          <cell r="M1455" t="str">
            <v>1Z5063E0YW40743654</v>
          </cell>
        </row>
        <row r="1456">
          <cell r="D1456" t="str">
            <v>7812-03394</v>
          </cell>
          <cell r="M1456" t="str">
            <v>1Z5063E0YW41799334</v>
          </cell>
        </row>
        <row r="1457">
          <cell r="D1457" t="str">
            <v>7812-03345</v>
          </cell>
          <cell r="M1457" t="str">
            <v>1Z5063E0YW42608707</v>
          </cell>
        </row>
        <row r="1458">
          <cell r="D1458" t="str">
            <v>7812-03344</v>
          </cell>
          <cell r="M1458" t="str">
            <v>1Z5063E0YW42173123</v>
          </cell>
        </row>
        <row r="1459">
          <cell r="D1459" t="str">
            <v>7812-02072</v>
          </cell>
          <cell r="M1459" t="str">
            <v>1Z5063E0YW41762417</v>
          </cell>
        </row>
        <row r="1460">
          <cell r="D1460" t="str">
            <v>7823-02149</v>
          </cell>
          <cell r="M1460" t="str">
            <v>1Z5063E0YW41066081</v>
          </cell>
        </row>
        <row r="1461">
          <cell r="D1461" t="str">
            <v>7818-23408</v>
          </cell>
          <cell r="M1461" t="str">
            <v>1Z5063E0YW42035077</v>
          </cell>
        </row>
        <row r="1462">
          <cell r="D1462" t="str">
            <v>7824-00336</v>
          </cell>
          <cell r="M1462" t="str">
            <v>1Z5063E0YW41750153</v>
          </cell>
        </row>
        <row r="1463">
          <cell r="D1463" t="str">
            <v>7818-25555</v>
          </cell>
          <cell r="M1463" t="str">
            <v>1Z5063E0YW42310519</v>
          </cell>
        </row>
        <row r="1464">
          <cell r="D1464" t="str">
            <v>7823-02305</v>
          </cell>
          <cell r="M1464" t="str">
            <v>1Z5063E0YW42282354</v>
          </cell>
        </row>
        <row r="1465">
          <cell r="D1465" t="str">
            <v>7823-02636</v>
          </cell>
          <cell r="M1465" t="str">
            <v>1Z5063E0YW41091820</v>
          </cell>
        </row>
        <row r="1466">
          <cell r="D1466" t="str">
            <v>7823-03327</v>
          </cell>
          <cell r="M1466" t="str">
            <v>1Z5063E0YW42246072</v>
          </cell>
        </row>
        <row r="1467">
          <cell r="D1467" t="str">
            <v>7818-18044</v>
          </cell>
          <cell r="M1467" t="str">
            <v>1Z5063E0YW40876869</v>
          </cell>
        </row>
        <row r="1468">
          <cell r="D1468" t="str">
            <v>7818-24814</v>
          </cell>
          <cell r="M1468" t="str">
            <v>1Z5063E0YW41269871</v>
          </cell>
        </row>
        <row r="1469">
          <cell r="D1469" t="str">
            <v>7818-12435</v>
          </cell>
          <cell r="M1469" t="str">
            <v>1Z5063E0YW40460307</v>
          </cell>
        </row>
        <row r="1470">
          <cell r="D1470" t="str">
            <v>7818-00778</v>
          </cell>
          <cell r="M1470" t="str">
            <v>9400 1112 0620 7377 3412 91</v>
          </cell>
        </row>
        <row r="1471">
          <cell r="D1471" t="str">
            <v>7812-03368</v>
          </cell>
          <cell r="M1471" t="str">
            <v>1Z5063E0YW41835259</v>
          </cell>
        </row>
        <row r="1472">
          <cell r="D1472" t="str">
            <v>7818-24931</v>
          </cell>
          <cell r="M1472" t="str">
            <v>9402 1112 0620 7335 2655 06</v>
          </cell>
        </row>
        <row r="1473">
          <cell r="D1473" t="str">
            <v>7818-18093</v>
          </cell>
          <cell r="M1473" t="str">
            <v>1Z5063E0YW42735436</v>
          </cell>
        </row>
        <row r="1474">
          <cell r="D1474" t="str">
            <v>7818-18098</v>
          </cell>
          <cell r="M1474" t="str">
            <v>1Z5063E0YW42901470</v>
          </cell>
        </row>
        <row r="1475">
          <cell r="D1475" t="str">
            <v>7823-02761</v>
          </cell>
          <cell r="M1475" t="str">
            <v>1Z5063E0YW41341729</v>
          </cell>
        </row>
        <row r="1476">
          <cell r="D1476" t="str">
            <v>7818-22393</v>
          </cell>
          <cell r="M1476" t="str">
            <v>1Z5063E0YW42005840</v>
          </cell>
        </row>
        <row r="1477">
          <cell r="D1477" t="str">
            <v>7818-18951</v>
          </cell>
          <cell r="M1477" t="str">
            <v>1Z5063E0YW41408327</v>
          </cell>
        </row>
        <row r="1478">
          <cell r="D1478" t="str">
            <v>7812-01795</v>
          </cell>
          <cell r="M1478" t="str">
            <v>1Z5063E0YW41855399</v>
          </cell>
        </row>
        <row r="1479">
          <cell r="D1479" t="str">
            <v>7812-01558</v>
          </cell>
          <cell r="M1479" t="str">
            <v>1Z5063E0YW41027462</v>
          </cell>
        </row>
        <row r="1480">
          <cell r="D1480" t="str">
            <v>7812-02073</v>
          </cell>
          <cell r="M1480" t="str">
            <v>1Z5063E0YW41789425</v>
          </cell>
        </row>
        <row r="1481">
          <cell r="D1481" t="str">
            <v>7818-17122</v>
          </cell>
          <cell r="M1481" t="str">
            <v>1Z5063E0YW42416316</v>
          </cell>
        </row>
        <row r="1482">
          <cell r="D1482" t="str">
            <v>7818-25785</v>
          </cell>
          <cell r="M1482" t="str">
            <v>1Z5063E0YW40149556</v>
          </cell>
        </row>
        <row r="1483">
          <cell r="D1483" t="str">
            <v>7818-25156</v>
          </cell>
          <cell r="M1483" t="str">
            <v>1Z5063E0YW40121370</v>
          </cell>
        </row>
        <row r="1484">
          <cell r="D1484" t="str">
            <v>7818-26510</v>
          </cell>
          <cell r="M1484" t="str">
            <v>1Z5063E0YW42635419</v>
          </cell>
        </row>
        <row r="1485">
          <cell r="D1485" t="str">
            <v>7810-01789</v>
          </cell>
          <cell r="M1485" t="str">
            <v>1Z5063E0YW42410947</v>
          </cell>
        </row>
        <row r="1486">
          <cell r="D1486" t="str">
            <v>7818-23051</v>
          </cell>
          <cell r="M1486" t="str">
            <v>1Z5063E0YW41562580</v>
          </cell>
        </row>
        <row r="1487">
          <cell r="D1487" t="str">
            <v>7818-19379</v>
          </cell>
          <cell r="M1487" t="str">
            <v>1Z5063E0YW41513829</v>
          </cell>
        </row>
        <row r="1488">
          <cell r="D1488" t="str">
            <v>7818-22230</v>
          </cell>
          <cell r="M1488" t="str">
            <v>1Z5063E0YW41736446</v>
          </cell>
        </row>
        <row r="1489">
          <cell r="D1489" t="str">
            <v>7818-21778</v>
          </cell>
          <cell r="M1489" t="str">
            <v>1Z5063E0YW42156599</v>
          </cell>
        </row>
        <row r="1490">
          <cell r="D1490" t="str">
            <v>7818-23130</v>
          </cell>
          <cell r="M1490" t="str">
            <v>1Z5063E0YW42361107</v>
          </cell>
        </row>
        <row r="1491">
          <cell r="D1491" t="str">
            <v>7812-03390</v>
          </cell>
          <cell r="M1491" t="str">
            <v>1Z5063E0YW40994928</v>
          </cell>
        </row>
        <row r="1492">
          <cell r="D1492" t="str">
            <v>7812-03113</v>
          </cell>
          <cell r="M1492" t="str">
            <v>1Z5063E0YW41578206</v>
          </cell>
        </row>
        <row r="1493">
          <cell r="D1493" t="str">
            <v>7823-03362</v>
          </cell>
          <cell r="M1493" t="str">
            <v>1Z5063E0YW40598366</v>
          </cell>
        </row>
        <row r="1494">
          <cell r="D1494" t="str">
            <v>7812-01097</v>
          </cell>
          <cell r="M1494" t="str">
            <v>1Z5063E0YW42011628</v>
          </cell>
        </row>
        <row r="1495">
          <cell r="D1495" t="str">
            <v>7818-25147</v>
          </cell>
          <cell r="M1495" t="str">
            <v>1Z5063E0YW41829800</v>
          </cell>
        </row>
        <row r="1496">
          <cell r="D1496" t="str">
            <v>7812-3861</v>
          </cell>
          <cell r="M1496" t="str">
            <v>1Z5063E0YW40575603</v>
          </cell>
        </row>
        <row r="1497">
          <cell r="D1497" t="str">
            <v>7812-02071</v>
          </cell>
          <cell r="M1497" t="str">
            <v>1Z5063E0YW40523570</v>
          </cell>
        </row>
        <row r="1498">
          <cell r="D1498" t="str">
            <v>7818-23724</v>
          </cell>
          <cell r="M1498" t="str">
            <v>1Z5063E0YW42201888</v>
          </cell>
        </row>
        <row r="1499">
          <cell r="D1499" t="str">
            <v>7818-17546</v>
          </cell>
          <cell r="M1499" t="str">
            <v>1Z5063E0YW40885055</v>
          </cell>
        </row>
        <row r="1500">
          <cell r="D1500" t="str">
            <v>7818-25158</v>
          </cell>
          <cell r="M1500" t="str">
            <v>1Z5063E0YW41630890</v>
          </cell>
        </row>
        <row r="1501">
          <cell r="D1501" t="str">
            <v>7810-01418</v>
          </cell>
          <cell r="M1501" t="str">
            <v>1Z5063E0YW40986900</v>
          </cell>
        </row>
        <row r="1502">
          <cell r="D1502" t="str">
            <v>7823-03325</v>
          </cell>
          <cell r="M1502" t="str">
            <v>1Z5063E0YW42845997</v>
          </cell>
        </row>
        <row r="1503">
          <cell r="D1503" t="str">
            <v>7818-11672</v>
          </cell>
          <cell r="M1503" t="str">
            <v>1Z5063E0YW41478501</v>
          </cell>
        </row>
        <row r="1504">
          <cell r="D1504" t="str">
            <v>7818-10388</v>
          </cell>
          <cell r="M1504" t="str">
            <v>1Z5063E0YW40221495</v>
          </cell>
        </row>
        <row r="1505">
          <cell r="D1505" t="str">
            <v>7818-09023</v>
          </cell>
          <cell r="M1505" t="str">
            <v>1Z5063E0YW40281635</v>
          </cell>
        </row>
        <row r="1506">
          <cell r="D1506" t="str">
            <v>7818-08115</v>
          </cell>
          <cell r="M1506" t="str">
            <v>1Z5063E0YW42319252</v>
          </cell>
        </row>
        <row r="1507">
          <cell r="D1507" t="str">
            <v>7818-17789</v>
          </cell>
          <cell r="M1507" t="str">
            <v>1Z5063E0YW41136193</v>
          </cell>
        </row>
        <row r="1508">
          <cell r="D1508" t="str">
            <v>7812-03177</v>
          </cell>
          <cell r="M1508" t="str">
            <v>1Z5063E0YW42789487</v>
          </cell>
        </row>
        <row r="1509">
          <cell r="D1509" t="str">
            <v>7818-27523</v>
          </cell>
          <cell r="M1509" t="str">
            <v>1Z5063E0YW42906395</v>
          </cell>
        </row>
        <row r="1510">
          <cell r="D1510" t="str">
            <v>7823-02115</v>
          </cell>
          <cell r="M1510" t="str">
            <v>1Z5063E0YW41898530</v>
          </cell>
        </row>
        <row r="1511">
          <cell r="D1511" t="str">
            <v>7818-21318</v>
          </cell>
          <cell r="M1511" t="str">
            <v>1Z5063E0YW41256652</v>
          </cell>
        </row>
        <row r="1512">
          <cell r="D1512" t="str">
            <v>7818-14646</v>
          </cell>
          <cell r="M1512" t="str">
            <v>1Z5063E0YW42861540</v>
          </cell>
        </row>
        <row r="1513">
          <cell r="D1513" t="str">
            <v>7818-26921</v>
          </cell>
          <cell r="M1513" t="str">
            <v>1Z5063E0YW42081142</v>
          </cell>
        </row>
        <row r="1514">
          <cell r="D1514" t="str">
            <v>7818-27171</v>
          </cell>
          <cell r="M1514" t="str">
            <v>1Z5063E0YW40383758</v>
          </cell>
        </row>
        <row r="1515">
          <cell r="D1515" t="str">
            <v>7818-27181</v>
          </cell>
          <cell r="M1515" t="str">
            <v>1Z5063E0YW41276872</v>
          </cell>
        </row>
        <row r="1516">
          <cell r="D1516" t="str">
            <v>7810-01794</v>
          </cell>
          <cell r="M1516" t="str">
            <v>1Z5063E0YW40296021</v>
          </cell>
        </row>
        <row r="1517">
          <cell r="D1517" t="str">
            <v>7818-15760</v>
          </cell>
          <cell r="M1517" t="str">
            <v>1Z5063E0YW41436047</v>
          </cell>
        </row>
        <row r="1518">
          <cell r="D1518" t="str">
            <v>7823-01654</v>
          </cell>
          <cell r="M1518" t="str">
            <v>1Z5063E0YW41211299</v>
          </cell>
        </row>
        <row r="1519">
          <cell r="D1519" t="str">
            <v>7818-21213</v>
          </cell>
          <cell r="M1519" t="str">
            <v>9400 1112 0620 7195 2216 07</v>
          </cell>
        </row>
        <row r="1520">
          <cell r="D1520" t="str">
            <v>7818-17795</v>
          </cell>
          <cell r="M1520" t="str">
            <v>9400 1112 0620 7195 2904 36</v>
          </cell>
        </row>
        <row r="1521">
          <cell r="D1521" t="str">
            <v>7818-18659</v>
          </cell>
          <cell r="M1521" t="str">
            <v>1Z5063E0YW41030912</v>
          </cell>
        </row>
        <row r="1522">
          <cell r="D1522" t="str">
            <v>7818-16673</v>
          </cell>
          <cell r="M1522" t="str">
            <v>1Z5063E0YW40707836</v>
          </cell>
        </row>
        <row r="1523">
          <cell r="D1523" t="str">
            <v>7818-25402</v>
          </cell>
          <cell r="M1523" t="str">
            <v>1Z5063E0YW40422063</v>
          </cell>
        </row>
        <row r="1524">
          <cell r="D1524" t="str">
            <v>7818-17790</v>
          </cell>
          <cell r="M1524" t="str">
            <v>1Z5063E0YW41333612</v>
          </cell>
        </row>
        <row r="1525">
          <cell r="D1525" t="str">
            <v>7810-00083</v>
          </cell>
          <cell r="M1525" t="str">
            <v>1Z5063E0YW41497133</v>
          </cell>
        </row>
        <row r="1526">
          <cell r="D1526" t="str">
            <v>7818-27107</v>
          </cell>
          <cell r="M1526" t="str">
            <v>1Z5063E0YW41711810</v>
          </cell>
        </row>
        <row r="1527">
          <cell r="D1527" t="str">
            <v>7818-15880</v>
          </cell>
          <cell r="M1527" t="str">
            <v>1Z5063E0YW42167970</v>
          </cell>
        </row>
        <row r="1528">
          <cell r="D1528" t="str">
            <v>7818-16144</v>
          </cell>
          <cell r="M1528" t="str">
            <v>1Z5063E0YW41834769</v>
          </cell>
        </row>
        <row r="1529">
          <cell r="D1529" t="str">
            <v>7818-16691</v>
          </cell>
          <cell r="M1529" t="str">
            <v>1Z5063E0YW42812718</v>
          </cell>
        </row>
        <row r="1530">
          <cell r="D1530" t="str">
            <v>7818-24443</v>
          </cell>
          <cell r="M1530" t="str">
            <v>1Z5063E0YW41728080</v>
          </cell>
        </row>
        <row r="1531">
          <cell r="D1531" t="str">
            <v>7818-26153</v>
          </cell>
          <cell r="M1531" t="str">
            <v>1Z5063E0YW40943867</v>
          </cell>
        </row>
        <row r="1532">
          <cell r="D1532" t="str">
            <v>7818-25965</v>
          </cell>
          <cell r="M1532" t="str">
            <v>1Z5063E0YW41697953</v>
          </cell>
        </row>
        <row r="1533">
          <cell r="D1533" t="str">
            <v>7818-15751</v>
          </cell>
          <cell r="M1533" t="str">
            <v>1Z5063E0YW40120559</v>
          </cell>
        </row>
        <row r="1534">
          <cell r="D1534" t="str">
            <v>7818-13882</v>
          </cell>
          <cell r="M1534" t="str">
            <v>1Z5063E0YW41954675</v>
          </cell>
        </row>
        <row r="1535">
          <cell r="D1535" t="str">
            <v>7823-01569</v>
          </cell>
          <cell r="M1535" t="str">
            <v>1Z5063E0YW42231346</v>
          </cell>
        </row>
        <row r="1536">
          <cell r="D1536" t="str">
            <v>7823-03365</v>
          </cell>
          <cell r="M1536" t="str">
            <v>1Z5063E0YW41092150</v>
          </cell>
        </row>
        <row r="1537">
          <cell r="D1537" t="str">
            <v>7818-25187</v>
          </cell>
          <cell r="M1537" t="str">
            <v>1Z5063E0YW40205771</v>
          </cell>
        </row>
        <row r="1538">
          <cell r="D1538" t="str">
            <v>7818-13122</v>
          </cell>
          <cell r="M1538" t="str">
            <v>1Z5063E0YW41164000</v>
          </cell>
        </row>
        <row r="1539">
          <cell r="D1539" t="str">
            <v>7818-04389</v>
          </cell>
          <cell r="M1539" t="str">
            <v>1Z5063E0YW42750937</v>
          </cell>
        </row>
        <row r="1540">
          <cell r="D1540" t="str">
            <v>7818-25736</v>
          </cell>
          <cell r="M1540" t="str">
            <v>1Z5063E0YW41852721</v>
          </cell>
        </row>
        <row r="1541">
          <cell r="D1541" t="str">
            <v>7818-19807</v>
          </cell>
          <cell r="M1541" t="str">
            <v>9402 1112 0620 7195 2762 09</v>
          </cell>
        </row>
        <row r="1542">
          <cell r="D1542" t="str">
            <v>7818-17560</v>
          </cell>
          <cell r="M1542" t="str">
            <v>1Z5063E0YW41346242</v>
          </cell>
        </row>
        <row r="1543">
          <cell r="D1543" t="str">
            <v>7818-10381</v>
          </cell>
          <cell r="M1543" t="str">
            <v>1Z5063E0YW42789361</v>
          </cell>
        </row>
        <row r="1544">
          <cell r="D1544" t="str">
            <v>7818-16250</v>
          </cell>
          <cell r="M1544" t="str">
            <v>1Z5063E0YW41876563</v>
          </cell>
        </row>
        <row r="1545">
          <cell r="D1545" t="str">
            <v>7818-10380</v>
          </cell>
          <cell r="M1545" t="str">
            <v>1Z5063E0YW41200238</v>
          </cell>
        </row>
        <row r="1546">
          <cell r="D1546" t="str">
            <v>7818-21954</v>
          </cell>
          <cell r="M1546" t="str">
            <v>1Z5063E0YW42768786</v>
          </cell>
        </row>
        <row r="1547">
          <cell r="D1547" t="str">
            <v>7818-15748</v>
          </cell>
          <cell r="M1547" t="str">
            <v>1Z5063E0YW40472965</v>
          </cell>
        </row>
        <row r="1548">
          <cell r="D1548" t="str">
            <v>7818-15757</v>
          </cell>
          <cell r="M1548" t="str">
            <v>1Z5063E0YW40145667</v>
          </cell>
        </row>
        <row r="1549">
          <cell r="D1549" t="str">
            <v>7810-00089</v>
          </cell>
          <cell r="M1549" t="str">
            <v>1Z5063E0YW40530857</v>
          </cell>
        </row>
        <row r="1550">
          <cell r="D1550" t="str">
            <v>7818-25168</v>
          </cell>
          <cell r="M1550" t="str">
            <v>1Z5063E0YW40932379</v>
          </cell>
        </row>
        <row r="1551">
          <cell r="D1551" t="str">
            <v>7133-00072</v>
          </cell>
          <cell r="M1551" t="str">
            <v>1Z5063E0YW41014038</v>
          </cell>
        </row>
        <row r="1552">
          <cell r="D1552" t="str">
            <v>7812-03002</v>
          </cell>
          <cell r="M1552" t="str">
            <v>1Z5063E0YW41821184</v>
          </cell>
        </row>
        <row r="1553">
          <cell r="D1553" t="str">
            <v>7818-22373</v>
          </cell>
          <cell r="M1553" t="str">
            <v>1Z5063E0YW40854981</v>
          </cell>
        </row>
        <row r="1554">
          <cell r="D1554" t="str">
            <v>7818-07084</v>
          </cell>
          <cell r="M1554" t="str">
            <v>1Z5063E0YW40119329</v>
          </cell>
        </row>
        <row r="1555">
          <cell r="D1555" t="str">
            <v>7823-03016</v>
          </cell>
          <cell r="M1555" t="str">
            <v>1Z5063E0YW42008392</v>
          </cell>
        </row>
        <row r="1556">
          <cell r="D1556" t="str">
            <v>7823-02155</v>
          </cell>
          <cell r="M1556" t="str">
            <v>9402 1112 0620 7195 2796 06</v>
          </cell>
        </row>
        <row r="1557">
          <cell r="D1557" t="str">
            <v>7812-00358</v>
          </cell>
          <cell r="M1557" t="str">
            <v>1Z5063E0YW41347992</v>
          </cell>
        </row>
        <row r="1558">
          <cell r="D1558" t="str">
            <v>7818-26052</v>
          </cell>
          <cell r="M1558" t="str">
            <v>1Z5063E0YW40764293</v>
          </cell>
        </row>
        <row r="1559">
          <cell r="D1559" t="str">
            <v>7823-02838</v>
          </cell>
          <cell r="M1559" t="str">
            <v>1Z5063E0YW42084345</v>
          </cell>
        </row>
        <row r="1560">
          <cell r="D1560" t="str">
            <v>7818-27174</v>
          </cell>
          <cell r="M1560" t="str">
            <v>1Z5063E0YW42747987</v>
          </cell>
        </row>
        <row r="1561">
          <cell r="D1561" t="str">
            <v>7818-16213</v>
          </cell>
          <cell r="M1561" t="str">
            <v>1Z5063E0YW41343932</v>
          </cell>
        </row>
        <row r="1562">
          <cell r="D1562" t="str">
            <v>7818-18731</v>
          </cell>
          <cell r="M1562" t="str">
            <v>9400 1112 0620 7168 0671 26</v>
          </cell>
        </row>
        <row r="1563">
          <cell r="D1563" t="str">
            <v>7818-26571</v>
          </cell>
          <cell r="M1563" t="str">
            <v>1Z5063E0YW40059395</v>
          </cell>
        </row>
        <row r="1564">
          <cell r="D1564" t="str">
            <v>7818-27175</v>
          </cell>
          <cell r="M1564" t="str">
            <v>1Z5063E0YW41807762</v>
          </cell>
        </row>
        <row r="1565">
          <cell r="D1565" t="str">
            <v>7812-03399</v>
          </cell>
          <cell r="M1565" t="str">
            <v>1Z5063E0YW42038770</v>
          </cell>
        </row>
        <row r="1566">
          <cell r="D1566" t="str">
            <v>7824-00340</v>
          </cell>
          <cell r="M1566" t="str">
            <v>1Z5063E0YW42243011</v>
          </cell>
        </row>
        <row r="1567">
          <cell r="D1567" t="str">
            <v>7823-03328</v>
          </cell>
          <cell r="M1567" t="str">
            <v>1Z5063E0YW40777001</v>
          </cell>
        </row>
        <row r="1568">
          <cell r="D1568" t="str">
            <v>7818-18050</v>
          </cell>
          <cell r="M1568" t="str">
            <v>1Z5063E0YW42485715</v>
          </cell>
        </row>
        <row r="1569">
          <cell r="D1569" t="str">
            <v>7818-22609</v>
          </cell>
          <cell r="M1569" t="str">
            <v>1Z5063E0YW42999901</v>
          </cell>
        </row>
        <row r="1570">
          <cell r="D1570" t="str">
            <v>7818-22197</v>
          </cell>
          <cell r="M1570" t="str">
            <v>1Z5063E0YW41010952</v>
          </cell>
        </row>
        <row r="1571">
          <cell r="D1571" t="str">
            <v>7818-21948</v>
          </cell>
          <cell r="M1571" t="str">
            <v>1Z5063E0YW42391209</v>
          </cell>
        </row>
        <row r="1572">
          <cell r="D1572" t="str">
            <v>7818-10379</v>
          </cell>
          <cell r="M1572" t="str">
            <v>1Z5063E0YW41593234</v>
          </cell>
        </row>
        <row r="1573">
          <cell r="D1573" t="str">
            <v>7818-10166</v>
          </cell>
          <cell r="M1573" t="str">
            <v>1Z5063E0YW41984811</v>
          </cell>
        </row>
        <row r="1574">
          <cell r="D1574" t="str">
            <v>7818-21687</v>
          </cell>
          <cell r="M1574" t="str">
            <v>1Z5063E0YW40432258</v>
          </cell>
        </row>
        <row r="1575">
          <cell r="D1575" t="str">
            <v>7823-02667</v>
          </cell>
          <cell r="M1575" t="str">
            <v>1Z5063E0YW40494889</v>
          </cell>
        </row>
        <row r="1576">
          <cell r="D1576" t="str">
            <v>7818-23981</v>
          </cell>
          <cell r="M1576" t="str">
            <v>1Z5063E0YW42781958</v>
          </cell>
        </row>
        <row r="1577">
          <cell r="D1577" t="str">
            <v>7818-23732</v>
          </cell>
          <cell r="M1577" t="str">
            <v>1Z5063E0YW40385729</v>
          </cell>
        </row>
        <row r="1578">
          <cell r="D1578" t="str">
            <v>7818-10970</v>
          </cell>
          <cell r="M1578" t="str">
            <v>1Z5063E0YW41259640</v>
          </cell>
        </row>
        <row r="1579">
          <cell r="D1579" t="str">
            <v>7818-18187</v>
          </cell>
          <cell r="M1579" t="str">
            <v>1Z5063E0YW40629028</v>
          </cell>
        </row>
        <row r="1580">
          <cell r="D1580" t="str">
            <v>7818-16215</v>
          </cell>
          <cell r="M1580" t="str">
            <v>1Z5063E0YW42662201</v>
          </cell>
        </row>
        <row r="1581">
          <cell r="D1581" t="str">
            <v>7818-25154</v>
          </cell>
          <cell r="M1581" t="str">
            <v>1Z5063E0YW40707863</v>
          </cell>
        </row>
        <row r="1582">
          <cell r="D1582" t="str">
            <v>7823-02019</v>
          </cell>
          <cell r="M1582" t="str">
            <v>1Z5063E0YW42340442</v>
          </cell>
        </row>
        <row r="1583">
          <cell r="D1583" t="str">
            <v>7823-02158</v>
          </cell>
          <cell r="M1583" t="str">
            <v>1Z5063E0YW40769056</v>
          </cell>
        </row>
        <row r="1584">
          <cell r="D1584" t="str">
            <v>7823-00450</v>
          </cell>
          <cell r="M1584" t="str">
            <v>1Z5063E0YW42235664</v>
          </cell>
        </row>
        <row r="1585">
          <cell r="D1585" t="str">
            <v>7823-01771</v>
          </cell>
          <cell r="M1585" t="str">
            <v>1Z5063E0YW42936602</v>
          </cell>
        </row>
        <row r="1586">
          <cell r="D1586" t="str">
            <v>7823-02842</v>
          </cell>
          <cell r="M1586" t="str">
            <v>1Z5063E0YW42635133</v>
          </cell>
        </row>
        <row r="1587">
          <cell r="D1587" t="str">
            <v>7810-01772</v>
          </cell>
          <cell r="M1587" t="str">
            <v>1Z5063E0YW42710686</v>
          </cell>
        </row>
        <row r="1588">
          <cell r="D1588" t="str">
            <v>7818-10972</v>
          </cell>
          <cell r="M1588" t="str">
            <v>1Z5063E0YW40831568</v>
          </cell>
        </row>
        <row r="1589">
          <cell r="D1589" t="str">
            <v>7818-19574</v>
          </cell>
          <cell r="M1589" t="str">
            <v>1Z5063E0YW42967472</v>
          </cell>
        </row>
        <row r="1590">
          <cell r="D1590" t="str">
            <v>7812-03474</v>
          </cell>
          <cell r="M1590" t="str">
            <v>1Z5063E0YW42539738</v>
          </cell>
        </row>
        <row r="1591">
          <cell r="D1591" t="str">
            <v>7818-27029</v>
          </cell>
          <cell r="M1591" t="str">
            <v>1Z5063E0YW42836149</v>
          </cell>
        </row>
        <row r="1592">
          <cell r="D1592" t="str">
            <v>7818-26901</v>
          </cell>
          <cell r="M1592" t="str">
            <v>1Z5063E0YW40238754</v>
          </cell>
        </row>
        <row r="1593">
          <cell r="D1593" t="str">
            <v>7818-17611</v>
          </cell>
          <cell r="M1593" t="str">
            <v>1Z5063E0YW42982464</v>
          </cell>
        </row>
        <row r="1594">
          <cell r="D1594" t="str">
            <v>7818-05632</v>
          </cell>
          <cell r="M1594" t="str">
            <v>1Z5063E0YW41225015</v>
          </cell>
        </row>
        <row r="1595">
          <cell r="D1595" t="str">
            <v>7818-23321</v>
          </cell>
          <cell r="M1595" t="str">
            <v>1Z5063E0YW41111656</v>
          </cell>
        </row>
        <row r="1596">
          <cell r="D1596" t="str">
            <v>7818-21940</v>
          </cell>
          <cell r="M1596" t="str">
            <v>1Z5063E0YW41545527</v>
          </cell>
        </row>
        <row r="1597">
          <cell r="D1597" t="str">
            <v>7818-19658</v>
          </cell>
          <cell r="M1597" t="str">
            <v>1Z5063E0YW42191041</v>
          </cell>
        </row>
        <row r="1598">
          <cell r="D1598" t="str">
            <v>7827-00032</v>
          </cell>
          <cell r="M1598" t="str">
            <v>1Z5063E0YW42047706</v>
          </cell>
        </row>
        <row r="1599">
          <cell r="D1599" t="str">
            <v>7818-26594</v>
          </cell>
          <cell r="M1599" t="str">
            <v>1Z5063E0YW41976188</v>
          </cell>
        </row>
        <row r="1600">
          <cell r="D1600" t="str">
            <v>7818-24245</v>
          </cell>
          <cell r="M1600" t="str">
            <v>1Z5063E0YW41936097</v>
          </cell>
        </row>
        <row r="1601">
          <cell r="D1601" t="str">
            <v>7818-25351</v>
          </cell>
          <cell r="M1601" t="str">
            <v>1Z5063E0YW41578573</v>
          </cell>
        </row>
        <row r="1602">
          <cell r="D1602" t="str">
            <v>7818-25236</v>
          </cell>
          <cell r="M1602" t="str">
            <v>1Z5063E0YW41344422</v>
          </cell>
        </row>
        <row r="1603">
          <cell r="D1603" t="str">
            <v>7823-03326</v>
          </cell>
          <cell r="M1603" t="str">
            <v>1Z5063E0YW41411591</v>
          </cell>
        </row>
        <row r="1604">
          <cell r="D1604" t="str">
            <v>7823-03361</v>
          </cell>
          <cell r="M1604" t="str">
            <v>1Z5063E0YW42933203</v>
          </cell>
        </row>
        <row r="1605">
          <cell r="D1605" t="str">
            <v>7818-20476</v>
          </cell>
          <cell r="M1605" t="str">
            <v>1Z5063E0YW42656521</v>
          </cell>
        </row>
        <row r="1606">
          <cell r="D1606" t="str">
            <v>7818-14647</v>
          </cell>
          <cell r="M1606" t="str">
            <v>1Z5063E0YW41978471</v>
          </cell>
        </row>
        <row r="1607">
          <cell r="D1607" t="str">
            <v>7818-26505</v>
          </cell>
          <cell r="M1607" t="str">
            <v>1Z5063E0YW42387090</v>
          </cell>
        </row>
        <row r="1608">
          <cell r="D1608" t="str">
            <v>7818-09445</v>
          </cell>
          <cell r="M1608" t="str">
            <v>1Z5063E0YW40220512</v>
          </cell>
        </row>
        <row r="1609">
          <cell r="D1609" t="str">
            <v>7823-02021</v>
          </cell>
          <cell r="M1609" t="str">
            <v>1Z5063E0YW42921430</v>
          </cell>
        </row>
        <row r="1610">
          <cell r="D1610" t="str">
            <v>7818-22411</v>
          </cell>
          <cell r="M1610" t="str">
            <v>9400 1112 0620 7156 4835 01</v>
          </cell>
        </row>
        <row r="1611">
          <cell r="D1611" t="str">
            <v>7818-10062</v>
          </cell>
          <cell r="M1611" t="str">
            <v>1Z5063E0YW42282658</v>
          </cell>
        </row>
        <row r="1612">
          <cell r="D1612" t="str">
            <v>7818-24218</v>
          </cell>
          <cell r="M1612" t="str">
            <v>1Z5063E0YW41545250</v>
          </cell>
        </row>
        <row r="1613">
          <cell r="D1613" t="str">
            <v>7823-02124</v>
          </cell>
          <cell r="M1613" t="str">
            <v>1Z5063E0YW42912646</v>
          </cell>
        </row>
        <row r="1614">
          <cell r="D1614" t="str">
            <v>7818-18617</v>
          </cell>
          <cell r="M1614" t="str">
            <v>1Z5063E0YW41670730</v>
          </cell>
        </row>
        <row r="1615">
          <cell r="D1615" t="str">
            <v>7818-21341</v>
          </cell>
          <cell r="M1615" t="str">
            <v>1Z5063E0YW40373465</v>
          </cell>
        </row>
        <row r="1616">
          <cell r="D1616" t="str">
            <v>7818-19827</v>
          </cell>
          <cell r="M1616" t="str">
            <v>1Z5063E0YW42741689</v>
          </cell>
        </row>
        <row r="1617">
          <cell r="D1617" t="str">
            <v>7818-24651</v>
          </cell>
          <cell r="M1617" t="str">
            <v>1Z5063E0YW42379581</v>
          </cell>
        </row>
        <row r="1618">
          <cell r="D1618" t="str">
            <v>7818-10382</v>
          </cell>
          <cell r="M1618" t="str">
            <v>1Z5063E0YW42400038</v>
          </cell>
        </row>
        <row r="1619">
          <cell r="D1619" t="str">
            <v>7818-20641</v>
          </cell>
          <cell r="M1619" t="str">
            <v>1Z5063E0YW42779827</v>
          </cell>
        </row>
        <row r="1620">
          <cell r="D1620" t="str">
            <v>7818-15877</v>
          </cell>
          <cell r="M1620" t="str">
            <v>1Z5063E0YW42318708</v>
          </cell>
        </row>
        <row r="1621">
          <cell r="D1621" t="str">
            <v>7818-19894</v>
          </cell>
          <cell r="M1621" t="str">
            <v>1Z5063E0YW42253386</v>
          </cell>
        </row>
        <row r="1622">
          <cell r="D1622" t="str">
            <v>7818-26175</v>
          </cell>
          <cell r="M1622" t="str">
            <v>1Z5063E0YW40390008</v>
          </cell>
        </row>
        <row r="1623">
          <cell r="D1623" t="str">
            <v>7818-14547</v>
          </cell>
          <cell r="M1623" t="str">
            <v>1Z5063E0YW40992797</v>
          </cell>
        </row>
        <row r="1624">
          <cell r="D1624" t="str">
            <v>7818-10449</v>
          </cell>
          <cell r="M1624" t="str">
            <v>1Z5063E0YW42772682</v>
          </cell>
        </row>
        <row r="1625">
          <cell r="D1625" t="str">
            <v>7818-10383</v>
          </cell>
          <cell r="M1625" t="str">
            <v>1Z5063E0YW41145076</v>
          </cell>
        </row>
        <row r="1626">
          <cell r="D1626" t="str">
            <v>7818-21957</v>
          </cell>
          <cell r="M1626" t="str">
            <v>1Z5063E0YW42257819</v>
          </cell>
        </row>
        <row r="1627">
          <cell r="D1627" t="str">
            <v>7812-00801</v>
          </cell>
          <cell r="M1627" t="str">
            <v>1Z5063E0YW41641306</v>
          </cell>
        </row>
        <row r="1628">
          <cell r="D1628" t="str">
            <v>7823-01849</v>
          </cell>
          <cell r="M1628" t="str">
            <v>1Z5063E0YW40212398</v>
          </cell>
        </row>
        <row r="1629">
          <cell r="D1629" t="str">
            <v>7818-23644</v>
          </cell>
          <cell r="M1629" t="str">
            <v>1Z5063E0YW41098403</v>
          </cell>
        </row>
        <row r="1630">
          <cell r="D1630" t="str">
            <v>7823-02156</v>
          </cell>
          <cell r="M1630" t="str">
            <v>1Z5063E0YW42477742</v>
          </cell>
        </row>
        <row r="1631">
          <cell r="D1631" t="str">
            <v>7818-18831</v>
          </cell>
          <cell r="M1631" t="str">
            <v>1Z5063E0YW42876178</v>
          </cell>
        </row>
        <row r="1632">
          <cell r="D1632" t="str">
            <v>7818-22378</v>
          </cell>
          <cell r="M1632" t="str">
            <v>1Z5063E0YW40617693</v>
          </cell>
        </row>
        <row r="1633">
          <cell r="D1633" t="str">
            <v>7823-03369</v>
          </cell>
          <cell r="M1633" t="str">
            <v>1Z5063E0YW42075113</v>
          </cell>
        </row>
        <row r="1634">
          <cell r="D1634" t="str">
            <v>7823-02020</v>
          </cell>
          <cell r="M1634" t="str">
            <v>1Z5063E0YW42109336</v>
          </cell>
        </row>
        <row r="1635">
          <cell r="D1635" t="str">
            <v>7818-18031</v>
          </cell>
          <cell r="M1635" t="str">
            <v>1Z5063E0YW42520284</v>
          </cell>
        </row>
        <row r="1636">
          <cell r="D1636" t="str">
            <v>7818-25172</v>
          </cell>
          <cell r="M1636" t="str">
            <v>1Z5063E0YW41424229</v>
          </cell>
        </row>
        <row r="1637">
          <cell r="D1637" t="str">
            <v>7818-27524</v>
          </cell>
          <cell r="M1637" t="str">
            <v>1Z5063E0YW40968064</v>
          </cell>
        </row>
        <row r="1638">
          <cell r="D1638" t="str">
            <v>7818-19566</v>
          </cell>
          <cell r="M1638" t="str">
            <v>1Z5063E0YW40989470</v>
          </cell>
        </row>
        <row r="1639">
          <cell r="D1639" t="str">
            <v>7818-04984</v>
          </cell>
          <cell r="M1639" t="str">
            <v>1Z5063E0YW40764462</v>
          </cell>
        </row>
        <row r="1640">
          <cell r="D1640" t="str">
            <v>7810-00594</v>
          </cell>
          <cell r="M1640" t="str">
            <v>1Z5063E0YW40453655</v>
          </cell>
        </row>
        <row r="1641">
          <cell r="D1641" t="str">
            <v>7818-18569</v>
          </cell>
          <cell r="M1641" t="str">
            <v>1Z5063E0YW41992357</v>
          </cell>
        </row>
        <row r="1642">
          <cell r="D1642" t="str">
            <v>7818-26180</v>
          </cell>
          <cell r="M1642" t="str">
            <v>1Z5063E0YW40289155</v>
          </cell>
        </row>
        <row r="1643">
          <cell r="D1643" t="str">
            <v>7818-12804</v>
          </cell>
          <cell r="M1643" t="str">
            <v>9400 1112 0620 7119 9449 02</v>
          </cell>
        </row>
        <row r="1644">
          <cell r="D1644" t="str">
            <v>7818-27025</v>
          </cell>
          <cell r="M1644" t="str">
            <v>9400 1112 0620 7368 3809 88</v>
          </cell>
        </row>
        <row r="1645">
          <cell r="D1645" t="str">
            <v>7818-25179</v>
          </cell>
          <cell r="M1645" t="str">
            <v>1Z5063E0YW40140895</v>
          </cell>
        </row>
        <row r="1646">
          <cell r="D1646" t="str">
            <v>7818-26034</v>
          </cell>
          <cell r="M1646" t="str">
            <v>1Z5063E0YW40326319</v>
          </cell>
        </row>
        <row r="1647">
          <cell r="D1647" t="str">
            <v>7823-02659</v>
          </cell>
          <cell r="M1647" t="str">
            <v>1Z5063E0YW40518326</v>
          </cell>
        </row>
        <row r="1648">
          <cell r="D1648" t="str">
            <v>7812-02079</v>
          </cell>
          <cell r="M1648" t="str">
            <v>1Z5063E0YW40080889</v>
          </cell>
        </row>
        <row r="1649">
          <cell r="D1649" t="str">
            <v>7818-26520</v>
          </cell>
          <cell r="M1649" t="str">
            <v>1Z5063E0YW40260274</v>
          </cell>
        </row>
        <row r="1650">
          <cell r="D1650" t="str">
            <v>7818-17575</v>
          </cell>
          <cell r="M1650" t="str">
            <v>1Z5063E0YW42208532</v>
          </cell>
        </row>
        <row r="1651">
          <cell r="D1651" t="str">
            <v>7810-01568</v>
          </cell>
          <cell r="M1651" t="str">
            <v>1Z5063E0YW42653677</v>
          </cell>
        </row>
        <row r="1652">
          <cell r="D1652" t="str">
            <v>7824-00379</v>
          </cell>
          <cell r="M1652" t="str">
            <v>1Z5063E0YW41371545</v>
          </cell>
        </row>
        <row r="1653">
          <cell r="D1653" t="str">
            <v>7818-23452</v>
          </cell>
          <cell r="M1653" t="str">
            <v>1Z5063E0YW42859553</v>
          </cell>
        </row>
        <row r="1654">
          <cell r="D1654" t="str">
            <v>7823-03371</v>
          </cell>
          <cell r="M1654" t="str">
            <v>1Z5063E0YW41188502</v>
          </cell>
        </row>
        <row r="1655">
          <cell r="D1655" t="str">
            <v>7818-25352</v>
          </cell>
          <cell r="M1655" t="str">
            <v>1Z5063E0YW41264661</v>
          </cell>
        </row>
        <row r="1656">
          <cell r="D1656" t="str">
            <v>7818-14946</v>
          </cell>
          <cell r="M1656" t="str">
            <v>1Z5063E0YW40099486</v>
          </cell>
        </row>
        <row r="1657">
          <cell r="D1657" t="str">
            <v>7824-00352</v>
          </cell>
          <cell r="M1657" t="str">
            <v>1Z5063E0YW42865680</v>
          </cell>
        </row>
        <row r="1658">
          <cell r="D1658" t="str">
            <v>7818-12696</v>
          </cell>
          <cell r="M1658" t="str">
            <v>1Z5063E0YW41508362</v>
          </cell>
        </row>
        <row r="1659">
          <cell r="D1659" t="str">
            <v>7818-26183</v>
          </cell>
          <cell r="M1659" t="str">
            <v>1Z5063E0YW41539801</v>
          </cell>
        </row>
        <row r="1660">
          <cell r="D1660" t="str">
            <v>7818-21709</v>
          </cell>
          <cell r="M1660" t="str">
            <v>1Z5063E0YW41191098</v>
          </cell>
        </row>
        <row r="1661">
          <cell r="D1661" t="str">
            <v>7818-24261</v>
          </cell>
          <cell r="M1661" t="str">
            <v>1Z5063E0YW41510233</v>
          </cell>
        </row>
        <row r="1662">
          <cell r="D1662" t="str">
            <v>7812-02080</v>
          </cell>
          <cell r="M1662" t="str">
            <v>1Z5063E0YW41382962</v>
          </cell>
        </row>
        <row r="1663">
          <cell r="D1663" t="str">
            <v>7818-07525</v>
          </cell>
          <cell r="M1663" t="str">
            <v>1Z5063E0YW41807137</v>
          </cell>
        </row>
        <row r="1664">
          <cell r="D1664" t="str">
            <v>7818-10391</v>
          </cell>
          <cell r="M1664" t="str">
            <v>1Z5063E0YW42406023</v>
          </cell>
        </row>
        <row r="1665">
          <cell r="D1665" t="str">
            <v>7818-25638</v>
          </cell>
          <cell r="M1665" t="str">
            <v>1Z5063E0YW40920944</v>
          </cell>
        </row>
        <row r="1666">
          <cell r="D1666" t="str">
            <v>7818-05532</v>
          </cell>
          <cell r="M1666" t="str">
            <v>1Z5063E0YW42231373</v>
          </cell>
        </row>
        <row r="1667">
          <cell r="D1667" t="str">
            <v>7818-25184</v>
          </cell>
          <cell r="M1667" t="str">
            <v>1Z5063E0YW41116642</v>
          </cell>
        </row>
        <row r="1668">
          <cell r="D1668" t="str">
            <v>7818-25266</v>
          </cell>
          <cell r="M1668" t="str">
            <v>1Z5063E0YW41297199</v>
          </cell>
        </row>
        <row r="1669">
          <cell r="D1669" t="str">
            <v>7824-00351</v>
          </cell>
          <cell r="M1669" t="str">
            <v>1Z5063E0YW41377567</v>
          </cell>
        </row>
        <row r="1670">
          <cell r="D1670" t="str">
            <v>7818-07179</v>
          </cell>
          <cell r="M1670" t="str">
            <v>1Z5063E0YW40142142</v>
          </cell>
        </row>
        <row r="1671">
          <cell r="D1671" t="str">
            <v>7818-25178</v>
          </cell>
          <cell r="M1671" t="str">
            <v>1Z5063E0YW41309783</v>
          </cell>
        </row>
        <row r="1672">
          <cell r="D1672" t="str">
            <v>7824-00350</v>
          </cell>
          <cell r="M1672" t="str">
            <v>1Z5063E0YW41525307</v>
          </cell>
        </row>
        <row r="1673">
          <cell r="D1673" t="str">
            <v>7812-3930</v>
          </cell>
          <cell r="M1673" t="str">
            <v>1Z5063E0YW40433337</v>
          </cell>
        </row>
        <row r="1674">
          <cell r="D1674" t="str">
            <v>7818-24803</v>
          </cell>
          <cell r="M1674" t="str">
            <v>1Z5063E0YW41332060</v>
          </cell>
        </row>
        <row r="1675">
          <cell r="D1675" t="str">
            <v>7818-19118</v>
          </cell>
          <cell r="M1675" t="str">
            <v>1Z5063E0YW40802152</v>
          </cell>
        </row>
        <row r="1676">
          <cell r="D1676" t="str">
            <v>7818-26744</v>
          </cell>
          <cell r="M1676" t="str">
            <v>1Z5063E0YW40033475</v>
          </cell>
        </row>
        <row r="1677">
          <cell r="D1677" t="str">
            <v>7818-20470</v>
          </cell>
          <cell r="M1677" t="str">
            <v>1Z5063E0YW42211528</v>
          </cell>
        </row>
        <row r="1678">
          <cell r="D1678" t="str">
            <v>7818-15719</v>
          </cell>
          <cell r="M1678" t="str">
            <v>1Z5063E0YW40010801</v>
          </cell>
        </row>
        <row r="1679">
          <cell r="D1679" t="str">
            <v>7818-15030</v>
          </cell>
          <cell r="M1679" t="str">
            <v>1Z5063E0YW42844578</v>
          </cell>
        </row>
        <row r="1680">
          <cell r="D1680" t="str">
            <v>7818-15029</v>
          </cell>
          <cell r="M1680" t="str">
            <v>1Z5063E0YW42934613</v>
          </cell>
        </row>
        <row r="1681">
          <cell r="D1681" t="str">
            <v>7818-18312</v>
          </cell>
          <cell r="M1681" t="str">
            <v>1Z5063E0YW40432623</v>
          </cell>
        </row>
        <row r="1682">
          <cell r="D1682" t="str">
            <v>7823-01652</v>
          </cell>
          <cell r="M1682" t="str">
            <v>1Z5063E0YW42464756</v>
          </cell>
        </row>
        <row r="1683">
          <cell r="D1683" t="str">
            <v>7818-26181</v>
          </cell>
          <cell r="M1683" t="str">
            <v>1Z5063E0YW41839111</v>
          </cell>
        </row>
        <row r="1684">
          <cell r="D1684" t="str">
            <v>7818-15481</v>
          </cell>
          <cell r="M1684" t="str">
            <v>1Z5063E0YW41989076</v>
          </cell>
        </row>
        <row r="1685">
          <cell r="D1685" t="str">
            <v>7812-03469</v>
          </cell>
          <cell r="M1685" t="str">
            <v>1Z5063E0YW41527127</v>
          </cell>
        </row>
        <row r="1686">
          <cell r="D1686" t="str">
            <v>7823-02678</v>
          </cell>
          <cell r="M1686" t="str">
            <v>1Z5063E0YW41444289</v>
          </cell>
        </row>
        <row r="1687">
          <cell r="D1687" t="str">
            <v>7818-19392</v>
          </cell>
          <cell r="M1687" t="str">
            <v>1Z5063E0YW40566051</v>
          </cell>
        </row>
        <row r="1688">
          <cell r="D1688" t="str">
            <v>7818-26083</v>
          </cell>
          <cell r="M1688" t="str">
            <v>1Z5063E0YW41642092</v>
          </cell>
        </row>
        <row r="1689">
          <cell r="D1689" t="str">
            <v>7823-03368</v>
          </cell>
          <cell r="M1689" t="str">
            <v>1Z5063E0YW41221699</v>
          </cell>
        </row>
        <row r="1690">
          <cell r="D1690" t="str">
            <v>7818-24236</v>
          </cell>
          <cell r="M1690" t="str">
            <v>1Z5063E0YW42467397</v>
          </cell>
        </row>
        <row r="1691">
          <cell r="D1691" t="str">
            <v>7818-09442</v>
          </cell>
          <cell r="M1691" t="str">
            <v>1Z5063E0YW41795981</v>
          </cell>
        </row>
        <row r="1692">
          <cell r="D1692" t="str">
            <v>7823-02734</v>
          </cell>
          <cell r="M1692" t="str">
            <v>1Z5063E0YW41197878</v>
          </cell>
        </row>
        <row r="1693">
          <cell r="D1693" t="str">
            <v>7823-02840</v>
          </cell>
          <cell r="M1693" t="str">
            <v>1Z5063E0YW40104924</v>
          </cell>
        </row>
        <row r="1694">
          <cell r="D1694" t="str">
            <v>7818-27178</v>
          </cell>
          <cell r="M1694" t="str">
            <v>1Z5063E0YW41044863</v>
          </cell>
        </row>
        <row r="1695">
          <cell r="D1695" t="str">
            <v>7818-24301</v>
          </cell>
          <cell r="M1695" t="str">
            <v>1Z5063E0YW42334824</v>
          </cell>
        </row>
        <row r="1696">
          <cell r="D1696" t="str">
            <v>7823-02441</v>
          </cell>
          <cell r="M1696" t="str">
            <v>1Z5063E0YW41055039</v>
          </cell>
        </row>
        <row r="1697">
          <cell r="D1697" t="str">
            <v>7133-00075</v>
          </cell>
          <cell r="M1697" t="str">
            <v>1Z5063E0YW42530817</v>
          </cell>
        </row>
        <row r="1698">
          <cell r="D1698" t="str">
            <v>7818-24660</v>
          </cell>
          <cell r="M1698" t="str">
            <v>1Z5063E0YW42712817</v>
          </cell>
        </row>
        <row r="1699">
          <cell r="D1699" t="str">
            <v>7818-19946</v>
          </cell>
          <cell r="M1699" t="str">
            <v>1Z5063E0YW40397449</v>
          </cell>
        </row>
        <row r="1700">
          <cell r="D1700" t="str">
            <v>7823-03370</v>
          </cell>
          <cell r="M1700" t="str">
            <v>1Z5063E0YW42819873</v>
          </cell>
        </row>
        <row r="1701">
          <cell r="D1701" t="str">
            <v>7818-10389</v>
          </cell>
          <cell r="M1701" t="str">
            <v>1Z5063E0YW41773969</v>
          </cell>
        </row>
        <row r="1702">
          <cell r="D1702" t="str">
            <v>7818-21684</v>
          </cell>
          <cell r="M1702" t="str">
            <v>1Z5063E0YW42200076</v>
          </cell>
        </row>
        <row r="1703">
          <cell r="D1703" t="str">
            <v>7818-24634</v>
          </cell>
          <cell r="M1703" t="str">
            <v>1Z5063E0YW41522917</v>
          </cell>
        </row>
        <row r="1704">
          <cell r="D1704" t="str">
            <v>7818-16027</v>
          </cell>
          <cell r="M1704" t="str">
            <v>1Z5063E0YW42675288</v>
          </cell>
        </row>
        <row r="1705">
          <cell r="D1705" t="str">
            <v>7818-24947</v>
          </cell>
          <cell r="M1705" t="str">
            <v>1Z5063E0YW42837924</v>
          </cell>
        </row>
        <row r="1706">
          <cell r="D1706" t="str">
            <v>7818-25733</v>
          </cell>
          <cell r="M1706" t="str">
            <v>1Z5063E0YW41531087</v>
          </cell>
        </row>
        <row r="1707">
          <cell r="D1707" t="str">
            <v>7818-21886</v>
          </cell>
          <cell r="M1707" t="str">
            <v>1Z5063E0YW42484494</v>
          </cell>
        </row>
        <row r="1708">
          <cell r="D1708" t="str">
            <v>7818-06526</v>
          </cell>
          <cell r="M1708" t="str">
            <v>1Z5063E0YW42813913</v>
          </cell>
        </row>
        <row r="1709">
          <cell r="D1709" t="str">
            <v>7812-01204</v>
          </cell>
          <cell r="M1709" t="str">
            <v>1Z5063E0YW42054627</v>
          </cell>
        </row>
        <row r="1710">
          <cell r="D1710" t="str">
            <v>7810-01871</v>
          </cell>
          <cell r="M1710" t="str">
            <v>1Z5063E0YW42958688</v>
          </cell>
        </row>
        <row r="1711">
          <cell r="D1711" t="str">
            <v>7818-29844</v>
          </cell>
          <cell r="M1711" t="str">
            <v>1Z5063E0YW40153014</v>
          </cell>
        </row>
        <row r="1712">
          <cell r="D1712" t="str">
            <v>7818-25304</v>
          </cell>
          <cell r="M1712" t="str">
            <v>1Z5063E0YW40174699</v>
          </cell>
        </row>
        <row r="1713">
          <cell r="D1713" t="str">
            <v>7818-19817</v>
          </cell>
          <cell r="M1713" t="str">
            <v>1Z5063E0YW42938306</v>
          </cell>
        </row>
        <row r="1714">
          <cell r="D1714" t="str">
            <v>7818-17794</v>
          </cell>
          <cell r="M1714" t="str">
            <v>1Z5063E0YW41074161</v>
          </cell>
        </row>
        <row r="1715">
          <cell r="D1715" t="str">
            <v>7818-27241</v>
          </cell>
          <cell r="M1715" t="str">
            <v>1Z5063E0YW42989350</v>
          </cell>
        </row>
        <row r="1716">
          <cell r="D1716" t="str">
            <v>7812-03492</v>
          </cell>
          <cell r="M1716" t="str">
            <v>1Z5063E0YW41600136</v>
          </cell>
        </row>
        <row r="1717">
          <cell r="D1717" t="str">
            <v>7810-01833</v>
          </cell>
          <cell r="M1717" t="str">
            <v>1Z5063E0YW42101209</v>
          </cell>
        </row>
        <row r="1718">
          <cell r="D1718" t="str">
            <v>7818-25325</v>
          </cell>
          <cell r="M1718" t="str">
            <v>1Z5063E0YW42274292</v>
          </cell>
        </row>
        <row r="1719">
          <cell r="D1719" t="str">
            <v>7818-25391</v>
          </cell>
          <cell r="M1719" t="str">
            <v>1Z5063E0YW42019595</v>
          </cell>
        </row>
        <row r="1720">
          <cell r="D1720" t="str">
            <v>7818-25735</v>
          </cell>
          <cell r="M1720" t="str">
            <v>1Z5063E0YW40912113</v>
          </cell>
        </row>
        <row r="1721">
          <cell r="D1721" t="str">
            <v>7812-01211</v>
          </cell>
          <cell r="M1721" t="str">
            <v>1Z5063E0YW41423800</v>
          </cell>
        </row>
        <row r="1722">
          <cell r="D1722" t="str">
            <v>7810-01826</v>
          </cell>
          <cell r="M1722" t="str">
            <v>1Z5063E0YW42125292</v>
          </cell>
        </row>
        <row r="1723">
          <cell r="D1723" t="str">
            <v>7810-01814</v>
          </cell>
          <cell r="M1723" t="str">
            <v>1Z5063E0YW42007615</v>
          </cell>
        </row>
        <row r="1724">
          <cell r="D1724" t="str">
            <v>7810-01831</v>
          </cell>
          <cell r="M1724" t="str">
            <v>1Z5063E0YW42286716</v>
          </cell>
        </row>
        <row r="1725">
          <cell r="D1725" t="str">
            <v>7818-26154</v>
          </cell>
          <cell r="M1725" t="str">
            <v>1Z5063E0YW42949796</v>
          </cell>
        </row>
        <row r="1726">
          <cell r="D1726" t="str">
            <v>7818-21758</v>
          </cell>
          <cell r="M1726" t="str">
            <v>1Z5063E0YW42341834</v>
          </cell>
        </row>
        <row r="1727">
          <cell r="D1727" t="str">
            <v>7818-18748</v>
          </cell>
          <cell r="M1727" t="str">
            <v>1Z5063E0YW40753170</v>
          </cell>
        </row>
        <row r="1728">
          <cell r="D1728" t="str">
            <v>7818-22413</v>
          </cell>
          <cell r="M1728" t="str">
            <v>1Z5063E0YW40235882</v>
          </cell>
        </row>
        <row r="1729">
          <cell r="D1729" t="str">
            <v>7818-20689</v>
          </cell>
          <cell r="M1729" t="str">
            <v>1Z5063E0YW42091211</v>
          </cell>
        </row>
        <row r="1730">
          <cell r="D1730" t="str">
            <v>7818-16915</v>
          </cell>
          <cell r="M1730" t="str">
            <v>1Z5063E0YW42524851</v>
          </cell>
        </row>
        <row r="1731">
          <cell r="D1731" t="str">
            <v>7818-17412</v>
          </cell>
          <cell r="M1731" t="str">
            <v>1Z5063E0YW41795409</v>
          </cell>
        </row>
        <row r="1732">
          <cell r="D1732" t="str">
            <v>7818-10674</v>
          </cell>
          <cell r="M1732" t="str">
            <v>1Z5063E0YW41270387</v>
          </cell>
        </row>
        <row r="1733">
          <cell r="D1733" t="str">
            <v>7812-3788</v>
          </cell>
          <cell r="M1733" t="str">
            <v>1Z5063E0YW41365623</v>
          </cell>
        </row>
        <row r="1734">
          <cell r="D1734" t="str">
            <v>7818-26192</v>
          </cell>
          <cell r="M1734" t="str">
            <v>1Z5063E0YW40708675</v>
          </cell>
        </row>
        <row r="1735">
          <cell r="D1735" t="str">
            <v>7818-25395</v>
          </cell>
          <cell r="M1735" t="str">
            <v>1Z5063E0YW42860247</v>
          </cell>
        </row>
        <row r="1736">
          <cell r="D1736" t="str">
            <v>7823-02281</v>
          </cell>
          <cell r="M1736" t="str">
            <v>1Z5063E0YW40219668</v>
          </cell>
        </row>
        <row r="1737">
          <cell r="D1737" t="str">
            <v>7810-01882</v>
          </cell>
          <cell r="M1737" t="str">
            <v>1Z5063E0YW40006727</v>
          </cell>
        </row>
        <row r="1738">
          <cell r="D1738" t="str">
            <v>7810-01879</v>
          </cell>
          <cell r="M1738" t="str">
            <v>1Z5063E0YW42380908</v>
          </cell>
        </row>
        <row r="1739">
          <cell r="D1739" t="str">
            <v>7810-01809</v>
          </cell>
          <cell r="M1739" t="str">
            <v>1Z5063E0YW42475379</v>
          </cell>
        </row>
        <row r="1740">
          <cell r="D1740" t="str">
            <v>7823-01988</v>
          </cell>
          <cell r="M1740" t="str">
            <v>1Z5063E0YW40446092</v>
          </cell>
        </row>
        <row r="1741">
          <cell r="D1741" t="str">
            <v>7818-27130</v>
          </cell>
          <cell r="M1741" t="str">
            <v>1Z5063E0YW41757709</v>
          </cell>
        </row>
        <row r="1742">
          <cell r="D1742" t="str">
            <v>7812-3663</v>
          </cell>
          <cell r="M1742" t="str">
            <v>1Z5063E0YW40688572</v>
          </cell>
        </row>
        <row r="1743">
          <cell r="D1743" t="str">
            <v>7812-01623</v>
          </cell>
          <cell r="M1743" t="str">
            <v>1Z5063E0YW42849733</v>
          </cell>
        </row>
        <row r="1744">
          <cell r="D1744" t="str">
            <v>7810-01870</v>
          </cell>
          <cell r="M1744" t="str">
            <v>1Z5063E0YW42531138</v>
          </cell>
        </row>
        <row r="1745">
          <cell r="D1745" t="str">
            <v>7818-25193</v>
          </cell>
          <cell r="M1745" t="str">
            <v>1Z5063E0YW41639515</v>
          </cell>
        </row>
        <row r="1746">
          <cell r="D1746" t="str">
            <v>7818-25333</v>
          </cell>
          <cell r="M1746" t="str">
            <v>1Z5063E0YW40020685</v>
          </cell>
        </row>
        <row r="1747">
          <cell r="D1747" t="str">
            <v>7818-25032</v>
          </cell>
          <cell r="M1747" t="str">
            <v>1Z5063E0YW41741565</v>
          </cell>
        </row>
        <row r="1748">
          <cell r="D1748" t="str">
            <v>7818-15947</v>
          </cell>
          <cell r="M1748" t="str">
            <v>1Z5063E0YW40655526</v>
          </cell>
        </row>
        <row r="1749">
          <cell r="D1749" t="str">
            <v>7818-29809</v>
          </cell>
          <cell r="M1749" t="str">
            <v>1Z5063E0YW40611242</v>
          </cell>
        </row>
        <row r="1750">
          <cell r="D1750" t="str">
            <v>7810-01884</v>
          </cell>
          <cell r="M1750" t="str">
            <v>1Z5063E0YW41346144</v>
          </cell>
        </row>
        <row r="1751">
          <cell r="D1751" t="str">
            <v>7810-01886</v>
          </cell>
          <cell r="M1751" t="str">
            <v>1Z5063E0YW42948751</v>
          </cell>
        </row>
        <row r="1752">
          <cell r="D1752" t="str">
            <v>7818-10824</v>
          </cell>
          <cell r="M1752" t="str">
            <v>1Z5063E0YW41715932</v>
          </cell>
        </row>
        <row r="1753">
          <cell r="D1753" t="str">
            <v>7818-24663</v>
          </cell>
          <cell r="M1753" t="str">
            <v>1Z5063E0YW41496349</v>
          </cell>
        </row>
        <row r="1754">
          <cell r="D1754" t="str">
            <v>7818-24667</v>
          </cell>
          <cell r="M1754" t="str">
            <v>1Z5063E0YW41262958</v>
          </cell>
        </row>
        <row r="1755">
          <cell r="D1755" t="str">
            <v>7818-10393</v>
          </cell>
          <cell r="M1755" t="str">
            <v>1Z5063E0YW41699764</v>
          </cell>
        </row>
        <row r="1756">
          <cell r="D1756" t="str">
            <v>7812-10390</v>
          </cell>
          <cell r="M1756" t="str">
            <v>1Z5063E0YW40023226</v>
          </cell>
        </row>
        <row r="1757">
          <cell r="D1757" t="str">
            <v>7818-16289</v>
          </cell>
          <cell r="M1757" t="str">
            <v>1Z5063E0YW42873215</v>
          </cell>
        </row>
        <row r="1758">
          <cell r="D1758" t="str">
            <v>7812-3785</v>
          </cell>
          <cell r="M1758" t="str">
            <v>1Z5063E0YW41137405</v>
          </cell>
        </row>
        <row r="1759">
          <cell r="D1759" t="str">
            <v>7818-12795</v>
          </cell>
          <cell r="M1759" t="str">
            <v>1Z5063E0YW41871648</v>
          </cell>
        </row>
        <row r="1760">
          <cell r="D1760" t="str">
            <v>7810-01569</v>
          </cell>
          <cell r="M1760" t="str">
            <v>1Z5063E0YW40165234</v>
          </cell>
        </row>
        <row r="1761">
          <cell r="D1761" t="str">
            <v>7818-24614</v>
          </cell>
          <cell r="M1761" t="str">
            <v>1Z5063E0YW42135012</v>
          </cell>
        </row>
        <row r="1762">
          <cell r="D1762" t="str">
            <v>7818-10386</v>
          </cell>
          <cell r="M1762" t="str">
            <v>1Z5063E0YW41445260</v>
          </cell>
        </row>
        <row r="1763">
          <cell r="D1763" t="str">
            <v>7818-24633</v>
          </cell>
          <cell r="M1763" t="str">
            <v>1Z5063E0YW40476694</v>
          </cell>
        </row>
        <row r="1764">
          <cell r="D1764" t="str">
            <v>7818-01597</v>
          </cell>
          <cell r="M1764" t="str">
            <v>1Z5063E0YW41884250</v>
          </cell>
        </row>
        <row r="1765">
          <cell r="D1765" t="str">
            <v>7823-02282</v>
          </cell>
          <cell r="M1765" t="str">
            <v>1Z5063E0YW41961023</v>
          </cell>
        </row>
        <row r="1766">
          <cell r="D1766" t="str">
            <v>7823-02839</v>
          </cell>
          <cell r="M1766" t="str">
            <v>1Z5063E0YW41285504</v>
          </cell>
        </row>
        <row r="1767">
          <cell r="D1767" t="str">
            <v>7823-02665</v>
          </cell>
          <cell r="M1767" t="str">
            <v>1Z5063E0YW41804952</v>
          </cell>
        </row>
        <row r="1768">
          <cell r="D1768" t="str">
            <v>7811-00323</v>
          </cell>
          <cell r="M1768" t="str">
            <v>1Z5063E0YW41827295</v>
          </cell>
        </row>
        <row r="1769">
          <cell r="D1769" t="str">
            <v>7818-10392</v>
          </cell>
          <cell r="M1769" t="str">
            <v>1Z5063E0YW40403048</v>
          </cell>
        </row>
        <row r="1770">
          <cell r="D1770" t="str">
            <v>7812-03347</v>
          </cell>
          <cell r="M1770" t="str">
            <v>1Z5063E0YW40897140</v>
          </cell>
        </row>
        <row r="1771">
          <cell r="D1771" t="str">
            <v>7818-21960</v>
          </cell>
          <cell r="M1771" t="str">
            <v>1Z5063E0YW41980735</v>
          </cell>
        </row>
        <row r="1772">
          <cell r="D1772" t="str">
            <v>7818-25398</v>
          </cell>
          <cell r="M1772" t="str">
            <v>1Z5063E0YW41599283</v>
          </cell>
        </row>
        <row r="1773">
          <cell r="D1773" t="str">
            <v>7810-01776</v>
          </cell>
          <cell r="M1773" t="str">
            <v>1Z5063E0YW41365801</v>
          </cell>
        </row>
        <row r="1774">
          <cell r="D1774" t="str">
            <v>7810-01829</v>
          </cell>
          <cell r="M1774" t="str">
            <v>1Z5063E0YW41130519</v>
          </cell>
        </row>
        <row r="1775">
          <cell r="D1775" t="str">
            <v>7810-00091</v>
          </cell>
          <cell r="M1775" t="str">
            <v>1Z5063E0YW42028709</v>
          </cell>
        </row>
        <row r="1776">
          <cell r="D1776" t="str">
            <v>7810-01570</v>
          </cell>
          <cell r="M1776" t="str">
            <v>1Z5063E0YW40897097</v>
          </cell>
        </row>
        <row r="1777">
          <cell r="D1777" t="str">
            <v>7810-00099</v>
          </cell>
          <cell r="M1777" t="str">
            <v>1Z5063E0YW40963318</v>
          </cell>
        </row>
        <row r="1778">
          <cell r="D1778" t="str">
            <v>7818-24665</v>
          </cell>
          <cell r="M1778" t="str">
            <v>1Z5063E0YW41766520</v>
          </cell>
        </row>
        <row r="1779">
          <cell r="D1779" t="str">
            <v>7818-20237</v>
          </cell>
          <cell r="M1779" t="str">
            <v>1Z5063E0YW40552191</v>
          </cell>
        </row>
        <row r="1780">
          <cell r="D1780" t="str">
            <v>7818-26073</v>
          </cell>
          <cell r="M1780" t="str">
            <v>1Z5063E0YW40899577</v>
          </cell>
        </row>
        <row r="1781">
          <cell r="D1781" t="str">
            <v>7810-01773</v>
          </cell>
          <cell r="M1781" t="str">
            <v>1Z5063E0YW41497893</v>
          </cell>
        </row>
        <row r="1782">
          <cell r="D1782" t="str">
            <v>7818-29773</v>
          </cell>
          <cell r="M1782" t="str">
            <v>1Z5063E0YW40051688</v>
          </cell>
        </row>
        <row r="1783">
          <cell r="D1783" t="str">
            <v>7823-03329</v>
          </cell>
          <cell r="M1783" t="str">
            <v>1Z5063E0YW41464785</v>
          </cell>
        </row>
        <row r="1784">
          <cell r="D1784" t="str">
            <v>7811-00312</v>
          </cell>
          <cell r="M1784" t="str">
            <v>1Z5063E0YW42319752</v>
          </cell>
        </row>
        <row r="1785">
          <cell r="D1785" t="str">
            <v>7811-00250</v>
          </cell>
          <cell r="M1785" t="str">
            <v>1Z5063E0YW40332562</v>
          </cell>
        </row>
        <row r="1786">
          <cell r="D1786" t="str">
            <v>7818-16914</v>
          </cell>
          <cell r="M1786" t="str">
            <v>1Z5063E0YW42015124</v>
          </cell>
        </row>
        <row r="1787">
          <cell r="D1787" t="str">
            <v>7812-3605</v>
          </cell>
          <cell r="M1787" t="str">
            <v>1Z5063E0YW40824398</v>
          </cell>
        </row>
        <row r="1788">
          <cell r="D1788" t="str">
            <v>7812-02076</v>
          </cell>
          <cell r="M1788" t="str">
            <v>1Z5063E0YW42203779</v>
          </cell>
        </row>
        <row r="1789">
          <cell r="D1789" t="str">
            <v>7818-25189</v>
          </cell>
          <cell r="M1789" t="str">
            <v>1Z5063E0YW42844354</v>
          </cell>
        </row>
        <row r="1790">
          <cell r="D1790" t="str">
            <v>7818-27170</v>
          </cell>
          <cell r="M1790" t="str">
            <v>1Z5063E0YW40349812</v>
          </cell>
        </row>
        <row r="1791">
          <cell r="D1791" t="str">
            <v>7818-12695</v>
          </cell>
          <cell r="M1791" t="str">
            <v>1Z5063E0YW40212987</v>
          </cell>
        </row>
        <row r="1792">
          <cell r="D1792" t="str">
            <v>7812-3852</v>
          </cell>
          <cell r="M1792" t="str">
            <v>1Z5063E0YW42050729</v>
          </cell>
        </row>
        <row r="1793">
          <cell r="D1793" t="str">
            <v>7818-15982</v>
          </cell>
          <cell r="M1793" t="str">
            <v>1Z5063E0YW42284101</v>
          </cell>
        </row>
        <row r="1794">
          <cell r="D1794" t="str">
            <v>7818-16913</v>
          </cell>
          <cell r="M1794" t="str">
            <v>1Z5063E0YW42741714</v>
          </cell>
        </row>
        <row r="1795">
          <cell r="D1795" t="str">
            <v>7818-22216</v>
          </cell>
          <cell r="M1795" t="str">
            <v>1Z5063E0YW42561721</v>
          </cell>
        </row>
        <row r="1796">
          <cell r="D1796" t="str">
            <v>7811-00322</v>
          </cell>
          <cell r="M1796" t="str">
            <v>1Z5063E0YW40081333</v>
          </cell>
        </row>
        <row r="1797">
          <cell r="D1797" t="str">
            <v>7818-26607</v>
          </cell>
          <cell r="M1797" t="str">
            <v>1Z5063E0YW41839933</v>
          </cell>
        </row>
        <row r="1798">
          <cell r="D1798" t="str">
            <v>7818-23034</v>
          </cell>
          <cell r="M1798" t="str">
            <v>1Z5063E0YW40843984</v>
          </cell>
        </row>
        <row r="1799">
          <cell r="D1799" t="str">
            <v>7810-01835</v>
          </cell>
          <cell r="M1799" t="str">
            <v>1Z5063E0YW42663764</v>
          </cell>
        </row>
        <row r="1800">
          <cell r="D1800" t="str">
            <v>7812-02945</v>
          </cell>
          <cell r="M1800" t="str">
            <v>1Z5063E0YW41814772</v>
          </cell>
        </row>
        <row r="1801">
          <cell r="D1801" t="str">
            <v>7811-00306</v>
          </cell>
          <cell r="M1801" t="str">
            <v>1Z5063E0YW42094512</v>
          </cell>
        </row>
        <row r="1802">
          <cell r="D1802" t="str">
            <v>7810-01805</v>
          </cell>
          <cell r="M1802" t="str">
            <v>1Z5063E0YW40370931</v>
          </cell>
        </row>
        <row r="1803">
          <cell r="D1803" t="str">
            <v>7811-00196</v>
          </cell>
          <cell r="M1803" t="str">
            <v>1Z5063E0YW40400265</v>
          </cell>
        </row>
        <row r="1804">
          <cell r="D1804" t="str">
            <v>7824-00406</v>
          </cell>
          <cell r="M1804" t="str">
            <v>1Z5063E0YW41269200</v>
          </cell>
        </row>
        <row r="1805">
          <cell r="D1805" t="str">
            <v>7818-18770</v>
          </cell>
          <cell r="M1805" t="str">
            <v>1Z5063E0YW42627599</v>
          </cell>
        </row>
        <row r="1806">
          <cell r="D1806" t="str">
            <v>7818-29403</v>
          </cell>
          <cell r="M1806" t="str">
            <v>1Z5063E0YW42706306</v>
          </cell>
        </row>
        <row r="1807">
          <cell r="D1807" t="str">
            <v>7818-29765</v>
          </cell>
          <cell r="M1807" t="str">
            <v>1Z5063E0YW41154477</v>
          </cell>
        </row>
        <row r="1808">
          <cell r="D1808" t="str">
            <v>7823-02760</v>
          </cell>
          <cell r="M1808" t="str">
            <v>1Z5063E0YW41092856</v>
          </cell>
        </row>
        <row r="1809">
          <cell r="D1809" t="str">
            <v>7815-00105</v>
          </cell>
          <cell r="M1809" t="str">
            <v>1Z5063E0YW40237684</v>
          </cell>
        </row>
        <row r="1810">
          <cell r="D1810" t="str">
            <v>7818-03992</v>
          </cell>
          <cell r="M1810" t="str">
            <v>1Z5063E0YW40654705</v>
          </cell>
        </row>
        <row r="1811">
          <cell r="D1811" t="str">
            <v>7823-02123</v>
          </cell>
          <cell r="M1811" t="str">
            <v>1Z5063E0YW41418316</v>
          </cell>
        </row>
        <row r="1812">
          <cell r="D1812" t="str">
            <v>7818-29843</v>
          </cell>
          <cell r="M1812" t="str">
            <v>1Z5063E0YW41367998</v>
          </cell>
        </row>
        <row r="1813">
          <cell r="D1813" t="str">
            <v>7824-00364</v>
          </cell>
          <cell r="M1813" t="str">
            <v>1Z5063E0YW41989834</v>
          </cell>
        </row>
        <row r="1814">
          <cell r="D1814" t="str">
            <v>7812-3662</v>
          </cell>
          <cell r="M1814" t="str">
            <v>1Z5063E0YW42996673</v>
          </cell>
        </row>
        <row r="1815">
          <cell r="D1815" t="str">
            <v>7818-20159</v>
          </cell>
          <cell r="M1815" t="str">
            <v>1Z5063E0YW40629466</v>
          </cell>
        </row>
        <row r="1816">
          <cell r="D1816" t="str">
            <v>7818-23314</v>
          </cell>
          <cell r="M1816" t="str">
            <v>1Z5063E0YW42868249</v>
          </cell>
        </row>
        <row r="1817">
          <cell r="D1817" t="str">
            <v>7818-10397</v>
          </cell>
          <cell r="M1817" t="str">
            <v>1Z5063E0YW41547669</v>
          </cell>
        </row>
        <row r="1818">
          <cell r="D1818" t="str">
            <v>7818-23105</v>
          </cell>
          <cell r="M1818" t="str">
            <v>1Z5063E0YW42493742</v>
          </cell>
        </row>
        <row r="1819">
          <cell r="D1819" t="str">
            <v>7823-02042</v>
          </cell>
          <cell r="M1819" t="str">
            <v>1Z5063E0YW41795454</v>
          </cell>
        </row>
        <row r="1820">
          <cell r="D1820" t="str">
            <v>7824-00367</v>
          </cell>
          <cell r="M1820" t="str">
            <v>1Z5063E0YW41803891</v>
          </cell>
        </row>
        <row r="1821">
          <cell r="D1821" t="str">
            <v>7824-00383</v>
          </cell>
          <cell r="M1821" t="str">
            <v>1Z5063E0YW42302484</v>
          </cell>
        </row>
        <row r="1822">
          <cell r="D1822" t="str">
            <v>7824-00401</v>
          </cell>
          <cell r="M1822" t="str">
            <v>1Z5063E0YW41509316</v>
          </cell>
        </row>
        <row r="1823">
          <cell r="D1823" t="str">
            <v>7818-11705</v>
          </cell>
          <cell r="M1823" t="str">
            <v>1Z5063E0YW42328411</v>
          </cell>
        </row>
        <row r="1824">
          <cell r="D1824" t="str">
            <v>7818-11548</v>
          </cell>
          <cell r="M1824" t="str">
            <v>1Z5063E0YW42742428</v>
          </cell>
        </row>
        <row r="1825">
          <cell r="D1825" t="str">
            <v>7818-23049</v>
          </cell>
          <cell r="M1825" t="str">
            <v>1Z5063E0YW41878847</v>
          </cell>
        </row>
        <row r="1826">
          <cell r="D1826" t="str">
            <v>7812-02947</v>
          </cell>
          <cell r="M1826" t="str">
            <v>1Z5063E0YW40618996</v>
          </cell>
        </row>
        <row r="1827">
          <cell r="D1827" t="str">
            <v>7818-21917</v>
          </cell>
          <cell r="M1827" t="str">
            <v>1Z5063E0YW42991365</v>
          </cell>
        </row>
        <row r="1828">
          <cell r="D1828" t="str">
            <v>7818-25489</v>
          </cell>
          <cell r="M1828" t="str">
            <v>1Z5063E0YW40774371</v>
          </cell>
        </row>
        <row r="1829">
          <cell r="D1829" t="str">
            <v>7824-00403</v>
          </cell>
          <cell r="M1829" t="str">
            <v>1Z5063E0YW42213231</v>
          </cell>
        </row>
        <row r="1830">
          <cell r="D1830" t="str">
            <v>7824-00384</v>
          </cell>
          <cell r="M1830" t="str">
            <v>1Z5063E0YW41732075</v>
          </cell>
        </row>
        <row r="1831">
          <cell r="D1831" t="str">
            <v>7824-00386</v>
          </cell>
          <cell r="M1831" t="str">
            <v>1Z5063E0YW42662809</v>
          </cell>
        </row>
        <row r="1832">
          <cell r="D1832" t="str">
            <v>7812-3856</v>
          </cell>
          <cell r="M1832" t="str">
            <v>1Z5063E0YW42447284</v>
          </cell>
        </row>
        <row r="1833">
          <cell r="D1833" t="str">
            <v>7812-3583</v>
          </cell>
          <cell r="M1833" t="str">
            <v>1Z5063E0YW41540200</v>
          </cell>
        </row>
        <row r="1834">
          <cell r="D1834" t="str">
            <v>7818-26741</v>
          </cell>
          <cell r="M1834" t="str">
            <v>1Z5063E0YW40627762</v>
          </cell>
        </row>
        <row r="1835">
          <cell r="D1835" t="str">
            <v>7818-26574</v>
          </cell>
          <cell r="M1835" t="str">
            <v>1Z5063E0YW40208607</v>
          </cell>
        </row>
        <row r="1836">
          <cell r="D1836" t="str">
            <v>7815-00101</v>
          </cell>
          <cell r="M1836" t="str">
            <v>1Z5063E0YW42382264</v>
          </cell>
        </row>
        <row r="1837">
          <cell r="D1837" t="str">
            <v>7811-00076</v>
          </cell>
          <cell r="M1837" t="str">
            <v>1Z5063E0YW42534180</v>
          </cell>
        </row>
        <row r="1838">
          <cell r="D1838" t="str">
            <v>7811-00311</v>
          </cell>
          <cell r="M1838" t="str">
            <v>1Z5063E0YW41736339</v>
          </cell>
        </row>
        <row r="1839">
          <cell r="D1839" t="str">
            <v>7818-07086</v>
          </cell>
          <cell r="M1839" t="str">
            <v>1Z5063E0YW41114886</v>
          </cell>
        </row>
        <row r="1840">
          <cell r="D1840" t="str">
            <v>7818-29441</v>
          </cell>
          <cell r="M1840" t="str">
            <v>1Z5063E0YW41203271</v>
          </cell>
        </row>
        <row r="1841">
          <cell r="D1841" t="str">
            <v>7818-17588</v>
          </cell>
          <cell r="M1841" t="str">
            <v>1Z5063E0YW40511501</v>
          </cell>
        </row>
        <row r="1842">
          <cell r="D1842" t="str">
            <v>7818-22469</v>
          </cell>
          <cell r="M1842" t="str">
            <v>1Z5063E0YW40244747</v>
          </cell>
        </row>
        <row r="1843">
          <cell r="D1843" t="str">
            <v>7818-24209</v>
          </cell>
          <cell r="M1843" t="str">
            <v>1Z5063E0YW42320839</v>
          </cell>
        </row>
        <row r="1844">
          <cell r="D1844" t="str">
            <v>7818-22418</v>
          </cell>
          <cell r="M1844" t="str">
            <v>1Z5063E0YW41761329</v>
          </cell>
        </row>
        <row r="1845">
          <cell r="D1845" t="str">
            <v>7823-02809</v>
          </cell>
          <cell r="M1845" t="str">
            <v>1Z5063E0YW41338662</v>
          </cell>
        </row>
        <row r="1846">
          <cell r="D1846" t="str">
            <v>7812-3853</v>
          </cell>
          <cell r="M1846" t="str">
            <v>1Z5063E0YW41663855</v>
          </cell>
        </row>
        <row r="1847">
          <cell r="D1847" t="str">
            <v>7812-3746</v>
          </cell>
          <cell r="M1847" t="str">
            <v>1Z5063E0YW42482558</v>
          </cell>
        </row>
        <row r="1848">
          <cell r="D1848" t="str">
            <v>7818-22023</v>
          </cell>
          <cell r="M1848" t="str">
            <v>1Z5063E0YW41711534</v>
          </cell>
        </row>
        <row r="1849">
          <cell r="D1849" t="str">
            <v>7818-29401</v>
          </cell>
          <cell r="M1849" t="str">
            <v>1Z5063E0YW41025151</v>
          </cell>
        </row>
        <row r="1850">
          <cell r="D1850" t="str">
            <v>7818-18349</v>
          </cell>
          <cell r="M1850" t="str">
            <v>1Z5063E0YW42699351</v>
          </cell>
        </row>
        <row r="1851">
          <cell r="D1851" t="str">
            <v>7818-24843</v>
          </cell>
          <cell r="M1851" t="str">
            <v>1Z5063E0YW41684690</v>
          </cell>
        </row>
        <row r="1852">
          <cell r="D1852" t="str">
            <v>7812-3846</v>
          </cell>
          <cell r="M1852" t="str">
            <v>1Z5063E0YW42863173</v>
          </cell>
        </row>
        <row r="1853">
          <cell r="D1853" t="str">
            <v>7812-03385</v>
          </cell>
          <cell r="M1853" t="str">
            <v>1Z5063E0YW40078598</v>
          </cell>
        </row>
        <row r="1854">
          <cell r="D1854" t="str">
            <v>7818-25353</v>
          </cell>
          <cell r="M1854" t="str">
            <v>1Z5063E0YW41897737</v>
          </cell>
        </row>
        <row r="1855">
          <cell r="D1855" t="str">
            <v>7818-24716</v>
          </cell>
          <cell r="M1855" t="str">
            <v>1Z5063E0YW41279646</v>
          </cell>
        </row>
        <row r="1856">
          <cell r="D1856" t="str">
            <v>7818-07116</v>
          </cell>
          <cell r="M1856" t="str">
            <v>1Z5063E0YW40603091</v>
          </cell>
        </row>
        <row r="1857">
          <cell r="D1857" t="str">
            <v>7818-10776</v>
          </cell>
          <cell r="M1857" t="str">
            <v>1Z5063E0YW41407677</v>
          </cell>
        </row>
        <row r="1858">
          <cell r="D1858" t="str">
            <v>7824-00368</v>
          </cell>
          <cell r="M1858" t="str">
            <v>1Z5063E0YW41015064</v>
          </cell>
        </row>
        <row r="1859">
          <cell r="D1859" t="str">
            <v>7812-03370</v>
          </cell>
          <cell r="M1859" t="str">
            <v>1Z5063E0YW42226610</v>
          </cell>
        </row>
        <row r="1860">
          <cell r="D1860" t="str">
            <v>7812-3789</v>
          </cell>
          <cell r="M1860" t="str">
            <v>1Z5063E0YW42503187</v>
          </cell>
        </row>
        <row r="1861">
          <cell r="D1861" t="str">
            <v>7818-23506</v>
          </cell>
          <cell r="M1861" t="str">
            <v>1Z5063E0YW41822110</v>
          </cell>
        </row>
        <row r="1862">
          <cell r="D1862" t="str">
            <v>7810-01578</v>
          </cell>
          <cell r="M1862" t="str">
            <v>1Z5063E0YW40784299</v>
          </cell>
        </row>
        <row r="1863">
          <cell r="D1863" t="str">
            <v>7812-01730</v>
          </cell>
          <cell r="M1863" t="str">
            <v>1Z5063E0YW40529592</v>
          </cell>
        </row>
        <row r="1864">
          <cell r="D1864" t="str">
            <v>7818-27309</v>
          </cell>
          <cell r="M1864" t="str">
            <v>1Z5063E0YW41811202</v>
          </cell>
        </row>
        <row r="1865">
          <cell r="D1865" t="str">
            <v>7818-21699</v>
          </cell>
          <cell r="M1865" t="str">
            <v>1Z5063E0YW41063011</v>
          </cell>
        </row>
        <row r="1866">
          <cell r="D1866" t="str">
            <v>7818-17692</v>
          </cell>
          <cell r="M1866" t="str">
            <v>1Z5063E0YW41849020</v>
          </cell>
        </row>
        <row r="1867">
          <cell r="D1867" t="str">
            <v>7823-02313</v>
          </cell>
          <cell r="M1867" t="str">
            <v>1Z5063E0YW41570124</v>
          </cell>
        </row>
        <row r="1868">
          <cell r="D1868" t="str">
            <v>7818-29171</v>
          </cell>
          <cell r="M1868" t="str">
            <v>1Z5063E0YW40465964</v>
          </cell>
        </row>
        <row r="1869">
          <cell r="D1869" t="str">
            <v>7812-02946</v>
          </cell>
          <cell r="M1869" t="str">
            <v>1Z5063E0YW41984160</v>
          </cell>
        </row>
        <row r="1870">
          <cell r="D1870" t="str">
            <v>7818-21651</v>
          </cell>
          <cell r="M1870" t="str">
            <v>1Z5063E0YW40619244</v>
          </cell>
        </row>
        <row r="1871">
          <cell r="D1871" t="str">
            <v>7823-03122</v>
          </cell>
          <cell r="M1871" t="str">
            <v>1Z5063E0YW41675584</v>
          </cell>
        </row>
        <row r="1872">
          <cell r="D1872" t="str">
            <v>7818-15458</v>
          </cell>
          <cell r="M1872" t="str">
            <v>1Z5063E0YW40694636</v>
          </cell>
        </row>
        <row r="1873">
          <cell r="D1873" t="str">
            <v>7810-01853</v>
          </cell>
          <cell r="M1873" t="str">
            <v>1Z5063E0YW40420976</v>
          </cell>
        </row>
        <row r="1874">
          <cell r="D1874" t="str">
            <v>7818-28383</v>
          </cell>
          <cell r="M1874" t="str">
            <v>1Z5063E0YW41580382</v>
          </cell>
        </row>
        <row r="1875">
          <cell r="D1875" t="str">
            <v>7818-10396</v>
          </cell>
          <cell r="M1875" t="str">
            <v>1Z5063E0YW41164626</v>
          </cell>
        </row>
        <row r="1876">
          <cell r="D1876" t="str">
            <v>7812-02208</v>
          </cell>
          <cell r="M1876" t="str">
            <v>1Z5063E0YW42883946</v>
          </cell>
        </row>
        <row r="1877">
          <cell r="D1877" t="str">
            <v>7823-02181</v>
          </cell>
          <cell r="M1877" t="str">
            <v>1Z5063E0YW42509047</v>
          </cell>
        </row>
        <row r="1878">
          <cell r="D1878" t="str">
            <v>7824-00363</v>
          </cell>
          <cell r="M1878" t="str">
            <v>1Z5063E0YW42740877</v>
          </cell>
        </row>
        <row r="1879">
          <cell r="D1879" t="str">
            <v>7824-00385</v>
          </cell>
          <cell r="M1879" t="str">
            <v>1Z5063E0YW40245497</v>
          </cell>
        </row>
        <row r="1880">
          <cell r="D1880" t="str">
            <v>7818-17244</v>
          </cell>
          <cell r="M1880" t="str">
            <v>1Z5063E0YW40479431</v>
          </cell>
        </row>
        <row r="1881">
          <cell r="D1881" t="str">
            <v>7818-29772</v>
          </cell>
          <cell r="M1881" t="str">
            <v>1Z5063E0YW42360653</v>
          </cell>
        </row>
        <row r="1882">
          <cell r="D1882" t="str">
            <v>7818-21744</v>
          </cell>
          <cell r="M1882" t="str">
            <v>1Z5063E0YW40494932</v>
          </cell>
        </row>
        <row r="1883">
          <cell r="D1883" t="str">
            <v>7818-25335</v>
          </cell>
          <cell r="M1883" t="str">
            <v>1Z5063E0YW40558033</v>
          </cell>
        </row>
        <row r="1884">
          <cell r="D1884" t="str">
            <v>7818-07549</v>
          </cell>
          <cell r="M1884" t="str">
            <v>1Z5063E0YW42360448</v>
          </cell>
        </row>
        <row r="1885">
          <cell r="D1885" t="str">
            <v>7818-24299</v>
          </cell>
          <cell r="M1885" t="str">
            <v>1Z5063E0YW40860045</v>
          </cell>
        </row>
        <row r="1886">
          <cell r="D1886" t="str">
            <v>7812-00392</v>
          </cell>
          <cell r="M1886" t="str">
            <v>1Z5063E0YW40672089</v>
          </cell>
        </row>
        <row r="1887">
          <cell r="D1887" t="str">
            <v>7812-03008</v>
          </cell>
          <cell r="M1887" t="str">
            <v>1Z5063E0YW42653426</v>
          </cell>
        </row>
        <row r="1888">
          <cell r="D1888" t="str">
            <v>7818-19272</v>
          </cell>
          <cell r="M1888" t="str">
            <v>1Z5063E0YW40619413</v>
          </cell>
        </row>
        <row r="1889">
          <cell r="D1889" t="str">
            <v>7823-02774</v>
          </cell>
          <cell r="M1889" t="str">
            <v>1Z5063E0YW41111227</v>
          </cell>
        </row>
        <row r="1890">
          <cell r="D1890" t="str">
            <v>7818-17833</v>
          </cell>
          <cell r="M1890" t="str">
            <v>1Z5063E0YW40681766</v>
          </cell>
        </row>
        <row r="1891">
          <cell r="D1891" t="str">
            <v>7823-02762</v>
          </cell>
          <cell r="M1891" t="str">
            <v>9402 1112 0620 7168 0053 48</v>
          </cell>
        </row>
        <row r="1892">
          <cell r="D1892" t="str">
            <v>7823-02762</v>
          </cell>
          <cell r="M1892" t="str">
            <v>9402 1112 0620 7168 0000 84</v>
          </cell>
        </row>
        <row r="1893">
          <cell r="D1893" t="str">
            <v>7818-25194</v>
          </cell>
          <cell r="M1893" t="str">
            <v>9400 1112 0620 7183 9230 56</v>
          </cell>
        </row>
        <row r="1894">
          <cell r="D1894" t="str">
            <v>7812-03056</v>
          </cell>
          <cell r="M1894" t="str">
            <v>9402 1112 0620 7183 9294 38</v>
          </cell>
        </row>
        <row r="1895">
          <cell r="D1895" t="str">
            <v>7823-01568</v>
          </cell>
          <cell r="M1895" t="str">
            <v>9402 1112 0620 7156 6240 32</v>
          </cell>
        </row>
        <row r="1896">
          <cell r="D1896" t="str">
            <v>7818-27201</v>
          </cell>
          <cell r="M1896" t="str">
            <v>9402 1112 0620 7156 6355 33</v>
          </cell>
        </row>
        <row r="1897">
          <cell r="D1897" t="str">
            <v>7812-02074</v>
          </cell>
          <cell r="M1897" t="str">
            <v>9402 1112 0620 7156 6410 77</v>
          </cell>
        </row>
        <row r="1898">
          <cell r="D1898" t="str">
            <v>7823-02423</v>
          </cell>
          <cell r="M1898" t="str">
            <v>9410 8112 0620 7156 6990 52</v>
          </cell>
        </row>
        <row r="1899">
          <cell r="D1899" t="str">
            <v>7818-18825</v>
          </cell>
          <cell r="M1899" t="str">
            <v>9402 1112 0620 7156 6176 69</v>
          </cell>
        </row>
        <row r="1900">
          <cell r="D1900" t="str">
            <v>7818-18049</v>
          </cell>
          <cell r="M1900" t="str">
            <v>9402 1112 0620 7141 6479 30</v>
          </cell>
        </row>
        <row r="1901">
          <cell r="D1901" t="str">
            <v>7818-21782</v>
          </cell>
          <cell r="M1901" t="str">
            <v>9402 1112 0620 7141 6184 97</v>
          </cell>
        </row>
        <row r="1902">
          <cell r="D1902" t="str">
            <v>7823-02903</v>
          </cell>
          <cell r="M1902" t="str">
            <v>9402 1112 0620 7118 3196 24</v>
          </cell>
        </row>
        <row r="1903">
          <cell r="D1903" t="str">
            <v>7823-02608</v>
          </cell>
          <cell r="M1903" t="str">
            <v>9402 1112 0620 7131 9806 65</v>
          </cell>
        </row>
        <row r="1904">
          <cell r="D1904" t="str">
            <v>7823-01423</v>
          </cell>
          <cell r="M1904" t="str">
            <v>9400 1112 0620 7133 0350 51</v>
          </cell>
        </row>
        <row r="1905">
          <cell r="D1905" t="str">
            <v>7818-10387</v>
          </cell>
          <cell r="M1905" t="str">
            <v>9400 1112 0620 7720 6695 84</v>
          </cell>
        </row>
        <row r="1906">
          <cell r="D1906" t="str">
            <v>7818-23120</v>
          </cell>
          <cell r="M1906" t="str">
            <v>9400 1112 0620 7798 5081 36</v>
          </cell>
        </row>
        <row r="1907">
          <cell r="D1907" t="str">
            <v>7818-26503</v>
          </cell>
          <cell r="M1907" t="str">
            <v>9400 1112 0620 7798 7215 80</v>
          </cell>
        </row>
        <row r="1908">
          <cell r="D1908" t="str">
            <v>7812-3937</v>
          </cell>
          <cell r="M1908" t="str">
            <v>9405 5112 0620 7790 8568 87</v>
          </cell>
        </row>
        <row r="1909">
          <cell r="D1909" t="str">
            <v>7818-14699</v>
          </cell>
          <cell r="M1909" t="str">
            <v>9400 1112 0620 7703 5286 55</v>
          </cell>
        </row>
        <row r="1910">
          <cell r="D1910" t="str">
            <v>7812-03053</v>
          </cell>
          <cell r="M1910" t="str">
            <v>9400 1112 0620 7703 7355 10</v>
          </cell>
        </row>
        <row r="1911">
          <cell r="D1911" t="str">
            <v>7818-27526</v>
          </cell>
          <cell r="M1911" t="str">
            <v>9400 1112 0620 7754 9795 05</v>
          </cell>
        </row>
        <row r="1912">
          <cell r="D1912" t="str">
            <v>7818-18719</v>
          </cell>
          <cell r="M1912" t="str">
            <v>9402 1112 0620 7754 6516 38</v>
          </cell>
        </row>
        <row r="1913">
          <cell r="D1913" t="str">
            <v>7812-01696</v>
          </cell>
          <cell r="M1913" t="str">
            <v>9402 1112 0620 7754 6486 83</v>
          </cell>
        </row>
        <row r="1914">
          <cell r="D1914" t="str">
            <v>7810-01888</v>
          </cell>
          <cell r="M1914" t="str">
            <v>9402 1112 0620 7754 6105 98</v>
          </cell>
        </row>
        <row r="1915">
          <cell r="D1915" t="str">
            <v>7823-02279</v>
          </cell>
          <cell r="M1915" t="str">
            <v>9402 1112 0620 7754 6779 28</v>
          </cell>
        </row>
        <row r="1916">
          <cell r="D1916" t="str">
            <v>7818-24538</v>
          </cell>
          <cell r="M1916" t="str">
            <v>9400 1112 0620 7740 0890 72</v>
          </cell>
        </row>
        <row r="1917">
          <cell r="D1917" t="str">
            <v>7818-03993</v>
          </cell>
          <cell r="M1917" t="str">
            <v>9402 1112 0620 7754 6964 79</v>
          </cell>
        </row>
        <row r="1918">
          <cell r="D1918" t="str">
            <v>7818-24662</v>
          </cell>
          <cell r="M1918" t="str">
            <v>9400 1112 0620 7741 8762 13</v>
          </cell>
        </row>
        <row r="1919">
          <cell r="D1919" t="str">
            <v>7818-29859</v>
          </cell>
          <cell r="M1919" t="str">
            <v>9402 1112 0620 7741 8484 47</v>
          </cell>
        </row>
        <row r="1920">
          <cell r="D1920" t="str">
            <v>7818-29766</v>
          </cell>
          <cell r="M1920" t="str">
            <v>9402 1112 0620 7777 4852 89</v>
          </cell>
        </row>
        <row r="1921">
          <cell r="D1921" t="str">
            <v>7818-22248</v>
          </cell>
          <cell r="M1921" t="str">
            <v>9402 1112 0620 7777 4678 34</v>
          </cell>
        </row>
        <row r="1922">
          <cell r="D1922" t="str">
            <v>7818-15316</v>
          </cell>
          <cell r="M1922" t="str">
            <v>9402 1112 0620 7777 4812 36</v>
          </cell>
        </row>
        <row r="1923">
          <cell r="D1923" t="str">
            <v>7818-29402</v>
          </cell>
          <cell r="M1923" t="str">
            <v>9402 1112 0620 7777 4005 34</v>
          </cell>
        </row>
        <row r="1924">
          <cell r="D1924" t="str">
            <v>7818-24941</v>
          </cell>
          <cell r="M1924" t="str">
            <v>9400 1112 0620 7719 5231 49</v>
          </cell>
        </row>
        <row r="1925">
          <cell r="D1925" t="str">
            <v>7818-21632</v>
          </cell>
          <cell r="M1925" t="str">
            <v>9402 1112 0620 7776 6923 98</v>
          </cell>
        </row>
        <row r="1926">
          <cell r="D1926" t="str">
            <v>7818-21698</v>
          </cell>
          <cell r="M1926" t="str">
            <v>9402 1112 0620 7776 6696 11</v>
          </cell>
        </row>
        <row r="1927">
          <cell r="D1927" t="str">
            <v>7818-23055</v>
          </cell>
          <cell r="M1927" t="str">
            <v>9400 1112 0620 7776 6871 12</v>
          </cell>
        </row>
        <row r="1928">
          <cell r="D1928" t="str">
            <v>7818-14955</v>
          </cell>
          <cell r="M1928" t="str">
            <v>9402 1112 0620 7776 6491 25</v>
          </cell>
        </row>
        <row r="1929">
          <cell r="D1929" t="str">
            <v>7818-26549</v>
          </cell>
          <cell r="M1929" t="str">
            <v>9402 1112 0620 7776 6471 83</v>
          </cell>
        </row>
        <row r="1930">
          <cell r="D1930" t="str">
            <v>7812-3938</v>
          </cell>
          <cell r="M1930" t="str">
            <v>9402 1112 0620 7776 6235 76</v>
          </cell>
        </row>
        <row r="1931">
          <cell r="D1931" t="str">
            <v>7824-00366</v>
          </cell>
          <cell r="M1931" t="str">
            <v>9400 1112 0620 7776 6079 74</v>
          </cell>
        </row>
        <row r="1932">
          <cell r="D1932" t="str">
            <v>7818-10969</v>
          </cell>
          <cell r="M1932" t="str">
            <v>9400 1112 0620 7731 3477 16</v>
          </cell>
        </row>
        <row r="1933">
          <cell r="D1933" t="str">
            <v>7812-03494</v>
          </cell>
          <cell r="M1933" t="str">
            <v>9400 1112 0620 7731 3753 82</v>
          </cell>
        </row>
        <row r="1934">
          <cell r="D1934" t="str">
            <v>7823-01242</v>
          </cell>
          <cell r="M1934" t="str">
            <v>9400 1112 0620 7290 2873 93</v>
          </cell>
        </row>
        <row r="1935">
          <cell r="D1935" t="str">
            <v>7818-29886</v>
          </cell>
          <cell r="M1935" t="str">
            <v>9400 1112 0620 7290 2594 51</v>
          </cell>
        </row>
        <row r="1936">
          <cell r="D1936" t="str">
            <v>7811-00239</v>
          </cell>
          <cell r="M1936" t="str">
            <v>9400 1112 0620 7209 3024 45</v>
          </cell>
        </row>
        <row r="1937">
          <cell r="D1937" t="str">
            <v>7811-00229</v>
          </cell>
          <cell r="M1937" t="str">
            <v>9402 1112 0620 7209 3532 09</v>
          </cell>
        </row>
        <row r="1938">
          <cell r="D1938" t="str">
            <v>7818-26096</v>
          </cell>
          <cell r="M1938" t="str">
            <v>9400 1112 0620 7207 7349 89</v>
          </cell>
        </row>
        <row r="1939">
          <cell r="D1939" t="str">
            <v>7815-00106</v>
          </cell>
          <cell r="M1939" t="str">
            <v>1Z5063E0YW42090909</v>
          </cell>
        </row>
        <row r="1940">
          <cell r="D1940" t="str">
            <v>7818-25080</v>
          </cell>
          <cell r="M1940" t="str">
            <v>1Z5063E0YW41625637</v>
          </cell>
        </row>
        <row r="1941">
          <cell r="D1941" t="str">
            <v>7818-26548</v>
          </cell>
          <cell r="M1941" t="str">
            <v>1Z5063E0YW42596186</v>
          </cell>
        </row>
        <row r="1942">
          <cell r="D1942" t="str">
            <v>7824-00407</v>
          </cell>
          <cell r="M1942" t="str">
            <v>1Z5063E0YW42121241</v>
          </cell>
        </row>
        <row r="1943">
          <cell r="D1943" t="str">
            <v>7818-07088</v>
          </cell>
          <cell r="M1943" t="str">
            <v>1Z5063E0YW41956093</v>
          </cell>
        </row>
        <row r="1944">
          <cell r="D1944" t="str">
            <v>7818-06096</v>
          </cell>
          <cell r="M1944" t="str">
            <v>1Z5063E0YW42609760</v>
          </cell>
        </row>
        <row r="1945">
          <cell r="D1945" t="str">
            <v>7818-27319</v>
          </cell>
          <cell r="M1945" t="str">
            <v>1Z5063E0YW42765529</v>
          </cell>
        </row>
        <row r="1946">
          <cell r="D1946" t="str">
            <v>7823-01535</v>
          </cell>
          <cell r="M1946" t="str">
            <v>1Z5063E0YT40972957</v>
          </cell>
        </row>
        <row r="1947">
          <cell r="D1947" t="str">
            <v>7818-29448</v>
          </cell>
          <cell r="M1947" t="str">
            <v>1Z5063E0YW40486290</v>
          </cell>
        </row>
        <row r="1948">
          <cell r="D1948" t="str">
            <v>7818-29411</v>
          </cell>
          <cell r="M1948" t="str">
            <v>1Z5063E0YW41442978</v>
          </cell>
        </row>
        <row r="1949">
          <cell r="D1949" t="str">
            <v>7818-24324</v>
          </cell>
          <cell r="M1949" t="str">
            <v>1Z5063E0YW41055342</v>
          </cell>
        </row>
        <row r="1950">
          <cell r="D1950" t="str">
            <v>7818-25120</v>
          </cell>
          <cell r="M1950" t="str">
            <v>1Z5063E0YW40189058</v>
          </cell>
        </row>
        <row r="1951">
          <cell r="D1951" t="str">
            <v>7824-00381</v>
          </cell>
          <cell r="M1951" t="str">
            <v>1Z5063E0YW41761909</v>
          </cell>
        </row>
        <row r="1952">
          <cell r="D1952" t="str">
            <v>7823-02685</v>
          </cell>
          <cell r="M1952" t="str">
            <v>1Z5063E0YW42976882</v>
          </cell>
        </row>
        <row r="1953">
          <cell r="D1953" t="str">
            <v>7824-00404</v>
          </cell>
          <cell r="M1953" t="str">
            <v>1Z5063E0YW42029753</v>
          </cell>
        </row>
        <row r="1954">
          <cell r="D1954" t="str">
            <v>7824-00408</v>
          </cell>
          <cell r="M1954" t="str">
            <v>1Z5063E0YW42407148</v>
          </cell>
        </row>
        <row r="1955">
          <cell r="D1955" t="str">
            <v>7818-18012</v>
          </cell>
          <cell r="M1955" t="str">
            <v>1Z5063E0YW41247966</v>
          </cell>
        </row>
        <row r="1956">
          <cell r="D1956" t="str">
            <v>7818-20776</v>
          </cell>
          <cell r="M1956" t="str">
            <v>1Z5063E0YW41065108</v>
          </cell>
        </row>
        <row r="1957">
          <cell r="D1957" t="str">
            <v>7818-01156</v>
          </cell>
          <cell r="M1957" t="str">
            <v>1Z5063E0YW40136104</v>
          </cell>
        </row>
        <row r="1958">
          <cell r="D1958" t="str">
            <v>7818-26171</v>
          </cell>
          <cell r="M1958" t="str">
            <v>1Z5063E0YW42290738</v>
          </cell>
        </row>
        <row r="1959">
          <cell r="D1959" t="str">
            <v>7810-01412</v>
          </cell>
          <cell r="M1959" t="str">
            <v>1Z5063E0YW40841351</v>
          </cell>
        </row>
        <row r="1960">
          <cell r="D1960" t="str">
            <v>7818-26655</v>
          </cell>
          <cell r="M1960" t="str">
            <v>1Z5063E0YW41467700</v>
          </cell>
        </row>
        <row r="1961">
          <cell r="D1961" t="str">
            <v>7818-21334</v>
          </cell>
          <cell r="M1961" t="str">
            <v>1Z5063E0YW42549512</v>
          </cell>
        </row>
        <row r="1962">
          <cell r="D1962" t="str">
            <v>7818-21217</v>
          </cell>
          <cell r="M1962" t="str">
            <v>1Z5063E0YW42025935</v>
          </cell>
        </row>
        <row r="1963">
          <cell r="D1963" t="str">
            <v>7810-01895</v>
          </cell>
          <cell r="M1963" t="str">
            <v>1Z5063E0YW42627722</v>
          </cell>
        </row>
        <row r="1964">
          <cell r="D1964" t="str">
            <v>7818-21251</v>
          </cell>
          <cell r="M1964" t="str">
            <v>1Z5063E0YW40006343</v>
          </cell>
        </row>
        <row r="1965">
          <cell r="D1965" t="str">
            <v>7811-00225</v>
          </cell>
          <cell r="M1965" t="str">
            <v>1Z5063E0YW41769929</v>
          </cell>
        </row>
        <row r="1966">
          <cell r="D1966" t="str">
            <v>7812-3855</v>
          </cell>
          <cell r="M1966" t="str">
            <v>1Z5063E0YW40920668</v>
          </cell>
        </row>
        <row r="1967">
          <cell r="D1967" t="str">
            <v>7818-04213</v>
          </cell>
          <cell r="M1967" t="str">
            <v>1Z5063E0YW42116720</v>
          </cell>
        </row>
        <row r="1968">
          <cell r="D1968" t="str">
            <v>7818-26190</v>
          </cell>
          <cell r="M1968" t="str">
            <v>1Z5063E0YW41229673</v>
          </cell>
        </row>
        <row r="1969">
          <cell r="D1969" t="str">
            <v>7818-19959</v>
          </cell>
          <cell r="M1969" t="str">
            <v>1Z5063E0YW42527867</v>
          </cell>
        </row>
        <row r="1970">
          <cell r="D1970" t="str">
            <v>7818-03118</v>
          </cell>
          <cell r="M1970" t="str">
            <v>1Z5063E0YW42087717</v>
          </cell>
        </row>
        <row r="1971">
          <cell r="D1971" t="str">
            <v>7810-01820</v>
          </cell>
          <cell r="M1971" t="str">
            <v>1Z5063E0YW40772131</v>
          </cell>
        </row>
        <row r="1972">
          <cell r="D1972" t="str">
            <v>7810-01577</v>
          </cell>
          <cell r="M1972" t="str">
            <v>1Z5063E0YW40636547</v>
          </cell>
        </row>
        <row r="1973">
          <cell r="D1973" t="str">
            <v>7810-01850</v>
          </cell>
          <cell r="M1973" t="str">
            <v>1Z5063E0YW41187478</v>
          </cell>
        </row>
        <row r="1974">
          <cell r="D1974" t="str">
            <v>7818-29422</v>
          </cell>
          <cell r="M1974" t="str">
            <v>9402 1112 0620 7209 4902 56</v>
          </cell>
        </row>
        <row r="1975">
          <cell r="D1975" t="str">
            <v>7818-25751</v>
          </cell>
          <cell r="M1975" t="str">
            <v>1Z5063E0YW40198477</v>
          </cell>
        </row>
        <row r="1976">
          <cell r="D1976" t="str">
            <v>7818-26978</v>
          </cell>
          <cell r="M1976" t="str">
            <v>1Z5063E0YW40876529</v>
          </cell>
        </row>
        <row r="1977">
          <cell r="D1977" t="str">
            <v>7818-28335</v>
          </cell>
          <cell r="M1977" t="str">
            <v>1Z5063E0YW40367150</v>
          </cell>
        </row>
        <row r="1978">
          <cell r="D1978" t="str">
            <v>7810-01851</v>
          </cell>
          <cell r="M1978" t="str">
            <v>1Z5063E0YW41746748</v>
          </cell>
        </row>
        <row r="1979">
          <cell r="D1979" t="str">
            <v>7810-00010</v>
          </cell>
          <cell r="M1979" t="str">
            <v>1Z5063E0YW40330680</v>
          </cell>
        </row>
        <row r="1980">
          <cell r="D1980" t="str">
            <v>7818-29862</v>
          </cell>
          <cell r="M1980" t="str">
            <v>1Z5063E0YW41738702</v>
          </cell>
        </row>
        <row r="1981">
          <cell r="D1981" t="str">
            <v>7810-01894</v>
          </cell>
          <cell r="M1981" t="str">
            <v>1Z5063E0YW42040516</v>
          </cell>
        </row>
        <row r="1982">
          <cell r="D1982" t="str">
            <v>7810-01900</v>
          </cell>
          <cell r="M1982" t="str">
            <v>1Z5063E0YW41566166</v>
          </cell>
        </row>
        <row r="1983">
          <cell r="D1983" t="str">
            <v>7812-3863</v>
          </cell>
          <cell r="M1983" t="str">
            <v>1Z5063E0YW42982839</v>
          </cell>
        </row>
        <row r="1984">
          <cell r="D1984" t="str">
            <v>7811-00232</v>
          </cell>
          <cell r="M1984" t="str">
            <v>9402 1112 0620 7209 3680 98</v>
          </cell>
        </row>
        <row r="1985">
          <cell r="D1985" t="str">
            <v>7824-00365</v>
          </cell>
          <cell r="M1985" t="str">
            <v>1Z5063E0YW42536017</v>
          </cell>
        </row>
        <row r="1986">
          <cell r="D1986" t="str">
            <v>7818-24521</v>
          </cell>
          <cell r="M1986" t="str">
            <v>1Z5063E0YW42584466</v>
          </cell>
        </row>
        <row r="1987">
          <cell r="D1987" t="str">
            <v>7818-15603</v>
          </cell>
          <cell r="M1987" t="str">
            <v>1Z5063E0YW42627188</v>
          </cell>
        </row>
        <row r="1988">
          <cell r="D1988" t="str">
            <v>7810-01885</v>
          </cell>
          <cell r="M1988" t="str">
            <v>1Z5063E0YW41987541</v>
          </cell>
        </row>
        <row r="1989">
          <cell r="D1989" t="str">
            <v>7818-24294</v>
          </cell>
          <cell r="M1989" t="str">
            <v>1Z5063E0YW42207104</v>
          </cell>
        </row>
        <row r="1990">
          <cell r="D1990" t="str">
            <v>7818-26072</v>
          </cell>
          <cell r="M1990" t="str">
            <v>1Z5063E0YW42624207</v>
          </cell>
        </row>
        <row r="1991">
          <cell r="D1991" t="str">
            <v>7818-21578</v>
          </cell>
          <cell r="M1991" t="str">
            <v>1Z5063E0YW41882592</v>
          </cell>
        </row>
        <row r="1992">
          <cell r="D1992" t="str">
            <v>7818-29758</v>
          </cell>
          <cell r="M1992" t="str">
            <v>1Z5063E0YW41362877</v>
          </cell>
        </row>
        <row r="1993">
          <cell r="D1993" t="str">
            <v>7811-00226</v>
          </cell>
          <cell r="M1993" t="str">
            <v>9400 1112 0620 7283 6638 45</v>
          </cell>
        </row>
        <row r="1994">
          <cell r="D1994" t="str">
            <v>7818-27303</v>
          </cell>
          <cell r="M1994" t="str">
            <v>1Z5063E0YW41774780</v>
          </cell>
        </row>
        <row r="1995">
          <cell r="D1995" t="str">
            <v>7818-14956</v>
          </cell>
          <cell r="M1995" t="str">
            <v>1Z5063E0YW41075802</v>
          </cell>
        </row>
        <row r="1996">
          <cell r="D1996" t="str">
            <v>7818-29767</v>
          </cell>
          <cell r="M1996" t="str">
            <v>1Z5063E0YW41242569</v>
          </cell>
        </row>
        <row r="1997">
          <cell r="D1997" t="str">
            <v>7818-26038</v>
          </cell>
          <cell r="M1997" t="str">
            <v>1Z5063E0YW40453977</v>
          </cell>
        </row>
        <row r="1998">
          <cell r="D1998" t="str">
            <v>7810-01897</v>
          </cell>
          <cell r="M1998" t="str">
            <v>1Z5063E0YW41538151</v>
          </cell>
        </row>
        <row r="1999">
          <cell r="D1999" t="str">
            <v>7818-25908</v>
          </cell>
          <cell r="M1999" t="str">
            <v>1Z5063E0YW41680925</v>
          </cell>
        </row>
        <row r="2000">
          <cell r="D2000" t="str">
            <v>7818-08752</v>
          </cell>
          <cell r="M2000" t="str">
            <v>1Z5063E0YW41638963</v>
          </cell>
        </row>
        <row r="2001">
          <cell r="D2001" t="str">
            <v>7823-03026</v>
          </cell>
          <cell r="M2001" t="str">
            <v>1Z5063E0YW41747498</v>
          </cell>
        </row>
        <row r="2002">
          <cell r="D2002" t="str">
            <v>7818-26141</v>
          </cell>
          <cell r="M2002" t="str">
            <v>1Z5063E0YW41334086</v>
          </cell>
        </row>
        <row r="2003">
          <cell r="D2003" t="str">
            <v>7818-24452</v>
          </cell>
          <cell r="M2003" t="str">
            <v>1Z5063E0YW40009573</v>
          </cell>
        </row>
        <row r="2004">
          <cell r="D2004" t="str">
            <v>7812-03118</v>
          </cell>
          <cell r="M2004" t="str">
            <v>1Z5063E0YW41596919</v>
          </cell>
        </row>
        <row r="2005">
          <cell r="D2005" t="str">
            <v>7818-05508</v>
          </cell>
          <cell r="M2005" t="str">
            <v>1Z5063E0YW42062190</v>
          </cell>
        </row>
        <row r="2006">
          <cell r="D2006" t="str">
            <v>7829-00043</v>
          </cell>
          <cell r="M2006" t="str">
            <v>1Z5063E0YW42209479</v>
          </cell>
        </row>
        <row r="2007">
          <cell r="D2007" t="str">
            <v>7823-02610</v>
          </cell>
          <cell r="M2007" t="str">
            <v>1Z5063E0YW40909869</v>
          </cell>
        </row>
        <row r="2008">
          <cell r="D2008" t="str">
            <v>7824-00405</v>
          </cell>
          <cell r="M2008" t="str">
            <v>1Z5063E0YW40189405</v>
          </cell>
        </row>
        <row r="2009">
          <cell r="D2009" t="str">
            <v>7824-00369</v>
          </cell>
          <cell r="M2009" t="str">
            <v>1Z5063E0YW42532306</v>
          </cell>
        </row>
        <row r="2010">
          <cell r="D2010" t="str">
            <v>7824-00382</v>
          </cell>
          <cell r="M2010" t="str">
            <v>1Z5063E0YW41829373</v>
          </cell>
        </row>
        <row r="2011">
          <cell r="D2011" t="str">
            <v>7815-00038</v>
          </cell>
          <cell r="M2011" t="str">
            <v>1Z5063E0YW40908342</v>
          </cell>
        </row>
        <row r="2012">
          <cell r="D2012" t="str">
            <v>7818-24288</v>
          </cell>
          <cell r="M2012" t="str">
            <v>1Z5063E0YW41586117</v>
          </cell>
        </row>
        <row r="2013">
          <cell r="D2013" t="str">
            <v>7818-25356</v>
          </cell>
          <cell r="M2013" t="str">
            <v>1Z5063E0YW40248743</v>
          </cell>
        </row>
        <row r="2014">
          <cell r="D2014" t="str">
            <v>7810-01854</v>
          </cell>
          <cell r="M2014" t="str">
            <v>1Z5063E0YW41565210</v>
          </cell>
        </row>
        <row r="2015">
          <cell r="D2015" t="str">
            <v>7824-00387</v>
          </cell>
          <cell r="M2015" t="str">
            <v>1Z5063E0YW42288698</v>
          </cell>
        </row>
        <row r="2016">
          <cell r="D2016" t="str">
            <v>7818-25979</v>
          </cell>
          <cell r="M2016" t="str">
            <v>1Z5063E0YW41514953</v>
          </cell>
        </row>
        <row r="2017">
          <cell r="D2017" t="str">
            <v>7818-15225</v>
          </cell>
          <cell r="M2017" t="str">
            <v>1Z5063E0YW40603439</v>
          </cell>
        </row>
        <row r="2018">
          <cell r="D2018" t="str">
            <v>7818-08728</v>
          </cell>
          <cell r="M2018" t="str">
            <v>1Z5063E0YW40155227</v>
          </cell>
        </row>
        <row r="2019">
          <cell r="D2019" t="str">
            <v>7818-07647</v>
          </cell>
          <cell r="M2019" t="str">
            <v>1Z5063E0YW41371287</v>
          </cell>
        </row>
        <row r="2020">
          <cell r="D2020" t="str">
            <v>7818-29569</v>
          </cell>
          <cell r="M2020" t="str">
            <v>9402 1112 0620 7259 3334 04</v>
          </cell>
        </row>
        <row r="2021">
          <cell r="D2021" t="str">
            <v>7818-25197</v>
          </cell>
          <cell r="M2021" t="str">
            <v>1Z5063E0YW40649720</v>
          </cell>
        </row>
        <row r="2022">
          <cell r="D2022" t="str">
            <v>7818-18910</v>
          </cell>
          <cell r="M2022" t="str">
            <v>1Z5063E0YW40060338</v>
          </cell>
        </row>
        <row r="2023">
          <cell r="D2023" t="str">
            <v>7818-26170</v>
          </cell>
          <cell r="M2023" t="str">
            <v>1Z5063E0YW41103905</v>
          </cell>
        </row>
        <row r="2024">
          <cell r="D2024" t="str">
            <v>7823-02312</v>
          </cell>
          <cell r="M2024" t="str">
            <v>1Z5063E0YW41814129</v>
          </cell>
        </row>
        <row r="2025">
          <cell r="D2025" t="str">
            <v>7818-10398</v>
          </cell>
          <cell r="M2025" t="str">
            <v>1Z5063E0YW42869711</v>
          </cell>
        </row>
        <row r="2026">
          <cell r="D2026" t="str">
            <v>7810-01541</v>
          </cell>
          <cell r="M2026" t="str">
            <v>1Z5063E0YW40188291</v>
          </cell>
        </row>
        <row r="2027">
          <cell r="D2027" t="str">
            <v>7818-28327</v>
          </cell>
          <cell r="M2027" t="str">
            <v>1Z5063E0YW41591763</v>
          </cell>
        </row>
        <row r="2028">
          <cell r="D2028" t="str">
            <v>7812-00397</v>
          </cell>
          <cell r="M2028" t="str">
            <v>1Z5063E0YW40863793</v>
          </cell>
        </row>
        <row r="2029">
          <cell r="D2029" t="str">
            <v>7818-24284</v>
          </cell>
          <cell r="M2029" t="str">
            <v>1Z5063E0YW41313778</v>
          </cell>
        </row>
        <row r="2030">
          <cell r="D2030" t="str">
            <v>7818-23361</v>
          </cell>
          <cell r="M2030" t="str">
            <v>1Z5063E0YW42582762</v>
          </cell>
        </row>
        <row r="2031">
          <cell r="D2031" t="str">
            <v>7818-24457</v>
          </cell>
          <cell r="M2031" t="str">
            <v>9402 1112 0620 7283 6006 88</v>
          </cell>
        </row>
        <row r="2032">
          <cell r="D2032" t="str">
            <v>7818-14948</v>
          </cell>
          <cell r="M2032" t="str">
            <v>9400 1112 0620 7253 5026 86</v>
          </cell>
        </row>
        <row r="2033">
          <cell r="D2033" t="str">
            <v>7811-00075</v>
          </cell>
          <cell r="M2033" t="str">
            <v>1Z5063E0YW41703132</v>
          </cell>
        </row>
        <row r="2034">
          <cell r="D2034" t="str">
            <v>7133-00073</v>
          </cell>
          <cell r="M2034" t="str">
            <v>1Z5063E0YW40285953</v>
          </cell>
        </row>
        <row r="2035">
          <cell r="D2035" t="str">
            <v>7818-20411</v>
          </cell>
          <cell r="M2035" t="str">
            <v>1Z5063E0YW41209524</v>
          </cell>
        </row>
        <row r="2036">
          <cell r="D2036" t="str">
            <v>7812-03396</v>
          </cell>
          <cell r="M2036" t="str">
            <v>1Z5063E0YW40513518</v>
          </cell>
        </row>
        <row r="2037">
          <cell r="D2037" t="str">
            <v>7818-11023</v>
          </cell>
          <cell r="M2037" t="str">
            <v>1Z5063E0YW42089859</v>
          </cell>
        </row>
        <row r="2038">
          <cell r="D2038" t="str">
            <v>7818-29810</v>
          </cell>
          <cell r="M2038" t="str">
            <v>1Z5063E0YW42277119</v>
          </cell>
        </row>
        <row r="2039">
          <cell r="D2039" t="str">
            <v>7818-04472</v>
          </cell>
          <cell r="M2039" t="str">
            <v>1Z5063E0YW42890296</v>
          </cell>
        </row>
        <row r="2040">
          <cell r="D2040" t="str">
            <v>7818-27186</v>
          </cell>
          <cell r="M2040" t="str">
            <v>1Z5063E0YW40084661</v>
          </cell>
        </row>
        <row r="2041">
          <cell r="D2041" t="str">
            <v>7812-02081</v>
          </cell>
          <cell r="M2041" t="str">
            <v>1Z5063E0YW40873675</v>
          </cell>
        </row>
        <row r="2042">
          <cell r="D2042" t="str">
            <v>7818-21857</v>
          </cell>
          <cell r="M2042" t="str">
            <v>1Z5063E0YW41306839</v>
          </cell>
        </row>
        <row r="2043">
          <cell r="D2043" t="str">
            <v>7818-12697</v>
          </cell>
          <cell r="M2043" t="str">
            <v>1Z5063E0YW42125247</v>
          </cell>
        </row>
        <row r="2044">
          <cell r="D2044" t="str">
            <v>7818-25205</v>
          </cell>
          <cell r="M2044" t="str">
            <v>1Z5063E0YW40372617</v>
          </cell>
        </row>
        <row r="2045">
          <cell r="D2045" t="str">
            <v>7823-02775</v>
          </cell>
          <cell r="M2045" t="str">
            <v>1Z5063E0YW42689184</v>
          </cell>
        </row>
        <row r="2046">
          <cell r="D2046" t="str">
            <v>7818-27307</v>
          </cell>
          <cell r="M2046" t="str">
            <v>1Z5063E0YW40700888</v>
          </cell>
        </row>
        <row r="2047">
          <cell r="D2047" t="str">
            <v>7812-03117</v>
          </cell>
          <cell r="M2047" t="str">
            <v>1Z5063E0YW40445904</v>
          </cell>
        </row>
        <row r="2048">
          <cell r="D2048" t="str">
            <v>7818-29907</v>
          </cell>
          <cell r="M2048" t="str">
            <v>1Z5063E0YW42078254</v>
          </cell>
        </row>
        <row r="2049">
          <cell r="D2049" t="str">
            <v>7818-26656</v>
          </cell>
          <cell r="M2049" t="str">
            <v>1Z5063E0YT40940946</v>
          </cell>
        </row>
        <row r="2050">
          <cell r="D2050" t="str">
            <v>7812-3941</v>
          </cell>
          <cell r="M2050" t="str">
            <v>1Z5063E0YW41738328</v>
          </cell>
        </row>
        <row r="2051">
          <cell r="D2051" t="str">
            <v>7818-21654</v>
          </cell>
          <cell r="M2051" t="str">
            <v>1Z5063E0YW40451371</v>
          </cell>
        </row>
        <row r="2052">
          <cell r="D2052" t="str">
            <v>7810-01800</v>
          </cell>
          <cell r="M2052" t="str">
            <v>1Z5063E0YW42279555</v>
          </cell>
        </row>
        <row r="2053">
          <cell r="D2053" t="str">
            <v>7818-10400</v>
          </cell>
          <cell r="M2053" t="str">
            <v>1Z5063E0YW40030629</v>
          </cell>
        </row>
        <row r="2054">
          <cell r="D2054" t="str">
            <v>7810-01877</v>
          </cell>
          <cell r="M2054" t="str">
            <v>1Z5063E0YW42999232</v>
          </cell>
        </row>
        <row r="2055">
          <cell r="D2055" t="str">
            <v>7818-18882</v>
          </cell>
          <cell r="M2055" t="str">
            <v>1Z5063E0YW41585645</v>
          </cell>
        </row>
        <row r="2056">
          <cell r="D2056" t="str">
            <v>7824-00433</v>
          </cell>
          <cell r="M2056" t="str">
            <v>1Z5063E0YW41561063</v>
          </cell>
        </row>
        <row r="2057">
          <cell r="D2057" t="str">
            <v>7824-00432</v>
          </cell>
          <cell r="M2057" t="str">
            <v>1Z5063E0YW40608505</v>
          </cell>
        </row>
        <row r="2058">
          <cell r="D2058" t="str">
            <v>7810-01815</v>
          </cell>
          <cell r="M2058" t="str">
            <v>1Z5063E0YW42828532</v>
          </cell>
        </row>
        <row r="2059">
          <cell r="D2059" t="str">
            <v>7818-19724</v>
          </cell>
          <cell r="M2059" t="str">
            <v>1Z5063E0YW42146313</v>
          </cell>
        </row>
        <row r="2060">
          <cell r="D2060" t="str">
            <v>7818-24187</v>
          </cell>
          <cell r="M2060" t="str">
            <v>1Z5063E0YW40328362</v>
          </cell>
        </row>
        <row r="2061">
          <cell r="D2061" t="str">
            <v>7824-00353</v>
          </cell>
          <cell r="M2061" t="str">
            <v>1Z5063E0YW41491102</v>
          </cell>
        </row>
        <row r="2062">
          <cell r="D2062" t="str">
            <v>7824-00424</v>
          </cell>
          <cell r="M2062" t="str">
            <v>1Z5063E0YW40760911</v>
          </cell>
        </row>
        <row r="2063">
          <cell r="D2063" t="str">
            <v>7812-3786</v>
          </cell>
          <cell r="M2063" t="str">
            <v>1Z5063E0YW42320526</v>
          </cell>
        </row>
        <row r="2064">
          <cell r="D2064" t="str">
            <v>7818-17694</v>
          </cell>
          <cell r="M2064" t="str">
            <v>1Z5063E0YW41211093</v>
          </cell>
        </row>
        <row r="2065">
          <cell r="D2065" t="str">
            <v>7818-28399</v>
          </cell>
          <cell r="M2065" t="str">
            <v>1Z5063E0YW40004514</v>
          </cell>
        </row>
        <row r="2066">
          <cell r="D2066" t="str">
            <v>7818-27135</v>
          </cell>
          <cell r="M2066" t="str">
            <v>1Z5063E0YW41751492</v>
          </cell>
        </row>
        <row r="2067">
          <cell r="D2067" t="str">
            <v>7818-23717</v>
          </cell>
          <cell r="M2067" t="str">
            <v>1Z5063E0YW42284674</v>
          </cell>
        </row>
        <row r="2068">
          <cell r="D2068" t="str">
            <v>7818-27321</v>
          </cell>
          <cell r="M2068" t="str">
            <v>1Z5063E0YW40131887</v>
          </cell>
        </row>
        <row r="2069">
          <cell r="D2069" t="str">
            <v>7818-25399</v>
          </cell>
          <cell r="M2069" t="str">
            <v>9400 1112 0620 7270 3026 72</v>
          </cell>
        </row>
        <row r="2070">
          <cell r="D2070" t="str">
            <v>7818-16825</v>
          </cell>
          <cell r="M2070" t="str">
            <v>1Z5063E0YW41324926</v>
          </cell>
        </row>
        <row r="2071">
          <cell r="D2071" t="str">
            <v>7823-01573</v>
          </cell>
          <cell r="M2071" t="str">
            <v>1Z5063E0YW42658083</v>
          </cell>
        </row>
        <row r="2072">
          <cell r="D2072" t="str">
            <v>7810-01229</v>
          </cell>
          <cell r="M2072" t="str">
            <v>1Z5063E0YW42822707</v>
          </cell>
        </row>
        <row r="2073">
          <cell r="D2073" t="str">
            <v>7823-01646</v>
          </cell>
          <cell r="M2073" t="str">
            <v>1Z5063E0YW41317194</v>
          </cell>
        </row>
        <row r="2074">
          <cell r="D2074" t="str">
            <v>7812-03348</v>
          </cell>
          <cell r="M2074" t="str">
            <v>1Z5063E0YW42250558</v>
          </cell>
        </row>
        <row r="2075">
          <cell r="D2075" t="str">
            <v>7818-29908</v>
          </cell>
          <cell r="M2075" t="str">
            <v>1Z5063E0YW42030429</v>
          </cell>
        </row>
        <row r="2076">
          <cell r="D2076" t="str">
            <v>7818-24285</v>
          </cell>
          <cell r="M2076" t="str">
            <v>1Z5063E0YW42430809</v>
          </cell>
        </row>
        <row r="2077">
          <cell r="D2077" t="str">
            <v>7812-3623</v>
          </cell>
          <cell r="M2077" t="str">
            <v>1Z5063E0YW42519367</v>
          </cell>
        </row>
        <row r="2078">
          <cell r="D2078" t="str">
            <v>7812-3768</v>
          </cell>
          <cell r="M2078" t="str">
            <v>1Z5063E0YW41262378</v>
          </cell>
        </row>
        <row r="2079">
          <cell r="D2079" t="str">
            <v>7818-25136</v>
          </cell>
          <cell r="M2079" t="str">
            <v>1Z5063E0YW41754613</v>
          </cell>
        </row>
        <row r="2080">
          <cell r="D2080" t="str">
            <v>7818-24668</v>
          </cell>
          <cell r="M2080" t="str">
            <v>1Z5063E0YW41323589</v>
          </cell>
        </row>
        <row r="2081">
          <cell r="D2081" t="str">
            <v>7818-23250</v>
          </cell>
          <cell r="M2081" t="str">
            <v>1Z5063E0YW41137594</v>
          </cell>
        </row>
        <row r="2082">
          <cell r="D2082" t="str">
            <v>7818-23522</v>
          </cell>
          <cell r="M2082" t="str">
            <v>9400 1112 0620 7211 8120 86</v>
          </cell>
        </row>
        <row r="2083">
          <cell r="D2083" t="str">
            <v>7818-26188</v>
          </cell>
          <cell r="M2083" t="str">
            <v>9402 1112 0620 7210 0685 12</v>
          </cell>
        </row>
        <row r="2084">
          <cell r="D2084" t="str">
            <v>7812-3637</v>
          </cell>
          <cell r="M2084" t="str">
            <v>1Z5063E0YW42991016</v>
          </cell>
        </row>
        <row r="2085">
          <cell r="D2085" t="str">
            <v>7818-26573</v>
          </cell>
          <cell r="M2085" t="str">
            <v>9400 1112 0620 7226 4854 42</v>
          </cell>
        </row>
        <row r="2086">
          <cell r="D2086" t="str">
            <v>7818-29421</v>
          </cell>
          <cell r="M2086" t="str">
            <v>9400 1112 0620 7226 6997 57</v>
          </cell>
        </row>
        <row r="2087">
          <cell r="D2087" t="str">
            <v>7818-20273</v>
          </cell>
          <cell r="M2087" t="str">
            <v>9400 1112 0620 7226 6345 74</v>
          </cell>
        </row>
        <row r="2088">
          <cell r="D2088" t="str">
            <v>7812-02665</v>
          </cell>
          <cell r="M2088" t="str">
            <v>1Z5063E0YW41250201</v>
          </cell>
        </row>
        <row r="2089">
          <cell r="D2089" t="str">
            <v>7818-12664</v>
          </cell>
          <cell r="M2089" t="str">
            <v>1Z5063E0YW42275479</v>
          </cell>
        </row>
        <row r="2090">
          <cell r="D2090" t="str">
            <v>7818-29803</v>
          </cell>
          <cell r="M2090" t="str">
            <v>1Z5063E0YW40221502</v>
          </cell>
        </row>
        <row r="2091">
          <cell r="D2091" t="str">
            <v>7818-17199</v>
          </cell>
          <cell r="M2091" t="str">
            <v>1Z5063E0YW41852427</v>
          </cell>
        </row>
        <row r="2092">
          <cell r="D2092" t="str">
            <v>7818-25286</v>
          </cell>
          <cell r="M2092" t="str">
            <v>1Z5063E0YW41589392</v>
          </cell>
        </row>
        <row r="2093">
          <cell r="D2093" t="str">
            <v>7818-18746</v>
          </cell>
          <cell r="M2093" t="str">
            <v>1Z5063E0YW42207739</v>
          </cell>
        </row>
        <row r="2094">
          <cell r="D2094" t="str">
            <v>7812-3586</v>
          </cell>
          <cell r="M2094" t="str">
            <v>1Z5063E0YW40313270</v>
          </cell>
        </row>
        <row r="2095">
          <cell r="D2095" t="str">
            <v>7812-3636</v>
          </cell>
          <cell r="M2095" t="str">
            <v>1Z5063E0YW41137030</v>
          </cell>
        </row>
        <row r="2096">
          <cell r="D2096" t="str">
            <v>7818-25994</v>
          </cell>
          <cell r="M2096" t="str">
            <v>1Z5063E0YW41714817</v>
          </cell>
        </row>
        <row r="2097">
          <cell r="D2097" t="str">
            <v>7818-29421</v>
          </cell>
          <cell r="M2097" t="str">
            <v>9402 1112 0620 7239 7735 72</v>
          </cell>
        </row>
        <row r="2098">
          <cell r="D2098" t="str">
            <v>7818-22981</v>
          </cell>
          <cell r="M2098" t="str">
            <v>1Z5063E0YW42612489</v>
          </cell>
        </row>
        <row r="2099">
          <cell r="D2099" t="str">
            <v>7812-03312</v>
          </cell>
          <cell r="M2099" t="str">
            <v>1Z5063E0YW42419313</v>
          </cell>
        </row>
        <row r="2100">
          <cell r="D2100" t="str">
            <v>7818-00057</v>
          </cell>
          <cell r="M2100" t="str">
            <v>1Z5063E0YW40899657</v>
          </cell>
        </row>
        <row r="2101">
          <cell r="D2101" t="str">
            <v>7810-00090</v>
          </cell>
          <cell r="M2101" t="str">
            <v>1Z5063E0YW41004638</v>
          </cell>
        </row>
        <row r="2102">
          <cell r="D2102" t="str">
            <v>7818-14957</v>
          </cell>
          <cell r="M2102" t="str">
            <v>1Z5063E0YW42653524</v>
          </cell>
        </row>
        <row r="2103">
          <cell r="D2103" t="str">
            <v>7818-26958</v>
          </cell>
          <cell r="M2103" t="str">
            <v>1Z5063E0YW41019042</v>
          </cell>
        </row>
        <row r="2104">
          <cell r="D2104" t="str">
            <v>7818-17268</v>
          </cell>
          <cell r="M2104" t="str">
            <v>1Z5063E0YW40578682</v>
          </cell>
        </row>
        <row r="2105">
          <cell r="D2105" t="str">
            <v>7818-29439</v>
          </cell>
          <cell r="M2105" t="str">
            <v>1Z5063E0YW41477511</v>
          </cell>
        </row>
        <row r="2106">
          <cell r="D2106" t="str">
            <v>7812-03060</v>
          </cell>
          <cell r="M2106" t="str">
            <v>1Z5063E0YW40635708</v>
          </cell>
        </row>
        <row r="2107">
          <cell r="D2107" t="str">
            <v>7812-3640</v>
          </cell>
          <cell r="M2107" t="str">
            <v>1Z5063E0YW42907009</v>
          </cell>
        </row>
        <row r="2108">
          <cell r="D2108" t="str">
            <v>7812-3634</v>
          </cell>
          <cell r="M2108" t="str">
            <v>1Z5063E0YW41039879</v>
          </cell>
        </row>
        <row r="2109">
          <cell r="D2109" t="str">
            <v>7812-3796</v>
          </cell>
          <cell r="M2109" t="str">
            <v>1Z5063E0YW41704104</v>
          </cell>
        </row>
        <row r="2110">
          <cell r="D2110" t="str">
            <v>7812-3641</v>
          </cell>
          <cell r="M2110" t="str">
            <v>1Z5063E0YW40976822</v>
          </cell>
        </row>
        <row r="2111">
          <cell r="D2111" t="str">
            <v>7818-16749</v>
          </cell>
          <cell r="M2111" t="str">
            <v>1Z5063E0YW42928059</v>
          </cell>
        </row>
        <row r="2112">
          <cell r="D2112" t="str">
            <v>7818-28419</v>
          </cell>
          <cell r="M2112" t="str">
            <v>1Z5063E0YW40735154</v>
          </cell>
        </row>
        <row r="2113">
          <cell r="D2113" t="str">
            <v>7818-29573</v>
          </cell>
          <cell r="M2113" t="str">
            <v>1Z5063E0YW42564095</v>
          </cell>
        </row>
        <row r="2114">
          <cell r="D2114" t="str">
            <v>7818-29422</v>
          </cell>
          <cell r="M2114" t="str">
            <v>1Z5063E0YW40118795</v>
          </cell>
        </row>
        <row r="2115">
          <cell r="D2115" t="str">
            <v>7818-29898</v>
          </cell>
          <cell r="M2115" t="str">
            <v>1Z5063E0YW42530979</v>
          </cell>
        </row>
        <row r="2116">
          <cell r="D2116" t="str">
            <v>7818-24936</v>
          </cell>
          <cell r="M2116" t="str">
            <v>1Z5063E0YW42151085</v>
          </cell>
        </row>
        <row r="2117">
          <cell r="D2117" t="str">
            <v>7812-3628</v>
          </cell>
          <cell r="M2117" t="str">
            <v>1Z5063E0YW41375961</v>
          </cell>
        </row>
        <row r="2118">
          <cell r="D2118" t="str">
            <v>7812-01001</v>
          </cell>
          <cell r="M2118" t="str">
            <v>1Z5063E0YW42504499</v>
          </cell>
        </row>
        <row r="2119">
          <cell r="D2119" t="str">
            <v>7818-21565</v>
          </cell>
          <cell r="M2119" t="str">
            <v>1Z5063E0YW42444545</v>
          </cell>
        </row>
        <row r="2120">
          <cell r="D2120" t="str">
            <v>7818-29863</v>
          </cell>
          <cell r="M2120" t="str">
            <v>1Z5063E0YW41246869</v>
          </cell>
        </row>
        <row r="2121">
          <cell r="D2121" t="str">
            <v>7812-01272</v>
          </cell>
          <cell r="M2121" t="str">
            <v>1Z5063E0YW41633913</v>
          </cell>
        </row>
        <row r="2122">
          <cell r="D2122" t="str">
            <v>7818-07391</v>
          </cell>
          <cell r="M2122" t="str">
            <v>1Z5063E0YW41930468</v>
          </cell>
        </row>
        <row r="2123">
          <cell r="D2123" t="str">
            <v>7818-08575</v>
          </cell>
          <cell r="M2123" t="str">
            <v>1Z5063E0YW41505454</v>
          </cell>
        </row>
        <row r="2124">
          <cell r="D2124" t="str">
            <v>7818-29576</v>
          </cell>
          <cell r="M2124" t="str">
            <v>1Z5063E0YW41057920</v>
          </cell>
        </row>
        <row r="2125">
          <cell r="D2125" t="str">
            <v>7818-17382</v>
          </cell>
          <cell r="M2125" t="str">
            <v>1Z5063E0YW42039591</v>
          </cell>
        </row>
        <row r="2126">
          <cell r="D2126" t="str">
            <v>7818-20644</v>
          </cell>
          <cell r="M2126" t="str">
            <v>1Z5063E0YW42844185</v>
          </cell>
        </row>
        <row r="2127">
          <cell r="D2127" t="str">
            <v>7812-3772</v>
          </cell>
          <cell r="M2127" t="str">
            <v>1Z5063E0YW42220134</v>
          </cell>
        </row>
        <row r="2128">
          <cell r="D2128" t="str">
            <v>7812-3857</v>
          </cell>
          <cell r="M2128" t="str">
            <v>1Z5063E0YW41521203</v>
          </cell>
        </row>
        <row r="2129">
          <cell r="D2129" t="str">
            <v>7812-3752</v>
          </cell>
          <cell r="M2129" t="str">
            <v>1Z5063E0YW42370044</v>
          </cell>
        </row>
        <row r="2130">
          <cell r="D2130" t="str">
            <v>7812-3632</v>
          </cell>
          <cell r="M2130" t="str">
            <v>1Z5063E0YW40804936</v>
          </cell>
        </row>
        <row r="2131">
          <cell r="D2131" t="str">
            <v>7818-23360</v>
          </cell>
          <cell r="M2131" t="str">
            <v>9402 1112 0620 7022 9174 04</v>
          </cell>
        </row>
        <row r="2132">
          <cell r="D2132" t="str">
            <v>7823-01987</v>
          </cell>
          <cell r="M2132" t="str">
            <v>9402 1112 0620 7022 9319 12</v>
          </cell>
        </row>
        <row r="2133">
          <cell r="D2133" t="str">
            <v>7818-26188</v>
          </cell>
          <cell r="M2133" t="str">
            <v>9402 1112 0620 7022 9974 44</v>
          </cell>
        </row>
        <row r="2134">
          <cell r="D2134" t="str">
            <v>7829-00035</v>
          </cell>
          <cell r="M2134" t="str">
            <v>1Z5063E0YW41973010</v>
          </cell>
        </row>
        <row r="2135">
          <cell r="D2135" t="str">
            <v>7818-21839</v>
          </cell>
          <cell r="M2135" t="str">
            <v>1Z5063E0YW40151132</v>
          </cell>
        </row>
        <row r="2136">
          <cell r="D2136" t="str">
            <v>7818-28312</v>
          </cell>
          <cell r="M2136" t="str">
            <v>1Z5063E0YW42070654</v>
          </cell>
        </row>
        <row r="2137">
          <cell r="D2137" t="str">
            <v>7815-00108</v>
          </cell>
          <cell r="M2137" t="str">
            <v>1Z5063E0YW41226729</v>
          </cell>
        </row>
        <row r="2138">
          <cell r="D2138" t="str">
            <v>7818-21574</v>
          </cell>
          <cell r="M2138" t="str">
            <v>1Z5063E0YW40469737</v>
          </cell>
        </row>
        <row r="2139">
          <cell r="D2139" t="str">
            <v>7818-18311</v>
          </cell>
          <cell r="M2139" t="str">
            <v>1Z5063E0YW41366140</v>
          </cell>
        </row>
        <row r="2140">
          <cell r="D2140" t="str">
            <v>7818-26605</v>
          </cell>
          <cell r="M2140" t="str">
            <v>1Z5063E0YW40561565</v>
          </cell>
        </row>
        <row r="2141">
          <cell r="D2141" t="str">
            <v>7818-07081</v>
          </cell>
          <cell r="M2141" t="str">
            <v>1Z5063E0YW41674423</v>
          </cell>
        </row>
        <row r="2142">
          <cell r="D2142" t="str">
            <v>7818-07078</v>
          </cell>
          <cell r="M2142" t="str">
            <v>1Z5063E0YW40297477</v>
          </cell>
        </row>
        <row r="2143">
          <cell r="D2143" t="str">
            <v>7812-03356</v>
          </cell>
          <cell r="M2143" t="str">
            <v>1Z5063E0YW41177701</v>
          </cell>
        </row>
        <row r="2144">
          <cell r="D2144" t="str">
            <v>7818-26654</v>
          </cell>
          <cell r="M2144" t="str">
            <v>1Z5063E0YW40313896</v>
          </cell>
        </row>
        <row r="2145">
          <cell r="D2145" t="str">
            <v>7818-23781</v>
          </cell>
          <cell r="M2145" t="str">
            <v>1Z5063E0YW41850876</v>
          </cell>
        </row>
        <row r="2146">
          <cell r="D2146" t="str">
            <v>7818-24828</v>
          </cell>
          <cell r="M2146" t="str">
            <v>1Z5063E0YW40968920</v>
          </cell>
        </row>
        <row r="2147">
          <cell r="D2147" t="str">
            <v>7818-18744</v>
          </cell>
          <cell r="M2147" t="str">
            <v>1Z5063E0YW41906155</v>
          </cell>
        </row>
        <row r="2148">
          <cell r="D2148" t="str">
            <v>7818-29431</v>
          </cell>
          <cell r="M2148" t="str">
            <v>1Z5063E0YW41911952</v>
          </cell>
        </row>
        <row r="2149">
          <cell r="D2149" t="str">
            <v>7818-26824</v>
          </cell>
          <cell r="M2149" t="str">
            <v>1Z5063E0YW42528768</v>
          </cell>
        </row>
        <row r="2150">
          <cell r="D2150" t="str">
            <v>7823-02661</v>
          </cell>
          <cell r="M2150" t="str">
            <v>1Z5063E0YW40437860</v>
          </cell>
        </row>
        <row r="2151">
          <cell r="D2151" t="str">
            <v>7818-21966</v>
          </cell>
          <cell r="M2151" t="str">
            <v>1Z5063E0YW42321463</v>
          </cell>
        </row>
        <row r="2152">
          <cell r="D2152" t="str">
            <v>7818-25388</v>
          </cell>
          <cell r="M2152" t="str">
            <v>1Z5063E0YW40459515</v>
          </cell>
        </row>
        <row r="2153">
          <cell r="D2153" t="str">
            <v>7810-01206</v>
          </cell>
          <cell r="M2153" t="str">
            <v>1Z5063E0YW40853786</v>
          </cell>
        </row>
        <row r="2154">
          <cell r="D2154" t="str">
            <v>7823-02600</v>
          </cell>
          <cell r="M2154" t="str">
            <v>1Z5063E0YW41908573</v>
          </cell>
        </row>
        <row r="2155">
          <cell r="D2155" t="str">
            <v>7818-25992</v>
          </cell>
          <cell r="M2155" t="str">
            <v>1Z5063E0YW40630990</v>
          </cell>
        </row>
        <row r="2156">
          <cell r="D2156" t="str">
            <v>7818-07834</v>
          </cell>
          <cell r="M2156" t="str">
            <v>1Z5063E0YW41875528</v>
          </cell>
        </row>
        <row r="2157">
          <cell r="D2157" t="str">
            <v>7818-25945</v>
          </cell>
          <cell r="M2157" t="str">
            <v>1Z5063E0YW41060603</v>
          </cell>
        </row>
        <row r="2158">
          <cell r="D2158" t="str">
            <v>7810-01191</v>
          </cell>
          <cell r="M2158" t="str">
            <v>1Z5063E0YW42866634</v>
          </cell>
        </row>
        <row r="2159">
          <cell r="D2159" t="str">
            <v>7823-02777</v>
          </cell>
          <cell r="M2159" t="str">
            <v>1Z5063E0YW42820414</v>
          </cell>
        </row>
        <row r="2160">
          <cell r="D2160" t="str">
            <v>7818-19583</v>
          </cell>
          <cell r="M2160" t="str">
            <v>1Z5063E0YW40466098</v>
          </cell>
        </row>
        <row r="2161">
          <cell r="D2161" t="str">
            <v>7818-14467</v>
          </cell>
          <cell r="M2161" t="str">
            <v>1Z5063E0YW40292838</v>
          </cell>
        </row>
        <row r="2162">
          <cell r="D2162" t="str">
            <v>7818-18819</v>
          </cell>
          <cell r="M2162" t="str">
            <v>1Z5063E0YW41996291</v>
          </cell>
        </row>
        <row r="2163">
          <cell r="D2163" t="str">
            <v>7823-02641</v>
          </cell>
          <cell r="M2163" t="str">
            <v>1Z5063E0YW42314800</v>
          </cell>
        </row>
        <row r="2164">
          <cell r="D2164" t="str">
            <v>7818-25991</v>
          </cell>
          <cell r="M2164" t="str">
            <v>1Z5063E0YW41518619</v>
          </cell>
        </row>
        <row r="2165">
          <cell r="D2165" t="str">
            <v>7818-13078</v>
          </cell>
          <cell r="M2165" t="str">
            <v>1Z5063E0YW41830665</v>
          </cell>
        </row>
        <row r="2166">
          <cell r="D2166" t="str">
            <v>7818-29805</v>
          </cell>
          <cell r="M2166" t="str">
            <v>1Z5063E0YW40682952</v>
          </cell>
        </row>
        <row r="2167">
          <cell r="D2167" t="str">
            <v>7812-03361</v>
          </cell>
          <cell r="M2167" t="str">
            <v>1Z5063E0YW41516344</v>
          </cell>
        </row>
        <row r="2168">
          <cell r="D2168" t="str">
            <v>7812-3780</v>
          </cell>
          <cell r="M2168" t="str">
            <v>9402 1112 0620 7095 8095 07</v>
          </cell>
        </row>
        <row r="2169">
          <cell r="D2169" t="str">
            <v>7812-3617</v>
          </cell>
          <cell r="M2169" t="str">
            <v>1Z5063E0YW42368753</v>
          </cell>
        </row>
        <row r="2170">
          <cell r="D2170" t="str">
            <v>7818-25751</v>
          </cell>
          <cell r="M2170" t="str">
            <v>9402 1112 0620 7095 3456 78</v>
          </cell>
        </row>
        <row r="2171">
          <cell r="D2171" t="str">
            <v>7812-3643</v>
          </cell>
          <cell r="M2171" t="str">
            <v>1Z5063E0YW41737721</v>
          </cell>
        </row>
        <row r="2172">
          <cell r="D2172" t="str">
            <v>7810-01625</v>
          </cell>
          <cell r="M2172" t="str">
            <v>1Z5063E0YW41896621</v>
          </cell>
        </row>
        <row r="2173">
          <cell r="D2173" t="str">
            <v>7818-21628</v>
          </cell>
          <cell r="M2173" t="str">
            <v>1Z5063E0YW42335930</v>
          </cell>
        </row>
        <row r="2174">
          <cell r="D2174" t="str">
            <v>7810-01858</v>
          </cell>
          <cell r="M2174" t="str">
            <v>1Z5063E0YW40631248</v>
          </cell>
        </row>
        <row r="2175">
          <cell r="D2175" t="str">
            <v>7823-02800</v>
          </cell>
          <cell r="M2175" t="str">
            <v>1Z5063E0YW41471900</v>
          </cell>
        </row>
        <row r="2176">
          <cell r="D2176" t="str">
            <v>7812-3800</v>
          </cell>
          <cell r="M2176" t="str">
            <v>1Z5063E0YW40339672</v>
          </cell>
        </row>
        <row r="2177">
          <cell r="D2177" t="str">
            <v>7812-02187</v>
          </cell>
          <cell r="M2177" t="str">
            <v>1Z5063E0YW42515852</v>
          </cell>
        </row>
        <row r="2178">
          <cell r="D2178" t="str">
            <v>7815-00103</v>
          </cell>
          <cell r="M2178" t="str">
            <v>1Z5063E0YW42157963</v>
          </cell>
        </row>
        <row r="2179">
          <cell r="D2179" t="str">
            <v>7818-16871</v>
          </cell>
          <cell r="M2179" t="str">
            <v>1Z5063E0YW41891644</v>
          </cell>
        </row>
        <row r="2180">
          <cell r="D2180" t="str">
            <v>7818-25727</v>
          </cell>
          <cell r="M2180" t="str">
            <v>1Z5063E0YW42219280</v>
          </cell>
        </row>
        <row r="2181">
          <cell r="D2181" t="str">
            <v>7818-17687</v>
          </cell>
          <cell r="M2181" t="str">
            <v>1Z5063E0YW42708331</v>
          </cell>
        </row>
        <row r="2182">
          <cell r="D2182" t="str">
            <v>7818-24739</v>
          </cell>
          <cell r="M2182" t="str">
            <v>1Z5063E0YW42906180</v>
          </cell>
        </row>
        <row r="2183">
          <cell r="D2183" t="str">
            <v>7818-29918</v>
          </cell>
          <cell r="M2183" t="str">
            <v>1Z5063E0YW42302126</v>
          </cell>
        </row>
        <row r="2184">
          <cell r="D2184" t="str">
            <v>7823-03025</v>
          </cell>
          <cell r="M2184" t="str">
            <v>1Z5063E0YW41304251</v>
          </cell>
        </row>
        <row r="2185">
          <cell r="D2185" t="str">
            <v>7812-00347</v>
          </cell>
          <cell r="M2185" t="str">
            <v>1Z5063E0YW40552977</v>
          </cell>
        </row>
        <row r="2186">
          <cell r="D2186" t="str">
            <v>7812-3842</v>
          </cell>
          <cell r="M2186" t="str">
            <v>1Z5063E0YW42317370</v>
          </cell>
        </row>
        <row r="2187">
          <cell r="D2187" t="str">
            <v>7829-00036</v>
          </cell>
          <cell r="M2187" t="str">
            <v>9402 1112 0620 7093 0762 08</v>
          </cell>
        </row>
        <row r="2188">
          <cell r="D2188" t="str">
            <v>7810-01573</v>
          </cell>
          <cell r="M2188" t="str">
            <v>1Z5063E0YW42881993</v>
          </cell>
        </row>
        <row r="2189">
          <cell r="D2189" t="str">
            <v>7818-10968</v>
          </cell>
          <cell r="M2189" t="str">
            <v>9402 1112 0620 7093 5129 97</v>
          </cell>
        </row>
        <row r="2190">
          <cell r="D2190" t="str">
            <v>7818-22685</v>
          </cell>
          <cell r="M2190" t="str">
            <v>1Z5063E0YW41412652</v>
          </cell>
        </row>
        <row r="2191">
          <cell r="D2191" t="str">
            <v>7812-3638</v>
          </cell>
          <cell r="M2191" t="str">
            <v>1Z5063E0YW41264072</v>
          </cell>
        </row>
        <row r="2192">
          <cell r="D2192" t="str">
            <v>7823-02680</v>
          </cell>
          <cell r="M2192" t="str">
            <v>1Z5063E0YW40496690</v>
          </cell>
        </row>
        <row r="2193">
          <cell r="D2193" t="str">
            <v>7818-29569</v>
          </cell>
          <cell r="M2193" t="str">
            <v>9402 1112 0620 7093 0147 81</v>
          </cell>
        </row>
        <row r="2194">
          <cell r="D2194" t="str">
            <v>7818-27544</v>
          </cell>
          <cell r="M2194" t="str">
            <v>1Z5063E0YW41114117</v>
          </cell>
        </row>
        <row r="2195">
          <cell r="D2195" t="str">
            <v>7818-29577</v>
          </cell>
          <cell r="M2195" t="str">
            <v>1Z5063E0YW42300306</v>
          </cell>
        </row>
        <row r="2196">
          <cell r="D2196" t="str">
            <v>7818-29811</v>
          </cell>
          <cell r="M2196" t="str">
            <v>1Z5063E0YW41478583</v>
          </cell>
        </row>
        <row r="2197">
          <cell r="D2197" t="str">
            <v>7818-20128</v>
          </cell>
          <cell r="M2197" t="str">
            <v>1Z5063E0YW40623837</v>
          </cell>
        </row>
        <row r="2198">
          <cell r="D2198" t="str">
            <v>7818-22684</v>
          </cell>
          <cell r="M2198" t="str">
            <v>1Z5063E0YW41207624</v>
          </cell>
        </row>
        <row r="2199">
          <cell r="D2199" t="str">
            <v>7818-21194</v>
          </cell>
          <cell r="M2199" t="str">
            <v>1Z5063E0YW42209611</v>
          </cell>
        </row>
        <row r="2200">
          <cell r="D2200" t="str">
            <v>7812-3615</v>
          </cell>
          <cell r="M2200" t="str">
            <v>1Z5063E0YW41621668</v>
          </cell>
        </row>
        <row r="2201">
          <cell r="D2201" t="str">
            <v>7818-26834</v>
          </cell>
          <cell r="M2201" t="str">
            <v>1Z5063E0YW42308479</v>
          </cell>
        </row>
        <row r="2202">
          <cell r="D2202" t="str">
            <v>7818-23266</v>
          </cell>
          <cell r="M2202" t="str">
            <v>1Z5063E0YW40086856</v>
          </cell>
        </row>
        <row r="2203">
          <cell r="D2203" t="str">
            <v>7818-29774</v>
          </cell>
          <cell r="M2203" t="str">
            <v>1Z5063E0YW41382248</v>
          </cell>
        </row>
        <row r="2204">
          <cell r="D2204" t="str">
            <v>7818-21914</v>
          </cell>
          <cell r="M2204" t="str">
            <v>1Z5063E0YW40785805</v>
          </cell>
        </row>
        <row r="2205">
          <cell r="D2205" t="str">
            <v>7812-3573</v>
          </cell>
          <cell r="M2205" t="str">
            <v>1Z5063E0YW40866932</v>
          </cell>
        </row>
        <row r="2206">
          <cell r="D2206" t="str">
            <v>7818-16483</v>
          </cell>
          <cell r="M2206" t="str">
            <v>1Z5063E0YW40467346</v>
          </cell>
        </row>
        <row r="2207">
          <cell r="D2207" t="str">
            <v>7818-26751</v>
          </cell>
          <cell r="M2207" t="str">
            <v>1Z5063E0YW42717885</v>
          </cell>
        </row>
        <row r="2208">
          <cell r="D2208" t="str">
            <v>7812-3614</v>
          </cell>
          <cell r="M2208" t="str">
            <v>1Z5063E0YW40330037</v>
          </cell>
        </row>
        <row r="2209">
          <cell r="D2209" t="str">
            <v>7818-16683</v>
          </cell>
          <cell r="M2209" t="str">
            <v>1Z5063E0YW42453955</v>
          </cell>
        </row>
        <row r="2210">
          <cell r="D2210" t="str">
            <v>7818-11970</v>
          </cell>
          <cell r="M2210" t="str">
            <v>1Z5063E0YW41819866</v>
          </cell>
        </row>
        <row r="2211">
          <cell r="D2211" t="str">
            <v>7812-02797</v>
          </cell>
          <cell r="M2211" t="str">
            <v>1Z5063E0YW42841053</v>
          </cell>
        </row>
        <row r="2212">
          <cell r="D2212" t="str">
            <v>7818-28690</v>
          </cell>
          <cell r="M2212" t="str">
            <v>1Z5063E0YW40109821</v>
          </cell>
        </row>
        <row r="2213">
          <cell r="D2213" t="str">
            <v>7818-26137</v>
          </cell>
          <cell r="M2213" t="str">
            <v>1Z5063E0YW41755498</v>
          </cell>
        </row>
        <row r="2214">
          <cell r="D2214" t="str">
            <v>7818-23258</v>
          </cell>
          <cell r="M2214" t="str">
            <v>1Z5063E0YW40775101</v>
          </cell>
        </row>
        <row r="2215">
          <cell r="D2215" t="str">
            <v>7818-29673</v>
          </cell>
          <cell r="M2215" t="str">
            <v>1Z5063E0YW42565343</v>
          </cell>
        </row>
        <row r="2216">
          <cell r="D2216" t="str">
            <v>7818-23088</v>
          </cell>
          <cell r="M2216" t="str">
            <v>1Z5063E0YW42570980</v>
          </cell>
        </row>
        <row r="2217">
          <cell r="D2217" t="str">
            <v>7818-25248</v>
          </cell>
          <cell r="M2217" t="str">
            <v>1Z5063E0YW41142908</v>
          </cell>
        </row>
        <row r="2218">
          <cell r="D2218" t="str">
            <v>7823-00651</v>
          </cell>
          <cell r="M2218" t="str">
            <v>1Z5063E0YW41742395</v>
          </cell>
        </row>
        <row r="2219">
          <cell r="D2219" t="str">
            <v>7818-29400</v>
          </cell>
          <cell r="M2219" t="str">
            <v>1Z5063E0YW41201773</v>
          </cell>
        </row>
        <row r="2220">
          <cell r="D2220" t="str">
            <v>7818-22416</v>
          </cell>
          <cell r="M2220" t="str">
            <v>1Z5063E0YW42520006</v>
          </cell>
        </row>
        <row r="2221">
          <cell r="D2221" t="str">
            <v>7818-24333</v>
          </cell>
          <cell r="M2221" t="str">
            <v>1Z5063E0YW41750671</v>
          </cell>
        </row>
        <row r="2222">
          <cell r="D2222" t="str">
            <v>7812-3616</v>
          </cell>
          <cell r="M2222" t="str">
            <v>1Z5063E0YW41847291</v>
          </cell>
        </row>
        <row r="2223">
          <cell r="D2223" t="str">
            <v>7818-17693</v>
          </cell>
          <cell r="M2223" t="str">
            <v>1Z5063E0YW41888710</v>
          </cell>
        </row>
        <row r="2224">
          <cell r="D2224" t="str">
            <v>7810-01796</v>
          </cell>
          <cell r="M2224" t="str">
            <v>1Z5063E0YW41172448</v>
          </cell>
        </row>
        <row r="2225">
          <cell r="D2225" t="str">
            <v>7818-01200</v>
          </cell>
          <cell r="M2225" t="str">
            <v>1Z5063E0YW42248721</v>
          </cell>
        </row>
        <row r="2226">
          <cell r="D2226" t="str">
            <v>7818-26159</v>
          </cell>
          <cell r="M2226" t="str">
            <v>1Z5063E0YW40472876</v>
          </cell>
        </row>
        <row r="2227">
          <cell r="D2227" t="str">
            <v>7812-02794</v>
          </cell>
          <cell r="M2227" t="str">
            <v>1Z5063E0YW41987818</v>
          </cell>
        </row>
        <row r="2228">
          <cell r="D2228" t="str">
            <v>7815-00115</v>
          </cell>
          <cell r="M2228" t="str">
            <v>1Z5063E0YW42522791</v>
          </cell>
        </row>
        <row r="2229">
          <cell r="D2229" t="str">
            <v>7818-23301</v>
          </cell>
          <cell r="M2229" t="str">
            <v>1Z5063E0YW40790924</v>
          </cell>
        </row>
        <row r="2230">
          <cell r="D2230" t="str">
            <v>7812-01877</v>
          </cell>
          <cell r="M2230" t="str">
            <v>1Z5063E0YW42506915</v>
          </cell>
        </row>
        <row r="2231">
          <cell r="D2231" t="str">
            <v>7818-17581</v>
          </cell>
          <cell r="M2231" t="str">
            <v>1Z5063E0YW40206172</v>
          </cell>
        </row>
        <row r="2232">
          <cell r="D2232" t="str">
            <v>7818-15688</v>
          </cell>
          <cell r="M2232" t="str">
            <v>1Z5063E0YW41510760</v>
          </cell>
        </row>
        <row r="2233">
          <cell r="D2233" t="str">
            <v>7812-03311</v>
          </cell>
          <cell r="M2233" t="str">
            <v>1Z5063E0YW41256269</v>
          </cell>
        </row>
        <row r="2234">
          <cell r="D2234" t="str">
            <v>7818-23362</v>
          </cell>
          <cell r="M2234" t="str">
            <v>1Z5063E0YW40423044</v>
          </cell>
        </row>
        <row r="2235">
          <cell r="D2235" t="str">
            <v>7818-28452</v>
          </cell>
          <cell r="M2235" t="str">
            <v>1Z5063E0YW42136486</v>
          </cell>
        </row>
        <row r="2236">
          <cell r="D2236" t="str">
            <v>7823-02773</v>
          </cell>
          <cell r="M2236" t="str">
            <v>1Z5063E0YW41292023</v>
          </cell>
        </row>
        <row r="2237">
          <cell r="D2237" t="str">
            <v>7810-01859</v>
          </cell>
          <cell r="M2237" t="str">
            <v>1Z5063E0YW42192844</v>
          </cell>
        </row>
        <row r="2238">
          <cell r="D2238" t="str">
            <v>7818-20788</v>
          </cell>
          <cell r="M2238" t="str">
            <v>1Z5063E0YW42589452</v>
          </cell>
        </row>
        <row r="2239">
          <cell r="D2239" t="str">
            <v>7818-11557</v>
          </cell>
          <cell r="M2239" t="str">
            <v>1Z5063E0YW42900613</v>
          </cell>
        </row>
        <row r="2240">
          <cell r="D2240" t="str">
            <v>7818-11536</v>
          </cell>
          <cell r="M2240" t="str">
            <v>1Z5063E0YW41848549</v>
          </cell>
        </row>
        <row r="2241">
          <cell r="D2241" t="str">
            <v>7818-15564</v>
          </cell>
          <cell r="M2241" t="str">
            <v>1Z5063E0YW41517898</v>
          </cell>
        </row>
        <row r="2242">
          <cell r="D2242" t="str">
            <v>7824-00439</v>
          </cell>
          <cell r="M2242" t="str">
            <v>1Z5063E0YW41715325</v>
          </cell>
        </row>
        <row r="2243">
          <cell r="D2243" t="str">
            <v>7818-13461</v>
          </cell>
          <cell r="M2243" t="str">
            <v>1Z5063E0YW41686072</v>
          </cell>
        </row>
        <row r="2244">
          <cell r="D2244" t="str">
            <v>7818-13588</v>
          </cell>
          <cell r="M2244" t="str">
            <v>9402 1112 0620 7089 0129 06</v>
          </cell>
        </row>
        <row r="2245">
          <cell r="D2245" t="str">
            <v>7823-02660</v>
          </cell>
          <cell r="M2245" t="str">
            <v>1Z5063E0YW41007742</v>
          </cell>
        </row>
        <row r="2246">
          <cell r="D2246" t="str">
            <v>7818-13374</v>
          </cell>
          <cell r="M2246" t="str">
            <v>1Z5063E0YW40183385</v>
          </cell>
        </row>
        <row r="2247">
          <cell r="D2247" t="str">
            <v>7810-01715</v>
          </cell>
          <cell r="M2247" t="str">
            <v>1Z5063E0YW40798695</v>
          </cell>
        </row>
        <row r="2248">
          <cell r="D2248" t="str">
            <v>7810-01268</v>
          </cell>
          <cell r="M2248" t="str">
            <v>1Z5063E0YW41917107</v>
          </cell>
        </row>
        <row r="2249">
          <cell r="D2249" t="str">
            <v>7812-4008</v>
          </cell>
          <cell r="M2249" t="str">
            <v>1Z5063E0YW42419153</v>
          </cell>
        </row>
        <row r="2250">
          <cell r="D2250" t="str">
            <v>7818-25734</v>
          </cell>
          <cell r="M2250" t="str">
            <v>1Z5063E0YW42496114</v>
          </cell>
        </row>
        <row r="2251">
          <cell r="D2251" t="str">
            <v>7824-00441</v>
          </cell>
          <cell r="M2251" t="str">
            <v>1Z5063E0YW42968186</v>
          </cell>
        </row>
        <row r="2252">
          <cell r="D2252" t="str">
            <v>7818-07983</v>
          </cell>
          <cell r="M2252" t="str">
            <v>1Z5063E0YW42944139</v>
          </cell>
        </row>
        <row r="2253">
          <cell r="D2253" t="str">
            <v>7818-28408</v>
          </cell>
          <cell r="M2253" t="str">
            <v>1Z5063E0YW42267166</v>
          </cell>
        </row>
        <row r="2254">
          <cell r="D2254" t="str">
            <v>7818-26085</v>
          </cell>
          <cell r="M2254" t="str">
            <v>1Z5063E0YW42242307</v>
          </cell>
        </row>
        <row r="2255">
          <cell r="D2255" t="str">
            <v>7818-28689</v>
          </cell>
          <cell r="M2255" t="str">
            <v>9400 1112 0620 7061 7598 38</v>
          </cell>
        </row>
        <row r="2256">
          <cell r="D2256" t="str">
            <v>7818-12700</v>
          </cell>
          <cell r="M2256" t="str">
            <v>9400 1112 0620 7087 3120 62</v>
          </cell>
        </row>
        <row r="2257">
          <cell r="D2257" t="str">
            <v>7818-25944</v>
          </cell>
          <cell r="M2257" t="str">
            <v>9400 1112 0620 7086 0054 08</v>
          </cell>
        </row>
        <row r="2258">
          <cell r="D2258" t="str">
            <v>7810-01857</v>
          </cell>
          <cell r="M2258" t="str">
            <v>1Z5063E0YW42783312</v>
          </cell>
        </row>
        <row r="2259">
          <cell r="D2259" t="str">
            <v>7818-28403</v>
          </cell>
          <cell r="M2259" t="str">
            <v>1Z5063E0YW42939967</v>
          </cell>
        </row>
        <row r="2260">
          <cell r="D2260" t="str">
            <v>7818-29447</v>
          </cell>
          <cell r="M2260" t="str">
            <v>1Z5063E0YW41728633</v>
          </cell>
        </row>
        <row r="2261">
          <cell r="D2261" t="str">
            <v>7818-28643</v>
          </cell>
          <cell r="M2261" t="str">
            <v>9402 1112 0620 7063 4893 80</v>
          </cell>
        </row>
        <row r="2262">
          <cell r="D2262" t="str">
            <v>7818-09508</v>
          </cell>
          <cell r="M2262" t="str">
            <v>1Z5063E0YW42382433</v>
          </cell>
        </row>
        <row r="2263">
          <cell r="D2263" t="str">
            <v>7818-24120</v>
          </cell>
          <cell r="M2263" t="str">
            <v>9402 1112 0620 7087 3940 42</v>
          </cell>
        </row>
        <row r="2264">
          <cell r="D2264" t="str">
            <v>7818-26084</v>
          </cell>
          <cell r="M2264" t="str">
            <v>1Z5063E0YW42289062</v>
          </cell>
        </row>
        <row r="2265">
          <cell r="D2265" t="str">
            <v>7810-01898</v>
          </cell>
          <cell r="M2265" t="str">
            <v>1Z5063E0YW40494469</v>
          </cell>
        </row>
        <row r="2266">
          <cell r="D2266" t="str">
            <v>7810-01878</v>
          </cell>
          <cell r="M2266" t="str">
            <v>1Z5063E0YW42256801</v>
          </cell>
        </row>
        <row r="2267">
          <cell r="D2267" t="str">
            <v>7818-13438</v>
          </cell>
          <cell r="M2267" t="str">
            <v>1Z5063E0YW42583654</v>
          </cell>
        </row>
        <row r="2268">
          <cell r="D2268" t="str">
            <v>7818-10615</v>
          </cell>
          <cell r="M2268" t="str">
            <v>1Z5063E0YW40705507</v>
          </cell>
        </row>
        <row r="2269">
          <cell r="D2269" t="str">
            <v>7812-3791</v>
          </cell>
          <cell r="M2269" t="str">
            <v>1Z5063E0YW41757272</v>
          </cell>
        </row>
        <row r="2270">
          <cell r="D2270" t="str">
            <v>7812-3682</v>
          </cell>
          <cell r="M2270" t="str">
            <v>1Z5063E0YW42605200</v>
          </cell>
        </row>
        <row r="2271">
          <cell r="D2271" t="str">
            <v>7818-26838</v>
          </cell>
          <cell r="M2271" t="str">
            <v>1Z5063E0YW40924128</v>
          </cell>
        </row>
        <row r="2272">
          <cell r="D2272" t="str">
            <v>7818-25321</v>
          </cell>
          <cell r="M2272" t="str">
            <v>1Z5063E0YW42403026</v>
          </cell>
        </row>
        <row r="2273">
          <cell r="D2273" t="str">
            <v>7812-3706</v>
          </cell>
          <cell r="M2273" t="str">
            <v>1Z5063E0YW42047233</v>
          </cell>
        </row>
        <row r="2274">
          <cell r="D2274" t="str">
            <v>7812-3635</v>
          </cell>
          <cell r="M2274" t="str">
            <v>1Z5063E0YW40993643</v>
          </cell>
        </row>
        <row r="2275">
          <cell r="D2275" t="str">
            <v>7818-29580</v>
          </cell>
          <cell r="M2275" t="str">
            <v>1Z5063E0YW41681282</v>
          </cell>
        </row>
        <row r="2276">
          <cell r="D2276" t="str">
            <v>7812-3748</v>
          </cell>
          <cell r="M2276" t="str">
            <v>1Z5063E0YW40843591</v>
          </cell>
        </row>
        <row r="2277">
          <cell r="D2277" t="str">
            <v>7818-28601</v>
          </cell>
          <cell r="M2277" t="str">
            <v>1Z5063E0YW41574979</v>
          </cell>
        </row>
        <row r="2278">
          <cell r="D2278" t="str">
            <v>7818-30780</v>
          </cell>
          <cell r="M2278" t="str">
            <v>9400 1112 0620 7086 0647 71</v>
          </cell>
        </row>
        <row r="2279">
          <cell r="D2279" t="str">
            <v>7818-28477</v>
          </cell>
          <cell r="M2279" t="str">
            <v>9402 1112 0620 7086 8430 77</v>
          </cell>
        </row>
        <row r="2280">
          <cell r="D2280" t="str">
            <v>7818-02736</v>
          </cell>
          <cell r="M2280" t="str">
            <v>9400 1112 0620 7086 0234 88</v>
          </cell>
        </row>
        <row r="2281">
          <cell r="D2281" t="str">
            <v>7818-26912</v>
          </cell>
          <cell r="M2281" t="str">
            <v>9402 1112 0620 7087 2148 76</v>
          </cell>
        </row>
        <row r="2282">
          <cell r="D2282" t="str">
            <v>7818-25775</v>
          </cell>
          <cell r="M2282" t="str">
            <v>9400 1112 0620 7087 3205 00</v>
          </cell>
        </row>
        <row r="2283">
          <cell r="D2283" t="str">
            <v>7818-21330</v>
          </cell>
          <cell r="M2283" t="str">
            <v>1Z5063E0YW41819099</v>
          </cell>
        </row>
        <row r="2284">
          <cell r="D2284" t="str">
            <v>7818-29575</v>
          </cell>
          <cell r="M2284" t="str">
            <v>1Z5063E0YW41369343</v>
          </cell>
        </row>
        <row r="2285">
          <cell r="D2285" t="str">
            <v>7818-21130</v>
          </cell>
          <cell r="M2285" t="str">
            <v>1Z5063E0YW40330475</v>
          </cell>
        </row>
        <row r="2286">
          <cell r="D2286" t="str">
            <v>7823-01536</v>
          </cell>
          <cell r="M2286" t="str">
            <v>1Z5063E0YW40928937</v>
          </cell>
        </row>
        <row r="2287">
          <cell r="D2287" t="str">
            <v>7818-26847</v>
          </cell>
          <cell r="M2287" t="str">
            <v>1Z5063E0YW41990706</v>
          </cell>
        </row>
        <row r="2288">
          <cell r="D2288" t="str">
            <v>7818-26608</v>
          </cell>
          <cell r="M2288" t="str">
            <v>1Z5063E0YW40733683</v>
          </cell>
        </row>
        <row r="2289">
          <cell r="D2289" t="str">
            <v>7818-23018</v>
          </cell>
          <cell r="M2289" t="str">
            <v>1Z5063E0YW42208523</v>
          </cell>
        </row>
        <row r="2290">
          <cell r="D2290" t="str">
            <v>7818-25376</v>
          </cell>
          <cell r="M2290" t="str">
            <v>9400 1112 0620 7052 6558 66</v>
          </cell>
        </row>
        <row r="2291">
          <cell r="D2291" t="str">
            <v>7812-3603</v>
          </cell>
          <cell r="M2291" t="str">
            <v>9402 1112 0620 7082 9843 16</v>
          </cell>
        </row>
        <row r="2292">
          <cell r="D2292" t="str">
            <v>7818-26189</v>
          </cell>
          <cell r="M2292" t="str">
            <v>9402 1112 0620 7087 3021 77</v>
          </cell>
        </row>
        <row r="2293">
          <cell r="D2293" t="str">
            <v>7815-00100</v>
          </cell>
          <cell r="M2293" t="str">
            <v>1Z5063E0YW41932519</v>
          </cell>
        </row>
        <row r="2294">
          <cell r="D2294" t="str">
            <v>7818-30779</v>
          </cell>
          <cell r="M2294" t="str">
            <v>1Z5063E0YW41572677</v>
          </cell>
        </row>
        <row r="2295">
          <cell r="D2295" t="str">
            <v>7818-29763</v>
          </cell>
          <cell r="M2295" t="str">
            <v>9402 1112 0620 7052 6012 43</v>
          </cell>
        </row>
        <row r="2296">
          <cell r="D2296" t="str">
            <v>7818-10394</v>
          </cell>
          <cell r="M2296" t="str">
            <v>9402 1112 0620 7057 5057 37</v>
          </cell>
        </row>
        <row r="2297">
          <cell r="D2297" t="str">
            <v>7818-25397</v>
          </cell>
          <cell r="M2297" t="str">
            <v>9400 1112 0620 7057 1112 75</v>
          </cell>
        </row>
        <row r="2298">
          <cell r="D2298" t="str">
            <v>7818-23507</v>
          </cell>
          <cell r="M2298" t="str">
            <v>9402 1112 0620 7057 7076 98</v>
          </cell>
        </row>
        <row r="2299">
          <cell r="D2299" t="str">
            <v>7818-29764</v>
          </cell>
          <cell r="M2299" t="str">
            <v>9402 1112 0620 7057 7561 22</v>
          </cell>
        </row>
        <row r="2300">
          <cell r="D2300" t="str">
            <v>7823-01663</v>
          </cell>
          <cell r="M2300" t="str">
            <v>9400 1112 0620 7057 1748 67</v>
          </cell>
        </row>
        <row r="2301">
          <cell r="D2301" t="str">
            <v>7818-29899</v>
          </cell>
          <cell r="M2301" t="str">
            <v>1Z5063E0YW40046256</v>
          </cell>
        </row>
        <row r="2302">
          <cell r="D2302" t="str">
            <v>7812-00845</v>
          </cell>
          <cell r="M2302" t="str">
            <v>9400 1112 0620 7086 0476 20</v>
          </cell>
        </row>
        <row r="2303">
          <cell r="D2303" t="str">
            <v>7810-01876</v>
          </cell>
          <cell r="M2303" t="str">
            <v>1Z5063E0YW42995950</v>
          </cell>
        </row>
        <row r="2304">
          <cell r="D2304" t="str">
            <v>7812-3840</v>
          </cell>
          <cell r="M2304" t="str">
            <v>9402 1112 0620 7057 1386 90</v>
          </cell>
        </row>
        <row r="2305">
          <cell r="D2305" t="str">
            <v>7818-29676</v>
          </cell>
          <cell r="M2305" t="str">
            <v>1Z5063E0YW42392860</v>
          </cell>
        </row>
        <row r="2306">
          <cell r="D2306" t="str">
            <v>7818-16315</v>
          </cell>
          <cell r="M2306" t="str">
            <v>1Z5063E0YW42525190</v>
          </cell>
        </row>
        <row r="2307">
          <cell r="D2307" t="str">
            <v>7818-29578</v>
          </cell>
          <cell r="M2307" t="str">
            <v>1Z5063E0YW41625440</v>
          </cell>
        </row>
        <row r="2308">
          <cell r="D2308" t="str">
            <v>7818-07080</v>
          </cell>
          <cell r="M2308" t="str">
            <v>1Z5063E0YW40585978</v>
          </cell>
        </row>
        <row r="2309">
          <cell r="D2309" t="str">
            <v>7829-00046</v>
          </cell>
          <cell r="M2309" t="str">
            <v>1Z5063E0YW42777785</v>
          </cell>
        </row>
        <row r="2310">
          <cell r="D2310" t="str">
            <v>7820-00020</v>
          </cell>
          <cell r="M2310" t="str">
            <v>1Z5063E0YW42124739</v>
          </cell>
        </row>
        <row r="2311">
          <cell r="D2311" t="str">
            <v>7812-02796</v>
          </cell>
          <cell r="M2311" t="str">
            <v>1Z5063E0YW41029488</v>
          </cell>
        </row>
        <row r="2312">
          <cell r="D2312" t="str">
            <v>7818-16272</v>
          </cell>
          <cell r="M2312" t="str">
            <v>1Z5063E0YW41430525</v>
          </cell>
        </row>
        <row r="2313">
          <cell r="D2313" t="str">
            <v>7812-4009</v>
          </cell>
          <cell r="M2313" t="str">
            <v>1Z5063E0YW41670892</v>
          </cell>
        </row>
        <row r="2314">
          <cell r="D2314" t="str">
            <v>7818-21975</v>
          </cell>
          <cell r="M2314" t="str">
            <v>1Z5063E0YW41973618</v>
          </cell>
        </row>
        <row r="2315">
          <cell r="D2315" t="str">
            <v>7812-3571</v>
          </cell>
          <cell r="M2315" t="str">
            <v>1Z5063E0YW40318506</v>
          </cell>
        </row>
        <row r="2316">
          <cell r="D2316" t="str">
            <v>7818-28388</v>
          </cell>
          <cell r="M2316" t="str">
            <v>1Z5063E0YW41201102</v>
          </cell>
        </row>
        <row r="2317">
          <cell r="D2317" t="str">
            <v>7812-3574</v>
          </cell>
          <cell r="M2317" t="str">
            <v>1Z5063E0YW42374282</v>
          </cell>
        </row>
        <row r="2318">
          <cell r="D2318" t="str">
            <v>7818-25165</v>
          </cell>
          <cell r="M2318" t="str">
            <v>1Z5063E0YW41062067</v>
          </cell>
        </row>
        <row r="2319">
          <cell r="D2319" t="str">
            <v>7818-24657</v>
          </cell>
          <cell r="M2319" t="str">
            <v>1Z5063E0YW42725054</v>
          </cell>
        </row>
        <row r="2320">
          <cell r="D2320" t="str">
            <v>7818-23536</v>
          </cell>
          <cell r="M2320" t="str">
            <v>1Z5063E0YW41159258</v>
          </cell>
        </row>
        <row r="2321">
          <cell r="D2321" t="str">
            <v>7818-29579</v>
          </cell>
          <cell r="M2321" t="str">
            <v>1Z5063E0YW42319074</v>
          </cell>
        </row>
        <row r="2322">
          <cell r="D2322" t="str">
            <v>7818-29581</v>
          </cell>
          <cell r="M2322" t="str">
            <v>1Z5063E0YW41583861</v>
          </cell>
        </row>
        <row r="2323">
          <cell r="D2323" t="str">
            <v>7812-3907</v>
          </cell>
          <cell r="M2323" t="str">
            <v>1Z5063E0YW40261497</v>
          </cell>
        </row>
        <row r="2324">
          <cell r="D2324" t="str">
            <v>7812-03398</v>
          </cell>
          <cell r="M2324" t="str">
            <v>1Z5063E0YW42646649</v>
          </cell>
        </row>
        <row r="2325">
          <cell r="D2325" t="str">
            <v>7818-05891</v>
          </cell>
          <cell r="M2325" t="str">
            <v>1Z5063E0YW42440236</v>
          </cell>
        </row>
        <row r="2326">
          <cell r="D2326" t="str">
            <v>7812-02793</v>
          </cell>
          <cell r="M2326" t="str">
            <v>1Z5063E0YW40798220</v>
          </cell>
        </row>
        <row r="2327">
          <cell r="D2327" t="str">
            <v>7812-03039</v>
          </cell>
          <cell r="M2327" t="str">
            <v>1Z5063E0YW40996846</v>
          </cell>
        </row>
        <row r="2328">
          <cell r="D2328" t="str">
            <v>7812-03339</v>
          </cell>
          <cell r="M2328" t="str">
            <v>1Z5063E0YW42506433</v>
          </cell>
        </row>
        <row r="2329">
          <cell r="D2329" t="str">
            <v>7818-08653</v>
          </cell>
          <cell r="M2329" t="str">
            <v>1Z5063E0YW41486609</v>
          </cell>
        </row>
        <row r="2330">
          <cell r="D2330" t="str">
            <v>7818-30791</v>
          </cell>
          <cell r="M2330" t="str">
            <v>1Z5063E0YW41309229</v>
          </cell>
        </row>
        <row r="2331">
          <cell r="D2331" t="str">
            <v>7812-4003</v>
          </cell>
          <cell r="M2331" t="str">
            <v>1Z5063E0YW41261173</v>
          </cell>
        </row>
        <row r="2332">
          <cell r="D2332" t="str">
            <v>7812-03470</v>
          </cell>
          <cell r="M2332" t="str">
            <v>1Z5063E0YW40272109</v>
          </cell>
        </row>
        <row r="2333">
          <cell r="D2333" t="str">
            <v>7812-3836</v>
          </cell>
          <cell r="M2333" t="str">
            <v>1Z5063E0YW42947841</v>
          </cell>
        </row>
        <row r="2334">
          <cell r="D2334" t="str">
            <v>7818-30789</v>
          </cell>
          <cell r="M2334" t="str">
            <v>1Z5063E0YW42512499</v>
          </cell>
        </row>
        <row r="2335">
          <cell r="D2335" t="str">
            <v>7818-30790</v>
          </cell>
          <cell r="M2335" t="str">
            <v>1Z5063E0YW41037433</v>
          </cell>
        </row>
        <row r="2336">
          <cell r="D2336" t="str">
            <v>7812-3909</v>
          </cell>
          <cell r="M2336" t="str">
            <v>1Z5063E0YW40338388</v>
          </cell>
        </row>
        <row r="2337">
          <cell r="D2337" t="str">
            <v>7810-01797</v>
          </cell>
          <cell r="M2337" t="str">
            <v>1Z5063E0YW40345923</v>
          </cell>
        </row>
        <row r="2338">
          <cell r="D2338" t="str">
            <v>7818-29472</v>
          </cell>
          <cell r="M2338" t="str">
            <v>1Z5063E0YW41222161</v>
          </cell>
        </row>
        <row r="2339">
          <cell r="D2339" t="str">
            <v>7818-26801</v>
          </cell>
          <cell r="M2339" t="str">
            <v>1Z5063E0YW41799085</v>
          </cell>
        </row>
        <row r="2340">
          <cell r="D2340" t="str">
            <v>7823-02110</v>
          </cell>
          <cell r="M2340" t="str">
            <v>1Z5063E0YW40211264</v>
          </cell>
        </row>
        <row r="2341">
          <cell r="D2341" t="str">
            <v>7818-05894</v>
          </cell>
          <cell r="M2341" t="str">
            <v>1Z5063E0YW41039217</v>
          </cell>
        </row>
        <row r="2342">
          <cell r="D2342" t="str">
            <v>7818-28309</v>
          </cell>
          <cell r="M2342" t="str">
            <v>9402 1112 0620 7019 6362 95</v>
          </cell>
        </row>
        <row r="2343">
          <cell r="D2343" t="str">
            <v>7818-22421</v>
          </cell>
          <cell r="M2343" t="str">
            <v>1Z5063E0YW42961914</v>
          </cell>
        </row>
        <row r="2344">
          <cell r="D2344" t="str">
            <v>7818-28696</v>
          </cell>
          <cell r="M2344" t="str">
            <v>9402 1112 0620 7019 6996 65</v>
          </cell>
        </row>
        <row r="2345">
          <cell r="D2345" t="str">
            <v>7823-02416</v>
          </cell>
          <cell r="M2345" t="str">
            <v>9400 1112 0620 7019 6436 53</v>
          </cell>
        </row>
        <row r="2346">
          <cell r="D2346" t="str">
            <v>7818-26546</v>
          </cell>
          <cell r="M2346" t="str">
            <v>1Z5063E0YW41820229</v>
          </cell>
        </row>
        <row r="2347">
          <cell r="D2347" t="str">
            <v>7812-3644</v>
          </cell>
          <cell r="M2347" t="str">
            <v>1Z5063E0YW41628796</v>
          </cell>
        </row>
        <row r="2348">
          <cell r="D2348" t="str">
            <v>7818-14943</v>
          </cell>
          <cell r="M2348" t="str">
            <v>1Z5063E0YW42025337</v>
          </cell>
        </row>
        <row r="2349">
          <cell r="D2349" t="str">
            <v>7812-3610</v>
          </cell>
          <cell r="M2349" t="str">
            <v>1Z5063E0YW41013164</v>
          </cell>
        </row>
        <row r="2350">
          <cell r="D2350" t="str">
            <v>7812-3715</v>
          </cell>
          <cell r="M2350" t="str">
            <v>1Z5063E0YW42769383</v>
          </cell>
        </row>
        <row r="2351">
          <cell r="D2351" t="str">
            <v>7818-20815</v>
          </cell>
          <cell r="M2351" t="str">
            <v>1Z5063E0YW42568439</v>
          </cell>
        </row>
        <row r="2352">
          <cell r="D2352" t="str">
            <v>7818-08651</v>
          </cell>
          <cell r="M2352" t="str">
            <v>1Z5063E0YW42930215</v>
          </cell>
        </row>
        <row r="2353">
          <cell r="D2353" t="str">
            <v>7818-24246</v>
          </cell>
          <cell r="M2353" t="str">
            <v>1Z5063E0YW42513747</v>
          </cell>
        </row>
        <row r="2354">
          <cell r="D2354" t="str">
            <v>7818-05885</v>
          </cell>
          <cell r="M2354" t="str">
            <v>1Z5063E0YW41254403</v>
          </cell>
        </row>
        <row r="2355">
          <cell r="D2355" t="str">
            <v>7812-02799</v>
          </cell>
          <cell r="M2355" t="str">
            <v>1Z5063E0YW41548355</v>
          </cell>
        </row>
        <row r="2356">
          <cell r="D2356" t="str">
            <v>7818-25484</v>
          </cell>
          <cell r="M2356" t="str">
            <v>1Z5063E0YW42951112</v>
          </cell>
        </row>
        <row r="2357">
          <cell r="D2357" t="str">
            <v>7818-28409</v>
          </cell>
          <cell r="M2357" t="str">
            <v>1Z5063E0YW40479128</v>
          </cell>
        </row>
        <row r="2358">
          <cell r="D2358" t="str">
            <v>7818-28695</v>
          </cell>
          <cell r="M2358" t="str">
            <v>1Z5063E0YW40642110</v>
          </cell>
        </row>
        <row r="2359">
          <cell r="D2359" t="str">
            <v>7818-28697</v>
          </cell>
          <cell r="M2359" t="str">
            <v>9402 1112 0620 7019 6748 84</v>
          </cell>
        </row>
        <row r="2360">
          <cell r="D2360" t="str">
            <v>7818-01593</v>
          </cell>
          <cell r="M2360" t="str">
            <v>1Z5063E0YW42986451</v>
          </cell>
        </row>
        <row r="2361">
          <cell r="D2361" t="str">
            <v>7823-02811</v>
          </cell>
          <cell r="M2361" t="str">
            <v>1Z5063E0YW41821219</v>
          </cell>
        </row>
        <row r="2362">
          <cell r="D2362" t="str">
            <v>7818-22268</v>
          </cell>
          <cell r="M2362" t="str">
            <v>1Z5063E0YW42672174</v>
          </cell>
        </row>
        <row r="2363">
          <cell r="D2363" t="str">
            <v>7818-26089</v>
          </cell>
          <cell r="M2363" t="str">
            <v>1Z5063E0YW42193263</v>
          </cell>
        </row>
        <row r="2364">
          <cell r="D2364" t="str">
            <v>7818-23032</v>
          </cell>
          <cell r="M2364" t="str">
            <v>1Z5063E0YW40553805</v>
          </cell>
        </row>
        <row r="2365">
          <cell r="D2365" t="str">
            <v>7818-18633</v>
          </cell>
          <cell r="M2365" t="str">
            <v>1Z5063E0YW40807577</v>
          </cell>
        </row>
        <row r="2366">
          <cell r="D2366" t="str">
            <v>7810-01734</v>
          </cell>
          <cell r="M2366" t="str">
            <v>1Z5063E0YW41692323</v>
          </cell>
        </row>
        <row r="2367">
          <cell r="D2367" t="str">
            <v>7818-28005</v>
          </cell>
          <cell r="M2367" t="str">
            <v>1Z5063E0YW41873557</v>
          </cell>
        </row>
        <row r="2368">
          <cell r="D2368" t="str">
            <v>7818-26088</v>
          </cell>
          <cell r="M2368" t="str">
            <v>1Z5063E0YW41737614</v>
          </cell>
        </row>
        <row r="2369">
          <cell r="D2369" t="str">
            <v>7818-25152</v>
          </cell>
          <cell r="M2369" t="str">
            <v>1Z5063E0YW42331229</v>
          </cell>
        </row>
        <row r="2370">
          <cell r="D2370" t="str">
            <v>7812-3707</v>
          </cell>
          <cell r="M2370" t="str">
            <v>1Z5063E0YW42932786</v>
          </cell>
        </row>
        <row r="2371">
          <cell r="D2371" t="str">
            <v>7818-28694</v>
          </cell>
          <cell r="M2371" t="str">
            <v>1Z5063E0YW41780193</v>
          </cell>
        </row>
        <row r="2372">
          <cell r="D2372" t="str">
            <v>7818-21949</v>
          </cell>
          <cell r="M2372" t="str">
            <v>1Z5063E0YW40850645</v>
          </cell>
        </row>
        <row r="2373">
          <cell r="D2373" t="str">
            <v>7818-28397</v>
          </cell>
          <cell r="M2373" t="str">
            <v>1Z5063E0YW41165885</v>
          </cell>
        </row>
        <row r="2374">
          <cell r="D2374" t="str">
            <v>7818-26200</v>
          </cell>
          <cell r="M2374" t="str">
            <v>1Z5063E0YW40185187</v>
          </cell>
        </row>
        <row r="2375">
          <cell r="D2375" t="str">
            <v>7818-10763</v>
          </cell>
          <cell r="M2375" t="str">
            <v>1Z5063E0YW41426067</v>
          </cell>
        </row>
        <row r="2376">
          <cell r="D2376" t="str">
            <v>7818-07848</v>
          </cell>
          <cell r="M2376" t="str">
            <v>1Z5063E0YW40271833</v>
          </cell>
        </row>
        <row r="2377">
          <cell r="D2377" t="str">
            <v>7818-17082</v>
          </cell>
          <cell r="M2377" t="str">
            <v>1Z5063E0YW41502206</v>
          </cell>
        </row>
        <row r="2378">
          <cell r="D2378" t="str">
            <v>7818-27169</v>
          </cell>
          <cell r="M2378" t="str">
            <v>1Z5063E0YW41000598</v>
          </cell>
        </row>
        <row r="2379">
          <cell r="D2379" t="str">
            <v>7818-22960</v>
          </cell>
          <cell r="M2379" t="str">
            <v>1Z5063E0YW42374013</v>
          </cell>
        </row>
        <row r="2380">
          <cell r="D2380" t="str">
            <v>7818-26609</v>
          </cell>
          <cell r="M2380" t="str">
            <v>1Z5063E0YW41654856</v>
          </cell>
        </row>
        <row r="2381">
          <cell r="D2381" t="str">
            <v>7818-01312</v>
          </cell>
          <cell r="M2381" t="str">
            <v>1Z5063E0YW40163076</v>
          </cell>
        </row>
        <row r="2382">
          <cell r="D2382" t="str">
            <v>7812-29779</v>
          </cell>
          <cell r="M2382" t="str">
            <v>9400 1112 0620 7626 5364 30</v>
          </cell>
        </row>
        <row r="2383">
          <cell r="D2383" t="str">
            <v>7823-02623</v>
          </cell>
          <cell r="M2383" t="str">
            <v>1Z5063E0YW40596886</v>
          </cell>
        </row>
        <row r="2384">
          <cell r="D2384" t="str">
            <v>7818-00815</v>
          </cell>
          <cell r="M2384" t="str">
            <v>1Z5063E0YW41390248</v>
          </cell>
        </row>
        <row r="2385">
          <cell r="D2385" t="str">
            <v>7818-16822</v>
          </cell>
          <cell r="M2385" t="str">
            <v>1Z5063E0YW41038674</v>
          </cell>
        </row>
        <row r="2386">
          <cell r="D2386" t="str">
            <v>7818-26583</v>
          </cell>
          <cell r="M2386" t="str">
            <v>1Z5063E0YW41180028</v>
          </cell>
        </row>
        <row r="2387">
          <cell r="D2387" t="str">
            <v>7818-20412</v>
          </cell>
          <cell r="M2387" t="str">
            <v>9400 1112 0620 7626 2008 05</v>
          </cell>
        </row>
        <row r="2388">
          <cell r="D2388" t="str">
            <v>7818-27184</v>
          </cell>
          <cell r="M2388" t="str">
            <v>9402 1112 0620 7626 2515 77</v>
          </cell>
        </row>
        <row r="2389">
          <cell r="D2389" t="str">
            <v>7818-29536</v>
          </cell>
          <cell r="M2389" t="str">
            <v>9400 1112 0620 7626 2826 03</v>
          </cell>
        </row>
        <row r="2390">
          <cell r="D2390" t="str">
            <v>7823-02554</v>
          </cell>
          <cell r="M2390" t="str">
            <v>9402 1112 0620 7626 2677 76</v>
          </cell>
        </row>
        <row r="2391">
          <cell r="D2391" t="str">
            <v>7818-29802</v>
          </cell>
          <cell r="M2391" t="str">
            <v>9405 5112 0620 7629 6244 65</v>
          </cell>
        </row>
        <row r="2392">
          <cell r="D2392" t="str">
            <v>7823-02875</v>
          </cell>
          <cell r="M2392" t="str">
            <v>1Z5063E0YW40506295</v>
          </cell>
        </row>
        <row r="2393">
          <cell r="D2393" t="str">
            <v>7818-30795</v>
          </cell>
          <cell r="M2393" t="str">
            <v>1Z5063E0YW41643251</v>
          </cell>
        </row>
        <row r="2394">
          <cell r="D2394" t="str">
            <v>7818-24322</v>
          </cell>
          <cell r="M2394" t="str">
            <v>1Z5063E0YW42531665</v>
          </cell>
        </row>
        <row r="2395">
          <cell r="D2395" t="str">
            <v>7818-12124</v>
          </cell>
          <cell r="M2395" t="str">
            <v>1Z5063E0YW40905176</v>
          </cell>
        </row>
        <row r="2396">
          <cell r="D2396" t="str">
            <v>7818-07914</v>
          </cell>
          <cell r="M2396" t="str">
            <v>1Z5063E0YW41964235</v>
          </cell>
        </row>
        <row r="2397">
          <cell r="D2397" t="str">
            <v>7818-26037</v>
          </cell>
          <cell r="M2397" t="str">
            <v>9402 1112 0620 7695 4857 50</v>
          </cell>
        </row>
        <row r="2398">
          <cell r="D2398" t="str">
            <v>7823-02599</v>
          </cell>
          <cell r="M2398" t="str">
            <v>9402 1112 0620 7695 4539 40</v>
          </cell>
        </row>
        <row r="2399">
          <cell r="D2399" t="str">
            <v>7818-18532</v>
          </cell>
          <cell r="M2399" t="str">
            <v>9402 1112 0620 7694 0627 78</v>
          </cell>
        </row>
        <row r="2400">
          <cell r="D2400" t="str">
            <v>7818-29778</v>
          </cell>
          <cell r="M2400" t="str">
            <v>9402 1112 0620 7694 0236 25</v>
          </cell>
        </row>
        <row r="2401">
          <cell r="D2401" t="str">
            <v>7823-03027</v>
          </cell>
          <cell r="M2401" t="str">
            <v>9402 1112 0620 7695 4713 71</v>
          </cell>
        </row>
        <row r="2402">
          <cell r="D2402" t="str">
            <v>7823-03007</v>
          </cell>
          <cell r="M2402" t="str">
            <v>9402 1112 0620 7696 9218 44</v>
          </cell>
        </row>
        <row r="2403">
          <cell r="D2403" t="str">
            <v>7812-3708</v>
          </cell>
          <cell r="M2403" t="str">
            <v>1Z5063E0YW40411762</v>
          </cell>
        </row>
        <row r="2404">
          <cell r="D2404" t="str">
            <v>7818-26508</v>
          </cell>
          <cell r="M2404" t="str">
            <v>9402 1112 0620 7691 8141 34</v>
          </cell>
        </row>
        <row r="2405">
          <cell r="D2405" t="str">
            <v>7818-29789</v>
          </cell>
          <cell r="M2405" t="str">
            <v>9400 1112 0620 7691 8333 66</v>
          </cell>
        </row>
        <row r="2406">
          <cell r="D2406" t="str">
            <v>7818-21701</v>
          </cell>
          <cell r="M2406" t="str">
            <v>9402 1112 0620 7694 0957 76</v>
          </cell>
        </row>
        <row r="2407">
          <cell r="D2407" t="str">
            <v>7823-03030</v>
          </cell>
          <cell r="M2407" t="str">
            <v>1Z5063E0YW40693315</v>
          </cell>
        </row>
        <row r="2408">
          <cell r="D2408" t="str">
            <v>7823-02555</v>
          </cell>
          <cell r="M2408" t="str">
            <v>9400 1112 0620 7695 4659 38</v>
          </cell>
        </row>
        <row r="2409">
          <cell r="D2409" t="str">
            <v>7823-02485</v>
          </cell>
          <cell r="M2409" t="str">
            <v>9400 1112 0620 7694 0213 64</v>
          </cell>
        </row>
        <row r="2410">
          <cell r="D2410" t="str">
            <v>7818-07313</v>
          </cell>
          <cell r="M2410" t="str">
            <v>9402 1112 0620 7606 2525 56</v>
          </cell>
        </row>
        <row r="2411">
          <cell r="D2411" t="str">
            <v>7818-25953</v>
          </cell>
          <cell r="M2411" t="str">
            <v>1Z5063E0YW42429526</v>
          </cell>
        </row>
        <row r="2412">
          <cell r="D2412" t="str">
            <v>7812-02983</v>
          </cell>
          <cell r="M2412" t="str">
            <v>1Z5063E0YW40303736</v>
          </cell>
        </row>
        <row r="2413">
          <cell r="D2413" t="str">
            <v>7818-22415</v>
          </cell>
          <cell r="M2413" t="str">
            <v>1Z5063E0YW42562757</v>
          </cell>
        </row>
        <row r="2414">
          <cell r="D2414" t="str">
            <v>7818-29929</v>
          </cell>
          <cell r="M2414" t="str">
            <v>1Z5063E0YW42754433</v>
          </cell>
        </row>
        <row r="2415">
          <cell r="D2415" t="str">
            <v>7818-26196</v>
          </cell>
          <cell r="M2415" t="str">
            <v>1Z5063E0YW41706979</v>
          </cell>
        </row>
        <row r="2416">
          <cell r="D2416" t="str">
            <v>7810-01864</v>
          </cell>
          <cell r="M2416" t="str">
            <v>1Z5063E0YW42586204</v>
          </cell>
        </row>
        <row r="2417">
          <cell r="D2417" t="str">
            <v>7810-02116</v>
          </cell>
          <cell r="M2417" t="str">
            <v>1Z5063E0YW41080145</v>
          </cell>
        </row>
        <row r="2418">
          <cell r="D2418" t="str">
            <v>7810-02113</v>
          </cell>
          <cell r="M2418" t="str">
            <v>1Z5063E0YW41835562</v>
          </cell>
        </row>
        <row r="2419">
          <cell r="D2419" t="str">
            <v>7818-09534</v>
          </cell>
          <cell r="M2419" t="str">
            <v>1Z5063E0YW41886221</v>
          </cell>
        </row>
        <row r="2420">
          <cell r="D2420" t="str">
            <v>7818-24453</v>
          </cell>
          <cell r="M2420" t="str">
            <v>9400 1112 0620 7661 2139 21</v>
          </cell>
        </row>
        <row r="2421">
          <cell r="D2421" t="str">
            <v>7818-16033</v>
          </cell>
          <cell r="M2421" t="str">
            <v>9400 1112 0620 7661 2422 42</v>
          </cell>
        </row>
        <row r="2422">
          <cell r="D2422" t="str">
            <v>7812-3939</v>
          </cell>
          <cell r="M2422" t="str">
            <v>9402 1112 0620 7661 2766 10</v>
          </cell>
        </row>
        <row r="2423">
          <cell r="D2423" t="str">
            <v>7812-3944</v>
          </cell>
          <cell r="M2423" t="str">
            <v>1Z5063E0YW42564031</v>
          </cell>
        </row>
        <row r="2424">
          <cell r="D2424" t="str">
            <v>7810-01903</v>
          </cell>
          <cell r="M2424" t="str">
            <v>1Z5063E0YW40436790</v>
          </cell>
        </row>
        <row r="2425">
          <cell r="D2425" t="str">
            <v>7818-24944</v>
          </cell>
          <cell r="M2425" t="str">
            <v>1Z5063E0YW42521747</v>
          </cell>
        </row>
        <row r="2426">
          <cell r="D2426" t="str">
            <v>7818-17698</v>
          </cell>
          <cell r="M2426" t="str">
            <v>1Z5063E0YW40286443</v>
          </cell>
        </row>
        <row r="2427">
          <cell r="D2427" t="str">
            <v>7818-12246</v>
          </cell>
          <cell r="M2427" t="str">
            <v>1Z5063E0YW40058216</v>
          </cell>
        </row>
        <row r="2428">
          <cell r="D2428" t="str">
            <v>7810-01738</v>
          </cell>
          <cell r="M2428" t="str">
            <v>9400 1112 0620 7661 3569 18</v>
          </cell>
        </row>
        <row r="2429">
          <cell r="D2429" t="str">
            <v>7812-3534</v>
          </cell>
          <cell r="M2429" t="str">
            <v>9402 1112 0620 7661 3060 72</v>
          </cell>
        </row>
        <row r="2430">
          <cell r="D2430" t="str">
            <v>7823-02393</v>
          </cell>
          <cell r="M2430" t="str">
            <v>1Z5063E0YW42816438</v>
          </cell>
        </row>
        <row r="2431">
          <cell r="D2431" t="str">
            <v>7818-11378</v>
          </cell>
          <cell r="M2431" t="str">
            <v>1Z5063E0YW40063826</v>
          </cell>
        </row>
        <row r="2432">
          <cell r="D2432" t="str">
            <v>7812-3575</v>
          </cell>
          <cell r="M2432" t="str">
            <v>1Z5063E0YW41217382</v>
          </cell>
        </row>
        <row r="2433">
          <cell r="D2433" t="str">
            <v>7810-01838</v>
          </cell>
          <cell r="M2433" t="str">
            <v>1Z5063E0YW40116359</v>
          </cell>
        </row>
        <row r="2434">
          <cell r="D2434" t="str">
            <v>7818-22687</v>
          </cell>
          <cell r="M2434" t="str">
            <v>1Z5063E0YW41622407</v>
          </cell>
        </row>
        <row r="2435">
          <cell r="D2435" t="str">
            <v>7818-26587</v>
          </cell>
          <cell r="M2435" t="str">
            <v>9402 1112 0620 7682 9748 54</v>
          </cell>
        </row>
        <row r="2436">
          <cell r="D2436" t="str">
            <v>7823-02747</v>
          </cell>
          <cell r="M2436" t="str">
            <v>1Z5063E0YW42714002</v>
          </cell>
        </row>
        <row r="2437">
          <cell r="D2437" t="str">
            <v>7818-07976</v>
          </cell>
          <cell r="M2437" t="str">
            <v>1Z5063E0YW41337047</v>
          </cell>
        </row>
        <row r="2438">
          <cell r="D2438" t="str">
            <v>7818-20138</v>
          </cell>
          <cell r="M2438" t="str">
            <v>1Z5063E0YW42506844</v>
          </cell>
        </row>
        <row r="2439">
          <cell r="D2439" t="str">
            <v>7818-19832</v>
          </cell>
          <cell r="M2439" t="str">
            <v>1Z5063E0YW40261817</v>
          </cell>
        </row>
        <row r="2440">
          <cell r="D2440" t="str">
            <v>7810-02110</v>
          </cell>
          <cell r="M2440" t="str">
            <v>1Z5063E0YW42536900</v>
          </cell>
        </row>
        <row r="2441">
          <cell r="D2441" t="str">
            <v>7810-02117</v>
          </cell>
          <cell r="M2441" t="str">
            <v>1Z5063E0YW42908222</v>
          </cell>
        </row>
        <row r="2442">
          <cell r="D2442" t="str">
            <v>7810-02115</v>
          </cell>
          <cell r="M2442" t="str">
            <v>1Z5063E0YW42341165</v>
          </cell>
        </row>
        <row r="2443">
          <cell r="D2443" t="str">
            <v>7818-26842</v>
          </cell>
          <cell r="M2443" t="str">
            <v>9402 1112 0620 7682 9322 43</v>
          </cell>
        </row>
        <row r="2444">
          <cell r="D2444" t="str">
            <v>7818-29796</v>
          </cell>
          <cell r="M2444" t="str">
            <v>9402 1112 0620 7682 6042 94</v>
          </cell>
        </row>
        <row r="2445">
          <cell r="D2445" t="str">
            <v>7818-19157</v>
          </cell>
          <cell r="M2445" t="str">
            <v>1Z5063E0YW41684869</v>
          </cell>
        </row>
        <row r="2446">
          <cell r="D2446" t="str">
            <v>7810-01801</v>
          </cell>
          <cell r="M2446" t="str">
            <v>9402 1112 0620 7754 6067 82</v>
          </cell>
        </row>
        <row r="2447">
          <cell r="D2447" t="str">
            <v>7818-17394</v>
          </cell>
          <cell r="M2447" t="str">
            <v>9402 1112 0620 7209 4583 24</v>
          </cell>
        </row>
        <row r="2448">
          <cell r="D2448" t="str">
            <v>7812-03670</v>
          </cell>
          <cell r="M2448" t="str">
            <v>9402 1112 0620 7239 7555 78</v>
          </cell>
        </row>
        <row r="2449">
          <cell r="D2449" t="str">
            <v>7818-29802</v>
          </cell>
          <cell r="M2449" t="str">
            <v>1Z5063E0YW40518620</v>
          </cell>
        </row>
        <row r="2450">
          <cell r="D2450" t="str">
            <v>7823-02779</v>
          </cell>
          <cell r="M2450" t="str">
            <v>9402 1112 0620 7688 7979 76</v>
          </cell>
        </row>
        <row r="2451">
          <cell r="D2451" t="str">
            <v>7823-02549</v>
          </cell>
          <cell r="M2451" t="str">
            <v>9402 1112 0620 7688 7573 21</v>
          </cell>
        </row>
        <row r="2452">
          <cell r="D2452" t="str">
            <v>7823-02556</v>
          </cell>
          <cell r="M2452" t="str">
            <v>9402 1112 0620 7688 7208 44</v>
          </cell>
        </row>
        <row r="2453">
          <cell r="D2453" t="str">
            <v>7818-29768</v>
          </cell>
          <cell r="M2453" t="str">
            <v>9400 1112 0620 7688 7754 19</v>
          </cell>
        </row>
        <row r="2454">
          <cell r="D2454" t="str">
            <v>7823-02681</v>
          </cell>
          <cell r="M2454" t="str">
            <v>1Z5063E0YW40250427</v>
          </cell>
        </row>
        <row r="2455">
          <cell r="D2455" t="str">
            <v>7823-02907</v>
          </cell>
          <cell r="M2455" t="str">
            <v>1Z5063E0YW41915672</v>
          </cell>
        </row>
        <row r="2456">
          <cell r="D2456" t="str">
            <v>7823-02605</v>
          </cell>
          <cell r="M2456" t="str">
            <v>1Z5063E0YW42762639</v>
          </cell>
        </row>
        <row r="2457">
          <cell r="D2457" t="str">
            <v>7818-26199</v>
          </cell>
          <cell r="M2457" t="str">
            <v>1Z5063E0YW40637877</v>
          </cell>
        </row>
        <row r="2458">
          <cell r="D2458" t="str">
            <v>7818-27312</v>
          </cell>
          <cell r="M2458" t="str">
            <v>9400 1112 0620 7659 4887 13</v>
          </cell>
        </row>
        <row r="2459">
          <cell r="D2459" t="str">
            <v>7823-02550</v>
          </cell>
          <cell r="M2459" t="str">
            <v>9400 1112 0620 7688 7991 56</v>
          </cell>
        </row>
        <row r="2460">
          <cell r="D2460" t="str">
            <v>7818-30918</v>
          </cell>
          <cell r="M2460" t="str">
            <v>9402 1112 0620 7696 9049 53</v>
          </cell>
        </row>
        <row r="2461">
          <cell r="D2461" t="str">
            <v>7818-25287</v>
          </cell>
          <cell r="M2461" t="str">
            <v>9402 1112 0620 7659 6492 11</v>
          </cell>
        </row>
        <row r="2462">
          <cell r="D2462" t="str">
            <v>7823-03355</v>
          </cell>
          <cell r="M2462" t="str">
            <v>1Z5063E0YW40182886</v>
          </cell>
        </row>
        <row r="2463">
          <cell r="D2463" t="str">
            <v>7818-23228</v>
          </cell>
          <cell r="M2463" t="str">
            <v>9402 1112 0620 7659 4082 52</v>
          </cell>
        </row>
        <row r="2464">
          <cell r="D2464" t="str">
            <v>7823-02117</v>
          </cell>
          <cell r="M2464" t="str">
            <v>9400 1112 0620 7659 6365 10</v>
          </cell>
        </row>
        <row r="2465">
          <cell r="D2465" t="str">
            <v>7823-02304</v>
          </cell>
          <cell r="M2465" t="str">
            <v>9402 1112 0620 7688 7625 30</v>
          </cell>
        </row>
        <row r="2466">
          <cell r="D2466" t="str">
            <v>7818-24331</v>
          </cell>
          <cell r="M2466" t="str">
            <v>9400 1112 0620 7644 8344 95</v>
          </cell>
        </row>
        <row r="2467">
          <cell r="D2467" t="str">
            <v>7829-00047</v>
          </cell>
          <cell r="M2467" t="str">
            <v>9402 1112 0620 7644 8586 42</v>
          </cell>
        </row>
        <row r="2468">
          <cell r="D2468" t="str">
            <v>7818-29799</v>
          </cell>
          <cell r="M2468" t="str">
            <v>9400 1112 0620 7644 8715 37</v>
          </cell>
        </row>
        <row r="2469">
          <cell r="D2469" t="str">
            <v>7810-02164</v>
          </cell>
          <cell r="M2469" t="str">
            <v>9402 1112 0620 7644 8276 48</v>
          </cell>
        </row>
        <row r="2470">
          <cell r="D2470" t="str">
            <v>7818-20305</v>
          </cell>
          <cell r="M2470" t="str">
            <v>9402 1112 0620 7644 8116 47</v>
          </cell>
        </row>
        <row r="2471">
          <cell r="D2471" t="str">
            <v>7810-01703</v>
          </cell>
          <cell r="M2471" t="str">
            <v>1Z5063E0YW40675755</v>
          </cell>
        </row>
        <row r="2472">
          <cell r="D2472" t="str">
            <v>7810-02213</v>
          </cell>
          <cell r="M2472" t="str">
            <v>9402 1112 0620 7644 8913 04</v>
          </cell>
        </row>
        <row r="2473">
          <cell r="D2473" t="str">
            <v>7823-02776</v>
          </cell>
          <cell r="M2473" t="str">
            <v>9402 1112 0620 7644 8793 88</v>
          </cell>
        </row>
        <row r="2474">
          <cell r="D2474" t="str">
            <v>7818-29405</v>
          </cell>
          <cell r="M2474" t="str">
            <v>1Z5063E0YW42149249</v>
          </cell>
        </row>
        <row r="2475">
          <cell r="D2475" t="str">
            <v>7818-29585</v>
          </cell>
          <cell r="M2475" t="str">
            <v>1Z5063E0YW42196822</v>
          </cell>
        </row>
        <row r="2476">
          <cell r="D2476" t="str">
            <v>7818-19961</v>
          </cell>
          <cell r="M2476" t="str">
            <v>1Z5063E0YW41609397</v>
          </cell>
        </row>
        <row r="2477">
          <cell r="D2477" t="str">
            <v>7818-26861</v>
          </cell>
          <cell r="M2477" t="str">
            <v>1Z5063E0YW41297984</v>
          </cell>
        </row>
        <row r="2478">
          <cell r="D2478" t="str">
            <v>7818-19696</v>
          </cell>
          <cell r="M2478" t="str">
            <v>1Z5063E0YW40608569</v>
          </cell>
        </row>
        <row r="2479">
          <cell r="D2479" t="str">
            <v>7823-02187</v>
          </cell>
          <cell r="M2479" t="str">
            <v>1Z5063E0YW42733143</v>
          </cell>
        </row>
        <row r="2480">
          <cell r="D2480" t="str">
            <v>7818-12242</v>
          </cell>
          <cell r="M2480" t="str">
            <v>1Z5063E0YW40696732</v>
          </cell>
        </row>
        <row r="2481">
          <cell r="D2481" t="str">
            <v>7818-26860</v>
          </cell>
          <cell r="M2481" t="str">
            <v>1Z5063E0YW40739445</v>
          </cell>
        </row>
        <row r="2482">
          <cell r="D2482" t="str">
            <v>7818-24949</v>
          </cell>
          <cell r="M2482" t="str">
            <v>1Z5063E0YW40319658</v>
          </cell>
        </row>
        <row r="2483">
          <cell r="D2483" t="str">
            <v>7823-02780</v>
          </cell>
          <cell r="M2483" t="str">
            <v>1Z5063E0YW42259871</v>
          </cell>
        </row>
        <row r="2484">
          <cell r="D2484" t="str">
            <v>7818-20406</v>
          </cell>
          <cell r="M2484" t="str">
            <v>1Z5063E0YW42771085</v>
          </cell>
        </row>
        <row r="2485">
          <cell r="D2485" t="str">
            <v>7818-27191</v>
          </cell>
          <cell r="M2485" t="str">
            <v>1Z5063E0YW40072423</v>
          </cell>
        </row>
        <row r="2486">
          <cell r="D2486" t="str">
            <v>7818-07851</v>
          </cell>
          <cell r="M2486" t="str">
            <v>1Z5063E0YW40066869</v>
          </cell>
        </row>
        <row r="2487">
          <cell r="D2487" t="str">
            <v>7818-29927</v>
          </cell>
          <cell r="M2487" t="str">
            <v>1Z5063E0YW41792804</v>
          </cell>
        </row>
        <row r="2488">
          <cell r="D2488" t="str">
            <v>7823-02613</v>
          </cell>
          <cell r="M2488" t="str">
            <v>1Z5063E0YW41068669</v>
          </cell>
        </row>
        <row r="2489">
          <cell r="D2489" t="str">
            <v>7812-02800</v>
          </cell>
          <cell r="M2489" t="str">
            <v>1Z5063E0YW42327001</v>
          </cell>
        </row>
        <row r="2490">
          <cell r="D2490" t="str">
            <v>7810-02109</v>
          </cell>
          <cell r="M2490" t="str">
            <v>1Z5063E0YW40534817</v>
          </cell>
        </row>
        <row r="2491">
          <cell r="D2491" t="str">
            <v>7818-16790</v>
          </cell>
          <cell r="M2491" t="str">
            <v>9402 1112 0620 7643 6795 21</v>
          </cell>
        </row>
        <row r="2492">
          <cell r="D2492" t="str">
            <v>7818-21666</v>
          </cell>
          <cell r="M2492" t="str">
            <v>1Z5063E0YW40793850</v>
          </cell>
        </row>
        <row r="2493">
          <cell r="D2493" t="str">
            <v>7818-16183</v>
          </cell>
          <cell r="M2493" t="str">
            <v>1Z5063E0YW41757030</v>
          </cell>
        </row>
        <row r="2494">
          <cell r="D2494" t="str">
            <v>7818-25137</v>
          </cell>
          <cell r="M2494" t="str">
            <v>1Z5063E0YW40250838</v>
          </cell>
        </row>
        <row r="2495">
          <cell r="D2495" t="str">
            <v>7818-29944</v>
          </cell>
          <cell r="M2495" t="str">
            <v>1Z5063E0YW41039048</v>
          </cell>
        </row>
        <row r="2496">
          <cell r="D2496" t="str">
            <v>7818-09307</v>
          </cell>
          <cell r="M2496" t="str">
            <v>9402 1112 0620 7672 1848 74</v>
          </cell>
        </row>
        <row r="2497">
          <cell r="D2497" t="str">
            <v>7818-24367</v>
          </cell>
          <cell r="M2497" t="str">
            <v>9402 1112 0620 7671 6278 84</v>
          </cell>
        </row>
        <row r="2498">
          <cell r="D2498" t="str">
            <v>7818-25293</v>
          </cell>
          <cell r="M2498" t="str">
            <v>9402 1112 0620 7672 1507 56</v>
          </cell>
        </row>
        <row r="2499">
          <cell r="D2499" t="str">
            <v>7823-02834</v>
          </cell>
          <cell r="M2499" t="str">
            <v>9402 1112 0620 7671 6291 85</v>
          </cell>
        </row>
        <row r="2500">
          <cell r="D2500" t="str">
            <v>7823-02539</v>
          </cell>
          <cell r="M2500" t="str">
            <v>9402 1112 0620 7672 1699 94</v>
          </cell>
        </row>
        <row r="2501">
          <cell r="D2501" t="str">
            <v>7812-3841</v>
          </cell>
          <cell r="M2501" t="str">
            <v>9400 1112 0620 7672 1605 73</v>
          </cell>
        </row>
        <row r="2502">
          <cell r="D2502" t="str">
            <v>7818-23229</v>
          </cell>
          <cell r="M2502" t="str">
            <v>9402 1112 0620 7672 4345 28</v>
          </cell>
        </row>
        <row r="2503">
          <cell r="D2503" t="str">
            <v>7810-02122</v>
          </cell>
          <cell r="M2503" t="str">
            <v>9402 1112 0620 7671 6474 24</v>
          </cell>
        </row>
        <row r="2504">
          <cell r="D2504" t="str">
            <v>7818-16338</v>
          </cell>
          <cell r="M2504" t="str">
            <v>9400 1112 0620 7671 6771 71</v>
          </cell>
        </row>
        <row r="2505">
          <cell r="D2505" t="str">
            <v>7818-26849</v>
          </cell>
          <cell r="M2505" t="str">
            <v>9402 1112 0620 7671 6959 06</v>
          </cell>
        </row>
        <row r="2506">
          <cell r="D2506" t="str">
            <v>7818-06930</v>
          </cell>
          <cell r="M2506" t="str">
            <v>9402 1112 0620 7672 1008 05</v>
          </cell>
        </row>
        <row r="2507">
          <cell r="D2507" t="str">
            <v>7818-21350</v>
          </cell>
          <cell r="M2507" t="str">
            <v>1Z5063E0YW42179029</v>
          </cell>
        </row>
        <row r="2508">
          <cell r="D2508" t="str">
            <v>7818-28137</v>
          </cell>
          <cell r="M2508" t="str">
            <v>1Z5063E0YW41229682</v>
          </cell>
        </row>
        <row r="2509">
          <cell r="D2509" t="str">
            <v>7818-14057</v>
          </cell>
          <cell r="M2509" t="str">
            <v>1Z5063E0YW42660392</v>
          </cell>
        </row>
        <row r="2510">
          <cell r="D2510" t="str">
            <v>7818-23665</v>
          </cell>
          <cell r="M2510" t="str">
            <v>1Z5063E0YW42506479</v>
          </cell>
        </row>
        <row r="2511">
          <cell r="D2511" t="str">
            <v>7818-31052</v>
          </cell>
          <cell r="M2511" t="str">
            <v>1Z5063E0YW41141463</v>
          </cell>
        </row>
        <row r="2512">
          <cell r="D2512" t="str">
            <v>7818-21657</v>
          </cell>
          <cell r="M2512" t="str">
            <v>1Z5063E0YW41353252</v>
          </cell>
        </row>
        <row r="2513">
          <cell r="D2513" t="str">
            <v>7810-02118</v>
          </cell>
          <cell r="M2513" t="str">
            <v>1Z5063E0YW40941207</v>
          </cell>
        </row>
        <row r="2514">
          <cell r="D2514" t="str">
            <v>7823-02164</v>
          </cell>
          <cell r="M2514" t="str">
            <v>1Z5063E0YW42360644</v>
          </cell>
        </row>
        <row r="2515">
          <cell r="D2515" t="str">
            <v>7818-10703</v>
          </cell>
          <cell r="M2515" t="str">
            <v>1Z5063E0YW40793010</v>
          </cell>
        </row>
        <row r="2516">
          <cell r="D2516" t="str">
            <v>7818-26863</v>
          </cell>
          <cell r="M2516" t="str">
            <v>1Z5063E0YW42348051</v>
          </cell>
        </row>
        <row r="2517">
          <cell r="D2517" t="str">
            <v>7818-16795</v>
          </cell>
          <cell r="M2517" t="str">
            <v>1Z5063E0YW42336064</v>
          </cell>
        </row>
        <row r="2518">
          <cell r="D2518" t="str">
            <v>7823-02813</v>
          </cell>
          <cell r="M2518" t="str">
            <v>1Z5063E0YW42165294</v>
          </cell>
        </row>
        <row r="2519">
          <cell r="D2519" t="str">
            <v>7818-21637</v>
          </cell>
          <cell r="M2519" t="str">
            <v>1Z5063E0YW40198002</v>
          </cell>
        </row>
        <row r="2520">
          <cell r="D2520" t="str">
            <v>7818-24635</v>
          </cell>
          <cell r="M2520" t="str">
            <v>1Z5063E0YW41532460</v>
          </cell>
        </row>
        <row r="2521">
          <cell r="D2521" t="str">
            <v>7823-01848</v>
          </cell>
          <cell r="M2521" t="str">
            <v>9402 1112 0620 7646 1280 88</v>
          </cell>
        </row>
        <row r="2522">
          <cell r="D2522" t="str">
            <v>7818-25221</v>
          </cell>
          <cell r="M2522" t="str">
            <v>1Z5063E0YW40651244</v>
          </cell>
        </row>
        <row r="2523">
          <cell r="D2523" t="str">
            <v>7818-18935</v>
          </cell>
          <cell r="M2523" t="str">
            <v>1Z5063E0YW40912837</v>
          </cell>
        </row>
        <row r="2524">
          <cell r="D2524" t="str">
            <v>7818-29588</v>
          </cell>
          <cell r="M2524" t="str">
            <v>1Z5063E0YW41559674</v>
          </cell>
        </row>
        <row r="2525">
          <cell r="D2525" t="str">
            <v>7812-03124</v>
          </cell>
          <cell r="M2525" t="str">
            <v>1Z5063E0YW42339767</v>
          </cell>
        </row>
        <row r="2526">
          <cell r="D2526" t="str">
            <v>7818-27253</v>
          </cell>
          <cell r="M2526" t="str">
            <v>1Z5063E0YW40891904</v>
          </cell>
        </row>
        <row r="2527">
          <cell r="D2527" t="str">
            <v>7818-29586</v>
          </cell>
          <cell r="M2527" t="str">
            <v>1Z5063E0YW40906880</v>
          </cell>
        </row>
        <row r="2528">
          <cell r="D2528" t="str">
            <v>7818-26746</v>
          </cell>
          <cell r="M2528" t="str">
            <v>1Z5063E0YW42435895</v>
          </cell>
        </row>
        <row r="2529">
          <cell r="D2529" t="str">
            <v>7810-01193</v>
          </cell>
          <cell r="M2529" t="str">
            <v>1Z5063E0YW41935856</v>
          </cell>
        </row>
        <row r="2530">
          <cell r="D2530" t="str">
            <v>7818-29920</v>
          </cell>
          <cell r="M2530" t="str">
            <v>1Z5063E0YW40116626</v>
          </cell>
        </row>
        <row r="2531">
          <cell r="D2531" t="str">
            <v>7818-26841</v>
          </cell>
          <cell r="M2531" t="str">
            <v>9400 1361 0605 3067 4966 35</v>
          </cell>
        </row>
        <row r="2532">
          <cell r="D2532" t="str">
            <v>7812-01482</v>
          </cell>
          <cell r="M2532" t="str">
            <v>1Z5063E0YW41069006</v>
          </cell>
        </row>
        <row r="2533">
          <cell r="D2533" t="str">
            <v>7818-20699</v>
          </cell>
          <cell r="M2533" t="str">
            <v>9405 5112 0620 9827 7623 83</v>
          </cell>
        </row>
        <row r="2534">
          <cell r="D2534" t="str">
            <v>7823-03029</v>
          </cell>
          <cell r="M2534" t="str">
            <v>9402 1112 0620 7672 1872 26</v>
          </cell>
        </row>
        <row r="2535">
          <cell r="D2535" t="str">
            <v>7818-29769</v>
          </cell>
          <cell r="M2535" t="str">
            <v>9400 1112 0620 9897 0937 04</v>
          </cell>
        </row>
        <row r="2536">
          <cell r="D2536" t="str">
            <v>7810-02121</v>
          </cell>
          <cell r="M2536" t="str">
            <v>9400 1361 0605 3075 5169 12</v>
          </cell>
        </row>
        <row r="2537">
          <cell r="D2537" t="str">
            <v>7818-24188</v>
          </cell>
          <cell r="M2537" t="str">
            <v>9400 1361 0605 3072 3347 86</v>
          </cell>
        </row>
        <row r="2538">
          <cell r="D2538" t="str">
            <v>7818-14055</v>
          </cell>
          <cell r="M2538" t="str">
            <v>9400 1361 0605 3072 3708 38</v>
          </cell>
        </row>
        <row r="2539">
          <cell r="D2539" t="str">
            <v>7823-02238</v>
          </cell>
          <cell r="M2539" t="str">
            <v>9400 1361 0605 3072 3635 19</v>
          </cell>
        </row>
        <row r="2540">
          <cell r="D2540" t="str">
            <v>7810-01584</v>
          </cell>
          <cell r="M2540" t="str">
            <v>9400 1361 0605 3072 3169 04</v>
          </cell>
        </row>
        <row r="2541">
          <cell r="D2541" t="str">
            <v>7823-03023</v>
          </cell>
          <cell r="M2541" t="str">
            <v>9400 1361 0605 3072 4289 11</v>
          </cell>
        </row>
        <row r="2542">
          <cell r="D2542" t="str">
            <v>7818-26062</v>
          </cell>
          <cell r="M2542" t="str">
            <v>9400 1361 0605 3072 4216 15</v>
          </cell>
        </row>
        <row r="2543">
          <cell r="D2543" t="str">
            <v>7818-22338</v>
          </cell>
          <cell r="M2543" t="str">
            <v>9400 1361 0605 3072 4131 39</v>
          </cell>
        </row>
        <row r="2544">
          <cell r="D2544" t="str">
            <v>7818-01595</v>
          </cell>
          <cell r="M2544" t="str">
            <v>9400 1361 0605 3072 3772 71</v>
          </cell>
        </row>
        <row r="2545">
          <cell r="D2545" t="str">
            <v>7818-26589</v>
          </cell>
          <cell r="M2545" t="str">
            <v>9400 1361 0605 3072 3249 47</v>
          </cell>
        </row>
        <row r="2546">
          <cell r="D2546" t="str">
            <v>7818-29942</v>
          </cell>
          <cell r="M2546" t="str">
            <v>9400 1361 0605 3072 3015 04</v>
          </cell>
        </row>
        <row r="2547">
          <cell r="D2547" t="str">
            <v>7818-26809</v>
          </cell>
          <cell r="M2547" t="str">
            <v>9402 1112 0620 9895 4328 79</v>
          </cell>
        </row>
        <row r="2548">
          <cell r="D2548" t="str">
            <v>7818-21131</v>
          </cell>
          <cell r="M2548" t="str">
            <v>9400 1112 0620 9895 1848 55</v>
          </cell>
        </row>
        <row r="2549">
          <cell r="D2549" t="str">
            <v>7818-18230</v>
          </cell>
          <cell r="M2549" t="str">
            <v>9400 1361 0605 3072 3505 02</v>
          </cell>
        </row>
        <row r="2550">
          <cell r="D2550" t="str">
            <v>7823-02765</v>
          </cell>
          <cell r="M2550" t="str">
            <v>9400 1361 0605 3075 5241 77</v>
          </cell>
        </row>
        <row r="2551">
          <cell r="D2551" t="str">
            <v>7810-01623</v>
          </cell>
          <cell r="M2551" t="str">
            <v>9400 1361 0605 3072 3113 50</v>
          </cell>
        </row>
        <row r="2552">
          <cell r="D2552" t="str">
            <v>7818-28085</v>
          </cell>
          <cell r="M2552" t="str">
            <v>9400 1361 0605 3075 5359 99</v>
          </cell>
        </row>
        <row r="2553">
          <cell r="D2553" t="str">
            <v>7818-28726</v>
          </cell>
          <cell r="M2553" t="str">
            <v>9400 1361 0605 3075 5408 01</v>
          </cell>
        </row>
        <row r="2554">
          <cell r="D2554" t="str">
            <v>7818-17695</v>
          </cell>
          <cell r="M2554" t="str">
            <v>9405 5112 0620 9895 4406 19</v>
          </cell>
        </row>
        <row r="2555">
          <cell r="D2555" t="str">
            <v>7133-00077</v>
          </cell>
          <cell r="M2555" t="str">
            <v>1Z5063E0YW42016294</v>
          </cell>
        </row>
        <row r="2556">
          <cell r="D2556" t="str">
            <v>7818-03053</v>
          </cell>
          <cell r="M2556" t="str">
            <v>9402 1112 0620 9897 0204 01</v>
          </cell>
        </row>
        <row r="2557">
          <cell r="D2557" t="str">
            <v>7812-01564</v>
          </cell>
          <cell r="M2557" t="str">
            <v>1Z5063E0YW40650665</v>
          </cell>
        </row>
        <row r="2558">
          <cell r="D2558" t="str">
            <v>7810-01795</v>
          </cell>
          <cell r="M2558" t="str">
            <v>9400 1361 0605 3087 1670 03</v>
          </cell>
        </row>
        <row r="2559">
          <cell r="D2559" t="str">
            <v>7818-23039</v>
          </cell>
          <cell r="M2559" t="str">
            <v>9400 1361 0605 3088 5643 75</v>
          </cell>
        </row>
        <row r="2560">
          <cell r="D2560" t="str">
            <v>7812-03126</v>
          </cell>
          <cell r="M2560" t="str">
            <v>9400 1361 0605 3088 5692 33</v>
          </cell>
        </row>
        <row r="2561">
          <cell r="D2561" t="str">
            <v>7812-4023</v>
          </cell>
          <cell r="M2561" t="str">
            <v>9400 1361 0605 3075 5463 84</v>
          </cell>
        </row>
        <row r="2562">
          <cell r="D2562" t="str">
            <v>7823-03332</v>
          </cell>
          <cell r="M2562" t="str">
            <v>9400 1361 0605 3088 5669 04</v>
          </cell>
        </row>
        <row r="2563">
          <cell r="D2563" t="str">
            <v>7818-29798</v>
          </cell>
          <cell r="M2563" t="str">
            <v>9400 1112 0620 9806 4574 43</v>
          </cell>
        </row>
        <row r="2564">
          <cell r="D2564" t="str">
            <v>7818-16713</v>
          </cell>
          <cell r="M2564" t="str">
            <v>9400 1361 0605 3094 5068 33</v>
          </cell>
        </row>
        <row r="2565">
          <cell r="D2565" t="str">
            <v>7818-31046</v>
          </cell>
          <cell r="M2565" t="str">
            <v>9400 1361 0605 3093 3573 13</v>
          </cell>
        </row>
        <row r="2566">
          <cell r="D2566" t="str">
            <v>7823-03375</v>
          </cell>
          <cell r="M2566" t="str">
            <v>9400 1361 0605 3092 4613 01</v>
          </cell>
        </row>
        <row r="2567">
          <cell r="D2567" t="str">
            <v>7818-24993</v>
          </cell>
          <cell r="M2567" t="str">
            <v>9400 1361 0605 3093 3380 53</v>
          </cell>
        </row>
        <row r="2568">
          <cell r="D2568" t="str">
            <v>7812-03413</v>
          </cell>
          <cell r="M2568" t="str">
            <v>9400 1361 0605 3094 5195 50</v>
          </cell>
        </row>
        <row r="2569">
          <cell r="D2569" t="str">
            <v>7818-29701</v>
          </cell>
          <cell r="M2569" t="str">
            <v>9400 1361 0605 3092 4829 86</v>
          </cell>
        </row>
        <row r="2570">
          <cell r="D2570" t="str">
            <v>7818-28422</v>
          </cell>
          <cell r="M2570" t="str">
            <v>9400 1361 0605 3094 5007 94</v>
          </cell>
        </row>
        <row r="2571">
          <cell r="D2571" t="str">
            <v>7818-28492</v>
          </cell>
          <cell r="M2571" t="str">
            <v>9400 1361 0605 3093 3172 25</v>
          </cell>
        </row>
        <row r="2572">
          <cell r="D2572" t="str">
            <v>7818-25115</v>
          </cell>
          <cell r="M2572" t="str">
            <v>9400 1361 0605 3094 4912 21</v>
          </cell>
        </row>
        <row r="2573">
          <cell r="D2573" t="str">
            <v>7818-21695</v>
          </cell>
          <cell r="M2573" t="str">
            <v>9400 1361 0605 3092 4506 33</v>
          </cell>
        </row>
        <row r="2574">
          <cell r="D2574" t="str">
            <v>7818-29590</v>
          </cell>
          <cell r="M2574" t="str">
            <v>9400 1112 0620 9806 4268 07</v>
          </cell>
        </row>
        <row r="2575">
          <cell r="D2575" t="str">
            <v>7818-04473</v>
          </cell>
          <cell r="M2575" t="str">
            <v>9400 1361 0605 3093 3484 72</v>
          </cell>
        </row>
        <row r="2576">
          <cell r="D2576" t="str">
            <v>7811-00197</v>
          </cell>
          <cell r="M2576" t="str">
            <v>9400 1361 0605 3092 4344 28</v>
          </cell>
        </row>
        <row r="2577">
          <cell r="D2577" t="str">
            <v>7812-4027</v>
          </cell>
          <cell r="M2577" t="str">
            <v>9400 1361 0605 3094 4966 77</v>
          </cell>
        </row>
        <row r="2578">
          <cell r="D2578" t="str">
            <v>7818-11323</v>
          </cell>
          <cell r="M2578" t="str">
            <v>9400 1361 0605 3106 5987 02</v>
          </cell>
        </row>
        <row r="2579">
          <cell r="D2579" t="str">
            <v>7818-19675</v>
          </cell>
          <cell r="M2579" t="str">
            <v>9402 1112 0620 9882 8116 25</v>
          </cell>
        </row>
        <row r="2580">
          <cell r="D2580" t="str">
            <v>7810-02227</v>
          </cell>
          <cell r="M2580" t="str">
            <v>9400 1112 0620 9882 8371 84</v>
          </cell>
        </row>
        <row r="2581">
          <cell r="D2581" t="str">
            <v>7818-10385</v>
          </cell>
          <cell r="M2581" t="str">
            <v>9402 1112 0620 9860 3913 16</v>
          </cell>
        </row>
        <row r="2582">
          <cell r="D2582" t="str">
            <v>7818-28132</v>
          </cell>
          <cell r="M2582" t="str">
            <v>9402 1112 0620 9882 8960 97</v>
          </cell>
        </row>
        <row r="2583">
          <cell r="D2583" t="str">
            <v>7823-02161</v>
          </cell>
          <cell r="M2583" t="str">
            <v>9400 1112 0620 9882 0801 15</v>
          </cell>
        </row>
        <row r="2584">
          <cell r="D2584" t="str">
            <v>7818-28031</v>
          </cell>
          <cell r="M2584" t="str">
            <v>9400 1361 0605 3116 8515 76</v>
          </cell>
        </row>
        <row r="2585">
          <cell r="D2585" t="str">
            <v>7818-25974</v>
          </cell>
          <cell r="M2585" t="str">
            <v>9400 1361 0605 3116 8805 38</v>
          </cell>
        </row>
        <row r="2586">
          <cell r="D2586" t="str">
            <v>7812-03131</v>
          </cell>
          <cell r="M2586" t="str">
            <v>9400 1361 0605 3116 8263 76</v>
          </cell>
        </row>
        <row r="2587">
          <cell r="D2587" t="str">
            <v>7818-26599</v>
          </cell>
          <cell r="M2587" t="str">
            <v>9400 1361 0605 3116 8005 29</v>
          </cell>
        </row>
        <row r="2588">
          <cell r="D2588" t="str">
            <v>7812-03020</v>
          </cell>
          <cell r="M2588" t="str">
            <v>9400 1361 0605 3118 1206 63</v>
          </cell>
        </row>
        <row r="2589">
          <cell r="D2589" t="str">
            <v>7812-03323</v>
          </cell>
          <cell r="M2589" t="str">
            <v>9402 1112 0620 9888 9984 12</v>
          </cell>
        </row>
        <row r="2590">
          <cell r="D2590" t="str">
            <v>7823-02846</v>
          </cell>
          <cell r="M2590" t="str">
            <v>9400 1112 0620 9888 5692 63</v>
          </cell>
        </row>
        <row r="2591">
          <cell r="D2591" t="str">
            <v>7818-31164</v>
          </cell>
          <cell r="M2591" t="str">
            <v>9400 1361 0605 3116 7684 54</v>
          </cell>
        </row>
        <row r="2592">
          <cell r="D2592" t="str">
            <v>7818-30913</v>
          </cell>
          <cell r="M2592" t="str">
            <v>9400 1361 0605 3124 4597 57</v>
          </cell>
        </row>
        <row r="2593">
          <cell r="D2593" t="str">
            <v>7818-21220</v>
          </cell>
          <cell r="M2593" t="str">
            <v>9400 1361 0605 3123 9256 35</v>
          </cell>
        </row>
        <row r="2594">
          <cell r="D2594" t="str">
            <v>7810-02111</v>
          </cell>
          <cell r="M2594" t="str">
            <v>9400 1361 0605 3123 9420 69</v>
          </cell>
        </row>
        <row r="2595">
          <cell r="D2595" t="str">
            <v>7818-19353</v>
          </cell>
          <cell r="M2595" t="str">
            <v>9400 1361 0605 3129 3645 20</v>
          </cell>
        </row>
        <row r="2596">
          <cell r="D2596" t="str">
            <v>7818-12245</v>
          </cell>
          <cell r="M2596" t="str">
            <v>9400 1361 0605 3136 2568 32</v>
          </cell>
        </row>
        <row r="2597">
          <cell r="D2597" t="str">
            <v>7818-29865</v>
          </cell>
          <cell r="M2597" t="str">
            <v>9400 1361 0605 3133 3041 61</v>
          </cell>
        </row>
        <row r="2598">
          <cell r="D2598" t="str">
            <v>7810-01120</v>
          </cell>
          <cell r="M2598" t="str">
            <v>9400 1361 0605 3133 3279 00</v>
          </cell>
        </row>
        <row r="2599">
          <cell r="D2599" t="str">
            <v>7812-03128</v>
          </cell>
          <cell r="M2599" t="str">
            <v>9400 1361 0605 3133 2591 33</v>
          </cell>
        </row>
        <row r="2600">
          <cell r="D2600" t="str">
            <v>7818-28454</v>
          </cell>
          <cell r="M2600" t="str">
            <v>9400 1361 0605 3133 2113 91</v>
          </cell>
        </row>
        <row r="2601">
          <cell r="D2601" t="str">
            <v>7818-28400</v>
          </cell>
          <cell r="M2601" t="str">
            <v>9402 1112 0620 9848 6186 26</v>
          </cell>
        </row>
        <row r="2602">
          <cell r="D2602" t="str">
            <v>7812-03132</v>
          </cell>
          <cell r="M2602" t="str">
            <v>9400 1361 0605 3133 1808 64</v>
          </cell>
        </row>
        <row r="2603">
          <cell r="D2603" t="str">
            <v>7818-28207</v>
          </cell>
          <cell r="M2603" t="str">
            <v>9402 1112 0620 9848 4845 59</v>
          </cell>
        </row>
        <row r="2604">
          <cell r="D2604" t="str">
            <v>7818-28701</v>
          </cell>
          <cell r="M2604" t="str">
            <v>9400 1361 0605 3133 1988 76</v>
          </cell>
        </row>
        <row r="2605">
          <cell r="D2605" t="str">
            <v>7818-12809</v>
          </cell>
          <cell r="M2605" t="str">
            <v>9400 1361 0605 3138 2525 73</v>
          </cell>
        </row>
        <row r="2606">
          <cell r="D2606" t="str">
            <v>7818-25055</v>
          </cell>
          <cell r="M2606" t="str">
            <v>9400 1361 0605 3133 2258 93</v>
          </cell>
        </row>
        <row r="2607">
          <cell r="D2607" t="str">
            <v>7818-26845</v>
          </cell>
          <cell r="M2607" t="str">
            <v>9402 1112 0620 9848 6455 47</v>
          </cell>
        </row>
        <row r="2608">
          <cell r="D2608" t="str">
            <v>7818-26064</v>
          </cell>
          <cell r="M2608" t="str">
            <v>9400 1361 0605 3133 2780 66</v>
          </cell>
        </row>
        <row r="2609">
          <cell r="D2609" t="str">
            <v>7818-05887</v>
          </cell>
          <cell r="M2609" t="str">
            <v>9400 1361 0605 3133 2425 48</v>
          </cell>
        </row>
        <row r="2610">
          <cell r="D2610" t="str">
            <v>7818-29570</v>
          </cell>
          <cell r="M2610" t="str">
            <v>9400 1361 0605 3138 2185 79</v>
          </cell>
        </row>
        <row r="2611">
          <cell r="D2611" t="str">
            <v>7812-4028</v>
          </cell>
          <cell r="M2611" t="str">
            <v>9400 1361 0605 3138 2429 25</v>
          </cell>
        </row>
        <row r="2612">
          <cell r="D2612" t="str">
            <v>7818-25283</v>
          </cell>
          <cell r="M2612" t="str">
            <v>9400 1361 0605 3134 1681 20</v>
          </cell>
        </row>
        <row r="2613">
          <cell r="D2613" t="str">
            <v>7815-00119</v>
          </cell>
          <cell r="M2613" t="str">
            <v>9400 1361 0605 3138 2320 01</v>
          </cell>
        </row>
        <row r="2614">
          <cell r="D2614" t="str">
            <v>7818-29433</v>
          </cell>
          <cell r="M2614" t="str">
            <v>9400 1361 0605 3134 1504 15</v>
          </cell>
        </row>
        <row r="2615">
          <cell r="D2615" t="str">
            <v>7812-01514</v>
          </cell>
          <cell r="M2615" t="str">
            <v>9402 1112 0620 9848 4064 76</v>
          </cell>
        </row>
        <row r="2616">
          <cell r="D2616" t="str">
            <v>7818-15669</v>
          </cell>
          <cell r="M2616" t="str">
            <v>9400 1361 0605 3150 2277 95</v>
          </cell>
        </row>
        <row r="2617">
          <cell r="D2617" t="str">
            <v>7818-29815</v>
          </cell>
          <cell r="M2617" t="str">
            <v>9400 1361 0605 3150 3829 68</v>
          </cell>
        </row>
        <row r="2618">
          <cell r="D2618" t="str">
            <v>7818-17391</v>
          </cell>
          <cell r="M2618" t="str">
            <v>9400 1361 0605 3151 8043 77</v>
          </cell>
        </row>
        <row r="2619">
          <cell r="D2619" t="str">
            <v>7818-30976</v>
          </cell>
          <cell r="M2619" t="str">
            <v>9400 1361 0605 3150 1986 20</v>
          </cell>
        </row>
        <row r="2620">
          <cell r="D2620" t="str">
            <v>7818-29794</v>
          </cell>
          <cell r="M2620" t="str">
            <v>9400 1361 0605 3151 7858 98</v>
          </cell>
        </row>
        <row r="2621">
          <cell r="D2621" t="str">
            <v>7818-14792</v>
          </cell>
          <cell r="M2621" t="str">
            <v>9400 1361 0605 3150 7293 12</v>
          </cell>
        </row>
        <row r="2622">
          <cell r="D2622" t="str">
            <v>7823-03335</v>
          </cell>
          <cell r="M2622" t="str">
            <v>9400 1361 0605 3150 3388 35</v>
          </cell>
        </row>
        <row r="2623">
          <cell r="D2623" t="str">
            <v>7818-12439</v>
          </cell>
          <cell r="M2623" t="str">
            <v>9400 1361 0605 3151 7542 52</v>
          </cell>
        </row>
        <row r="2624">
          <cell r="D2624" t="str">
            <v>7812-03019</v>
          </cell>
          <cell r="M2624" t="str">
            <v>9400 1361 0605 3150 7088 67</v>
          </cell>
        </row>
        <row r="2625">
          <cell r="D2625" t="str">
            <v>7810-02232</v>
          </cell>
          <cell r="M2625" t="str">
            <v>9400 1361 0605 3151 7371 87</v>
          </cell>
        </row>
        <row r="2626">
          <cell r="D2626" t="str">
            <v>7818-20429</v>
          </cell>
          <cell r="M2626" t="str">
            <v>9400 1361 0605 3150 4058 03</v>
          </cell>
        </row>
        <row r="2627">
          <cell r="D2627" t="str">
            <v>7823-03336</v>
          </cell>
          <cell r="M2627" t="str">
            <v>9400 1361 0605 3150 4314 44</v>
          </cell>
        </row>
        <row r="2628">
          <cell r="D2628" t="str">
            <v>7818-14518</v>
          </cell>
          <cell r="M2628" t="str">
            <v>9400 1361 0605 3150 4641 90</v>
          </cell>
        </row>
        <row r="2629">
          <cell r="D2629" t="str">
            <v>7818-28229</v>
          </cell>
          <cell r="M2629" t="str">
            <v>9400 1361 0605 3151 7203 18</v>
          </cell>
        </row>
        <row r="2630">
          <cell r="D2630" t="str">
            <v>7818-29951</v>
          </cell>
          <cell r="M2630" t="str">
            <v>9400 1361 0605 3150 2565 42</v>
          </cell>
        </row>
        <row r="2631">
          <cell r="D2631" t="str">
            <v>7818-31047</v>
          </cell>
          <cell r="M2631" t="str">
            <v>9400 1361 0605 3151 7037 00</v>
          </cell>
        </row>
        <row r="2632">
          <cell r="D2632" t="str">
            <v>7810-01911</v>
          </cell>
          <cell r="M2632" t="str">
            <v>9400 1361 0605 3150 6182 41</v>
          </cell>
        </row>
        <row r="2633">
          <cell r="D2633" t="str">
            <v>7818-28632</v>
          </cell>
          <cell r="M2633" t="str">
            <v>9400 1361 0605 3151 6857 16</v>
          </cell>
        </row>
        <row r="2634">
          <cell r="D2634" t="str">
            <v>7812-3587</v>
          </cell>
          <cell r="M2634" t="str">
            <v>9400 1361 0605 3150 2777 83</v>
          </cell>
        </row>
        <row r="2635">
          <cell r="D2635" t="str">
            <v>7818-29051</v>
          </cell>
          <cell r="M2635" t="str">
            <v>9400 1361 0605 3153 7803 72</v>
          </cell>
        </row>
        <row r="2636">
          <cell r="D2636" t="str">
            <v>7818-21031</v>
          </cell>
          <cell r="M2636" t="str">
            <v>9400 1361 0605 3153 7691 93</v>
          </cell>
        </row>
        <row r="2637">
          <cell r="D2637" t="str">
            <v>7810-01901</v>
          </cell>
          <cell r="M2637" t="str">
            <v>9400 1361 0605 3153 8027 53</v>
          </cell>
        </row>
        <row r="2638">
          <cell r="D2638" t="str">
            <v>7812-4019</v>
          </cell>
          <cell r="M2638" t="str">
            <v>9400 1361 0605 3153 7458 52</v>
          </cell>
        </row>
        <row r="2639">
          <cell r="D2639" t="str">
            <v>7818-14056</v>
          </cell>
          <cell r="M2639" t="str">
            <v>9402 1112 0620 9870 9737 79</v>
          </cell>
        </row>
        <row r="2640">
          <cell r="D2640" t="str">
            <v>7812-3903</v>
          </cell>
          <cell r="M2640" t="str">
            <v>9400 1361 0605 3151 8452 88</v>
          </cell>
        </row>
        <row r="2641">
          <cell r="D2641" t="str">
            <v>7812-03129</v>
          </cell>
          <cell r="M2641" t="str">
            <v>9400 1361 0605 3153 8152 96</v>
          </cell>
        </row>
        <row r="2642">
          <cell r="D2642" t="str">
            <v>7812-01441</v>
          </cell>
          <cell r="M2642" t="str">
            <v>9400 1361 0605 3153 7226 48</v>
          </cell>
        </row>
        <row r="2643">
          <cell r="D2643" t="str">
            <v>7818-29495</v>
          </cell>
          <cell r="M2643" t="str">
            <v>9400 1361 0605 3153 7575 72</v>
          </cell>
        </row>
        <row r="2644">
          <cell r="D2644" t="str">
            <v>7812-3716</v>
          </cell>
          <cell r="M2644" t="str">
            <v>9400 1361 0605 3153 7075 77</v>
          </cell>
        </row>
        <row r="2645">
          <cell r="D2645" t="str">
            <v>7812-03220</v>
          </cell>
          <cell r="M2645" t="str">
            <v>9400 1361 0605 3153 8436 33</v>
          </cell>
        </row>
        <row r="2646">
          <cell r="D2646" t="str">
            <v>7824-00355</v>
          </cell>
          <cell r="M2646" t="str">
            <v>9400 1361 0605 3153 6734 69</v>
          </cell>
        </row>
        <row r="2647">
          <cell r="D2647" t="str">
            <v>7818-30977</v>
          </cell>
          <cell r="M2647" t="str">
            <v>9400 1361 0605 3153 8262 61</v>
          </cell>
        </row>
        <row r="2648">
          <cell r="D2648" t="str">
            <v>7812-4025</v>
          </cell>
          <cell r="M2648" t="str">
            <v>9402 1112 0620 9870 6864 71</v>
          </cell>
        </row>
        <row r="2649">
          <cell r="D2649" t="str">
            <v>7818-29001</v>
          </cell>
          <cell r="M2649" t="str">
            <v>9400 1361 0605 3153 8898 39</v>
          </cell>
        </row>
        <row r="2650">
          <cell r="D2650" t="str">
            <v>7818-19607</v>
          </cell>
          <cell r="M2650" t="str">
            <v>9400 1361 0605 3153 6831 47</v>
          </cell>
        </row>
        <row r="2651">
          <cell r="D2651" t="str">
            <v>7818-21190</v>
          </cell>
          <cell r="M2651" t="str">
            <v>9400 1361 0605 3153 9879 86</v>
          </cell>
        </row>
        <row r="2652">
          <cell r="D2652" t="str">
            <v>7818-19728</v>
          </cell>
          <cell r="M2652" t="str">
            <v>9400 1361 0605 3151 8297 45</v>
          </cell>
        </row>
        <row r="2653">
          <cell r="D2653" t="str">
            <v>7818-28173</v>
          </cell>
          <cell r="M2653" t="str">
            <v>9400 1361 0605 3154 0324 87</v>
          </cell>
        </row>
        <row r="2654">
          <cell r="D2654" t="str">
            <v>7818-26898</v>
          </cell>
          <cell r="M2654" t="str">
            <v>9400 1361 0605 3154 0061 05</v>
          </cell>
        </row>
        <row r="2655">
          <cell r="D2655" t="str">
            <v>7818-29571</v>
          </cell>
          <cell r="M2655" t="str">
            <v>9400 1361 0605 3153 8569 47</v>
          </cell>
        </row>
        <row r="2656">
          <cell r="D2656" t="str">
            <v>7818-19608</v>
          </cell>
          <cell r="M2656" t="str">
            <v>9400 1361 0605 3153 9201 36</v>
          </cell>
        </row>
        <row r="2657">
          <cell r="D2657" t="str">
            <v>7818-27138</v>
          </cell>
          <cell r="M2657" t="str">
            <v>9400 1361 0605 3153 8758 70</v>
          </cell>
        </row>
        <row r="2658">
          <cell r="D2658" t="str">
            <v>7823-02847</v>
          </cell>
          <cell r="M2658" t="str">
            <v>9400 1361 0605 3153 9343 24</v>
          </cell>
        </row>
        <row r="2659">
          <cell r="D2659" t="str">
            <v>7818-31077</v>
          </cell>
          <cell r="M2659" t="str">
            <v>9400 1361 0605 3153 9570 19</v>
          </cell>
        </row>
        <row r="2660">
          <cell r="D2660" t="str">
            <v>7818-30934</v>
          </cell>
          <cell r="M2660" t="str">
            <v>9400 1361 0605 3151 8585 61</v>
          </cell>
        </row>
        <row r="2661">
          <cell r="D2661" t="str">
            <v>7810-02217</v>
          </cell>
          <cell r="M2661" t="str">
            <v>9402 1112 0620 9870 9128 08</v>
          </cell>
        </row>
        <row r="2662">
          <cell r="D2662" t="str">
            <v>7812-01806</v>
          </cell>
          <cell r="M2662" t="str">
            <v>9400 1361 0605 3153 6903 43</v>
          </cell>
        </row>
        <row r="2663">
          <cell r="D2663" t="str">
            <v>7818-26604</v>
          </cell>
          <cell r="M2663" t="str">
            <v>9400 1361 0605 3153 9005 65</v>
          </cell>
        </row>
        <row r="2664">
          <cell r="D2664" t="str">
            <v>7818-19659</v>
          </cell>
          <cell r="M2664" t="str">
            <v>9402 1112 0620 9870 9334 52</v>
          </cell>
        </row>
        <row r="2665">
          <cell r="D2665" t="str">
            <v>7818-28631</v>
          </cell>
          <cell r="M2665" t="str">
            <v>9400 1112 0620 9426 5598 31</v>
          </cell>
        </row>
        <row r="2666">
          <cell r="D2666" t="str">
            <v>7818-13884</v>
          </cell>
          <cell r="M2666" t="str">
            <v>9400 1361 0605 3194 9780 28</v>
          </cell>
        </row>
        <row r="2667">
          <cell r="D2667" t="str">
            <v>7818-26980</v>
          </cell>
          <cell r="M2667" t="str">
            <v>9400 1361 0605 3194 9610 20</v>
          </cell>
        </row>
        <row r="2668">
          <cell r="D2668" t="str">
            <v>7818-25719</v>
          </cell>
          <cell r="M2668" t="str">
            <v>9400 1361 0605 3194 9460 10</v>
          </cell>
        </row>
        <row r="2669">
          <cell r="D2669" t="str">
            <v>7818-29434</v>
          </cell>
          <cell r="M2669" t="str">
            <v>9400 1361 0605 3194 9167 78</v>
          </cell>
        </row>
        <row r="2670">
          <cell r="D2670" t="str">
            <v>7818-29922</v>
          </cell>
          <cell r="M2670" t="str">
            <v>9400 1361 0605 3197 9838 21</v>
          </cell>
        </row>
        <row r="2671">
          <cell r="D2671" t="str">
            <v>7818-29797</v>
          </cell>
          <cell r="M2671" t="str">
            <v>9402 1112 0620 9492 4922 07</v>
          </cell>
        </row>
        <row r="2672">
          <cell r="D2672" t="str">
            <v>7818-26920</v>
          </cell>
          <cell r="M2672" t="str">
            <v>9400 1361 0605 3198 0220 93</v>
          </cell>
        </row>
        <row r="2673">
          <cell r="D2673" t="str">
            <v>7818-20818</v>
          </cell>
          <cell r="M2673" t="str">
            <v>9400 1361 0605 3196 3473 96</v>
          </cell>
        </row>
        <row r="2674">
          <cell r="D2674" t="str">
            <v>7810-02211</v>
          </cell>
          <cell r="M2674" t="str">
            <v>9402 1112 0620 9492 6220 00</v>
          </cell>
        </row>
        <row r="2675">
          <cell r="D2675" t="str">
            <v>7818-19300</v>
          </cell>
          <cell r="M2675" t="str">
            <v>9402 1112 0620 9492 6079 39</v>
          </cell>
        </row>
        <row r="2676">
          <cell r="D2676" t="str">
            <v>7818-22468</v>
          </cell>
          <cell r="M2676" t="str">
            <v>9400 1361 0605 3197 9558 59</v>
          </cell>
        </row>
        <row r="2677">
          <cell r="D2677" t="str">
            <v>7818-18056</v>
          </cell>
          <cell r="M2677" t="str">
            <v>9400 1361 0605 3197 9079 19</v>
          </cell>
        </row>
        <row r="2678">
          <cell r="D2678" t="str">
            <v>7812-3659</v>
          </cell>
          <cell r="M2678" t="str">
            <v>9402 1112 0620 9492 4084 06</v>
          </cell>
        </row>
        <row r="2679">
          <cell r="D2679" t="str">
            <v>7812-02092</v>
          </cell>
          <cell r="M2679" t="str">
            <v>9400 1361 0605 3196 3249 77</v>
          </cell>
        </row>
        <row r="2680">
          <cell r="D2680" t="str">
            <v>7818-30978</v>
          </cell>
          <cell r="M2680" t="str">
            <v>9400 1112 0620 9492 4885 30</v>
          </cell>
        </row>
        <row r="2681">
          <cell r="D2681" t="str">
            <v>7818-30914</v>
          </cell>
          <cell r="M2681" t="str">
            <v>9400 1361 0605 3196 2050 47</v>
          </cell>
        </row>
        <row r="2682">
          <cell r="D2682" t="str">
            <v>7818-14054</v>
          </cell>
          <cell r="M2682" t="str">
            <v>9400 1361 0605 3197 9195 16</v>
          </cell>
        </row>
        <row r="2683">
          <cell r="D2683" t="str">
            <v>7823-01539</v>
          </cell>
          <cell r="M2683" t="str">
            <v>9400 1112 0620 9492 4101 28</v>
          </cell>
        </row>
        <row r="2684">
          <cell r="D2684" t="str">
            <v>7823-02511</v>
          </cell>
          <cell r="M2684" t="str">
            <v>9400 1361 0605 3207 8235 67</v>
          </cell>
        </row>
        <row r="2685">
          <cell r="D2685" t="str">
            <v>7810-02218</v>
          </cell>
          <cell r="M2685" t="str">
            <v>9400 1361 0605 3197 9495 13</v>
          </cell>
        </row>
        <row r="2686">
          <cell r="D2686" t="str">
            <v>7811-00316</v>
          </cell>
          <cell r="M2686" t="str">
            <v>9400 1361 0605 3197 8187 27</v>
          </cell>
        </row>
        <row r="2687">
          <cell r="D2687" t="str">
            <v>7818-01425</v>
          </cell>
          <cell r="M2687" t="str">
            <v>9400 1361 0605 3197 8994 36</v>
          </cell>
        </row>
        <row r="2688">
          <cell r="D2688" t="str">
            <v>7823-01340</v>
          </cell>
          <cell r="M2688" t="str">
            <v>9400 1361 0605 3197 8319 62</v>
          </cell>
        </row>
        <row r="2689">
          <cell r="D2689" t="str">
            <v>7823-02816</v>
          </cell>
          <cell r="M2689" t="str">
            <v>9400 1361 0605 3197 9404 66</v>
          </cell>
        </row>
        <row r="2690">
          <cell r="D2690" t="str">
            <v>7133-00078</v>
          </cell>
          <cell r="M2690" t="str">
            <v>9400 1361 0605 3197 9309 79</v>
          </cell>
        </row>
        <row r="2691">
          <cell r="D2691" t="str">
            <v>7812-02093</v>
          </cell>
          <cell r="M2691" t="str">
            <v>9400 1361 0605 3196 2980 63</v>
          </cell>
        </row>
        <row r="2692">
          <cell r="D2692" t="str">
            <v>7810-02130</v>
          </cell>
          <cell r="M2692" t="str">
            <v>9400 1361 0605 3197 8912 01</v>
          </cell>
        </row>
        <row r="2693">
          <cell r="D2693" t="str">
            <v>7818-16290</v>
          </cell>
          <cell r="M2693" t="str">
            <v>9400 1361 0605 3197 8773 73</v>
          </cell>
        </row>
        <row r="2694">
          <cell r="D2694" t="str">
            <v>7811-00307</v>
          </cell>
          <cell r="M2694" t="str">
            <v>9400 1361 0605 3197 8673 29</v>
          </cell>
        </row>
        <row r="2695">
          <cell r="D2695" t="str">
            <v>7818-31214</v>
          </cell>
          <cell r="M2695" t="str">
            <v>9400 1112 0620 9492 6836 14</v>
          </cell>
        </row>
        <row r="2696">
          <cell r="D2696" t="str">
            <v>7818-22390</v>
          </cell>
          <cell r="M2696" t="str">
            <v>9400 1361 0605 3196 2273 60</v>
          </cell>
        </row>
        <row r="2697">
          <cell r="D2697" t="str">
            <v>7810-01839</v>
          </cell>
          <cell r="M2697" t="str">
            <v>9400 1361 0605 3197 8508 71</v>
          </cell>
        </row>
        <row r="2698">
          <cell r="D2698" t="str">
            <v>7818-26840</v>
          </cell>
          <cell r="M2698" t="str">
            <v>9402 1112 0620 9492 6630 34</v>
          </cell>
        </row>
        <row r="2699">
          <cell r="D2699" t="str">
            <v>7818-29901</v>
          </cell>
          <cell r="M2699" t="str">
            <v>9400 1361 0605 3197 8839 09</v>
          </cell>
        </row>
        <row r="2700">
          <cell r="D2700" t="str">
            <v>7133-00083</v>
          </cell>
          <cell r="M2700" t="str">
            <v>9400 1361 0605 3199 2291 49</v>
          </cell>
        </row>
        <row r="2701">
          <cell r="D2701" t="str">
            <v>7812-03133</v>
          </cell>
          <cell r="M2701" t="str">
            <v>9402 1112 0620 9492 4795 50</v>
          </cell>
        </row>
        <row r="2702">
          <cell r="D2702" t="str">
            <v>7818-31220</v>
          </cell>
          <cell r="M2702" t="str">
            <v>9400 1361 0605 3199 7342 30</v>
          </cell>
        </row>
        <row r="2703">
          <cell r="D2703" t="str">
            <v>7818-29016</v>
          </cell>
          <cell r="M2703" t="str">
            <v>9400 1361 0605 3196 2822 15</v>
          </cell>
        </row>
        <row r="2704">
          <cell r="D2704" t="str">
            <v>7818-28389</v>
          </cell>
          <cell r="M2704" t="str">
            <v>9400 1361 0605 3199 7812 72</v>
          </cell>
        </row>
        <row r="2705">
          <cell r="D2705" t="str">
            <v>7823-03031</v>
          </cell>
          <cell r="M2705" t="str">
            <v>9402 1112 0620 9492 6439 37</v>
          </cell>
        </row>
        <row r="2706">
          <cell r="D2706" t="str">
            <v>7818-10485</v>
          </cell>
          <cell r="M2706" t="str">
            <v>9400 1112 0620 9492 6744 83</v>
          </cell>
        </row>
        <row r="2707">
          <cell r="D2707" t="str">
            <v>7818-29911</v>
          </cell>
          <cell r="M2707" t="str">
            <v>9400 1361 0605 3199 2395 75</v>
          </cell>
        </row>
        <row r="2708">
          <cell r="D2708" t="str">
            <v>7818-17760</v>
          </cell>
          <cell r="M2708" t="str">
            <v>9400 1361 0605 3199 2107 89</v>
          </cell>
        </row>
        <row r="2709">
          <cell r="D2709" t="str">
            <v>7818-17334</v>
          </cell>
          <cell r="M2709" t="str">
            <v>9402 1112 0620 9492 6901 22</v>
          </cell>
        </row>
        <row r="2710">
          <cell r="D2710" t="str">
            <v>7818-29013</v>
          </cell>
          <cell r="M2710" t="str">
            <v>9400 1361 0605 3199 7926 12</v>
          </cell>
        </row>
        <row r="2711">
          <cell r="D2711" t="str">
            <v>7818-18826</v>
          </cell>
          <cell r="M2711" t="str">
            <v>9400 1361 0605 3199 2214 19</v>
          </cell>
        </row>
        <row r="2712">
          <cell r="D2712" t="str">
            <v>7818-29484</v>
          </cell>
          <cell r="M2712" t="str">
            <v>9400 1361 0605 3200 3523 09</v>
          </cell>
        </row>
        <row r="2713">
          <cell r="D2713" t="str">
            <v>7810-01629</v>
          </cell>
          <cell r="M2713" t="str">
            <v>9400 1361 0605 3199 7497 77</v>
          </cell>
        </row>
        <row r="2714">
          <cell r="D2714" t="str">
            <v>7810-01924</v>
          </cell>
          <cell r="M2714" t="str">
            <v>9402 1112 0620 9492 6374 00</v>
          </cell>
        </row>
        <row r="2715">
          <cell r="D2715" t="str">
            <v>7818-08649</v>
          </cell>
          <cell r="M2715" t="str">
            <v>9402 1112 0620 9492 6549 95</v>
          </cell>
        </row>
        <row r="2716">
          <cell r="D2716" t="str">
            <v>7818-30787</v>
          </cell>
          <cell r="M2716" t="str">
            <v>9402 1112 0620 9492 4280 39</v>
          </cell>
        </row>
        <row r="2717">
          <cell r="D2717" t="str">
            <v>7818-18941</v>
          </cell>
          <cell r="M2717" t="str">
            <v>9400 1361 0605 3199 7602 15</v>
          </cell>
        </row>
        <row r="2718">
          <cell r="D2718" t="str">
            <v>7818-18632</v>
          </cell>
          <cell r="M2718" t="str">
            <v>9402 1112 0620 9492 6810 69</v>
          </cell>
        </row>
        <row r="2719">
          <cell r="D2719" t="str">
            <v>7823-03061</v>
          </cell>
          <cell r="M2719" t="str">
            <v>9400 1112 0620 9498 6150 84</v>
          </cell>
        </row>
        <row r="2720">
          <cell r="D2720" t="str">
            <v>7818-29455</v>
          </cell>
          <cell r="M2720" t="str">
            <v>9400 1361 0605 3197 8583 03</v>
          </cell>
        </row>
        <row r="2721">
          <cell r="D2721" t="str">
            <v>7823-03374</v>
          </cell>
          <cell r="M2721" t="str">
            <v>9402 1112 0620 9870 9236 51</v>
          </cell>
        </row>
        <row r="2722">
          <cell r="D2722" t="str">
            <v>7818-14954</v>
          </cell>
          <cell r="M2722" t="str">
            <v>9400 1361 0605 3217 1053 49</v>
          </cell>
        </row>
        <row r="2723">
          <cell r="D2723" t="str">
            <v>7818-31165</v>
          </cell>
          <cell r="M2723" t="str">
            <v>9402 1112 0620 9492 4656 69</v>
          </cell>
        </row>
        <row r="2724">
          <cell r="D2724" t="str">
            <v>7818-21370</v>
          </cell>
          <cell r="M2724" t="str">
            <v>9400 1361 0605 3222 4508 61</v>
          </cell>
        </row>
        <row r="2725">
          <cell r="D2725" t="str">
            <v>7818-30979</v>
          </cell>
          <cell r="M2725" t="str">
            <v>9400 1361 0605 3222 4502 67</v>
          </cell>
        </row>
        <row r="2726">
          <cell r="D2726" t="str">
            <v>7818-28241</v>
          </cell>
          <cell r="M2726" t="str">
            <v>9400 1361 0605 3222 4475 40</v>
          </cell>
        </row>
        <row r="2727">
          <cell r="D2727" t="str">
            <v>7810-01630</v>
          </cell>
          <cell r="M2727" t="str">
            <v>9400 1361 0605 3222 4481 03</v>
          </cell>
        </row>
        <row r="2728">
          <cell r="D2728" t="str">
            <v>7818-19919</v>
          </cell>
          <cell r="M2728" t="str">
            <v>9400 1112 0620 9462 2760 37</v>
          </cell>
        </row>
        <row r="2729">
          <cell r="D2729" t="str">
            <v>7818-23915</v>
          </cell>
          <cell r="M2729" t="str">
            <v>9400 1112 0620 9462 2257 52</v>
          </cell>
        </row>
        <row r="2730">
          <cell r="D2730" t="str">
            <v>7818-28391</v>
          </cell>
          <cell r="M2730" t="str">
            <v>9400 1112 0620 9462 2925 25</v>
          </cell>
        </row>
        <row r="2731">
          <cell r="D2731" t="str">
            <v>7818-29471</v>
          </cell>
          <cell r="M2731" t="str">
            <v>9400 1112 0620 9462 2531 44</v>
          </cell>
        </row>
        <row r="2732">
          <cell r="D2732" t="str">
            <v>7810-02173</v>
          </cell>
          <cell r="M2732" t="str">
            <v>9400 1361 0605 3233 8709 00</v>
          </cell>
        </row>
        <row r="2733">
          <cell r="D2733" t="str">
            <v>7818-16340</v>
          </cell>
          <cell r="M2733" t="str">
            <v>9400 1361 0605 3233 8554 26</v>
          </cell>
        </row>
        <row r="2734">
          <cell r="D2734" t="str">
            <v>7810-02244</v>
          </cell>
          <cell r="M2734" t="str">
            <v>9400 1112 0620 9461 8346 10</v>
          </cell>
        </row>
        <row r="2735">
          <cell r="D2735" t="str">
            <v>7818-23363</v>
          </cell>
          <cell r="M2735" t="str">
            <v>9400 1112 0620 9461 8450 74</v>
          </cell>
        </row>
        <row r="2736">
          <cell r="D2736" t="str">
            <v>7818-32145</v>
          </cell>
          <cell r="M2736" t="str">
            <v>9400 1112 0620 9461 4847 85</v>
          </cell>
        </row>
        <row r="2737">
          <cell r="D2737" t="str">
            <v>7810-01499</v>
          </cell>
          <cell r="M2737" t="str">
            <v>9400 1112 0620 9461 8922 21</v>
          </cell>
        </row>
        <row r="2738">
          <cell r="D2738" t="str">
            <v>7818-14911</v>
          </cell>
          <cell r="M2738" t="str">
            <v>9400 1112 0620 9461 8725 20</v>
          </cell>
        </row>
        <row r="2739">
          <cell r="D2739" t="str">
            <v>7818-20820</v>
          </cell>
          <cell r="M2739" t="str">
            <v>9400 1112 0620 94618158 62</v>
          </cell>
        </row>
        <row r="2740">
          <cell r="D2740" t="str">
            <v>7810-01119</v>
          </cell>
          <cell r="M2740" t="str">
            <v>9400 1112 0620 9461 0805 36</v>
          </cell>
        </row>
        <row r="2741">
          <cell r="D2741" t="str">
            <v>7823-01656</v>
          </cell>
          <cell r="M2741" t="str">
            <v>9400 1112 0620 9461 8238 29</v>
          </cell>
        </row>
        <row r="2742">
          <cell r="D2742" t="str">
            <v>7823-02388</v>
          </cell>
          <cell r="M2742" t="str">
            <v>9400 1112 0620 9461 8527 75</v>
          </cell>
        </row>
        <row r="2743">
          <cell r="D2743" t="str">
            <v>7823-02905</v>
          </cell>
          <cell r="M2743" t="str">
            <v>9400 1112 0620 9461 8274 52</v>
          </cell>
        </row>
        <row r="2744">
          <cell r="D2744" t="str">
            <v>7818-22386</v>
          </cell>
          <cell r="M2744" t="str">
            <v>9400 1112 0620 9481 8280 71</v>
          </cell>
        </row>
        <row r="2745">
          <cell r="D2745" t="str">
            <v>7818-31079</v>
          </cell>
          <cell r="M2745" t="str">
            <v>9400 1112 0620 9486 9181 28</v>
          </cell>
        </row>
        <row r="2746">
          <cell r="D2746" t="str">
            <v>7810-01792</v>
          </cell>
          <cell r="M2746" t="str">
            <v>9400 1112 0620 9481 8006 71</v>
          </cell>
        </row>
        <row r="2747">
          <cell r="D2747" t="str">
            <v>7818-15946</v>
          </cell>
          <cell r="M2747" t="str">
            <v>9400 1112 0620 9481 3629 19</v>
          </cell>
        </row>
        <row r="2748">
          <cell r="D2748" t="str">
            <v>7818-30933</v>
          </cell>
          <cell r="M2748" t="str">
            <v>9400 1112 0620 9481 3024 96</v>
          </cell>
        </row>
        <row r="2749">
          <cell r="D2749" t="str">
            <v>7823-02992</v>
          </cell>
          <cell r="M2749" t="str">
            <v>9400 1112 0620 9481 3275 81</v>
          </cell>
        </row>
        <row r="2750">
          <cell r="D2750" t="str">
            <v>7811-00317</v>
          </cell>
          <cell r="M2750" t="str">
            <v>9400 1112 0620 9481 3767 49</v>
          </cell>
        </row>
        <row r="2751">
          <cell r="D2751" t="str">
            <v>7818-28271</v>
          </cell>
          <cell r="M2751" t="str">
            <v>9400 1112 0620 9481 0923 59</v>
          </cell>
        </row>
        <row r="2752">
          <cell r="D2752" t="str">
            <v>7810-01920</v>
          </cell>
          <cell r="M2752" t="str">
            <v>9400 1112 0620 9481 2489 85</v>
          </cell>
        </row>
        <row r="2753">
          <cell r="D2753" t="str">
            <v>7823-01538</v>
          </cell>
          <cell r="M2753" t="str">
            <v>9400 1112 0620 9486 9290 01</v>
          </cell>
        </row>
        <row r="2754">
          <cell r="D2754" t="str">
            <v>7810-02284</v>
          </cell>
          <cell r="M2754" t="str">
            <v>9400 1112 0620 9486 9091 26</v>
          </cell>
        </row>
        <row r="2755">
          <cell r="D2755" t="str">
            <v>7810-02264</v>
          </cell>
          <cell r="M2755" t="str">
            <v>9400 1112 0620 9481 8648 33</v>
          </cell>
        </row>
        <row r="2756">
          <cell r="D2756" t="str">
            <v>7818-14009</v>
          </cell>
          <cell r="M2756" t="str">
            <v>9400 1112 0620 9481 2132 59</v>
          </cell>
        </row>
        <row r="2757">
          <cell r="D2757" t="str">
            <v>7818-16946</v>
          </cell>
          <cell r="M2757" t="str">
            <v>9400 1112 0620 9481 0367 59</v>
          </cell>
        </row>
        <row r="2758">
          <cell r="D2758" t="str">
            <v>7818-32146</v>
          </cell>
          <cell r="M2758" t="str">
            <v>9400 1112 0620 9481 0520 56</v>
          </cell>
        </row>
        <row r="2759">
          <cell r="D2759" t="str">
            <v>7818-24638</v>
          </cell>
          <cell r="M2759" t="str">
            <v>9400 1112 0620 9486 6675 69</v>
          </cell>
        </row>
        <row r="2760">
          <cell r="D2760" t="str">
            <v>7818-28228</v>
          </cell>
          <cell r="M2760" t="str">
            <v>9400 1112 0620 9481 8359 32</v>
          </cell>
        </row>
        <row r="2761">
          <cell r="D2761" t="str">
            <v>7818-14710</v>
          </cell>
          <cell r="M2761" t="str">
            <v>9400 1112 0620 9481 0810 56</v>
          </cell>
        </row>
        <row r="2762">
          <cell r="D2762" t="str">
            <v>7818-32139</v>
          </cell>
          <cell r="M2762" t="str">
            <v>9400 1112 0620 9481 0400 53</v>
          </cell>
        </row>
        <row r="2763">
          <cell r="D2763" t="str">
            <v>7810-02285</v>
          </cell>
          <cell r="M2763" t="str">
            <v>9400 1112 0620 9486 6277 61</v>
          </cell>
        </row>
        <row r="2764">
          <cell r="D2764" t="str">
            <v>7810-00600</v>
          </cell>
          <cell r="M2764" t="str">
            <v>9400 1112 0620 9481 3139 42</v>
          </cell>
        </row>
        <row r="2765">
          <cell r="D2765" t="str">
            <v>7818-18533</v>
          </cell>
          <cell r="M2765" t="str">
            <v>9400 1112 0620 9486 6048 92</v>
          </cell>
        </row>
        <row r="2766">
          <cell r="D2766" t="str">
            <v>7818-14847</v>
          </cell>
          <cell r="M2766" t="str">
            <v>9400 1112 0620 9459 2135 19</v>
          </cell>
        </row>
        <row r="2767">
          <cell r="D2767" t="str">
            <v>7818-26551</v>
          </cell>
          <cell r="M2767" t="str">
            <v>9400 1112 0620 9459 3899 00</v>
          </cell>
        </row>
        <row r="2768">
          <cell r="D2768" t="str">
            <v>7818-26813</v>
          </cell>
          <cell r="M2768" t="str">
            <v>9400 1112 0620 9481 8710 77</v>
          </cell>
        </row>
        <row r="2769">
          <cell r="D2769" t="str">
            <v>7818-32106</v>
          </cell>
          <cell r="M2769" t="str">
            <v>9400 1112 0620 9459 3922 90</v>
          </cell>
        </row>
        <row r="2770">
          <cell r="D2770" t="str">
            <v>7818-29826</v>
          </cell>
          <cell r="M2770" t="str">
            <v>9400 1112 0620 9457 7304 83</v>
          </cell>
        </row>
        <row r="2771">
          <cell r="D2771" t="str">
            <v>7818-27323</v>
          </cell>
          <cell r="M2771" t="str">
            <v>9400 1112 0620 9459 3730 91</v>
          </cell>
        </row>
        <row r="2772">
          <cell r="D2772" t="str">
            <v>7824-00458</v>
          </cell>
          <cell r="M2772" t="str">
            <v>9400 1112 0620 9459 3152 20</v>
          </cell>
        </row>
        <row r="2773">
          <cell r="D2773" t="str">
            <v>7818-28255</v>
          </cell>
          <cell r="M2773" t="str">
            <v>9400 1112 0620 9459 3115 50</v>
          </cell>
        </row>
        <row r="2774">
          <cell r="D2774" t="str">
            <v>7823-02316</v>
          </cell>
          <cell r="M2774" t="str">
            <v>9400 1112 0620 9459 3534 44</v>
          </cell>
        </row>
        <row r="2775">
          <cell r="D2775" t="str">
            <v>7818-30796</v>
          </cell>
          <cell r="M2775" t="str">
            <v>9400 1112 0620 9457 7935 94</v>
          </cell>
        </row>
        <row r="2776">
          <cell r="D2776" t="str">
            <v>7812-03314</v>
          </cell>
          <cell r="M2776" t="str">
            <v>9400 1112 0620 9459 3060 99</v>
          </cell>
        </row>
        <row r="2777">
          <cell r="D2777" t="str">
            <v>7818-29532</v>
          </cell>
          <cell r="M2777" t="str">
            <v>9400 1112 0620 9450 6837 17</v>
          </cell>
        </row>
        <row r="2778">
          <cell r="D2778" t="str">
            <v>7823-03035</v>
          </cell>
          <cell r="M2778" t="str">
            <v>9400 1112 0620 9444 6030 97</v>
          </cell>
        </row>
        <row r="2779">
          <cell r="D2779" t="str">
            <v>7818-28214</v>
          </cell>
          <cell r="M2779" t="str">
            <v>9400 1112 0620 9457 7496 52</v>
          </cell>
        </row>
        <row r="2780">
          <cell r="D2780" t="str">
            <v>7811-00198</v>
          </cell>
          <cell r="M2780" t="str">
            <v>9400 1112 0620 9457 7757 50</v>
          </cell>
        </row>
        <row r="2781">
          <cell r="D2781" t="str">
            <v>7812-3709</v>
          </cell>
          <cell r="M2781" t="str">
            <v>9400 1112 0620 9486 9699 77</v>
          </cell>
        </row>
        <row r="2782">
          <cell r="D2782" t="str">
            <v>7818-28009</v>
          </cell>
          <cell r="M2782" t="str">
            <v>9400 1112 0620 9444 6160 35</v>
          </cell>
        </row>
        <row r="2783">
          <cell r="D2783" t="str">
            <v>7818-09258</v>
          </cell>
          <cell r="M2783" t="str">
            <v>9400 1112 0620 9444 6235 21</v>
          </cell>
        </row>
        <row r="2784">
          <cell r="D2784" t="str">
            <v>7818-20177</v>
          </cell>
          <cell r="M2784" t="str">
            <v>9400 1112 0620 9441 2913 65</v>
          </cell>
        </row>
        <row r="2785">
          <cell r="D2785" t="str">
            <v>7810-01594</v>
          </cell>
          <cell r="M2785" t="str">
            <v>9400 1112 0620 9441 2946 94</v>
          </cell>
        </row>
        <row r="2786">
          <cell r="D2786" t="str">
            <v>7818-23990</v>
          </cell>
          <cell r="M2786" t="str">
            <v>9400 1112 0620 9444 6503 43</v>
          </cell>
        </row>
        <row r="2787">
          <cell r="D2787" t="str">
            <v>7823-02444</v>
          </cell>
          <cell r="M2787" t="str">
            <v>9400 1112 0620 9444 6419 83</v>
          </cell>
        </row>
        <row r="2788">
          <cell r="D2788" t="str">
            <v>7818-05438</v>
          </cell>
          <cell r="M2788" t="str">
            <v>9400 1112 0620 9459 3869 61</v>
          </cell>
        </row>
        <row r="2789">
          <cell r="D2789" t="str">
            <v>7818-18305</v>
          </cell>
          <cell r="M2789" t="str">
            <v>9400 1361 0605 3278 6413 98</v>
          </cell>
        </row>
        <row r="2790">
          <cell r="D2790" t="str">
            <v>7818-15086</v>
          </cell>
          <cell r="M2790" t="str">
            <v>9400 1361 0605 3278 5978 62</v>
          </cell>
        </row>
        <row r="2791">
          <cell r="D2791" t="str">
            <v>7818-12890</v>
          </cell>
          <cell r="M2791" t="str">
            <v>9400 1361 0605 3278 8932 61</v>
          </cell>
        </row>
        <row r="2792">
          <cell r="D2792" t="str">
            <v>7818-29950</v>
          </cell>
          <cell r="M2792" t="str">
            <v>9400 1361 0605 3278 9267 92</v>
          </cell>
        </row>
        <row r="2793">
          <cell r="D2793" t="str">
            <v>7818-31230</v>
          </cell>
          <cell r="M2793" t="str">
            <v>9400 1361 0605 3279 5362 04</v>
          </cell>
        </row>
        <row r="2794">
          <cell r="D2794" t="str">
            <v>7823-02529</v>
          </cell>
          <cell r="M2794" t="str">
            <v>9400 1361 0605 3278 5725 93</v>
          </cell>
        </row>
        <row r="2795">
          <cell r="D2795" t="str">
            <v>7818-19325</v>
          </cell>
          <cell r="M2795" t="str">
            <v>9400 1361 0605 3278 8702 55</v>
          </cell>
        </row>
        <row r="2796">
          <cell r="D2796" t="str">
            <v>7818-22382</v>
          </cell>
          <cell r="M2796" t="str">
            <v>9400 1361 0605 3279 5630 19</v>
          </cell>
        </row>
        <row r="2797">
          <cell r="D2797" t="str">
            <v>7818-13272</v>
          </cell>
          <cell r="M2797" t="str">
            <v>9400 1361 0605 3278 6819 81</v>
          </cell>
        </row>
        <row r="2798">
          <cell r="D2798" t="str">
            <v>7823-02661</v>
          </cell>
          <cell r="M2798" t="str">
            <v>9400 1361 0605 3278 7085 96</v>
          </cell>
        </row>
        <row r="2799">
          <cell r="D2799" t="str">
            <v>7818-23903</v>
          </cell>
          <cell r="M2799" t="str">
            <v>9400 1361 0605 3278 6206 83</v>
          </cell>
        </row>
        <row r="2800">
          <cell r="D2800" t="str">
            <v>7823-02014</v>
          </cell>
          <cell r="M2800" t="str">
            <v>9400 1361 0605 3278 6596 83</v>
          </cell>
        </row>
        <row r="2801">
          <cell r="D2801" t="str">
            <v>7823-03005</v>
          </cell>
          <cell r="M2801" t="str">
            <v>9400 1361 0605 3087 1691 99</v>
          </cell>
        </row>
        <row r="2802">
          <cell r="D2802" t="str">
            <v>7818-24223</v>
          </cell>
          <cell r="M2802" t="str">
            <v>9400 1112 0620 9806 4661 62</v>
          </cell>
        </row>
        <row r="2803">
          <cell r="D2803" t="str">
            <v>7818-10449</v>
          </cell>
          <cell r="M2803" t="str">
            <v>9402 1112 0620 9806 4965 18</v>
          </cell>
        </row>
        <row r="2804">
          <cell r="D2804" t="str">
            <v>7818-23062</v>
          </cell>
          <cell r="M2804" t="str">
            <v>9402 1112 0620 7695 4917 82</v>
          </cell>
        </row>
        <row r="2805">
          <cell r="D2805" t="str">
            <v>7818-22490</v>
          </cell>
          <cell r="M2805" t="str">
            <v>9400 1112 0620  9882 0056 68</v>
          </cell>
        </row>
        <row r="2806">
          <cell r="D2806" t="str">
            <v>7818-13589</v>
          </cell>
          <cell r="M2806" t="str">
            <v>9400 1361 0605 3106 8652 24</v>
          </cell>
        </row>
        <row r="2807">
          <cell r="D2807" t="str">
            <v>7818-31162</v>
          </cell>
          <cell r="M2807" t="str">
            <v>9400 1361 0605 3106 7249 34</v>
          </cell>
        </row>
        <row r="2808">
          <cell r="D2808" t="str">
            <v>7818-14910</v>
          </cell>
          <cell r="M2808" t="str">
            <v>9400 1361 0605 3123 9035 10</v>
          </cell>
        </row>
        <row r="2809">
          <cell r="D2809" t="str">
            <v>7812-02855</v>
          </cell>
          <cell r="M2809" t="str">
            <v>9400 1361 0605 3132 7903 16</v>
          </cell>
        </row>
        <row r="2810">
          <cell r="D2810" t="str">
            <v>7812-03142</v>
          </cell>
          <cell r="M2810" t="str">
            <v>9400 1361 0605 3151 7696 38</v>
          </cell>
        </row>
        <row r="2811">
          <cell r="D2811" t="str">
            <v>7818-29414</v>
          </cell>
          <cell r="M2811" t="str">
            <v>9400 1361 0605 3150 3007 33</v>
          </cell>
        </row>
        <row r="2812">
          <cell r="D2812" t="str">
            <v>7812-02798</v>
          </cell>
          <cell r="M2812" t="str">
            <v>9400 1361 0605 3150 5722 46</v>
          </cell>
        </row>
        <row r="2813">
          <cell r="D2813" t="str">
            <v>7818-29948</v>
          </cell>
          <cell r="M2813" t="str">
            <v>9400 1361 0605 3198 0267 32</v>
          </cell>
        </row>
        <row r="2814">
          <cell r="D2814" t="str">
            <v>7812-00397</v>
          </cell>
          <cell r="M2814" t="str">
            <v>9400 1361 0605 3197 9958 31</v>
          </cell>
        </row>
        <row r="2815">
          <cell r="D2815" t="str">
            <v>7133-00082</v>
          </cell>
          <cell r="M2815" t="str">
            <v>9400 1361 0605 3197 8072 19</v>
          </cell>
        </row>
        <row r="2816">
          <cell r="D2816" t="str">
            <v>7823-01537</v>
          </cell>
          <cell r="M2816" t="str">
            <v>9400 1361 0605 3199 7704 36</v>
          </cell>
        </row>
        <row r="2817">
          <cell r="D2817" t="str">
            <v>7818-18558</v>
          </cell>
          <cell r="M2817" t="str">
            <v>9400 1361 0605 3200 3405 80</v>
          </cell>
        </row>
        <row r="2818">
          <cell r="D2818" t="str">
            <v>7818-19576</v>
          </cell>
          <cell r="M2818" t="str">
            <v>9400 1361 0605 3200 3632 20</v>
          </cell>
        </row>
        <row r="2819">
          <cell r="D2819" t="str">
            <v>7818-19957</v>
          </cell>
          <cell r="M2819" t="str">
            <v>9400 1361 0605 3198 0328 87</v>
          </cell>
        </row>
        <row r="2820">
          <cell r="D2820" t="str">
            <v>7818-25014</v>
          </cell>
          <cell r="M2820" t="str">
            <v>9400 1361 0605 3222 4490 94</v>
          </cell>
        </row>
        <row r="2821">
          <cell r="D2821" t="str">
            <v>7823-02676</v>
          </cell>
          <cell r="M2821" t="str">
            <v>9400 1112 0620 9461 0027 50</v>
          </cell>
        </row>
        <row r="2822">
          <cell r="D2822" t="str">
            <v>7810-02216</v>
          </cell>
          <cell r="M2822" t="str">
            <v>9400 1112 0620 9470 0998 33</v>
          </cell>
        </row>
        <row r="2823">
          <cell r="D2823" t="str">
            <v>7818-24994</v>
          </cell>
          <cell r="M2823" t="str">
            <v>9400 1112 0620 9470 0752 95</v>
          </cell>
        </row>
        <row r="2824">
          <cell r="D2824" t="str">
            <v>7818-25498</v>
          </cell>
          <cell r="M2824" t="str">
            <v>9400 1361 0605 3285 8241 80</v>
          </cell>
        </row>
        <row r="2825">
          <cell r="D2825" t="str">
            <v>7818-26891</v>
          </cell>
          <cell r="M2825" t="str">
            <v>9400 1361 0605 3285 8029 66</v>
          </cell>
        </row>
        <row r="2826">
          <cell r="D2826" t="str">
            <v>7818-20255</v>
          </cell>
          <cell r="M2826" t="str">
            <v>9400 1112 0620 9470 0487 32</v>
          </cell>
        </row>
        <row r="2827">
          <cell r="D2827" t="str">
            <v>7818-28238</v>
          </cell>
          <cell r="M2827" t="str">
            <v>9400 1361 0605 3292 7660 22</v>
          </cell>
        </row>
        <row r="2828">
          <cell r="D2828" t="str">
            <v>7818-29497</v>
          </cell>
          <cell r="M2828" t="str">
            <v>9400 1361 0605 3286 9295 70</v>
          </cell>
        </row>
        <row r="2829">
          <cell r="D2829" t="str">
            <v>7810-02131</v>
          </cell>
          <cell r="M2829" t="str">
            <v>9400 1361 0605 3292 7457 68</v>
          </cell>
        </row>
        <row r="2830">
          <cell r="D2830" t="str">
            <v>7823-02766</v>
          </cell>
          <cell r="M2830" t="str">
            <v>9400 1112 0620 9417 6787 87</v>
          </cell>
        </row>
        <row r="2831">
          <cell r="D2831" t="str">
            <v>7818-26198</v>
          </cell>
          <cell r="M2831" t="str">
            <v>9400 1361 0605 3293 9608 25</v>
          </cell>
        </row>
        <row r="2832">
          <cell r="D2832" t="str">
            <v>7818-25641</v>
          </cell>
          <cell r="M2832" t="str">
            <v>9400 1112 0620 9417 6119 99</v>
          </cell>
        </row>
        <row r="2833">
          <cell r="D2833" t="str">
            <v>7823-02815</v>
          </cell>
          <cell r="M2833" t="str">
            <v>9400 1112 0620 9417 6256 99</v>
          </cell>
        </row>
        <row r="2834">
          <cell r="D2834" t="str">
            <v>7818-20822</v>
          </cell>
          <cell r="M2834" t="str">
            <v>9400 1112 0620 9417 6396 10</v>
          </cell>
        </row>
        <row r="2835">
          <cell r="D2835" t="str">
            <v>7818-16917</v>
          </cell>
          <cell r="M2835" t="str">
            <v>9400 1112 0620 9417 6798 45</v>
          </cell>
        </row>
        <row r="2836">
          <cell r="D2836" t="str">
            <v>7818-15377</v>
          </cell>
          <cell r="M2836" t="str">
            <v>9400 1112 0620 9417 6949 85</v>
          </cell>
        </row>
        <row r="2837">
          <cell r="D2837" t="str">
            <v>7818-31167</v>
          </cell>
          <cell r="M2837" t="str">
            <v>9400 1112 0620 9417 6966 99</v>
          </cell>
        </row>
        <row r="2838">
          <cell r="D2838" t="str">
            <v>7810-02132</v>
          </cell>
          <cell r="M2838" t="str">
            <v>9400 1361 0605 3294 4944 11</v>
          </cell>
        </row>
        <row r="2839">
          <cell r="D2839" t="str">
            <v>7818-18232</v>
          </cell>
          <cell r="M2839" t="str">
            <v>9400 1361 0605 3294 4952 58</v>
          </cell>
        </row>
        <row r="2840">
          <cell r="D2840" t="str">
            <v>7818-20823</v>
          </cell>
          <cell r="M2840" t="str">
            <v>9400 1112 0620 9439 9421 18</v>
          </cell>
        </row>
        <row r="2841">
          <cell r="D2841" t="str">
            <v>7818-31226</v>
          </cell>
          <cell r="M2841" t="str">
            <v>9400 1112 0620 9439 9187 55</v>
          </cell>
        </row>
        <row r="2842">
          <cell r="D2842" t="str">
            <v>7818-26839</v>
          </cell>
          <cell r="M2842" t="str">
            <v>9400 1112 0620 9434 0805 25</v>
          </cell>
        </row>
        <row r="2843">
          <cell r="D2843" t="str">
            <v>7818-16866</v>
          </cell>
          <cell r="M2843" t="str">
            <v>9400 1112 0620 9439 9795 34</v>
          </cell>
        </row>
        <row r="2844">
          <cell r="D2844" t="str">
            <v>7812-04601</v>
          </cell>
          <cell r="M2844" t="str">
            <v>9400 1112 0620 9439 9769 60</v>
          </cell>
        </row>
        <row r="2845">
          <cell r="D2845" t="str">
            <v>7818-28215</v>
          </cell>
          <cell r="M2845" t="str">
            <v>9400 1112 0620 9439 6029 68</v>
          </cell>
        </row>
        <row r="2846">
          <cell r="D2846" t="str">
            <v>7818-28448</v>
          </cell>
          <cell r="M2846" t="str">
            <v>9400 1361 0605 3299 2506 61</v>
          </cell>
        </row>
        <row r="2847">
          <cell r="D2847" t="str">
            <v>7818-11660</v>
          </cell>
          <cell r="M2847" t="str">
            <v>9400 1361 0605 3299 2524 36</v>
          </cell>
        </row>
        <row r="2848">
          <cell r="D2848" t="str">
            <v>7810-02119</v>
          </cell>
          <cell r="M2848" t="str">
            <v>9400 1112 0620 9434 0096 63</v>
          </cell>
        </row>
        <row r="2849">
          <cell r="D2849" t="str">
            <v>7818-29032</v>
          </cell>
          <cell r="M2849" t="str">
            <v>9400 1112 0620 9434 0893 06</v>
          </cell>
        </row>
        <row r="2850">
          <cell r="D2850" t="str">
            <v>7812-3797</v>
          </cell>
          <cell r="M2850" t="str">
            <v>9400 1112 0620 9434 0696 36</v>
          </cell>
        </row>
        <row r="2851">
          <cell r="D2851" t="str">
            <v>7812-01554</v>
          </cell>
          <cell r="M2851" t="str">
            <v>9400 1112 0620 9470 0007 30</v>
          </cell>
        </row>
        <row r="2852">
          <cell r="D2852" t="str">
            <v>7815-00120</v>
          </cell>
          <cell r="M2852" t="str">
            <v>9400 1361 0605 3316 2142 01</v>
          </cell>
        </row>
        <row r="2853">
          <cell r="D2853" t="str">
            <v>7818-31618</v>
          </cell>
          <cell r="M2853" t="str">
            <v>9400 1361 0605 3314 6002 59</v>
          </cell>
        </row>
        <row r="2854">
          <cell r="D2854" t="str">
            <v>7818-28420</v>
          </cell>
          <cell r="M2854" t="str">
            <v>9400 1361 0605 3314 6295 40</v>
          </cell>
        </row>
        <row r="2855">
          <cell r="D2855" t="str">
            <v>7824-00283</v>
          </cell>
          <cell r="M2855" t="str">
            <v>9400 1361 0605 3314 7350 29</v>
          </cell>
        </row>
        <row r="2856">
          <cell r="D2856" t="str">
            <v>7818-26553</v>
          </cell>
          <cell r="M2856" t="str">
            <v>9400 1361 0605 3314 7630 46</v>
          </cell>
        </row>
        <row r="2857">
          <cell r="D2857" t="str">
            <v>7815-00123</v>
          </cell>
          <cell r="M2857" t="str">
            <v>9400 1361 0605 3314 4912 53</v>
          </cell>
        </row>
        <row r="2858">
          <cell r="D2858" t="str">
            <v>7818-28013</v>
          </cell>
          <cell r="M2858" t="str">
            <v>9400 1361 0605 3314 7023 97</v>
          </cell>
        </row>
        <row r="2859">
          <cell r="D2859" t="str">
            <v>7818-28236</v>
          </cell>
          <cell r="M2859" t="str">
            <v>9400 1361 0605 3314 6767 35</v>
          </cell>
        </row>
        <row r="2860">
          <cell r="D2860" t="str">
            <v>7818-30926</v>
          </cell>
          <cell r="M2860" t="str">
            <v>9400 1361 0605 3321 8734 55</v>
          </cell>
        </row>
        <row r="2861">
          <cell r="D2861" t="str">
            <v>7818-22423</v>
          </cell>
          <cell r="M2861" t="str">
            <v>9400 1361 0605 3312 5308 00</v>
          </cell>
        </row>
        <row r="2862">
          <cell r="D2862" t="str">
            <v>7818-23604</v>
          </cell>
          <cell r="M2862" t="str">
            <v>9400 1361 0605 3330 6349 48</v>
          </cell>
        </row>
        <row r="2863">
          <cell r="D2863" t="str">
            <v>7818-31067</v>
          </cell>
          <cell r="M2863" t="str">
            <v>9400 1361 0605 3329 3369 07</v>
          </cell>
        </row>
        <row r="2864">
          <cell r="D2864" t="str">
            <v>7818-19418</v>
          </cell>
          <cell r="M2864" t="str">
            <v>9400 1361 0605 3329 3386 59</v>
          </cell>
        </row>
        <row r="2865">
          <cell r="D2865" t="str">
            <v>7823-03036</v>
          </cell>
          <cell r="M2865" t="str">
            <v>9400 1361 0605 3336 4201 01</v>
          </cell>
        </row>
        <row r="2866">
          <cell r="D2866" t="str">
            <v>7818-28457</v>
          </cell>
          <cell r="M2866" t="str">
            <v>9400 1361 0605 3336 4065 01</v>
          </cell>
        </row>
        <row r="2867">
          <cell r="D2867" t="str">
            <v>7818-28147</v>
          </cell>
          <cell r="M2867" t="str">
            <v>9400 1361 0605 3336 3672 77</v>
          </cell>
        </row>
        <row r="2868">
          <cell r="D2868" t="str">
            <v>7810-01664</v>
          </cell>
          <cell r="M2868" t="str">
            <v>9400 1112 0620 9507 1841 36</v>
          </cell>
        </row>
        <row r="2869">
          <cell r="D2869" t="str">
            <v>7818-16944</v>
          </cell>
          <cell r="M2869" t="str">
            <v>9400 1112 0620 9507 1992 60</v>
          </cell>
        </row>
        <row r="2870">
          <cell r="D2870" t="str">
            <v>7818-31635</v>
          </cell>
          <cell r="M2870" t="str">
            <v>9400 1112 0620 9507 1274 47</v>
          </cell>
        </row>
        <row r="2871">
          <cell r="D2871" t="str">
            <v>7818-17754</v>
          </cell>
          <cell r="M2871" t="str">
            <v>9400 1361 0605 3342 1777 78</v>
          </cell>
        </row>
        <row r="2872">
          <cell r="D2872" t="str">
            <v>7818-18233</v>
          </cell>
          <cell r="M2872" t="str">
            <v>9400 1361 0605 3346 2176 16</v>
          </cell>
        </row>
        <row r="2873">
          <cell r="D2873" t="str">
            <v>7812-01561</v>
          </cell>
          <cell r="M2873" t="str">
            <v>9400 1361 0605 3344 8848 65</v>
          </cell>
        </row>
        <row r="2874">
          <cell r="D2874" t="str">
            <v>7810-02299</v>
          </cell>
          <cell r="M2874" t="str">
            <v>9400 1361 0605 3342 4704 73</v>
          </cell>
        </row>
        <row r="2875">
          <cell r="D2875" t="str">
            <v>7818-30939</v>
          </cell>
          <cell r="M2875" t="str">
            <v>9400 1361 0605 3345 0103 55</v>
          </cell>
        </row>
        <row r="2876">
          <cell r="D2876" t="str">
            <v>7818-26812</v>
          </cell>
          <cell r="M2876" t="str">
            <v>9400 1361 0605 3344 9802 84</v>
          </cell>
        </row>
        <row r="2877">
          <cell r="D2877" t="str">
            <v>7812-03016</v>
          </cell>
          <cell r="M2877" t="str">
            <v>9400 1361 0605 3344 2334 72</v>
          </cell>
        </row>
        <row r="2878">
          <cell r="D2878" t="str">
            <v>7818-28237</v>
          </cell>
          <cell r="M2878" t="str">
            <v>9400 1361 0605 3344 9378 82</v>
          </cell>
        </row>
        <row r="2879">
          <cell r="D2879" t="str">
            <v>7810-02135</v>
          </cell>
          <cell r="M2879" t="str">
            <v>9400 1361 0605 3344 9048 77</v>
          </cell>
        </row>
        <row r="2880">
          <cell r="D2880" t="str">
            <v>7818-29937</v>
          </cell>
          <cell r="M2880" t="str">
            <v>9400 1361 0605 3344 9546 67</v>
          </cell>
        </row>
        <row r="2881">
          <cell r="D2881" t="str">
            <v>7818-24952</v>
          </cell>
          <cell r="M2881" t="str">
            <v>9400 1361 0605 3344 9947 79</v>
          </cell>
        </row>
        <row r="2882">
          <cell r="D2882" t="str">
            <v>7812-02923</v>
          </cell>
          <cell r="M2882" t="str">
            <v>9400 1112 0620 9507 4716 18</v>
          </cell>
        </row>
        <row r="2883">
          <cell r="D2883" t="str">
            <v>7818-20430</v>
          </cell>
          <cell r="M2883" t="str">
            <v>9400 1112 0620 9565 2970 83</v>
          </cell>
        </row>
        <row r="2884">
          <cell r="D2884" t="str">
            <v>7823-01246</v>
          </cell>
          <cell r="M2884" t="str">
            <v>9400 1361 0605 3336 3852 95</v>
          </cell>
        </row>
        <row r="2885">
          <cell r="D2885" t="str">
            <v>7818-22686</v>
          </cell>
          <cell r="M2885" t="str">
            <v>9400 1112 0620 9507 4313 84</v>
          </cell>
        </row>
        <row r="2886">
          <cell r="D2886" t="str">
            <v>7810-01199</v>
          </cell>
          <cell r="M2886" t="str">
            <v>9400 1361 0605 3351 4682 63</v>
          </cell>
        </row>
        <row r="2887">
          <cell r="D2887" t="str">
            <v>7818-26065</v>
          </cell>
          <cell r="M2887" t="str">
            <v>9400 1112 0620 9565 2568 82</v>
          </cell>
        </row>
        <row r="2888">
          <cell r="D2888" t="str">
            <v>7823-02781</v>
          </cell>
          <cell r="M2888" t="str">
            <v>9400 1112 0620 9565 2889 51</v>
          </cell>
        </row>
        <row r="2889">
          <cell r="D2889" t="str">
            <v>7818-21223</v>
          </cell>
          <cell r="M2889" t="str">
            <v>9400 1361 0605 3351 5143 35</v>
          </cell>
        </row>
        <row r="2890">
          <cell r="D2890" t="str">
            <v>7818-10556</v>
          </cell>
          <cell r="M2890" t="str">
            <v>9400 1361 0605 3351 5681 92</v>
          </cell>
        </row>
        <row r="2891">
          <cell r="D2891" t="str">
            <v>7818-21751</v>
          </cell>
          <cell r="M2891" t="str">
            <v>9400 1361 0605 3352 4346 70</v>
          </cell>
        </row>
        <row r="2892">
          <cell r="D2892" t="str">
            <v>7818-09263</v>
          </cell>
          <cell r="M2892" t="str">
            <v>9400 1361 0605 3352 2944 34</v>
          </cell>
        </row>
        <row r="2893">
          <cell r="D2893" t="str">
            <v>7818-31633</v>
          </cell>
          <cell r="M2893" t="str">
            <v>9400 1361 0605 3351 5011 75</v>
          </cell>
        </row>
        <row r="2894">
          <cell r="D2894" t="str">
            <v>7818-31617</v>
          </cell>
          <cell r="M2894" t="str">
            <v>9400 1361 0605 3351 5495 11</v>
          </cell>
        </row>
        <row r="2895">
          <cell r="D2895" t="str">
            <v>7818-31169</v>
          </cell>
          <cell r="M2895" t="str">
            <v>9400 1361 0605 3346 8741 16</v>
          </cell>
        </row>
        <row r="2896">
          <cell r="D2896" t="str">
            <v>7818-22697</v>
          </cell>
          <cell r="M2896" t="str">
            <v>9400 1361 0605 3346 8854 64</v>
          </cell>
        </row>
        <row r="2897">
          <cell r="D2897" t="str">
            <v>7824-00268</v>
          </cell>
          <cell r="M2897" t="str">
            <v>9400 1361 0605 3351 4854 68</v>
          </cell>
        </row>
        <row r="2898">
          <cell r="D2898" t="str">
            <v>7818-23925</v>
          </cell>
          <cell r="M2898" t="str">
            <v>9400 1361 0605 3346 8621 51</v>
          </cell>
        </row>
        <row r="2899">
          <cell r="D2899" t="str">
            <v>7812-4018</v>
          </cell>
          <cell r="M2899" t="str">
            <v>9400 1361 0605 3351 5825 32</v>
          </cell>
        </row>
        <row r="2900">
          <cell r="D2900" t="str">
            <v>7827-00038</v>
          </cell>
          <cell r="M2900" t="str">
            <v>9400 1112 0620 9565 2677 10</v>
          </cell>
        </row>
        <row r="2901">
          <cell r="D2901" t="str">
            <v>7818-26036</v>
          </cell>
          <cell r="M2901" t="str">
            <v>9400 1361 0605 3336 3992 30</v>
          </cell>
        </row>
        <row r="2902">
          <cell r="D2902" t="str">
            <v>7823-02635</v>
          </cell>
          <cell r="M2902" t="str">
            <v>9400 1112 0620 9507 1631 79</v>
          </cell>
        </row>
        <row r="2903">
          <cell r="D2903" t="str">
            <v>7818-26857</v>
          </cell>
          <cell r="M2903" t="str">
            <v>9400 1112 0620 9507 1003 72</v>
          </cell>
        </row>
        <row r="2904">
          <cell r="D2904" t="str">
            <v>7818-31101</v>
          </cell>
          <cell r="M2904" t="str">
            <v>9400 1361 0605 3351 5331 69</v>
          </cell>
        </row>
        <row r="2905">
          <cell r="D2905" t="str">
            <v>7818-09740</v>
          </cell>
          <cell r="M2905" t="str">
            <v>9400 1361 0605 3355 9963 66</v>
          </cell>
        </row>
        <row r="2906">
          <cell r="D2906" t="str">
            <v>7818-29930</v>
          </cell>
          <cell r="M2906" t="str">
            <v>9400 1361 0605 3355 9414 72</v>
          </cell>
        </row>
        <row r="2907">
          <cell r="D2907" t="str">
            <v>7818-17333</v>
          </cell>
          <cell r="M2907" t="str">
            <v>9400 1361 0605 3355 9607 56</v>
          </cell>
        </row>
        <row r="2908">
          <cell r="D2908" t="str">
            <v>7810-02294</v>
          </cell>
          <cell r="M2908" t="str">
            <v>9400 1361 0605 3355 9754 46</v>
          </cell>
        </row>
        <row r="2909">
          <cell r="D2909" t="str">
            <v>7812-3837</v>
          </cell>
          <cell r="M2909" t="str">
            <v>9400 1361 0605 3355 9225 18</v>
          </cell>
        </row>
        <row r="2910">
          <cell r="D2910" t="str">
            <v>7824-00291</v>
          </cell>
          <cell r="M2910" t="str">
            <v>9400 1361 0605 3356 4867 29</v>
          </cell>
        </row>
        <row r="2911">
          <cell r="D2911" t="str">
            <v>7818-31168</v>
          </cell>
          <cell r="M2911" t="str">
            <v>9400 1361 0605 3356 3699 85</v>
          </cell>
        </row>
        <row r="2912">
          <cell r="D2912" t="str">
            <v>7818-31219</v>
          </cell>
          <cell r="M2912" t="str">
            <v>9400 1361 0605 3357 3496 65</v>
          </cell>
        </row>
        <row r="2913">
          <cell r="D2913" t="str">
            <v>7818-28377</v>
          </cell>
          <cell r="M2913" t="str">
            <v>9400 1361 0605 3360 5721 42</v>
          </cell>
        </row>
        <row r="2914">
          <cell r="D2914" t="str">
            <v>7818-22424</v>
          </cell>
          <cell r="M2914" t="str">
            <v>9400 1361 0605 3356 0224 91</v>
          </cell>
        </row>
        <row r="2915">
          <cell r="D2915" t="str">
            <v>7810-03011</v>
          </cell>
          <cell r="M2915" t="str">
            <v>9400 1112 0620 9568 5273 23</v>
          </cell>
        </row>
        <row r="2916">
          <cell r="D2916" t="str">
            <v>7812-02764</v>
          </cell>
          <cell r="M2916" t="str">
            <v>9400 1112 0620 9568 5573 37</v>
          </cell>
        </row>
        <row r="2917">
          <cell r="D2917" t="str">
            <v>7818-17335</v>
          </cell>
          <cell r="M2917" t="str">
            <v>9400 1112 0620 9568 5874 88</v>
          </cell>
        </row>
        <row r="2918">
          <cell r="D2918" t="str">
            <v>7818-19835</v>
          </cell>
          <cell r="M2918" t="str">
            <v>9400 1112 0620 9568 5060 45</v>
          </cell>
        </row>
        <row r="2919">
          <cell r="D2919" t="str">
            <v>7818-23044</v>
          </cell>
          <cell r="M2919" t="str">
            <v>9400 1361 0605 3360 5867 29</v>
          </cell>
        </row>
        <row r="2920">
          <cell r="D2920" t="str">
            <v>7818-27401</v>
          </cell>
          <cell r="M2920" t="str">
            <v>9400 1361 0605 3360 5439 06</v>
          </cell>
        </row>
        <row r="2921">
          <cell r="D2921" t="str">
            <v>7810-02153</v>
          </cell>
          <cell r="M2921" t="str">
            <v>9400 1361 0605 3360 5305 00</v>
          </cell>
        </row>
        <row r="2922">
          <cell r="D2922" t="str">
            <v>7818-30993</v>
          </cell>
          <cell r="M2922" t="str">
            <v xml:space="preserve">9400 1112 0620 9568 5688 83 </v>
          </cell>
        </row>
        <row r="2923">
          <cell r="D2923" t="str">
            <v>7818-30991</v>
          </cell>
          <cell r="M2923" t="str">
            <v>9400 1361 0605 3361 6341 77</v>
          </cell>
        </row>
        <row r="2924">
          <cell r="D2924" t="str">
            <v>7818-25642</v>
          </cell>
          <cell r="M2924" t="str">
            <v>9400 1112 0620 9584 5704 88</v>
          </cell>
        </row>
        <row r="2925">
          <cell r="D2925" t="str">
            <v>7824-00446</v>
          </cell>
          <cell r="M2925" t="str">
            <v>9400 1361 0605 3376 9643 82</v>
          </cell>
        </row>
        <row r="2926">
          <cell r="D2926" t="str">
            <v>7818-17556</v>
          </cell>
          <cell r="M2926" t="str">
            <v>9400 1361 0605 3378 4814 29</v>
          </cell>
        </row>
        <row r="2927">
          <cell r="D2927" t="str">
            <v>7818-07338</v>
          </cell>
          <cell r="M2927" t="str">
            <v>9400 1361 0605 3378 4738 51</v>
          </cell>
        </row>
        <row r="2928">
          <cell r="D2928" t="str">
            <v>7810-01904</v>
          </cell>
          <cell r="M2928" t="str">
            <v>9400 1361 0605 3383 3612 04</v>
          </cell>
        </row>
        <row r="2929">
          <cell r="D2929" t="str">
            <v>7823-03227</v>
          </cell>
          <cell r="M2929" t="str">
            <v>9400 1361 0605 3383 3280 47</v>
          </cell>
        </row>
        <row r="2930">
          <cell r="D2930" t="str">
            <v>7823-03226</v>
          </cell>
          <cell r="M2930" t="str">
            <v>9400 1361 0605 3383 3442 83</v>
          </cell>
        </row>
        <row r="2931">
          <cell r="D2931" t="str">
            <v>7818-25645</v>
          </cell>
          <cell r="M2931" t="str">
            <v>9400 1361 0605 3384 3006 53</v>
          </cell>
        </row>
        <row r="2932">
          <cell r="D2932" t="str">
            <v>7823-03230</v>
          </cell>
          <cell r="M2932" t="str">
            <v>9400 1361 0605 3383 3324 95</v>
          </cell>
        </row>
        <row r="2933">
          <cell r="D2933" t="str">
            <v>7818-24844</v>
          </cell>
          <cell r="M2933" t="str">
            <v>9400 1361 0605 3384 3104 85</v>
          </cell>
        </row>
        <row r="2934">
          <cell r="D2934" t="str">
            <v>7812-04508</v>
          </cell>
          <cell r="M2934" t="str">
            <v>9400 1361 0605 3384 3054 74</v>
          </cell>
        </row>
        <row r="2935">
          <cell r="D2935" t="str">
            <v>7810-02228</v>
          </cell>
          <cell r="M2935" t="str">
            <v>9400 1361 0605 3384 3122 36</v>
          </cell>
        </row>
        <row r="2936">
          <cell r="D2936" t="str">
            <v>7824-00457</v>
          </cell>
          <cell r="M2936" t="str">
            <v>9400 1361 0605 3384 3137 07</v>
          </cell>
        </row>
        <row r="2937">
          <cell r="D2937" t="str">
            <v>7812-3718</v>
          </cell>
          <cell r="M2937" t="str">
            <v>9400 1361 0605 3384 2989 50</v>
          </cell>
        </row>
        <row r="2938">
          <cell r="D2938" t="str">
            <v>7818-31631</v>
          </cell>
          <cell r="M2938" t="str">
            <v>9400 1361 0605 3383 3662 54</v>
          </cell>
        </row>
        <row r="2939">
          <cell r="D2939" t="str">
            <v>7818-26982</v>
          </cell>
          <cell r="M2939" t="str">
            <v>9400 1361 0605 3383 3482 74</v>
          </cell>
        </row>
        <row r="2940">
          <cell r="D2940" t="str">
            <v>7812-04511</v>
          </cell>
          <cell r="M2940" t="str">
            <v>9400 1361 0605 3384 3178 97</v>
          </cell>
        </row>
        <row r="2941">
          <cell r="D2941" t="str">
            <v>7818-25844</v>
          </cell>
          <cell r="M2941" t="str">
            <v>9400 1361 0605 3384 3223 58</v>
          </cell>
        </row>
        <row r="2942">
          <cell r="D2942" t="str">
            <v>7820-00023</v>
          </cell>
          <cell r="M2942" t="str">
            <v>9400 1361 0605 3378 4642 86</v>
          </cell>
        </row>
        <row r="2943">
          <cell r="D2943" t="str">
            <v>7818-28056</v>
          </cell>
          <cell r="M2943" t="str">
            <v>9400 1361 0605 3384 3083 52</v>
          </cell>
        </row>
        <row r="2944">
          <cell r="D2944" t="str">
            <v>7818-23707</v>
          </cell>
          <cell r="M2944" t="str">
            <v>9400 1361 0605 3384 2942 35</v>
          </cell>
        </row>
        <row r="2945">
          <cell r="D2945" t="str">
            <v>7818-18557</v>
          </cell>
          <cell r="M2945" t="str">
            <v>9400 1361 0605 3384 1180 29</v>
          </cell>
        </row>
        <row r="2946">
          <cell r="D2946" t="str">
            <v>7810-02245</v>
          </cell>
          <cell r="M2946" t="str">
            <v>9400 1361 0605 3384 2826 45</v>
          </cell>
        </row>
        <row r="2947">
          <cell r="D2947" t="str">
            <v>7818-29551</v>
          </cell>
          <cell r="M2947" t="str">
            <v>9400 1361 0605 3384 2900 53</v>
          </cell>
        </row>
        <row r="2948">
          <cell r="D2948" t="str">
            <v>7818-30902</v>
          </cell>
          <cell r="M2948" t="str">
            <v>9400 1361 0605 3383 3707 01</v>
          </cell>
        </row>
        <row r="2949">
          <cell r="D2949" t="str">
            <v>7818-32147</v>
          </cell>
          <cell r="M2949" t="str">
            <v>9400 1361 0605 3383 3214 99</v>
          </cell>
        </row>
        <row r="2950">
          <cell r="D2950" t="str">
            <v>7818-21938</v>
          </cell>
          <cell r="M2950" t="str">
            <v>9400 1361 0605 3384 3201 56</v>
          </cell>
        </row>
        <row r="2951">
          <cell r="D2951" t="str">
            <v>7818-18038</v>
          </cell>
          <cell r="M2951" t="str">
            <v>9400 1361 0605 3390 5180 04</v>
          </cell>
        </row>
        <row r="2952">
          <cell r="D2952" t="str">
            <v>7818-21337</v>
          </cell>
          <cell r="M2952" t="str">
            <v>9400 1361 0605 3390 5295 67</v>
          </cell>
        </row>
        <row r="2953">
          <cell r="D2953" t="str">
            <v>7824-00423</v>
          </cell>
          <cell r="M2953" t="str">
            <v>9400 1361 0605 3389 0229 01</v>
          </cell>
        </row>
        <row r="2954">
          <cell r="D2954" t="str">
            <v>7824-00445</v>
          </cell>
          <cell r="M2954" t="str">
            <v>9400 1361 0605 3389 0043 72</v>
          </cell>
        </row>
        <row r="2955">
          <cell r="D2955" t="str">
            <v>7818-31269</v>
          </cell>
          <cell r="M2955" t="str">
            <v>9400 1361 0605 3390 4406 57</v>
          </cell>
        </row>
        <row r="2956">
          <cell r="D2956" t="str">
            <v>7810-02233</v>
          </cell>
          <cell r="M2956" t="str">
            <v>9400 1361 0605 3386 9038 21</v>
          </cell>
        </row>
        <row r="2957">
          <cell r="D2957" t="str">
            <v>7818-11863</v>
          </cell>
          <cell r="M2957" t="str">
            <v>9400 1361 0605 3390 4513 18</v>
          </cell>
        </row>
        <row r="2958">
          <cell r="D2958" t="str">
            <v>7818-19836</v>
          </cell>
          <cell r="M2958" t="str">
            <v>9400 1361 0605 3389 4911 65</v>
          </cell>
        </row>
        <row r="2959">
          <cell r="D2959" t="str">
            <v>7818-11623</v>
          </cell>
          <cell r="M2959" t="str">
            <v>9400 1361 0605 3390 4652 78</v>
          </cell>
        </row>
        <row r="2960">
          <cell r="D2960" t="str">
            <v>7810-00580</v>
          </cell>
          <cell r="M2960" t="str">
            <v>9400 1361 0605 3390 5055 78</v>
          </cell>
        </row>
        <row r="2961">
          <cell r="D2961" t="str">
            <v>7818-30929</v>
          </cell>
          <cell r="M2961" t="str">
            <v>9400 1361 0605 3389 5053 50</v>
          </cell>
        </row>
        <row r="2962">
          <cell r="D2962" t="str">
            <v>7818-08488</v>
          </cell>
          <cell r="M2962" t="str">
            <v>9400 1361 0605 3386 8035 72</v>
          </cell>
        </row>
        <row r="2963">
          <cell r="D2963" t="str">
            <v>7818-24821</v>
          </cell>
          <cell r="M2963" t="str">
            <v>9400 1112 0620 9549 1762 98</v>
          </cell>
        </row>
        <row r="2964">
          <cell r="D2964" t="str">
            <v>7818-27035</v>
          </cell>
          <cell r="M2964" t="str">
            <v>9400 1112 0620 9546 1434 08</v>
          </cell>
        </row>
        <row r="2965">
          <cell r="D2965" t="str">
            <v>7811-00314</v>
          </cell>
          <cell r="M2965" t="str">
            <v>9400 1112 0620 9549 1569 17</v>
          </cell>
        </row>
        <row r="2966">
          <cell r="D2966" t="str">
            <v>7818-31634</v>
          </cell>
          <cell r="M2966" t="str">
            <v>9400 1112 0620 9549 1089 78</v>
          </cell>
        </row>
        <row r="2967">
          <cell r="D2967" t="str">
            <v>7818-32204</v>
          </cell>
          <cell r="M2967" t="str">
            <v>9400 1112 0620 9549 1961 97</v>
          </cell>
        </row>
        <row r="2968">
          <cell r="D2968" t="str">
            <v>7812-04509</v>
          </cell>
          <cell r="M2968" t="str">
            <v>9400 1361 0605 3394 7155 22</v>
          </cell>
        </row>
        <row r="2969">
          <cell r="D2969" t="str">
            <v>7818-27422</v>
          </cell>
          <cell r="M2969" t="str">
            <v>9400 1112 0620 9549 1258 45</v>
          </cell>
        </row>
        <row r="2970">
          <cell r="D2970" t="str">
            <v>7818-28479</v>
          </cell>
          <cell r="M2970" t="str">
            <v>9400 1112 0620 9549 1538 31</v>
          </cell>
        </row>
        <row r="2971">
          <cell r="D2971" t="str">
            <v>7810-01631</v>
          </cell>
          <cell r="M2971" t="str">
            <v>9400 1361 0605 3394 8713 96</v>
          </cell>
        </row>
        <row r="2972">
          <cell r="D2972" t="str">
            <v>7823-03337</v>
          </cell>
          <cell r="M2972" t="str">
            <v>9400 1112 0620 9549 1804 48</v>
          </cell>
        </row>
        <row r="2973">
          <cell r="D2973" t="str">
            <v>7818-11903</v>
          </cell>
          <cell r="M2973" t="str">
            <v>9400 1361 0605 3394 7272 11</v>
          </cell>
        </row>
        <row r="2974">
          <cell r="D2974" t="str">
            <v>7818-25817</v>
          </cell>
          <cell r="M2974" t="str">
            <v>9400 1361 0605 3398 7354 89</v>
          </cell>
        </row>
        <row r="2975">
          <cell r="D2975" t="str">
            <v>7818-14651</v>
          </cell>
          <cell r="M2975" t="str">
            <v>9400 1361 0605 3395 7758 22</v>
          </cell>
        </row>
        <row r="2976">
          <cell r="D2976" t="str">
            <v>7812-3588</v>
          </cell>
          <cell r="M2976" t="str">
            <v>9400 1361 0605 3395 8952 09</v>
          </cell>
        </row>
        <row r="2977">
          <cell r="D2977" t="str">
            <v>7818-25858</v>
          </cell>
          <cell r="M2977" t="str">
            <v>9400 1361 0605 3398 7173 79</v>
          </cell>
        </row>
        <row r="2978">
          <cell r="D2978" t="str">
            <v>7818-29427</v>
          </cell>
          <cell r="M2978" t="str">
            <v>9400 1361 0605 3398 7035 63</v>
          </cell>
        </row>
        <row r="2979">
          <cell r="D2979" t="str">
            <v>7818-21208</v>
          </cell>
          <cell r="M2979" t="str">
            <v>9400 1112 0620 9549 1671 35</v>
          </cell>
        </row>
        <row r="2980">
          <cell r="D2980" t="str">
            <v>7818-25847</v>
          </cell>
          <cell r="M2980" t="str">
            <v>9400 1361 0605 3407 2738 10</v>
          </cell>
        </row>
        <row r="2981">
          <cell r="D2981" t="str">
            <v>7818-12441</v>
          </cell>
          <cell r="M2981" t="str">
            <v>9400 1361 0605 3413 7847 20</v>
          </cell>
        </row>
        <row r="2982">
          <cell r="D2982" t="str">
            <v>7818-25016</v>
          </cell>
          <cell r="M2982" t="str">
            <v>9400 1361 0605 3407 3047 67</v>
          </cell>
        </row>
        <row r="2983">
          <cell r="D2983" t="str">
            <v>7818-31647</v>
          </cell>
          <cell r="M2983" t="str">
            <v>9400 1361 0605 3409 8115 91</v>
          </cell>
        </row>
        <row r="2984">
          <cell r="D2984" t="str">
            <v>7810-00582</v>
          </cell>
          <cell r="M2984" t="str">
            <v>9400 1361 0605 3414 4620 92</v>
          </cell>
        </row>
        <row r="2985">
          <cell r="D2985" t="str">
            <v>7818-26662</v>
          </cell>
          <cell r="M2985" t="str">
            <v>9400 1112 0620 9576 0496 95</v>
          </cell>
        </row>
        <row r="2986">
          <cell r="D2986" t="str">
            <v>7818-29800</v>
          </cell>
          <cell r="M2986" t="str">
            <v>9400 1361 0605 3409 7586 98</v>
          </cell>
        </row>
        <row r="2987">
          <cell r="D2987" t="str">
            <v>7818-23230</v>
          </cell>
          <cell r="M2987" t="str">
            <v>9400 1361 0605 3407 2573 08</v>
          </cell>
        </row>
        <row r="2988">
          <cell r="D2988" t="str">
            <v>7810-03104</v>
          </cell>
          <cell r="M2988" t="str">
            <v>9400 1112 0620 9576 0478 13</v>
          </cell>
        </row>
        <row r="2989">
          <cell r="D2989" t="str">
            <v>7818-17745</v>
          </cell>
          <cell r="M2989" t="str">
            <v>9400 1361 0605 3409 7903 53</v>
          </cell>
        </row>
        <row r="2990">
          <cell r="D2990" t="str">
            <v>7818-26850</v>
          </cell>
          <cell r="M2990" t="str">
            <v>9400 1361 0605 3413 6161 13</v>
          </cell>
        </row>
        <row r="2991">
          <cell r="D2991" t="str">
            <v>7818-30946</v>
          </cell>
          <cell r="M2991" t="str">
            <v>9400 1361 0605 3408 6574 42</v>
          </cell>
        </row>
        <row r="2992">
          <cell r="D2992" t="str">
            <v>7818-24902</v>
          </cell>
          <cell r="M2992" t="str">
            <v>9400 1361 0605 3407 2393 73</v>
          </cell>
        </row>
        <row r="2993">
          <cell r="D2993" t="str">
            <v>7818-26588</v>
          </cell>
          <cell r="M2993" t="str">
            <v>9400 1361 0605 3407 2204 94</v>
          </cell>
        </row>
        <row r="2994">
          <cell r="D2994" t="str">
            <v>7818-27334</v>
          </cell>
          <cell r="M2994" t="str">
            <v>9400 1361 0605 3414 9284 20</v>
          </cell>
        </row>
        <row r="2995">
          <cell r="D2995" t="str">
            <v>7812-04949</v>
          </cell>
          <cell r="M2995" t="str">
            <v>9400 1361 0605 3414 8855 32</v>
          </cell>
        </row>
        <row r="2996">
          <cell r="D2996" t="str">
            <v>7818-25896</v>
          </cell>
          <cell r="M2996" t="str">
            <v>9400 1361 0605 3414 9629 43</v>
          </cell>
        </row>
        <row r="2997">
          <cell r="D2997" t="str">
            <v>7823-03044</v>
          </cell>
          <cell r="M2997" t="str">
            <v>9400 1361 0605 3414 9436 90</v>
          </cell>
        </row>
        <row r="2998">
          <cell r="D2998" t="str">
            <v>7818-09377</v>
          </cell>
          <cell r="M2998" t="str">
            <v>9400 1361 0605 3414 9831 46</v>
          </cell>
        </row>
        <row r="2999">
          <cell r="D2999" t="str">
            <v>7818-01670</v>
          </cell>
          <cell r="M2999" t="str">
            <v>9400 1361 0605 3414 9030 21</v>
          </cell>
        </row>
        <row r="3000">
          <cell r="D3000" t="str">
            <v>7818-31244</v>
          </cell>
          <cell r="M3000" t="str">
            <v>9400 1361 0605 3417 4851 35</v>
          </cell>
        </row>
        <row r="3001">
          <cell r="D3001" t="str">
            <v>7818-28024</v>
          </cell>
          <cell r="M3001" t="str">
            <v>9400 1361 0605 3417 4924 09</v>
          </cell>
        </row>
        <row r="3002">
          <cell r="D3002" t="str">
            <v>7818-29946</v>
          </cell>
          <cell r="M3002" t="str">
            <v>9400 1361 0605 3420 5706 13</v>
          </cell>
        </row>
        <row r="3003">
          <cell r="D3003" t="str">
            <v>7818-07761</v>
          </cell>
          <cell r="M3003" t="str">
            <v>9400 1361 0605 3420 5322 77</v>
          </cell>
        </row>
        <row r="3004">
          <cell r="D3004" t="str">
            <v>7818-24504</v>
          </cell>
          <cell r="M3004" t="str">
            <v>9400 1361 0605 3420 5455 12</v>
          </cell>
        </row>
        <row r="3005">
          <cell r="D3005" t="str">
            <v>7818-28681</v>
          </cell>
          <cell r="M3005" t="str">
            <v>9400 1361 0605 3421 7864 19</v>
          </cell>
        </row>
        <row r="3006">
          <cell r="D3006" t="str">
            <v>7812-04708</v>
          </cell>
          <cell r="M3006" t="str">
            <v>9400 1361 0605 3422 9527 45</v>
          </cell>
        </row>
        <row r="3007">
          <cell r="D3007" t="str">
            <v>7818-30905</v>
          </cell>
          <cell r="M3007" t="str">
            <v>9400 1361 0605 3422 9491 10</v>
          </cell>
        </row>
        <row r="3008">
          <cell r="D3008" t="str">
            <v>7812-4038</v>
          </cell>
          <cell r="M3008" t="str">
            <v>9400 1361 0605 3422 9565 07</v>
          </cell>
        </row>
        <row r="3009">
          <cell r="D3009" t="str">
            <v>7818-23736</v>
          </cell>
          <cell r="M3009" t="str">
            <v>9400 1361 0605 3422 9601 53</v>
          </cell>
        </row>
        <row r="3010">
          <cell r="D3010" t="str">
            <v>7812-04715</v>
          </cell>
          <cell r="M3010" t="str">
            <v>9400 1361 0605 3422 9637 89</v>
          </cell>
        </row>
        <row r="3011">
          <cell r="D3011" t="str">
            <v>7818-30953</v>
          </cell>
          <cell r="M3011" t="str">
            <v>9400 1361 0605 3422 9394 87</v>
          </cell>
        </row>
        <row r="3012">
          <cell r="D3012" t="str">
            <v>7818-32141</v>
          </cell>
          <cell r="M3012" t="str">
            <v>9400 1361 0605 3420 5177 17</v>
          </cell>
        </row>
        <row r="3013">
          <cell r="D3013" t="str">
            <v>7823-02906</v>
          </cell>
          <cell r="M3013" t="str">
            <v>9400 1361 0605 3421 7990 99</v>
          </cell>
        </row>
        <row r="3014">
          <cell r="D3014" t="str">
            <v>7818-25005</v>
          </cell>
          <cell r="M3014" t="str">
            <v>9400 1361 0605 3423 0249 91</v>
          </cell>
        </row>
        <row r="3015">
          <cell r="D3015" t="str">
            <v>7818-28149</v>
          </cell>
          <cell r="M3015" t="str">
            <v>9400 1112 0620 9925 0884 50</v>
          </cell>
        </row>
        <row r="3016">
          <cell r="D3016" t="str">
            <v>7812-05001</v>
          </cell>
          <cell r="M3016" t="str">
            <v>9400 1112 0620 9925 8359 55</v>
          </cell>
        </row>
        <row r="3017">
          <cell r="D3017" t="str">
            <v>7812-04709</v>
          </cell>
          <cell r="M3017" t="str">
            <v>9400 1112 0620 9925 8754 49</v>
          </cell>
        </row>
        <row r="3018">
          <cell r="D3018" t="str">
            <v>7812-04952</v>
          </cell>
          <cell r="M3018" t="str">
            <v>9400 1361 0605 3432 9278 18</v>
          </cell>
        </row>
        <row r="3019">
          <cell r="D3019" t="str">
            <v>7818-32252</v>
          </cell>
          <cell r="M3019" t="str">
            <v>9400 1112 0620 9925 8162 13</v>
          </cell>
        </row>
        <row r="3020">
          <cell r="D3020" t="str">
            <v>7812-03473</v>
          </cell>
          <cell r="M3020" t="str">
            <v>9400 1112 0620 9922 3081 31</v>
          </cell>
        </row>
        <row r="3021">
          <cell r="D3021" t="str">
            <v>7818-27340</v>
          </cell>
          <cell r="M3021" t="str">
            <v>9400 1361 0605 3441 0809 93</v>
          </cell>
        </row>
        <row r="3022">
          <cell r="D3022" t="str">
            <v>7823-01864</v>
          </cell>
          <cell r="M3022" t="str">
            <v>9400 1361 0605 3441 1149 95</v>
          </cell>
        </row>
        <row r="3023">
          <cell r="D3023" t="str">
            <v>7818-03772</v>
          </cell>
          <cell r="M3023" t="str">
            <v>9400 1361 0605 3441 0737 35</v>
          </cell>
        </row>
        <row r="3024">
          <cell r="D3024" t="str">
            <v>7818-28232</v>
          </cell>
          <cell r="M3024" t="str">
            <v>9400 1361 0605 3441 1040 33</v>
          </cell>
        </row>
        <row r="3025">
          <cell r="D3025" t="str">
            <v>7818-32148</v>
          </cell>
          <cell r="M3025" t="str">
            <v>9400 1361 0605 3447 1373 70</v>
          </cell>
        </row>
        <row r="3026">
          <cell r="D3026" t="str">
            <v>7818-32250</v>
          </cell>
          <cell r="M3026" t="str">
            <v>9400 1361 0605 3448 4611 91</v>
          </cell>
        </row>
        <row r="3027">
          <cell r="D3027" t="str">
            <v>7818-31619</v>
          </cell>
          <cell r="M3027" t="str">
            <v>9400 1361 0605 3448 4684 97</v>
          </cell>
        </row>
        <row r="3028">
          <cell r="D3028" t="str">
            <v>7823-02690</v>
          </cell>
          <cell r="M3028" t="str">
            <v>9434 6112 0620 9992 3903 11</v>
          </cell>
        </row>
        <row r="3029">
          <cell r="D3029" t="str">
            <v>7818-27428</v>
          </cell>
          <cell r="M3029" t="str">
            <v>9400 1361 0605 3453 9303 30</v>
          </cell>
        </row>
        <row r="3030">
          <cell r="D3030" t="str">
            <v>7823-02909</v>
          </cell>
          <cell r="M3030" t="str">
            <v>9400 1361 0605 3453 9179 28</v>
          </cell>
        </row>
        <row r="3031">
          <cell r="D3031" t="str">
            <v>7818-27404</v>
          </cell>
          <cell r="M3031" t="str">
            <v>9400 1361 0605 3452 7597 89</v>
          </cell>
        </row>
        <row r="3032">
          <cell r="D3032" t="str">
            <v>7818-30960</v>
          </cell>
          <cell r="M3032" t="str">
            <v>9400 1361 0605 3453 8988 69</v>
          </cell>
        </row>
        <row r="3033">
          <cell r="D3033" t="str">
            <v>7818-32868</v>
          </cell>
          <cell r="M3033" t="str">
            <v>9400 1361 0605 3452 7498 65</v>
          </cell>
        </row>
        <row r="3034">
          <cell r="D3034" t="str">
            <v>7818-27081</v>
          </cell>
          <cell r="M3034" t="str">
            <v>9400 1361 0605 3458 9199 96</v>
          </cell>
        </row>
        <row r="3035">
          <cell r="D3035" t="str">
            <v>7823-03231</v>
          </cell>
          <cell r="M3035" t="str">
            <v>9400 1361 0605 3461 9224 95</v>
          </cell>
        </row>
        <row r="3036">
          <cell r="D3036" t="str">
            <v>7823-00470</v>
          </cell>
          <cell r="M3036" t="str">
            <v>9400 1361 0605 3453 9404 69</v>
          </cell>
        </row>
        <row r="3037">
          <cell r="D3037" t="str">
            <v>7818-25002</v>
          </cell>
          <cell r="M3037" t="str">
            <v>9400 1361 0605 3458 9116 24</v>
          </cell>
        </row>
        <row r="3038">
          <cell r="D3038" t="str">
            <v>7818-11661</v>
          </cell>
          <cell r="M3038" t="str">
            <v>9400 1361 0605 3458 9054 25</v>
          </cell>
        </row>
        <row r="3039">
          <cell r="D3039" t="str">
            <v>7818-24208</v>
          </cell>
          <cell r="M3039" t="str">
            <v>9400 1361 0605 3458 8916 74</v>
          </cell>
        </row>
        <row r="3040">
          <cell r="D3040" t="str">
            <v>7818-25800</v>
          </cell>
          <cell r="M3040" t="str">
            <v>9400 1361 0605 3458 8981 54</v>
          </cell>
        </row>
        <row r="3041">
          <cell r="D3041" t="str">
            <v>7810-01147</v>
          </cell>
          <cell r="M3041" t="str">
            <v>9400 1361 0605 3455 9054 35</v>
          </cell>
        </row>
        <row r="3042">
          <cell r="D3042" t="str">
            <v>7812-01819</v>
          </cell>
          <cell r="M3042" t="str">
            <v>9400 1361 0605 3458 8702 97</v>
          </cell>
        </row>
        <row r="3043">
          <cell r="D3043" t="str">
            <v>7812-3717</v>
          </cell>
          <cell r="M3043" t="str">
            <v>9400 1361 0605 3458 9250 34</v>
          </cell>
        </row>
        <row r="3044">
          <cell r="D3044" t="str">
            <v>7812-3576</v>
          </cell>
          <cell r="M3044" t="str">
            <v>9400 1361 0605 3458 8702 97</v>
          </cell>
        </row>
        <row r="3045">
          <cell r="D3045" t="str">
            <v>7823-02817</v>
          </cell>
          <cell r="M3045" t="str">
            <v>9400 1361 0605 3461 9273 77</v>
          </cell>
        </row>
        <row r="3046">
          <cell r="D3046" t="str">
            <v>7818-30701</v>
          </cell>
          <cell r="M3046" t="str">
            <v>9400 1361 0605 3463 1186 74</v>
          </cell>
        </row>
        <row r="3047">
          <cell r="D3047" t="str">
            <v>7818-31218</v>
          </cell>
          <cell r="M3047" t="str">
            <v>9400 1361 0605 3461 9353 72</v>
          </cell>
        </row>
        <row r="3048">
          <cell r="D3048" t="str">
            <v>7823-02684</v>
          </cell>
          <cell r="M3048" t="str">
            <v>9400 1361 0605 3461 8908 24</v>
          </cell>
        </row>
        <row r="3049">
          <cell r="D3049" t="str">
            <v>7818-29556</v>
          </cell>
          <cell r="M3049" t="str">
            <v>9400 1361 0605 3461 8725 30</v>
          </cell>
        </row>
        <row r="3050">
          <cell r="D3050" t="str">
            <v>7818-11624</v>
          </cell>
          <cell r="M3050" t="str">
            <v>9400 1361 0605 3461 9120 07</v>
          </cell>
        </row>
        <row r="3051">
          <cell r="D3051" t="str">
            <v>7818-15525</v>
          </cell>
          <cell r="M3051" t="str">
            <v xml:space="preserve">9400 1361 0605 3462 0420 00 </v>
          </cell>
        </row>
        <row r="3052">
          <cell r="D3052" t="str">
            <v>7823-01850</v>
          </cell>
          <cell r="M3052" t="str">
            <v>9400 1361 0605 3461 9167 53</v>
          </cell>
        </row>
        <row r="3053">
          <cell r="D3053" t="str">
            <v>7811-00320</v>
          </cell>
          <cell r="M3053" t="str">
            <v>9400 1361 0605 3461 8809 79</v>
          </cell>
        </row>
        <row r="3054">
          <cell r="D3054" t="str">
            <v>7818-24372</v>
          </cell>
          <cell r="M3054" t="str">
            <v>9400 1361 0605 3462 0387 20</v>
          </cell>
        </row>
        <row r="3055">
          <cell r="D3055" t="str">
            <v>7810-01861</v>
          </cell>
          <cell r="M3055" t="str">
            <v>9400 1112 0620 9903 5760 61</v>
          </cell>
        </row>
        <row r="3056">
          <cell r="D3056" t="str">
            <v>7818-31172</v>
          </cell>
          <cell r="M3056" t="str">
            <v>9400 1361 0605 3469 0503 67</v>
          </cell>
        </row>
        <row r="3057">
          <cell r="D3057" t="str">
            <v>7823-02689</v>
          </cell>
          <cell r="M3057" t="str">
            <v>9400 1361 0605 3471 9476 48</v>
          </cell>
        </row>
        <row r="3058">
          <cell r="D3058" t="str">
            <v>7818-25859</v>
          </cell>
          <cell r="M3058" t="str">
            <v>9400 1361 0605 3469 1441 89</v>
          </cell>
        </row>
        <row r="3059">
          <cell r="D3059" t="str">
            <v>7829-00049</v>
          </cell>
          <cell r="M3059" t="str">
            <v>9400 1361 0605 3469 1626 57</v>
          </cell>
        </row>
        <row r="3060">
          <cell r="D3060" t="str">
            <v>7829-00048</v>
          </cell>
          <cell r="M3060" t="str">
            <v>9400 1361 0605 3469 1807 12</v>
          </cell>
        </row>
        <row r="3061">
          <cell r="D3061" t="str">
            <v>7823-02530</v>
          </cell>
          <cell r="M3061" t="str">
            <v>9400 1361 0605 3469 1258 43</v>
          </cell>
        </row>
        <row r="3062">
          <cell r="D3062" t="str">
            <v>7818-15033</v>
          </cell>
          <cell r="M3062" t="str">
            <v>9400 136 10605 3473 3429 46</v>
          </cell>
        </row>
        <row r="3063">
          <cell r="D3063" t="str">
            <v>7818-25703</v>
          </cell>
          <cell r="M3063" t="str">
            <v>9400 1361 0605 3473 1184 97</v>
          </cell>
        </row>
        <row r="3064">
          <cell r="D3064" t="str">
            <v>7812-01763</v>
          </cell>
          <cell r="M3064" t="str">
            <v>9400 1361 0605 3471 9572 89</v>
          </cell>
        </row>
        <row r="3065">
          <cell r="D3065" t="str">
            <v>7823-02238</v>
          </cell>
          <cell r="M3065" t="str">
            <v>9400 1361 0605 3473 1525 45</v>
          </cell>
        </row>
        <row r="3066">
          <cell r="D3066" t="str">
            <v>7818-18635</v>
          </cell>
          <cell r="M3066" t="str">
            <v>9400 1361 0605 3471 9727 32</v>
          </cell>
        </row>
        <row r="3067">
          <cell r="D3067" t="str">
            <v>7818-32882</v>
          </cell>
          <cell r="M3067" t="str">
            <v>9400 1361 0605 3473 1401 53</v>
          </cell>
        </row>
        <row r="3068">
          <cell r="D3068" t="str">
            <v>7818-17714</v>
          </cell>
          <cell r="M3068" t="str">
            <v>9400 1361 0605 3473 3349 58</v>
          </cell>
        </row>
        <row r="3069">
          <cell r="D3069" t="str">
            <v>7818-17330</v>
          </cell>
          <cell r="M3069" t="str">
            <v>9400 1361 0605 3473 1351 42</v>
          </cell>
        </row>
        <row r="3070">
          <cell r="D3070" t="str">
            <v>7823-02445</v>
          </cell>
          <cell r="M3070" t="str">
            <v>9400 1361 0605 3477 6741 28</v>
          </cell>
        </row>
        <row r="3071">
          <cell r="D3071" t="str">
            <v>7818-26985</v>
          </cell>
          <cell r="M3071" t="str">
            <v>9400 1361 0605 3478 3082 37</v>
          </cell>
        </row>
        <row r="3072">
          <cell r="D3072" t="str">
            <v>7811-00034</v>
          </cell>
          <cell r="M3072" t="str">
            <v>9400 1361 0605 3478 2656 46</v>
          </cell>
        </row>
        <row r="3073">
          <cell r="D3073" t="str">
            <v>7818-28234</v>
          </cell>
          <cell r="M3073" t="str">
            <v>9400 1361 0605 3478 2852 62</v>
          </cell>
        </row>
        <row r="3074">
          <cell r="D3074" t="str">
            <v>7818-15852</v>
          </cell>
          <cell r="M3074" t="str">
            <v>9400 1361 0605 3471 9647 82</v>
          </cell>
        </row>
        <row r="3075">
          <cell r="D3075" t="str">
            <v>7819-00482</v>
          </cell>
          <cell r="M3075" t="str">
            <v>9400 1112 0620 9964 8348 10</v>
          </cell>
        </row>
        <row r="3076">
          <cell r="D3076" t="str">
            <v>7818-18907</v>
          </cell>
          <cell r="M3076" t="str">
            <v>9400 1361 0605 3485 2261 66</v>
          </cell>
        </row>
        <row r="3077">
          <cell r="D3077" t="str">
            <v>7823-02237</v>
          </cell>
          <cell r="M3077" t="str">
            <v>9400 1361 0605 3478 2748 91</v>
          </cell>
        </row>
        <row r="3078">
          <cell r="D3078" t="str">
            <v>7818-07129</v>
          </cell>
          <cell r="M3078" t="str">
            <v>9400 1361 0605 3485 2306 44</v>
          </cell>
        </row>
        <row r="3079">
          <cell r="D3079" t="str">
            <v>7811-00229</v>
          </cell>
          <cell r="M3079" t="str">
            <v>9400 1361 0605 3481 7979 74</v>
          </cell>
        </row>
        <row r="3080">
          <cell r="D3080" t="str">
            <v>7812-03440</v>
          </cell>
          <cell r="M3080" t="str">
            <v>9400 1361 0605 3481 8030 33</v>
          </cell>
        </row>
        <row r="3081">
          <cell r="D3081" t="str">
            <v>7818-25793</v>
          </cell>
          <cell r="M3081" t="str">
            <v>9400 1361 0605 3481 7889 96</v>
          </cell>
        </row>
        <row r="3082">
          <cell r="D3082" t="str">
            <v>7823-02951</v>
          </cell>
          <cell r="M3082" t="str">
            <v>9400 1112 0620 9903 5961 37</v>
          </cell>
        </row>
        <row r="3083">
          <cell r="D3083" t="str">
            <v>7823-03121</v>
          </cell>
          <cell r="M3083" t="str">
            <v>9400 1361 0605 3471 9787 34</v>
          </cell>
        </row>
        <row r="3084">
          <cell r="D3084" t="str">
            <v>7823-02993</v>
          </cell>
          <cell r="M3084" t="str">
            <v>9400 1112 0620 9964 8106 30</v>
          </cell>
        </row>
        <row r="3085">
          <cell r="D3085" t="str">
            <v>7823-02243</v>
          </cell>
          <cell r="M3085" t="str">
            <v>9400 1112 0620 9903 5285 03</v>
          </cell>
        </row>
        <row r="3086">
          <cell r="D3086" t="str">
            <v>7818-32253</v>
          </cell>
          <cell r="M3086" t="str">
            <v>9400 1361 0605 3473 1454 86</v>
          </cell>
        </row>
        <row r="3087">
          <cell r="D3087" t="str">
            <v>7818-12897</v>
          </cell>
          <cell r="M3087" t="str">
            <v>9400 1361 0605 3473 7089 33</v>
          </cell>
        </row>
        <row r="3088">
          <cell r="D3088" t="str">
            <v>7812-04526</v>
          </cell>
          <cell r="M3088" t="str">
            <v>9400 1361 0605 3487 4552 29</v>
          </cell>
        </row>
        <row r="3089">
          <cell r="D3089" t="str">
            <v>7823-02244</v>
          </cell>
          <cell r="M3089" t="str">
            <v>9400 1361 0605 3487 4738 41</v>
          </cell>
        </row>
        <row r="3090">
          <cell r="D3090" t="str">
            <v>7818-27405</v>
          </cell>
          <cell r="M3090" t="str">
            <v>9400 1361 0605 3491 0415 79</v>
          </cell>
        </row>
        <row r="3091">
          <cell r="D3091" t="str">
            <v>7818-29959</v>
          </cell>
          <cell r="M3091" t="str">
            <v>9400 1361 0605 3478 4331 51</v>
          </cell>
        </row>
        <row r="3092">
          <cell r="D3092" t="str">
            <v>7812-4037</v>
          </cell>
          <cell r="M3092" t="str">
            <v>9400 1361 0605 3487 4842 50</v>
          </cell>
        </row>
        <row r="3093">
          <cell r="D3093" t="str">
            <v>7812-04651</v>
          </cell>
          <cell r="M3093" t="str">
            <v>9400 1361 0605 3487 4792 87</v>
          </cell>
        </row>
        <row r="3094">
          <cell r="D3094" t="str">
            <v>7818-25818</v>
          </cell>
          <cell r="M3094" t="str">
            <v>9400 1361 0605 3487 4738 41</v>
          </cell>
        </row>
        <row r="3095">
          <cell r="D3095" t="str">
            <v>7818-32883</v>
          </cell>
          <cell r="M3095" t="str">
            <v>9400 1361 0605 3491 0534 73</v>
          </cell>
        </row>
        <row r="3096">
          <cell r="D3096" t="str">
            <v>7823-01858</v>
          </cell>
          <cell r="M3096" t="str">
            <v>9400 1361 0605 3491 0415 79</v>
          </cell>
        </row>
        <row r="3097">
          <cell r="D3097" t="str">
            <v>7810-01316</v>
          </cell>
          <cell r="M3097" t="str">
            <v>9400 1112 0620 9964 0412 18</v>
          </cell>
        </row>
        <row r="3098">
          <cell r="D3098" t="str">
            <v>7818-31171</v>
          </cell>
          <cell r="M3098" t="str">
            <v>9400 1112 0620 9952 5045 89</v>
          </cell>
        </row>
        <row r="3099">
          <cell r="D3099" t="str">
            <v>7818-07082</v>
          </cell>
          <cell r="M3099" t="str">
            <v>9400 1361 0605 3496 2758 01</v>
          </cell>
        </row>
        <row r="3100">
          <cell r="D3100" t="str">
            <v>7811-00198</v>
          </cell>
          <cell r="M3100" t="str">
            <v>9400 1112 0620 9952 4966 86</v>
          </cell>
        </row>
        <row r="3101">
          <cell r="D3101" t="str">
            <v>7818-26667</v>
          </cell>
          <cell r="M3101" t="str">
            <v>9400 1361 0605 3496 2846 12</v>
          </cell>
        </row>
        <row r="3102">
          <cell r="D3102" t="str">
            <v>7819-00480</v>
          </cell>
          <cell r="M3102" t="str">
            <v>9400 1112 0620 9952 5247 09</v>
          </cell>
        </row>
        <row r="3103">
          <cell r="D3103" t="str">
            <v>7824-00444</v>
          </cell>
          <cell r="M3103" t="str">
            <v>9400 1112 0620 9952 5768 69</v>
          </cell>
        </row>
        <row r="3104">
          <cell r="D3104" t="str">
            <v>7824-00452</v>
          </cell>
          <cell r="M3104" t="str">
            <v>9400 1112 0620 9952 5525 66</v>
          </cell>
        </row>
        <row r="3105">
          <cell r="D3105" t="str">
            <v>7818-16337</v>
          </cell>
          <cell r="M3105" t="str">
            <v>9400 1112 0620 9952 4174 45</v>
          </cell>
        </row>
        <row r="3106">
          <cell r="D3106" t="str">
            <v>7818-24901</v>
          </cell>
          <cell r="M3106" t="str">
            <v>9400 1112 0620 9959 0795 92</v>
          </cell>
        </row>
        <row r="3107">
          <cell r="D3107" t="str">
            <v>7812-04703</v>
          </cell>
          <cell r="M3107" t="str">
            <v>9400 1361 0605 3505 4107 80</v>
          </cell>
        </row>
        <row r="3108">
          <cell r="D3108" t="str">
            <v>7818-18884</v>
          </cell>
          <cell r="M3108" t="str">
            <v>9400 1361 0605 3503 6560 67</v>
          </cell>
        </row>
        <row r="3109">
          <cell r="D3109" t="str">
            <v>7812-01228</v>
          </cell>
          <cell r="M3109" t="str">
            <v>9400 1361 0605 3503 6709 19</v>
          </cell>
        </row>
        <row r="3110">
          <cell r="D3110" t="str">
            <v>7823-02611</v>
          </cell>
          <cell r="M3110" t="str">
            <v>9400 1361 0605 3503 6375 78</v>
          </cell>
        </row>
        <row r="3111">
          <cell r="D3111" t="str">
            <v>7818-22512</v>
          </cell>
          <cell r="M3111" t="str">
            <v>9400 1361 0605 3505 4083 67</v>
          </cell>
        </row>
        <row r="3112">
          <cell r="D3112" t="str">
            <v>7824-00469</v>
          </cell>
          <cell r="M3112" t="str">
            <v>9400 1361 0605 3503 6141 35</v>
          </cell>
        </row>
        <row r="3113">
          <cell r="D3113" t="str">
            <v>7824-00467</v>
          </cell>
          <cell r="M3113" t="str">
            <v>9400 1361 0605 3505 4066 60</v>
          </cell>
        </row>
        <row r="3114">
          <cell r="D3114" t="str">
            <v>7818-21420</v>
          </cell>
          <cell r="M3114" t="str">
            <v>9400 1361 0605 3505 3307 29</v>
          </cell>
        </row>
        <row r="3115">
          <cell r="D3115" t="str">
            <v>7810-01863</v>
          </cell>
          <cell r="M3115" t="str">
            <v>9400 1361 0605 3505 3337 37</v>
          </cell>
        </row>
        <row r="3116">
          <cell r="D3116" t="str">
            <v>7818-27600</v>
          </cell>
          <cell r="M3116" t="str">
            <v>9400 1361 0605 3496 2713 15</v>
          </cell>
        </row>
        <row r="3117">
          <cell r="D3117" t="str">
            <v>7818-22935</v>
          </cell>
          <cell r="M3117" t="str">
            <v>9400 1361 0605 3505 4131 25</v>
          </cell>
        </row>
        <row r="3118">
          <cell r="D3118" t="str">
            <v>7818-26668</v>
          </cell>
          <cell r="M3118" t="str">
            <v>9400 1361 0605 3510 3316 36</v>
          </cell>
        </row>
        <row r="3119">
          <cell r="D3119" t="str">
            <v>7812-04904</v>
          </cell>
          <cell r="M3119" t="str">
            <v>9400 1361 0605 3510 2905 82</v>
          </cell>
        </row>
        <row r="3120">
          <cell r="D3120" t="str">
            <v>7818-28060</v>
          </cell>
          <cell r="M3120" t="str">
            <v>9400 1361 0605 3510 2813 13</v>
          </cell>
        </row>
        <row r="3121">
          <cell r="D3121" t="str">
            <v>7818-31213</v>
          </cell>
          <cell r="M3121" t="str">
            <v>9400 1361 0605 3510 2081 50</v>
          </cell>
        </row>
        <row r="3122">
          <cell r="D3122" t="str">
            <v>7812-04743</v>
          </cell>
          <cell r="M3122" t="str">
            <v>9400 1361 0605 3510 4757 12</v>
          </cell>
        </row>
        <row r="3123">
          <cell r="D3123" t="str">
            <v>7812-04518</v>
          </cell>
          <cell r="M3123" t="str">
            <v>9400 1361 0605 3510 8544 32</v>
          </cell>
        </row>
        <row r="3124">
          <cell r="D3124" t="str">
            <v>7812-3559</v>
          </cell>
          <cell r="M3124" t="str">
            <v>9400 1361 0605 3510 2249 83</v>
          </cell>
        </row>
        <row r="3125">
          <cell r="D3125" t="str">
            <v>7818-27607</v>
          </cell>
          <cell r="M3125" t="str">
            <v>9400 1361 0605 3510 2702 94</v>
          </cell>
        </row>
        <row r="3126">
          <cell r="D3126" t="str">
            <v>7818-30938</v>
          </cell>
          <cell r="M3126" t="str">
            <v>9400 1361 0605 3510 2383 86</v>
          </cell>
        </row>
        <row r="3127">
          <cell r="D3127" t="str">
            <v>7818-14756</v>
          </cell>
          <cell r="M3127" t="str">
            <v>9400 1361 0605 3510 3009 84</v>
          </cell>
        </row>
        <row r="3128">
          <cell r="D3128" t="str">
            <v>7818-10762</v>
          </cell>
          <cell r="M3128" t="str">
            <v>9400 1361 0605 3510 3148 51</v>
          </cell>
        </row>
        <row r="3129">
          <cell r="D3129" t="str">
            <v>7818-17377</v>
          </cell>
          <cell r="M3129" t="str">
            <v>9400 1361 0605 3510 7203 17</v>
          </cell>
        </row>
        <row r="3130">
          <cell r="D3130" t="str">
            <v>7818-27336</v>
          </cell>
          <cell r="M3130" t="str">
            <v>9400 1361 0605 3510 4853 46</v>
          </cell>
        </row>
        <row r="3131">
          <cell r="D3131" t="str">
            <v>7818-24459</v>
          </cell>
          <cell r="M3131" t="str">
            <v>9400 1361 0605 3510 8476 70</v>
          </cell>
        </row>
        <row r="3132">
          <cell r="D3132" t="str">
            <v>7812-04506</v>
          </cell>
          <cell r="M3132" t="str">
            <v>9400 1361 0605 3496 2619 03</v>
          </cell>
        </row>
        <row r="3133">
          <cell r="D3133" t="str">
            <v>7818-11368</v>
          </cell>
          <cell r="M3133" t="str">
            <v>9400 1361 0605 3517 5489 07</v>
          </cell>
        </row>
        <row r="3134">
          <cell r="D3134" t="str">
            <v>7818-27427</v>
          </cell>
          <cell r="M3134" t="str">
            <v>9400 1361 0605 3514 3287 62</v>
          </cell>
        </row>
        <row r="3135">
          <cell r="D3135" t="str">
            <v>7818-20813</v>
          </cell>
          <cell r="M3135" t="str">
            <v>9400 1361 0605 3514 3227 84</v>
          </cell>
        </row>
        <row r="3136">
          <cell r="D3136" t="str">
            <v>7810-01598</v>
          </cell>
          <cell r="M3136" t="str">
            <v>9400 1361 0605 3514 3184 66</v>
          </cell>
        </row>
        <row r="3137">
          <cell r="D3137" t="str">
            <v>7818-19610</v>
          </cell>
          <cell r="M3137" t="str">
            <v>9400 1361 0605 3517 5593 30</v>
          </cell>
        </row>
        <row r="3138">
          <cell r="D3138" t="str">
            <v>7823-03172</v>
          </cell>
          <cell r="M3138" t="str">
            <v>9400 1361 0605 3517 5525 84</v>
          </cell>
        </row>
        <row r="3139">
          <cell r="D3139" t="str">
            <v>7818-28628</v>
          </cell>
          <cell r="M3139" t="str">
            <v>9400 1112 0620 9948 6439 57</v>
          </cell>
        </row>
        <row r="3140">
          <cell r="D3140" t="str">
            <v>7818-26440</v>
          </cell>
          <cell r="M3140" t="str">
            <v>9400 1361 0605 3510 3616 02</v>
          </cell>
        </row>
        <row r="3141">
          <cell r="D3141" t="str">
            <v>7818-32820</v>
          </cell>
          <cell r="M3141" t="str">
            <v>9400 1361 0605 3517 5557 21</v>
          </cell>
        </row>
        <row r="3142">
          <cell r="D3142" t="str">
            <v>7812-04721</v>
          </cell>
          <cell r="M3142" t="str">
            <v>9400 1361 0605 3525 0951 72</v>
          </cell>
        </row>
        <row r="3143">
          <cell r="D3143" t="str">
            <v>7812-01030</v>
          </cell>
          <cell r="M3143" t="str">
            <v>9400 1361 0605 3525 6515 52</v>
          </cell>
        </row>
        <row r="3144">
          <cell r="D3144" t="str">
            <v>7818-26550</v>
          </cell>
          <cell r="M3144" t="str">
            <v>9400 1361 0605 3525 3766 15</v>
          </cell>
        </row>
        <row r="3145">
          <cell r="D3145" t="str">
            <v>7818-25484</v>
          </cell>
          <cell r="M3145" t="str">
            <v>9400 1112 0620 9953 5535 48</v>
          </cell>
        </row>
        <row r="3146">
          <cell r="D3146" t="str">
            <v>7818-21602</v>
          </cell>
          <cell r="M3146" t="str">
            <v>9400 1112 0620 9970 6921 38</v>
          </cell>
        </row>
        <row r="3147">
          <cell r="D3147" t="str">
            <v>7823-02165</v>
          </cell>
          <cell r="M3147" t="str">
            <v>9400 1361 0605 3527 8795 03</v>
          </cell>
        </row>
        <row r="3148">
          <cell r="D3148" t="str">
            <v>7818-07811</v>
          </cell>
          <cell r="M3148" t="str">
            <v>9400 1361 0605 3527 8779 50</v>
          </cell>
        </row>
        <row r="3149">
          <cell r="D3149" t="str">
            <v>7818-32901</v>
          </cell>
          <cell r="M3149" t="str">
            <v>9434 6361 0605 3527 8977 69</v>
          </cell>
        </row>
        <row r="3150">
          <cell r="D3150" t="str">
            <v>7818-26423</v>
          </cell>
          <cell r="M3150" t="str">
            <v>9400 1361 0605 3535 4210 84</v>
          </cell>
        </row>
        <row r="3151">
          <cell r="D3151" t="str">
            <v>7818-28223</v>
          </cell>
          <cell r="M3151" t="str">
            <v>9400 1361 0605 3537 7482 26</v>
          </cell>
        </row>
        <row r="3152">
          <cell r="D3152" t="str">
            <v>7818-32808</v>
          </cell>
          <cell r="M3152" t="str">
            <v>9400 1361 0605 3537 6688 76</v>
          </cell>
        </row>
        <row r="3153">
          <cell r="D3153" t="str">
            <v>7823-03252</v>
          </cell>
          <cell r="M3153" t="str">
            <v>9400 1361 0605 3541 8350 97</v>
          </cell>
        </row>
        <row r="3154">
          <cell r="D3154" t="str">
            <v>7818-24917</v>
          </cell>
          <cell r="M3154" t="str">
            <v>9400 1361 0605 3541 8262 93</v>
          </cell>
        </row>
        <row r="3155">
          <cell r="D3155" t="str">
            <v>7823-03013</v>
          </cell>
          <cell r="M3155" t="str">
            <v>9400 1112 0620 9931 7349 45</v>
          </cell>
        </row>
        <row r="3156">
          <cell r="D3156" t="str">
            <v>7818-12857</v>
          </cell>
          <cell r="M3156" t="str">
            <v>9400 1361 06053551 9646 88</v>
          </cell>
        </row>
        <row r="3157">
          <cell r="D3157" t="str">
            <v>7818-22250</v>
          </cell>
          <cell r="M3157" t="str">
            <v>9400 1361 0605 3552 0024 40</v>
          </cell>
        </row>
        <row r="3158">
          <cell r="D3158" t="str">
            <v>7812-04704</v>
          </cell>
          <cell r="M3158" t="str">
            <v>9400 1361 0605 3551 9765 13</v>
          </cell>
        </row>
        <row r="3159">
          <cell r="D3159" t="str">
            <v>7812-04559</v>
          </cell>
          <cell r="M3159" t="str">
            <v>9400 1361 0605 3551 9579 18</v>
          </cell>
        </row>
        <row r="3160">
          <cell r="D3160" t="str">
            <v>7810-00591</v>
          </cell>
          <cell r="M3160" t="str">
            <v>9400 1361 0605 3551 9839 86</v>
          </cell>
        </row>
        <row r="3161">
          <cell r="D3161" t="str">
            <v>7818-28213</v>
          </cell>
          <cell r="M3161" t="str">
            <v>9400 1361 0605 3551 9347 59</v>
          </cell>
        </row>
        <row r="3162">
          <cell r="D3162" t="str">
            <v>7818-25440</v>
          </cell>
          <cell r="M3162" t="str">
            <v>9400 1361 0605 3551 9257 88</v>
          </cell>
        </row>
        <row r="3163">
          <cell r="D3163" t="str">
            <v>7818-27605</v>
          </cell>
          <cell r="M3163" t="str">
            <v>9400 1361 0605 3551 9509 71</v>
          </cell>
        </row>
        <row r="3164">
          <cell r="D3164" t="str">
            <v>7818-25101</v>
          </cell>
          <cell r="M3164" t="str">
            <v>9400 1361 0605 3551 9703 82</v>
          </cell>
        </row>
        <row r="3165">
          <cell r="D3165" t="str">
            <v>7818-32887</v>
          </cell>
          <cell r="M3165" t="str">
            <v>9400 1361 0605 3564 5627 34</v>
          </cell>
        </row>
        <row r="3166">
          <cell r="D3166" t="str">
            <v>7818-32144</v>
          </cell>
          <cell r="M3166" t="str">
            <v>9400 1361 0605 3564 5281 67</v>
          </cell>
        </row>
        <row r="3167">
          <cell r="D3167" t="str">
            <v>7818-32809</v>
          </cell>
          <cell r="M3167" t="str">
            <v>9400 1361 0605 3564 5159 38</v>
          </cell>
        </row>
        <row r="3168">
          <cell r="D3168" t="str">
            <v>7818-25001</v>
          </cell>
          <cell r="M3168" t="str">
            <v>9400 1361 0605 3564 5467 89</v>
          </cell>
        </row>
        <row r="3169">
          <cell r="D3169" t="str">
            <v>7818-28001</v>
          </cell>
          <cell r="M3169" t="str">
            <v>9400 1361 0605 3568 0046 74</v>
          </cell>
        </row>
        <row r="3170">
          <cell r="D3170" t="str">
            <v>7818-32801</v>
          </cell>
          <cell r="M3170" t="str">
            <v>9400 1361 0605 3567 9835 74</v>
          </cell>
        </row>
        <row r="3171">
          <cell r="D3171" t="str">
            <v>7823-01666</v>
          </cell>
          <cell r="M3171" t="str">
            <v>9400 1361 0605 3567 9906 26</v>
          </cell>
        </row>
        <row r="3172">
          <cell r="D3172" t="str">
            <v>7818-19838</v>
          </cell>
          <cell r="M3172" t="str">
            <v>9400 1361 0605 3568 0037 38</v>
          </cell>
        </row>
        <row r="3173">
          <cell r="D3173" t="str">
            <v>7823-03021</v>
          </cell>
          <cell r="M3173" t="str">
            <v>9400 1361 0605 3570 0952 19</v>
          </cell>
        </row>
        <row r="3174">
          <cell r="D3174" t="str">
            <v>7823-03014</v>
          </cell>
          <cell r="M3174" t="str">
            <v>9400 1361 0605 3569 8569 06</v>
          </cell>
        </row>
        <row r="3175">
          <cell r="D3175" t="str">
            <v>7818-26445</v>
          </cell>
          <cell r="M3175" t="str">
            <v>9400 1361 0605 3570 1410 60</v>
          </cell>
        </row>
        <row r="3176">
          <cell r="D3176" t="str">
            <v>7818-01544</v>
          </cell>
          <cell r="M3176" t="str">
            <v>9400 1361 0605 3570 1056 04</v>
          </cell>
        </row>
        <row r="3177">
          <cell r="D3177" t="str">
            <v>7818-24325</v>
          </cell>
          <cell r="M3177" t="str">
            <v>9400 1361 0605 3570 1345 36</v>
          </cell>
        </row>
        <row r="3178">
          <cell r="D3178" t="str">
            <v>7812-04610</v>
          </cell>
          <cell r="M3178" t="str">
            <v>9400 1361 0605 3570 8815 77</v>
          </cell>
        </row>
        <row r="3179">
          <cell r="D3179" t="str">
            <v>7818-26657</v>
          </cell>
          <cell r="M3179" t="str">
            <v>9400 1361 0605 3570 0220 17</v>
          </cell>
        </row>
        <row r="3180">
          <cell r="D3180" t="str">
            <v>7812-3703</v>
          </cell>
          <cell r="M3180" t="str">
            <v>9400 1361 0605 3570 1478 40</v>
          </cell>
        </row>
        <row r="3181">
          <cell r="D3181" t="str">
            <v>7818-15037</v>
          </cell>
          <cell r="M3181" t="str">
            <v>9400 1361 0605 3570 0658 92</v>
          </cell>
        </row>
        <row r="3182">
          <cell r="D3182" t="str">
            <v>7818-22215</v>
          </cell>
          <cell r="M3182" t="str">
            <v>9400 1361 0605 3570 1160 44</v>
          </cell>
        </row>
        <row r="3183">
          <cell r="D3183" t="str">
            <v>7818-31217</v>
          </cell>
          <cell r="M3183" t="str">
            <v>9400 1361 0605 3570 0280 64</v>
          </cell>
        </row>
        <row r="3184">
          <cell r="D3184" t="str">
            <v>7818-23511</v>
          </cell>
          <cell r="M3184" t="str">
            <v>9400 1361 0605 3570 8935 32</v>
          </cell>
        </row>
        <row r="3185">
          <cell r="D3185" t="str">
            <v>7812-04505</v>
          </cell>
          <cell r="M3185" t="str">
            <v>9400 1361 0605 3570 1005 93</v>
          </cell>
        </row>
        <row r="3186">
          <cell r="D3186" t="str">
            <v>7818-32896</v>
          </cell>
          <cell r="M3186" t="str">
            <v>9400 1361 0605 3570 0340 72</v>
          </cell>
        </row>
        <row r="3187">
          <cell r="D3187" t="str">
            <v>7818-21658</v>
          </cell>
          <cell r="M3187" t="str">
            <v>9400 1361 0605 3569 9790 18</v>
          </cell>
        </row>
        <row r="3188">
          <cell r="D3188" t="str">
            <v>7812-04606</v>
          </cell>
          <cell r="M3188" t="str">
            <v>9400 1361 0605 3570 1215 98</v>
          </cell>
        </row>
        <row r="3189">
          <cell r="D3189" t="str">
            <v>7818-30756</v>
          </cell>
          <cell r="M3189" t="str">
            <v>9400 1112 0620 9326 9092 93</v>
          </cell>
        </row>
        <row r="3190">
          <cell r="D3190" t="str">
            <v>7823-03009</v>
          </cell>
          <cell r="M3190" t="str">
            <v>9400 1361 0605 3578 5003 95</v>
          </cell>
        </row>
        <row r="3191">
          <cell r="D3191" t="str">
            <v>7818-18629</v>
          </cell>
          <cell r="M3191" t="str">
            <v>9400 1361 0605 3570 1282 45</v>
          </cell>
        </row>
        <row r="3192">
          <cell r="D3192" t="str">
            <v>7823-03150</v>
          </cell>
          <cell r="M3192" t="str">
            <v>9400 1361 0605 3576 4795 49</v>
          </cell>
        </row>
        <row r="3193">
          <cell r="D3193" t="str">
            <v>7818-24601</v>
          </cell>
          <cell r="M3193" t="str">
            <v>9400 1361 0605 3576 7311 97</v>
          </cell>
        </row>
        <row r="3194">
          <cell r="D3194" t="str">
            <v>7818-26910</v>
          </cell>
          <cell r="M3194" t="str">
            <v>9400 1361 0605 3576 7192 18</v>
          </cell>
        </row>
        <row r="3195">
          <cell r="D3195" t="str">
            <v>7812-04609</v>
          </cell>
          <cell r="M3195" t="str">
            <v>9400 1361 0605 3578 2863 81</v>
          </cell>
        </row>
        <row r="3196">
          <cell r="D3196" t="str">
            <v>7812-04607</v>
          </cell>
          <cell r="M3196" t="str">
            <v>9400 1361 0605 3578 5068 30</v>
          </cell>
        </row>
        <row r="3197">
          <cell r="D3197" t="str">
            <v>7812-04541</v>
          </cell>
          <cell r="M3197" t="str">
            <v>9400 1361 0605 3578 2738 17</v>
          </cell>
        </row>
        <row r="3198">
          <cell r="D3198" t="str">
            <v>7812-04528</v>
          </cell>
          <cell r="M3198" t="str">
            <v>9400 1361 0605 3569 9732 45</v>
          </cell>
        </row>
        <row r="3199">
          <cell r="D3199" t="str">
            <v>7812-04717</v>
          </cell>
          <cell r="M3199" t="str">
            <v>9400 1361 0605 3576 7098 82</v>
          </cell>
        </row>
        <row r="3200">
          <cell r="D3200" t="str">
            <v>7818-27084</v>
          </cell>
          <cell r="M3200" t="str">
            <v>9400 1361 0605 3576 6968 61</v>
          </cell>
        </row>
        <row r="3201">
          <cell r="D3201" t="str">
            <v>7818-23650</v>
          </cell>
          <cell r="M3201" t="str">
            <v>9400 1361 0605 3577 1483 76</v>
          </cell>
        </row>
        <row r="3202">
          <cell r="D3202" t="str">
            <v>7818-25054</v>
          </cell>
          <cell r="M3202" t="str">
            <v>9400 1361 0605 3571 6646 67</v>
          </cell>
        </row>
        <row r="3203">
          <cell r="D3203" t="str">
            <v>7818-09447</v>
          </cell>
          <cell r="M3203" t="str">
            <v>9400 1361 0605 3578 2673 04</v>
          </cell>
        </row>
        <row r="3204">
          <cell r="D3204" t="str">
            <v>7818-32909</v>
          </cell>
          <cell r="M3204" t="str">
            <v>9400 1361 0605 3571 6646 67</v>
          </cell>
        </row>
        <row r="3205">
          <cell r="D3205" t="str">
            <v>7818-28246</v>
          </cell>
          <cell r="M3205" t="str">
            <v>9400 1361 0605 3570 0156 13</v>
          </cell>
        </row>
        <row r="3206">
          <cell r="D3206" t="str">
            <v>7818-20731</v>
          </cell>
          <cell r="M3206" t="str">
            <v>9400 1361 0605 3576 7033 85</v>
          </cell>
        </row>
        <row r="3207">
          <cell r="D3207" t="str">
            <v>7823-02818</v>
          </cell>
          <cell r="M3207" t="str">
            <v>9400 1361 0605 3578 2538 57</v>
          </cell>
        </row>
        <row r="3208">
          <cell r="D3208" t="str">
            <v>7823-02223</v>
          </cell>
          <cell r="M3208" t="str">
            <v>9400 1361 0605 3578 4941 44</v>
          </cell>
        </row>
        <row r="3209">
          <cell r="D3209" t="str">
            <v>7818-26852</v>
          </cell>
          <cell r="M3209" t="str">
            <v>9400 1361 0605 3567 9987 76</v>
          </cell>
        </row>
        <row r="3210">
          <cell r="D3210" t="str">
            <v>7810-01397</v>
          </cell>
          <cell r="M3210" t="str">
            <v>9400 1361 0605 3581 8805 90</v>
          </cell>
        </row>
        <row r="3211">
          <cell r="D3211" t="str">
            <v>7818-01989</v>
          </cell>
          <cell r="M3211" t="str">
            <v>9400 1361 0605 3581 6020 62</v>
          </cell>
        </row>
        <row r="3212">
          <cell r="D3212" t="str">
            <v>7818-21400</v>
          </cell>
          <cell r="M3212" t="str">
            <v>9400 1361 0605 3581 8898 83</v>
          </cell>
        </row>
        <row r="3213">
          <cell r="D3213" t="str">
            <v>7812-04540</v>
          </cell>
          <cell r="M3213" t="str">
            <v>9400 1361 0605 3581 5952 10</v>
          </cell>
        </row>
        <row r="3214">
          <cell r="D3214" t="str">
            <v>7818-31002</v>
          </cell>
          <cell r="M3214" t="str">
            <v>9400 1361 0605 3570 0595 18</v>
          </cell>
        </row>
        <row r="3215">
          <cell r="D3215" t="str">
            <v>7818-28049</v>
          </cell>
          <cell r="M3215" t="str">
            <v>9400 1361 0605 3581 6162 05</v>
          </cell>
        </row>
        <row r="3216">
          <cell r="D3216" t="str">
            <v>7818-27701</v>
          </cell>
          <cell r="M3216" t="str">
            <v>9400 1361 0605 3583 7688 10</v>
          </cell>
        </row>
        <row r="3217">
          <cell r="D3217" t="str">
            <v>7818-30955</v>
          </cell>
          <cell r="M3217" t="str">
            <v>9400 1361 0605 3582 9306 76</v>
          </cell>
        </row>
        <row r="3218">
          <cell r="D3218" t="str">
            <v>7812-03123</v>
          </cell>
          <cell r="M3218" t="str">
            <v>9400 1361 0605 3581 8739 67</v>
          </cell>
        </row>
        <row r="3219">
          <cell r="D3219" t="str">
            <v>7818-16783</v>
          </cell>
          <cell r="M3219" t="str">
            <v>9400 1361 0605 3569 8779 25</v>
          </cell>
        </row>
        <row r="3220">
          <cell r="D3220" t="str">
            <v>7818-18908</v>
          </cell>
          <cell r="M3220" t="str">
            <v>9400 1361 0605 3581 8682 77</v>
          </cell>
        </row>
        <row r="3221">
          <cell r="D3221" t="str">
            <v>7818-22016</v>
          </cell>
          <cell r="M3221" t="str">
            <v>9400 1361 0605 3581 5735 84</v>
          </cell>
        </row>
        <row r="3222">
          <cell r="D3222" t="str">
            <v>7812-04566</v>
          </cell>
          <cell r="M3222" t="str">
            <v>9400 1361 0605 3581 8951 67</v>
          </cell>
        </row>
        <row r="3223">
          <cell r="D3223" t="str">
            <v>7818-19735</v>
          </cell>
          <cell r="M3223" t="str">
            <v>9400 1361 0605 3587 8593 23</v>
          </cell>
        </row>
        <row r="3224">
          <cell r="D3224" t="str">
            <v>7818-32898</v>
          </cell>
          <cell r="M3224" t="str">
            <v>9400 1361 0605 3585 6228 82</v>
          </cell>
        </row>
        <row r="3225">
          <cell r="D3225" t="str">
            <v>7810-02300</v>
          </cell>
          <cell r="M3225" t="str">
            <v>9400 1361 0605 3587 8678 92</v>
          </cell>
        </row>
        <row r="3226">
          <cell r="D3226" t="str">
            <v>7810-03012</v>
          </cell>
          <cell r="M3226" t="str">
            <v>9400 1112 0620 9303 9772 15</v>
          </cell>
        </row>
        <row r="3227">
          <cell r="D3227" t="str">
            <v>7818-25774</v>
          </cell>
          <cell r="M3227" t="str">
            <v>9400 1112 0620 9365 3236 78</v>
          </cell>
        </row>
        <row r="3228">
          <cell r="D3228" t="str">
            <v>7818-32889</v>
          </cell>
          <cell r="M3228" t="str">
            <v>9400 1112 0620 9365 3745 57</v>
          </cell>
        </row>
        <row r="3229">
          <cell r="D3229" t="str">
            <v>7818-31173</v>
          </cell>
          <cell r="M3229" t="str">
            <v>9400 1112 0620 9365 3315 50</v>
          </cell>
        </row>
        <row r="3230">
          <cell r="D3230" t="str">
            <v>7812-04723</v>
          </cell>
          <cell r="M3230" t="str">
            <v>9400 1112 0620 9365 3052 09</v>
          </cell>
        </row>
        <row r="3231">
          <cell r="D3231" t="str">
            <v>7823-02904</v>
          </cell>
          <cell r="M3231" t="str">
            <v>9400 1112 0620 9365 3588 47</v>
          </cell>
        </row>
        <row r="3232">
          <cell r="D3232" t="str">
            <v>7818-32899</v>
          </cell>
          <cell r="M3232" t="str">
            <v>9400 1112 0620 9365 2267 57</v>
          </cell>
        </row>
        <row r="3233">
          <cell r="D3233" t="str">
            <v>7818-15318</v>
          </cell>
          <cell r="M3233" t="str">
            <v>9400 1112 0620 9365 2105 89</v>
          </cell>
        </row>
        <row r="3234">
          <cell r="D3234" t="str">
            <v>7818-14453</v>
          </cell>
          <cell r="M3234" t="str">
            <v>9400 1112 0620 9365 5861 89</v>
          </cell>
        </row>
        <row r="3235">
          <cell r="D3235" t="str">
            <v>7818-25897</v>
          </cell>
          <cell r="M3235" t="str">
            <v>9400 1112 0620 9365 5541 33</v>
          </cell>
        </row>
        <row r="3236">
          <cell r="D3236" t="str">
            <v>7810-01552</v>
          </cell>
          <cell r="M3236" t="str">
            <v>9400 1112 0620 9365 3837 71</v>
          </cell>
        </row>
        <row r="3237">
          <cell r="D3237" t="str">
            <v>7812-03358</v>
          </cell>
          <cell r="M3237" t="str">
            <v>9400 1112 0620 9365 5636 23</v>
          </cell>
        </row>
        <row r="3238">
          <cell r="D3238" t="str">
            <v>7812-4030</v>
          </cell>
          <cell r="M3238" t="str">
            <v>9400 1112 0620 9365 5242 66</v>
          </cell>
        </row>
        <row r="3239">
          <cell r="D3239" t="str">
            <v>7818-29969</v>
          </cell>
          <cell r="M3239" t="str">
            <v>9400 1112 0620 9365 2349 29</v>
          </cell>
        </row>
        <row r="3240">
          <cell r="D3240" t="str">
            <v>7818-26415</v>
          </cell>
          <cell r="M3240" t="str">
            <v>9400 1112 0620 9365 2667 91</v>
          </cell>
        </row>
        <row r="3241">
          <cell r="D3241" t="str">
            <v>7818-32807</v>
          </cell>
          <cell r="M3241" t="str">
            <v>9400 1112 0620 9365 5753 43</v>
          </cell>
        </row>
        <row r="3242">
          <cell r="D3242" t="str">
            <v>7818-19148</v>
          </cell>
          <cell r="M3242" t="str">
            <v>9400 1112 0620 9365 5311 10</v>
          </cell>
        </row>
        <row r="3243">
          <cell r="D3243" t="str">
            <v>7818-16223</v>
          </cell>
          <cell r="M3243" t="str">
            <v>9400 1112 0620 9365 2477 38</v>
          </cell>
        </row>
        <row r="3244">
          <cell r="D3244" t="str">
            <v>7818-25583</v>
          </cell>
          <cell r="M3244" t="str">
            <v>9400 1112 0620 9365 7348 32</v>
          </cell>
        </row>
        <row r="3245">
          <cell r="D3245" t="str">
            <v>7818-17036</v>
          </cell>
          <cell r="M3245" t="str">
            <v>9400 1112 0620 9365 2876 97</v>
          </cell>
        </row>
        <row r="3246">
          <cell r="D3246" t="str">
            <v>7818-26448</v>
          </cell>
          <cell r="M3246" t="str">
            <v>9400 1112 0620 9365 5948 56</v>
          </cell>
        </row>
        <row r="3247">
          <cell r="D3247" t="str">
            <v>7818-19093</v>
          </cell>
          <cell r="M3247" t="str">
            <v>9400 1112 0620 9365 7458 38</v>
          </cell>
        </row>
        <row r="3248">
          <cell r="D3248" t="str">
            <v>7823-02647</v>
          </cell>
          <cell r="M3248" t="str">
            <v>9400 1112 0620 9365 2064 38</v>
          </cell>
        </row>
        <row r="3249">
          <cell r="D3249" t="str">
            <v>7818-31175</v>
          </cell>
          <cell r="M3249" t="str">
            <v>9400 1112 0620 9365 5434 34</v>
          </cell>
        </row>
        <row r="3250">
          <cell r="D3250" t="str">
            <v>7818-27087</v>
          </cell>
          <cell r="M3250" t="str">
            <v>9400 1361 0605 3596 2862 26</v>
          </cell>
        </row>
        <row r="3251">
          <cell r="D3251" t="str">
            <v>7812-03134</v>
          </cell>
          <cell r="M3251" t="str">
            <v>9400 1361 0605 3598 7364 46</v>
          </cell>
        </row>
        <row r="3252">
          <cell r="D3252" t="str">
            <v>7812-04719</v>
          </cell>
          <cell r="M3252" t="str">
            <v>9400 1361 0605 3598 7343 74</v>
          </cell>
        </row>
        <row r="3253">
          <cell r="D3253" t="str">
            <v>7811-00321</v>
          </cell>
          <cell r="M3253" t="str">
            <v>9400 1112 0620 9364 0450 90</v>
          </cell>
        </row>
        <row r="3254">
          <cell r="D3254" t="str">
            <v>7818-17390</v>
          </cell>
          <cell r="M3254" t="str">
            <v>9400 1112 0620 9365 2956 09</v>
          </cell>
        </row>
        <row r="3255">
          <cell r="D3255" t="str">
            <v>7818-28247</v>
          </cell>
          <cell r="M3255" t="str">
            <v>9400 1361 0605 3604 9044 70</v>
          </cell>
        </row>
        <row r="3256">
          <cell r="D3256" t="str">
            <v>7812-04953</v>
          </cell>
          <cell r="M3256" t="str">
            <v>9400 1361 0605 3602 1142 53</v>
          </cell>
        </row>
        <row r="3257">
          <cell r="D3257" t="str">
            <v>7812-04525</v>
          </cell>
          <cell r="M3257" t="str">
            <v>9400 1112 0620 9384 7239 61</v>
          </cell>
        </row>
        <row r="3258">
          <cell r="D3258" t="str">
            <v>7818-26865</v>
          </cell>
          <cell r="M3258" t="str">
            <v>9400 1112 0620 9384 7034 51</v>
          </cell>
        </row>
        <row r="3259">
          <cell r="D3259" t="str">
            <v>7818-21712</v>
          </cell>
          <cell r="M3259" t="str">
            <v>9400 1112 0620 9384 7500 66</v>
          </cell>
        </row>
        <row r="3260">
          <cell r="D3260" t="str">
            <v>7812-01027</v>
          </cell>
          <cell r="M3260" t="str">
            <v>9400 1112 0620 9384 7845 35</v>
          </cell>
        </row>
        <row r="3261">
          <cell r="D3261" t="str">
            <v>7818-32828</v>
          </cell>
          <cell r="M3261" t="str">
            <v>9400 1112 0620 9384 1388 33</v>
          </cell>
        </row>
        <row r="3262">
          <cell r="D3262" t="str">
            <v>7818-32822</v>
          </cell>
          <cell r="M3262" t="str">
            <v>9400 1112 0620 9384 1739 02</v>
          </cell>
        </row>
        <row r="3263">
          <cell r="D3263" t="str">
            <v>7812-04902</v>
          </cell>
          <cell r="M3263" t="str">
            <v>9400 1112 0620 9384 7210 28</v>
          </cell>
        </row>
        <row r="3264">
          <cell r="D3264" t="str">
            <v>7818-24441</v>
          </cell>
          <cell r="M3264" t="str">
            <v>9400 1112 0620 9384 1997 42</v>
          </cell>
        </row>
        <row r="3265">
          <cell r="D3265" t="str">
            <v>7818-33349</v>
          </cell>
          <cell r="M3265" t="str">
            <v>9400 1112 0620 9384 1450 77</v>
          </cell>
        </row>
        <row r="3266">
          <cell r="D3266" t="str">
            <v>7818-26449</v>
          </cell>
          <cell r="M3266" t="str">
            <v>9400 1112 0620 9384 1124 37</v>
          </cell>
        </row>
        <row r="3267">
          <cell r="D3267" t="str">
            <v>7818-33351</v>
          </cell>
          <cell r="M3267" t="str">
            <v>9400 1112 0620 9384 7655 89</v>
          </cell>
        </row>
        <row r="3268">
          <cell r="D3268" t="str">
            <v>7818-24314</v>
          </cell>
          <cell r="M3268" t="str">
            <v>9400 1361 0605 3610 1329 66</v>
          </cell>
        </row>
        <row r="3269">
          <cell r="D3269" t="str">
            <v>7818-22696</v>
          </cell>
          <cell r="M3269" t="str">
            <v>9400 1361 0605 3629 3377 41</v>
          </cell>
        </row>
        <row r="3270">
          <cell r="D3270" t="str">
            <v>7823-03161</v>
          </cell>
          <cell r="M3270" t="str">
            <v>9400 1361 0605 3629 3304 52</v>
          </cell>
        </row>
        <row r="3271">
          <cell r="D3271" t="str">
            <v>7823-03346</v>
          </cell>
          <cell r="M3271" t="str">
            <v>9400 1361 0605 3629 3122 12</v>
          </cell>
        </row>
        <row r="3272">
          <cell r="D3272" t="str">
            <v>7818-29555</v>
          </cell>
          <cell r="M3272" t="str">
            <v>9400 1361 0605 3629 2686 87</v>
          </cell>
        </row>
        <row r="3273">
          <cell r="D3273" t="str">
            <v>7818-21950</v>
          </cell>
          <cell r="M3273" t="str">
            <v>9400 1361 0605 3631 8950 00</v>
          </cell>
        </row>
        <row r="3274">
          <cell r="D3274" t="str">
            <v>7818-26665</v>
          </cell>
          <cell r="M3274" t="str">
            <v>9400 1361 0605 3629 3445 96</v>
          </cell>
        </row>
        <row r="3275">
          <cell r="D3275" t="str">
            <v>7818-32802</v>
          </cell>
          <cell r="M3275" t="str">
            <v>9400 1361 0605 3631 9151 80</v>
          </cell>
        </row>
        <row r="3276">
          <cell r="D3276" t="str">
            <v>7818-27088</v>
          </cell>
          <cell r="M3276" t="str">
            <v>9400 1361 0605 3629 2352 38</v>
          </cell>
        </row>
        <row r="3277">
          <cell r="D3277" t="str">
            <v>7818-26558</v>
          </cell>
          <cell r="M3277" t="str">
            <v>9400 1361 0605 3631 6977 41</v>
          </cell>
        </row>
        <row r="3278">
          <cell r="D3278" t="str">
            <v>7818-18060</v>
          </cell>
          <cell r="M3278" t="str">
            <v>9400 1361 0605 3629 2596 54</v>
          </cell>
        </row>
        <row r="3279">
          <cell r="D3279" t="str">
            <v>7818-23253</v>
          </cell>
          <cell r="M3279" t="str">
            <v>9400 1361 0605 3632 5001 25</v>
          </cell>
        </row>
        <row r="3280">
          <cell r="D3280" t="str">
            <v>7824-00402</v>
          </cell>
          <cell r="M3280" t="str">
            <v>9400 1361 0605 3629 2264 89</v>
          </cell>
        </row>
        <row r="3281">
          <cell r="D3281" t="str">
            <v>7810-02210</v>
          </cell>
          <cell r="M3281" t="str">
            <v>9400 1361 0605 3632 4497 07</v>
          </cell>
        </row>
        <row r="3282">
          <cell r="D3282" t="str">
            <v>7812-4020</v>
          </cell>
          <cell r="M3282" t="str">
            <v>9400 1361 0605 3632 4893 76</v>
          </cell>
        </row>
        <row r="3283">
          <cell r="D3283" t="str">
            <v>7823-02693</v>
          </cell>
          <cell r="M3283" t="str">
            <v>9400 1361 0605 3631 7291 52</v>
          </cell>
        </row>
        <row r="3284">
          <cell r="D3284" t="str">
            <v>7818-26990</v>
          </cell>
          <cell r="M3284" t="str">
            <v>9400 1361 0605 3632 4733 06</v>
          </cell>
        </row>
        <row r="3285">
          <cell r="D3285" t="str">
            <v>7818-28272</v>
          </cell>
          <cell r="M3285" t="str">
            <v>9400 1361 0605 3632 4595 53</v>
          </cell>
        </row>
        <row r="3286">
          <cell r="D3286" t="str">
            <v>7818-33350</v>
          </cell>
          <cell r="M3286" t="str">
            <v>9400 1361 0605 3631 7453 29</v>
          </cell>
        </row>
        <row r="3287">
          <cell r="D3287" t="str">
            <v>7811-00203</v>
          </cell>
          <cell r="M3287" t="str">
            <v>9400 1361 0605 3629 3214 81</v>
          </cell>
        </row>
        <row r="3288">
          <cell r="D3288" t="str">
            <v>7818-33355</v>
          </cell>
          <cell r="M3288" t="str">
            <v>9400 1112 0620 9349 7040 28</v>
          </cell>
        </row>
        <row r="3289">
          <cell r="D3289" t="str">
            <v>7818-25894</v>
          </cell>
          <cell r="M3289" t="str">
            <v>9400 1361 0605 3629 3522 87</v>
          </cell>
        </row>
        <row r="3290">
          <cell r="D3290" t="str">
            <v>7818-10947</v>
          </cell>
          <cell r="M3290" t="str">
            <v>9400 1361 0605 3631 8830 69</v>
          </cell>
        </row>
        <row r="3291">
          <cell r="D3291" t="str">
            <v>7824-00477</v>
          </cell>
          <cell r="M3291" t="str">
            <v>9400 1112 0620 9349 7858 81</v>
          </cell>
        </row>
        <row r="3292">
          <cell r="D3292" t="str">
            <v>7812-01990</v>
          </cell>
          <cell r="M3292" t="str">
            <v>9400 1361 0605 3633 3008 61</v>
          </cell>
        </row>
        <row r="3293">
          <cell r="D3293" t="str">
            <v>7818-26669</v>
          </cell>
          <cell r="M3293" t="str">
            <v>9400 1361 0605 3632 5108 27</v>
          </cell>
        </row>
        <row r="3294">
          <cell r="D3294" t="str">
            <v>7818-18059</v>
          </cell>
          <cell r="M3294" t="str">
            <v>9400 1361 0605 3632 4397 39</v>
          </cell>
        </row>
        <row r="3295">
          <cell r="D3295" t="str">
            <v>7824-00476</v>
          </cell>
          <cell r="M3295" t="str">
            <v>9400 1361 0605 3638 7006 35</v>
          </cell>
        </row>
        <row r="3296">
          <cell r="D3296" t="str">
            <v>7824-00473</v>
          </cell>
          <cell r="M3296" t="str">
            <v>9400 1361 0605 3638 5895 13</v>
          </cell>
        </row>
        <row r="3297">
          <cell r="D3297" t="str">
            <v>7823-03162</v>
          </cell>
          <cell r="M3297" t="str">
            <v>9400 1361 0605 3638 6010 00</v>
          </cell>
        </row>
        <row r="3298">
          <cell r="D3298" t="str">
            <v>7812-04517</v>
          </cell>
          <cell r="M3298" t="str">
            <v>9400 1361 0605 3638 6472 37</v>
          </cell>
        </row>
        <row r="3299">
          <cell r="D3299" t="str">
            <v>7818-32900</v>
          </cell>
          <cell r="M3299" t="str">
            <v>9400 1361 0605 3638 6358 21</v>
          </cell>
        </row>
        <row r="3300">
          <cell r="D3300" t="str">
            <v>7818-28227</v>
          </cell>
          <cell r="M3300" t="str">
            <v>9400 1361 0605 3647 8081 93</v>
          </cell>
        </row>
        <row r="3301">
          <cell r="D3301" t="str">
            <v>7818-33354</v>
          </cell>
          <cell r="M3301" t="str">
            <v>9400 1361 0605 3646 7137 02</v>
          </cell>
        </row>
        <row r="3302">
          <cell r="D3302" t="str">
            <v>7818-31650</v>
          </cell>
          <cell r="M3302" t="str">
            <v>9400 1361 0605 3647 8483 11</v>
          </cell>
        </row>
        <row r="3303">
          <cell r="D3303" t="str">
            <v>7818-25810</v>
          </cell>
          <cell r="M3303" t="str">
            <v>9400 1361 0605 3646 7193 77</v>
          </cell>
        </row>
        <row r="3304">
          <cell r="D3304" t="str">
            <v>7818-26807</v>
          </cell>
          <cell r="M3304" t="str">
            <v>9400 1361 0605 3642 5063 39</v>
          </cell>
        </row>
        <row r="3305">
          <cell r="D3305" t="str">
            <v>7818-31247</v>
          </cell>
          <cell r="M3305" t="str">
            <v>9400 1361 0605 3642 5399 93</v>
          </cell>
        </row>
        <row r="3306">
          <cell r="D3306" t="str">
            <v>7812-04560</v>
          </cell>
          <cell r="M3306" t="str">
            <v>9400 1361 0605 3638 6091 12</v>
          </cell>
        </row>
        <row r="3307">
          <cell r="D3307" t="str">
            <v>7818-11452</v>
          </cell>
          <cell r="M3307" t="str">
            <v>9400 1361 0605 3631 7096 59</v>
          </cell>
        </row>
        <row r="3308">
          <cell r="D3308" t="str">
            <v>7812-04612</v>
          </cell>
          <cell r="M3308" t="str">
            <v>9400 1112 0620 9346 4135 41</v>
          </cell>
        </row>
        <row r="3309">
          <cell r="D3309" t="str">
            <v>7812-04585</v>
          </cell>
          <cell r="M3309" t="str">
            <v>9400 1361 0605 3647 7577 50</v>
          </cell>
        </row>
        <row r="3310">
          <cell r="D3310" t="str">
            <v>7818-28682</v>
          </cell>
          <cell r="M3310" t="str">
            <v>9400 1361 0605 3647 7884 02</v>
          </cell>
        </row>
        <row r="3311">
          <cell r="D3311" t="str">
            <v>7818-32202</v>
          </cell>
          <cell r="M3311" t="str">
            <v>9400 1361 0605 3642 5380 95</v>
          </cell>
        </row>
        <row r="3312">
          <cell r="D3312" t="str">
            <v>7818-18061</v>
          </cell>
          <cell r="M3312" t="str">
            <v>9400 1361 0605 3646 7260 16</v>
          </cell>
        </row>
        <row r="3313">
          <cell r="D3313" t="str">
            <v>7823-02677</v>
          </cell>
          <cell r="M3313" t="str">
            <v>9400 1361 0605 3642 4777 45</v>
          </cell>
        </row>
        <row r="3314">
          <cell r="D3314" t="str">
            <v>7818-29956</v>
          </cell>
          <cell r="M3314" t="str">
            <v>9400 1361 0605 3638 5771 83</v>
          </cell>
        </row>
        <row r="3315">
          <cell r="D3315" t="str">
            <v>7818-27706</v>
          </cell>
          <cell r="M3315" t="str">
            <v>9400 1361 0605 3647 8188 40</v>
          </cell>
        </row>
        <row r="3316">
          <cell r="D3316" t="str">
            <v>7818-32818</v>
          </cell>
          <cell r="M3316" t="str">
            <v>9400 1361 0605 3647 8266 16</v>
          </cell>
        </row>
        <row r="3317">
          <cell r="D3317" t="str">
            <v>7818-29971</v>
          </cell>
          <cell r="M3317" t="str">
            <v>9400 1361 0605 3642 5049 39</v>
          </cell>
        </row>
        <row r="3318">
          <cell r="D3318" t="str">
            <v>7818-27407</v>
          </cell>
          <cell r="M3318" t="str">
            <v>9400 1361 0605 3642 4743 17</v>
          </cell>
        </row>
        <row r="3319">
          <cell r="D3319" t="str">
            <v>7812-03087</v>
          </cell>
          <cell r="M3319" t="str">
            <v>9400 1361 0605 3647 7712 20</v>
          </cell>
        </row>
        <row r="3320">
          <cell r="D3320" t="str">
            <v>7812-04584</v>
          </cell>
          <cell r="M3320" t="str">
            <v>9400 1361 0605 3642 5361 21</v>
          </cell>
        </row>
        <row r="3321">
          <cell r="D3321" t="str">
            <v>7818-28243</v>
          </cell>
          <cell r="M3321" t="str">
            <v>9400 1361 0605 3655 3231 21</v>
          </cell>
        </row>
        <row r="3322">
          <cell r="D3322" t="str">
            <v>7818-29974</v>
          </cell>
          <cell r="M3322" t="str">
            <v>9400 1361 0605 3652 6172 16</v>
          </cell>
        </row>
        <row r="3323">
          <cell r="D3323" t="str">
            <v>7818-28180</v>
          </cell>
          <cell r="M3323" t="str">
            <v>9400 1361 0605 3655 3299 87</v>
          </cell>
        </row>
        <row r="3324">
          <cell r="D3324" t="str">
            <v>7818-20841</v>
          </cell>
          <cell r="M3324" t="str">
            <v>9400 1361 0605 3652 6265 22</v>
          </cell>
        </row>
        <row r="3325">
          <cell r="D3325" t="str">
            <v>7818-14546</v>
          </cell>
          <cell r="M3325" t="str">
            <v>9400 1361 0605 3655 3395 04</v>
          </cell>
        </row>
        <row r="3326">
          <cell r="D3326" t="str">
            <v>7818-26521</v>
          </cell>
          <cell r="M3326" t="str">
            <v>9400 1361 0605 3652 6099 45</v>
          </cell>
        </row>
        <row r="3327">
          <cell r="D3327" t="str">
            <v>7818-30966</v>
          </cell>
          <cell r="M3327" t="str">
            <v>9400 1361 0605 3652 6382 59</v>
          </cell>
        </row>
        <row r="3328">
          <cell r="D3328" t="str">
            <v>7818-16892</v>
          </cell>
          <cell r="M3328" t="str">
            <v>9400 1361 0605 3658 6555 95</v>
          </cell>
        </row>
        <row r="3329">
          <cell r="D3329" t="str">
            <v>7818-22932</v>
          </cell>
          <cell r="M3329" t="str">
            <v>9400 1361 0605 3658 7778 08</v>
          </cell>
        </row>
        <row r="3330">
          <cell r="D3330" t="str">
            <v>7818-28225</v>
          </cell>
          <cell r="M3330" t="str">
            <v>9400 1361 0605 3658 7873 95</v>
          </cell>
        </row>
        <row r="3331">
          <cell r="D3331" t="str">
            <v>7818-28151</v>
          </cell>
          <cell r="M3331" t="str">
            <v>9400 1361 0605 3658 6361 74</v>
          </cell>
        </row>
        <row r="3332">
          <cell r="D3332" t="str">
            <v>7823-03338</v>
          </cell>
          <cell r="M3332" t="str">
            <v>9400 1361 0605 3642 5289 28</v>
          </cell>
        </row>
        <row r="3333">
          <cell r="D3333" t="str">
            <v>7823-01342</v>
          </cell>
          <cell r="M3333" t="str">
            <v>9400 1361 0605 3638 6275 50</v>
          </cell>
        </row>
        <row r="3334">
          <cell r="D3334" t="str">
            <v>7812-04507</v>
          </cell>
          <cell r="M3334" t="str">
            <v>9400 1112 0620 9370 4690 02</v>
          </cell>
        </row>
        <row r="3335">
          <cell r="D3335" t="str">
            <v>7824-00474</v>
          </cell>
          <cell r="M3335" t="str">
            <v>9400 1361 0605 3658 5425 98</v>
          </cell>
        </row>
        <row r="3336">
          <cell r="D3336" t="str">
            <v>7811-00329</v>
          </cell>
          <cell r="M3336" t="str">
            <v>9400 1361 0605 3658 5672 18</v>
          </cell>
        </row>
        <row r="3337">
          <cell r="D3337" t="str">
            <v>7818-33363</v>
          </cell>
          <cell r="M3337" t="str">
            <v>9400 1361 0605 3659 7833 65</v>
          </cell>
        </row>
        <row r="3338">
          <cell r="D3338" t="str">
            <v>7818-08650</v>
          </cell>
          <cell r="M3338" t="str">
            <v>9400 1361 0605 3659 7125 70</v>
          </cell>
        </row>
        <row r="3339">
          <cell r="D3339" t="str">
            <v>7818-25911</v>
          </cell>
          <cell r="M3339" t="str">
            <v>9400 1361 0605 3658 7710 66</v>
          </cell>
        </row>
        <row r="3340">
          <cell r="D3340" t="str">
            <v>7818-25803</v>
          </cell>
          <cell r="M3340" t="str">
            <v>9400 1361 0605 3658 5537 16</v>
          </cell>
        </row>
        <row r="3341">
          <cell r="D3341" t="str">
            <v>7812-00800</v>
          </cell>
          <cell r="M3341" t="str">
            <v>9400 1361 0605 3658 7950 62</v>
          </cell>
        </row>
        <row r="3342">
          <cell r="D3342" t="str">
            <v>7818-16911</v>
          </cell>
          <cell r="M3342" t="str">
            <v>9400 1361 0605 3658 5762 27</v>
          </cell>
        </row>
        <row r="3343">
          <cell r="D3343" t="str">
            <v>7818-11367</v>
          </cell>
          <cell r="M3343" t="str">
            <v>9400 1361 0605 3658 5604 93</v>
          </cell>
        </row>
        <row r="3344">
          <cell r="D3344" t="str">
            <v>7818-29976</v>
          </cell>
          <cell r="M3344" t="str">
            <v>9400 1361 0605 3659 7898 48</v>
          </cell>
        </row>
        <row r="3345">
          <cell r="D3345" t="str">
            <v>7818-31053</v>
          </cell>
          <cell r="M3345" t="str">
            <v>9400 1361 0605 3658 9739 34</v>
          </cell>
        </row>
        <row r="3346">
          <cell r="D3346" t="str">
            <v>7818-29836</v>
          </cell>
          <cell r="M3346" t="str">
            <v>9400 1361 0605 3659 7957 40</v>
          </cell>
        </row>
        <row r="3347">
          <cell r="D3347" t="str">
            <v>7810-01593</v>
          </cell>
          <cell r="M3347" t="str">
            <v>9400 1361 0605 3658 8060 34</v>
          </cell>
        </row>
        <row r="3348">
          <cell r="D3348" t="str">
            <v>7818-26044</v>
          </cell>
          <cell r="M3348" t="str">
            <v>9400 1361 0605 3658 6438 13</v>
          </cell>
        </row>
        <row r="3349">
          <cell r="D3349" t="str">
            <v>7818-25849</v>
          </cell>
          <cell r="M3349" t="str">
            <v>9400 1112 0620 9317 2553 47</v>
          </cell>
        </row>
        <row r="3350">
          <cell r="D3350" t="str">
            <v>7812-04613</v>
          </cell>
          <cell r="M3350" t="str">
            <v>9400 1112 0620 9317 2997 61</v>
          </cell>
        </row>
        <row r="3351">
          <cell r="D3351" t="str">
            <v>7810-00380</v>
          </cell>
          <cell r="M3351" t="str">
            <v>9400 1361 0605 3661 7991 94</v>
          </cell>
        </row>
        <row r="3352">
          <cell r="D3352" t="str">
            <v>7823-02820</v>
          </cell>
          <cell r="M3352" t="str">
            <v>9400 1361 0605 3661 8130 36</v>
          </cell>
        </row>
        <row r="3353">
          <cell r="D3353" t="str">
            <v>7818-28242</v>
          </cell>
          <cell r="M3353" t="str">
            <v>9400 1361 0605 3661 7948 30</v>
          </cell>
        </row>
        <row r="3354">
          <cell r="D3354" t="str">
            <v>7818-33356</v>
          </cell>
          <cell r="M3354" t="str">
            <v>9400 1361 0605 3673 6086 75</v>
          </cell>
        </row>
        <row r="3355">
          <cell r="D3355" t="str">
            <v>7823-03254</v>
          </cell>
          <cell r="M3355" t="str">
            <v>9400 1361 0605 3675 5281 31</v>
          </cell>
        </row>
        <row r="3356">
          <cell r="D3356" t="str">
            <v>7818-14913</v>
          </cell>
          <cell r="M3356" t="str">
            <v>9400 1361 0605 3675 5401 64</v>
          </cell>
        </row>
        <row r="3357">
          <cell r="D3357" t="str">
            <v>7818-33204</v>
          </cell>
          <cell r="M3357" t="str">
            <v>9400 1361 0605 3672 2497 32</v>
          </cell>
        </row>
        <row r="3358">
          <cell r="D3358" t="str">
            <v>7818-28032</v>
          </cell>
          <cell r="M3358" t="str">
            <v>9400 1361 0605 3672 2385 45</v>
          </cell>
        </row>
        <row r="3359">
          <cell r="D3359" t="str">
            <v>7818-12332</v>
          </cell>
          <cell r="M3359" t="str">
            <v>9400 1361 0605 3675 9824 83</v>
          </cell>
        </row>
        <row r="3360">
          <cell r="D3360" t="str">
            <v>7818-33353</v>
          </cell>
          <cell r="M3360" t="str">
            <v>9400 1361 0605 3675 9383 74</v>
          </cell>
        </row>
        <row r="3361">
          <cell r="D3361" t="str">
            <v>7812-04727</v>
          </cell>
          <cell r="M3361" t="str">
            <v>9400 1361 0605 3675 9278 66</v>
          </cell>
        </row>
        <row r="3362">
          <cell r="D3362" t="str">
            <v>7818-29968</v>
          </cell>
          <cell r="M3362" t="str">
            <v>9400 1361 0605 3675 9069 91</v>
          </cell>
        </row>
        <row r="3363">
          <cell r="D3363" t="str">
            <v>7818-30702</v>
          </cell>
          <cell r="M3363" t="str">
            <v>9400 1361 0605 3675 9559 20</v>
          </cell>
        </row>
        <row r="3364">
          <cell r="D3364" t="str">
            <v>7818-26924</v>
          </cell>
          <cell r="M3364" t="str">
            <v>9400 1361 0605 3675 9710 05</v>
          </cell>
        </row>
        <row r="3365">
          <cell r="D3365" t="str">
            <v>7810-00452</v>
          </cell>
          <cell r="M3365" t="str">
            <v>9400 1361 0605 3675 9912 01</v>
          </cell>
        </row>
        <row r="3366">
          <cell r="D3366" t="str">
            <v>7812-02598</v>
          </cell>
          <cell r="M3366" t="str">
            <v>9400 1361 0605 3676 0037 43</v>
          </cell>
        </row>
        <row r="3367">
          <cell r="D3367" t="str">
            <v>7812-04595</v>
          </cell>
          <cell r="M3367" t="str">
            <v>9400 1361 0605 3675 8971 52</v>
          </cell>
        </row>
        <row r="3368">
          <cell r="D3368" t="str">
            <v>7812-04594</v>
          </cell>
          <cell r="M3368" t="str">
            <v>9400 1361 0605 3675 8711 69</v>
          </cell>
        </row>
        <row r="3369">
          <cell r="D3369" t="str">
            <v>7818-30965</v>
          </cell>
          <cell r="M3369" t="str">
            <v>9400 1361 0605 3682 6425 30</v>
          </cell>
        </row>
        <row r="3370">
          <cell r="D3370" t="str">
            <v>7818-14058</v>
          </cell>
          <cell r="M3370" t="str">
            <v>9400 1361 0605 3679 5795 59</v>
          </cell>
        </row>
        <row r="3371">
          <cell r="D3371" t="str">
            <v>7818-32916</v>
          </cell>
          <cell r="M3371" t="str">
            <v>9400 1361 0605 3683 8495 18</v>
          </cell>
        </row>
        <row r="3372">
          <cell r="D3372" t="str">
            <v>7818-29559</v>
          </cell>
          <cell r="M3372" t="str">
            <v>9400 1361 0605 3682 6494 47</v>
          </cell>
        </row>
        <row r="3373">
          <cell r="D3373" t="str">
            <v>7810-00778</v>
          </cell>
          <cell r="M3373" t="str">
            <v>9400 1361 0605 3682 5773 20</v>
          </cell>
        </row>
        <row r="3374">
          <cell r="D3374" t="str">
            <v>7818-29965</v>
          </cell>
          <cell r="M3374" t="str">
            <v>9400 1361 0605 3672 3681 36</v>
          </cell>
        </row>
        <row r="3375">
          <cell r="D3375" t="str">
            <v>7812-04616</v>
          </cell>
          <cell r="M3375" t="str">
            <v>9400 1361 0605 3675 9168 15</v>
          </cell>
        </row>
        <row r="3376">
          <cell r="D3376" t="str">
            <v>7818-14708</v>
          </cell>
          <cell r="M3376" t="str">
            <v>9400 1361 0605 3682 6347 19</v>
          </cell>
        </row>
        <row r="3377">
          <cell r="D3377" t="str">
            <v>7818-33364</v>
          </cell>
          <cell r="M3377" t="str">
            <v>9400 1361 0605 3690 7378 91</v>
          </cell>
        </row>
        <row r="3378">
          <cell r="D3378" t="str">
            <v>7818-11704</v>
          </cell>
          <cell r="M3378" t="str">
            <v>9400 1361 0605 3690 8075 32</v>
          </cell>
        </row>
        <row r="3379">
          <cell r="D3379" t="str">
            <v>7818-33347</v>
          </cell>
          <cell r="M3379" t="str">
            <v>9400 1361 0605 3690 8075 32</v>
          </cell>
        </row>
        <row r="3380">
          <cell r="D3380" t="str">
            <v>7829-00158</v>
          </cell>
          <cell r="M3380" t="str">
            <v>9400 1361 0605 3690 8449 02</v>
          </cell>
        </row>
        <row r="3381">
          <cell r="D3381" t="str">
            <v>7811-00315</v>
          </cell>
          <cell r="M3381" t="str">
            <v>9400 1361 0605 3690 9588 69</v>
          </cell>
        </row>
        <row r="3382">
          <cell r="D3382" t="str">
            <v>7818-29952</v>
          </cell>
          <cell r="M3382" t="str">
            <v>9400 1361 0605 3690 9748 76</v>
          </cell>
        </row>
        <row r="3383">
          <cell r="D3383" t="str">
            <v>7818-23257</v>
          </cell>
          <cell r="M3383" t="str">
            <v>9400 1361 0605 3690 9665 81</v>
          </cell>
        </row>
        <row r="3384">
          <cell r="D3384" t="str">
            <v>7823-03172</v>
          </cell>
          <cell r="M3384" t="str">
            <v>9400 1112 0620 9194 4554 03</v>
          </cell>
        </row>
        <row r="3385">
          <cell r="D3385" t="str">
            <v>7818-10450</v>
          </cell>
          <cell r="M3385" t="str">
            <v>9400 1361 0605 3718 4841 96</v>
          </cell>
        </row>
        <row r="3386">
          <cell r="D3386" t="str">
            <v>7829-00159</v>
          </cell>
          <cell r="M3386" t="str">
            <v>9400 1361 0605 3718 4841 96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5F3ED1-06D2-4F4E-AC08-7CAB9BDD8C3F}" name="Table2" displayName="Table2" ref="A1:AA2378" totalsRowShown="0" headerRowDxfId="28" dataDxfId="27">
  <autoFilter ref="A1:AA2378" xr:uid="{E65F3ED1-06D2-4F4E-AC08-7CAB9BDD8C3F}"/>
  <tableColumns count="27">
    <tableColumn id="1" xr3:uid="{99F7AD4E-1B2E-4886-8BE6-37D675D534CE}" name="#" dataDxfId="26"/>
    <tableColumn id="2" xr3:uid="{7E87F7F3-6292-48E1-9B70-557FC70FDD48}" name="TIME SENT TO POG" dataDxfId="25"/>
    <tableColumn id="3" xr3:uid="{27F95EA2-8EB5-494E-8B8E-288761D70C5C}" name="DATE SENT TO POG" dataDxfId="24"/>
    <tableColumn id="5" xr3:uid="{02B598DF-994C-43A5-8749-DF5830164826}" name="POG CONFIRMATION RECEIPT OF ORDER_x000a_(DATE &amp; TIME)" dataDxfId="23"/>
    <tableColumn id="6" xr3:uid="{1CBCD7C1-B60F-48A2-B962-952281C4746B}" name="ACCT #" dataDxfId="22"/>
    <tableColumn id="7" xr3:uid="{150F3A12-556E-44C3-B8C5-425246005B8F}" name="Form #" dataDxfId="21"/>
    <tableColumn id="18" xr3:uid="{C9B2A3A2-CCBF-4D47-AE9C-64455E7B2AFC}" name="Form# Duplicate Check" dataDxfId="20">
      <calculatedColumnFormula>COUNTIF(F:F,Table2[[#This Row],[Form '#]])</calculatedColumnFormula>
    </tableColumn>
    <tableColumn id="17" xr3:uid="{A01B6E29-BEE2-40FD-9A2F-8F670167C13D}" name="PASS # ON ORDER FORM" dataDxfId="19"/>
    <tableColumn id="10" xr3:uid="{7DFF7FAA-319E-482F-A9A9-363C5BBBABD6}" name="Frame  Requested (Frame OG080 Discontinued &amp; Back Order OG508 &amp; OG138)" dataDxfId="18"/>
    <tableColumn id="11" xr3:uid="{32A05474-3611-4224-8C58-C819ADD95C0F}" name="SIZE" dataDxfId="17"/>
    <tableColumn id="12" xr3:uid="{407D7F24-DAD3-4A9B-9D7F-8480C01A8AED}" name="COLORS" dataDxfId="16"/>
    <tableColumn id="8" xr3:uid="{A7A307F7-F2D7-4D9C-82B5-B16FCE51164F}" name="Corrected Form #_x000a_ (If Duplicated)" dataDxfId="15"/>
    <tableColumn id="9" xr3:uid="{1686933A-2305-4353-A2A4-A63661FB6C59}" name="Adjusted Form #" dataDxfId="14">
      <calculatedColumnFormula>IF(Table2[[#This Row],[Corrected Form '#
 (If Duplicated)]]="",Table2[[#This Row],[Form '#]],Table2[[#This Row],[Corrected Form '#
 (If Duplicated)]])</calculatedColumnFormula>
    </tableColumn>
    <tableColumn id="13" xr3:uid="{6D689B84-604A-4B78-9B1D-D6BEDF2ADB37}" name="Order Type" dataDxfId="13"/>
    <tableColumn id="29" xr3:uid="{5EE6EC96-29EE-45F9-99D5-07E132681CC4}" name="POG Order Confirmation Status" dataDxfId="12"/>
    <tableColumn id="27" xr3:uid="{19B6A9B3-8AA3-4B0A-B0AF-969A40119FBA}" name="No. of Days Old" dataDxfId="11">
      <calculatedColumnFormula>TODAY()-Table2[[#This Row],[DATE SENT TO POG]]</calculatedColumnFormula>
    </tableColumn>
    <tableColumn id="28" xr3:uid="{5B4429B1-5D6E-487E-83D8-BFEE31594259}" name="Updated Status" dataDxfId="10"/>
    <tableColumn id="25" xr3:uid="{1F182F7C-1F90-48E8-9DD3-334F198E6841}" name="Status_x000a_(From WIP)" dataDxfId="9">
      <calculatedColumnFormula>IF(Table2[[#This Row],[Check vs WIP
In Progress (Trk '#)]]&lt;&gt;"Not Found","In Progress",IF(Table2[[#This Row],[Check vs WIP
Completed (Trk '#)]]&lt;&gt;"Not Found","Shipped",IF(Table2[[#This Row],[Check vs WIP
Billed (Trk '#)]]&lt;&gt;"Not Found","Shipped","Not in WIP")))</calculatedColumnFormula>
    </tableColumn>
    <tableColumn id="26" xr3:uid="{680C0D24-4D1B-4567-9950-EA477E8066D1}" name="Delivery Date" dataDxfId="8">
      <calculatedColumnFormula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calculatedColumnFormula>
    </tableColumn>
    <tableColumn id="23" xr3:uid="{9AD98DCA-8FBC-40AF-83F3-E305713AB796}" name="Check vs WIP_x000a_In Progress (Trk #)" dataDxfId="5">
      <calculatedColumnFormula>_xlfn.XLOOKUP(Table2[[#This Row],[Adjusted Form '#]],'[2]IN PROGRESS'!$D:$D,'[2]IN PROGRESS'!$M:$M,"Not Found")</calculatedColumnFormula>
    </tableColumn>
    <tableColumn id="20" xr3:uid="{6A366D70-31E7-4341-AEE6-1C6134380BBC}" name="Check vs WIP_x000a_Completed (Trk #)" dataDxfId="4">
      <calculatedColumnFormula>_xlfn.XLOOKUP(Table2[[#This Row],[Adjusted Form '#]],[1]COMPLETED!$D:$D,[2]COMPLETED!$M:$M,"Not Found")</calculatedColumnFormula>
    </tableColumn>
    <tableColumn id="22" xr3:uid="{615BB3AD-3F53-40C5-8245-55970969EBAB}" name="Check vs WIP_x000a_Completed (Delivery Date)" dataDxfId="3">
      <calculatedColumnFormula>_xlfn.XLOOKUP(Table2[[#This Row],[Adjusted Form '#]],[2]COMPLETED!$D:$D,[2]COMPLETED!$O:$O,"Not Found")</calculatedColumnFormula>
    </tableColumn>
    <tableColumn id="19" xr3:uid="{1BE7D21D-8DFC-4D5E-B12A-1BF16D2C7D4F}" name="Check vs WIP_x000a_Billed (Trk #)" dataDxfId="2">
      <calculatedColumnFormula>_xlfn.XLOOKUP(Table2[[#This Row],[Adjusted Form '#]],[2]BILLED!$D:$D,[2]BILLED!$M:$M,"Not Found")</calculatedColumnFormula>
    </tableColumn>
    <tableColumn id="21" xr3:uid="{2A045710-958A-47DB-93DB-08E2D6A29140}" name="Check vs WIP_x000a_Billed (Delivery Date)" dataDxfId="1">
      <calculatedColumnFormula>_xlfn.XLOOKUP(Table2[[#This Row],[Adjusted Form '#]],[2]BILLED!$D:$D,[1]BILLED!$O:$O,"Not Found")</calculatedColumnFormula>
    </tableColumn>
    <tableColumn id="24" xr3:uid="{AC03E8F2-6996-4D3C-AD22-B1244CAC2A19}" name="Check vs WIP_x000a_Rejected Orders" dataDxfId="0">
      <calculatedColumnFormula>_xlfn.XLOOKUP(Table2[[#This Row],[Adjusted Form '#]],'[2]REJECTED ORDERS'!$D:$D,'[2]REJECTED ORDERS'!$E:$E)</calculatedColumnFormula>
    </tableColumn>
    <tableColumn id="14" xr3:uid="{3CA046F6-3AA0-4F31-A79C-95A2A2C52B09}" name="FOLLOW UP DATE FROM LIAISON" dataDxfId="7"/>
    <tableColumn id="16" xr3:uid="{79109FC8-9187-44B0-8745-81D90CFEFD9F}" name="POG ORDER 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6F8A-58A1-4788-AE97-6FEED7729827}">
  <dimension ref="A1:AJ2378"/>
  <sheetViews>
    <sheetView tabSelected="1" topLeftCell="E1" zoomScale="52" zoomScaleNormal="25" workbookViewId="0">
      <pane ySplit="1" topLeftCell="A2" activePane="bottomLeft" state="frozen"/>
      <selection pane="bottomLeft" activeCell="AA6" sqref="AA6"/>
    </sheetView>
  </sheetViews>
  <sheetFormatPr defaultColWidth="9.1796875" defaultRowHeight="15" customHeight="1" outlineLevelCol="1" x14ac:dyDescent="0.35"/>
  <cols>
    <col min="1" max="1" width="9.1796875" style="4"/>
    <col min="2" max="2" width="21.81640625" style="1" customWidth="1"/>
    <col min="3" max="3" width="17.1796875" style="11" customWidth="1"/>
    <col min="4" max="4" width="21.7265625" style="11" customWidth="1" outlineLevel="1"/>
    <col min="5" max="5" width="12.26953125" style="1" bestFit="1" customWidth="1" outlineLevel="1"/>
    <col min="6" max="6" width="17" style="1" customWidth="1" outlineLevel="1"/>
    <col min="7" max="7" width="22.26953125" style="1" customWidth="1"/>
    <col min="9" max="9" width="23.54296875" style="13" customWidth="1" outlineLevel="1"/>
    <col min="10" max="10" width="14.54296875" style="1" customWidth="1" outlineLevel="1"/>
    <col min="11" max="11" width="39.1796875" style="1" customWidth="1" outlineLevel="1"/>
    <col min="12" max="12" width="20.7265625" customWidth="1" outlineLevel="1"/>
    <col min="13" max="13" width="22.26953125" style="1" customWidth="1"/>
    <col min="15" max="15" width="23.7265625" style="6" bestFit="1" customWidth="1"/>
    <col min="16" max="16" width="23.7265625" style="1" bestFit="1" customWidth="1"/>
    <col min="17" max="17" width="14.453125" style="6" bestFit="1" customWidth="1"/>
    <col min="18" max="19" width="17.7265625" style="6" customWidth="1"/>
    <col min="20" max="20" width="25.81640625" style="6" customWidth="1"/>
    <col min="21" max="21" width="25.54296875" style="13" customWidth="1"/>
    <col min="22" max="22" width="28.1796875" style="6" bestFit="1" customWidth="1"/>
    <col min="23" max="23" width="28.1796875" bestFit="1" customWidth="1"/>
    <col min="24" max="24" width="21.7265625" style="13" customWidth="1"/>
    <col min="25" max="25" width="33.1796875" style="13" customWidth="1"/>
    <col min="26" max="26" width="39" style="13" customWidth="1"/>
    <col min="27" max="27" width="43.81640625" style="6" customWidth="1"/>
    <col min="32" max="32" width="14.81640625" style="1" customWidth="1"/>
    <col min="33" max="33" width="8.81640625" style="1" hidden="1" customWidth="1"/>
    <col min="34" max="34" width="24.1796875" style="12" customWidth="1"/>
    <col min="35" max="35" width="17.453125" style="1" hidden="1" customWidth="1"/>
    <col min="36" max="36" width="25.7265625" style="1" customWidth="1"/>
    <col min="37" max="16384" width="9.1796875" style="8"/>
  </cols>
  <sheetData>
    <row r="1" spans="1:36" s="16" customFormat="1" ht="58" x14ac:dyDescent="0.35">
      <c r="A1" s="15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6979</v>
      </c>
      <c r="G1" s="18" t="s">
        <v>5869</v>
      </c>
      <c r="H1" s="15" t="s">
        <v>10</v>
      </c>
      <c r="I1" s="15" t="s">
        <v>5</v>
      </c>
      <c r="J1" s="15" t="s">
        <v>6</v>
      </c>
      <c r="K1" s="15" t="s">
        <v>7</v>
      </c>
      <c r="L1" s="18" t="s">
        <v>5792</v>
      </c>
      <c r="M1" s="18" t="s">
        <v>5791</v>
      </c>
      <c r="N1" s="15" t="s">
        <v>5790</v>
      </c>
      <c r="O1" s="18" t="s">
        <v>5804</v>
      </c>
      <c r="P1" s="18" t="s">
        <v>5799</v>
      </c>
      <c r="Q1" s="18" t="s">
        <v>5801</v>
      </c>
      <c r="R1" s="18" t="s">
        <v>5800</v>
      </c>
      <c r="S1" s="19" t="s">
        <v>5798</v>
      </c>
      <c r="T1" s="18" t="s">
        <v>5797</v>
      </c>
      <c r="U1" s="18" t="s">
        <v>5795</v>
      </c>
      <c r="V1" s="19" t="s">
        <v>5796</v>
      </c>
      <c r="W1" s="18" t="s">
        <v>5793</v>
      </c>
      <c r="X1" s="19" t="s">
        <v>5794</v>
      </c>
      <c r="Y1" s="19" t="s">
        <v>5870</v>
      </c>
      <c r="Z1" s="15" t="s">
        <v>8</v>
      </c>
      <c r="AA1" s="15" t="s">
        <v>9</v>
      </c>
    </row>
    <row r="2" spans="1:36" ht="15" customHeight="1" x14ac:dyDescent="0.35">
      <c r="A2" s="4" t="s">
        <v>8215</v>
      </c>
      <c r="B2" s="1" t="s">
        <v>3780</v>
      </c>
      <c r="C2" s="11">
        <v>44929</v>
      </c>
      <c r="D2" s="11" t="s">
        <v>3781</v>
      </c>
      <c r="E2" s="1" t="s">
        <v>73</v>
      </c>
      <c r="F2" s="1" t="s">
        <v>3782</v>
      </c>
      <c r="G2" s="6">
        <f>COUNTIF(F:F,Table2[[#This Row],[Form '#]])</f>
        <v>1</v>
      </c>
      <c r="H2" s="1" t="s">
        <v>3783</v>
      </c>
      <c r="I2" s="1"/>
      <c r="L2" s="1"/>
      <c r="M2" s="6" t="str">
        <f>IF(Table2[[#This Row],[Corrected Form '#
 (If Duplicated)]]="",Table2[[#This Row],[Form '#]],Table2[[#This Row],[Corrected Form '#
 (If Duplicated)]])</f>
        <v>7823-02794</v>
      </c>
      <c r="N2" s="1" t="s">
        <v>49</v>
      </c>
      <c r="O2" s="6" t="str">
        <f>IF(Table2[[#This Row],[POG CONFIRMATION RECEIPT OF ORDER
(DATE &amp; TIME)]]="","No Confirmation","Received Confirmation")</f>
        <v>Received Confirmation</v>
      </c>
      <c r="P2" s="6">
        <f ca="1">TODAY()-Table2[[#This Row],[DATE SENT TO POG]]</f>
        <v>374</v>
      </c>
      <c r="Q2" s="6" t="s">
        <v>5803</v>
      </c>
      <c r="R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" s="2" t="str">
        <f>_xlfn.XLOOKUP(Table2[[#This Row],[Adjusted Form '#]],'[2]IN PROGRESS'!$D:$D,'[2]IN PROGRESS'!$M:$M,"Not Found")</f>
        <v>Not Found</v>
      </c>
      <c r="U2" s="2" t="str">
        <f>_xlfn.XLOOKUP(Table2[[#This Row],[Adjusted Form '#]],[1]COMPLETED!$D:$D,[2]COMPLETED!$M:$M,"Not Found")</f>
        <v>Not Found</v>
      </c>
      <c r="V2" s="17" t="str">
        <f>_xlfn.XLOOKUP(Table2[[#This Row],[Adjusted Form '#]],[2]COMPLETED!$D:$D,[2]COMPLETED!$O:$O,"Not Found")</f>
        <v>Not Found</v>
      </c>
      <c r="W2" s="2" t="str">
        <f>_xlfn.XLOOKUP(Table2[[#This Row],[Adjusted Form '#]],[2]BILLED!$D:$D,[2]BILLED!$M:$M,"Not Found")</f>
        <v>1Z5063E0YW42760971</v>
      </c>
      <c r="X2" s="17" t="e">
        <f>_xlfn.XLOOKUP(Table2[[#This Row],[Adjusted Form '#]],[2]BILLED!$D:$D,[1]BILLED!$O:$O,"Not Found")</f>
        <v>#REF!</v>
      </c>
      <c r="Y2" s="17" t="e">
        <f>_xlfn.XLOOKUP(Table2[[#This Row],[Adjusted Form '#]],'[2]REJECTED ORDERS'!$D:$D,'[2]REJECTED ORDERS'!$E:$E)</f>
        <v>#N/A</v>
      </c>
      <c r="Z2" s="1"/>
      <c r="AA2" s="1"/>
      <c r="AB2" s="8"/>
      <c r="AC2" s="8"/>
      <c r="AD2" s="8"/>
      <c r="AE2" s="8"/>
      <c r="AF2" s="8"/>
      <c r="AG2" s="8"/>
      <c r="AH2" s="8"/>
      <c r="AI2" s="8"/>
      <c r="AJ2" s="8"/>
    </row>
    <row r="3" spans="1:36" ht="15" customHeight="1" x14ac:dyDescent="0.35">
      <c r="A3" s="4" t="s">
        <v>12</v>
      </c>
      <c r="B3" s="1" t="s">
        <v>1568</v>
      </c>
      <c r="C3" s="11">
        <v>44929</v>
      </c>
      <c r="D3" s="11" t="s">
        <v>3784</v>
      </c>
      <c r="E3" s="1" t="s">
        <v>191</v>
      </c>
      <c r="F3" s="1" t="s">
        <v>3785</v>
      </c>
      <c r="G3" s="6">
        <f>COUNTIF(F:F,Table2[[#This Row],[Form '#]])</f>
        <v>2</v>
      </c>
      <c r="H3" s="1" t="s">
        <v>3786</v>
      </c>
      <c r="I3" s="1"/>
      <c r="L3" s="1"/>
      <c r="M3" s="6" t="str">
        <f>IF(Table2[[#This Row],[Corrected Form '#
 (If Duplicated)]]="",Table2[[#This Row],[Form '#]],Table2[[#This Row],[Corrected Form '#
 (If Duplicated)]])</f>
        <v>7812-03116</v>
      </c>
      <c r="N3" s="1" t="s">
        <v>49</v>
      </c>
      <c r="O3" s="6" t="str">
        <f>IF(Table2[[#This Row],[POG CONFIRMATION RECEIPT OF ORDER
(DATE &amp; TIME)]]="","No Confirmation","Received Confirmation")</f>
        <v>Received Confirmation</v>
      </c>
      <c r="P3" s="6">
        <f ca="1">TODAY()-Table2[[#This Row],[DATE SENT TO POG]]</f>
        <v>374</v>
      </c>
      <c r="Q3" s="6" t="s">
        <v>5803</v>
      </c>
      <c r="R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" s="2" t="str">
        <f>_xlfn.XLOOKUP(Table2[[#This Row],[Adjusted Form '#]],'[2]IN PROGRESS'!$D:$D,'[2]IN PROGRESS'!$M:$M,"Not Found")</f>
        <v>Not Found</v>
      </c>
      <c r="U3" s="2" t="str">
        <f>_xlfn.XLOOKUP(Table2[[#This Row],[Adjusted Form '#]],[1]COMPLETED!$D:$D,[2]COMPLETED!$M:$M,"Not Found")</f>
        <v>Not Found</v>
      </c>
      <c r="V3" s="17" t="str">
        <f>_xlfn.XLOOKUP(Table2[[#This Row],[Adjusted Form '#]],[2]COMPLETED!$D:$D,[2]COMPLETED!$O:$O,"Not Found")</f>
        <v>Not Found</v>
      </c>
      <c r="W3" s="2" t="str">
        <f>_xlfn.XLOOKUP(Table2[[#This Row],[Adjusted Form '#]],[2]BILLED!$D:$D,[2]BILLED!$M:$M,"Not Found")</f>
        <v>1Z5063E0YW41402805</v>
      </c>
      <c r="X3" s="17" t="e">
        <f>_xlfn.XLOOKUP(Table2[[#This Row],[Adjusted Form '#]],[2]BILLED!$D:$D,[1]BILLED!$O:$O,"Not Found")</f>
        <v>#REF!</v>
      </c>
      <c r="Y3" s="17" t="e">
        <f>_xlfn.XLOOKUP(Table2[[#This Row],[Adjusted Form '#]],'[2]REJECTED ORDERS'!$D:$D,'[2]REJECTED ORDERS'!$E:$E)</f>
        <v>#N/A</v>
      </c>
      <c r="Z3" s="1"/>
      <c r="AA3" s="1"/>
      <c r="AB3" s="8"/>
      <c r="AC3" s="8"/>
      <c r="AD3" s="8"/>
      <c r="AE3" s="8"/>
      <c r="AF3" s="8"/>
      <c r="AG3" s="8"/>
      <c r="AH3" s="8"/>
      <c r="AI3" s="8"/>
      <c r="AJ3" s="8"/>
    </row>
    <row r="4" spans="1:36" ht="15" customHeight="1" x14ac:dyDescent="0.35">
      <c r="A4" s="4" t="s">
        <v>13</v>
      </c>
      <c r="B4" s="1" t="s">
        <v>1568</v>
      </c>
      <c r="C4" s="11">
        <v>44929</v>
      </c>
      <c r="E4" s="1" t="s">
        <v>191</v>
      </c>
      <c r="F4" s="1" t="s">
        <v>3787</v>
      </c>
      <c r="G4" s="6">
        <f>COUNTIF(F:F,Table2[[#This Row],[Form '#]])</f>
        <v>2</v>
      </c>
      <c r="H4" s="1" t="s">
        <v>3788</v>
      </c>
      <c r="I4" s="1"/>
      <c r="L4" s="1"/>
      <c r="M4" s="6" t="str">
        <f>IF(Table2[[#This Row],[Corrected Form '#
 (If Duplicated)]]="",Table2[[#This Row],[Form '#]],Table2[[#This Row],[Corrected Form '#
 (If Duplicated)]])</f>
        <v>7812-01744</v>
      </c>
      <c r="N4" s="1" t="s">
        <v>49</v>
      </c>
      <c r="O4" s="6" t="str">
        <f>IF(Table2[[#This Row],[POG CONFIRMATION RECEIPT OF ORDER
(DATE &amp; TIME)]]="","No Confirmation","Received Confirmation")</f>
        <v>No Confirmation</v>
      </c>
      <c r="P4" s="6">
        <f ca="1">TODAY()-Table2[[#This Row],[DATE SENT TO POG]]</f>
        <v>374</v>
      </c>
      <c r="Q4" s="6" t="s">
        <v>5803</v>
      </c>
      <c r="R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" s="2" t="str">
        <f>_xlfn.XLOOKUP(Table2[[#This Row],[Adjusted Form '#]],'[2]IN PROGRESS'!$D:$D,'[2]IN PROGRESS'!$M:$M,"Not Found")</f>
        <v>Not Found</v>
      </c>
      <c r="U4" s="2" t="str">
        <f>_xlfn.XLOOKUP(Table2[[#This Row],[Adjusted Form '#]],[1]COMPLETED!$D:$D,[2]COMPLETED!$M:$M,"Not Found")</f>
        <v>Not Found</v>
      </c>
      <c r="V4" s="17" t="str">
        <f>_xlfn.XLOOKUP(Table2[[#This Row],[Adjusted Form '#]],[2]COMPLETED!$D:$D,[2]COMPLETED!$O:$O,"Not Found")</f>
        <v>Not Found</v>
      </c>
      <c r="W4" s="2" t="str">
        <f>_xlfn.XLOOKUP(Table2[[#This Row],[Adjusted Form '#]],[2]BILLED!$D:$D,[2]BILLED!$M:$M,"Not Found")</f>
        <v>1Z5063E0YW41088058</v>
      </c>
      <c r="X4" s="17" t="e">
        <f>_xlfn.XLOOKUP(Table2[[#This Row],[Adjusted Form '#]],[2]BILLED!$D:$D,[1]BILLED!$O:$O,"Not Found")</f>
        <v>#REF!</v>
      </c>
      <c r="Y4" s="17" t="e">
        <f>_xlfn.XLOOKUP(Table2[[#This Row],[Adjusted Form '#]],'[2]REJECTED ORDERS'!$D:$D,'[2]REJECTED ORDERS'!$E:$E)</f>
        <v>#N/A</v>
      </c>
      <c r="Z4" s="1"/>
      <c r="AA4" s="1"/>
      <c r="AB4" s="8"/>
      <c r="AC4" s="8"/>
      <c r="AD4" s="8"/>
      <c r="AE4" s="8"/>
      <c r="AF4" s="8"/>
      <c r="AG4" s="8"/>
      <c r="AH4" s="8"/>
      <c r="AI4" s="8"/>
      <c r="AJ4" s="8"/>
    </row>
    <row r="5" spans="1:36" ht="15" customHeight="1" x14ac:dyDescent="0.35">
      <c r="A5" s="4" t="s">
        <v>15</v>
      </c>
      <c r="B5" s="1" t="s">
        <v>1568</v>
      </c>
      <c r="C5" s="11">
        <v>44929</v>
      </c>
      <c r="E5" s="1" t="s">
        <v>191</v>
      </c>
      <c r="F5" s="1" t="s">
        <v>3789</v>
      </c>
      <c r="G5" s="6">
        <f>COUNTIF(F:F,Table2[[#This Row],[Form '#]])</f>
        <v>1</v>
      </c>
      <c r="H5" s="1" t="s">
        <v>3790</v>
      </c>
      <c r="I5" s="1"/>
      <c r="L5" s="1"/>
      <c r="M5" s="6" t="str">
        <f>IF(Table2[[#This Row],[Corrected Form '#
 (If Duplicated)]]="",Table2[[#This Row],[Form '#]],Table2[[#This Row],[Corrected Form '#
 (If Duplicated)]])</f>
        <v>7812-01444</v>
      </c>
      <c r="N5" s="1" t="s">
        <v>49</v>
      </c>
      <c r="O5" s="6" t="str">
        <f>IF(Table2[[#This Row],[POG CONFIRMATION RECEIPT OF ORDER
(DATE &amp; TIME)]]="","No Confirmation","Received Confirmation")</f>
        <v>No Confirmation</v>
      </c>
      <c r="P5" s="6">
        <f ca="1">TODAY()-Table2[[#This Row],[DATE SENT TO POG]]</f>
        <v>374</v>
      </c>
      <c r="Q5" s="6" t="s">
        <v>5802</v>
      </c>
      <c r="R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5" s="2" t="str">
        <f>_xlfn.XLOOKUP(Table2[[#This Row],[Adjusted Form '#]],'[2]IN PROGRESS'!$D:$D,'[2]IN PROGRESS'!$M:$M,"Not Found")</f>
        <v>Not Found</v>
      </c>
      <c r="U5" s="2" t="str">
        <f>_xlfn.XLOOKUP(Table2[[#This Row],[Adjusted Form '#]],[1]COMPLETED!$D:$D,[2]COMPLETED!$M:$M,"Not Found")</f>
        <v>Not Found</v>
      </c>
      <c r="V5" s="17" t="str">
        <f>_xlfn.XLOOKUP(Table2[[#This Row],[Adjusted Form '#]],[2]COMPLETED!$D:$D,[2]COMPLETED!$O:$O,"Not Found")</f>
        <v>Not Found</v>
      </c>
      <c r="W5" s="2" t="str">
        <f>_xlfn.XLOOKUP(Table2[[#This Row],[Adjusted Form '#]],[2]BILLED!$D:$D,[2]BILLED!$M:$M,"Not Found")</f>
        <v>Not Found</v>
      </c>
      <c r="X5" s="17" t="str">
        <f>_xlfn.XLOOKUP(Table2[[#This Row],[Adjusted Form '#]],[2]BILLED!$D:$D,[1]BILLED!$O:$O,"Not Found")</f>
        <v>Not Found</v>
      </c>
      <c r="Y5" s="17" t="e">
        <f>_xlfn.XLOOKUP(Table2[[#This Row],[Adjusted Form '#]],'[2]REJECTED ORDERS'!$D:$D,'[2]REJECTED ORDERS'!$E:$E)</f>
        <v>#N/A</v>
      </c>
      <c r="Z5" s="1"/>
      <c r="AA5" s="1"/>
      <c r="AB5" s="8"/>
      <c r="AC5" s="8"/>
      <c r="AD5" s="8"/>
      <c r="AE5" s="8"/>
      <c r="AF5" s="8"/>
      <c r="AG5" s="8"/>
      <c r="AH5" s="8"/>
      <c r="AI5" s="8"/>
      <c r="AJ5" s="8"/>
    </row>
    <row r="6" spans="1:36" ht="15" customHeight="1" x14ac:dyDescent="0.35">
      <c r="A6" s="4" t="s">
        <v>16</v>
      </c>
      <c r="B6" s="1" t="s">
        <v>1568</v>
      </c>
      <c r="C6" s="11">
        <v>44929</v>
      </c>
      <c r="E6" s="1" t="s">
        <v>191</v>
      </c>
      <c r="F6" s="1" t="s">
        <v>3791</v>
      </c>
      <c r="G6" s="6">
        <f>COUNTIF(F:F,Table2[[#This Row],[Form '#]])</f>
        <v>2</v>
      </c>
      <c r="H6" s="1" t="s">
        <v>3792</v>
      </c>
      <c r="I6" s="1"/>
      <c r="L6" s="1"/>
      <c r="M6" s="6" t="str">
        <f>IF(Table2[[#This Row],[Corrected Form '#
 (If Duplicated)]]="",Table2[[#This Row],[Form '#]],Table2[[#This Row],[Corrected Form '#
 (If Duplicated)]])</f>
        <v>7812-01740</v>
      </c>
      <c r="N6" s="1" t="s">
        <v>49</v>
      </c>
      <c r="O6" s="6" t="str">
        <f>IF(Table2[[#This Row],[POG CONFIRMATION RECEIPT OF ORDER
(DATE &amp; TIME)]]="","No Confirmation","Received Confirmation")</f>
        <v>No Confirmation</v>
      </c>
      <c r="P6" s="6">
        <f ca="1">TODAY()-Table2[[#This Row],[DATE SENT TO POG]]</f>
        <v>374</v>
      </c>
      <c r="Q6" s="6" t="s">
        <v>5803</v>
      </c>
      <c r="R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" s="2" t="str">
        <f>_xlfn.XLOOKUP(Table2[[#This Row],[Adjusted Form '#]],'[2]IN PROGRESS'!$D:$D,'[2]IN PROGRESS'!$M:$M,"Not Found")</f>
        <v>Not Found</v>
      </c>
      <c r="U6" s="2" t="str">
        <f>_xlfn.XLOOKUP(Table2[[#This Row],[Adjusted Form '#]],[1]COMPLETED!$D:$D,[2]COMPLETED!$M:$M,"Not Found")</f>
        <v>Not Found</v>
      </c>
      <c r="V6" s="17" t="str">
        <f>_xlfn.XLOOKUP(Table2[[#This Row],[Adjusted Form '#]],[2]COMPLETED!$D:$D,[2]COMPLETED!$O:$O,"Not Found")</f>
        <v>Not Found</v>
      </c>
      <c r="W6" s="2" t="str">
        <f>_xlfn.XLOOKUP(Table2[[#This Row],[Adjusted Form '#]],[2]BILLED!$D:$D,[2]BILLED!$M:$M,"Not Found")</f>
        <v>1Z5063E0YW40049191</v>
      </c>
      <c r="X6" s="17" t="e">
        <f>_xlfn.XLOOKUP(Table2[[#This Row],[Adjusted Form '#]],[2]BILLED!$D:$D,[1]BILLED!$O:$O,"Not Found")</f>
        <v>#REF!</v>
      </c>
      <c r="Y6" s="17" t="e">
        <f>_xlfn.XLOOKUP(Table2[[#This Row],[Adjusted Form '#]],'[2]REJECTED ORDERS'!$D:$D,'[2]REJECTED ORDERS'!$E:$E)</f>
        <v>#N/A</v>
      </c>
      <c r="Z6" s="1"/>
      <c r="AA6" s="1"/>
      <c r="AB6" s="8"/>
      <c r="AC6" s="8"/>
      <c r="AD6" s="8"/>
      <c r="AE6" s="8"/>
      <c r="AF6" s="8"/>
      <c r="AG6" s="8"/>
      <c r="AH6" s="8"/>
      <c r="AI6" s="8"/>
      <c r="AJ6" s="8"/>
    </row>
    <row r="7" spans="1:36" ht="15" customHeight="1" x14ac:dyDescent="0.35">
      <c r="A7" s="4" t="s">
        <v>18</v>
      </c>
      <c r="B7" s="1" t="s">
        <v>1568</v>
      </c>
      <c r="C7" s="11">
        <v>44929</v>
      </c>
      <c r="E7" s="1" t="s">
        <v>191</v>
      </c>
      <c r="F7" s="1" t="s">
        <v>3793</v>
      </c>
      <c r="G7" s="6">
        <f>COUNTIF(F:F,Table2[[#This Row],[Form '#]])</f>
        <v>2</v>
      </c>
      <c r="H7" s="1" t="s">
        <v>1373</v>
      </c>
      <c r="I7" s="1"/>
      <c r="L7" s="1"/>
      <c r="M7" s="6" t="str">
        <f>IF(Table2[[#This Row],[Corrected Form '#
 (If Duplicated)]]="",Table2[[#This Row],[Form '#]],Table2[[#This Row],[Corrected Form '#
 (If Duplicated)]])</f>
        <v>7812-02886</v>
      </c>
      <c r="N7" s="1" t="s">
        <v>49</v>
      </c>
      <c r="O7" s="6" t="str">
        <f>IF(Table2[[#This Row],[POG CONFIRMATION RECEIPT OF ORDER
(DATE &amp; TIME)]]="","No Confirmation","Received Confirmation")</f>
        <v>No Confirmation</v>
      </c>
      <c r="P7" s="6">
        <f ca="1">TODAY()-Table2[[#This Row],[DATE SENT TO POG]]</f>
        <v>374</v>
      </c>
      <c r="Q7" s="6" t="s">
        <v>5803</v>
      </c>
      <c r="R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" s="2" t="str">
        <f>_xlfn.XLOOKUP(Table2[[#This Row],[Adjusted Form '#]],'[2]IN PROGRESS'!$D:$D,'[2]IN PROGRESS'!$M:$M,"Not Found")</f>
        <v>Not Found</v>
      </c>
      <c r="U7" s="2" t="str">
        <f>_xlfn.XLOOKUP(Table2[[#This Row],[Adjusted Form '#]],[1]COMPLETED!$D:$D,[2]COMPLETED!$M:$M,"Not Found")</f>
        <v>Not Found</v>
      </c>
      <c r="V7" s="17" t="str">
        <f>_xlfn.XLOOKUP(Table2[[#This Row],[Adjusted Form '#]],[2]COMPLETED!$D:$D,[2]COMPLETED!$O:$O,"Not Found")</f>
        <v>Not Found</v>
      </c>
      <c r="W7" s="2" t="str">
        <f>_xlfn.XLOOKUP(Table2[[#This Row],[Adjusted Form '#]],[2]BILLED!$D:$D,[2]BILLED!$M:$M,"Not Found")</f>
        <v>1Z5063E0YW41283239</v>
      </c>
      <c r="X7" s="17" t="e">
        <f>_xlfn.XLOOKUP(Table2[[#This Row],[Adjusted Form '#]],[2]BILLED!$D:$D,[1]BILLED!$O:$O,"Not Found")</f>
        <v>#REF!</v>
      </c>
      <c r="Y7" s="17" t="e">
        <f>_xlfn.XLOOKUP(Table2[[#This Row],[Adjusted Form '#]],'[2]REJECTED ORDERS'!$D:$D,'[2]REJECTED ORDERS'!$E:$E)</f>
        <v>#N/A</v>
      </c>
      <c r="Z7" s="1"/>
      <c r="AA7" s="1"/>
      <c r="AB7" s="8"/>
      <c r="AC7" s="8"/>
      <c r="AD7" s="8"/>
      <c r="AE7" s="8"/>
      <c r="AF7" s="8"/>
      <c r="AG7" s="8"/>
      <c r="AH7" s="8"/>
      <c r="AI7" s="8"/>
      <c r="AJ7" s="8"/>
    </row>
    <row r="8" spans="1:36" ht="15" customHeight="1" x14ac:dyDescent="0.35">
      <c r="A8" s="4" t="s">
        <v>19</v>
      </c>
      <c r="B8" s="1" t="s">
        <v>1568</v>
      </c>
      <c r="C8" s="11">
        <v>44929</v>
      </c>
      <c r="E8" s="1" t="s">
        <v>191</v>
      </c>
      <c r="F8" s="1" t="s">
        <v>3794</v>
      </c>
      <c r="G8" s="6">
        <f>COUNTIF(F:F,Table2[[#This Row],[Form '#]])</f>
        <v>1</v>
      </c>
      <c r="H8" s="1" t="s">
        <v>3795</v>
      </c>
      <c r="I8" s="1"/>
      <c r="L8" s="1"/>
      <c r="M8" s="6" t="str">
        <f>IF(Table2[[#This Row],[Corrected Form '#
 (If Duplicated)]]="",Table2[[#This Row],[Form '#]],Table2[[#This Row],[Corrected Form '#
 (If Duplicated)]])</f>
        <v>7812-03147</v>
      </c>
      <c r="N8" s="1" t="s">
        <v>49</v>
      </c>
      <c r="O8" s="6" t="str">
        <f>IF(Table2[[#This Row],[POG CONFIRMATION RECEIPT OF ORDER
(DATE &amp; TIME)]]="","No Confirmation","Received Confirmation")</f>
        <v>No Confirmation</v>
      </c>
      <c r="P8" s="6">
        <f ca="1">TODAY()-Table2[[#This Row],[DATE SENT TO POG]]</f>
        <v>374</v>
      </c>
      <c r="Q8" s="6" t="s">
        <v>5803</v>
      </c>
      <c r="R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" s="2" t="str">
        <f>_xlfn.XLOOKUP(Table2[[#This Row],[Adjusted Form '#]],'[2]IN PROGRESS'!$D:$D,'[2]IN PROGRESS'!$M:$M,"Not Found")</f>
        <v>Not Found</v>
      </c>
      <c r="U8" s="2" t="str">
        <f>_xlfn.XLOOKUP(Table2[[#This Row],[Adjusted Form '#]],[1]COMPLETED!$D:$D,[2]COMPLETED!$M:$M,"Not Found")</f>
        <v>Not Found</v>
      </c>
      <c r="V8" s="17" t="str">
        <f>_xlfn.XLOOKUP(Table2[[#This Row],[Adjusted Form '#]],[2]COMPLETED!$D:$D,[2]COMPLETED!$O:$O,"Not Found")</f>
        <v>Not Found</v>
      </c>
      <c r="W8" s="2" t="str">
        <f>_xlfn.XLOOKUP(Table2[[#This Row],[Adjusted Form '#]],[2]BILLED!$D:$D,[2]BILLED!$M:$M,"Not Found")</f>
        <v>1Z5063E0YW42631904</v>
      </c>
      <c r="X8" s="17" t="e">
        <f>_xlfn.XLOOKUP(Table2[[#This Row],[Adjusted Form '#]],[2]BILLED!$D:$D,[1]BILLED!$O:$O,"Not Found")</f>
        <v>#REF!</v>
      </c>
      <c r="Y8" s="17" t="e">
        <f>_xlfn.XLOOKUP(Table2[[#This Row],[Adjusted Form '#]],'[2]REJECTED ORDERS'!$D:$D,'[2]REJECTED ORDERS'!$E:$E)</f>
        <v>#N/A</v>
      </c>
      <c r="Z8" s="1"/>
      <c r="AA8" s="1"/>
      <c r="AB8" s="8"/>
      <c r="AC8" s="8"/>
      <c r="AD8" s="8"/>
      <c r="AE8" s="8"/>
      <c r="AF8" s="8"/>
      <c r="AG8" s="8"/>
      <c r="AH8" s="8"/>
      <c r="AI8" s="8"/>
      <c r="AJ8" s="8"/>
    </row>
    <row r="9" spans="1:36" ht="15" customHeight="1" x14ac:dyDescent="0.35">
      <c r="A9" s="4" t="s">
        <v>20</v>
      </c>
      <c r="B9" s="1" t="s">
        <v>1568</v>
      </c>
      <c r="C9" s="11">
        <v>44929</v>
      </c>
      <c r="E9" s="1" t="s">
        <v>191</v>
      </c>
      <c r="F9" s="1" t="s">
        <v>3796</v>
      </c>
      <c r="G9" s="6">
        <f>COUNTIF(F:F,Table2[[#This Row],[Form '#]])</f>
        <v>2</v>
      </c>
      <c r="H9" s="1" t="s">
        <v>3797</v>
      </c>
      <c r="I9" s="1"/>
      <c r="L9" s="1"/>
      <c r="M9" s="6" t="str">
        <f>IF(Table2[[#This Row],[Corrected Form '#
 (If Duplicated)]]="",Table2[[#This Row],[Form '#]],Table2[[#This Row],[Corrected Form '#
 (If Duplicated)]])</f>
        <v>7812-02854</v>
      </c>
      <c r="N9" s="1" t="s">
        <v>49</v>
      </c>
      <c r="O9" s="6" t="str">
        <f>IF(Table2[[#This Row],[POG CONFIRMATION RECEIPT OF ORDER
(DATE &amp; TIME)]]="","No Confirmation","Received Confirmation")</f>
        <v>No Confirmation</v>
      </c>
      <c r="P9" s="6">
        <f ca="1">TODAY()-Table2[[#This Row],[DATE SENT TO POG]]</f>
        <v>374</v>
      </c>
      <c r="Q9" s="6" t="s">
        <v>5803</v>
      </c>
      <c r="R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" s="2" t="str">
        <f>_xlfn.XLOOKUP(Table2[[#This Row],[Adjusted Form '#]],'[2]IN PROGRESS'!$D:$D,'[2]IN PROGRESS'!$M:$M,"Not Found")</f>
        <v>Not Found</v>
      </c>
      <c r="U9" s="2" t="str">
        <f>_xlfn.XLOOKUP(Table2[[#This Row],[Adjusted Form '#]],[1]COMPLETED!$D:$D,[2]COMPLETED!$M:$M,"Not Found")</f>
        <v>Not Found</v>
      </c>
      <c r="V9" s="17" t="str">
        <f>_xlfn.XLOOKUP(Table2[[#This Row],[Adjusted Form '#]],[2]COMPLETED!$D:$D,[2]COMPLETED!$O:$O,"Not Found")</f>
        <v>Not Found</v>
      </c>
      <c r="W9" s="2" t="str">
        <f>_xlfn.XLOOKUP(Table2[[#This Row],[Adjusted Form '#]],[2]BILLED!$D:$D,[2]BILLED!$M:$M,"Not Found")</f>
        <v>1Z5063E0YW41344815</v>
      </c>
      <c r="X9" s="17" t="e">
        <f>_xlfn.XLOOKUP(Table2[[#This Row],[Adjusted Form '#]],[2]BILLED!$D:$D,[1]BILLED!$O:$O,"Not Found")</f>
        <v>#REF!</v>
      </c>
      <c r="Y9" s="17" t="e">
        <f>_xlfn.XLOOKUP(Table2[[#This Row],[Adjusted Form '#]],'[2]REJECTED ORDERS'!$D:$D,'[2]REJECTED ORDERS'!$E:$E)</f>
        <v>#N/A</v>
      </c>
      <c r="Z9" s="1"/>
      <c r="AA9" s="1"/>
      <c r="AB9" s="8"/>
      <c r="AC9" s="8"/>
      <c r="AD9" s="8"/>
      <c r="AE9" s="8"/>
      <c r="AF9" s="8"/>
      <c r="AG9" s="8"/>
      <c r="AH9" s="8"/>
      <c r="AI9" s="8"/>
      <c r="AJ9" s="8"/>
    </row>
    <row r="10" spans="1:36" ht="15" customHeight="1" x14ac:dyDescent="0.35">
      <c r="A10" s="4" t="s">
        <v>22</v>
      </c>
      <c r="B10" s="1" t="s">
        <v>2001</v>
      </c>
      <c r="C10" s="11">
        <v>44929</v>
      </c>
      <c r="D10" s="11" t="s">
        <v>3784</v>
      </c>
      <c r="E10" s="1" t="s">
        <v>21</v>
      </c>
      <c r="F10" s="1" t="s">
        <v>3798</v>
      </c>
      <c r="G10" s="6">
        <f>COUNTIF(F:F,Table2[[#This Row],[Form '#]])</f>
        <v>1</v>
      </c>
      <c r="H10" s="1" t="s">
        <v>3799</v>
      </c>
      <c r="I10" s="1"/>
      <c r="L10" s="1"/>
      <c r="M10" s="6" t="str">
        <f>IF(Table2[[#This Row],[Corrected Form '#
 (If Duplicated)]]="",Table2[[#This Row],[Form '#]],Table2[[#This Row],[Corrected Form '#
 (If Duplicated)]])</f>
        <v>7818-25763</v>
      </c>
      <c r="N10" s="1" t="s">
        <v>49</v>
      </c>
      <c r="O10" s="6" t="str">
        <f>IF(Table2[[#This Row],[POG CONFIRMATION RECEIPT OF ORDER
(DATE &amp; TIME)]]="","No Confirmation","Received Confirmation")</f>
        <v>Received Confirmation</v>
      </c>
      <c r="P10" s="6">
        <f ca="1">TODAY()-Table2[[#This Row],[DATE SENT TO POG]]</f>
        <v>374</v>
      </c>
      <c r="Q10" s="6" t="s">
        <v>5803</v>
      </c>
      <c r="R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" s="2" t="str">
        <f>_xlfn.XLOOKUP(Table2[[#This Row],[Adjusted Form '#]],'[2]IN PROGRESS'!$D:$D,'[2]IN PROGRESS'!$M:$M,"Not Found")</f>
        <v>Not Found</v>
      </c>
      <c r="U10" s="2" t="str">
        <f>_xlfn.XLOOKUP(Table2[[#This Row],[Adjusted Form '#]],[1]COMPLETED!$D:$D,[2]COMPLETED!$M:$M,"Not Found")</f>
        <v>Not Found</v>
      </c>
      <c r="V10" s="17" t="str">
        <f>_xlfn.XLOOKUP(Table2[[#This Row],[Adjusted Form '#]],[2]COMPLETED!$D:$D,[2]COMPLETED!$O:$O,"Not Found")</f>
        <v>Not Found</v>
      </c>
      <c r="W10" s="2" t="str">
        <f>_xlfn.XLOOKUP(Table2[[#This Row],[Adjusted Form '#]],[2]BILLED!$D:$D,[2]BILLED!$M:$M,"Not Found")</f>
        <v>1Z5063E0YW40722257</v>
      </c>
      <c r="X10" s="17" t="e">
        <f>_xlfn.XLOOKUP(Table2[[#This Row],[Adjusted Form '#]],[2]BILLED!$D:$D,[1]BILLED!$O:$O,"Not Found")</f>
        <v>#REF!</v>
      </c>
      <c r="Y10" s="17" t="e">
        <f>_xlfn.XLOOKUP(Table2[[#This Row],[Adjusted Form '#]],'[2]REJECTED ORDERS'!$D:$D,'[2]REJECTED ORDERS'!$E:$E)</f>
        <v>#N/A</v>
      </c>
      <c r="Z10" s="1"/>
      <c r="AA10" s="1"/>
      <c r="AB10" s="8"/>
      <c r="AC10" s="8"/>
      <c r="AD10" s="8"/>
      <c r="AE10" s="8"/>
      <c r="AF10" s="8"/>
      <c r="AG10" s="8"/>
      <c r="AH10" s="8"/>
      <c r="AI10" s="8"/>
      <c r="AJ10" s="8"/>
    </row>
    <row r="11" spans="1:36" ht="15" customHeight="1" x14ac:dyDescent="0.35">
      <c r="A11" s="4" t="s">
        <v>23</v>
      </c>
      <c r="B11" s="1" t="s">
        <v>2001</v>
      </c>
      <c r="C11" s="11">
        <v>44929</v>
      </c>
      <c r="D11" s="11" t="s">
        <v>3784</v>
      </c>
      <c r="E11" s="1" t="s">
        <v>21</v>
      </c>
      <c r="F11" s="1" t="s">
        <v>3800</v>
      </c>
      <c r="G11" s="6">
        <f>COUNTIF(F:F,Table2[[#This Row],[Form '#]])</f>
        <v>1</v>
      </c>
      <c r="H11" s="1" t="s">
        <v>3801</v>
      </c>
      <c r="I11" s="1"/>
      <c r="L11" s="1"/>
      <c r="M11" s="6" t="str">
        <f>IF(Table2[[#This Row],[Corrected Form '#
 (If Duplicated)]]="",Table2[[#This Row],[Form '#]],Table2[[#This Row],[Corrected Form '#
 (If Duplicated)]])</f>
        <v>7818-24687</v>
      </c>
      <c r="N11" s="1" t="s">
        <v>49</v>
      </c>
      <c r="O11" s="6" t="str">
        <f>IF(Table2[[#This Row],[POG CONFIRMATION RECEIPT OF ORDER
(DATE &amp; TIME)]]="","No Confirmation","Received Confirmation")</f>
        <v>Received Confirmation</v>
      </c>
      <c r="P11" s="6">
        <f ca="1">TODAY()-Table2[[#This Row],[DATE SENT TO POG]]</f>
        <v>374</v>
      </c>
      <c r="Q11" s="6" t="s">
        <v>5803</v>
      </c>
      <c r="R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" s="2" t="str">
        <f>_xlfn.XLOOKUP(Table2[[#This Row],[Adjusted Form '#]],'[2]IN PROGRESS'!$D:$D,'[2]IN PROGRESS'!$M:$M,"Not Found")</f>
        <v>Not Found</v>
      </c>
      <c r="U11" s="2" t="str">
        <f>_xlfn.XLOOKUP(Table2[[#This Row],[Adjusted Form '#]],[1]COMPLETED!$D:$D,[2]COMPLETED!$M:$M,"Not Found")</f>
        <v>Not Found</v>
      </c>
      <c r="V11" s="17" t="str">
        <f>_xlfn.XLOOKUP(Table2[[#This Row],[Adjusted Form '#]],[2]COMPLETED!$D:$D,[2]COMPLETED!$O:$O,"Not Found")</f>
        <v>Not Found</v>
      </c>
      <c r="W11" s="2" t="str">
        <f>_xlfn.XLOOKUP(Table2[[#This Row],[Adjusted Form '#]],[2]BILLED!$D:$D,[2]BILLED!$M:$M,"Not Found")</f>
        <v>1Z5063E0YW41286807</v>
      </c>
      <c r="X11" s="17" t="e">
        <f>_xlfn.XLOOKUP(Table2[[#This Row],[Adjusted Form '#]],[2]BILLED!$D:$D,[1]BILLED!$O:$O,"Not Found")</f>
        <v>#REF!</v>
      </c>
      <c r="Y11" s="17" t="e">
        <f>_xlfn.XLOOKUP(Table2[[#This Row],[Adjusted Form '#]],'[2]REJECTED ORDERS'!$D:$D,'[2]REJECTED ORDERS'!$E:$E)</f>
        <v>#N/A</v>
      </c>
      <c r="Z11" s="1"/>
      <c r="AA11" s="1"/>
      <c r="AB11" s="8"/>
      <c r="AC11" s="8"/>
      <c r="AD11" s="8"/>
      <c r="AE11" s="8"/>
      <c r="AF11" s="8"/>
      <c r="AG11" s="8"/>
      <c r="AH11" s="8"/>
      <c r="AI11" s="8"/>
      <c r="AJ11" s="8"/>
    </row>
    <row r="12" spans="1:36" ht="15" customHeight="1" x14ac:dyDescent="0.35">
      <c r="A12" s="4" t="s">
        <v>24</v>
      </c>
      <c r="B12" s="1" t="s">
        <v>2001</v>
      </c>
      <c r="C12" s="11">
        <v>44929</v>
      </c>
      <c r="D12" s="11" t="s">
        <v>3784</v>
      </c>
      <c r="E12" s="1" t="s">
        <v>21</v>
      </c>
      <c r="F12" s="1" t="s">
        <v>3802</v>
      </c>
      <c r="G12" s="6">
        <f>COUNTIF(F:F,Table2[[#This Row],[Form '#]])</f>
        <v>1</v>
      </c>
      <c r="H12" s="1" t="s">
        <v>1300</v>
      </c>
      <c r="I12" s="1"/>
      <c r="L12" s="1"/>
      <c r="M12" s="6" t="str">
        <f>IF(Table2[[#This Row],[Corrected Form '#
 (If Duplicated)]]="",Table2[[#This Row],[Form '#]],Table2[[#This Row],[Corrected Form '#
 (If Duplicated)]])</f>
        <v>7818-10367</v>
      </c>
      <c r="N12" s="1" t="s">
        <v>49</v>
      </c>
      <c r="O12" s="6" t="str">
        <f>IF(Table2[[#This Row],[POG CONFIRMATION RECEIPT OF ORDER
(DATE &amp; TIME)]]="","No Confirmation","Received Confirmation")</f>
        <v>Received Confirmation</v>
      </c>
      <c r="P12" s="6">
        <f ca="1">TODAY()-Table2[[#This Row],[DATE SENT TO POG]]</f>
        <v>374</v>
      </c>
      <c r="Q12" s="6" t="s">
        <v>5803</v>
      </c>
      <c r="R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" s="2" t="str">
        <f>_xlfn.XLOOKUP(Table2[[#This Row],[Adjusted Form '#]],'[2]IN PROGRESS'!$D:$D,'[2]IN PROGRESS'!$M:$M,"Not Found")</f>
        <v>Not Found</v>
      </c>
      <c r="U12" s="2" t="str">
        <f>_xlfn.XLOOKUP(Table2[[#This Row],[Adjusted Form '#]],[1]COMPLETED!$D:$D,[2]COMPLETED!$M:$M,"Not Found")</f>
        <v>Not Found</v>
      </c>
      <c r="V12" s="17" t="str">
        <f>_xlfn.XLOOKUP(Table2[[#This Row],[Adjusted Form '#]],[2]COMPLETED!$D:$D,[2]COMPLETED!$O:$O,"Not Found")</f>
        <v>Not Found</v>
      </c>
      <c r="W12" s="2" t="str">
        <f>_xlfn.XLOOKUP(Table2[[#This Row],[Adjusted Form '#]],[2]BILLED!$D:$D,[2]BILLED!$M:$M,"Not Found")</f>
        <v>1Z5063E0YW41651279</v>
      </c>
      <c r="X12" s="17" t="e">
        <f>_xlfn.XLOOKUP(Table2[[#This Row],[Adjusted Form '#]],[2]BILLED!$D:$D,[1]BILLED!$O:$O,"Not Found")</f>
        <v>#REF!</v>
      </c>
      <c r="Y12" s="17" t="e">
        <f>_xlfn.XLOOKUP(Table2[[#This Row],[Adjusted Form '#]],'[2]REJECTED ORDERS'!$D:$D,'[2]REJECTED ORDERS'!$E:$E)</f>
        <v>#N/A</v>
      </c>
      <c r="Z12" s="1"/>
      <c r="AA12" s="1"/>
      <c r="AB12" s="8"/>
      <c r="AC12" s="8"/>
      <c r="AD12" s="8"/>
      <c r="AE12" s="8"/>
      <c r="AF12" s="8"/>
      <c r="AG12" s="8"/>
      <c r="AH12" s="8"/>
      <c r="AI12" s="8"/>
      <c r="AJ12" s="8"/>
    </row>
    <row r="13" spans="1:36" ht="15" customHeight="1" x14ac:dyDescent="0.35">
      <c r="A13" s="4" t="s">
        <v>25</v>
      </c>
      <c r="B13" s="1" t="s">
        <v>3522</v>
      </c>
      <c r="C13" s="11">
        <v>44930</v>
      </c>
      <c r="D13" s="11" t="s">
        <v>3803</v>
      </c>
      <c r="E13" s="1" t="s">
        <v>14</v>
      </c>
      <c r="F13" s="1" t="s">
        <v>3804</v>
      </c>
      <c r="G13" s="6">
        <f>COUNTIF(F:F,Table2[[#This Row],[Form '#]])</f>
        <v>1</v>
      </c>
      <c r="H13" s="1" t="s">
        <v>3805</v>
      </c>
      <c r="I13" s="1"/>
      <c r="L13" s="1"/>
      <c r="M13" s="6" t="str">
        <f>IF(Table2[[#This Row],[Corrected Form '#
 (If Duplicated)]]="",Table2[[#This Row],[Form '#]],Table2[[#This Row],[Corrected Form '#
 (If Duplicated)]])</f>
        <v>7810-01582</v>
      </c>
      <c r="N13" s="1" t="s">
        <v>49</v>
      </c>
      <c r="O13" s="6" t="str">
        <f>IF(Table2[[#This Row],[POG CONFIRMATION RECEIPT OF ORDER
(DATE &amp; TIME)]]="","No Confirmation","Received Confirmation")</f>
        <v>Received Confirmation</v>
      </c>
      <c r="P13" s="6">
        <f ca="1">TODAY()-Table2[[#This Row],[DATE SENT TO POG]]</f>
        <v>373</v>
      </c>
      <c r="Q13" s="6" t="s">
        <v>5803</v>
      </c>
      <c r="R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" s="2" t="str">
        <f>_xlfn.XLOOKUP(Table2[[#This Row],[Adjusted Form '#]],'[2]IN PROGRESS'!$D:$D,'[2]IN PROGRESS'!$M:$M,"Not Found")</f>
        <v>Not Found</v>
      </c>
      <c r="U13" s="2" t="str">
        <f>_xlfn.XLOOKUP(Table2[[#This Row],[Adjusted Form '#]],[1]COMPLETED!$D:$D,[2]COMPLETED!$M:$M,"Not Found")</f>
        <v>Not Found</v>
      </c>
      <c r="V13" s="17" t="str">
        <f>_xlfn.XLOOKUP(Table2[[#This Row],[Adjusted Form '#]],[2]COMPLETED!$D:$D,[2]COMPLETED!$O:$O,"Not Found")</f>
        <v>Not Found</v>
      </c>
      <c r="W13" s="2" t="str">
        <f>_xlfn.XLOOKUP(Table2[[#This Row],[Adjusted Form '#]],[2]BILLED!$D:$D,[2]BILLED!$M:$M,"Not Found")</f>
        <v>1Z5063E0YW40090976</v>
      </c>
      <c r="X13" s="17" t="e">
        <f>_xlfn.XLOOKUP(Table2[[#This Row],[Adjusted Form '#]],[2]BILLED!$D:$D,[1]BILLED!$O:$O,"Not Found")</f>
        <v>#REF!</v>
      </c>
      <c r="Y13" s="17" t="e">
        <f>_xlfn.XLOOKUP(Table2[[#This Row],[Adjusted Form '#]],'[2]REJECTED ORDERS'!$D:$D,'[2]REJECTED ORDERS'!$E:$E)</f>
        <v>#N/A</v>
      </c>
      <c r="Z13" s="1"/>
      <c r="AA13" s="1"/>
      <c r="AB13" s="8"/>
      <c r="AC13" s="8"/>
      <c r="AD13" s="8"/>
      <c r="AE13" s="8"/>
      <c r="AF13" s="8"/>
      <c r="AG13" s="8"/>
      <c r="AH13" s="8"/>
      <c r="AI13" s="8"/>
      <c r="AJ13" s="8"/>
    </row>
    <row r="14" spans="1:36" ht="15" customHeight="1" x14ac:dyDescent="0.35">
      <c r="A14" s="4" t="s">
        <v>26</v>
      </c>
      <c r="B14" s="1" t="s">
        <v>1702</v>
      </c>
      <c r="C14" s="11">
        <v>44930</v>
      </c>
      <c r="D14" s="11" t="s">
        <v>3806</v>
      </c>
      <c r="E14" s="1" t="s">
        <v>21</v>
      </c>
      <c r="F14" s="1" t="s">
        <v>3807</v>
      </c>
      <c r="G14" s="6">
        <f>COUNTIF(F:F,Table2[[#This Row],[Form '#]])</f>
        <v>1</v>
      </c>
      <c r="H14" s="1" t="s">
        <v>2427</v>
      </c>
      <c r="I14" s="1"/>
      <c r="L14" s="1"/>
      <c r="M14" s="6" t="str">
        <f>IF(Table2[[#This Row],[Corrected Form '#
 (If Duplicated)]]="",Table2[[#This Row],[Form '#]],Table2[[#This Row],[Corrected Form '#
 (If Duplicated)]])</f>
        <v>7818-21175</v>
      </c>
      <c r="N14" s="1" t="s">
        <v>49</v>
      </c>
      <c r="O14" s="6" t="str">
        <f>IF(Table2[[#This Row],[POG CONFIRMATION RECEIPT OF ORDER
(DATE &amp; TIME)]]="","No Confirmation","Received Confirmation")</f>
        <v>Received Confirmation</v>
      </c>
      <c r="P14" s="6">
        <f ca="1">TODAY()-Table2[[#This Row],[DATE SENT TO POG]]</f>
        <v>373</v>
      </c>
      <c r="Q14" s="6" t="s">
        <v>5803</v>
      </c>
      <c r="R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" s="2" t="str">
        <f>_xlfn.XLOOKUP(Table2[[#This Row],[Adjusted Form '#]],'[2]IN PROGRESS'!$D:$D,'[2]IN PROGRESS'!$M:$M,"Not Found")</f>
        <v>Not Found</v>
      </c>
      <c r="U14" s="2" t="str">
        <f>_xlfn.XLOOKUP(Table2[[#This Row],[Adjusted Form '#]],[1]COMPLETED!$D:$D,[2]COMPLETED!$M:$M,"Not Found")</f>
        <v>Not Found</v>
      </c>
      <c r="V14" s="17" t="str">
        <f>_xlfn.XLOOKUP(Table2[[#This Row],[Adjusted Form '#]],[2]COMPLETED!$D:$D,[2]COMPLETED!$O:$O,"Not Found")</f>
        <v>Not Found</v>
      </c>
      <c r="W14" s="2" t="str">
        <f>_xlfn.XLOOKUP(Table2[[#This Row],[Adjusted Form '#]],[2]BILLED!$D:$D,[2]BILLED!$M:$M,"Not Found")</f>
        <v>1Z5063E0YW41598275</v>
      </c>
      <c r="X14" s="17" t="e">
        <f>_xlfn.XLOOKUP(Table2[[#This Row],[Adjusted Form '#]],[2]BILLED!$D:$D,[1]BILLED!$O:$O,"Not Found")</f>
        <v>#REF!</v>
      </c>
      <c r="Y14" s="17" t="e">
        <f>_xlfn.XLOOKUP(Table2[[#This Row],[Adjusted Form '#]],'[2]REJECTED ORDERS'!$D:$D,'[2]REJECTED ORDERS'!$E:$E)</f>
        <v>#N/A</v>
      </c>
      <c r="Z14" s="1"/>
      <c r="AA14" s="1"/>
      <c r="AB14" s="8"/>
      <c r="AC14" s="8"/>
      <c r="AD14" s="8"/>
      <c r="AE14" s="8"/>
      <c r="AF14" s="8"/>
      <c r="AG14" s="8"/>
      <c r="AH14" s="8"/>
      <c r="AI14" s="8"/>
      <c r="AJ14" s="8"/>
    </row>
    <row r="15" spans="1:36" ht="15" customHeight="1" x14ac:dyDescent="0.35">
      <c r="A15" s="4" t="s">
        <v>28</v>
      </c>
      <c r="B15" s="1" t="s">
        <v>1702</v>
      </c>
      <c r="C15" s="11">
        <v>44930</v>
      </c>
      <c r="D15" s="11" t="s">
        <v>3806</v>
      </c>
      <c r="E15" s="1" t="s">
        <v>21</v>
      </c>
      <c r="F15" s="1" t="s">
        <v>3808</v>
      </c>
      <c r="G15" s="6">
        <f>COUNTIF(F:F,Table2[[#This Row],[Form '#]])</f>
        <v>1</v>
      </c>
      <c r="H15" s="1" t="s">
        <v>1339</v>
      </c>
      <c r="I15" s="1"/>
      <c r="L15" s="1"/>
      <c r="M15" s="6" t="str">
        <f>IF(Table2[[#This Row],[Corrected Form '#
 (If Duplicated)]]="",Table2[[#This Row],[Form '#]],Table2[[#This Row],[Corrected Form '#
 (If Duplicated)]])</f>
        <v>7818-15718</v>
      </c>
      <c r="N15" s="1" t="s">
        <v>49</v>
      </c>
      <c r="O15" s="6" t="str">
        <f>IF(Table2[[#This Row],[POG CONFIRMATION RECEIPT OF ORDER
(DATE &amp; TIME)]]="","No Confirmation","Received Confirmation")</f>
        <v>Received Confirmation</v>
      </c>
      <c r="P15" s="6">
        <f ca="1">TODAY()-Table2[[#This Row],[DATE SENT TO POG]]</f>
        <v>373</v>
      </c>
      <c r="Q15" s="6" t="s">
        <v>5803</v>
      </c>
      <c r="R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" s="2" t="str">
        <f>_xlfn.XLOOKUP(Table2[[#This Row],[Adjusted Form '#]],'[2]IN PROGRESS'!$D:$D,'[2]IN PROGRESS'!$M:$M,"Not Found")</f>
        <v>Not Found</v>
      </c>
      <c r="U15" s="2" t="str">
        <f>_xlfn.XLOOKUP(Table2[[#This Row],[Adjusted Form '#]],[1]COMPLETED!$D:$D,[2]COMPLETED!$M:$M,"Not Found")</f>
        <v>Not Found</v>
      </c>
      <c r="V15" s="17" t="str">
        <f>_xlfn.XLOOKUP(Table2[[#This Row],[Adjusted Form '#]],[2]COMPLETED!$D:$D,[2]COMPLETED!$O:$O,"Not Found")</f>
        <v>Not Found</v>
      </c>
      <c r="W15" s="2" t="str">
        <f>_xlfn.XLOOKUP(Table2[[#This Row],[Adjusted Form '#]],[2]BILLED!$D:$D,[2]BILLED!$M:$M,"Not Found")</f>
        <v>1Z5063E0YW41382784</v>
      </c>
      <c r="X15" s="17" t="e">
        <f>_xlfn.XLOOKUP(Table2[[#This Row],[Adjusted Form '#]],[2]BILLED!$D:$D,[1]BILLED!$O:$O,"Not Found")</f>
        <v>#REF!</v>
      </c>
      <c r="Y15" s="17" t="str">
        <f>_xlfn.XLOOKUP(Table2[[#This Row],[Adjusted Form '#]],'[2]REJECTED ORDERS'!$D:$D,'[2]REJECTED ORDERS'!$E:$E)</f>
        <v>FORM NOT SIGNED</v>
      </c>
      <c r="Z15" s="1"/>
      <c r="AA15" s="1"/>
      <c r="AB15" s="8"/>
      <c r="AC15" s="8"/>
      <c r="AD15" s="8"/>
      <c r="AE15" s="8"/>
      <c r="AF15" s="8"/>
      <c r="AG15" s="8"/>
      <c r="AH15" s="8"/>
      <c r="AI15" s="8"/>
      <c r="AJ15" s="8"/>
    </row>
    <row r="16" spans="1:36" ht="15" customHeight="1" x14ac:dyDescent="0.35">
      <c r="A16" s="4" t="s">
        <v>29</v>
      </c>
      <c r="B16" s="1" t="s">
        <v>1702</v>
      </c>
      <c r="C16" s="11">
        <v>44930</v>
      </c>
      <c r="D16" s="11" t="s">
        <v>3806</v>
      </c>
      <c r="E16" s="1" t="s">
        <v>21</v>
      </c>
      <c r="F16" s="1" t="s">
        <v>3809</v>
      </c>
      <c r="G16" s="6">
        <f>COUNTIF(F:F,Table2[[#This Row],[Form '#]])</f>
        <v>1</v>
      </c>
      <c r="H16" s="1" t="s">
        <v>3810</v>
      </c>
      <c r="I16" s="1"/>
      <c r="L16" s="1"/>
      <c r="M16" s="6" t="str">
        <f>IF(Table2[[#This Row],[Corrected Form '#
 (If Duplicated)]]="",Table2[[#This Row],[Form '#]],Table2[[#This Row],[Corrected Form '#
 (If Duplicated)]])</f>
        <v>7818-20211</v>
      </c>
      <c r="N16" s="1" t="s">
        <v>49</v>
      </c>
      <c r="O16" s="6" t="str">
        <f>IF(Table2[[#This Row],[POG CONFIRMATION RECEIPT OF ORDER
(DATE &amp; TIME)]]="","No Confirmation","Received Confirmation")</f>
        <v>Received Confirmation</v>
      </c>
      <c r="P16" s="6">
        <f ca="1">TODAY()-Table2[[#This Row],[DATE SENT TO POG]]</f>
        <v>373</v>
      </c>
      <c r="Q16" s="6" t="s">
        <v>5803</v>
      </c>
      <c r="R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" s="2" t="str">
        <f>_xlfn.XLOOKUP(Table2[[#This Row],[Adjusted Form '#]],'[2]IN PROGRESS'!$D:$D,'[2]IN PROGRESS'!$M:$M,"Not Found")</f>
        <v>Not Found</v>
      </c>
      <c r="U16" s="2" t="str">
        <f>_xlfn.XLOOKUP(Table2[[#This Row],[Adjusted Form '#]],[1]COMPLETED!$D:$D,[2]COMPLETED!$M:$M,"Not Found")</f>
        <v>Not Found</v>
      </c>
      <c r="V16" s="17" t="str">
        <f>_xlfn.XLOOKUP(Table2[[#This Row],[Adjusted Form '#]],[2]COMPLETED!$D:$D,[2]COMPLETED!$O:$O,"Not Found")</f>
        <v>Not Found</v>
      </c>
      <c r="W16" s="2" t="str">
        <f>_xlfn.XLOOKUP(Table2[[#This Row],[Adjusted Form '#]],[2]BILLED!$D:$D,[2]BILLED!$M:$M,"Not Found")</f>
        <v>1Z5063E0YW40286283</v>
      </c>
      <c r="X16" s="17" t="e">
        <f>_xlfn.XLOOKUP(Table2[[#This Row],[Adjusted Form '#]],[2]BILLED!$D:$D,[1]BILLED!$O:$O,"Not Found")</f>
        <v>#REF!</v>
      </c>
      <c r="Y16" s="17" t="e">
        <f>_xlfn.XLOOKUP(Table2[[#This Row],[Adjusted Form '#]],'[2]REJECTED ORDERS'!$D:$D,'[2]REJECTED ORDERS'!$E:$E)</f>
        <v>#N/A</v>
      </c>
      <c r="Z16" s="1"/>
      <c r="AA16" s="1"/>
      <c r="AB16" s="8"/>
      <c r="AC16" s="8"/>
      <c r="AD16" s="8"/>
      <c r="AE16" s="8"/>
      <c r="AF16" s="8"/>
      <c r="AG16" s="8"/>
      <c r="AH16" s="8"/>
      <c r="AI16" s="8"/>
      <c r="AJ16" s="8"/>
    </row>
    <row r="17" spans="1:36" ht="15" customHeight="1" x14ac:dyDescent="0.35">
      <c r="A17" s="4" t="s">
        <v>30</v>
      </c>
      <c r="B17" s="1" t="s">
        <v>1702</v>
      </c>
      <c r="C17" s="11">
        <v>44930</v>
      </c>
      <c r="D17" s="11" t="s">
        <v>3806</v>
      </c>
      <c r="E17" s="1" t="s">
        <v>21</v>
      </c>
      <c r="F17" s="1" t="s">
        <v>3811</v>
      </c>
      <c r="G17" s="6">
        <f>COUNTIF(F:F,Table2[[#This Row],[Form '#]])</f>
        <v>1</v>
      </c>
      <c r="H17" s="1" t="s">
        <v>3812</v>
      </c>
      <c r="I17" s="1"/>
      <c r="L17" s="1"/>
      <c r="M17" s="6" t="str">
        <f>IF(Table2[[#This Row],[Corrected Form '#
 (If Duplicated)]]="",Table2[[#This Row],[Form '#]],Table2[[#This Row],[Corrected Form '#
 (If Duplicated)]])</f>
        <v>7818-25951</v>
      </c>
      <c r="N17" s="1" t="s">
        <v>49</v>
      </c>
      <c r="O17" s="6" t="str">
        <f>IF(Table2[[#This Row],[POG CONFIRMATION RECEIPT OF ORDER
(DATE &amp; TIME)]]="","No Confirmation","Received Confirmation")</f>
        <v>Received Confirmation</v>
      </c>
      <c r="P17" s="6">
        <f ca="1">TODAY()-Table2[[#This Row],[DATE SENT TO POG]]</f>
        <v>373</v>
      </c>
      <c r="Q17" s="6" t="s">
        <v>5803</v>
      </c>
      <c r="R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" s="2" t="str">
        <f>_xlfn.XLOOKUP(Table2[[#This Row],[Adjusted Form '#]],'[2]IN PROGRESS'!$D:$D,'[2]IN PROGRESS'!$M:$M,"Not Found")</f>
        <v>Not Found</v>
      </c>
      <c r="U17" s="2" t="str">
        <f>_xlfn.XLOOKUP(Table2[[#This Row],[Adjusted Form '#]],[1]COMPLETED!$D:$D,[2]COMPLETED!$M:$M,"Not Found")</f>
        <v>Not Found</v>
      </c>
      <c r="V17" s="17" t="str">
        <f>_xlfn.XLOOKUP(Table2[[#This Row],[Adjusted Form '#]],[2]COMPLETED!$D:$D,[2]COMPLETED!$O:$O,"Not Found")</f>
        <v>Not Found</v>
      </c>
      <c r="W17" s="2" t="str">
        <f>_xlfn.XLOOKUP(Table2[[#This Row],[Adjusted Form '#]],[2]BILLED!$D:$D,[2]BILLED!$M:$M,"Not Found")</f>
        <v>1Z5063E0YW41477897</v>
      </c>
      <c r="X17" s="17" t="e">
        <f>_xlfn.XLOOKUP(Table2[[#This Row],[Adjusted Form '#]],[2]BILLED!$D:$D,[1]BILLED!$O:$O,"Not Found")</f>
        <v>#REF!</v>
      </c>
      <c r="Y17" s="17" t="e">
        <f>_xlfn.XLOOKUP(Table2[[#This Row],[Adjusted Form '#]],'[2]REJECTED ORDERS'!$D:$D,'[2]REJECTED ORDERS'!$E:$E)</f>
        <v>#N/A</v>
      </c>
      <c r="Z17" s="1"/>
      <c r="AA17" s="1"/>
      <c r="AB17" s="8"/>
      <c r="AC17" s="8"/>
      <c r="AD17" s="8"/>
      <c r="AE17" s="8"/>
      <c r="AF17" s="8"/>
      <c r="AG17" s="8"/>
      <c r="AH17" s="8"/>
      <c r="AI17" s="8"/>
      <c r="AJ17" s="8"/>
    </row>
    <row r="18" spans="1:36" ht="15" customHeight="1" x14ac:dyDescent="0.35">
      <c r="A18" s="4" t="s">
        <v>31</v>
      </c>
      <c r="B18" s="1" t="s">
        <v>3449</v>
      </c>
      <c r="C18" s="11">
        <v>44931</v>
      </c>
      <c r="D18" s="11" t="s">
        <v>3813</v>
      </c>
      <c r="E18" s="1" t="s">
        <v>191</v>
      </c>
      <c r="F18" s="1" t="s">
        <v>3814</v>
      </c>
      <c r="G18" s="6">
        <f>COUNTIF(F:F,Table2[[#This Row],[Form '#]])</f>
        <v>1</v>
      </c>
      <c r="H18" s="1" t="s">
        <v>3815</v>
      </c>
      <c r="I18" s="1"/>
      <c r="L18" s="1"/>
      <c r="M18" s="6" t="str">
        <f>IF(Table2[[#This Row],[Corrected Form '#
 (If Duplicated)]]="",Table2[[#This Row],[Form '#]],Table2[[#This Row],[Corrected Form '#
 (If Duplicated)]])</f>
        <v>7812-02390</v>
      </c>
      <c r="N18" s="1" t="s">
        <v>49</v>
      </c>
      <c r="O18" s="6" t="str">
        <f>IF(Table2[[#This Row],[POG CONFIRMATION RECEIPT OF ORDER
(DATE &amp; TIME)]]="","No Confirmation","Received Confirmation")</f>
        <v>Received Confirmation</v>
      </c>
      <c r="P18" s="6">
        <f ca="1">TODAY()-Table2[[#This Row],[DATE SENT TO POG]]</f>
        <v>372</v>
      </c>
      <c r="Q18" s="6" t="s">
        <v>5802</v>
      </c>
      <c r="R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8" s="2" t="str">
        <f>_xlfn.XLOOKUP(Table2[[#This Row],[Adjusted Form '#]],'[2]IN PROGRESS'!$D:$D,'[2]IN PROGRESS'!$M:$M,"Not Found")</f>
        <v>Not Found</v>
      </c>
      <c r="U18" s="2" t="str">
        <f>_xlfn.XLOOKUP(Table2[[#This Row],[Adjusted Form '#]],[1]COMPLETED!$D:$D,[2]COMPLETED!$M:$M,"Not Found")</f>
        <v>Not Found</v>
      </c>
      <c r="V18" s="17" t="str">
        <f>_xlfn.XLOOKUP(Table2[[#This Row],[Adjusted Form '#]],[2]COMPLETED!$D:$D,[2]COMPLETED!$O:$O,"Not Found")</f>
        <v>Not Found</v>
      </c>
      <c r="W18" s="2" t="str">
        <f>_xlfn.XLOOKUP(Table2[[#This Row],[Adjusted Form '#]],[2]BILLED!$D:$D,[2]BILLED!$M:$M,"Not Found")</f>
        <v>Not Found</v>
      </c>
      <c r="X18" s="17" t="str">
        <f>_xlfn.XLOOKUP(Table2[[#This Row],[Adjusted Form '#]],[2]BILLED!$D:$D,[1]BILLED!$O:$O,"Not Found")</f>
        <v>Not Found</v>
      </c>
      <c r="Y18" s="17" t="e">
        <f>_xlfn.XLOOKUP(Table2[[#This Row],[Adjusted Form '#]],'[2]REJECTED ORDERS'!$D:$D,'[2]REJECTED ORDERS'!$E:$E)</f>
        <v>#N/A</v>
      </c>
      <c r="Z18" s="1"/>
      <c r="AA18" s="1"/>
      <c r="AB18" s="8"/>
      <c r="AC18" s="8"/>
      <c r="AD18" s="8"/>
      <c r="AE18" s="8"/>
      <c r="AF18" s="8"/>
      <c r="AG18" s="8"/>
      <c r="AH18" s="8"/>
      <c r="AI18" s="8"/>
      <c r="AJ18" s="8"/>
    </row>
    <row r="19" spans="1:36" ht="15" customHeight="1" x14ac:dyDescent="0.35">
      <c r="A19" s="4" t="s">
        <v>32</v>
      </c>
      <c r="B19" s="1" t="s">
        <v>3674</v>
      </c>
      <c r="C19" s="11">
        <v>44931</v>
      </c>
      <c r="D19" s="11" t="s">
        <v>3816</v>
      </c>
      <c r="E19" s="1" t="s">
        <v>191</v>
      </c>
      <c r="F19" s="1" t="s">
        <v>3817</v>
      </c>
      <c r="G19" s="6">
        <f>COUNTIF(F:F,Table2[[#This Row],[Form '#]])</f>
        <v>1</v>
      </c>
      <c r="H19" s="1" t="s">
        <v>3818</v>
      </c>
      <c r="I19" s="1"/>
      <c r="L19" s="1"/>
      <c r="M19" s="6" t="str">
        <f>IF(Table2[[#This Row],[Corrected Form '#
 (If Duplicated)]]="",Table2[[#This Row],[Form '#]],Table2[[#This Row],[Corrected Form '#
 (If Duplicated)]])</f>
        <v>7812-03462</v>
      </c>
      <c r="N19" s="1" t="s">
        <v>49</v>
      </c>
      <c r="O19" s="6" t="str">
        <f>IF(Table2[[#This Row],[POG CONFIRMATION RECEIPT OF ORDER
(DATE &amp; TIME)]]="","No Confirmation","Received Confirmation")</f>
        <v>Received Confirmation</v>
      </c>
      <c r="P19" s="6">
        <f ca="1">TODAY()-Table2[[#This Row],[DATE SENT TO POG]]</f>
        <v>372</v>
      </c>
      <c r="Q19" s="6" t="s">
        <v>5803</v>
      </c>
      <c r="R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" s="2" t="str">
        <f>_xlfn.XLOOKUP(Table2[[#This Row],[Adjusted Form '#]],'[2]IN PROGRESS'!$D:$D,'[2]IN PROGRESS'!$M:$M,"Not Found")</f>
        <v>Not Found</v>
      </c>
      <c r="U19" s="2" t="str">
        <f>_xlfn.XLOOKUP(Table2[[#This Row],[Adjusted Form '#]],[1]COMPLETED!$D:$D,[2]COMPLETED!$M:$M,"Not Found")</f>
        <v>Not Found</v>
      </c>
      <c r="V19" s="17" t="str">
        <f>_xlfn.XLOOKUP(Table2[[#This Row],[Adjusted Form '#]],[2]COMPLETED!$D:$D,[2]COMPLETED!$O:$O,"Not Found")</f>
        <v>Not Found</v>
      </c>
      <c r="W19" s="2" t="str">
        <f>_xlfn.XLOOKUP(Table2[[#This Row],[Adjusted Form '#]],[2]BILLED!$D:$D,[2]BILLED!$M:$M,"Not Found")</f>
        <v>1Z5063E0YW40650389</v>
      </c>
      <c r="X19" s="17" t="e">
        <f>_xlfn.XLOOKUP(Table2[[#This Row],[Adjusted Form '#]],[2]BILLED!$D:$D,[1]BILLED!$O:$O,"Not Found")</f>
        <v>#REF!</v>
      </c>
      <c r="Y19" s="17" t="e">
        <f>_xlfn.XLOOKUP(Table2[[#This Row],[Adjusted Form '#]],'[2]REJECTED ORDERS'!$D:$D,'[2]REJECTED ORDERS'!$E:$E)</f>
        <v>#N/A</v>
      </c>
      <c r="Z19" s="1"/>
      <c r="AA19" s="1"/>
      <c r="AB19" s="8"/>
      <c r="AC19" s="8"/>
      <c r="AD19" s="8"/>
      <c r="AE19" s="8"/>
      <c r="AF19" s="8"/>
      <c r="AG19" s="8"/>
      <c r="AH19" s="8"/>
      <c r="AI19" s="8"/>
      <c r="AJ19" s="8"/>
    </row>
    <row r="20" spans="1:36" ht="15" customHeight="1" x14ac:dyDescent="0.35">
      <c r="A20" s="4" t="s">
        <v>33</v>
      </c>
      <c r="B20" s="1" t="s">
        <v>3674</v>
      </c>
      <c r="C20" s="11">
        <v>44931</v>
      </c>
      <c r="D20" s="11" t="s">
        <v>3816</v>
      </c>
      <c r="E20" s="1" t="s">
        <v>191</v>
      </c>
      <c r="F20" s="1" t="s">
        <v>3819</v>
      </c>
      <c r="G20" s="6">
        <f>COUNTIF(F:F,Table2[[#This Row],[Form '#]])</f>
        <v>1</v>
      </c>
      <c r="H20" s="1" t="s">
        <v>2219</v>
      </c>
      <c r="I20" s="1"/>
      <c r="L20" s="1"/>
      <c r="M20" s="6" t="str">
        <f>IF(Table2[[#This Row],[Corrected Form '#
 (If Duplicated)]]="",Table2[[#This Row],[Form '#]],Table2[[#This Row],[Corrected Form '#
 (If Duplicated)]])</f>
        <v>7812-03438</v>
      </c>
      <c r="N20" s="1" t="s">
        <v>49</v>
      </c>
      <c r="O20" s="6" t="str">
        <f>IF(Table2[[#This Row],[POG CONFIRMATION RECEIPT OF ORDER
(DATE &amp; TIME)]]="","No Confirmation","Received Confirmation")</f>
        <v>Received Confirmation</v>
      </c>
      <c r="P20" s="6">
        <f ca="1">TODAY()-Table2[[#This Row],[DATE SENT TO POG]]</f>
        <v>372</v>
      </c>
      <c r="Q20" s="6" t="s">
        <v>5803</v>
      </c>
      <c r="R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" s="2" t="str">
        <f>_xlfn.XLOOKUP(Table2[[#This Row],[Adjusted Form '#]],'[2]IN PROGRESS'!$D:$D,'[2]IN PROGRESS'!$M:$M,"Not Found")</f>
        <v>Not Found</v>
      </c>
      <c r="U20" s="2" t="str">
        <f>_xlfn.XLOOKUP(Table2[[#This Row],[Adjusted Form '#]],[1]COMPLETED!$D:$D,[2]COMPLETED!$M:$M,"Not Found")</f>
        <v>Not Found</v>
      </c>
      <c r="V20" s="17" t="str">
        <f>_xlfn.XLOOKUP(Table2[[#This Row],[Adjusted Form '#]],[2]COMPLETED!$D:$D,[2]COMPLETED!$O:$O,"Not Found")</f>
        <v>Not Found</v>
      </c>
      <c r="W20" s="2" t="str">
        <f>_xlfn.XLOOKUP(Table2[[#This Row],[Adjusted Form '#]],[2]BILLED!$D:$D,[2]BILLED!$M:$M,"Not Found")</f>
        <v>1Z5063E0YW41473220</v>
      </c>
      <c r="X20" s="17" t="e">
        <f>_xlfn.XLOOKUP(Table2[[#This Row],[Adjusted Form '#]],[2]BILLED!$D:$D,[1]BILLED!$O:$O,"Not Found")</f>
        <v>#REF!</v>
      </c>
      <c r="Y20" s="17" t="e">
        <f>_xlfn.XLOOKUP(Table2[[#This Row],[Adjusted Form '#]],'[2]REJECTED ORDERS'!$D:$D,'[2]REJECTED ORDERS'!$E:$E)</f>
        <v>#N/A</v>
      </c>
      <c r="Z20" s="1"/>
      <c r="AA20" s="1"/>
      <c r="AB20" s="8"/>
      <c r="AC20" s="8"/>
      <c r="AD20" s="8"/>
      <c r="AE20" s="8"/>
      <c r="AF20" s="8"/>
      <c r="AG20" s="8"/>
      <c r="AH20" s="8"/>
      <c r="AI20" s="8"/>
      <c r="AJ20" s="8"/>
    </row>
    <row r="21" spans="1:36" ht="15" customHeight="1" x14ac:dyDescent="0.35">
      <c r="A21" s="4" t="s">
        <v>34</v>
      </c>
      <c r="B21" s="1" t="s">
        <v>2965</v>
      </c>
      <c r="C21" s="11">
        <v>44931</v>
      </c>
      <c r="D21" s="11" t="s">
        <v>3816</v>
      </c>
      <c r="E21" s="1" t="s">
        <v>14</v>
      </c>
      <c r="F21" s="1" t="s">
        <v>3820</v>
      </c>
      <c r="G21" s="6">
        <f>COUNTIF(F:F,Table2[[#This Row],[Form '#]])</f>
        <v>1</v>
      </c>
      <c r="H21" s="1" t="s">
        <v>3821</v>
      </c>
      <c r="I21" s="1"/>
      <c r="L21" s="1"/>
      <c r="M21" s="6" t="str">
        <f>IF(Table2[[#This Row],[Corrected Form '#
 (If Duplicated)]]="",Table2[[#This Row],[Form '#]],Table2[[#This Row],[Corrected Form '#
 (If Duplicated)]])</f>
        <v>7810-01706</v>
      </c>
      <c r="N21" s="1" t="s">
        <v>49</v>
      </c>
      <c r="O21" s="6" t="str">
        <f>IF(Table2[[#This Row],[POG CONFIRMATION RECEIPT OF ORDER
(DATE &amp; TIME)]]="","No Confirmation","Received Confirmation")</f>
        <v>Received Confirmation</v>
      </c>
      <c r="P21" s="6">
        <f ca="1">TODAY()-Table2[[#This Row],[DATE SENT TO POG]]</f>
        <v>372</v>
      </c>
      <c r="Q21" s="6" t="s">
        <v>5803</v>
      </c>
      <c r="R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" s="2" t="str">
        <f>_xlfn.XLOOKUP(Table2[[#This Row],[Adjusted Form '#]],'[2]IN PROGRESS'!$D:$D,'[2]IN PROGRESS'!$M:$M,"Not Found")</f>
        <v>Not Found</v>
      </c>
      <c r="U21" s="2" t="str">
        <f>_xlfn.XLOOKUP(Table2[[#This Row],[Adjusted Form '#]],[1]COMPLETED!$D:$D,[2]COMPLETED!$M:$M,"Not Found")</f>
        <v>Not Found</v>
      </c>
      <c r="V21" s="17" t="str">
        <f>_xlfn.XLOOKUP(Table2[[#This Row],[Adjusted Form '#]],[2]COMPLETED!$D:$D,[2]COMPLETED!$O:$O,"Not Found")</f>
        <v>Not Found</v>
      </c>
      <c r="W21" s="2" t="str">
        <f>_xlfn.XLOOKUP(Table2[[#This Row],[Adjusted Form '#]],[2]BILLED!$D:$D,[2]BILLED!$M:$M,"Not Found")</f>
        <v>1Z5063E0YW40488636</v>
      </c>
      <c r="X21" s="17" t="e">
        <f>_xlfn.XLOOKUP(Table2[[#This Row],[Adjusted Form '#]],[2]BILLED!$D:$D,[1]BILLED!$O:$O,"Not Found")</f>
        <v>#REF!</v>
      </c>
      <c r="Y21" s="17" t="e">
        <f>_xlfn.XLOOKUP(Table2[[#This Row],[Adjusted Form '#]],'[2]REJECTED ORDERS'!$D:$D,'[2]REJECTED ORDERS'!$E:$E)</f>
        <v>#N/A</v>
      </c>
      <c r="Z21" s="1"/>
      <c r="AA21" s="1"/>
      <c r="AB21" s="8"/>
      <c r="AC21" s="8"/>
      <c r="AD21" s="8"/>
      <c r="AE21" s="8"/>
      <c r="AF21" s="8"/>
      <c r="AG21" s="8"/>
      <c r="AH21" s="8"/>
      <c r="AI21" s="8"/>
      <c r="AJ21" s="8"/>
    </row>
    <row r="22" spans="1:36" ht="15" customHeight="1" x14ac:dyDescent="0.35">
      <c r="A22" s="4" t="s">
        <v>35</v>
      </c>
      <c r="B22" s="1" t="s">
        <v>2965</v>
      </c>
      <c r="C22" s="11">
        <v>44931</v>
      </c>
      <c r="D22" s="11" t="s">
        <v>3816</v>
      </c>
      <c r="E22" s="1" t="s">
        <v>14</v>
      </c>
      <c r="F22" s="1" t="s">
        <v>3822</v>
      </c>
      <c r="G22" s="6">
        <f>COUNTIF(F:F,Table2[[#This Row],[Form '#]])</f>
        <v>1</v>
      </c>
      <c r="H22" s="1" t="s">
        <v>795</v>
      </c>
      <c r="I22" s="1"/>
      <c r="L22" s="1"/>
      <c r="M22" s="6" t="str">
        <f>IF(Table2[[#This Row],[Corrected Form '#
 (If Duplicated)]]="",Table2[[#This Row],[Form '#]],Table2[[#This Row],[Corrected Form '#
 (If Duplicated)]])</f>
        <v>7810-01708</v>
      </c>
      <c r="N22" s="1" t="s">
        <v>49</v>
      </c>
      <c r="O22" s="6" t="str">
        <f>IF(Table2[[#This Row],[POG CONFIRMATION RECEIPT OF ORDER
(DATE &amp; TIME)]]="","No Confirmation","Received Confirmation")</f>
        <v>Received Confirmation</v>
      </c>
      <c r="P22" s="6">
        <f ca="1">TODAY()-Table2[[#This Row],[DATE SENT TO POG]]</f>
        <v>372</v>
      </c>
      <c r="Q22" s="6" t="s">
        <v>5803</v>
      </c>
      <c r="R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" s="2" t="str">
        <f>_xlfn.XLOOKUP(Table2[[#This Row],[Adjusted Form '#]],'[2]IN PROGRESS'!$D:$D,'[2]IN PROGRESS'!$M:$M,"Not Found")</f>
        <v>Not Found</v>
      </c>
      <c r="U22" s="2" t="str">
        <f>_xlfn.XLOOKUP(Table2[[#This Row],[Adjusted Form '#]],[1]COMPLETED!$D:$D,[2]COMPLETED!$M:$M,"Not Found")</f>
        <v>Not Found</v>
      </c>
      <c r="V22" s="17" t="str">
        <f>_xlfn.XLOOKUP(Table2[[#This Row],[Adjusted Form '#]],[2]COMPLETED!$D:$D,[2]COMPLETED!$O:$O,"Not Found")</f>
        <v>Not Found</v>
      </c>
      <c r="W22" s="2" t="str">
        <f>_xlfn.XLOOKUP(Table2[[#This Row],[Adjusted Form '#]],[2]BILLED!$D:$D,[2]BILLED!$M:$M,"Not Found")</f>
        <v>1Z5063E0YW42257579</v>
      </c>
      <c r="X22" s="17" t="e">
        <f>_xlfn.XLOOKUP(Table2[[#This Row],[Adjusted Form '#]],[2]BILLED!$D:$D,[1]BILLED!$O:$O,"Not Found")</f>
        <v>#REF!</v>
      </c>
      <c r="Y22" s="17" t="e">
        <f>_xlfn.XLOOKUP(Table2[[#This Row],[Adjusted Form '#]],'[2]REJECTED ORDERS'!$D:$D,'[2]REJECTED ORDERS'!$E:$E)</f>
        <v>#N/A</v>
      </c>
      <c r="Z22" s="1"/>
      <c r="AA22" s="1"/>
      <c r="AB22" s="8"/>
      <c r="AC22" s="8"/>
      <c r="AD22" s="8"/>
      <c r="AE22" s="8"/>
      <c r="AF22" s="8"/>
      <c r="AG22" s="8"/>
      <c r="AH22" s="8"/>
      <c r="AI22" s="8"/>
      <c r="AJ22" s="8"/>
    </row>
    <row r="23" spans="1:36" ht="15" customHeight="1" x14ac:dyDescent="0.35">
      <c r="A23" s="4" t="s">
        <v>37</v>
      </c>
      <c r="B23" s="1" t="s">
        <v>731</v>
      </c>
      <c r="C23" s="11">
        <v>44931</v>
      </c>
      <c r="D23" s="11" t="s">
        <v>3823</v>
      </c>
      <c r="E23" s="1" t="s">
        <v>73</v>
      </c>
      <c r="F23" s="1" t="s">
        <v>3824</v>
      </c>
      <c r="G23" s="6">
        <f>COUNTIF(F:F,Table2[[#This Row],[Form '#]])</f>
        <v>1</v>
      </c>
      <c r="H23" s="1" t="s">
        <v>3825</v>
      </c>
      <c r="I23" s="1"/>
      <c r="L23" s="1"/>
      <c r="M23" s="6" t="str">
        <f>IF(Table2[[#This Row],[Corrected Form '#
 (If Duplicated)]]="",Table2[[#This Row],[Form '#]],Table2[[#This Row],[Corrected Form '#
 (If Duplicated)]])</f>
        <v>7823-02217</v>
      </c>
      <c r="N23" s="1" t="s">
        <v>49</v>
      </c>
      <c r="O23" s="6" t="str">
        <f>IF(Table2[[#This Row],[POG CONFIRMATION RECEIPT OF ORDER
(DATE &amp; TIME)]]="","No Confirmation","Received Confirmation")</f>
        <v>Received Confirmation</v>
      </c>
      <c r="P23" s="6">
        <f ca="1">TODAY()-Table2[[#This Row],[DATE SENT TO POG]]</f>
        <v>372</v>
      </c>
      <c r="Q23" s="6" t="s">
        <v>5803</v>
      </c>
      <c r="R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" s="2" t="str">
        <f>_xlfn.XLOOKUP(Table2[[#This Row],[Adjusted Form '#]],'[2]IN PROGRESS'!$D:$D,'[2]IN PROGRESS'!$M:$M,"Not Found")</f>
        <v>Not Found</v>
      </c>
      <c r="U23" s="2" t="str">
        <f>_xlfn.XLOOKUP(Table2[[#This Row],[Adjusted Form '#]],[1]COMPLETED!$D:$D,[2]COMPLETED!$M:$M,"Not Found")</f>
        <v>Not Found</v>
      </c>
      <c r="V23" s="17" t="str">
        <f>_xlfn.XLOOKUP(Table2[[#This Row],[Adjusted Form '#]],[2]COMPLETED!$D:$D,[2]COMPLETED!$O:$O,"Not Found")</f>
        <v>Not Found</v>
      </c>
      <c r="W23" s="2" t="str">
        <f>_xlfn.XLOOKUP(Table2[[#This Row],[Adjusted Form '#]],[2]BILLED!$D:$D,[2]BILLED!$M:$M,"Not Found")</f>
        <v>1Z5063E0YW40591247</v>
      </c>
      <c r="X23" s="17" t="e">
        <f>_xlfn.XLOOKUP(Table2[[#This Row],[Adjusted Form '#]],[2]BILLED!$D:$D,[1]BILLED!$O:$O,"Not Found")</f>
        <v>#REF!</v>
      </c>
      <c r="Y23" s="17" t="e">
        <f>_xlfn.XLOOKUP(Table2[[#This Row],[Adjusted Form '#]],'[2]REJECTED ORDERS'!$D:$D,'[2]REJECTED ORDERS'!$E:$E)</f>
        <v>#N/A</v>
      </c>
      <c r="Z23" s="1"/>
      <c r="AA23" s="1"/>
      <c r="AB23" s="8"/>
      <c r="AC23" s="8"/>
      <c r="AD23" s="8"/>
      <c r="AE23" s="8"/>
      <c r="AF23" s="8"/>
      <c r="AG23" s="8"/>
      <c r="AH23" s="8"/>
      <c r="AI23" s="8"/>
      <c r="AJ23" s="8"/>
    </row>
    <row r="24" spans="1:36" ht="15" customHeight="1" x14ac:dyDescent="0.35">
      <c r="A24" s="4" t="s">
        <v>38</v>
      </c>
      <c r="B24" s="1" t="s">
        <v>1778</v>
      </c>
      <c r="C24" s="11">
        <v>44931</v>
      </c>
      <c r="D24" s="11" t="s">
        <v>3823</v>
      </c>
      <c r="E24" s="1" t="s">
        <v>21</v>
      </c>
      <c r="F24" s="1" t="s">
        <v>3826</v>
      </c>
      <c r="G24" s="6">
        <f>COUNTIF(F:F,Table2[[#This Row],[Form '#]])</f>
        <v>1</v>
      </c>
      <c r="H24" s="1" t="s">
        <v>3827</v>
      </c>
      <c r="I24" s="1"/>
      <c r="L24" s="1"/>
      <c r="M24" s="6" t="str">
        <f>IF(Table2[[#This Row],[Corrected Form '#
 (If Duplicated)]]="",Table2[[#This Row],[Form '#]],Table2[[#This Row],[Corrected Form '#
 (If Duplicated)]])</f>
        <v>7818-14118</v>
      </c>
      <c r="N24" s="1" t="s">
        <v>49</v>
      </c>
      <c r="O24" s="6" t="str">
        <f>IF(Table2[[#This Row],[POG CONFIRMATION RECEIPT OF ORDER
(DATE &amp; TIME)]]="","No Confirmation","Received Confirmation")</f>
        <v>Received Confirmation</v>
      </c>
      <c r="P24" s="6">
        <f ca="1">TODAY()-Table2[[#This Row],[DATE SENT TO POG]]</f>
        <v>372</v>
      </c>
      <c r="Q24" s="6" t="s">
        <v>5803</v>
      </c>
      <c r="R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" s="2" t="str">
        <f>_xlfn.XLOOKUP(Table2[[#This Row],[Adjusted Form '#]],'[2]IN PROGRESS'!$D:$D,'[2]IN PROGRESS'!$M:$M,"Not Found")</f>
        <v>Not Found</v>
      </c>
      <c r="U24" s="2" t="str">
        <f>_xlfn.XLOOKUP(Table2[[#This Row],[Adjusted Form '#]],[1]COMPLETED!$D:$D,[2]COMPLETED!$M:$M,"Not Found")</f>
        <v>Not Found</v>
      </c>
      <c r="V24" s="17" t="str">
        <f>_xlfn.XLOOKUP(Table2[[#This Row],[Adjusted Form '#]],[2]COMPLETED!$D:$D,[2]COMPLETED!$O:$O,"Not Found")</f>
        <v>Not Found</v>
      </c>
      <c r="W24" s="2" t="str">
        <f>_xlfn.XLOOKUP(Table2[[#This Row],[Adjusted Form '#]],[2]BILLED!$D:$D,[2]BILLED!$M:$M,"Not Found")</f>
        <v>1Z5063E0YW40578940</v>
      </c>
      <c r="X24" s="17" t="e">
        <f>_xlfn.XLOOKUP(Table2[[#This Row],[Adjusted Form '#]],[2]BILLED!$D:$D,[1]BILLED!$O:$O,"Not Found")</f>
        <v>#REF!</v>
      </c>
      <c r="Y24" s="17" t="e">
        <f>_xlfn.XLOOKUP(Table2[[#This Row],[Adjusted Form '#]],'[2]REJECTED ORDERS'!$D:$D,'[2]REJECTED ORDERS'!$E:$E)</f>
        <v>#N/A</v>
      </c>
      <c r="Z24" s="1"/>
      <c r="AA24" s="1"/>
      <c r="AB24" s="8"/>
      <c r="AC24" s="8"/>
      <c r="AD24" s="8"/>
      <c r="AE24" s="8"/>
      <c r="AF24" s="8"/>
      <c r="AG24" s="8"/>
      <c r="AH24" s="8"/>
      <c r="AI24" s="8"/>
      <c r="AJ24" s="8"/>
    </row>
    <row r="25" spans="1:36" ht="15" customHeight="1" x14ac:dyDescent="0.35">
      <c r="A25" s="4" t="s">
        <v>39</v>
      </c>
      <c r="B25" s="1" t="s">
        <v>1778</v>
      </c>
      <c r="C25" s="11">
        <v>44931</v>
      </c>
      <c r="D25" s="11" t="s">
        <v>3823</v>
      </c>
      <c r="E25" s="1" t="s">
        <v>21</v>
      </c>
      <c r="F25" s="1" t="s">
        <v>3828</v>
      </c>
      <c r="G25" s="6">
        <f>COUNTIF(F:F,Table2[[#This Row],[Form '#]])</f>
        <v>1</v>
      </c>
      <c r="H25" s="1" t="s">
        <v>3829</v>
      </c>
      <c r="I25" s="1"/>
      <c r="L25" s="1"/>
      <c r="M25" s="6" t="str">
        <f>IF(Table2[[#This Row],[Corrected Form '#
 (If Duplicated)]]="",Table2[[#This Row],[Form '#]],Table2[[#This Row],[Corrected Form '#
 (If Duplicated)]])</f>
        <v>7818-25761</v>
      </c>
      <c r="N25" s="1" t="s">
        <v>49</v>
      </c>
      <c r="O25" s="6" t="str">
        <f>IF(Table2[[#This Row],[POG CONFIRMATION RECEIPT OF ORDER
(DATE &amp; TIME)]]="","No Confirmation","Received Confirmation")</f>
        <v>Received Confirmation</v>
      </c>
      <c r="P25" s="6">
        <f ca="1">TODAY()-Table2[[#This Row],[DATE SENT TO POG]]</f>
        <v>372</v>
      </c>
      <c r="Q25" s="6" t="s">
        <v>5803</v>
      </c>
      <c r="R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" s="2" t="str">
        <f>_xlfn.XLOOKUP(Table2[[#This Row],[Adjusted Form '#]],'[2]IN PROGRESS'!$D:$D,'[2]IN PROGRESS'!$M:$M,"Not Found")</f>
        <v>Not Found</v>
      </c>
      <c r="U25" s="2" t="str">
        <f>_xlfn.XLOOKUP(Table2[[#This Row],[Adjusted Form '#]],[1]COMPLETED!$D:$D,[2]COMPLETED!$M:$M,"Not Found")</f>
        <v>Not Found</v>
      </c>
      <c r="V25" s="17" t="str">
        <f>_xlfn.XLOOKUP(Table2[[#This Row],[Adjusted Form '#]],[2]COMPLETED!$D:$D,[2]COMPLETED!$O:$O,"Not Found")</f>
        <v>Not Found</v>
      </c>
      <c r="W25" s="2" t="str">
        <f>_xlfn.XLOOKUP(Table2[[#This Row],[Adjusted Form '#]],[2]BILLED!$D:$D,[2]BILLED!$M:$M,"Not Found")</f>
        <v>9402 1112 0620 7978 5112 68</v>
      </c>
      <c r="X25" s="17" t="e">
        <f>_xlfn.XLOOKUP(Table2[[#This Row],[Adjusted Form '#]],[2]BILLED!$D:$D,[1]BILLED!$O:$O,"Not Found")</f>
        <v>#REF!</v>
      </c>
      <c r="Y25" s="17" t="str">
        <f>_xlfn.XLOOKUP(Table2[[#This Row],[Adjusted Form '#]],'[2]REJECTED ORDERS'!$D:$D,'[2]REJECTED ORDERS'!$E:$E)</f>
        <v>FORM NOT SIGNED</v>
      </c>
      <c r="Z25" s="1"/>
      <c r="AA25" s="1"/>
      <c r="AB25" s="8"/>
      <c r="AC25" s="8"/>
      <c r="AD25" s="8"/>
      <c r="AE25" s="8"/>
      <c r="AF25" s="8"/>
      <c r="AG25" s="8"/>
      <c r="AH25" s="8"/>
      <c r="AI25" s="8"/>
      <c r="AJ25" s="8"/>
    </row>
    <row r="26" spans="1:36" ht="15" customHeight="1" x14ac:dyDescent="0.35">
      <c r="A26" s="4" t="s">
        <v>40</v>
      </c>
      <c r="B26" s="1" t="s">
        <v>1778</v>
      </c>
      <c r="C26" s="11">
        <v>44931</v>
      </c>
      <c r="D26" s="11" t="s">
        <v>3823</v>
      </c>
      <c r="E26" s="1" t="s">
        <v>21</v>
      </c>
      <c r="F26" s="1" t="s">
        <v>3830</v>
      </c>
      <c r="G26" s="6">
        <f>COUNTIF(F:F,Table2[[#This Row],[Form '#]])</f>
        <v>1</v>
      </c>
      <c r="H26" s="1" t="s">
        <v>1075</v>
      </c>
      <c r="I26" s="1"/>
      <c r="L26" s="1"/>
      <c r="M26" s="6" t="str">
        <f>IF(Table2[[#This Row],[Corrected Form '#
 (If Duplicated)]]="",Table2[[#This Row],[Form '#]],Table2[[#This Row],[Corrected Form '#
 (If Duplicated)]])</f>
        <v>7818-10099</v>
      </c>
      <c r="N26" s="1" t="s">
        <v>49</v>
      </c>
      <c r="O26" s="6" t="str">
        <f>IF(Table2[[#This Row],[POG CONFIRMATION RECEIPT OF ORDER
(DATE &amp; TIME)]]="","No Confirmation","Received Confirmation")</f>
        <v>Received Confirmation</v>
      </c>
      <c r="P26" s="6">
        <f ca="1">TODAY()-Table2[[#This Row],[DATE SENT TO POG]]</f>
        <v>372</v>
      </c>
      <c r="Q26" s="6" t="s">
        <v>5803</v>
      </c>
      <c r="R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" s="2" t="str">
        <f>_xlfn.XLOOKUP(Table2[[#This Row],[Adjusted Form '#]],'[2]IN PROGRESS'!$D:$D,'[2]IN PROGRESS'!$M:$M,"Not Found")</f>
        <v>Not Found</v>
      </c>
      <c r="U26" s="2" t="str">
        <f>_xlfn.XLOOKUP(Table2[[#This Row],[Adjusted Form '#]],[1]COMPLETED!$D:$D,[2]COMPLETED!$M:$M,"Not Found")</f>
        <v>Not Found</v>
      </c>
      <c r="V26" s="17" t="str">
        <f>_xlfn.XLOOKUP(Table2[[#This Row],[Adjusted Form '#]],[2]COMPLETED!$D:$D,[2]COMPLETED!$O:$O,"Not Found")</f>
        <v>Not Found</v>
      </c>
      <c r="W26" s="2" t="str">
        <f>_xlfn.XLOOKUP(Table2[[#This Row],[Adjusted Form '#]],[2]BILLED!$D:$D,[2]BILLED!$M:$M,"Not Found")</f>
        <v>1Z5063E0YW42701294</v>
      </c>
      <c r="X26" s="17" t="e">
        <f>_xlfn.XLOOKUP(Table2[[#This Row],[Adjusted Form '#]],[2]BILLED!$D:$D,[1]BILLED!$O:$O,"Not Found")</f>
        <v>#REF!</v>
      </c>
      <c r="Y26" s="17" t="e">
        <f>_xlfn.XLOOKUP(Table2[[#This Row],[Adjusted Form '#]],'[2]REJECTED ORDERS'!$D:$D,'[2]REJECTED ORDERS'!$E:$E)</f>
        <v>#N/A</v>
      </c>
      <c r="Z26" s="1"/>
      <c r="AA26" s="1"/>
      <c r="AB26" s="8"/>
      <c r="AC26" s="8"/>
      <c r="AD26" s="8"/>
      <c r="AE26" s="8"/>
      <c r="AF26" s="8"/>
      <c r="AG26" s="8"/>
      <c r="AH26" s="8"/>
      <c r="AI26" s="8"/>
      <c r="AJ26" s="8"/>
    </row>
    <row r="27" spans="1:36" ht="15" customHeight="1" x14ac:dyDescent="0.35">
      <c r="A27" s="4" t="s">
        <v>41</v>
      </c>
      <c r="B27" s="1" t="s">
        <v>1778</v>
      </c>
      <c r="C27" s="11">
        <v>44931</v>
      </c>
      <c r="D27" s="11" t="s">
        <v>3823</v>
      </c>
      <c r="E27" s="1" t="s">
        <v>21</v>
      </c>
      <c r="F27" s="1" t="s">
        <v>3831</v>
      </c>
      <c r="G27" s="6">
        <f>COUNTIF(F:F,Table2[[#This Row],[Form '#]])</f>
        <v>1</v>
      </c>
      <c r="H27" s="1" t="s">
        <v>3832</v>
      </c>
      <c r="I27" s="1"/>
      <c r="L27" s="1"/>
      <c r="M27" s="6" t="str">
        <f>IF(Table2[[#This Row],[Corrected Form '#
 (If Duplicated)]]="",Table2[[#This Row],[Form '#]],Table2[[#This Row],[Corrected Form '#
 (If Duplicated)]])</f>
        <v>7818-10729</v>
      </c>
      <c r="N27" s="1" t="s">
        <v>49</v>
      </c>
      <c r="O27" s="6" t="str">
        <f>IF(Table2[[#This Row],[POG CONFIRMATION RECEIPT OF ORDER
(DATE &amp; TIME)]]="","No Confirmation","Received Confirmation")</f>
        <v>Received Confirmation</v>
      </c>
      <c r="P27" s="6">
        <f ca="1">TODAY()-Table2[[#This Row],[DATE SENT TO POG]]</f>
        <v>372</v>
      </c>
      <c r="Q27" s="6" t="s">
        <v>5803</v>
      </c>
      <c r="R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" s="2" t="str">
        <f>_xlfn.XLOOKUP(Table2[[#This Row],[Adjusted Form '#]],'[2]IN PROGRESS'!$D:$D,'[2]IN PROGRESS'!$M:$M,"Not Found")</f>
        <v>Not Found</v>
      </c>
      <c r="U27" s="2" t="str">
        <f>_xlfn.XLOOKUP(Table2[[#This Row],[Adjusted Form '#]],[1]COMPLETED!$D:$D,[2]COMPLETED!$M:$M,"Not Found")</f>
        <v>Not Found</v>
      </c>
      <c r="V27" s="17" t="str">
        <f>_xlfn.XLOOKUP(Table2[[#This Row],[Adjusted Form '#]],[2]COMPLETED!$D:$D,[2]COMPLETED!$O:$O,"Not Found")</f>
        <v>Not Found</v>
      </c>
      <c r="W27" s="2" t="str">
        <f>_xlfn.XLOOKUP(Table2[[#This Row],[Adjusted Form '#]],[2]BILLED!$D:$D,[2]BILLED!$M:$M,"Not Found")</f>
        <v>1Z5063E0YW41624576</v>
      </c>
      <c r="X27" s="17" t="e">
        <f>_xlfn.XLOOKUP(Table2[[#This Row],[Adjusted Form '#]],[2]BILLED!$D:$D,[1]BILLED!$O:$O,"Not Found")</f>
        <v>#REF!</v>
      </c>
      <c r="Y27" s="17" t="e">
        <f>_xlfn.XLOOKUP(Table2[[#This Row],[Adjusted Form '#]],'[2]REJECTED ORDERS'!$D:$D,'[2]REJECTED ORDERS'!$E:$E)</f>
        <v>#N/A</v>
      </c>
      <c r="Z27" s="1"/>
      <c r="AA27" s="1"/>
      <c r="AB27" s="8"/>
      <c r="AC27" s="8"/>
      <c r="AD27" s="8"/>
      <c r="AE27" s="8"/>
      <c r="AF27" s="8"/>
      <c r="AG27" s="8"/>
      <c r="AH27" s="8"/>
      <c r="AI27" s="8"/>
      <c r="AJ27" s="8"/>
    </row>
    <row r="28" spans="1:36" ht="15" customHeight="1" x14ac:dyDescent="0.35">
      <c r="A28" s="4" t="s">
        <v>42</v>
      </c>
      <c r="B28" s="1" t="s">
        <v>1778</v>
      </c>
      <c r="C28" s="11">
        <v>44931</v>
      </c>
      <c r="D28" s="11" t="s">
        <v>3823</v>
      </c>
      <c r="E28" s="1" t="s">
        <v>21</v>
      </c>
      <c r="F28" s="1" t="s">
        <v>3833</v>
      </c>
      <c r="G28" s="6">
        <f>COUNTIF(F:F,Table2[[#This Row],[Form '#]])</f>
        <v>1</v>
      </c>
      <c r="H28" s="1" t="s">
        <v>1193</v>
      </c>
      <c r="I28" s="1"/>
      <c r="L28" s="1"/>
      <c r="M28" s="6" t="str">
        <f>IF(Table2[[#This Row],[Corrected Form '#
 (If Duplicated)]]="",Table2[[#This Row],[Form '#]],Table2[[#This Row],[Corrected Form '#
 (If Duplicated)]])</f>
        <v>7818-19715</v>
      </c>
      <c r="N28" s="1" t="s">
        <v>49</v>
      </c>
      <c r="O28" s="6" t="str">
        <f>IF(Table2[[#This Row],[POG CONFIRMATION RECEIPT OF ORDER
(DATE &amp; TIME)]]="","No Confirmation","Received Confirmation")</f>
        <v>Received Confirmation</v>
      </c>
      <c r="P28" s="6">
        <f ca="1">TODAY()-Table2[[#This Row],[DATE SENT TO POG]]</f>
        <v>372</v>
      </c>
      <c r="Q28" s="6" t="s">
        <v>5803</v>
      </c>
      <c r="R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" s="2" t="str">
        <f>_xlfn.XLOOKUP(Table2[[#This Row],[Adjusted Form '#]],'[2]IN PROGRESS'!$D:$D,'[2]IN PROGRESS'!$M:$M,"Not Found")</f>
        <v>Not Found</v>
      </c>
      <c r="U28" s="2" t="str">
        <f>_xlfn.XLOOKUP(Table2[[#This Row],[Adjusted Form '#]],[1]COMPLETED!$D:$D,[2]COMPLETED!$M:$M,"Not Found")</f>
        <v>Not Found</v>
      </c>
      <c r="V28" s="17" t="str">
        <f>_xlfn.XLOOKUP(Table2[[#This Row],[Adjusted Form '#]],[2]COMPLETED!$D:$D,[2]COMPLETED!$O:$O,"Not Found")</f>
        <v>Not Found</v>
      </c>
      <c r="W28" s="2" t="str">
        <f>_xlfn.XLOOKUP(Table2[[#This Row],[Adjusted Form '#]],[2]BILLED!$D:$D,[2]BILLED!$M:$M,"Not Found")</f>
        <v>1Z5063E0YW41824074</v>
      </c>
      <c r="X28" s="17" t="e">
        <f>_xlfn.XLOOKUP(Table2[[#This Row],[Adjusted Form '#]],[2]BILLED!$D:$D,[1]BILLED!$O:$O,"Not Found")</f>
        <v>#REF!</v>
      </c>
      <c r="Y28" s="17" t="e">
        <f>_xlfn.XLOOKUP(Table2[[#This Row],[Adjusted Form '#]],'[2]REJECTED ORDERS'!$D:$D,'[2]REJECTED ORDERS'!$E:$E)</f>
        <v>#N/A</v>
      </c>
      <c r="Z28" s="1"/>
      <c r="AA28" s="1"/>
      <c r="AB28" s="8"/>
      <c r="AC28" s="8"/>
      <c r="AD28" s="8"/>
      <c r="AE28" s="8"/>
      <c r="AF28" s="8"/>
      <c r="AG28" s="8"/>
      <c r="AH28" s="8"/>
      <c r="AI28" s="8"/>
      <c r="AJ28" s="8"/>
    </row>
    <row r="29" spans="1:36" ht="15" customHeight="1" x14ac:dyDescent="0.35">
      <c r="A29" s="4" t="s">
        <v>43</v>
      </c>
      <c r="B29" s="1" t="s">
        <v>1778</v>
      </c>
      <c r="C29" s="11">
        <v>44931</v>
      </c>
      <c r="D29" s="11" t="s">
        <v>3823</v>
      </c>
      <c r="E29" s="1" t="s">
        <v>21</v>
      </c>
      <c r="F29" s="1" t="s">
        <v>3834</v>
      </c>
      <c r="G29" s="6">
        <f>COUNTIF(F:F,Table2[[#This Row],[Form '#]])</f>
        <v>1</v>
      </c>
      <c r="H29" s="1" t="s">
        <v>3835</v>
      </c>
      <c r="I29" s="1"/>
      <c r="L29" s="1"/>
      <c r="M29" s="6" t="str">
        <f>IF(Table2[[#This Row],[Corrected Form '#
 (If Duplicated)]]="",Table2[[#This Row],[Form '#]],Table2[[#This Row],[Corrected Form '#
 (If Duplicated)]])</f>
        <v>7818-11983</v>
      </c>
      <c r="N29" s="1" t="s">
        <v>49</v>
      </c>
      <c r="O29" s="6" t="str">
        <f>IF(Table2[[#This Row],[POG CONFIRMATION RECEIPT OF ORDER
(DATE &amp; TIME)]]="","No Confirmation","Received Confirmation")</f>
        <v>Received Confirmation</v>
      </c>
      <c r="P29" s="6">
        <f ca="1">TODAY()-Table2[[#This Row],[DATE SENT TO POG]]</f>
        <v>372</v>
      </c>
      <c r="Q29" s="6" t="s">
        <v>5803</v>
      </c>
      <c r="R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" s="2" t="str">
        <f>_xlfn.XLOOKUP(Table2[[#This Row],[Adjusted Form '#]],'[2]IN PROGRESS'!$D:$D,'[2]IN PROGRESS'!$M:$M,"Not Found")</f>
        <v>Not Found</v>
      </c>
      <c r="U29" s="2" t="str">
        <f>_xlfn.XLOOKUP(Table2[[#This Row],[Adjusted Form '#]],[1]COMPLETED!$D:$D,[2]COMPLETED!$M:$M,"Not Found")</f>
        <v>Not Found</v>
      </c>
      <c r="V29" s="17" t="str">
        <f>_xlfn.XLOOKUP(Table2[[#This Row],[Adjusted Form '#]],[2]COMPLETED!$D:$D,[2]COMPLETED!$O:$O,"Not Found")</f>
        <v>Not Found</v>
      </c>
      <c r="W29" s="2" t="str">
        <f>_xlfn.XLOOKUP(Table2[[#This Row],[Adjusted Form '#]],[2]BILLED!$D:$D,[2]BILLED!$M:$M,"Not Found")</f>
        <v>1Z5063E0YW40982306</v>
      </c>
      <c r="X29" s="17" t="e">
        <f>_xlfn.XLOOKUP(Table2[[#This Row],[Adjusted Form '#]],[2]BILLED!$D:$D,[1]BILLED!$O:$O,"Not Found")</f>
        <v>#REF!</v>
      </c>
      <c r="Y29" s="17" t="e">
        <f>_xlfn.XLOOKUP(Table2[[#This Row],[Adjusted Form '#]],'[2]REJECTED ORDERS'!$D:$D,'[2]REJECTED ORDERS'!$E:$E)</f>
        <v>#N/A</v>
      </c>
      <c r="Z29" s="1"/>
      <c r="AA29" s="1"/>
      <c r="AB29" s="8"/>
      <c r="AC29" s="8"/>
      <c r="AD29" s="8"/>
      <c r="AE29" s="8"/>
      <c r="AF29" s="8"/>
      <c r="AG29" s="8"/>
      <c r="AH29" s="8"/>
      <c r="AI29" s="8"/>
      <c r="AJ29" s="8"/>
    </row>
    <row r="30" spans="1:36" ht="15" customHeight="1" x14ac:dyDescent="0.35">
      <c r="A30" s="4" t="s">
        <v>44</v>
      </c>
      <c r="B30" s="1" t="s">
        <v>1516</v>
      </c>
      <c r="C30" s="11">
        <v>44931</v>
      </c>
      <c r="D30" s="11" t="s">
        <v>3836</v>
      </c>
      <c r="E30" s="1" t="s">
        <v>21</v>
      </c>
      <c r="F30" s="1" t="s">
        <v>3837</v>
      </c>
      <c r="G30" s="6">
        <f>COUNTIF(F:F,Table2[[#This Row],[Form '#]])</f>
        <v>2</v>
      </c>
      <c r="H30" s="1" t="s">
        <v>3838</v>
      </c>
      <c r="I30" s="1"/>
      <c r="L30" s="1"/>
      <c r="M30" s="6" t="str">
        <f>IF(Table2[[#This Row],[Corrected Form '#
 (If Duplicated)]]="",Table2[[#This Row],[Form '#]],Table2[[#This Row],[Corrected Form '#
 (If Duplicated)]])</f>
        <v>7818-24919</v>
      </c>
      <c r="N30" s="1" t="s">
        <v>49</v>
      </c>
      <c r="O30" s="6" t="str">
        <f>IF(Table2[[#This Row],[POG CONFIRMATION RECEIPT OF ORDER
(DATE &amp; TIME)]]="","No Confirmation","Received Confirmation")</f>
        <v>Received Confirmation</v>
      </c>
      <c r="P30" s="6">
        <f ca="1">TODAY()-Table2[[#This Row],[DATE SENT TO POG]]</f>
        <v>372</v>
      </c>
      <c r="Q30" s="6" t="s">
        <v>5803</v>
      </c>
      <c r="R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" s="2" t="str">
        <f>_xlfn.XLOOKUP(Table2[[#This Row],[Adjusted Form '#]],'[2]IN PROGRESS'!$D:$D,'[2]IN PROGRESS'!$M:$M,"Not Found")</f>
        <v>Not Found</v>
      </c>
      <c r="U30" s="2" t="str">
        <f>_xlfn.XLOOKUP(Table2[[#This Row],[Adjusted Form '#]],[1]COMPLETED!$D:$D,[2]COMPLETED!$M:$M,"Not Found")</f>
        <v>Not Found</v>
      </c>
      <c r="V30" s="17" t="str">
        <f>_xlfn.XLOOKUP(Table2[[#This Row],[Adjusted Form '#]],[2]COMPLETED!$D:$D,[2]COMPLETED!$O:$O,"Not Found")</f>
        <v>Not Found</v>
      </c>
      <c r="W30" s="2" t="str">
        <f>_xlfn.XLOOKUP(Table2[[#This Row],[Adjusted Form '#]],[2]BILLED!$D:$D,[2]BILLED!$M:$M,"Not Found")</f>
        <v>1Z5063E0YW41999592</v>
      </c>
      <c r="X30" s="17" t="e">
        <f>_xlfn.XLOOKUP(Table2[[#This Row],[Adjusted Form '#]],[2]BILLED!$D:$D,[1]BILLED!$O:$O,"Not Found")</f>
        <v>#REF!</v>
      </c>
      <c r="Y30" s="17" t="e">
        <f>_xlfn.XLOOKUP(Table2[[#This Row],[Adjusted Form '#]],'[2]REJECTED ORDERS'!$D:$D,'[2]REJECTED ORDERS'!$E:$E)</f>
        <v>#N/A</v>
      </c>
      <c r="Z30" s="1"/>
      <c r="AA30" s="1"/>
      <c r="AB30" s="8"/>
      <c r="AC30" s="8"/>
      <c r="AD30" s="8"/>
      <c r="AE30" s="8"/>
      <c r="AF30" s="8"/>
      <c r="AG30" s="8"/>
      <c r="AH30" s="8"/>
      <c r="AI30" s="8"/>
      <c r="AJ30" s="8"/>
    </row>
    <row r="31" spans="1:36" ht="15" customHeight="1" x14ac:dyDescent="0.35">
      <c r="A31" s="4" t="s">
        <v>45</v>
      </c>
      <c r="B31" s="1" t="s">
        <v>244</v>
      </c>
      <c r="C31" s="11">
        <v>44931</v>
      </c>
      <c r="D31" s="11" t="s">
        <v>3836</v>
      </c>
      <c r="E31" s="1" t="s">
        <v>73</v>
      </c>
      <c r="F31" s="1" t="s">
        <v>3839</v>
      </c>
      <c r="G31" s="6">
        <f>COUNTIF(F:F,Table2[[#This Row],[Form '#]])</f>
        <v>1</v>
      </c>
      <c r="H31" s="1" t="s">
        <v>3840</v>
      </c>
      <c r="I31" s="1"/>
      <c r="L31" s="1"/>
      <c r="M31" s="6" t="str">
        <f>IF(Table2[[#This Row],[Corrected Form '#
 (If Duplicated)]]="",Table2[[#This Row],[Form '#]],Table2[[#This Row],[Corrected Form '#
 (If Duplicated)]])</f>
        <v>7823-02218</v>
      </c>
      <c r="N31" s="1" t="s">
        <v>49</v>
      </c>
      <c r="O31" s="6" t="str">
        <f>IF(Table2[[#This Row],[POG CONFIRMATION RECEIPT OF ORDER
(DATE &amp; TIME)]]="","No Confirmation","Received Confirmation")</f>
        <v>Received Confirmation</v>
      </c>
      <c r="P31" s="6">
        <f ca="1">TODAY()-Table2[[#This Row],[DATE SENT TO POG]]</f>
        <v>372</v>
      </c>
      <c r="Q31" s="6" t="s">
        <v>5803</v>
      </c>
      <c r="R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" s="2" t="str">
        <f>_xlfn.XLOOKUP(Table2[[#This Row],[Adjusted Form '#]],'[2]IN PROGRESS'!$D:$D,'[2]IN PROGRESS'!$M:$M,"Not Found")</f>
        <v>Not Found</v>
      </c>
      <c r="U31" s="2" t="str">
        <f>_xlfn.XLOOKUP(Table2[[#This Row],[Adjusted Form '#]],[1]COMPLETED!$D:$D,[2]COMPLETED!$M:$M,"Not Found")</f>
        <v>Not Found</v>
      </c>
      <c r="V31" s="17" t="str">
        <f>_xlfn.XLOOKUP(Table2[[#This Row],[Adjusted Form '#]],[2]COMPLETED!$D:$D,[2]COMPLETED!$O:$O,"Not Found")</f>
        <v>Not Found</v>
      </c>
      <c r="W31" s="2" t="str">
        <f>_xlfn.XLOOKUP(Table2[[#This Row],[Adjusted Form '#]],[2]BILLED!$D:$D,[2]BILLED!$M:$M,"Not Found")</f>
        <v>1Z5063E0YW40586995</v>
      </c>
      <c r="X31" s="17" t="e">
        <f>_xlfn.XLOOKUP(Table2[[#This Row],[Adjusted Form '#]],[2]BILLED!$D:$D,[1]BILLED!$O:$O,"Not Found")</f>
        <v>#REF!</v>
      </c>
      <c r="Y31" s="17" t="e">
        <f>_xlfn.XLOOKUP(Table2[[#This Row],[Adjusted Form '#]],'[2]REJECTED ORDERS'!$D:$D,'[2]REJECTED ORDERS'!$E:$E)</f>
        <v>#N/A</v>
      </c>
      <c r="Z31" s="1"/>
      <c r="AA31" s="1"/>
      <c r="AB31" s="8"/>
      <c r="AC31" s="8"/>
      <c r="AD31" s="8"/>
      <c r="AE31" s="8"/>
      <c r="AF31" s="8"/>
      <c r="AG31" s="8"/>
      <c r="AH31" s="8"/>
      <c r="AI31" s="8"/>
      <c r="AJ31" s="8"/>
    </row>
    <row r="32" spans="1:36" ht="15" customHeight="1" x14ac:dyDescent="0.35">
      <c r="A32" s="4" t="s">
        <v>46</v>
      </c>
      <c r="B32" s="1" t="s">
        <v>2875</v>
      </c>
      <c r="C32" s="11">
        <v>44932</v>
      </c>
      <c r="D32" s="11" t="s">
        <v>3841</v>
      </c>
      <c r="E32" s="1" t="s">
        <v>21</v>
      </c>
      <c r="F32" s="1" t="s">
        <v>3842</v>
      </c>
      <c r="G32" s="6">
        <f>COUNTIF(F:F,Table2[[#This Row],[Form '#]])</f>
        <v>1</v>
      </c>
      <c r="H32" s="1" t="s">
        <v>3843</v>
      </c>
      <c r="I32" s="1"/>
      <c r="L32" s="1"/>
      <c r="M32" s="6" t="str">
        <f>IF(Table2[[#This Row],[Corrected Form '#
 (If Duplicated)]]="",Table2[[#This Row],[Form '#]],Table2[[#This Row],[Corrected Form '#
 (If Duplicated)]])</f>
        <v>7818-25130</v>
      </c>
      <c r="N32" s="1" t="s">
        <v>49</v>
      </c>
      <c r="O32" s="6" t="str">
        <f>IF(Table2[[#This Row],[POG CONFIRMATION RECEIPT OF ORDER
(DATE &amp; TIME)]]="","No Confirmation","Received Confirmation")</f>
        <v>Received Confirmation</v>
      </c>
      <c r="P32" s="6">
        <f ca="1">TODAY()-Table2[[#This Row],[DATE SENT TO POG]]</f>
        <v>371</v>
      </c>
      <c r="Q32" s="6" t="s">
        <v>5803</v>
      </c>
      <c r="R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" s="2" t="str">
        <f>_xlfn.XLOOKUP(Table2[[#This Row],[Adjusted Form '#]],'[2]IN PROGRESS'!$D:$D,'[2]IN PROGRESS'!$M:$M,"Not Found")</f>
        <v>Not Found</v>
      </c>
      <c r="U32" s="2" t="str">
        <f>_xlfn.XLOOKUP(Table2[[#This Row],[Adjusted Form '#]],[1]COMPLETED!$D:$D,[2]COMPLETED!$M:$M,"Not Found")</f>
        <v>Not Found</v>
      </c>
      <c r="V32" s="17" t="str">
        <f>_xlfn.XLOOKUP(Table2[[#This Row],[Adjusted Form '#]],[2]COMPLETED!$D:$D,[2]COMPLETED!$O:$O,"Not Found")</f>
        <v>Not Found</v>
      </c>
      <c r="W32" s="2" t="str">
        <f>_xlfn.XLOOKUP(Table2[[#This Row],[Adjusted Form '#]],[2]BILLED!$D:$D,[2]BILLED!$M:$M,"Not Found")</f>
        <v>1Z5063E0YW42456621</v>
      </c>
      <c r="X32" s="17" t="e">
        <f>_xlfn.XLOOKUP(Table2[[#This Row],[Adjusted Form '#]],[2]BILLED!$D:$D,[1]BILLED!$O:$O,"Not Found")</f>
        <v>#REF!</v>
      </c>
      <c r="Y32" s="17" t="e">
        <f>_xlfn.XLOOKUP(Table2[[#This Row],[Adjusted Form '#]],'[2]REJECTED ORDERS'!$D:$D,'[2]REJECTED ORDERS'!$E:$E)</f>
        <v>#N/A</v>
      </c>
      <c r="Z32" s="1"/>
      <c r="AA32" s="1"/>
      <c r="AB32" s="8"/>
      <c r="AC32" s="8"/>
      <c r="AD32" s="8"/>
      <c r="AE32" s="8"/>
      <c r="AF32" s="8"/>
      <c r="AG32" s="8"/>
      <c r="AH32" s="8"/>
      <c r="AI32" s="8"/>
      <c r="AJ32" s="8"/>
    </row>
    <row r="33" spans="1:36" ht="15" customHeight="1" x14ac:dyDescent="0.35">
      <c r="A33" s="4" t="s">
        <v>47</v>
      </c>
      <c r="B33" s="1" t="s">
        <v>2875</v>
      </c>
      <c r="C33" s="11">
        <v>44932</v>
      </c>
      <c r="D33" s="11" t="s">
        <v>3841</v>
      </c>
      <c r="E33" s="1" t="s">
        <v>21</v>
      </c>
      <c r="F33" s="1" t="s">
        <v>3844</v>
      </c>
      <c r="G33" s="6">
        <f>COUNTIF(F:F,Table2[[#This Row],[Form '#]])</f>
        <v>1</v>
      </c>
      <c r="H33" s="1" t="s">
        <v>3845</v>
      </c>
      <c r="I33" s="1"/>
      <c r="L33" s="1"/>
      <c r="M33" s="6" t="str">
        <f>IF(Table2[[#This Row],[Corrected Form '#
 (If Duplicated)]]="",Table2[[#This Row],[Form '#]],Table2[[#This Row],[Corrected Form '#
 (If Duplicated)]])</f>
        <v>7818-21834</v>
      </c>
      <c r="N33" s="1" t="s">
        <v>49</v>
      </c>
      <c r="O33" s="6" t="str">
        <f>IF(Table2[[#This Row],[POG CONFIRMATION RECEIPT OF ORDER
(DATE &amp; TIME)]]="","No Confirmation","Received Confirmation")</f>
        <v>Received Confirmation</v>
      </c>
      <c r="P33" s="6">
        <f ca="1">TODAY()-Table2[[#This Row],[DATE SENT TO POG]]</f>
        <v>371</v>
      </c>
      <c r="Q33" s="6" t="s">
        <v>5803</v>
      </c>
      <c r="R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" s="2" t="str">
        <f>_xlfn.XLOOKUP(Table2[[#This Row],[Adjusted Form '#]],'[2]IN PROGRESS'!$D:$D,'[2]IN PROGRESS'!$M:$M,"Not Found")</f>
        <v>Not Found</v>
      </c>
      <c r="U33" s="2" t="str">
        <f>_xlfn.XLOOKUP(Table2[[#This Row],[Adjusted Form '#]],[1]COMPLETED!$D:$D,[2]COMPLETED!$M:$M,"Not Found")</f>
        <v>Not Found</v>
      </c>
      <c r="V33" s="17" t="str">
        <f>_xlfn.XLOOKUP(Table2[[#This Row],[Adjusted Form '#]],[2]COMPLETED!$D:$D,[2]COMPLETED!$O:$O,"Not Found")</f>
        <v>Not Found</v>
      </c>
      <c r="W33" s="2" t="str">
        <f>_xlfn.XLOOKUP(Table2[[#This Row],[Adjusted Form '#]],[2]BILLED!$D:$D,[2]BILLED!$M:$M,"Not Found")</f>
        <v>1Z5063E0YW40315018</v>
      </c>
      <c r="X33" s="17" t="e">
        <f>_xlfn.XLOOKUP(Table2[[#This Row],[Adjusted Form '#]],[2]BILLED!$D:$D,[1]BILLED!$O:$O,"Not Found")</f>
        <v>#REF!</v>
      </c>
      <c r="Y33" s="17" t="e">
        <f>_xlfn.XLOOKUP(Table2[[#This Row],[Adjusted Form '#]],'[2]REJECTED ORDERS'!$D:$D,'[2]REJECTED ORDERS'!$E:$E)</f>
        <v>#N/A</v>
      </c>
      <c r="Z33" s="1"/>
      <c r="AA33" s="1"/>
      <c r="AB33" s="8"/>
      <c r="AC33" s="8"/>
      <c r="AD33" s="8"/>
      <c r="AE33" s="8"/>
      <c r="AF33" s="8"/>
      <c r="AG33" s="8"/>
      <c r="AH33" s="8"/>
      <c r="AI33" s="8"/>
      <c r="AJ33" s="8"/>
    </row>
    <row r="34" spans="1:36" ht="15" customHeight="1" x14ac:dyDescent="0.35">
      <c r="A34" s="4" t="s">
        <v>50</v>
      </c>
      <c r="B34" s="1" t="s">
        <v>2875</v>
      </c>
      <c r="C34" s="11">
        <v>44932</v>
      </c>
      <c r="D34" s="11" t="s">
        <v>3841</v>
      </c>
      <c r="E34" s="1" t="s">
        <v>21</v>
      </c>
      <c r="F34" s="1" t="s">
        <v>3846</v>
      </c>
      <c r="G34" s="6">
        <f>COUNTIF(F:F,Table2[[#This Row],[Form '#]])</f>
        <v>2</v>
      </c>
      <c r="H34" s="1" t="s">
        <v>3847</v>
      </c>
      <c r="I34" s="1"/>
      <c r="L34" s="1"/>
      <c r="M34" s="6" t="str">
        <f>IF(Table2[[#This Row],[Corrected Form '#
 (If Duplicated)]]="",Table2[[#This Row],[Form '#]],Table2[[#This Row],[Corrected Form '#
 (If Duplicated)]])</f>
        <v>7818-21844</v>
      </c>
      <c r="N34" s="1" t="s">
        <v>49</v>
      </c>
      <c r="O34" s="6" t="str">
        <f>IF(Table2[[#This Row],[POG CONFIRMATION RECEIPT OF ORDER
(DATE &amp; TIME)]]="","No Confirmation","Received Confirmation")</f>
        <v>Received Confirmation</v>
      </c>
      <c r="P34" s="6">
        <f ca="1">TODAY()-Table2[[#This Row],[DATE SENT TO POG]]</f>
        <v>371</v>
      </c>
      <c r="Q34" s="6" t="s">
        <v>5803</v>
      </c>
      <c r="R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" s="2" t="str">
        <f>_xlfn.XLOOKUP(Table2[[#This Row],[Adjusted Form '#]],'[2]IN PROGRESS'!$D:$D,'[2]IN PROGRESS'!$M:$M,"Not Found")</f>
        <v>Not Found</v>
      </c>
      <c r="U34" s="2" t="str">
        <f>_xlfn.XLOOKUP(Table2[[#This Row],[Adjusted Form '#]],[1]COMPLETED!$D:$D,[2]COMPLETED!$M:$M,"Not Found")</f>
        <v>Not Found</v>
      </c>
      <c r="V34" s="17" t="str">
        <f>_xlfn.XLOOKUP(Table2[[#This Row],[Adjusted Form '#]],[2]COMPLETED!$D:$D,[2]COMPLETED!$O:$O,"Not Found")</f>
        <v>Not Found</v>
      </c>
      <c r="W34" s="2" t="str">
        <f>_xlfn.XLOOKUP(Table2[[#This Row],[Adjusted Form '#]],[2]BILLED!$D:$D,[2]BILLED!$M:$M,"Not Found")</f>
        <v>1Z5063E0YW40911089</v>
      </c>
      <c r="X34" s="17" t="e">
        <f>_xlfn.XLOOKUP(Table2[[#This Row],[Adjusted Form '#]],[2]BILLED!$D:$D,[1]BILLED!$O:$O,"Not Found")</f>
        <v>#REF!</v>
      </c>
      <c r="Y34" s="17" t="str">
        <f>_xlfn.XLOOKUP(Table2[[#This Row],[Adjusted Form '#]],'[2]REJECTED ORDERS'!$D:$D,'[2]REJECTED ORDERS'!$E:$E)</f>
        <v>FORM NUMBER ALREADY USED</v>
      </c>
      <c r="Z34" s="1"/>
      <c r="AA34" s="1"/>
      <c r="AB34" s="8"/>
      <c r="AC34" s="8"/>
      <c r="AD34" s="8"/>
      <c r="AE34" s="8"/>
      <c r="AF34" s="8"/>
      <c r="AG34" s="8"/>
      <c r="AH34" s="8"/>
      <c r="AI34" s="8"/>
      <c r="AJ34" s="8"/>
    </row>
    <row r="35" spans="1:36" ht="15" customHeight="1" x14ac:dyDescent="0.35">
      <c r="A35" s="4" t="s">
        <v>51</v>
      </c>
      <c r="B35" s="1" t="s">
        <v>632</v>
      </c>
      <c r="C35" s="11">
        <v>44932</v>
      </c>
      <c r="D35" s="11" t="s">
        <v>3848</v>
      </c>
      <c r="E35" s="1" t="s">
        <v>21</v>
      </c>
      <c r="F35" s="1" t="s">
        <v>3849</v>
      </c>
      <c r="G35" s="6">
        <f>COUNTIF(F:F,Table2[[#This Row],[Form '#]])</f>
        <v>1</v>
      </c>
      <c r="H35" s="1" t="s">
        <v>1739</v>
      </c>
      <c r="I35" s="1"/>
      <c r="L35" s="1"/>
      <c r="M35" s="6" t="str">
        <f>IF(Table2[[#This Row],[Corrected Form '#
 (If Duplicated)]]="",Table2[[#This Row],[Form '#]],Table2[[#This Row],[Corrected Form '#
 (If Duplicated)]])</f>
        <v>7818-25424</v>
      </c>
      <c r="N35" s="1" t="s">
        <v>49</v>
      </c>
      <c r="O35" s="6" t="str">
        <f>IF(Table2[[#This Row],[POG CONFIRMATION RECEIPT OF ORDER
(DATE &amp; TIME)]]="","No Confirmation","Received Confirmation")</f>
        <v>Received Confirmation</v>
      </c>
      <c r="P35" s="6">
        <f ca="1">TODAY()-Table2[[#This Row],[DATE SENT TO POG]]</f>
        <v>371</v>
      </c>
      <c r="Q35" s="6" t="s">
        <v>5803</v>
      </c>
      <c r="R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" s="2" t="str">
        <f>_xlfn.XLOOKUP(Table2[[#This Row],[Adjusted Form '#]],'[2]IN PROGRESS'!$D:$D,'[2]IN PROGRESS'!$M:$M,"Not Found")</f>
        <v>Not Found</v>
      </c>
      <c r="U35" s="2" t="str">
        <f>_xlfn.XLOOKUP(Table2[[#This Row],[Adjusted Form '#]],[1]COMPLETED!$D:$D,[2]COMPLETED!$M:$M,"Not Found")</f>
        <v>Not Found</v>
      </c>
      <c r="V35" s="17" t="str">
        <f>_xlfn.XLOOKUP(Table2[[#This Row],[Adjusted Form '#]],[2]COMPLETED!$D:$D,[2]COMPLETED!$O:$O,"Not Found")</f>
        <v>Not Found</v>
      </c>
      <c r="W35" s="2" t="str">
        <f>_xlfn.XLOOKUP(Table2[[#This Row],[Adjusted Form '#]],[2]BILLED!$D:$D,[2]BILLED!$M:$M,"Not Found")</f>
        <v>1Z5063E0YW42717652</v>
      </c>
      <c r="X35" s="17" t="e">
        <f>_xlfn.XLOOKUP(Table2[[#This Row],[Adjusted Form '#]],[2]BILLED!$D:$D,[1]BILLED!$O:$O,"Not Found")</f>
        <v>#REF!</v>
      </c>
      <c r="Y35" s="17" t="e">
        <f>_xlfn.XLOOKUP(Table2[[#This Row],[Adjusted Form '#]],'[2]REJECTED ORDERS'!$D:$D,'[2]REJECTED ORDERS'!$E:$E)</f>
        <v>#N/A</v>
      </c>
      <c r="Z35" s="1"/>
      <c r="AA35" s="1"/>
      <c r="AB35" s="8"/>
      <c r="AC35" s="8"/>
      <c r="AD35" s="8"/>
      <c r="AE35" s="8"/>
      <c r="AF35" s="8"/>
      <c r="AG35" s="8"/>
      <c r="AH35" s="8"/>
      <c r="AI35" s="8"/>
      <c r="AJ35" s="8"/>
    </row>
    <row r="36" spans="1:36" ht="15" customHeight="1" x14ac:dyDescent="0.35">
      <c r="A36" s="4" t="s">
        <v>52</v>
      </c>
      <c r="B36" s="1" t="s">
        <v>2697</v>
      </c>
      <c r="C36" s="11">
        <v>44935</v>
      </c>
      <c r="D36" s="11" t="s">
        <v>3850</v>
      </c>
      <c r="E36" s="1" t="s">
        <v>191</v>
      </c>
      <c r="F36" s="7" t="s">
        <v>2581</v>
      </c>
      <c r="G36" s="6">
        <f>COUNTIF(F:F,Table2[[#This Row],[Form '#]])</f>
        <v>2</v>
      </c>
      <c r="H36" s="1" t="s">
        <v>2511</v>
      </c>
      <c r="I36" s="1"/>
      <c r="L36" s="1"/>
      <c r="M36" s="6" t="str">
        <f>IF(Table2[[#This Row],[Corrected Form '#
 (If Duplicated)]]="",Table2[[#This Row],[Form '#]],Table2[[#This Row],[Corrected Form '#
 (If Duplicated)]])</f>
        <v>7812-00800</v>
      </c>
      <c r="N36" s="1" t="s">
        <v>49</v>
      </c>
      <c r="O36" s="6" t="str">
        <f>IF(Table2[[#This Row],[POG CONFIRMATION RECEIPT OF ORDER
(DATE &amp; TIME)]]="","No Confirmation","Received Confirmation")</f>
        <v>Received Confirmation</v>
      </c>
      <c r="P36" s="6">
        <f ca="1">TODAY()-Table2[[#This Row],[DATE SENT TO POG]]</f>
        <v>368</v>
      </c>
      <c r="Q36" s="6" t="s">
        <v>5803</v>
      </c>
      <c r="R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" s="2" t="str">
        <f>_xlfn.XLOOKUP(Table2[[#This Row],[Adjusted Form '#]],'[2]IN PROGRESS'!$D:$D,'[2]IN PROGRESS'!$M:$M,"Not Found")</f>
        <v>Not Found</v>
      </c>
      <c r="U36" s="2" t="str">
        <f>_xlfn.XLOOKUP(Table2[[#This Row],[Adjusted Form '#]],[1]COMPLETED!$D:$D,[2]COMPLETED!$M:$M,"Not Found")</f>
        <v>Not Found</v>
      </c>
      <c r="V36" s="17" t="str">
        <f>_xlfn.XLOOKUP(Table2[[#This Row],[Adjusted Form '#]],[2]COMPLETED!$D:$D,[2]COMPLETED!$O:$O,"Not Found")</f>
        <v>Not Found</v>
      </c>
      <c r="W36" s="2" t="str">
        <f>_xlfn.XLOOKUP(Table2[[#This Row],[Adjusted Form '#]],[2]BILLED!$D:$D,[2]BILLED!$M:$M,"Not Found")</f>
        <v>1Z5063E0YW41239322</v>
      </c>
      <c r="X36" s="17" t="e">
        <f>_xlfn.XLOOKUP(Table2[[#This Row],[Adjusted Form '#]],[2]BILLED!$D:$D,[1]BILLED!$O:$O,"Not Found")</f>
        <v>#REF!</v>
      </c>
      <c r="Y36" s="17" t="str">
        <f>_xlfn.XLOOKUP(Table2[[#This Row],[Adjusted Form '#]],'[2]REJECTED ORDERS'!$D:$D,'[2]REJECTED ORDERS'!$E:$E)</f>
        <v>FORM NUMBER ALREADY USED</v>
      </c>
      <c r="Z36" s="1"/>
      <c r="AA36" s="1"/>
      <c r="AB36" s="8"/>
      <c r="AC36" s="8"/>
      <c r="AD36" s="8"/>
      <c r="AE36" s="8"/>
      <c r="AF36" s="8"/>
      <c r="AG36" s="8"/>
      <c r="AH36" s="8"/>
      <c r="AI36" s="8"/>
      <c r="AJ36" s="8"/>
    </row>
    <row r="37" spans="1:36" ht="15" customHeight="1" x14ac:dyDescent="0.35">
      <c r="A37" s="4" t="s">
        <v>53</v>
      </c>
      <c r="B37" s="1" t="s">
        <v>780</v>
      </c>
      <c r="C37" s="11">
        <v>44935</v>
      </c>
      <c r="D37" s="11" t="s">
        <v>3850</v>
      </c>
      <c r="E37" s="1" t="s">
        <v>21</v>
      </c>
      <c r="F37" s="1" t="s">
        <v>3851</v>
      </c>
      <c r="G37" s="6">
        <f>COUNTIF(F:F,Table2[[#This Row],[Form '#]])</f>
        <v>1</v>
      </c>
      <c r="H37" s="1" t="s">
        <v>3854</v>
      </c>
      <c r="I37" s="1" t="s">
        <v>3852</v>
      </c>
      <c r="J37" s="1" t="s">
        <v>80</v>
      </c>
      <c r="K37" s="1" t="s">
        <v>3853</v>
      </c>
      <c r="L37" s="1"/>
      <c r="M37" s="6" t="str">
        <f>IF(Table2[[#This Row],[Corrected Form '#
 (If Duplicated)]]="",Table2[[#This Row],[Form '#]],Table2[[#This Row],[Corrected Form '#
 (If Duplicated)]])</f>
        <v>7818-12804</v>
      </c>
      <c r="N37" s="1" t="s">
        <v>49</v>
      </c>
      <c r="O37" s="6" t="str">
        <f>IF(Table2[[#This Row],[POG CONFIRMATION RECEIPT OF ORDER
(DATE &amp; TIME)]]="","No Confirmation","Received Confirmation")</f>
        <v>Received Confirmation</v>
      </c>
      <c r="P37" s="6">
        <f ca="1">TODAY()-Table2[[#This Row],[DATE SENT TO POG]]</f>
        <v>368</v>
      </c>
      <c r="Q37" s="6" t="s">
        <v>5803</v>
      </c>
      <c r="R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" s="2" t="str">
        <f>_xlfn.XLOOKUP(Table2[[#This Row],[Adjusted Form '#]],'[2]IN PROGRESS'!$D:$D,'[2]IN PROGRESS'!$M:$M,"Not Found")</f>
        <v>Not Found</v>
      </c>
      <c r="U37" s="2" t="str">
        <f>_xlfn.XLOOKUP(Table2[[#This Row],[Adjusted Form '#]],[1]COMPLETED!$D:$D,[2]COMPLETED!$M:$M,"Not Found")</f>
        <v>Not Found</v>
      </c>
      <c r="V37" s="17" t="str">
        <f>_xlfn.XLOOKUP(Table2[[#This Row],[Adjusted Form '#]],[2]COMPLETED!$D:$D,[2]COMPLETED!$O:$O,"Not Found")</f>
        <v>Not Found</v>
      </c>
      <c r="W37" s="2" t="str">
        <f>_xlfn.XLOOKUP(Table2[[#This Row],[Adjusted Form '#]],[2]BILLED!$D:$D,[2]BILLED!$M:$M,"Not Found")</f>
        <v>9400 1112 0620 7119 9449 02</v>
      </c>
      <c r="X37" s="17" t="e">
        <f>_xlfn.XLOOKUP(Table2[[#This Row],[Adjusted Form '#]],[2]BILLED!$D:$D,[1]BILLED!$O:$O,"Not Found")</f>
        <v>#REF!</v>
      </c>
      <c r="Y37" s="17" t="e">
        <f>_xlfn.XLOOKUP(Table2[[#This Row],[Adjusted Form '#]],'[2]REJECTED ORDERS'!$D:$D,'[2]REJECTED ORDERS'!$E:$E)</f>
        <v>#N/A</v>
      </c>
      <c r="Z37" s="1"/>
      <c r="AA37" s="1"/>
      <c r="AB37" s="8"/>
      <c r="AC37" s="8"/>
      <c r="AD37" s="8"/>
      <c r="AE37" s="8"/>
      <c r="AF37" s="8"/>
      <c r="AG37" s="8"/>
      <c r="AH37" s="8"/>
      <c r="AI37" s="8"/>
      <c r="AJ37" s="8"/>
    </row>
    <row r="38" spans="1:36" ht="15" customHeight="1" x14ac:dyDescent="0.35">
      <c r="A38" s="4" t="s">
        <v>54</v>
      </c>
      <c r="B38" s="1" t="s">
        <v>780</v>
      </c>
      <c r="C38" s="11">
        <v>44935</v>
      </c>
      <c r="D38" s="11" t="s">
        <v>3850</v>
      </c>
      <c r="E38" s="1" t="s">
        <v>21</v>
      </c>
      <c r="F38" s="1" t="s">
        <v>3855</v>
      </c>
      <c r="G38" s="6">
        <f>COUNTIF(F:F,Table2[[#This Row],[Form '#]])</f>
        <v>1</v>
      </c>
      <c r="H38" s="1" t="s">
        <v>3856</v>
      </c>
      <c r="I38" s="1" t="s">
        <v>3852</v>
      </c>
      <c r="J38" s="1" t="s">
        <v>80</v>
      </c>
      <c r="K38" s="1" t="s">
        <v>3853</v>
      </c>
      <c r="L38" s="1"/>
      <c r="M38" s="6" t="str">
        <f>IF(Table2[[#This Row],[Corrected Form '#
 (If Duplicated)]]="",Table2[[#This Row],[Form '#]],Table2[[#This Row],[Corrected Form '#
 (If Duplicated)]])</f>
        <v>7818-00866</v>
      </c>
      <c r="N38" s="1" t="s">
        <v>49</v>
      </c>
      <c r="O38" s="6" t="str">
        <f>IF(Table2[[#This Row],[POG CONFIRMATION RECEIPT OF ORDER
(DATE &amp; TIME)]]="","No Confirmation","Received Confirmation")</f>
        <v>Received Confirmation</v>
      </c>
      <c r="P38" s="6">
        <f ca="1">TODAY()-Table2[[#This Row],[DATE SENT TO POG]]</f>
        <v>368</v>
      </c>
      <c r="Q38" s="6" t="s">
        <v>5803</v>
      </c>
      <c r="R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" s="2" t="str">
        <f>_xlfn.XLOOKUP(Table2[[#This Row],[Adjusted Form '#]],'[2]IN PROGRESS'!$D:$D,'[2]IN PROGRESS'!$M:$M,"Not Found")</f>
        <v>Not Found</v>
      </c>
      <c r="U38" s="2" t="str">
        <f>_xlfn.XLOOKUP(Table2[[#This Row],[Adjusted Form '#]],[1]COMPLETED!$D:$D,[2]COMPLETED!$M:$M,"Not Found")</f>
        <v>Not Found</v>
      </c>
      <c r="V38" s="17" t="str">
        <f>_xlfn.XLOOKUP(Table2[[#This Row],[Adjusted Form '#]],[2]COMPLETED!$D:$D,[2]COMPLETED!$O:$O,"Not Found")</f>
        <v>Not Found</v>
      </c>
      <c r="W38" s="2" t="str">
        <f>_xlfn.XLOOKUP(Table2[[#This Row],[Adjusted Form '#]],[2]BILLED!$D:$D,[2]BILLED!$M:$M,"Not Found")</f>
        <v>9400 1112 0620 7978 5326 23</v>
      </c>
      <c r="X38" s="17" t="e">
        <f>_xlfn.XLOOKUP(Table2[[#This Row],[Adjusted Form '#]],[2]BILLED!$D:$D,[1]BILLED!$O:$O,"Not Found")</f>
        <v>#REF!</v>
      </c>
      <c r="Y38" s="17" t="e">
        <f>_xlfn.XLOOKUP(Table2[[#This Row],[Adjusted Form '#]],'[2]REJECTED ORDERS'!$D:$D,'[2]REJECTED ORDERS'!$E:$E)</f>
        <v>#N/A</v>
      </c>
      <c r="Z38" s="1"/>
      <c r="AA38" s="1"/>
      <c r="AB38" s="8"/>
      <c r="AC38" s="8"/>
      <c r="AD38" s="8"/>
      <c r="AE38" s="8"/>
      <c r="AF38" s="8"/>
      <c r="AG38" s="8"/>
      <c r="AH38" s="8"/>
      <c r="AI38" s="8"/>
      <c r="AJ38" s="8"/>
    </row>
    <row r="39" spans="1:36" ht="15" customHeight="1" x14ac:dyDescent="0.35">
      <c r="A39" s="4" t="s">
        <v>55</v>
      </c>
      <c r="B39" s="1" t="s">
        <v>3559</v>
      </c>
      <c r="C39" s="11">
        <v>44935</v>
      </c>
      <c r="D39" s="11" t="s">
        <v>3857</v>
      </c>
      <c r="E39" s="1" t="s">
        <v>21</v>
      </c>
      <c r="F39" s="1" t="s">
        <v>3858</v>
      </c>
      <c r="G39" s="6">
        <f>COUNTIF(F:F,Table2[[#This Row],[Form '#]])</f>
        <v>1</v>
      </c>
      <c r="H39" s="1" t="s">
        <v>3854</v>
      </c>
      <c r="I39" s="1" t="s">
        <v>3852</v>
      </c>
      <c r="J39" s="1" t="s">
        <v>80</v>
      </c>
      <c r="K39" s="1" t="s">
        <v>3853</v>
      </c>
      <c r="L39" s="1"/>
      <c r="M39" s="6" t="str">
        <f>IF(Table2[[#This Row],[Corrected Form '#
 (If Duplicated)]]="",Table2[[#This Row],[Form '#]],Table2[[#This Row],[Corrected Form '#
 (If Duplicated)]])</f>
        <v>7818-26039</v>
      </c>
      <c r="N39" s="1" t="s">
        <v>49</v>
      </c>
      <c r="O39" s="6" t="str">
        <f>IF(Table2[[#This Row],[POG CONFIRMATION RECEIPT OF ORDER
(DATE &amp; TIME)]]="","No Confirmation","Received Confirmation")</f>
        <v>Received Confirmation</v>
      </c>
      <c r="P39" s="6">
        <f ca="1">TODAY()-Table2[[#This Row],[DATE SENT TO POG]]</f>
        <v>368</v>
      </c>
      <c r="Q39" s="6" t="s">
        <v>5803</v>
      </c>
      <c r="R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9" s="2" t="str">
        <f>_xlfn.XLOOKUP(Table2[[#This Row],[Adjusted Form '#]],'[2]IN PROGRESS'!$D:$D,'[2]IN PROGRESS'!$M:$M,"Not Found")</f>
        <v>Not Found</v>
      </c>
      <c r="U39" s="2" t="str">
        <f>_xlfn.XLOOKUP(Table2[[#This Row],[Adjusted Form '#]],[1]COMPLETED!$D:$D,[2]COMPLETED!$M:$M,"Not Found")</f>
        <v>Not Found</v>
      </c>
      <c r="V39" s="17" t="str">
        <f>_xlfn.XLOOKUP(Table2[[#This Row],[Adjusted Form '#]],[2]COMPLETED!$D:$D,[2]COMPLETED!$O:$O,"Not Found")</f>
        <v>Not Found</v>
      </c>
      <c r="W39" s="2" t="str">
        <f>_xlfn.XLOOKUP(Table2[[#This Row],[Adjusted Form '#]],[2]BILLED!$D:$D,[2]BILLED!$M:$M,"Not Found")</f>
        <v>1Z5063E0YW41613659</v>
      </c>
      <c r="X39" s="17" t="e">
        <f>_xlfn.XLOOKUP(Table2[[#This Row],[Adjusted Form '#]],[2]BILLED!$D:$D,[1]BILLED!$O:$O,"Not Found")</f>
        <v>#REF!</v>
      </c>
      <c r="Y39" s="17" t="e">
        <f>_xlfn.XLOOKUP(Table2[[#This Row],[Adjusted Form '#]],'[2]REJECTED ORDERS'!$D:$D,'[2]REJECTED ORDERS'!$E:$E)</f>
        <v>#N/A</v>
      </c>
      <c r="Z39" s="1"/>
      <c r="AA39" s="1"/>
      <c r="AB39" s="8"/>
      <c r="AC39" s="8"/>
      <c r="AD39" s="8"/>
      <c r="AE39" s="8"/>
      <c r="AF39" s="8"/>
      <c r="AG39" s="8"/>
      <c r="AH39" s="8"/>
      <c r="AI39" s="8"/>
      <c r="AJ39" s="8"/>
    </row>
    <row r="40" spans="1:36" ht="15" customHeight="1" x14ac:dyDescent="0.35">
      <c r="A40" s="4" t="s">
        <v>57</v>
      </c>
      <c r="B40" s="1" t="s">
        <v>3559</v>
      </c>
      <c r="C40" s="11">
        <v>44935</v>
      </c>
      <c r="D40" s="11" t="s">
        <v>3857</v>
      </c>
      <c r="E40" s="1" t="s">
        <v>21</v>
      </c>
      <c r="F40" s="1" t="s">
        <v>3859</v>
      </c>
      <c r="G40" s="6">
        <f>COUNTIF(F:F,Table2[[#This Row],[Form '#]])</f>
        <v>1</v>
      </c>
      <c r="H40" s="1" t="s">
        <v>3860</v>
      </c>
      <c r="I40" s="1" t="s">
        <v>3852</v>
      </c>
      <c r="J40" s="1" t="s">
        <v>80</v>
      </c>
      <c r="K40" s="1" t="s">
        <v>3853</v>
      </c>
      <c r="L40" s="1"/>
      <c r="M40" s="6" t="str">
        <f>IF(Table2[[#This Row],[Corrected Form '#
 (If Duplicated)]]="",Table2[[#This Row],[Form '#]],Table2[[#This Row],[Corrected Form '#
 (If Duplicated)]])</f>
        <v>7818-21662</v>
      </c>
      <c r="N40" s="1" t="s">
        <v>49</v>
      </c>
      <c r="O40" s="6" t="str">
        <f>IF(Table2[[#This Row],[POG CONFIRMATION RECEIPT OF ORDER
(DATE &amp; TIME)]]="","No Confirmation","Received Confirmation")</f>
        <v>Received Confirmation</v>
      </c>
      <c r="P40" s="6">
        <f ca="1">TODAY()-Table2[[#This Row],[DATE SENT TO POG]]</f>
        <v>368</v>
      </c>
      <c r="Q40" s="6" t="s">
        <v>5803</v>
      </c>
      <c r="R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0" s="2" t="str">
        <f>_xlfn.XLOOKUP(Table2[[#This Row],[Adjusted Form '#]],'[2]IN PROGRESS'!$D:$D,'[2]IN PROGRESS'!$M:$M,"Not Found")</f>
        <v>Not Found</v>
      </c>
      <c r="U40" s="2" t="str">
        <f>_xlfn.XLOOKUP(Table2[[#This Row],[Adjusted Form '#]],[1]COMPLETED!$D:$D,[2]COMPLETED!$M:$M,"Not Found")</f>
        <v>Not Found</v>
      </c>
      <c r="V40" s="17" t="str">
        <f>_xlfn.XLOOKUP(Table2[[#This Row],[Adjusted Form '#]],[2]COMPLETED!$D:$D,[2]COMPLETED!$O:$O,"Not Found")</f>
        <v>Not Found</v>
      </c>
      <c r="W40" s="2" t="str">
        <f>_xlfn.XLOOKUP(Table2[[#This Row],[Adjusted Form '#]],[2]BILLED!$D:$D,[2]BILLED!$M:$M,"Not Found")</f>
        <v>1Z5063E0YW41575718</v>
      </c>
      <c r="X40" s="17" t="e">
        <f>_xlfn.XLOOKUP(Table2[[#This Row],[Adjusted Form '#]],[2]BILLED!$D:$D,[1]BILLED!$O:$O,"Not Found")</f>
        <v>#REF!</v>
      </c>
      <c r="Y40" s="17" t="e">
        <f>_xlfn.XLOOKUP(Table2[[#This Row],[Adjusted Form '#]],'[2]REJECTED ORDERS'!$D:$D,'[2]REJECTED ORDERS'!$E:$E)</f>
        <v>#N/A</v>
      </c>
      <c r="Z40" s="1"/>
      <c r="AA40" s="1"/>
      <c r="AB40" s="8"/>
      <c r="AC40" s="8"/>
      <c r="AD40" s="8"/>
      <c r="AE40" s="8"/>
      <c r="AF40" s="8"/>
      <c r="AG40" s="8"/>
      <c r="AH40" s="8"/>
      <c r="AI40" s="8"/>
      <c r="AJ40" s="8"/>
    </row>
    <row r="41" spans="1:36" ht="15" customHeight="1" x14ac:dyDescent="0.35">
      <c r="A41" s="4" t="s">
        <v>58</v>
      </c>
      <c r="B41" s="1" t="s">
        <v>3559</v>
      </c>
      <c r="C41" s="11">
        <v>44935</v>
      </c>
      <c r="D41" s="11" t="s">
        <v>3857</v>
      </c>
      <c r="E41" s="1" t="s">
        <v>21</v>
      </c>
      <c r="F41" s="1" t="s">
        <v>3861</v>
      </c>
      <c r="G41" s="6">
        <f>COUNTIF(F:F,Table2[[#This Row],[Form '#]])</f>
        <v>1</v>
      </c>
      <c r="H41" s="1" t="s">
        <v>2810</v>
      </c>
      <c r="I41" s="1" t="s">
        <v>3852</v>
      </c>
      <c r="J41" s="1" t="s">
        <v>75</v>
      </c>
      <c r="K41" s="1" t="s">
        <v>3862</v>
      </c>
      <c r="L41" s="1"/>
      <c r="M41" s="6" t="str">
        <f>IF(Table2[[#This Row],[Corrected Form '#
 (If Duplicated)]]="",Table2[[#This Row],[Form '#]],Table2[[#This Row],[Corrected Form '#
 (If Duplicated)]])</f>
        <v>7818-18561</v>
      </c>
      <c r="N41" s="1" t="s">
        <v>49</v>
      </c>
      <c r="O41" s="6" t="str">
        <f>IF(Table2[[#This Row],[POG CONFIRMATION RECEIPT OF ORDER
(DATE &amp; TIME)]]="","No Confirmation","Received Confirmation")</f>
        <v>Received Confirmation</v>
      </c>
      <c r="P41" s="6">
        <f ca="1">TODAY()-Table2[[#This Row],[DATE SENT TO POG]]</f>
        <v>368</v>
      </c>
      <c r="Q41" s="6" t="s">
        <v>5803</v>
      </c>
      <c r="R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" s="2" t="str">
        <f>_xlfn.XLOOKUP(Table2[[#This Row],[Adjusted Form '#]],'[2]IN PROGRESS'!$D:$D,'[2]IN PROGRESS'!$M:$M,"Not Found")</f>
        <v>Not Found</v>
      </c>
      <c r="U41" s="2" t="str">
        <f>_xlfn.XLOOKUP(Table2[[#This Row],[Adjusted Form '#]],[1]COMPLETED!$D:$D,[2]COMPLETED!$M:$M,"Not Found")</f>
        <v>Not Found</v>
      </c>
      <c r="V41" s="17" t="str">
        <f>_xlfn.XLOOKUP(Table2[[#This Row],[Adjusted Form '#]],[2]COMPLETED!$D:$D,[2]COMPLETED!$O:$O,"Not Found")</f>
        <v>Not Found</v>
      </c>
      <c r="W41" s="2" t="str">
        <f>_xlfn.XLOOKUP(Table2[[#This Row],[Adjusted Form '#]],[2]BILLED!$D:$D,[2]BILLED!$M:$M,"Not Found")</f>
        <v>1Z5063E0YW41078327</v>
      </c>
      <c r="X41" s="17" t="e">
        <f>_xlfn.XLOOKUP(Table2[[#This Row],[Adjusted Form '#]],[2]BILLED!$D:$D,[1]BILLED!$O:$O,"Not Found")</f>
        <v>#REF!</v>
      </c>
      <c r="Y41" s="17" t="e">
        <f>_xlfn.XLOOKUP(Table2[[#This Row],[Adjusted Form '#]],'[2]REJECTED ORDERS'!$D:$D,'[2]REJECTED ORDERS'!$E:$E)</f>
        <v>#N/A</v>
      </c>
      <c r="Z41" s="1"/>
      <c r="AA41" s="1"/>
      <c r="AB41" s="8"/>
      <c r="AC41" s="8"/>
      <c r="AD41" s="8"/>
      <c r="AE41" s="8"/>
      <c r="AF41" s="8"/>
      <c r="AG41" s="8"/>
      <c r="AH41" s="8"/>
      <c r="AI41" s="8"/>
      <c r="AJ41" s="8"/>
    </row>
    <row r="42" spans="1:36" ht="15" customHeight="1" x14ac:dyDescent="0.35">
      <c r="A42" s="4" t="s">
        <v>59</v>
      </c>
      <c r="B42" s="1" t="s">
        <v>3559</v>
      </c>
      <c r="C42" s="11">
        <v>44935</v>
      </c>
      <c r="D42" s="11" t="s">
        <v>3857</v>
      </c>
      <c r="E42" s="1" t="s">
        <v>21</v>
      </c>
      <c r="F42" s="1" t="s">
        <v>3863</v>
      </c>
      <c r="G42" s="6">
        <f>COUNTIF(F:F,Table2[[#This Row],[Form '#]])</f>
        <v>1</v>
      </c>
      <c r="H42" s="1" t="s">
        <v>3866</v>
      </c>
      <c r="I42" s="1" t="s">
        <v>3864</v>
      </c>
      <c r="J42" s="1" t="s">
        <v>78</v>
      </c>
      <c r="K42" s="1" t="s">
        <v>3865</v>
      </c>
      <c r="L42" s="1"/>
      <c r="M42" s="6" t="str">
        <f>IF(Table2[[#This Row],[Corrected Form '#
 (If Duplicated)]]="",Table2[[#This Row],[Form '#]],Table2[[#This Row],[Corrected Form '#
 (If Duplicated)]])</f>
        <v>7818-22150</v>
      </c>
      <c r="N42" s="1" t="s">
        <v>49</v>
      </c>
      <c r="O42" s="6" t="str">
        <f>IF(Table2[[#This Row],[POG CONFIRMATION RECEIPT OF ORDER
(DATE &amp; TIME)]]="","No Confirmation","Received Confirmation")</f>
        <v>Received Confirmation</v>
      </c>
      <c r="P42" s="6">
        <f ca="1">TODAY()-Table2[[#This Row],[DATE SENT TO POG]]</f>
        <v>368</v>
      </c>
      <c r="Q42" s="6" t="s">
        <v>5803</v>
      </c>
      <c r="R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" s="2" t="str">
        <f>_xlfn.XLOOKUP(Table2[[#This Row],[Adjusted Form '#]],'[2]IN PROGRESS'!$D:$D,'[2]IN PROGRESS'!$M:$M,"Not Found")</f>
        <v>Not Found</v>
      </c>
      <c r="U42" s="2" t="str">
        <f>_xlfn.XLOOKUP(Table2[[#This Row],[Adjusted Form '#]],[1]COMPLETED!$D:$D,[2]COMPLETED!$M:$M,"Not Found")</f>
        <v>Not Found</v>
      </c>
      <c r="V42" s="17" t="str">
        <f>_xlfn.XLOOKUP(Table2[[#This Row],[Adjusted Form '#]],[2]COMPLETED!$D:$D,[2]COMPLETED!$O:$O,"Not Found")</f>
        <v>Not Found</v>
      </c>
      <c r="W42" s="2" t="str">
        <f>_xlfn.XLOOKUP(Table2[[#This Row],[Adjusted Form '#]],[2]BILLED!$D:$D,[2]BILLED!$M:$M,"Not Found")</f>
        <v>1Z5063E0YW40647642</v>
      </c>
      <c r="X42" s="17" t="e">
        <f>_xlfn.XLOOKUP(Table2[[#This Row],[Adjusted Form '#]],[2]BILLED!$D:$D,[1]BILLED!$O:$O,"Not Found")</f>
        <v>#REF!</v>
      </c>
      <c r="Y42" s="17" t="e">
        <f>_xlfn.XLOOKUP(Table2[[#This Row],[Adjusted Form '#]],'[2]REJECTED ORDERS'!$D:$D,'[2]REJECTED ORDERS'!$E:$E)</f>
        <v>#N/A</v>
      </c>
      <c r="Z42" s="1"/>
      <c r="AA42" s="1"/>
      <c r="AB42" s="8"/>
      <c r="AC42" s="8"/>
      <c r="AD42" s="8"/>
      <c r="AE42" s="8"/>
      <c r="AF42" s="8"/>
      <c r="AG42" s="8"/>
      <c r="AH42" s="8"/>
      <c r="AI42" s="8"/>
      <c r="AJ42" s="8"/>
    </row>
    <row r="43" spans="1:36" ht="15" customHeight="1" x14ac:dyDescent="0.35">
      <c r="A43" s="4" t="s">
        <v>60</v>
      </c>
      <c r="B43" s="1" t="s">
        <v>3559</v>
      </c>
      <c r="C43" s="11">
        <v>44935</v>
      </c>
      <c r="D43" s="11" t="s">
        <v>3857</v>
      </c>
      <c r="E43" s="1" t="s">
        <v>21</v>
      </c>
      <c r="F43" s="1" t="s">
        <v>3867</v>
      </c>
      <c r="G43" s="6">
        <f>COUNTIF(F:F,Table2[[#This Row],[Form '#]])</f>
        <v>1</v>
      </c>
      <c r="H43" s="1" t="s">
        <v>3868</v>
      </c>
      <c r="I43" s="1" t="s">
        <v>3864</v>
      </c>
      <c r="J43" s="1" t="s">
        <v>78</v>
      </c>
      <c r="K43" s="1" t="s">
        <v>3865</v>
      </c>
      <c r="L43" s="1"/>
      <c r="M43" s="6" t="str">
        <f>IF(Table2[[#This Row],[Corrected Form '#
 (If Duplicated)]]="",Table2[[#This Row],[Form '#]],Table2[[#This Row],[Corrected Form '#
 (If Duplicated)]])</f>
        <v>7818-24989</v>
      </c>
      <c r="N43" s="1" t="s">
        <v>49</v>
      </c>
      <c r="O43" s="6" t="str">
        <f>IF(Table2[[#This Row],[POG CONFIRMATION RECEIPT OF ORDER
(DATE &amp; TIME)]]="","No Confirmation","Received Confirmation")</f>
        <v>Received Confirmation</v>
      </c>
      <c r="P43" s="6">
        <f ca="1">TODAY()-Table2[[#This Row],[DATE SENT TO POG]]</f>
        <v>368</v>
      </c>
      <c r="Q43" s="6" t="s">
        <v>5803</v>
      </c>
      <c r="R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" s="2" t="str">
        <f>_xlfn.XLOOKUP(Table2[[#This Row],[Adjusted Form '#]],'[2]IN PROGRESS'!$D:$D,'[2]IN PROGRESS'!$M:$M,"Not Found")</f>
        <v>Not Found</v>
      </c>
      <c r="U43" s="2" t="str">
        <f>_xlfn.XLOOKUP(Table2[[#This Row],[Adjusted Form '#]],[1]COMPLETED!$D:$D,[2]COMPLETED!$M:$M,"Not Found")</f>
        <v>Not Found</v>
      </c>
      <c r="V43" s="17" t="str">
        <f>_xlfn.XLOOKUP(Table2[[#This Row],[Adjusted Form '#]],[2]COMPLETED!$D:$D,[2]COMPLETED!$O:$O,"Not Found")</f>
        <v>Not Found</v>
      </c>
      <c r="W43" s="2" t="str">
        <f>_xlfn.XLOOKUP(Table2[[#This Row],[Adjusted Form '#]],[2]BILLED!$D:$D,[2]BILLED!$M:$M,"Not Found")</f>
        <v>1Z5063E0YW40508462</v>
      </c>
      <c r="X43" s="17" t="e">
        <f>_xlfn.XLOOKUP(Table2[[#This Row],[Adjusted Form '#]],[2]BILLED!$D:$D,[1]BILLED!$O:$O,"Not Found")</f>
        <v>#REF!</v>
      </c>
      <c r="Y43" s="17" t="e">
        <f>_xlfn.XLOOKUP(Table2[[#This Row],[Adjusted Form '#]],'[2]REJECTED ORDERS'!$D:$D,'[2]REJECTED ORDERS'!$E:$E)</f>
        <v>#N/A</v>
      </c>
      <c r="Z43" s="1"/>
      <c r="AA43" s="1"/>
      <c r="AB43" s="8"/>
      <c r="AC43" s="8"/>
      <c r="AD43" s="8"/>
      <c r="AE43" s="8"/>
      <c r="AF43" s="8"/>
      <c r="AG43" s="8"/>
      <c r="AH43" s="8"/>
      <c r="AI43" s="8"/>
      <c r="AJ43" s="8"/>
    </row>
    <row r="44" spans="1:36" ht="15" customHeight="1" x14ac:dyDescent="0.35">
      <c r="A44" s="4" t="s">
        <v>61</v>
      </c>
      <c r="B44" s="1" t="s">
        <v>3559</v>
      </c>
      <c r="C44" s="11">
        <v>44935</v>
      </c>
      <c r="D44" s="11" t="s">
        <v>3857</v>
      </c>
      <c r="E44" s="1" t="s">
        <v>21</v>
      </c>
      <c r="F44" s="1" t="s">
        <v>3869</v>
      </c>
      <c r="G44" s="6">
        <f>COUNTIF(F:F,Table2[[#This Row],[Form '#]])</f>
        <v>1</v>
      </c>
      <c r="H44" s="1" t="s">
        <v>3870</v>
      </c>
      <c r="I44" s="1" t="s">
        <v>3864</v>
      </c>
      <c r="J44" s="1" t="s">
        <v>78</v>
      </c>
      <c r="K44" s="1" t="s">
        <v>3865</v>
      </c>
      <c r="L44" s="1"/>
      <c r="M44" s="6" t="str">
        <f>IF(Table2[[#This Row],[Corrected Form '#
 (If Duplicated)]]="",Table2[[#This Row],[Form '#]],Table2[[#This Row],[Corrected Form '#
 (If Duplicated)]])</f>
        <v>7818-24986</v>
      </c>
      <c r="N44" s="1" t="s">
        <v>49</v>
      </c>
      <c r="O44" s="6" t="str">
        <f>IF(Table2[[#This Row],[POG CONFIRMATION RECEIPT OF ORDER
(DATE &amp; TIME)]]="","No Confirmation","Received Confirmation")</f>
        <v>Received Confirmation</v>
      </c>
      <c r="P44" s="6">
        <f ca="1">TODAY()-Table2[[#This Row],[DATE SENT TO POG]]</f>
        <v>368</v>
      </c>
      <c r="Q44" s="6" t="s">
        <v>5803</v>
      </c>
      <c r="R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4" s="2" t="str">
        <f>_xlfn.XLOOKUP(Table2[[#This Row],[Adjusted Form '#]],'[2]IN PROGRESS'!$D:$D,'[2]IN PROGRESS'!$M:$M,"Not Found")</f>
        <v>Not Found</v>
      </c>
      <c r="U44" s="2" t="str">
        <f>_xlfn.XLOOKUP(Table2[[#This Row],[Adjusted Form '#]],[1]COMPLETED!$D:$D,[2]COMPLETED!$M:$M,"Not Found")</f>
        <v>Not Found</v>
      </c>
      <c r="V44" s="17" t="str">
        <f>_xlfn.XLOOKUP(Table2[[#This Row],[Adjusted Form '#]],[2]COMPLETED!$D:$D,[2]COMPLETED!$O:$O,"Not Found")</f>
        <v>Not Found</v>
      </c>
      <c r="W44" s="2" t="str">
        <f>_xlfn.XLOOKUP(Table2[[#This Row],[Adjusted Form '#]],[2]BILLED!$D:$D,[2]BILLED!$M:$M,"Not Found")</f>
        <v>1Z5063E0YW40122146</v>
      </c>
      <c r="X44" s="17" t="e">
        <f>_xlfn.XLOOKUP(Table2[[#This Row],[Adjusted Form '#]],[2]BILLED!$D:$D,[1]BILLED!$O:$O,"Not Found")</f>
        <v>#REF!</v>
      </c>
      <c r="Y44" s="17" t="e">
        <f>_xlfn.XLOOKUP(Table2[[#This Row],[Adjusted Form '#]],'[2]REJECTED ORDERS'!$D:$D,'[2]REJECTED ORDERS'!$E:$E)</f>
        <v>#N/A</v>
      </c>
      <c r="Z44" s="1"/>
      <c r="AA44" s="1"/>
      <c r="AB44" s="8"/>
      <c r="AC44" s="8"/>
      <c r="AD44" s="8"/>
      <c r="AE44" s="8"/>
      <c r="AF44" s="8"/>
      <c r="AG44" s="8"/>
      <c r="AH44" s="8"/>
      <c r="AI44" s="8"/>
      <c r="AJ44" s="8"/>
    </row>
    <row r="45" spans="1:36" ht="15" customHeight="1" x14ac:dyDescent="0.35">
      <c r="A45" s="4" t="s">
        <v>62</v>
      </c>
      <c r="B45" s="1" t="s">
        <v>3559</v>
      </c>
      <c r="C45" s="11">
        <v>44935</v>
      </c>
      <c r="D45" s="11" t="s">
        <v>3857</v>
      </c>
      <c r="E45" s="1" t="s">
        <v>21</v>
      </c>
      <c r="F45" s="1" t="s">
        <v>3871</v>
      </c>
      <c r="G45" s="6">
        <f>COUNTIF(F:F,Table2[[#This Row],[Form '#]])</f>
        <v>1</v>
      </c>
      <c r="H45" s="1" t="s">
        <v>1285</v>
      </c>
      <c r="I45" s="1" t="s">
        <v>3864</v>
      </c>
      <c r="J45" s="1" t="s">
        <v>78</v>
      </c>
      <c r="K45" s="1" t="s">
        <v>3865</v>
      </c>
      <c r="L45" s="1"/>
      <c r="M45" s="6" t="str">
        <f>IF(Table2[[#This Row],[Corrected Form '#
 (If Duplicated)]]="",Table2[[#This Row],[Form '#]],Table2[[#This Row],[Corrected Form '#
 (If Duplicated)]])</f>
        <v>7818-13072</v>
      </c>
      <c r="N45" s="1" t="s">
        <v>49</v>
      </c>
      <c r="O45" s="6" t="str">
        <f>IF(Table2[[#This Row],[POG CONFIRMATION RECEIPT OF ORDER
(DATE &amp; TIME)]]="","No Confirmation","Received Confirmation")</f>
        <v>Received Confirmation</v>
      </c>
      <c r="P45" s="6">
        <f ca="1">TODAY()-Table2[[#This Row],[DATE SENT TO POG]]</f>
        <v>368</v>
      </c>
      <c r="Q45" s="6" t="s">
        <v>5803</v>
      </c>
      <c r="R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5" s="2" t="str">
        <f>_xlfn.XLOOKUP(Table2[[#This Row],[Adjusted Form '#]],'[2]IN PROGRESS'!$D:$D,'[2]IN PROGRESS'!$M:$M,"Not Found")</f>
        <v>Not Found</v>
      </c>
      <c r="U45" s="2" t="str">
        <f>_xlfn.XLOOKUP(Table2[[#This Row],[Adjusted Form '#]],[1]COMPLETED!$D:$D,[2]COMPLETED!$M:$M,"Not Found")</f>
        <v>Not Found</v>
      </c>
      <c r="V45" s="17" t="str">
        <f>_xlfn.XLOOKUP(Table2[[#This Row],[Adjusted Form '#]],[2]COMPLETED!$D:$D,[2]COMPLETED!$O:$O,"Not Found")</f>
        <v>Not Found</v>
      </c>
      <c r="W45" s="2" t="str">
        <f>_xlfn.XLOOKUP(Table2[[#This Row],[Adjusted Form '#]],[2]BILLED!$D:$D,[2]BILLED!$M:$M,"Not Found")</f>
        <v>1Z5063E0YW40083582</v>
      </c>
      <c r="X45" s="17" t="e">
        <f>_xlfn.XLOOKUP(Table2[[#This Row],[Adjusted Form '#]],[2]BILLED!$D:$D,[1]BILLED!$O:$O,"Not Found")</f>
        <v>#REF!</v>
      </c>
      <c r="Y45" s="17" t="e">
        <f>_xlfn.XLOOKUP(Table2[[#This Row],[Adjusted Form '#]],'[2]REJECTED ORDERS'!$D:$D,'[2]REJECTED ORDERS'!$E:$E)</f>
        <v>#N/A</v>
      </c>
      <c r="Z45" s="1"/>
      <c r="AA45" s="1"/>
      <c r="AB45" s="8"/>
      <c r="AC45" s="8"/>
      <c r="AD45" s="8"/>
      <c r="AE45" s="8"/>
      <c r="AF45" s="8"/>
      <c r="AG45" s="8"/>
      <c r="AH45" s="8"/>
      <c r="AI45" s="8"/>
      <c r="AJ45" s="8"/>
    </row>
    <row r="46" spans="1:36" ht="15" customHeight="1" x14ac:dyDescent="0.35">
      <c r="A46" s="4" t="s">
        <v>63</v>
      </c>
      <c r="B46" s="1" t="s">
        <v>3559</v>
      </c>
      <c r="C46" s="11">
        <v>44935</v>
      </c>
      <c r="D46" s="11" t="s">
        <v>3857</v>
      </c>
      <c r="E46" s="1" t="s">
        <v>21</v>
      </c>
      <c r="F46" s="1" t="s">
        <v>3872</v>
      </c>
      <c r="G46" s="6">
        <f>COUNTIF(F:F,Table2[[#This Row],[Form '#]])</f>
        <v>1</v>
      </c>
      <c r="H46" s="1" t="s">
        <v>3873</v>
      </c>
      <c r="I46" s="1" t="s">
        <v>127</v>
      </c>
      <c r="J46" s="1" t="s">
        <v>74</v>
      </c>
      <c r="K46" s="1" t="s">
        <v>3862</v>
      </c>
      <c r="L46" s="1"/>
      <c r="M46" s="6" t="str">
        <f>IF(Table2[[#This Row],[Corrected Form '#
 (If Duplicated)]]="",Table2[[#This Row],[Form '#]],Table2[[#This Row],[Corrected Form '#
 (If Duplicated)]])</f>
        <v>7818-04391</v>
      </c>
      <c r="N46" s="1" t="s">
        <v>49</v>
      </c>
      <c r="O46" s="6" t="str">
        <f>IF(Table2[[#This Row],[POG CONFIRMATION RECEIPT OF ORDER
(DATE &amp; TIME)]]="","No Confirmation","Received Confirmation")</f>
        <v>Received Confirmation</v>
      </c>
      <c r="P46" s="6">
        <f ca="1">TODAY()-Table2[[#This Row],[DATE SENT TO POG]]</f>
        <v>368</v>
      </c>
      <c r="Q46" s="6" t="s">
        <v>5803</v>
      </c>
      <c r="R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6" s="2" t="str">
        <f>_xlfn.XLOOKUP(Table2[[#This Row],[Adjusted Form '#]],'[2]IN PROGRESS'!$D:$D,'[2]IN PROGRESS'!$M:$M,"Not Found")</f>
        <v>Not Found</v>
      </c>
      <c r="U46" s="2" t="str">
        <f>_xlfn.XLOOKUP(Table2[[#This Row],[Adjusted Form '#]],[1]COMPLETED!$D:$D,[2]COMPLETED!$M:$M,"Not Found")</f>
        <v>Not Found</v>
      </c>
      <c r="V46" s="17" t="str">
        <f>_xlfn.XLOOKUP(Table2[[#This Row],[Adjusted Form '#]],[2]COMPLETED!$D:$D,[2]COMPLETED!$O:$O,"Not Found")</f>
        <v>Not Found</v>
      </c>
      <c r="W46" s="2" t="str">
        <f>_xlfn.XLOOKUP(Table2[[#This Row],[Adjusted Form '#]],[2]BILLED!$D:$D,[2]BILLED!$M:$M,"Not Found")</f>
        <v>1Z5063E0YW40736180</v>
      </c>
      <c r="X46" s="17" t="e">
        <f>_xlfn.XLOOKUP(Table2[[#This Row],[Adjusted Form '#]],[2]BILLED!$D:$D,[1]BILLED!$O:$O,"Not Found")</f>
        <v>#REF!</v>
      </c>
      <c r="Y46" s="17" t="e">
        <f>_xlfn.XLOOKUP(Table2[[#This Row],[Adjusted Form '#]],'[2]REJECTED ORDERS'!$D:$D,'[2]REJECTED ORDERS'!$E:$E)</f>
        <v>#N/A</v>
      </c>
      <c r="Z46" s="1"/>
      <c r="AA46" s="1"/>
      <c r="AB46" s="8"/>
      <c r="AC46" s="8"/>
      <c r="AD46" s="8"/>
      <c r="AE46" s="8"/>
      <c r="AF46" s="8"/>
      <c r="AG46" s="8"/>
      <c r="AH46" s="8"/>
      <c r="AI46" s="8"/>
      <c r="AJ46" s="8"/>
    </row>
    <row r="47" spans="1:36" ht="15" customHeight="1" x14ac:dyDescent="0.35">
      <c r="A47" s="4" t="s">
        <v>65</v>
      </c>
      <c r="B47" s="1" t="s">
        <v>3559</v>
      </c>
      <c r="C47" s="11">
        <v>44935</v>
      </c>
      <c r="D47" s="11" t="s">
        <v>3857</v>
      </c>
      <c r="E47" s="1" t="s">
        <v>21</v>
      </c>
      <c r="F47" s="1" t="s">
        <v>3874</v>
      </c>
      <c r="G47" s="6">
        <f>COUNTIF(F:F,Table2[[#This Row],[Form '#]])</f>
        <v>1</v>
      </c>
      <c r="H47" s="1" t="s">
        <v>3875</v>
      </c>
      <c r="I47" s="1" t="s">
        <v>127</v>
      </c>
      <c r="J47" s="1" t="s">
        <v>74</v>
      </c>
      <c r="K47" s="1" t="s">
        <v>3862</v>
      </c>
      <c r="L47" s="1"/>
      <c r="M47" s="6" t="str">
        <f>IF(Table2[[#This Row],[Corrected Form '#
 (If Duplicated)]]="",Table2[[#This Row],[Form '#]],Table2[[#This Row],[Corrected Form '#
 (If Duplicated)]])</f>
        <v>7818-04390</v>
      </c>
      <c r="N47" s="1" t="s">
        <v>49</v>
      </c>
      <c r="O47" s="6" t="str">
        <f>IF(Table2[[#This Row],[POG CONFIRMATION RECEIPT OF ORDER
(DATE &amp; TIME)]]="","No Confirmation","Received Confirmation")</f>
        <v>Received Confirmation</v>
      </c>
      <c r="P47" s="6">
        <f ca="1">TODAY()-Table2[[#This Row],[DATE SENT TO POG]]</f>
        <v>368</v>
      </c>
      <c r="Q47" s="6" t="s">
        <v>5803</v>
      </c>
      <c r="R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7" s="2" t="str">
        <f>_xlfn.XLOOKUP(Table2[[#This Row],[Adjusted Form '#]],'[2]IN PROGRESS'!$D:$D,'[2]IN PROGRESS'!$M:$M,"Not Found")</f>
        <v>Not Found</v>
      </c>
      <c r="U47" s="2" t="str">
        <f>_xlfn.XLOOKUP(Table2[[#This Row],[Adjusted Form '#]],[1]COMPLETED!$D:$D,[2]COMPLETED!$M:$M,"Not Found")</f>
        <v>Not Found</v>
      </c>
      <c r="V47" s="17" t="str">
        <f>_xlfn.XLOOKUP(Table2[[#This Row],[Adjusted Form '#]],[2]COMPLETED!$D:$D,[2]COMPLETED!$O:$O,"Not Found")</f>
        <v>Not Found</v>
      </c>
      <c r="W47" s="2" t="str">
        <f>_xlfn.XLOOKUP(Table2[[#This Row],[Adjusted Form '#]],[2]BILLED!$D:$D,[2]BILLED!$M:$M,"Not Found")</f>
        <v>1Z5063E0YW41787963</v>
      </c>
      <c r="X47" s="17" t="e">
        <f>_xlfn.XLOOKUP(Table2[[#This Row],[Adjusted Form '#]],[2]BILLED!$D:$D,[1]BILLED!$O:$O,"Not Found")</f>
        <v>#REF!</v>
      </c>
      <c r="Y47" s="17" t="e">
        <f>_xlfn.XLOOKUP(Table2[[#This Row],[Adjusted Form '#]],'[2]REJECTED ORDERS'!$D:$D,'[2]REJECTED ORDERS'!$E:$E)</f>
        <v>#N/A</v>
      </c>
      <c r="Z47" s="1"/>
      <c r="AA47" s="1"/>
      <c r="AB47" s="8"/>
      <c r="AC47" s="8"/>
      <c r="AD47" s="8"/>
      <c r="AE47" s="8"/>
      <c r="AF47" s="8"/>
      <c r="AG47" s="8"/>
      <c r="AH47" s="8"/>
      <c r="AI47" s="8"/>
      <c r="AJ47" s="8"/>
    </row>
    <row r="48" spans="1:36" ht="15" customHeight="1" x14ac:dyDescent="0.35">
      <c r="A48" s="4" t="s">
        <v>66</v>
      </c>
      <c r="B48" s="1" t="s">
        <v>3559</v>
      </c>
      <c r="C48" s="11">
        <v>44935</v>
      </c>
      <c r="D48" s="11" t="s">
        <v>3857</v>
      </c>
      <c r="E48" s="1" t="s">
        <v>21</v>
      </c>
      <c r="F48" s="1" t="s">
        <v>3876</v>
      </c>
      <c r="G48" s="6">
        <f>COUNTIF(F:F,Table2[[#This Row],[Form '#]])</f>
        <v>1</v>
      </c>
      <c r="H48" s="1" t="s">
        <v>2429</v>
      </c>
      <c r="I48" s="1" t="s">
        <v>3864</v>
      </c>
      <c r="J48" s="1" t="s">
        <v>78</v>
      </c>
      <c r="K48" s="1" t="s">
        <v>3865</v>
      </c>
      <c r="L48" s="1"/>
      <c r="M48" s="6" t="str">
        <f>IF(Table2[[#This Row],[Corrected Form '#
 (If Duplicated)]]="",Table2[[#This Row],[Form '#]],Table2[[#This Row],[Corrected Form '#
 (If Duplicated)]])</f>
        <v>7818-26041</v>
      </c>
      <c r="N48" s="1" t="s">
        <v>49</v>
      </c>
      <c r="O48" s="6" t="str">
        <f>IF(Table2[[#This Row],[POG CONFIRMATION RECEIPT OF ORDER
(DATE &amp; TIME)]]="","No Confirmation","Received Confirmation")</f>
        <v>Received Confirmation</v>
      </c>
      <c r="P48" s="6">
        <f ca="1">TODAY()-Table2[[#This Row],[DATE SENT TO POG]]</f>
        <v>368</v>
      </c>
      <c r="Q48" s="6" t="s">
        <v>5803</v>
      </c>
      <c r="R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" s="2" t="str">
        <f>_xlfn.XLOOKUP(Table2[[#This Row],[Adjusted Form '#]],'[2]IN PROGRESS'!$D:$D,'[2]IN PROGRESS'!$M:$M,"Not Found")</f>
        <v>Not Found</v>
      </c>
      <c r="U48" s="2" t="str">
        <f>_xlfn.XLOOKUP(Table2[[#This Row],[Adjusted Form '#]],[1]COMPLETED!$D:$D,[2]COMPLETED!$M:$M,"Not Found")</f>
        <v>Not Found</v>
      </c>
      <c r="V48" s="17" t="str">
        <f>_xlfn.XLOOKUP(Table2[[#This Row],[Adjusted Form '#]],[2]COMPLETED!$D:$D,[2]COMPLETED!$O:$O,"Not Found")</f>
        <v>Not Found</v>
      </c>
      <c r="W48" s="2" t="str">
        <f>_xlfn.XLOOKUP(Table2[[#This Row],[Adjusted Form '#]],[2]BILLED!$D:$D,[2]BILLED!$M:$M,"Not Found")</f>
        <v>1Z5063E0YW41253708</v>
      </c>
      <c r="X48" s="17" t="e">
        <f>_xlfn.XLOOKUP(Table2[[#This Row],[Adjusted Form '#]],[2]BILLED!$D:$D,[1]BILLED!$O:$O,"Not Found")</f>
        <v>#REF!</v>
      </c>
      <c r="Y48" s="17" t="e">
        <f>_xlfn.XLOOKUP(Table2[[#This Row],[Adjusted Form '#]],'[2]REJECTED ORDERS'!$D:$D,'[2]REJECTED ORDERS'!$E:$E)</f>
        <v>#N/A</v>
      </c>
      <c r="Z48" s="1"/>
      <c r="AA48" s="1"/>
      <c r="AB48" s="8"/>
      <c r="AC48" s="8"/>
      <c r="AD48" s="8"/>
      <c r="AE48" s="8"/>
      <c r="AF48" s="8"/>
      <c r="AG48" s="8"/>
      <c r="AH48" s="8"/>
      <c r="AI48" s="8"/>
      <c r="AJ48" s="8"/>
    </row>
    <row r="49" spans="1:36" ht="15" customHeight="1" x14ac:dyDescent="0.35">
      <c r="A49" s="4" t="s">
        <v>67</v>
      </c>
      <c r="B49" s="1" t="s">
        <v>3559</v>
      </c>
      <c r="C49" s="11">
        <v>44935</v>
      </c>
      <c r="D49" s="11" t="s">
        <v>3857</v>
      </c>
      <c r="E49" s="1" t="s">
        <v>21</v>
      </c>
      <c r="F49" s="1" t="s">
        <v>3877</v>
      </c>
      <c r="G49" s="6">
        <f>COUNTIF(F:F,Table2[[#This Row],[Form '#]])</f>
        <v>1</v>
      </c>
      <c r="H49" s="1" t="s">
        <v>810</v>
      </c>
      <c r="I49" s="1" t="s">
        <v>3852</v>
      </c>
      <c r="J49" s="1" t="s">
        <v>80</v>
      </c>
      <c r="K49" s="1" t="s">
        <v>3862</v>
      </c>
      <c r="L49" s="1"/>
      <c r="M49" s="6" t="str">
        <f>IF(Table2[[#This Row],[Corrected Form '#
 (If Duplicated)]]="",Table2[[#This Row],[Form '#]],Table2[[#This Row],[Corrected Form '#
 (If Duplicated)]])</f>
        <v>7818-23359</v>
      </c>
      <c r="N49" s="1" t="s">
        <v>49</v>
      </c>
      <c r="O49" s="6" t="str">
        <f>IF(Table2[[#This Row],[POG CONFIRMATION RECEIPT OF ORDER
(DATE &amp; TIME)]]="","No Confirmation","Received Confirmation")</f>
        <v>Received Confirmation</v>
      </c>
      <c r="P49" s="6">
        <f ca="1">TODAY()-Table2[[#This Row],[DATE SENT TO POG]]</f>
        <v>368</v>
      </c>
      <c r="Q49" s="6" t="s">
        <v>5803</v>
      </c>
      <c r="R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9" s="2" t="str">
        <f>_xlfn.XLOOKUP(Table2[[#This Row],[Adjusted Form '#]],'[2]IN PROGRESS'!$D:$D,'[2]IN PROGRESS'!$M:$M,"Not Found")</f>
        <v>Not Found</v>
      </c>
      <c r="U49" s="2" t="str">
        <f>_xlfn.XLOOKUP(Table2[[#This Row],[Adjusted Form '#]],[1]COMPLETED!$D:$D,[2]COMPLETED!$M:$M,"Not Found")</f>
        <v>Not Found</v>
      </c>
      <c r="V49" s="17">
        <f>_xlfn.XLOOKUP(Table2[[#This Row],[Adjusted Form '#]],[2]COMPLETED!$D:$D,[2]COMPLETED!$O:$O,"Not Found")</f>
        <v>0</v>
      </c>
      <c r="W49" s="2" t="str">
        <f>_xlfn.XLOOKUP(Table2[[#This Row],[Adjusted Form '#]],[2]BILLED!$D:$D,[2]BILLED!$M:$M,"Not Found")</f>
        <v>Not Found</v>
      </c>
      <c r="X49" s="17" t="str">
        <f>_xlfn.XLOOKUP(Table2[[#This Row],[Adjusted Form '#]],[2]BILLED!$D:$D,[1]BILLED!$O:$O,"Not Found")</f>
        <v>Not Found</v>
      </c>
      <c r="Y49" s="17" t="e">
        <f>_xlfn.XLOOKUP(Table2[[#This Row],[Adjusted Form '#]],'[2]REJECTED ORDERS'!$D:$D,'[2]REJECTED ORDERS'!$E:$E)</f>
        <v>#N/A</v>
      </c>
      <c r="Z49" s="1"/>
      <c r="AA49" s="1"/>
      <c r="AB49" s="8"/>
      <c r="AC49" s="8"/>
      <c r="AD49" s="8"/>
      <c r="AE49" s="8"/>
      <c r="AF49" s="8"/>
      <c r="AG49" s="8"/>
      <c r="AH49" s="8"/>
      <c r="AI49" s="8"/>
      <c r="AJ49" s="8"/>
    </row>
    <row r="50" spans="1:36" ht="15" customHeight="1" x14ac:dyDescent="0.35">
      <c r="A50" s="4" t="s">
        <v>68</v>
      </c>
      <c r="B50" s="1" t="s">
        <v>3559</v>
      </c>
      <c r="C50" s="11">
        <v>44935</v>
      </c>
      <c r="D50" s="11" t="s">
        <v>3857</v>
      </c>
      <c r="E50" s="1" t="s">
        <v>21</v>
      </c>
      <c r="F50" s="1" t="s">
        <v>3878</v>
      </c>
      <c r="G50" s="6">
        <f>COUNTIF(F:F,Table2[[#This Row],[Form '#]])</f>
        <v>1</v>
      </c>
      <c r="H50" s="1" t="s">
        <v>3880</v>
      </c>
      <c r="I50" s="1" t="s">
        <v>3864</v>
      </c>
      <c r="J50" s="1" t="s">
        <v>78</v>
      </c>
      <c r="K50" s="1" t="s">
        <v>3879</v>
      </c>
      <c r="L50" s="1"/>
      <c r="M50" s="6" t="str">
        <f>IF(Table2[[#This Row],[Corrected Form '#
 (If Duplicated)]]="",Table2[[#This Row],[Form '#]],Table2[[#This Row],[Corrected Form '#
 (If Duplicated)]])</f>
        <v>7818-26040</v>
      </c>
      <c r="N50" s="1" t="s">
        <v>49</v>
      </c>
      <c r="O50" s="6" t="str">
        <f>IF(Table2[[#This Row],[POG CONFIRMATION RECEIPT OF ORDER
(DATE &amp; TIME)]]="","No Confirmation","Received Confirmation")</f>
        <v>Received Confirmation</v>
      </c>
      <c r="P50" s="6">
        <f ca="1">TODAY()-Table2[[#This Row],[DATE SENT TO POG]]</f>
        <v>368</v>
      </c>
      <c r="Q50" s="6" t="s">
        <v>5803</v>
      </c>
      <c r="R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" s="2" t="str">
        <f>_xlfn.XLOOKUP(Table2[[#This Row],[Adjusted Form '#]],'[2]IN PROGRESS'!$D:$D,'[2]IN PROGRESS'!$M:$M,"Not Found")</f>
        <v>Not Found</v>
      </c>
      <c r="U50" s="2" t="str">
        <f>_xlfn.XLOOKUP(Table2[[#This Row],[Adjusted Form '#]],[1]COMPLETED!$D:$D,[2]COMPLETED!$M:$M,"Not Found")</f>
        <v>Not Found</v>
      </c>
      <c r="V50" s="17" t="str">
        <f>_xlfn.XLOOKUP(Table2[[#This Row],[Adjusted Form '#]],[2]COMPLETED!$D:$D,[2]COMPLETED!$O:$O,"Not Found")</f>
        <v>Not Found</v>
      </c>
      <c r="W50" s="2" t="str">
        <f>_xlfn.XLOOKUP(Table2[[#This Row],[Adjusted Form '#]],[2]BILLED!$D:$D,[2]BILLED!$M:$M,"Not Found")</f>
        <v>1Z5063E0YW42844676</v>
      </c>
      <c r="X50" s="17" t="e">
        <f>_xlfn.XLOOKUP(Table2[[#This Row],[Adjusted Form '#]],[2]BILLED!$D:$D,[1]BILLED!$O:$O,"Not Found")</f>
        <v>#REF!</v>
      </c>
      <c r="Y50" s="17" t="e">
        <f>_xlfn.XLOOKUP(Table2[[#This Row],[Adjusted Form '#]],'[2]REJECTED ORDERS'!$D:$D,'[2]REJECTED ORDERS'!$E:$E)</f>
        <v>#N/A</v>
      </c>
      <c r="Z50" s="1"/>
      <c r="AA50" s="1"/>
      <c r="AB50" s="8"/>
      <c r="AC50" s="8"/>
      <c r="AD50" s="8"/>
      <c r="AE50" s="8"/>
      <c r="AF50" s="8"/>
      <c r="AG50" s="8"/>
      <c r="AH50" s="8"/>
      <c r="AI50" s="8"/>
      <c r="AJ50" s="8"/>
    </row>
    <row r="51" spans="1:36" ht="15" customHeight="1" x14ac:dyDescent="0.35">
      <c r="A51" s="4" t="s">
        <v>69</v>
      </c>
      <c r="B51" s="1" t="s">
        <v>3881</v>
      </c>
      <c r="C51" s="11">
        <v>44936</v>
      </c>
      <c r="E51" s="1" t="s">
        <v>21</v>
      </c>
      <c r="F51" s="1" t="s">
        <v>3882</v>
      </c>
      <c r="G51" s="6">
        <f>COUNTIF(F:F,Table2[[#This Row],[Form '#]])</f>
        <v>1</v>
      </c>
      <c r="H51" s="1" t="s">
        <v>3644</v>
      </c>
      <c r="I51" s="1" t="s">
        <v>127</v>
      </c>
      <c r="J51" s="1" t="s">
        <v>76</v>
      </c>
      <c r="K51" s="1" t="s">
        <v>3883</v>
      </c>
      <c r="L51" s="1"/>
      <c r="M51" s="6" t="str">
        <f>IF(Table2[[#This Row],[Corrected Form '#
 (If Duplicated)]]="",Table2[[#This Row],[Form '#]],Table2[[#This Row],[Corrected Form '#
 (If Duplicated)]])</f>
        <v>7818-26042</v>
      </c>
      <c r="N51" s="1" t="s">
        <v>104</v>
      </c>
      <c r="O51" s="6" t="str">
        <f>IF(Table2[[#This Row],[POG CONFIRMATION RECEIPT OF ORDER
(DATE &amp; TIME)]]="","No Confirmation","Received Confirmation")</f>
        <v>No Confirmation</v>
      </c>
      <c r="P51" s="6">
        <f ca="1">TODAY()-Table2[[#This Row],[DATE SENT TO POG]]</f>
        <v>367</v>
      </c>
      <c r="Q51" s="6" t="s">
        <v>5802</v>
      </c>
      <c r="R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5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51" s="2" t="str">
        <f>_xlfn.XLOOKUP(Table2[[#This Row],[Adjusted Form '#]],'[2]IN PROGRESS'!$D:$D,'[2]IN PROGRESS'!$M:$M,"Not Found")</f>
        <v>Not Found</v>
      </c>
      <c r="U51" s="2" t="str">
        <f>_xlfn.XLOOKUP(Table2[[#This Row],[Adjusted Form '#]],[1]COMPLETED!$D:$D,[2]COMPLETED!$M:$M,"Not Found")</f>
        <v>Not Found</v>
      </c>
      <c r="V51" s="17" t="str">
        <f>_xlfn.XLOOKUP(Table2[[#This Row],[Adjusted Form '#]],[2]COMPLETED!$D:$D,[2]COMPLETED!$O:$O,"Not Found")</f>
        <v>Not Found</v>
      </c>
      <c r="W51" s="2" t="str">
        <f>_xlfn.XLOOKUP(Table2[[#This Row],[Adjusted Form '#]],[2]BILLED!$D:$D,[2]BILLED!$M:$M,"Not Found")</f>
        <v>Not Found</v>
      </c>
      <c r="X51" s="17" t="str">
        <f>_xlfn.XLOOKUP(Table2[[#This Row],[Adjusted Form '#]],[2]BILLED!$D:$D,[1]BILLED!$O:$O,"Not Found")</f>
        <v>Not Found</v>
      </c>
      <c r="Y51" s="17" t="e">
        <f>_xlfn.XLOOKUP(Table2[[#This Row],[Adjusted Form '#]],'[2]REJECTED ORDERS'!$D:$D,'[2]REJECTED ORDERS'!$E:$E)</f>
        <v>#N/A</v>
      </c>
      <c r="Z51" s="1"/>
      <c r="AA51" s="1"/>
      <c r="AB51" s="8"/>
      <c r="AC51" s="8"/>
      <c r="AD51" s="8"/>
      <c r="AE51" s="8"/>
      <c r="AF51" s="8"/>
      <c r="AG51" s="8"/>
      <c r="AH51" s="8"/>
      <c r="AI51" s="8"/>
      <c r="AJ51" s="8"/>
    </row>
    <row r="52" spans="1:36" ht="15" customHeight="1" x14ac:dyDescent="0.35">
      <c r="A52" s="4" t="s">
        <v>70</v>
      </c>
      <c r="B52" s="1" t="s">
        <v>3515</v>
      </c>
      <c r="C52" s="11">
        <v>44936</v>
      </c>
      <c r="D52" s="11" t="s">
        <v>3884</v>
      </c>
      <c r="E52" s="1" t="s">
        <v>1592</v>
      </c>
      <c r="F52" s="1" t="s">
        <v>3885</v>
      </c>
      <c r="G52" s="6">
        <f>COUNTIF(F:F,Table2[[#This Row],[Form '#]])</f>
        <v>1</v>
      </c>
      <c r="H52" s="1" t="s">
        <v>3886</v>
      </c>
      <c r="I52" s="1" t="s">
        <v>127</v>
      </c>
      <c r="J52" s="1" t="s">
        <v>76</v>
      </c>
      <c r="K52" s="1" t="s">
        <v>3862</v>
      </c>
      <c r="L52" s="1"/>
      <c r="M52" s="6" t="str">
        <f>IF(Table2[[#This Row],[Corrected Form '#
 (If Duplicated)]]="",Table2[[#This Row],[Form '#]],Table2[[#This Row],[Corrected Form '#
 (If Duplicated)]])</f>
        <v>7811-00051</v>
      </c>
      <c r="N52" s="1" t="s">
        <v>49</v>
      </c>
      <c r="O52" s="6" t="str">
        <f>IF(Table2[[#This Row],[POG CONFIRMATION RECEIPT OF ORDER
(DATE &amp; TIME)]]="","No Confirmation","Received Confirmation")</f>
        <v>Received Confirmation</v>
      </c>
      <c r="P52" s="6">
        <f ca="1">TODAY()-Table2[[#This Row],[DATE SENT TO POG]]</f>
        <v>367</v>
      </c>
      <c r="Q52" s="6" t="s">
        <v>5803</v>
      </c>
      <c r="R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" s="2" t="str">
        <f>_xlfn.XLOOKUP(Table2[[#This Row],[Adjusted Form '#]],'[2]IN PROGRESS'!$D:$D,'[2]IN PROGRESS'!$M:$M,"Not Found")</f>
        <v>Not Found</v>
      </c>
      <c r="U52" s="2" t="str">
        <f>_xlfn.XLOOKUP(Table2[[#This Row],[Adjusted Form '#]],[1]COMPLETED!$D:$D,[2]COMPLETED!$M:$M,"Not Found")</f>
        <v>Not Found</v>
      </c>
      <c r="V52" s="17" t="str">
        <f>_xlfn.XLOOKUP(Table2[[#This Row],[Adjusted Form '#]],[2]COMPLETED!$D:$D,[2]COMPLETED!$O:$O,"Not Found")</f>
        <v>Not Found</v>
      </c>
      <c r="W52" s="2" t="str">
        <f>_xlfn.XLOOKUP(Table2[[#This Row],[Adjusted Form '#]],[2]BILLED!$D:$D,[2]BILLED!$M:$M,"Not Found")</f>
        <v>1Z5063E0YW42107150</v>
      </c>
      <c r="X52" s="17" t="e">
        <f>_xlfn.XLOOKUP(Table2[[#This Row],[Adjusted Form '#]],[2]BILLED!$D:$D,[1]BILLED!$O:$O,"Not Found")</f>
        <v>#REF!</v>
      </c>
      <c r="Y52" s="17" t="str">
        <f>_xlfn.XLOOKUP(Table2[[#This Row],[Adjusted Form '#]],'[2]REJECTED ORDERS'!$D:$D,'[2]REJECTED ORDERS'!$E:$E)</f>
        <v>FORM NUMBER ALREADY USED</v>
      </c>
      <c r="Z52" s="1"/>
      <c r="AA52" s="1"/>
      <c r="AB52" s="8"/>
      <c r="AC52" s="8"/>
      <c r="AD52" s="8"/>
      <c r="AE52" s="8"/>
      <c r="AF52" s="8"/>
      <c r="AG52" s="8"/>
      <c r="AH52" s="8"/>
      <c r="AI52" s="8"/>
      <c r="AJ52" s="8"/>
    </row>
    <row r="53" spans="1:36" ht="15" customHeight="1" x14ac:dyDescent="0.35">
      <c r="A53" s="4" t="s">
        <v>71</v>
      </c>
      <c r="B53" s="1" t="s">
        <v>1329</v>
      </c>
      <c r="C53" s="11">
        <v>44936</v>
      </c>
      <c r="E53" s="1" t="s">
        <v>21</v>
      </c>
      <c r="F53" s="1" t="s">
        <v>3887</v>
      </c>
      <c r="G53" s="6">
        <f>COUNTIF(F:F,Table2[[#This Row],[Form '#]])</f>
        <v>2</v>
      </c>
      <c r="H53" s="1" t="s">
        <v>3888</v>
      </c>
      <c r="I53" s="1" t="s">
        <v>3852</v>
      </c>
      <c r="J53" s="1" t="s">
        <v>80</v>
      </c>
      <c r="K53" s="1" t="s">
        <v>3853</v>
      </c>
      <c r="L53" s="1"/>
      <c r="M53" s="6" t="str">
        <f>IF(Table2[[#This Row],[Corrected Form '#
 (If Duplicated)]]="",Table2[[#This Row],[Form '#]],Table2[[#This Row],[Corrected Form '#
 (If Duplicated)]])</f>
        <v>7818-18829</v>
      </c>
      <c r="N53" s="1" t="s">
        <v>104</v>
      </c>
      <c r="O53" s="6" t="str">
        <f>IF(Table2[[#This Row],[POG CONFIRMATION RECEIPT OF ORDER
(DATE &amp; TIME)]]="","No Confirmation","Received Confirmation")</f>
        <v>No Confirmation</v>
      </c>
      <c r="P53" s="6">
        <f ca="1">TODAY()-Table2[[#This Row],[DATE SENT TO POG]]</f>
        <v>367</v>
      </c>
      <c r="Q53" s="6" t="s">
        <v>5802</v>
      </c>
      <c r="R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5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53" s="2" t="str">
        <f>_xlfn.XLOOKUP(Table2[[#This Row],[Adjusted Form '#]],'[2]IN PROGRESS'!$D:$D,'[2]IN PROGRESS'!$M:$M,"Not Found")</f>
        <v>Not Found</v>
      </c>
      <c r="U53" s="2" t="str">
        <f>_xlfn.XLOOKUP(Table2[[#This Row],[Adjusted Form '#]],[1]COMPLETED!$D:$D,[2]COMPLETED!$M:$M,"Not Found")</f>
        <v>Not Found</v>
      </c>
      <c r="V53" s="17" t="str">
        <f>_xlfn.XLOOKUP(Table2[[#This Row],[Adjusted Form '#]],[2]COMPLETED!$D:$D,[2]COMPLETED!$O:$O,"Not Found")</f>
        <v>Not Found</v>
      </c>
      <c r="W53" s="2" t="str">
        <f>_xlfn.XLOOKUP(Table2[[#This Row],[Adjusted Form '#]],[2]BILLED!$D:$D,[2]BILLED!$M:$M,"Not Found")</f>
        <v>Not Found</v>
      </c>
      <c r="X53" s="17" t="str">
        <f>_xlfn.XLOOKUP(Table2[[#This Row],[Adjusted Form '#]],[2]BILLED!$D:$D,[1]BILLED!$O:$O,"Not Found")</f>
        <v>Not Found</v>
      </c>
      <c r="Y53" s="17" t="e">
        <f>_xlfn.XLOOKUP(Table2[[#This Row],[Adjusted Form '#]],'[2]REJECTED ORDERS'!$D:$D,'[2]REJECTED ORDERS'!$E:$E)</f>
        <v>#N/A</v>
      </c>
      <c r="Z53" s="1"/>
      <c r="AA53" s="1"/>
      <c r="AB53" s="8"/>
      <c r="AC53" s="8"/>
      <c r="AD53" s="8"/>
      <c r="AE53" s="8"/>
      <c r="AF53" s="8"/>
      <c r="AG53" s="8"/>
      <c r="AH53" s="8"/>
      <c r="AI53" s="8"/>
      <c r="AJ53" s="8"/>
    </row>
    <row r="54" spans="1:36" ht="15" customHeight="1" x14ac:dyDescent="0.35">
      <c r="A54" s="4" t="s">
        <v>72</v>
      </c>
      <c r="B54" s="1" t="s">
        <v>1117</v>
      </c>
      <c r="C54" s="11">
        <v>44936</v>
      </c>
      <c r="D54" s="11" t="s">
        <v>3889</v>
      </c>
      <c r="E54" s="1" t="s">
        <v>73</v>
      </c>
      <c r="F54" s="1" t="s">
        <v>3890</v>
      </c>
      <c r="G54" s="6">
        <f>COUNTIF(F:F,Table2[[#This Row],[Form '#]])</f>
        <v>2</v>
      </c>
      <c r="H54" s="1" t="s">
        <v>3892</v>
      </c>
      <c r="I54" s="1" t="s">
        <v>758</v>
      </c>
      <c r="J54" s="1" t="s">
        <v>3891</v>
      </c>
      <c r="K54" s="1" t="s">
        <v>3853</v>
      </c>
      <c r="L54" s="1"/>
      <c r="M54" s="6" t="str">
        <f>IF(Table2[[#This Row],[Corrected Form '#
 (If Duplicated)]]="",Table2[[#This Row],[Form '#]],Table2[[#This Row],[Corrected Form '#
 (If Duplicated)]])</f>
        <v>7823-03381</v>
      </c>
      <c r="N54" s="1" t="s">
        <v>49</v>
      </c>
      <c r="O54" s="6" t="str">
        <f>IF(Table2[[#This Row],[POG CONFIRMATION RECEIPT OF ORDER
(DATE &amp; TIME)]]="","No Confirmation","Received Confirmation")</f>
        <v>Received Confirmation</v>
      </c>
      <c r="P54" s="6">
        <f ca="1">TODAY()-Table2[[#This Row],[DATE SENT TO POG]]</f>
        <v>367</v>
      </c>
      <c r="Q54" s="6" t="s">
        <v>5803</v>
      </c>
      <c r="R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" s="2" t="str">
        <f>_xlfn.XLOOKUP(Table2[[#This Row],[Adjusted Form '#]],'[2]IN PROGRESS'!$D:$D,'[2]IN PROGRESS'!$M:$M,"Not Found")</f>
        <v>Not Found</v>
      </c>
      <c r="U54" s="2" t="str">
        <f>_xlfn.XLOOKUP(Table2[[#This Row],[Adjusted Form '#]],[1]COMPLETED!$D:$D,[2]COMPLETED!$M:$M,"Not Found")</f>
        <v>Not Found</v>
      </c>
      <c r="V54" s="17" t="str">
        <f>_xlfn.XLOOKUP(Table2[[#This Row],[Adjusted Form '#]],[2]COMPLETED!$D:$D,[2]COMPLETED!$O:$O,"Not Found")</f>
        <v>Not Found</v>
      </c>
      <c r="W54" s="2" t="str">
        <f>_xlfn.XLOOKUP(Table2[[#This Row],[Adjusted Form '#]],[2]BILLED!$D:$D,[2]BILLED!$M:$M,"Not Found")</f>
        <v>9400 1112 0620 7376 7081 25</v>
      </c>
      <c r="X54" s="17" t="e">
        <f>_xlfn.XLOOKUP(Table2[[#This Row],[Adjusted Form '#]],[2]BILLED!$D:$D,[1]BILLED!$O:$O,"Not Found")</f>
        <v>#REF!</v>
      </c>
      <c r="Y54" s="17" t="e">
        <f>_xlfn.XLOOKUP(Table2[[#This Row],[Adjusted Form '#]],'[2]REJECTED ORDERS'!$D:$D,'[2]REJECTED ORDERS'!$E:$E)</f>
        <v>#N/A</v>
      </c>
      <c r="Z54" s="1"/>
      <c r="AA54" s="1"/>
      <c r="AB54" s="8"/>
      <c r="AC54" s="8"/>
      <c r="AD54" s="8"/>
      <c r="AE54" s="8"/>
      <c r="AF54" s="8"/>
      <c r="AG54" s="8"/>
      <c r="AH54" s="8"/>
      <c r="AI54" s="8"/>
      <c r="AJ54" s="8"/>
    </row>
    <row r="55" spans="1:36" ht="15" customHeight="1" x14ac:dyDescent="0.35">
      <c r="A55" s="4" t="s">
        <v>74</v>
      </c>
      <c r="B55" s="1" t="s">
        <v>2605</v>
      </c>
      <c r="C55" s="11">
        <v>44936</v>
      </c>
      <c r="D55" s="11" t="s">
        <v>3893</v>
      </c>
      <c r="E55" s="1" t="s">
        <v>21</v>
      </c>
      <c r="F55" s="1" t="s">
        <v>3894</v>
      </c>
      <c r="G55" s="6">
        <f>COUNTIF(F:F,Table2[[#This Row],[Form '#]])</f>
        <v>1</v>
      </c>
      <c r="H55" s="1" t="s">
        <v>3895</v>
      </c>
      <c r="I55" s="1" t="s">
        <v>3852</v>
      </c>
      <c r="J55" s="1" t="s">
        <v>80</v>
      </c>
      <c r="K55" s="1" t="s">
        <v>3853</v>
      </c>
      <c r="L55" s="1"/>
      <c r="M55" s="6" t="str">
        <f>IF(Table2[[#This Row],[Corrected Form '#
 (If Duplicated)]]="",Table2[[#This Row],[Form '#]],Table2[[#This Row],[Corrected Form '#
 (If Duplicated)]])</f>
        <v>7818-14699</v>
      </c>
      <c r="N55" s="1" t="s">
        <v>49</v>
      </c>
      <c r="O55" s="6" t="str">
        <f>IF(Table2[[#This Row],[POG CONFIRMATION RECEIPT OF ORDER
(DATE &amp; TIME)]]="","No Confirmation","Received Confirmation")</f>
        <v>Received Confirmation</v>
      </c>
      <c r="P55" s="6">
        <f ca="1">TODAY()-Table2[[#This Row],[DATE SENT TO POG]]</f>
        <v>367</v>
      </c>
      <c r="Q55" s="6" t="s">
        <v>5803</v>
      </c>
      <c r="R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" s="2" t="str">
        <f>_xlfn.XLOOKUP(Table2[[#This Row],[Adjusted Form '#]],'[2]IN PROGRESS'!$D:$D,'[2]IN PROGRESS'!$M:$M,"Not Found")</f>
        <v>Not Found</v>
      </c>
      <c r="U55" s="2" t="str">
        <f>_xlfn.XLOOKUP(Table2[[#This Row],[Adjusted Form '#]],[1]COMPLETED!$D:$D,[2]COMPLETED!$M:$M,"Not Found")</f>
        <v>Not Found</v>
      </c>
      <c r="V55" s="17" t="str">
        <f>_xlfn.XLOOKUP(Table2[[#This Row],[Adjusted Form '#]],[2]COMPLETED!$D:$D,[2]COMPLETED!$O:$O,"Not Found")</f>
        <v>Not Found</v>
      </c>
      <c r="W55" s="2" t="str">
        <f>_xlfn.XLOOKUP(Table2[[#This Row],[Adjusted Form '#]],[2]BILLED!$D:$D,[2]BILLED!$M:$M,"Not Found")</f>
        <v>9400 1112 0620 7703 5286 55</v>
      </c>
      <c r="X55" s="17" t="e">
        <f>_xlfn.XLOOKUP(Table2[[#This Row],[Adjusted Form '#]],[2]BILLED!$D:$D,[1]BILLED!$O:$O,"Not Found")</f>
        <v>#REF!</v>
      </c>
      <c r="Y55" s="17" t="e">
        <f>_xlfn.XLOOKUP(Table2[[#This Row],[Adjusted Form '#]],'[2]REJECTED ORDERS'!$D:$D,'[2]REJECTED ORDERS'!$E:$E)</f>
        <v>#N/A</v>
      </c>
      <c r="Z55" s="1"/>
      <c r="AA55" s="1"/>
      <c r="AB55" s="8"/>
      <c r="AC55" s="8"/>
      <c r="AD55" s="8"/>
      <c r="AE55" s="8"/>
      <c r="AF55" s="8"/>
      <c r="AG55" s="8"/>
      <c r="AH55" s="8"/>
      <c r="AI55" s="8"/>
      <c r="AJ55" s="8"/>
    </row>
    <row r="56" spans="1:36" ht="15" customHeight="1" x14ac:dyDescent="0.35">
      <c r="A56" s="4" t="s">
        <v>75</v>
      </c>
      <c r="B56" s="1" t="s">
        <v>2605</v>
      </c>
      <c r="C56" s="11">
        <v>44936</v>
      </c>
      <c r="D56" s="11" t="s">
        <v>3893</v>
      </c>
      <c r="E56" s="1" t="s">
        <v>21</v>
      </c>
      <c r="F56" s="1" t="s">
        <v>3896</v>
      </c>
      <c r="G56" s="6">
        <f>COUNTIF(F:F,Table2[[#This Row],[Form '#]])</f>
        <v>1</v>
      </c>
      <c r="H56" s="1" t="s">
        <v>2251</v>
      </c>
      <c r="I56" s="1" t="s">
        <v>3864</v>
      </c>
      <c r="J56" s="1" t="s">
        <v>78</v>
      </c>
      <c r="K56" s="1" t="s">
        <v>3879</v>
      </c>
      <c r="L56" s="1"/>
      <c r="M56" s="6" t="str">
        <f>IF(Table2[[#This Row],[Corrected Form '#
 (If Duplicated)]]="",Table2[[#This Row],[Form '#]],Table2[[#This Row],[Corrected Form '#
 (If Duplicated)]])</f>
        <v>7818-14909</v>
      </c>
      <c r="N56" s="1" t="s">
        <v>49</v>
      </c>
      <c r="O56" s="6" t="str">
        <f>IF(Table2[[#This Row],[POG CONFIRMATION RECEIPT OF ORDER
(DATE &amp; TIME)]]="","No Confirmation","Received Confirmation")</f>
        <v>Received Confirmation</v>
      </c>
      <c r="P56" s="6">
        <f ca="1">TODAY()-Table2[[#This Row],[DATE SENT TO POG]]</f>
        <v>367</v>
      </c>
      <c r="Q56" s="6" t="s">
        <v>5803</v>
      </c>
      <c r="R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" s="2" t="str">
        <f>_xlfn.XLOOKUP(Table2[[#This Row],[Adjusted Form '#]],'[2]IN PROGRESS'!$D:$D,'[2]IN PROGRESS'!$M:$M,"Not Found")</f>
        <v>Not Found</v>
      </c>
      <c r="U56" s="2" t="str">
        <f>_xlfn.XLOOKUP(Table2[[#This Row],[Adjusted Form '#]],[1]COMPLETED!$D:$D,[2]COMPLETED!$M:$M,"Not Found")</f>
        <v>Not Found</v>
      </c>
      <c r="V56" s="17" t="str">
        <f>_xlfn.XLOOKUP(Table2[[#This Row],[Adjusted Form '#]],[2]COMPLETED!$D:$D,[2]COMPLETED!$O:$O,"Not Found")</f>
        <v>Not Found</v>
      </c>
      <c r="W56" s="2" t="str">
        <f>_xlfn.XLOOKUP(Table2[[#This Row],[Adjusted Form '#]],[2]BILLED!$D:$D,[2]BILLED!$M:$M,"Not Found")</f>
        <v>1Z5063E0YW40896481</v>
      </c>
      <c r="X56" s="17" t="e">
        <f>_xlfn.XLOOKUP(Table2[[#This Row],[Adjusted Form '#]],[2]BILLED!$D:$D,[1]BILLED!$O:$O,"Not Found")</f>
        <v>#REF!</v>
      </c>
      <c r="Y56" s="17" t="e">
        <f>_xlfn.XLOOKUP(Table2[[#This Row],[Adjusted Form '#]],'[2]REJECTED ORDERS'!$D:$D,'[2]REJECTED ORDERS'!$E:$E)</f>
        <v>#N/A</v>
      </c>
      <c r="Z56" s="1"/>
      <c r="AA56" s="1"/>
      <c r="AB56" s="8"/>
      <c r="AC56" s="8"/>
      <c r="AD56" s="8"/>
      <c r="AE56" s="8"/>
      <c r="AF56" s="8"/>
      <c r="AG56" s="8"/>
      <c r="AH56" s="8"/>
      <c r="AI56" s="8"/>
      <c r="AJ56" s="8"/>
    </row>
    <row r="57" spans="1:36" ht="15" customHeight="1" x14ac:dyDescent="0.35">
      <c r="A57" s="4" t="s">
        <v>76</v>
      </c>
      <c r="B57" s="1" t="s">
        <v>2605</v>
      </c>
      <c r="C57" s="11">
        <v>44936</v>
      </c>
      <c r="D57" s="11" t="s">
        <v>3893</v>
      </c>
      <c r="E57" s="1" t="s">
        <v>21</v>
      </c>
      <c r="F57" s="1" t="s">
        <v>3736</v>
      </c>
      <c r="G57" s="6">
        <f>COUNTIF(F:F,Table2[[#This Row],[Form '#]])</f>
        <v>1</v>
      </c>
      <c r="H57" s="1" t="s">
        <v>3897</v>
      </c>
      <c r="I57" s="1" t="s">
        <v>3852</v>
      </c>
      <c r="J57" s="1" t="s">
        <v>75</v>
      </c>
      <c r="K57" s="1" t="s">
        <v>3853</v>
      </c>
      <c r="L57" s="1"/>
      <c r="M57" s="6" t="str">
        <f>IF(Table2[[#This Row],[Corrected Form '#
 (If Duplicated)]]="",Table2[[#This Row],[Form '#]],Table2[[#This Row],[Corrected Form '#
 (If Duplicated)]])</f>
        <v>7818-25909</v>
      </c>
      <c r="N57" s="1" t="s">
        <v>49</v>
      </c>
      <c r="O57" s="6" t="str">
        <f>IF(Table2[[#This Row],[POG CONFIRMATION RECEIPT OF ORDER
(DATE &amp; TIME)]]="","No Confirmation","Received Confirmation")</f>
        <v>Received Confirmation</v>
      </c>
      <c r="P57" s="6">
        <f ca="1">TODAY()-Table2[[#This Row],[DATE SENT TO POG]]</f>
        <v>367</v>
      </c>
      <c r="Q57" s="6" t="s">
        <v>5803</v>
      </c>
      <c r="R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" s="2" t="str">
        <f>_xlfn.XLOOKUP(Table2[[#This Row],[Adjusted Form '#]],'[2]IN PROGRESS'!$D:$D,'[2]IN PROGRESS'!$M:$M,"Not Found")</f>
        <v>Not Found</v>
      </c>
      <c r="U57" s="2" t="str">
        <f>_xlfn.XLOOKUP(Table2[[#This Row],[Adjusted Form '#]],[1]COMPLETED!$D:$D,[2]COMPLETED!$M:$M,"Not Found")</f>
        <v>Not Found</v>
      </c>
      <c r="V57" s="17" t="str">
        <f>_xlfn.XLOOKUP(Table2[[#This Row],[Adjusted Form '#]],[2]COMPLETED!$D:$D,[2]COMPLETED!$O:$O,"Not Found")</f>
        <v>Not Found</v>
      </c>
      <c r="W57" s="2" t="str">
        <f>_xlfn.XLOOKUP(Table2[[#This Row],[Adjusted Form '#]],[2]BILLED!$D:$D,[2]BILLED!$M:$M,"Not Found")</f>
        <v>1Z5063E0YW41169461</v>
      </c>
      <c r="X57" s="17" t="e">
        <f>_xlfn.XLOOKUP(Table2[[#This Row],[Adjusted Form '#]],[2]BILLED!$D:$D,[1]BILLED!$O:$O,"Not Found")</f>
        <v>#REF!</v>
      </c>
      <c r="Y57" s="17" t="e">
        <f>_xlfn.XLOOKUP(Table2[[#This Row],[Adjusted Form '#]],'[2]REJECTED ORDERS'!$D:$D,'[2]REJECTED ORDERS'!$E:$E)</f>
        <v>#N/A</v>
      </c>
      <c r="Z57" s="1"/>
      <c r="AA57" s="1"/>
      <c r="AB57" s="8"/>
      <c r="AC57" s="8"/>
      <c r="AD57" s="8"/>
      <c r="AE57" s="8"/>
      <c r="AF57" s="8"/>
      <c r="AG57" s="8"/>
      <c r="AH57" s="8"/>
      <c r="AI57" s="8"/>
      <c r="AJ57" s="8"/>
    </row>
    <row r="58" spans="1:36" ht="15" customHeight="1" x14ac:dyDescent="0.35">
      <c r="A58" s="4" t="s">
        <v>78</v>
      </c>
      <c r="B58" s="1" t="s">
        <v>2605</v>
      </c>
      <c r="C58" s="11">
        <v>44936</v>
      </c>
      <c r="D58" s="11" t="s">
        <v>3893</v>
      </c>
      <c r="E58" s="1" t="s">
        <v>21</v>
      </c>
      <c r="F58" s="1" t="s">
        <v>3700</v>
      </c>
      <c r="G58" s="6">
        <f>COUNTIF(F:F,Table2[[#This Row],[Form '#]])</f>
        <v>1</v>
      </c>
      <c r="H58" s="1" t="s">
        <v>2091</v>
      </c>
      <c r="I58" s="1" t="s">
        <v>28</v>
      </c>
      <c r="J58" s="1" t="s">
        <v>69</v>
      </c>
      <c r="K58" s="1" t="s">
        <v>3898</v>
      </c>
      <c r="L58" s="1"/>
      <c r="M58" s="6" t="str">
        <f>IF(Table2[[#This Row],[Corrected Form '#
 (If Duplicated)]]="",Table2[[#This Row],[Form '#]],Table2[[#This Row],[Corrected Form '#
 (If Duplicated)]])</f>
        <v>7818-18041</v>
      </c>
      <c r="N58" s="1" t="s">
        <v>49</v>
      </c>
      <c r="O58" s="6" t="str">
        <f>IF(Table2[[#This Row],[POG CONFIRMATION RECEIPT OF ORDER
(DATE &amp; TIME)]]="","No Confirmation","Received Confirmation")</f>
        <v>Received Confirmation</v>
      </c>
      <c r="P58" s="6">
        <f ca="1">TODAY()-Table2[[#This Row],[DATE SENT TO POG]]</f>
        <v>367</v>
      </c>
      <c r="Q58" s="6" t="s">
        <v>5803</v>
      </c>
      <c r="R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" s="2" t="str">
        <f>_xlfn.XLOOKUP(Table2[[#This Row],[Adjusted Form '#]],'[2]IN PROGRESS'!$D:$D,'[2]IN PROGRESS'!$M:$M,"Not Found")</f>
        <v>Not Found</v>
      </c>
      <c r="U58" s="2" t="str">
        <f>_xlfn.XLOOKUP(Table2[[#This Row],[Adjusted Form '#]],[1]COMPLETED!$D:$D,[2]COMPLETED!$M:$M,"Not Found")</f>
        <v>Not Found</v>
      </c>
      <c r="V58" s="17" t="str">
        <f>_xlfn.XLOOKUP(Table2[[#This Row],[Adjusted Form '#]],[2]COMPLETED!$D:$D,[2]COMPLETED!$O:$O,"Not Found")</f>
        <v>Not Found</v>
      </c>
      <c r="W58" s="2" t="str">
        <f>_xlfn.XLOOKUP(Table2[[#This Row],[Adjusted Form '#]],[2]BILLED!$D:$D,[2]BILLED!$M:$M,"Not Found")</f>
        <v>1Z5063E0YW40692898</v>
      </c>
      <c r="X58" s="17" t="e">
        <f>_xlfn.XLOOKUP(Table2[[#This Row],[Adjusted Form '#]],[2]BILLED!$D:$D,[1]BILLED!$O:$O,"Not Found")</f>
        <v>#REF!</v>
      </c>
      <c r="Y58" s="17" t="e">
        <f>_xlfn.XLOOKUP(Table2[[#This Row],[Adjusted Form '#]],'[2]REJECTED ORDERS'!$D:$D,'[2]REJECTED ORDERS'!$E:$E)</f>
        <v>#N/A</v>
      </c>
      <c r="Z58" s="1"/>
      <c r="AA58" s="1"/>
      <c r="AB58" s="8"/>
      <c r="AC58" s="8"/>
      <c r="AD58" s="8"/>
      <c r="AE58" s="8"/>
      <c r="AF58" s="8"/>
      <c r="AG58" s="8"/>
      <c r="AH58" s="8"/>
      <c r="AI58" s="8"/>
      <c r="AJ58" s="8"/>
    </row>
    <row r="59" spans="1:36" ht="15" customHeight="1" x14ac:dyDescent="0.35">
      <c r="A59" s="4" t="s">
        <v>80</v>
      </c>
      <c r="B59" s="1" t="s">
        <v>2605</v>
      </c>
      <c r="C59" s="11">
        <v>44936</v>
      </c>
      <c r="D59" s="11" t="s">
        <v>3893</v>
      </c>
      <c r="E59" s="1" t="s">
        <v>21</v>
      </c>
      <c r="F59" s="1" t="s">
        <v>3899</v>
      </c>
      <c r="G59" s="6">
        <f>COUNTIF(F:F,Table2[[#This Row],[Form '#]])</f>
        <v>1</v>
      </c>
      <c r="H59" s="1" t="s">
        <v>292</v>
      </c>
      <c r="I59" s="1" t="s">
        <v>127</v>
      </c>
      <c r="J59" s="1" t="s">
        <v>74</v>
      </c>
      <c r="K59" s="1" t="s">
        <v>3862</v>
      </c>
      <c r="L59" s="1"/>
      <c r="M59" s="6" t="str">
        <f>IF(Table2[[#This Row],[Corrected Form '#
 (If Duplicated)]]="",Table2[[#This Row],[Form '#]],Table2[[#This Row],[Corrected Form '#
 (If Duplicated)]])</f>
        <v>7818-22412</v>
      </c>
      <c r="N59" s="1" t="s">
        <v>49</v>
      </c>
      <c r="O59" s="6" t="str">
        <f>IF(Table2[[#This Row],[POG CONFIRMATION RECEIPT OF ORDER
(DATE &amp; TIME)]]="","No Confirmation","Received Confirmation")</f>
        <v>Received Confirmation</v>
      </c>
      <c r="P59" s="6">
        <f ca="1">TODAY()-Table2[[#This Row],[DATE SENT TO POG]]</f>
        <v>367</v>
      </c>
      <c r="Q59" s="6" t="s">
        <v>5803</v>
      </c>
      <c r="R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" s="2" t="str">
        <f>_xlfn.XLOOKUP(Table2[[#This Row],[Adjusted Form '#]],'[2]IN PROGRESS'!$D:$D,'[2]IN PROGRESS'!$M:$M,"Not Found")</f>
        <v>Not Found</v>
      </c>
      <c r="U59" s="2" t="str">
        <f>_xlfn.XLOOKUP(Table2[[#This Row],[Adjusted Form '#]],[1]COMPLETED!$D:$D,[2]COMPLETED!$M:$M,"Not Found")</f>
        <v>Not Found</v>
      </c>
      <c r="V59" s="17" t="str">
        <f>_xlfn.XLOOKUP(Table2[[#This Row],[Adjusted Form '#]],[2]COMPLETED!$D:$D,[2]COMPLETED!$O:$O,"Not Found")</f>
        <v>Not Found</v>
      </c>
      <c r="W59" s="2" t="str">
        <f>_xlfn.XLOOKUP(Table2[[#This Row],[Adjusted Form '#]],[2]BILLED!$D:$D,[2]BILLED!$M:$M,"Not Found")</f>
        <v>1Z5063E0YW40254950</v>
      </c>
      <c r="X59" s="17" t="e">
        <f>_xlfn.XLOOKUP(Table2[[#This Row],[Adjusted Form '#]],[2]BILLED!$D:$D,[1]BILLED!$O:$O,"Not Found")</f>
        <v>#REF!</v>
      </c>
      <c r="Y59" s="17" t="e">
        <f>_xlfn.XLOOKUP(Table2[[#This Row],[Adjusted Form '#]],'[2]REJECTED ORDERS'!$D:$D,'[2]REJECTED ORDERS'!$E:$E)</f>
        <v>#N/A</v>
      </c>
      <c r="Z59" s="1"/>
      <c r="AA59" s="1"/>
      <c r="AB59" s="8"/>
      <c r="AC59" s="8"/>
      <c r="AD59" s="8"/>
      <c r="AE59" s="8"/>
      <c r="AF59" s="8"/>
      <c r="AG59" s="8"/>
      <c r="AH59" s="8"/>
      <c r="AI59" s="8"/>
      <c r="AJ59" s="8"/>
    </row>
    <row r="60" spans="1:36" ht="15" customHeight="1" x14ac:dyDescent="0.35">
      <c r="A60" s="4" t="s">
        <v>81</v>
      </c>
      <c r="B60" s="1" t="s">
        <v>2957</v>
      </c>
      <c r="C60" s="11">
        <v>44937</v>
      </c>
      <c r="D60" s="11" t="s">
        <v>3900</v>
      </c>
      <c r="E60" s="1" t="s">
        <v>73</v>
      </c>
      <c r="F60" s="1" t="s">
        <v>3901</v>
      </c>
      <c r="G60" s="6">
        <f>COUNTIF(F:F,Table2[[#This Row],[Form '#]])</f>
        <v>1</v>
      </c>
      <c r="H60" s="1" t="s">
        <v>3902</v>
      </c>
      <c r="I60" s="1" t="s">
        <v>3864</v>
      </c>
      <c r="J60" s="1" t="s">
        <v>78</v>
      </c>
      <c r="K60" s="1" t="s">
        <v>3879</v>
      </c>
      <c r="L60" s="1"/>
      <c r="M60" s="6" t="str">
        <f>IF(Table2[[#This Row],[Corrected Form '#
 (If Duplicated)]]="",Table2[[#This Row],[Form '#]],Table2[[#This Row],[Corrected Form '#
 (If Duplicated)]])</f>
        <v>7823-02216</v>
      </c>
      <c r="N60" s="1" t="s">
        <v>49</v>
      </c>
      <c r="O60" s="6" t="str">
        <f>IF(Table2[[#This Row],[POG CONFIRMATION RECEIPT OF ORDER
(DATE &amp; TIME)]]="","No Confirmation","Received Confirmation")</f>
        <v>Received Confirmation</v>
      </c>
      <c r="P60" s="6">
        <f ca="1">TODAY()-Table2[[#This Row],[DATE SENT TO POG]]</f>
        <v>366</v>
      </c>
      <c r="Q60" s="6" t="s">
        <v>5803</v>
      </c>
      <c r="R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" s="2" t="str">
        <f>_xlfn.XLOOKUP(Table2[[#This Row],[Adjusted Form '#]],'[2]IN PROGRESS'!$D:$D,'[2]IN PROGRESS'!$M:$M,"Not Found")</f>
        <v>Not Found</v>
      </c>
      <c r="U60" s="2" t="str">
        <f>_xlfn.XLOOKUP(Table2[[#This Row],[Adjusted Form '#]],[1]COMPLETED!$D:$D,[2]COMPLETED!$M:$M,"Not Found")</f>
        <v>Not Found</v>
      </c>
      <c r="V60" s="17" t="str">
        <f>_xlfn.XLOOKUP(Table2[[#This Row],[Adjusted Form '#]],[2]COMPLETED!$D:$D,[2]COMPLETED!$O:$O,"Not Found")</f>
        <v>Not Found</v>
      </c>
      <c r="W60" s="2" t="str">
        <f>_xlfn.XLOOKUP(Table2[[#This Row],[Adjusted Form '#]],[2]BILLED!$D:$D,[2]BILLED!$M:$M,"Not Found")</f>
        <v>1Z5063E0YW42705736</v>
      </c>
      <c r="X60" s="17" t="e">
        <f>_xlfn.XLOOKUP(Table2[[#This Row],[Adjusted Form '#]],[2]BILLED!$D:$D,[1]BILLED!$O:$O,"Not Found")</f>
        <v>#REF!</v>
      </c>
      <c r="Y60" s="17" t="e">
        <f>_xlfn.XLOOKUP(Table2[[#This Row],[Adjusted Form '#]],'[2]REJECTED ORDERS'!$D:$D,'[2]REJECTED ORDERS'!$E:$E)</f>
        <v>#N/A</v>
      </c>
      <c r="Z60" s="1"/>
      <c r="AA60" s="1"/>
      <c r="AB60" s="8"/>
      <c r="AC60" s="8"/>
      <c r="AD60" s="8"/>
      <c r="AE60" s="8"/>
      <c r="AF60" s="8"/>
      <c r="AG60" s="8"/>
      <c r="AH60" s="8"/>
      <c r="AI60" s="8"/>
      <c r="AJ60" s="8"/>
    </row>
    <row r="61" spans="1:36" ht="15" customHeight="1" x14ac:dyDescent="0.35">
      <c r="A61" s="4" t="s">
        <v>82</v>
      </c>
      <c r="B61" s="1" t="s">
        <v>573</v>
      </c>
      <c r="C61" s="11">
        <v>44937</v>
      </c>
      <c r="D61" s="11" t="s">
        <v>3903</v>
      </c>
      <c r="E61" s="1" t="s">
        <v>14</v>
      </c>
      <c r="F61" s="1" t="s">
        <v>3904</v>
      </c>
      <c r="G61" s="6">
        <f>COUNTIF(F:F,Table2[[#This Row],[Form '#]])</f>
        <v>1</v>
      </c>
      <c r="H61" s="1" t="s">
        <v>3905</v>
      </c>
      <c r="I61" s="1" t="s">
        <v>127</v>
      </c>
      <c r="J61" s="1" t="s">
        <v>71</v>
      </c>
      <c r="K61" s="1" t="s">
        <v>3891</v>
      </c>
      <c r="L61" s="1"/>
      <c r="M61" s="6" t="str">
        <f>IF(Table2[[#This Row],[Corrected Form '#
 (If Duplicated)]]="",Table2[[#This Row],[Form '#]],Table2[[#This Row],[Corrected Form '#
 (If Duplicated)]])</f>
        <v>7810-01560</v>
      </c>
      <c r="N61" s="1" t="s">
        <v>49</v>
      </c>
      <c r="O61" s="6" t="str">
        <f>IF(Table2[[#This Row],[POG CONFIRMATION RECEIPT OF ORDER
(DATE &amp; TIME)]]="","No Confirmation","Received Confirmation")</f>
        <v>Received Confirmation</v>
      </c>
      <c r="P61" s="6">
        <f ca="1">TODAY()-Table2[[#This Row],[DATE SENT TO POG]]</f>
        <v>366</v>
      </c>
      <c r="Q61" s="6" t="s">
        <v>5803</v>
      </c>
      <c r="R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" s="2" t="str">
        <f>_xlfn.XLOOKUP(Table2[[#This Row],[Adjusted Form '#]],'[2]IN PROGRESS'!$D:$D,'[2]IN PROGRESS'!$M:$M,"Not Found")</f>
        <v>Not Found</v>
      </c>
      <c r="U61" s="2" t="str">
        <f>_xlfn.XLOOKUP(Table2[[#This Row],[Adjusted Form '#]],[1]COMPLETED!$D:$D,[2]COMPLETED!$M:$M,"Not Found")</f>
        <v>Not Found</v>
      </c>
      <c r="V61" s="17" t="str">
        <f>_xlfn.XLOOKUP(Table2[[#This Row],[Adjusted Form '#]],[2]COMPLETED!$D:$D,[2]COMPLETED!$O:$O,"Not Found")</f>
        <v>Not Found</v>
      </c>
      <c r="W61" s="2" t="str">
        <f>_xlfn.XLOOKUP(Table2[[#This Row],[Adjusted Form '#]],[2]BILLED!$D:$D,[2]BILLED!$M:$M,"Not Found")</f>
        <v>1Z5063E0YW40941958</v>
      </c>
      <c r="X61" s="17" t="e">
        <f>_xlfn.XLOOKUP(Table2[[#This Row],[Adjusted Form '#]],[2]BILLED!$D:$D,[1]BILLED!$O:$O,"Not Found")</f>
        <v>#REF!</v>
      </c>
      <c r="Y61" s="17" t="e">
        <f>_xlfn.XLOOKUP(Table2[[#This Row],[Adjusted Form '#]],'[2]REJECTED ORDERS'!$D:$D,'[2]REJECTED ORDERS'!$E:$E)</f>
        <v>#N/A</v>
      </c>
      <c r="Z61" s="1"/>
      <c r="AA61" s="1"/>
      <c r="AB61" s="8"/>
      <c r="AC61" s="8"/>
      <c r="AD61" s="8"/>
      <c r="AE61" s="8"/>
      <c r="AF61" s="8"/>
      <c r="AG61" s="8"/>
      <c r="AH61" s="8"/>
      <c r="AI61" s="8"/>
      <c r="AJ61" s="8"/>
    </row>
    <row r="62" spans="1:36" ht="15" customHeight="1" x14ac:dyDescent="0.35">
      <c r="A62" s="4" t="s">
        <v>83</v>
      </c>
      <c r="B62" s="1" t="s">
        <v>1039</v>
      </c>
      <c r="C62" s="11">
        <v>44937</v>
      </c>
      <c r="D62" s="11" t="s">
        <v>3906</v>
      </c>
      <c r="E62" s="1" t="s">
        <v>14</v>
      </c>
      <c r="F62" s="1" t="s">
        <v>3907</v>
      </c>
      <c r="G62" s="6">
        <f>COUNTIF(F:F,Table2[[#This Row],[Form '#]])</f>
        <v>1</v>
      </c>
      <c r="H62" s="1" t="s">
        <v>3142</v>
      </c>
      <c r="I62" s="1" t="s">
        <v>3864</v>
      </c>
      <c r="J62" s="1" t="s">
        <v>3891</v>
      </c>
      <c r="K62" s="1" t="s">
        <v>3879</v>
      </c>
      <c r="L62" s="1"/>
      <c r="M62" s="6" t="str">
        <f>IF(Table2[[#This Row],[Corrected Form '#
 (If Duplicated)]]="",Table2[[#This Row],[Form '#]],Table2[[#This Row],[Corrected Form '#
 (If Duplicated)]])</f>
        <v>7810-02873</v>
      </c>
      <c r="N62" s="1" t="s">
        <v>49</v>
      </c>
      <c r="O62" s="6" t="str">
        <f>IF(Table2[[#This Row],[POG CONFIRMATION RECEIPT OF ORDER
(DATE &amp; TIME)]]="","No Confirmation","Received Confirmation")</f>
        <v>Received Confirmation</v>
      </c>
      <c r="P62" s="6">
        <f ca="1">TODAY()-Table2[[#This Row],[DATE SENT TO POG]]</f>
        <v>366</v>
      </c>
      <c r="Q62" s="6" t="s">
        <v>5802</v>
      </c>
      <c r="R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6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62" s="2" t="str">
        <f>_xlfn.XLOOKUP(Table2[[#This Row],[Adjusted Form '#]],'[2]IN PROGRESS'!$D:$D,'[2]IN PROGRESS'!$M:$M,"Not Found")</f>
        <v>Not Found</v>
      </c>
      <c r="U62" s="2" t="str">
        <f>_xlfn.XLOOKUP(Table2[[#This Row],[Adjusted Form '#]],[1]COMPLETED!$D:$D,[2]COMPLETED!$M:$M,"Not Found")</f>
        <v>Not Found</v>
      </c>
      <c r="V62" s="17" t="str">
        <f>_xlfn.XLOOKUP(Table2[[#This Row],[Adjusted Form '#]],[2]COMPLETED!$D:$D,[2]COMPLETED!$O:$O,"Not Found")</f>
        <v>Not Found</v>
      </c>
      <c r="W62" s="2" t="str">
        <f>_xlfn.XLOOKUP(Table2[[#This Row],[Adjusted Form '#]],[2]BILLED!$D:$D,[2]BILLED!$M:$M,"Not Found")</f>
        <v>Not Found</v>
      </c>
      <c r="X62" s="17" t="str">
        <f>_xlfn.XLOOKUP(Table2[[#This Row],[Adjusted Form '#]],[2]BILLED!$D:$D,[1]BILLED!$O:$O,"Not Found")</f>
        <v>Not Found</v>
      </c>
      <c r="Y62" s="17" t="e">
        <f>_xlfn.XLOOKUP(Table2[[#This Row],[Adjusted Form '#]],'[2]REJECTED ORDERS'!$D:$D,'[2]REJECTED ORDERS'!$E:$E)</f>
        <v>#N/A</v>
      </c>
      <c r="Z62" s="1"/>
      <c r="AA62" s="1"/>
      <c r="AB62" s="8"/>
      <c r="AC62" s="8"/>
      <c r="AD62" s="8"/>
      <c r="AE62" s="8"/>
      <c r="AF62" s="8"/>
      <c r="AG62" s="8"/>
      <c r="AH62" s="8"/>
      <c r="AI62" s="8"/>
      <c r="AJ62" s="8"/>
    </row>
    <row r="63" spans="1:36" ht="15" customHeight="1" x14ac:dyDescent="0.35">
      <c r="A63" s="4" t="s">
        <v>85</v>
      </c>
      <c r="B63" s="1" t="s">
        <v>576</v>
      </c>
      <c r="C63" s="11">
        <v>44937</v>
      </c>
      <c r="D63" s="11" t="s">
        <v>3906</v>
      </c>
      <c r="E63" s="1" t="s">
        <v>21</v>
      </c>
      <c r="F63" s="1" t="s">
        <v>3908</v>
      </c>
      <c r="G63" s="6">
        <f>COUNTIF(F:F,Table2[[#This Row],[Form '#]])</f>
        <v>1</v>
      </c>
      <c r="H63" s="1" t="s">
        <v>1152</v>
      </c>
      <c r="I63" s="1" t="s">
        <v>3864</v>
      </c>
      <c r="J63" s="1" t="s">
        <v>78</v>
      </c>
      <c r="K63" s="1" t="s">
        <v>3879</v>
      </c>
      <c r="L63" s="1"/>
      <c r="M63" s="6" t="str">
        <f>IF(Table2[[#This Row],[Corrected Form '#
 (If Duplicated)]]="",Table2[[#This Row],[Form '#]],Table2[[#This Row],[Corrected Form '#
 (If Duplicated)]])</f>
        <v>7818-10368</v>
      </c>
      <c r="N63" s="1" t="s">
        <v>49</v>
      </c>
      <c r="O63" s="6" t="str">
        <f>IF(Table2[[#This Row],[POG CONFIRMATION RECEIPT OF ORDER
(DATE &amp; TIME)]]="","No Confirmation","Received Confirmation")</f>
        <v>Received Confirmation</v>
      </c>
      <c r="P63" s="6">
        <f ca="1">TODAY()-Table2[[#This Row],[DATE SENT TO POG]]</f>
        <v>366</v>
      </c>
      <c r="Q63" s="6" t="s">
        <v>5803</v>
      </c>
      <c r="R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" s="2" t="str">
        <f>_xlfn.XLOOKUP(Table2[[#This Row],[Adjusted Form '#]],'[2]IN PROGRESS'!$D:$D,'[2]IN PROGRESS'!$M:$M,"Not Found")</f>
        <v>Not Found</v>
      </c>
      <c r="U63" s="2" t="str">
        <f>_xlfn.XLOOKUP(Table2[[#This Row],[Adjusted Form '#]],[1]COMPLETED!$D:$D,[2]COMPLETED!$M:$M,"Not Found")</f>
        <v>Not Found</v>
      </c>
      <c r="V63" s="17" t="str">
        <f>_xlfn.XLOOKUP(Table2[[#This Row],[Adjusted Form '#]],[2]COMPLETED!$D:$D,[2]COMPLETED!$O:$O,"Not Found")</f>
        <v>Not Found</v>
      </c>
      <c r="W63" s="2" t="str">
        <f>_xlfn.XLOOKUP(Table2[[#This Row],[Adjusted Form '#]],[2]BILLED!$D:$D,[2]BILLED!$M:$M,"Not Found")</f>
        <v>1Z5063E0YW41891886</v>
      </c>
      <c r="X63" s="17" t="e">
        <f>_xlfn.XLOOKUP(Table2[[#This Row],[Adjusted Form '#]],[2]BILLED!$D:$D,[1]BILLED!$O:$O,"Not Found")</f>
        <v>#REF!</v>
      </c>
      <c r="Y63" s="17" t="e">
        <f>_xlfn.XLOOKUP(Table2[[#This Row],[Adjusted Form '#]],'[2]REJECTED ORDERS'!$D:$D,'[2]REJECTED ORDERS'!$E:$E)</f>
        <v>#N/A</v>
      </c>
      <c r="Z63" s="1"/>
      <c r="AA63" s="1"/>
      <c r="AB63" s="8"/>
      <c r="AC63" s="8"/>
      <c r="AD63" s="8"/>
      <c r="AE63" s="8"/>
      <c r="AF63" s="8"/>
      <c r="AG63" s="8"/>
      <c r="AH63" s="8"/>
      <c r="AI63" s="8"/>
      <c r="AJ63" s="8"/>
    </row>
    <row r="64" spans="1:36" ht="15" customHeight="1" x14ac:dyDescent="0.35">
      <c r="A64" s="4" t="s">
        <v>86</v>
      </c>
      <c r="B64" s="1" t="s">
        <v>2144</v>
      </c>
      <c r="C64" s="11">
        <v>44937</v>
      </c>
      <c r="D64" s="11" t="s">
        <v>3909</v>
      </c>
      <c r="E64" s="1" t="s">
        <v>21</v>
      </c>
      <c r="F64" s="1" t="s">
        <v>3910</v>
      </c>
      <c r="G64" s="6">
        <f>COUNTIF(F:F,Table2[[#This Row],[Form '#]])</f>
        <v>1</v>
      </c>
      <c r="H64" s="1" t="s">
        <v>3911</v>
      </c>
      <c r="I64" s="1" t="s">
        <v>3852</v>
      </c>
      <c r="J64" s="1" t="s">
        <v>80</v>
      </c>
      <c r="K64" s="1" t="s">
        <v>3853</v>
      </c>
      <c r="L64" s="1"/>
      <c r="M64" s="6" t="str">
        <f>IF(Table2[[#This Row],[Corrected Form '#
 (If Duplicated)]]="",Table2[[#This Row],[Form '#]],Table2[[#This Row],[Corrected Form '#
 (If Duplicated)]])</f>
        <v>7818-25952</v>
      </c>
      <c r="N64" s="1" t="s">
        <v>49</v>
      </c>
      <c r="O64" s="6" t="str">
        <f>IF(Table2[[#This Row],[POG CONFIRMATION RECEIPT OF ORDER
(DATE &amp; TIME)]]="","No Confirmation","Received Confirmation")</f>
        <v>Received Confirmation</v>
      </c>
      <c r="P64" s="6">
        <f ca="1">TODAY()-Table2[[#This Row],[DATE SENT TO POG]]</f>
        <v>366</v>
      </c>
      <c r="Q64" s="6" t="s">
        <v>5803</v>
      </c>
      <c r="R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" s="2" t="str">
        <f>_xlfn.XLOOKUP(Table2[[#This Row],[Adjusted Form '#]],'[2]IN PROGRESS'!$D:$D,'[2]IN PROGRESS'!$M:$M,"Not Found")</f>
        <v>Not Found</v>
      </c>
      <c r="U64" s="2" t="str">
        <f>_xlfn.XLOOKUP(Table2[[#This Row],[Adjusted Form '#]],[1]COMPLETED!$D:$D,[2]COMPLETED!$M:$M,"Not Found")</f>
        <v>Not Found</v>
      </c>
      <c r="V64" s="17" t="str">
        <f>_xlfn.XLOOKUP(Table2[[#This Row],[Adjusted Form '#]],[2]COMPLETED!$D:$D,[2]COMPLETED!$O:$O,"Not Found")</f>
        <v>Not Found</v>
      </c>
      <c r="W64" s="2" t="str">
        <f>_xlfn.XLOOKUP(Table2[[#This Row],[Adjusted Form '#]],[2]BILLED!$D:$D,[2]BILLED!$M:$M,"Not Found")</f>
        <v>1Z5063E0YW40675853</v>
      </c>
      <c r="X64" s="17" t="e">
        <f>_xlfn.XLOOKUP(Table2[[#This Row],[Adjusted Form '#]],[2]BILLED!$D:$D,[1]BILLED!$O:$O,"Not Found")</f>
        <v>#REF!</v>
      </c>
      <c r="Y64" s="17" t="e">
        <f>_xlfn.XLOOKUP(Table2[[#This Row],[Adjusted Form '#]],'[2]REJECTED ORDERS'!$D:$D,'[2]REJECTED ORDERS'!$E:$E)</f>
        <v>#N/A</v>
      </c>
      <c r="Z64" s="1"/>
      <c r="AA64" s="1"/>
      <c r="AB64" s="8"/>
      <c r="AC64" s="8"/>
      <c r="AD64" s="8"/>
      <c r="AE64" s="8"/>
      <c r="AF64" s="8"/>
      <c r="AG64" s="8"/>
      <c r="AH64" s="8"/>
      <c r="AI64" s="8"/>
      <c r="AJ64" s="8"/>
    </row>
    <row r="65" spans="1:36" ht="15" customHeight="1" x14ac:dyDescent="0.35">
      <c r="A65" s="4" t="s">
        <v>87</v>
      </c>
      <c r="B65" s="1" t="s">
        <v>2335</v>
      </c>
      <c r="C65" s="11">
        <v>44937</v>
      </c>
      <c r="D65" s="11" t="s">
        <v>3912</v>
      </c>
      <c r="E65" s="1" t="s">
        <v>21</v>
      </c>
      <c r="F65" s="1" t="s">
        <v>3913</v>
      </c>
      <c r="G65" s="6">
        <f>COUNTIF(F:F,Table2[[#This Row],[Form '#]])</f>
        <v>1</v>
      </c>
      <c r="H65" s="1" t="s">
        <v>3914</v>
      </c>
      <c r="I65" s="1" t="s">
        <v>3852</v>
      </c>
      <c r="J65" s="1" t="s">
        <v>80</v>
      </c>
      <c r="K65" s="1" t="s">
        <v>3862</v>
      </c>
      <c r="L65" s="1"/>
      <c r="M65" s="6" t="str">
        <f>IF(Table2[[#This Row],[Corrected Form '#
 (If Duplicated)]]="",Table2[[#This Row],[Form '#]],Table2[[#This Row],[Corrected Form '#
 (If Duplicated)]])</f>
        <v>7818-22127</v>
      </c>
      <c r="N65" s="1" t="s">
        <v>49</v>
      </c>
      <c r="O65" s="6" t="str">
        <f>IF(Table2[[#This Row],[POG CONFIRMATION RECEIPT OF ORDER
(DATE &amp; TIME)]]="","No Confirmation","Received Confirmation")</f>
        <v>Received Confirmation</v>
      </c>
      <c r="P65" s="6">
        <f ca="1">TODAY()-Table2[[#This Row],[DATE SENT TO POG]]</f>
        <v>366</v>
      </c>
      <c r="Q65" s="6" t="s">
        <v>5803</v>
      </c>
      <c r="R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" s="2" t="str">
        <f>_xlfn.XLOOKUP(Table2[[#This Row],[Adjusted Form '#]],'[2]IN PROGRESS'!$D:$D,'[2]IN PROGRESS'!$M:$M,"Not Found")</f>
        <v>Not Found</v>
      </c>
      <c r="U65" s="2" t="str">
        <f>_xlfn.XLOOKUP(Table2[[#This Row],[Adjusted Form '#]],[1]COMPLETED!$D:$D,[2]COMPLETED!$M:$M,"Not Found")</f>
        <v>Not Found</v>
      </c>
      <c r="V65" s="17" t="str">
        <f>_xlfn.XLOOKUP(Table2[[#This Row],[Adjusted Form '#]],[2]COMPLETED!$D:$D,[2]COMPLETED!$O:$O,"Not Found")</f>
        <v>Not Found</v>
      </c>
      <c r="W65" s="2" t="str">
        <f>_xlfn.XLOOKUP(Table2[[#This Row],[Adjusted Form '#]],[2]BILLED!$D:$D,[2]BILLED!$M:$M,"Not Found")</f>
        <v>1Z5063E0YW40880943</v>
      </c>
      <c r="X65" s="17" t="e">
        <f>_xlfn.XLOOKUP(Table2[[#This Row],[Adjusted Form '#]],[2]BILLED!$D:$D,[1]BILLED!$O:$O,"Not Found")</f>
        <v>#REF!</v>
      </c>
      <c r="Y65" s="17" t="e">
        <f>_xlfn.XLOOKUP(Table2[[#This Row],[Adjusted Form '#]],'[2]REJECTED ORDERS'!$D:$D,'[2]REJECTED ORDERS'!$E:$E)</f>
        <v>#N/A</v>
      </c>
      <c r="Z65" s="1"/>
      <c r="AA65" s="1"/>
      <c r="AB65" s="8"/>
      <c r="AC65" s="8"/>
      <c r="AD65" s="8"/>
      <c r="AE65" s="8"/>
      <c r="AF65" s="8"/>
      <c r="AG65" s="8"/>
      <c r="AH65" s="8"/>
      <c r="AI65" s="8"/>
      <c r="AJ65" s="8"/>
    </row>
    <row r="66" spans="1:36" ht="15" customHeight="1" x14ac:dyDescent="0.35">
      <c r="A66" s="4" t="s">
        <v>88</v>
      </c>
      <c r="B66" s="1" t="s">
        <v>665</v>
      </c>
      <c r="C66" s="11">
        <v>44937</v>
      </c>
      <c r="D66" s="11" t="s">
        <v>3912</v>
      </c>
      <c r="E66" s="1" t="s">
        <v>73</v>
      </c>
      <c r="F66" s="1" t="s">
        <v>3915</v>
      </c>
      <c r="G66" s="6">
        <f>COUNTIF(F:F,Table2[[#This Row],[Form '#]])</f>
        <v>1</v>
      </c>
      <c r="H66" s="1" t="s">
        <v>3916</v>
      </c>
      <c r="I66" s="1" t="s">
        <v>3852</v>
      </c>
      <c r="J66" s="1" t="s">
        <v>75</v>
      </c>
      <c r="K66" s="1" t="s">
        <v>3853</v>
      </c>
      <c r="L66" s="1"/>
      <c r="M66" s="6" t="str">
        <f>IF(Table2[[#This Row],[Corrected Form '#
 (If Duplicated)]]="",Table2[[#This Row],[Form '#]],Table2[[#This Row],[Corrected Form '#
 (If Duplicated)]])</f>
        <v>7823-02178</v>
      </c>
      <c r="N66" s="1" t="s">
        <v>49</v>
      </c>
      <c r="O66" s="6" t="str">
        <f>IF(Table2[[#This Row],[POG CONFIRMATION RECEIPT OF ORDER
(DATE &amp; TIME)]]="","No Confirmation","Received Confirmation")</f>
        <v>Received Confirmation</v>
      </c>
      <c r="P66" s="6">
        <f ca="1">TODAY()-Table2[[#This Row],[DATE SENT TO POG]]</f>
        <v>366</v>
      </c>
      <c r="Q66" s="6" t="s">
        <v>5803</v>
      </c>
      <c r="R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" s="2" t="str">
        <f>_xlfn.XLOOKUP(Table2[[#This Row],[Adjusted Form '#]],'[2]IN PROGRESS'!$D:$D,'[2]IN PROGRESS'!$M:$M,"Not Found")</f>
        <v>Not Found</v>
      </c>
      <c r="U66" s="2" t="str">
        <f>_xlfn.XLOOKUP(Table2[[#This Row],[Adjusted Form '#]],[1]COMPLETED!$D:$D,[2]COMPLETED!$M:$M,"Not Found")</f>
        <v>Not Found</v>
      </c>
      <c r="V66" s="17" t="str">
        <f>_xlfn.XLOOKUP(Table2[[#This Row],[Adjusted Form '#]],[2]COMPLETED!$D:$D,[2]COMPLETED!$O:$O,"Not Found")</f>
        <v>Not Found</v>
      </c>
      <c r="W66" s="2" t="str">
        <f>_xlfn.XLOOKUP(Table2[[#This Row],[Adjusted Form '#]],[2]BILLED!$D:$D,[2]BILLED!$M:$M,"Not Found")</f>
        <v>1Z5063E0YW40653199</v>
      </c>
      <c r="X66" s="17" t="e">
        <f>_xlfn.XLOOKUP(Table2[[#This Row],[Adjusted Form '#]],[2]BILLED!$D:$D,[1]BILLED!$O:$O,"Not Found")</f>
        <v>#REF!</v>
      </c>
      <c r="Y66" s="17" t="e">
        <f>_xlfn.XLOOKUP(Table2[[#This Row],[Adjusted Form '#]],'[2]REJECTED ORDERS'!$D:$D,'[2]REJECTED ORDERS'!$E:$E)</f>
        <v>#N/A</v>
      </c>
      <c r="Z66" s="1"/>
      <c r="AA66" s="1"/>
      <c r="AB66" s="8"/>
      <c r="AC66" s="8"/>
      <c r="AD66" s="8"/>
      <c r="AE66" s="8"/>
      <c r="AF66" s="8"/>
      <c r="AG66" s="8"/>
      <c r="AH66" s="8"/>
      <c r="AI66" s="8"/>
      <c r="AJ66" s="8"/>
    </row>
    <row r="67" spans="1:36" ht="15" customHeight="1" x14ac:dyDescent="0.35">
      <c r="A67" s="4" t="s">
        <v>89</v>
      </c>
      <c r="B67" s="1" t="s">
        <v>3917</v>
      </c>
      <c r="C67" s="11">
        <v>44937</v>
      </c>
      <c r="D67" s="11" t="s">
        <v>3912</v>
      </c>
      <c r="E67" s="1" t="s">
        <v>21</v>
      </c>
      <c r="F67" s="1" t="s">
        <v>3918</v>
      </c>
      <c r="G67" s="6">
        <f>COUNTIF(F:F,Table2[[#This Row],[Form '#]])</f>
        <v>1</v>
      </c>
      <c r="H67" s="1" t="s">
        <v>3920</v>
      </c>
      <c r="I67" s="1" t="s">
        <v>127</v>
      </c>
      <c r="J67" s="1" t="s">
        <v>76</v>
      </c>
      <c r="K67" s="1" t="s">
        <v>3919</v>
      </c>
      <c r="L67" s="1"/>
      <c r="M67" s="6" t="str">
        <f>IF(Table2[[#This Row],[Corrected Form '#
 (If Duplicated)]]="",Table2[[#This Row],[Form '#]],Table2[[#This Row],[Corrected Form '#
 (If Duplicated)]])</f>
        <v>7818-25764</v>
      </c>
      <c r="N67" s="1" t="s">
        <v>49</v>
      </c>
      <c r="O67" s="6" t="str">
        <f>IF(Table2[[#This Row],[POG CONFIRMATION RECEIPT OF ORDER
(DATE &amp; TIME)]]="","No Confirmation","Received Confirmation")</f>
        <v>Received Confirmation</v>
      </c>
      <c r="P67" s="6">
        <f ca="1">TODAY()-Table2[[#This Row],[DATE SENT TO POG]]</f>
        <v>366</v>
      </c>
      <c r="Q67" s="6" t="s">
        <v>5803</v>
      </c>
      <c r="R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" s="2" t="str">
        <f>_xlfn.XLOOKUP(Table2[[#This Row],[Adjusted Form '#]],'[2]IN PROGRESS'!$D:$D,'[2]IN PROGRESS'!$M:$M,"Not Found")</f>
        <v>Not Found</v>
      </c>
      <c r="U67" s="2" t="str">
        <f>_xlfn.XLOOKUP(Table2[[#This Row],[Adjusted Form '#]],[1]COMPLETED!$D:$D,[2]COMPLETED!$M:$M,"Not Found")</f>
        <v>Not Found</v>
      </c>
      <c r="V67" s="17" t="str">
        <f>_xlfn.XLOOKUP(Table2[[#This Row],[Adjusted Form '#]],[2]COMPLETED!$D:$D,[2]COMPLETED!$O:$O,"Not Found")</f>
        <v>Not Found</v>
      </c>
      <c r="W67" s="2" t="str">
        <f>_xlfn.XLOOKUP(Table2[[#This Row],[Adjusted Form '#]],[2]BILLED!$D:$D,[2]BILLED!$M:$M,"Not Found")</f>
        <v>1Z5063E0YW41151096</v>
      </c>
      <c r="X67" s="17" t="e">
        <f>_xlfn.XLOOKUP(Table2[[#This Row],[Adjusted Form '#]],[2]BILLED!$D:$D,[1]BILLED!$O:$O,"Not Found")</f>
        <v>#REF!</v>
      </c>
      <c r="Y67" s="17" t="e">
        <f>_xlfn.XLOOKUP(Table2[[#This Row],[Adjusted Form '#]],'[2]REJECTED ORDERS'!$D:$D,'[2]REJECTED ORDERS'!$E:$E)</f>
        <v>#N/A</v>
      </c>
      <c r="Z67" s="1"/>
      <c r="AA67" s="1"/>
      <c r="AB67" s="8"/>
      <c r="AC67" s="8"/>
      <c r="AD67" s="8"/>
      <c r="AE67" s="8"/>
      <c r="AF67" s="8"/>
      <c r="AG67" s="8"/>
      <c r="AH67" s="8"/>
      <c r="AI67" s="8"/>
      <c r="AJ67" s="8"/>
    </row>
    <row r="68" spans="1:36" ht="15" customHeight="1" x14ac:dyDescent="0.35">
      <c r="A68" s="4" t="s">
        <v>90</v>
      </c>
      <c r="B68" s="1" t="s">
        <v>3917</v>
      </c>
      <c r="C68" s="11">
        <v>44937</v>
      </c>
      <c r="D68" s="11" t="s">
        <v>3912</v>
      </c>
      <c r="E68" s="1" t="s">
        <v>21</v>
      </c>
      <c r="F68" s="1" t="s">
        <v>3921</v>
      </c>
      <c r="G68" s="6">
        <f>COUNTIF(F:F,Table2[[#This Row],[Form '#]])</f>
        <v>1</v>
      </c>
      <c r="H68" s="1" t="s">
        <v>3922</v>
      </c>
      <c r="I68" s="1" t="s">
        <v>127</v>
      </c>
      <c r="J68" s="1" t="s">
        <v>76</v>
      </c>
      <c r="K68" s="1" t="s">
        <v>3862</v>
      </c>
      <c r="L68" s="1"/>
      <c r="M68" s="6" t="str">
        <f>IF(Table2[[#This Row],[Corrected Form '#
 (If Duplicated)]]="",Table2[[#This Row],[Form '#]],Table2[[#This Row],[Corrected Form '#
 (If Duplicated)]])</f>
        <v>7818-02069</v>
      </c>
      <c r="N68" s="1" t="s">
        <v>49</v>
      </c>
      <c r="O68" s="6" t="str">
        <f>IF(Table2[[#This Row],[POG CONFIRMATION RECEIPT OF ORDER
(DATE &amp; TIME)]]="","No Confirmation","Received Confirmation")</f>
        <v>Received Confirmation</v>
      </c>
      <c r="P68" s="6">
        <f ca="1">TODAY()-Table2[[#This Row],[DATE SENT TO POG]]</f>
        <v>366</v>
      </c>
      <c r="Q68" s="6" t="s">
        <v>5802</v>
      </c>
      <c r="R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6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68" s="2" t="str">
        <f>_xlfn.XLOOKUP(Table2[[#This Row],[Adjusted Form '#]],'[2]IN PROGRESS'!$D:$D,'[2]IN PROGRESS'!$M:$M,"Not Found")</f>
        <v>Not Found</v>
      </c>
      <c r="U68" s="2" t="str">
        <f>_xlfn.XLOOKUP(Table2[[#This Row],[Adjusted Form '#]],[1]COMPLETED!$D:$D,[2]COMPLETED!$M:$M,"Not Found")</f>
        <v>Not Found</v>
      </c>
      <c r="V68" s="17" t="str">
        <f>_xlfn.XLOOKUP(Table2[[#This Row],[Adjusted Form '#]],[2]COMPLETED!$D:$D,[2]COMPLETED!$O:$O,"Not Found")</f>
        <v>Not Found</v>
      </c>
      <c r="W68" s="2" t="str">
        <f>_xlfn.XLOOKUP(Table2[[#This Row],[Adjusted Form '#]],[2]BILLED!$D:$D,[2]BILLED!$M:$M,"Not Found")</f>
        <v>Not Found</v>
      </c>
      <c r="X68" s="17" t="str">
        <f>_xlfn.XLOOKUP(Table2[[#This Row],[Adjusted Form '#]],[2]BILLED!$D:$D,[1]BILLED!$O:$O,"Not Found")</f>
        <v>Not Found</v>
      </c>
      <c r="Y68" s="17" t="e">
        <f>_xlfn.XLOOKUP(Table2[[#This Row],[Adjusted Form '#]],'[2]REJECTED ORDERS'!$D:$D,'[2]REJECTED ORDERS'!$E:$E)</f>
        <v>#N/A</v>
      </c>
      <c r="Z68" s="1"/>
      <c r="AA68" s="1"/>
      <c r="AB68" s="8"/>
      <c r="AC68" s="8"/>
      <c r="AD68" s="8"/>
      <c r="AE68" s="8"/>
      <c r="AF68" s="8"/>
      <c r="AG68" s="8"/>
      <c r="AH68" s="8"/>
      <c r="AI68" s="8"/>
      <c r="AJ68" s="8"/>
    </row>
    <row r="69" spans="1:36" ht="15" customHeight="1" x14ac:dyDescent="0.35">
      <c r="A69" s="4" t="s">
        <v>91</v>
      </c>
      <c r="B69" s="1" t="s">
        <v>3923</v>
      </c>
      <c r="C69" s="11">
        <v>44938</v>
      </c>
      <c r="D69" s="11" t="s">
        <v>3893</v>
      </c>
      <c r="E69" s="1" t="s">
        <v>191</v>
      </c>
      <c r="F69" s="1" t="s">
        <v>1418</v>
      </c>
      <c r="G69" s="6">
        <f>COUNTIF(F:F,Table2[[#This Row],[Form '#]])</f>
        <v>1</v>
      </c>
      <c r="H69" s="1" t="s">
        <v>3924</v>
      </c>
      <c r="I69" s="1" t="s">
        <v>3852</v>
      </c>
      <c r="J69" s="1" t="s">
        <v>80</v>
      </c>
      <c r="K69" s="1" t="s">
        <v>3853</v>
      </c>
      <c r="L69" s="1"/>
      <c r="M69" s="6" t="str">
        <f>IF(Table2[[#This Row],[Corrected Form '#
 (If Duplicated)]]="",Table2[[#This Row],[Form '#]],Table2[[#This Row],[Corrected Form '#
 (If Duplicated)]])</f>
        <v>7812-02343</v>
      </c>
      <c r="N69" s="1" t="s">
        <v>49</v>
      </c>
      <c r="O69" s="6" t="str">
        <f>IF(Table2[[#This Row],[POG CONFIRMATION RECEIPT OF ORDER
(DATE &amp; TIME)]]="","No Confirmation","Received Confirmation")</f>
        <v>Received Confirmation</v>
      </c>
      <c r="P69" s="6">
        <f ca="1">TODAY()-Table2[[#This Row],[DATE SENT TO POG]]</f>
        <v>365</v>
      </c>
      <c r="Q69" s="6" t="s">
        <v>5802</v>
      </c>
      <c r="R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6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69" s="2" t="str">
        <f>_xlfn.XLOOKUP(Table2[[#This Row],[Adjusted Form '#]],'[2]IN PROGRESS'!$D:$D,'[2]IN PROGRESS'!$M:$M,"Not Found")</f>
        <v>Not Found</v>
      </c>
      <c r="U69" s="2" t="str">
        <f>_xlfn.XLOOKUP(Table2[[#This Row],[Adjusted Form '#]],[1]COMPLETED!$D:$D,[2]COMPLETED!$M:$M,"Not Found")</f>
        <v>Not Found</v>
      </c>
      <c r="V69" s="17">
        <f>_xlfn.XLOOKUP(Table2[[#This Row],[Adjusted Form '#]],[2]COMPLETED!$D:$D,[2]COMPLETED!$O:$O,"Not Found")</f>
        <v>45271</v>
      </c>
      <c r="W69" s="2" t="str">
        <f>_xlfn.XLOOKUP(Table2[[#This Row],[Adjusted Form '#]],[2]BILLED!$D:$D,[2]BILLED!$M:$M,"Not Found")</f>
        <v>Not Found</v>
      </c>
      <c r="X69" s="17" t="str">
        <f>_xlfn.XLOOKUP(Table2[[#This Row],[Adjusted Form '#]],[2]BILLED!$D:$D,[1]BILLED!$O:$O,"Not Found")</f>
        <v>Not Found</v>
      </c>
      <c r="Y69" s="17" t="e">
        <f>_xlfn.XLOOKUP(Table2[[#This Row],[Adjusted Form '#]],'[2]REJECTED ORDERS'!$D:$D,'[2]REJECTED ORDERS'!$E:$E)</f>
        <v>#N/A</v>
      </c>
      <c r="Z69" s="1"/>
      <c r="AA69" s="1"/>
      <c r="AB69" s="8"/>
      <c r="AC69" s="8"/>
      <c r="AD69" s="8"/>
      <c r="AE69" s="8"/>
      <c r="AF69" s="8"/>
      <c r="AG69" s="8"/>
      <c r="AH69" s="8"/>
      <c r="AI69" s="8"/>
      <c r="AJ69" s="8"/>
    </row>
    <row r="70" spans="1:36" ht="15" customHeight="1" x14ac:dyDescent="0.35">
      <c r="A70" s="4" t="s">
        <v>92</v>
      </c>
      <c r="B70" s="1" t="s">
        <v>3923</v>
      </c>
      <c r="C70" s="11">
        <v>44938</v>
      </c>
      <c r="D70" s="11" t="s">
        <v>3893</v>
      </c>
      <c r="E70" s="1" t="s">
        <v>191</v>
      </c>
      <c r="F70" s="1" t="s">
        <v>3925</v>
      </c>
      <c r="G70" s="6">
        <f>COUNTIF(F:F,Table2[[#This Row],[Form '#]])</f>
        <v>1</v>
      </c>
      <c r="H70" s="1" t="s">
        <v>3926</v>
      </c>
      <c r="I70" s="1" t="s">
        <v>177</v>
      </c>
      <c r="J70" s="1" t="s">
        <v>3891</v>
      </c>
      <c r="K70" s="1" t="s">
        <v>3853</v>
      </c>
      <c r="L70" s="1"/>
      <c r="M70" s="6" t="str">
        <f>IF(Table2[[#This Row],[Corrected Form '#
 (If Duplicated)]]="",Table2[[#This Row],[Form '#]],Table2[[#This Row],[Corrected Form '#
 (If Duplicated)]])</f>
        <v>7812-01557</v>
      </c>
      <c r="N70" s="1" t="s">
        <v>49</v>
      </c>
      <c r="O70" s="6" t="str">
        <f>IF(Table2[[#This Row],[POG CONFIRMATION RECEIPT OF ORDER
(DATE &amp; TIME)]]="","No Confirmation","Received Confirmation")</f>
        <v>Received Confirmation</v>
      </c>
      <c r="P70" s="6">
        <f ca="1">TODAY()-Table2[[#This Row],[DATE SENT TO POG]]</f>
        <v>365</v>
      </c>
      <c r="Q70" s="6" t="s">
        <v>5803</v>
      </c>
      <c r="R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" s="2" t="str">
        <f>_xlfn.XLOOKUP(Table2[[#This Row],[Adjusted Form '#]],'[2]IN PROGRESS'!$D:$D,'[2]IN PROGRESS'!$M:$M,"Not Found")</f>
        <v>Not Found</v>
      </c>
      <c r="U70" s="2" t="str">
        <f>_xlfn.XLOOKUP(Table2[[#This Row],[Adjusted Form '#]],[1]COMPLETED!$D:$D,[2]COMPLETED!$M:$M,"Not Found")</f>
        <v>Not Found</v>
      </c>
      <c r="V70" s="17" t="str">
        <f>_xlfn.XLOOKUP(Table2[[#This Row],[Adjusted Form '#]],[2]COMPLETED!$D:$D,[2]COMPLETED!$O:$O,"Not Found")</f>
        <v>Not Found</v>
      </c>
      <c r="W70" s="2" t="str">
        <f>_xlfn.XLOOKUP(Table2[[#This Row],[Adjusted Form '#]],[2]BILLED!$D:$D,[2]BILLED!$M:$M,"Not Found")</f>
        <v>1Z5063E0YW42753390</v>
      </c>
      <c r="X70" s="17" t="e">
        <f>_xlfn.XLOOKUP(Table2[[#This Row],[Adjusted Form '#]],[2]BILLED!$D:$D,[1]BILLED!$O:$O,"Not Found")</f>
        <v>#REF!</v>
      </c>
      <c r="Y70" s="17" t="e">
        <f>_xlfn.XLOOKUP(Table2[[#This Row],[Adjusted Form '#]],'[2]REJECTED ORDERS'!$D:$D,'[2]REJECTED ORDERS'!$E:$E)</f>
        <v>#N/A</v>
      </c>
      <c r="Z70" s="1"/>
      <c r="AA70" s="1"/>
      <c r="AB70" s="8"/>
      <c r="AC70" s="8"/>
      <c r="AD70" s="8"/>
      <c r="AE70" s="8"/>
      <c r="AF70" s="8"/>
      <c r="AG70" s="8"/>
      <c r="AH70" s="8"/>
      <c r="AI70" s="8"/>
      <c r="AJ70" s="8"/>
    </row>
    <row r="71" spans="1:36" ht="15" customHeight="1" x14ac:dyDescent="0.35">
      <c r="A71" s="4" t="s">
        <v>93</v>
      </c>
      <c r="B71" s="1" t="s">
        <v>3225</v>
      </c>
      <c r="C71" s="11">
        <v>44938</v>
      </c>
      <c r="D71" s="11" t="s">
        <v>3893</v>
      </c>
      <c r="E71" s="1" t="s">
        <v>21</v>
      </c>
      <c r="F71" s="1" t="s">
        <v>3927</v>
      </c>
      <c r="G71" s="6">
        <f>COUNTIF(F:F,Table2[[#This Row],[Form '#]])</f>
        <v>1</v>
      </c>
      <c r="H71" s="1" t="s">
        <v>3928</v>
      </c>
      <c r="I71" s="1" t="s">
        <v>3852</v>
      </c>
      <c r="J71" s="1" t="s">
        <v>75</v>
      </c>
      <c r="K71" s="1" t="s">
        <v>3862</v>
      </c>
      <c r="L71" s="1"/>
      <c r="M71" s="6" t="str">
        <f>IF(Table2[[#This Row],[Corrected Form '#
 (If Duplicated)]]="",Table2[[#This Row],[Form '#]],Table2[[#This Row],[Corrected Form '#
 (If Duplicated)]])</f>
        <v>7818-26905</v>
      </c>
      <c r="N71" s="1" t="s">
        <v>49</v>
      </c>
      <c r="O71" s="6" t="str">
        <f>IF(Table2[[#This Row],[POG CONFIRMATION RECEIPT OF ORDER
(DATE &amp; TIME)]]="","No Confirmation","Received Confirmation")</f>
        <v>Received Confirmation</v>
      </c>
      <c r="P71" s="6">
        <f ca="1">TODAY()-Table2[[#This Row],[DATE SENT TO POG]]</f>
        <v>365</v>
      </c>
      <c r="Q71" s="6" t="s">
        <v>5803</v>
      </c>
      <c r="R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" s="2" t="str">
        <f>_xlfn.XLOOKUP(Table2[[#This Row],[Adjusted Form '#]],'[2]IN PROGRESS'!$D:$D,'[2]IN PROGRESS'!$M:$M,"Not Found")</f>
        <v>Not Found</v>
      </c>
      <c r="U71" s="2" t="str">
        <f>_xlfn.XLOOKUP(Table2[[#This Row],[Adjusted Form '#]],[1]COMPLETED!$D:$D,[2]COMPLETED!$M:$M,"Not Found")</f>
        <v>Not Found</v>
      </c>
      <c r="V71" s="17" t="str">
        <f>_xlfn.XLOOKUP(Table2[[#This Row],[Adjusted Form '#]],[2]COMPLETED!$D:$D,[2]COMPLETED!$O:$O,"Not Found")</f>
        <v>Not Found</v>
      </c>
      <c r="W71" s="2" t="str">
        <f>_xlfn.XLOOKUP(Table2[[#This Row],[Adjusted Form '#]],[2]BILLED!$D:$D,[2]BILLED!$M:$M,"Not Found")</f>
        <v>1Z5063E0YW41019551</v>
      </c>
      <c r="X71" s="17" t="e">
        <f>_xlfn.XLOOKUP(Table2[[#This Row],[Adjusted Form '#]],[2]BILLED!$D:$D,[1]BILLED!$O:$O,"Not Found")</f>
        <v>#REF!</v>
      </c>
      <c r="Y71" s="17" t="e">
        <f>_xlfn.XLOOKUP(Table2[[#This Row],[Adjusted Form '#]],'[2]REJECTED ORDERS'!$D:$D,'[2]REJECTED ORDERS'!$E:$E)</f>
        <v>#N/A</v>
      </c>
      <c r="Z71" s="1"/>
      <c r="AA71" s="1"/>
      <c r="AB71" s="8"/>
      <c r="AC71" s="8"/>
      <c r="AD71" s="8"/>
      <c r="AE71" s="8"/>
      <c r="AF71" s="8"/>
      <c r="AG71" s="8"/>
      <c r="AH71" s="8"/>
      <c r="AI71" s="8"/>
      <c r="AJ71" s="8"/>
    </row>
    <row r="72" spans="1:36" ht="16.5" customHeight="1" x14ac:dyDescent="0.35">
      <c r="A72" s="4" t="s">
        <v>94</v>
      </c>
      <c r="B72" s="1" t="s">
        <v>1086</v>
      </c>
      <c r="C72" s="11">
        <v>44938</v>
      </c>
      <c r="D72" s="11" t="s">
        <v>3929</v>
      </c>
      <c r="E72" s="1" t="s">
        <v>1592</v>
      </c>
      <c r="F72" s="1" t="s">
        <v>3930</v>
      </c>
      <c r="G72" s="6">
        <f>COUNTIF(F:F,Table2[[#This Row],[Form '#]])</f>
        <v>1</v>
      </c>
      <c r="H72" s="1" t="s">
        <v>3931</v>
      </c>
      <c r="I72" s="1" t="s">
        <v>177</v>
      </c>
      <c r="J72" s="1" t="s">
        <v>75</v>
      </c>
      <c r="K72" s="1" t="s">
        <v>3862</v>
      </c>
      <c r="L72" s="1"/>
      <c r="M72" s="6" t="str">
        <f>IF(Table2[[#This Row],[Corrected Form '#
 (If Duplicated)]]="",Table2[[#This Row],[Form '#]],Table2[[#This Row],[Corrected Form '#
 (If Duplicated)]])</f>
        <v>7811-00304</v>
      </c>
      <c r="N72" s="1" t="s">
        <v>49</v>
      </c>
      <c r="O72" s="6" t="str">
        <f>IF(Table2[[#This Row],[POG CONFIRMATION RECEIPT OF ORDER
(DATE &amp; TIME)]]="","No Confirmation","Received Confirmation")</f>
        <v>Received Confirmation</v>
      </c>
      <c r="P72" s="6">
        <f ca="1">TODAY()-Table2[[#This Row],[DATE SENT TO POG]]</f>
        <v>365</v>
      </c>
      <c r="Q72" s="6" t="s">
        <v>5803</v>
      </c>
      <c r="R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" s="2" t="str">
        <f>_xlfn.XLOOKUP(Table2[[#This Row],[Adjusted Form '#]],'[2]IN PROGRESS'!$D:$D,'[2]IN PROGRESS'!$M:$M,"Not Found")</f>
        <v>Not Found</v>
      </c>
      <c r="U72" s="2" t="str">
        <f>_xlfn.XLOOKUP(Table2[[#This Row],[Adjusted Form '#]],[1]COMPLETED!$D:$D,[2]COMPLETED!$M:$M,"Not Found")</f>
        <v>Not Found</v>
      </c>
      <c r="V72" s="17" t="str">
        <f>_xlfn.XLOOKUP(Table2[[#This Row],[Adjusted Form '#]],[2]COMPLETED!$D:$D,[2]COMPLETED!$O:$O,"Not Found")</f>
        <v>Not Found</v>
      </c>
      <c r="W72" s="2" t="str">
        <f>_xlfn.XLOOKUP(Table2[[#This Row],[Adjusted Form '#]],[2]BILLED!$D:$D,[2]BILLED!$M:$M,"Not Found")</f>
        <v>1Z5063E0YW41205368</v>
      </c>
      <c r="X72" s="17" t="e">
        <f>_xlfn.XLOOKUP(Table2[[#This Row],[Adjusted Form '#]],[2]BILLED!$D:$D,[1]BILLED!$O:$O,"Not Found")</f>
        <v>#REF!</v>
      </c>
      <c r="Y72" s="17" t="e">
        <f>_xlfn.XLOOKUP(Table2[[#This Row],[Adjusted Form '#]],'[2]REJECTED ORDERS'!$D:$D,'[2]REJECTED ORDERS'!$E:$E)</f>
        <v>#N/A</v>
      </c>
      <c r="Z72" s="1"/>
      <c r="AA72" s="1"/>
      <c r="AB72" s="8"/>
      <c r="AC72" s="8"/>
      <c r="AD72" s="8"/>
      <c r="AE72" s="8"/>
      <c r="AF72" s="8"/>
      <c r="AG72" s="8"/>
      <c r="AH72" s="8"/>
      <c r="AI72" s="8"/>
      <c r="AJ72" s="8"/>
    </row>
    <row r="73" spans="1:36" ht="15" customHeight="1" x14ac:dyDescent="0.35">
      <c r="A73" s="4" t="s">
        <v>95</v>
      </c>
      <c r="B73" s="1" t="s">
        <v>431</v>
      </c>
      <c r="C73" s="11">
        <v>44938</v>
      </c>
      <c r="D73" s="11" t="s">
        <v>3929</v>
      </c>
      <c r="E73" s="1" t="s">
        <v>73</v>
      </c>
      <c r="F73" s="1" t="s">
        <v>3932</v>
      </c>
      <c r="G73" s="6">
        <f>COUNTIF(F:F,Table2[[#This Row],[Form '#]])</f>
        <v>1</v>
      </c>
      <c r="H73" s="1" t="s">
        <v>3933</v>
      </c>
      <c r="I73" s="1" t="s">
        <v>177</v>
      </c>
      <c r="J73" s="1" t="s">
        <v>75</v>
      </c>
      <c r="K73" s="1" t="s">
        <v>3853</v>
      </c>
      <c r="L73" s="1"/>
      <c r="M73" s="6" t="str">
        <f>IF(Table2[[#This Row],[Corrected Form '#
 (If Duplicated)]]="",Table2[[#This Row],[Form '#]],Table2[[#This Row],[Corrected Form '#
 (If Duplicated)]])</f>
        <v>7823-02789</v>
      </c>
      <c r="N73" s="1" t="s">
        <v>49</v>
      </c>
      <c r="O73" s="6" t="str">
        <f>IF(Table2[[#This Row],[POG CONFIRMATION RECEIPT OF ORDER
(DATE &amp; TIME)]]="","No Confirmation","Received Confirmation")</f>
        <v>Received Confirmation</v>
      </c>
      <c r="P73" s="6">
        <f ca="1">TODAY()-Table2[[#This Row],[DATE SENT TO POG]]</f>
        <v>365</v>
      </c>
      <c r="Q73" s="6" t="s">
        <v>5803</v>
      </c>
      <c r="R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" s="2" t="str">
        <f>_xlfn.XLOOKUP(Table2[[#This Row],[Adjusted Form '#]],'[2]IN PROGRESS'!$D:$D,'[2]IN PROGRESS'!$M:$M,"Not Found")</f>
        <v>Not Found</v>
      </c>
      <c r="U73" s="2" t="str">
        <f>_xlfn.XLOOKUP(Table2[[#This Row],[Adjusted Form '#]],[1]COMPLETED!$D:$D,[2]COMPLETED!$M:$M,"Not Found")</f>
        <v>Not Found</v>
      </c>
      <c r="V73" s="17" t="str">
        <f>_xlfn.XLOOKUP(Table2[[#This Row],[Adjusted Form '#]],[2]COMPLETED!$D:$D,[2]COMPLETED!$O:$O,"Not Found")</f>
        <v>Not Found</v>
      </c>
      <c r="W73" s="2" t="str">
        <f>_xlfn.XLOOKUP(Table2[[#This Row],[Adjusted Form '#]],[2]BILLED!$D:$D,[2]BILLED!$M:$M,"Not Found")</f>
        <v>1Z5063E0YW42235806</v>
      </c>
      <c r="X73" s="17" t="e">
        <f>_xlfn.XLOOKUP(Table2[[#This Row],[Adjusted Form '#]],[2]BILLED!$D:$D,[1]BILLED!$O:$O,"Not Found")</f>
        <v>#REF!</v>
      </c>
      <c r="Y73" s="17" t="e">
        <f>_xlfn.XLOOKUP(Table2[[#This Row],[Adjusted Form '#]],'[2]REJECTED ORDERS'!$D:$D,'[2]REJECTED ORDERS'!$E:$E)</f>
        <v>#N/A</v>
      </c>
      <c r="Z73" s="1"/>
      <c r="AA73" s="1"/>
      <c r="AB73" s="8"/>
      <c r="AC73" s="8"/>
      <c r="AD73" s="8"/>
      <c r="AE73" s="8"/>
      <c r="AF73" s="8"/>
      <c r="AG73" s="8"/>
      <c r="AH73" s="8"/>
      <c r="AI73" s="8"/>
      <c r="AJ73" s="8"/>
    </row>
    <row r="74" spans="1:36" ht="15" customHeight="1" x14ac:dyDescent="0.35">
      <c r="A74" s="4" t="s">
        <v>96</v>
      </c>
      <c r="B74" s="1" t="s">
        <v>3580</v>
      </c>
      <c r="C74" s="11">
        <v>44938</v>
      </c>
      <c r="D74" s="11" t="s">
        <v>3934</v>
      </c>
      <c r="E74" s="1" t="s">
        <v>21</v>
      </c>
      <c r="F74" s="1" t="s">
        <v>3935</v>
      </c>
      <c r="G74" s="6">
        <f>COUNTIF(F:F,Table2[[#This Row],[Form '#]])</f>
        <v>1</v>
      </c>
      <c r="H74" s="1" t="s">
        <v>3936</v>
      </c>
      <c r="I74" s="1" t="s">
        <v>3864</v>
      </c>
      <c r="J74" s="1" t="s">
        <v>78</v>
      </c>
      <c r="K74" s="1" t="s">
        <v>3879</v>
      </c>
      <c r="L74" s="1"/>
      <c r="M74" s="6" t="str">
        <f>IF(Table2[[#This Row],[Corrected Form '#
 (If Duplicated)]]="",Table2[[#This Row],[Form '#]],Table2[[#This Row],[Corrected Form '#
 (If Duplicated)]])</f>
        <v>7818-25263</v>
      </c>
      <c r="N74" s="1" t="s">
        <v>49</v>
      </c>
      <c r="O74" s="6" t="str">
        <f>IF(Table2[[#This Row],[POG CONFIRMATION RECEIPT OF ORDER
(DATE &amp; TIME)]]="","No Confirmation","Received Confirmation")</f>
        <v>Received Confirmation</v>
      </c>
      <c r="P74" s="6">
        <f ca="1">TODAY()-Table2[[#This Row],[DATE SENT TO POG]]</f>
        <v>365</v>
      </c>
      <c r="Q74" s="6" t="s">
        <v>5803</v>
      </c>
      <c r="R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" s="2" t="str">
        <f>_xlfn.XLOOKUP(Table2[[#This Row],[Adjusted Form '#]],'[2]IN PROGRESS'!$D:$D,'[2]IN PROGRESS'!$M:$M,"Not Found")</f>
        <v>Not Found</v>
      </c>
      <c r="U74" s="2" t="str">
        <f>_xlfn.XLOOKUP(Table2[[#This Row],[Adjusted Form '#]],[1]COMPLETED!$D:$D,[2]COMPLETED!$M:$M,"Not Found")</f>
        <v>Not Found</v>
      </c>
      <c r="V74" s="17" t="str">
        <f>_xlfn.XLOOKUP(Table2[[#This Row],[Adjusted Form '#]],[2]COMPLETED!$D:$D,[2]COMPLETED!$O:$O,"Not Found")</f>
        <v>Not Found</v>
      </c>
      <c r="W74" s="2" t="str">
        <f>_xlfn.XLOOKUP(Table2[[#This Row],[Adjusted Form '#]],[2]BILLED!$D:$D,[2]BILLED!$M:$M,"Not Found")</f>
        <v>1Z5063E0YW42212625</v>
      </c>
      <c r="X74" s="17" t="e">
        <f>_xlfn.XLOOKUP(Table2[[#This Row],[Adjusted Form '#]],[2]BILLED!$D:$D,[1]BILLED!$O:$O,"Not Found")</f>
        <v>#REF!</v>
      </c>
      <c r="Y74" s="17" t="e">
        <f>_xlfn.XLOOKUP(Table2[[#This Row],[Adjusted Form '#]],'[2]REJECTED ORDERS'!$D:$D,'[2]REJECTED ORDERS'!$E:$E)</f>
        <v>#N/A</v>
      </c>
      <c r="Z74" s="1"/>
      <c r="AA74" s="1"/>
      <c r="AB74" s="8"/>
      <c r="AC74" s="8"/>
      <c r="AD74" s="8"/>
      <c r="AE74" s="8"/>
      <c r="AF74" s="8"/>
      <c r="AG74" s="8"/>
      <c r="AH74" s="8"/>
      <c r="AI74" s="8"/>
      <c r="AJ74" s="8"/>
    </row>
    <row r="75" spans="1:36" ht="15" customHeight="1" x14ac:dyDescent="0.35">
      <c r="A75" s="4" t="s">
        <v>99</v>
      </c>
      <c r="B75" s="1" t="s">
        <v>3580</v>
      </c>
      <c r="C75" s="11">
        <v>44938</v>
      </c>
      <c r="D75" s="11" t="s">
        <v>3934</v>
      </c>
      <c r="E75" s="1" t="s">
        <v>21</v>
      </c>
      <c r="F75" s="1" t="s">
        <v>3740</v>
      </c>
      <c r="G75" s="6">
        <f>COUNTIF(F:F,Table2[[#This Row],[Form '#]])</f>
        <v>1</v>
      </c>
      <c r="H75" s="1" t="s">
        <v>3741</v>
      </c>
      <c r="I75" s="1" t="s">
        <v>3864</v>
      </c>
      <c r="J75" s="1" t="s">
        <v>3891</v>
      </c>
      <c r="K75" s="1" t="s">
        <v>3879</v>
      </c>
      <c r="L75" s="1"/>
      <c r="M75" s="6" t="str">
        <f>IF(Table2[[#This Row],[Corrected Form '#
 (If Duplicated)]]="",Table2[[#This Row],[Form '#]],Table2[[#This Row],[Corrected Form '#
 (If Duplicated)]])</f>
        <v>7818-18951</v>
      </c>
      <c r="N75" s="1" t="s">
        <v>49</v>
      </c>
      <c r="O75" s="6" t="str">
        <f>IF(Table2[[#This Row],[POG CONFIRMATION RECEIPT OF ORDER
(DATE &amp; TIME)]]="","No Confirmation","Received Confirmation")</f>
        <v>Received Confirmation</v>
      </c>
      <c r="P75" s="6">
        <f ca="1">TODAY()-Table2[[#This Row],[DATE SENT TO POG]]</f>
        <v>365</v>
      </c>
      <c r="Q75" s="6" t="s">
        <v>5803</v>
      </c>
      <c r="R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" s="2" t="str">
        <f>_xlfn.XLOOKUP(Table2[[#This Row],[Adjusted Form '#]],'[2]IN PROGRESS'!$D:$D,'[2]IN PROGRESS'!$M:$M,"Not Found")</f>
        <v>Not Found</v>
      </c>
      <c r="U75" s="2" t="str">
        <f>_xlfn.XLOOKUP(Table2[[#This Row],[Adjusted Form '#]],[1]COMPLETED!$D:$D,[2]COMPLETED!$M:$M,"Not Found")</f>
        <v>Not Found</v>
      </c>
      <c r="V75" s="17" t="str">
        <f>_xlfn.XLOOKUP(Table2[[#This Row],[Adjusted Form '#]],[2]COMPLETED!$D:$D,[2]COMPLETED!$O:$O,"Not Found")</f>
        <v>Not Found</v>
      </c>
      <c r="W75" s="2" t="str">
        <f>_xlfn.XLOOKUP(Table2[[#This Row],[Adjusted Form '#]],[2]BILLED!$D:$D,[2]BILLED!$M:$M,"Not Found")</f>
        <v>1Z5063E0YW41408327</v>
      </c>
      <c r="X75" s="17" t="e">
        <f>_xlfn.XLOOKUP(Table2[[#This Row],[Adjusted Form '#]],[2]BILLED!$D:$D,[1]BILLED!$O:$O,"Not Found")</f>
        <v>#REF!</v>
      </c>
      <c r="Y75" s="17" t="str">
        <f>_xlfn.XLOOKUP(Table2[[#This Row],[Adjusted Form '#]],'[2]REJECTED ORDERS'!$D:$D,'[2]REJECTED ORDERS'!$E:$E)</f>
        <v>FORM NUMBER ALREADY USED</v>
      </c>
      <c r="Z75" s="1"/>
      <c r="AA75" s="1"/>
      <c r="AB75" s="8"/>
      <c r="AC75" s="8"/>
      <c r="AD75" s="8"/>
      <c r="AE75" s="8"/>
      <c r="AF75" s="8"/>
      <c r="AG75" s="8"/>
      <c r="AH75" s="8"/>
      <c r="AI75" s="8"/>
      <c r="AJ75" s="8"/>
    </row>
    <row r="76" spans="1:36" ht="15" customHeight="1" x14ac:dyDescent="0.35">
      <c r="A76" s="4" t="s">
        <v>100</v>
      </c>
      <c r="B76" s="1" t="s">
        <v>3580</v>
      </c>
      <c r="C76" s="11">
        <v>44938</v>
      </c>
      <c r="D76" s="11" t="s">
        <v>3934</v>
      </c>
      <c r="E76" s="1" t="s">
        <v>21</v>
      </c>
      <c r="F76" s="1" t="s">
        <v>3742</v>
      </c>
      <c r="G76" s="6">
        <f>COUNTIF(F:F,Table2[[#This Row],[Form '#]])</f>
        <v>1</v>
      </c>
      <c r="H76" s="1" t="s">
        <v>3743</v>
      </c>
      <c r="I76" s="1" t="s">
        <v>127</v>
      </c>
      <c r="J76" s="1" t="s">
        <v>76</v>
      </c>
      <c r="K76" s="1" t="s">
        <v>3919</v>
      </c>
      <c r="L76" s="1"/>
      <c r="M76" s="6" t="str">
        <f>IF(Table2[[#This Row],[Corrected Form '#
 (If Duplicated)]]="",Table2[[#This Row],[Form '#]],Table2[[#This Row],[Corrected Form '#
 (If Duplicated)]])</f>
        <v>7818-18957</v>
      </c>
      <c r="N76" s="1" t="s">
        <v>49</v>
      </c>
      <c r="O76" s="6" t="str">
        <f>IF(Table2[[#This Row],[POG CONFIRMATION RECEIPT OF ORDER
(DATE &amp; TIME)]]="","No Confirmation","Received Confirmation")</f>
        <v>Received Confirmation</v>
      </c>
      <c r="P76" s="6">
        <f ca="1">TODAY()-Table2[[#This Row],[DATE SENT TO POG]]</f>
        <v>365</v>
      </c>
      <c r="Q76" s="6" t="s">
        <v>5803</v>
      </c>
      <c r="R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" s="2" t="str">
        <f>_xlfn.XLOOKUP(Table2[[#This Row],[Adjusted Form '#]],'[2]IN PROGRESS'!$D:$D,'[2]IN PROGRESS'!$M:$M,"Not Found")</f>
        <v>Not Found</v>
      </c>
      <c r="U76" s="2" t="str">
        <f>_xlfn.XLOOKUP(Table2[[#This Row],[Adjusted Form '#]],[1]COMPLETED!$D:$D,[2]COMPLETED!$M:$M,"Not Found")</f>
        <v>Not Found</v>
      </c>
      <c r="V76" s="17" t="str">
        <f>_xlfn.XLOOKUP(Table2[[#This Row],[Adjusted Form '#]],[2]COMPLETED!$D:$D,[2]COMPLETED!$O:$O,"Not Found")</f>
        <v>Not Found</v>
      </c>
      <c r="W76" s="2" t="str">
        <f>_xlfn.XLOOKUP(Table2[[#This Row],[Adjusted Form '#]],[2]BILLED!$D:$D,[2]BILLED!$M:$M,"Not Found")</f>
        <v>1Z5063E0YW41474452</v>
      </c>
      <c r="X76" s="17" t="e">
        <f>_xlfn.XLOOKUP(Table2[[#This Row],[Adjusted Form '#]],[2]BILLED!$D:$D,[1]BILLED!$O:$O,"Not Found")</f>
        <v>#REF!</v>
      </c>
      <c r="Y76" s="17" t="e">
        <f>_xlfn.XLOOKUP(Table2[[#This Row],[Adjusted Form '#]],'[2]REJECTED ORDERS'!$D:$D,'[2]REJECTED ORDERS'!$E:$E)</f>
        <v>#N/A</v>
      </c>
      <c r="Z76" s="1"/>
      <c r="AA76" s="1"/>
      <c r="AB76" s="8"/>
      <c r="AC76" s="8"/>
      <c r="AD76" s="8"/>
      <c r="AE76" s="8"/>
      <c r="AF76" s="8"/>
      <c r="AG76" s="8"/>
      <c r="AH76" s="8"/>
      <c r="AI76" s="8"/>
      <c r="AJ76" s="8"/>
    </row>
    <row r="77" spans="1:36" ht="15" customHeight="1" x14ac:dyDescent="0.35">
      <c r="A77" s="4" t="s">
        <v>101</v>
      </c>
      <c r="B77" s="1" t="s">
        <v>3937</v>
      </c>
      <c r="C77" s="11">
        <v>44938</v>
      </c>
      <c r="D77" s="11" t="s">
        <v>3938</v>
      </c>
      <c r="E77" s="1" t="s">
        <v>73</v>
      </c>
      <c r="F77" s="1" t="s">
        <v>3939</v>
      </c>
      <c r="G77" s="6">
        <f>COUNTIF(F:F,Table2[[#This Row],[Form '#]])</f>
        <v>1</v>
      </c>
      <c r="H77" s="1" t="s">
        <v>3940</v>
      </c>
      <c r="I77" s="1" t="s">
        <v>3852</v>
      </c>
      <c r="J77" s="1" t="s">
        <v>75</v>
      </c>
      <c r="K77" s="1" t="s">
        <v>3853</v>
      </c>
      <c r="L77" s="1"/>
      <c r="M77" s="6" t="str">
        <f>IF(Table2[[#This Row],[Corrected Form '#
 (If Duplicated)]]="",Table2[[#This Row],[Form '#]],Table2[[#This Row],[Corrected Form '#
 (If Duplicated)]])</f>
        <v>7823-02808</v>
      </c>
      <c r="N77" s="1" t="s">
        <v>49</v>
      </c>
      <c r="O77" s="6" t="str">
        <f>IF(Table2[[#This Row],[POG CONFIRMATION RECEIPT OF ORDER
(DATE &amp; TIME)]]="","No Confirmation","Received Confirmation")</f>
        <v>Received Confirmation</v>
      </c>
      <c r="P77" s="6">
        <f ca="1">TODAY()-Table2[[#This Row],[DATE SENT TO POG]]</f>
        <v>365</v>
      </c>
      <c r="Q77" s="6" t="s">
        <v>5803</v>
      </c>
      <c r="R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" s="2" t="str">
        <f>_xlfn.XLOOKUP(Table2[[#This Row],[Adjusted Form '#]],'[2]IN PROGRESS'!$D:$D,'[2]IN PROGRESS'!$M:$M,"Not Found")</f>
        <v>Not Found</v>
      </c>
      <c r="U77" s="2" t="str">
        <f>_xlfn.XLOOKUP(Table2[[#This Row],[Adjusted Form '#]],[1]COMPLETED!$D:$D,[2]COMPLETED!$M:$M,"Not Found")</f>
        <v>Not Found</v>
      </c>
      <c r="V77" s="17" t="str">
        <f>_xlfn.XLOOKUP(Table2[[#This Row],[Adjusted Form '#]],[2]COMPLETED!$D:$D,[2]COMPLETED!$O:$O,"Not Found")</f>
        <v>Not Found</v>
      </c>
      <c r="W77" s="2" t="str">
        <f>_xlfn.XLOOKUP(Table2[[#This Row],[Adjusted Form '#]],[2]BILLED!$D:$D,[2]BILLED!$M:$M,"Not Found")</f>
        <v>1Z5063E0YW41603017</v>
      </c>
      <c r="X77" s="17" t="e">
        <f>_xlfn.XLOOKUP(Table2[[#This Row],[Adjusted Form '#]],[2]BILLED!$D:$D,[1]BILLED!$O:$O,"Not Found")</f>
        <v>#REF!</v>
      </c>
      <c r="Y77" s="17" t="str">
        <f>_xlfn.XLOOKUP(Table2[[#This Row],[Adjusted Form '#]],'[2]REJECTED ORDERS'!$D:$D,'[2]REJECTED ORDERS'!$E:$E)</f>
        <v>FORM NUMBER ALREADY USED</v>
      </c>
      <c r="Z77" s="1"/>
      <c r="AA77" s="1"/>
      <c r="AB77" s="8"/>
      <c r="AC77" s="8"/>
      <c r="AD77" s="8"/>
      <c r="AE77" s="8"/>
      <c r="AF77" s="8"/>
      <c r="AG77" s="8"/>
      <c r="AH77" s="8"/>
      <c r="AI77" s="8"/>
      <c r="AJ77" s="8"/>
    </row>
    <row r="78" spans="1:36" ht="15" customHeight="1" x14ac:dyDescent="0.35">
      <c r="A78" s="4" t="s">
        <v>102</v>
      </c>
      <c r="B78" s="1" t="s">
        <v>3941</v>
      </c>
      <c r="C78" s="11">
        <v>44939</v>
      </c>
      <c r="E78" s="1" t="s">
        <v>21</v>
      </c>
      <c r="F78" s="1" t="s">
        <v>3942</v>
      </c>
      <c r="G78" s="6">
        <f>COUNTIF(F:F,Table2[[#This Row],[Form '#]])</f>
        <v>1</v>
      </c>
      <c r="H78" s="1" t="s">
        <v>3943</v>
      </c>
      <c r="I78" s="1" t="s">
        <v>127</v>
      </c>
      <c r="J78" s="1" t="s">
        <v>3891</v>
      </c>
      <c r="K78" s="1" t="s">
        <v>3919</v>
      </c>
      <c r="L78" s="1"/>
      <c r="M78" s="6" t="str">
        <f>IF(Table2[[#This Row],[Corrected Form '#
 (If Duplicated)]]="",Table2[[#This Row],[Form '#]],Table2[[#This Row],[Corrected Form '#
 (If Duplicated)]])</f>
        <v>7818-10376</v>
      </c>
      <c r="N78" s="1" t="s">
        <v>49</v>
      </c>
      <c r="O78" s="6" t="str">
        <f>IF(Table2[[#This Row],[POG CONFIRMATION RECEIPT OF ORDER
(DATE &amp; TIME)]]="","No Confirmation","Received Confirmation")</f>
        <v>No Confirmation</v>
      </c>
      <c r="P78" s="6">
        <f ca="1">TODAY()-Table2[[#This Row],[DATE SENT TO POG]]</f>
        <v>364</v>
      </c>
      <c r="Q78" s="6" t="s">
        <v>5803</v>
      </c>
      <c r="R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" s="2" t="str">
        <f>_xlfn.XLOOKUP(Table2[[#This Row],[Adjusted Form '#]],'[2]IN PROGRESS'!$D:$D,'[2]IN PROGRESS'!$M:$M,"Not Found")</f>
        <v>Not Found</v>
      </c>
      <c r="U78" s="2" t="str">
        <f>_xlfn.XLOOKUP(Table2[[#This Row],[Adjusted Form '#]],[1]COMPLETED!$D:$D,[2]COMPLETED!$M:$M,"Not Found")</f>
        <v>Not Found</v>
      </c>
      <c r="V78" s="17" t="str">
        <f>_xlfn.XLOOKUP(Table2[[#This Row],[Adjusted Form '#]],[2]COMPLETED!$D:$D,[2]COMPLETED!$O:$O,"Not Found")</f>
        <v>Not Found</v>
      </c>
      <c r="W78" s="2" t="str">
        <f>_xlfn.XLOOKUP(Table2[[#This Row],[Adjusted Form '#]],[2]BILLED!$D:$D,[2]BILLED!$M:$M,"Not Found")</f>
        <v>1Z5063E0YW40932459</v>
      </c>
      <c r="X78" s="17" t="e">
        <f>_xlfn.XLOOKUP(Table2[[#This Row],[Adjusted Form '#]],[2]BILLED!$D:$D,[1]BILLED!$O:$O,"Not Found")</f>
        <v>#REF!</v>
      </c>
      <c r="Y78" s="17" t="e">
        <f>_xlfn.XLOOKUP(Table2[[#This Row],[Adjusted Form '#]],'[2]REJECTED ORDERS'!$D:$D,'[2]REJECTED ORDERS'!$E:$E)</f>
        <v>#N/A</v>
      </c>
      <c r="Z78" s="1"/>
      <c r="AA78" s="1"/>
      <c r="AB78" s="8"/>
      <c r="AC78" s="8"/>
      <c r="AD78" s="8"/>
      <c r="AE78" s="8"/>
      <c r="AF78" s="8"/>
      <c r="AG78" s="8"/>
      <c r="AH78" s="8"/>
      <c r="AI78" s="8"/>
      <c r="AJ78" s="8"/>
    </row>
    <row r="79" spans="1:36" ht="15" customHeight="1" x14ac:dyDescent="0.35">
      <c r="A79" s="4" t="s">
        <v>103</v>
      </c>
      <c r="B79" s="1" t="s">
        <v>3750</v>
      </c>
      <c r="C79" s="11">
        <v>44939</v>
      </c>
      <c r="D79" s="11" t="s">
        <v>3944</v>
      </c>
      <c r="E79" s="1" t="s">
        <v>14</v>
      </c>
      <c r="F79" s="1" t="s">
        <v>3945</v>
      </c>
      <c r="G79" s="6">
        <f>COUNTIF(F:F,Table2[[#This Row],[Form '#]])</f>
        <v>1</v>
      </c>
      <c r="H79" s="1" t="s">
        <v>27</v>
      </c>
      <c r="I79" s="1" t="s">
        <v>3864</v>
      </c>
      <c r="J79" s="1" t="s">
        <v>78</v>
      </c>
      <c r="K79" s="1" t="s">
        <v>3879</v>
      </c>
      <c r="L79" s="1"/>
      <c r="M79" s="6" t="str">
        <f>IF(Table2[[#This Row],[Corrected Form '#
 (If Duplicated)]]="",Table2[[#This Row],[Form '#]],Table2[[#This Row],[Corrected Form '#
 (If Duplicated)]])</f>
        <v>7810-00077</v>
      </c>
      <c r="N79" s="1" t="s">
        <v>49</v>
      </c>
      <c r="O79" s="6" t="str">
        <f>IF(Table2[[#This Row],[POG CONFIRMATION RECEIPT OF ORDER
(DATE &amp; TIME)]]="","No Confirmation","Received Confirmation")</f>
        <v>Received Confirmation</v>
      </c>
      <c r="P79" s="6">
        <f ca="1">TODAY()-Table2[[#This Row],[DATE SENT TO POG]]</f>
        <v>364</v>
      </c>
      <c r="Q79" s="6" t="s">
        <v>5803</v>
      </c>
      <c r="R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" s="2" t="str">
        <f>_xlfn.XLOOKUP(Table2[[#This Row],[Adjusted Form '#]],'[2]IN PROGRESS'!$D:$D,'[2]IN PROGRESS'!$M:$M,"Not Found")</f>
        <v>Not Found</v>
      </c>
      <c r="U79" s="2" t="str">
        <f>_xlfn.XLOOKUP(Table2[[#This Row],[Adjusted Form '#]],[1]COMPLETED!$D:$D,[2]COMPLETED!$M:$M,"Not Found")</f>
        <v>Not Found</v>
      </c>
      <c r="V79" s="17" t="str">
        <f>_xlfn.XLOOKUP(Table2[[#This Row],[Adjusted Form '#]],[2]COMPLETED!$D:$D,[2]COMPLETED!$O:$O,"Not Found")</f>
        <v>Not Found</v>
      </c>
      <c r="W79" s="2" t="str">
        <f>_xlfn.XLOOKUP(Table2[[#This Row],[Adjusted Form '#]],[2]BILLED!$D:$D,[2]BILLED!$M:$M,"Not Found")</f>
        <v>1Z5063E0YW41720720</v>
      </c>
      <c r="X79" s="17" t="e">
        <f>_xlfn.XLOOKUP(Table2[[#This Row],[Adjusted Form '#]],[2]BILLED!$D:$D,[1]BILLED!$O:$O,"Not Found")</f>
        <v>#REF!</v>
      </c>
      <c r="Y79" s="17" t="e">
        <f>_xlfn.XLOOKUP(Table2[[#This Row],[Adjusted Form '#]],'[2]REJECTED ORDERS'!$D:$D,'[2]REJECTED ORDERS'!$E:$E)</f>
        <v>#N/A</v>
      </c>
      <c r="Z79" s="1"/>
      <c r="AA79" s="1"/>
      <c r="AB79" s="8"/>
      <c r="AC79" s="8"/>
      <c r="AD79" s="8"/>
      <c r="AE79" s="8"/>
      <c r="AF79" s="8"/>
      <c r="AG79" s="8"/>
      <c r="AH79" s="8"/>
      <c r="AI79" s="8"/>
      <c r="AJ79" s="8"/>
    </row>
    <row r="80" spans="1:36" ht="15" customHeight="1" x14ac:dyDescent="0.35">
      <c r="A80" s="4" t="s">
        <v>105</v>
      </c>
      <c r="B80" s="1" t="s">
        <v>3946</v>
      </c>
      <c r="C80" s="11">
        <v>44939</v>
      </c>
      <c r="D80" s="11" t="s">
        <v>3947</v>
      </c>
      <c r="E80" s="1" t="s">
        <v>73</v>
      </c>
      <c r="F80" s="1" t="s">
        <v>3948</v>
      </c>
      <c r="G80" s="6">
        <f>COUNTIF(F:F,Table2[[#This Row],[Form '#]])</f>
        <v>1</v>
      </c>
      <c r="H80" s="1" t="s">
        <v>3949</v>
      </c>
      <c r="I80" s="1" t="s">
        <v>3864</v>
      </c>
      <c r="J80" s="1" t="s">
        <v>78</v>
      </c>
      <c r="K80" s="1" t="s">
        <v>3879</v>
      </c>
      <c r="L80" s="1"/>
      <c r="M80" s="6" t="str">
        <f>IF(Table2[[#This Row],[Corrected Form '#
 (If Duplicated)]]="",Table2[[#This Row],[Form '#]],Table2[[#This Row],[Corrected Form '#
 (If Duplicated)]])</f>
        <v>7823-02405</v>
      </c>
      <c r="N80" s="1" t="s">
        <v>49</v>
      </c>
      <c r="O80" s="6" t="str">
        <f>IF(Table2[[#This Row],[POG CONFIRMATION RECEIPT OF ORDER
(DATE &amp; TIME)]]="","No Confirmation","Received Confirmation")</f>
        <v>Received Confirmation</v>
      </c>
      <c r="P80" s="6">
        <f ca="1">TODAY()-Table2[[#This Row],[DATE SENT TO POG]]</f>
        <v>364</v>
      </c>
      <c r="Q80" s="6" t="s">
        <v>5803</v>
      </c>
      <c r="R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" s="2" t="str">
        <f>_xlfn.XLOOKUP(Table2[[#This Row],[Adjusted Form '#]],'[2]IN PROGRESS'!$D:$D,'[2]IN PROGRESS'!$M:$M,"Not Found")</f>
        <v>Not Found</v>
      </c>
      <c r="U80" s="2" t="str">
        <f>_xlfn.XLOOKUP(Table2[[#This Row],[Adjusted Form '#]],[1]COMPLETED!$D:$D,[2]COMPLETED!$M:$M,"Not Found")</f>
        <v>Not Found</v>
      </c>
      <c r="V80" s="17" t="str">
        <f>_xlfn.XLOOKUP(Table2[[#This Row],[Adjusted Form '#]],[2]COMPLETED!$D:$D,[2]COMPLETED!$O:$O,"Not Found")</f>
        <v>Not Found</v>
      </c>
      <c r="W80" s="2" t="str">
        <f>_xlfn.XLOOKUP(Table2[[#This Row],[Adjusted Form '#]],[2]BILLED!$D:$D,[2]BILLED!$M:$M,"Not Found")</f>
        <v>1Z5063E0YW42276683</v>
      </c>
      <c r="X80" s="17" t="e">
        <f>_xlfn.XLOOKUP(Table2[[#This Row],[Adjusted Form '#]],[2]BILLED!$D:$D,[1]BILLED!$O:$O,"Not Found")</f>
        <v>#REF!</v>
      </c>
      <c r="Y80" s="17" t="e">
        <f>_xlfn.XLOOKUP(Table2[[#This Row],[Adjusted Form '#]],'[2]REJECTED ORDERS'!$D:$D,'[2]REJECTED ORDERS'!$E:$E)</f>
        <v>#N/A</v>
      </c>
      <c r="Z80" s="1"/>
      <c r="AA80" s="1"/>
      <c r="AB80" s="8"/>
      <c r="AC80" s="8"/>
      <c r="AD80" s="8"/>
      <c r="AE80" s="8"/>
      <c r="AF80" s="8"/>
      <c r="AG80" s="8"/>
      <c r="AH80" s="8"/>
      <c r="AI80" s="8"/>
      <c r="AJ80" s="8"/>
    </row>
    <row r="81" spans="1:36" ht="15" customHeight="1" x14ac:dyDescent="0.35">
      <c r="A81" s="4" t="s">
        <v>106</v>
      </c>
      <c r="B81" s="1" t="s">
        <v>2579</v>
      </c>
      <c r="C81" s="11">
        <v>44939</v>
      </c>
      <c r="D81" s="11" t="s">
        <v>3947</v>
      </c>
      <c r="E81" s="1" t="s">
        <v>21</v>
      </c>
      <c r="F81" s="1" t="s">
        <v>3758</v>
      </c>
      <c r="G81" s="6">
        <f>COUNTIF(F:F,Table2[[#This Row],[Form '#]])</f>
        <v>1</v>
      </c>
      <c r="H81" s="1" t="s">
        <v>2222</v>
      </c>
      <c r="I81" s="1" t="s">
        <v>28</v>
      </c>
      <c r="J81" s="1" t="s">
        <v>69</v>
      </c>
      <c r="K81" s="1" t="s">
        <v>3862</v>
      </c>
      <c r="L81" s="1"/>
      <c r="M81" s="6" t="str">
        <f>IF(Table2[[#This Row],[Corrected Form '#
 (If Duplicated)]]="",Table2[[#This Row],[Form '#]],Table2[[#This Row],[Corrected Form '#
 (If Duplicated)]])</f>
        <v>7818-21664</v>
      </c>
      <c r="N81" s="1" t="s">
        <v>49</v>
      </c>
      <c r="O81" s="6" t="str">
        <f>IF(Table2[[#This Row],[POG CONFIRMATION RECEIPT OF ORDER
(DATE &amp; TIME)]]="","No Confirmation","Received Confirmation")</f>
        <v>Received Confirmation</v>
      </c>
      <c r="P81" s="6">
        <f ca="1">TODAY()-Table2[[#This Row],[DATE SENT TO POG]]</f>
        <v>364</v>
      </c>
      <c r="Q81" s="6" t="s">
        <v>5803</v>
      </c>
      <c r="R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" s="2" t="str">
        <f>_xlfn.XLOOKUP(Table2[[#This Row],[Adjusted Form '#]],'[2]IN PROGRESS'!$D:$D,'[2]IN PROGRESS'!$M:$M,"Not Found")</f>
        <v>Not Found</v>
      </c>
      <c r="U81" s="2" t="str">
        <f>_xlfn.XLOOKUP(Table2[[#This Row],[Adjusted Form '#]],[1]COMPLETED!$D:$D,[2]COMPLETED!$M:$M,"Not Found")</f>
        <v>Not Found</v>
      </c>
      <c r="V81" s="17" t="str">
        <f>_xlfn.XLOOKUP(Table2[[#This Row],[Adjusted Form '#]],[2]COMPLETED!$D:$D,[2]COMPLETED!$O:$O,"Not Found")</f>
        <v>Not Found</v>
      </c>
      <c r="W81" s="2" t="str">
        <f>_xlfn.XLOOKUP(Table2[[#This Row],[Adjusted Form '#]],[2]BILLED!$D:$D,[2]BILLED!$M:$M,"Not Found")</f>
        <v>1Z5063E0YW42436536</v>
      </c>
      <c r="X81" s="17" t="e">
        <f>_xlfn.XLOOKUP(Table2[[#This Row],[Adjusted Form '#]],[2]BILLED!$D:$D,[1]BILLED!$O:$O,"Not Found")</f>
        <v>#REF!</v>
      </c>
      <c r="Y81" s="17" t="str">
        <f>_xlfn.XLOOKUP(Table2[[#This Row],[Adjusted Form '#]],'[2]REJECTED ORDERS'!$D:$D,'[2]REJECTED ORDERS'!$E:$E)</f>
        <v>FORM NUMBER ALREADY USED</v>
      </c>
      <c r="Z81" s="1"/>
      <c r="AA81" s="1"/>
      <c r="AB81" s="8"/>
      <c r="AC81" s="8"/>
      <c r="AD81" s="8"/>
      <c r="AE81" s="8"/>
      <c r="AF81" s="8"/>
      <c r="AG81" s="8"/>
      <c r="AH81" s="8"/>
      <c r="AI81" s="8"/>
      <c r="AJ81" s="8"/>
    </row>
    <row r="82" spans="1:36" ht="15" customHeight="1" x14ac:dyDescent="0.35">
      <c r="A82" s="4" t="s">
        <v>107</v>
      </c>
      <c r="B82" s="1" t="s">
        <v>2579</v>
      </c>
      <c r="C82" s="11">
        <v>44939</v>
      </c>
      <c r="D82" s="11" t="s">
        <v>3947</v>
      </c>
      <c r="E82" s="1" t="s">
        <v>21</v>
      </c>
      <c r="F82" s="1" t="s">
        <v>3950</v>
      </c>
      <c r="G82" s="6">
        <f>COUNTIF(F:F,Table2[[#This Row],[Form '#]])</f>
        <v>1</v>
      </c>
      <c r="H82" s="1" t="s">
        <v>348</v>
      </c>
      <c r="I82" s="1" t="s">
        <v>127</v>
      </c>
      <c r="J82" s="1" t="s">
        <v>76</v>
      </c>
      <c r="K82" s="1" t="s">
        <v>3862</v>
      </c>
      <c r="L82" s="1"/>
      <c r="M82" s="6" t="str">
        <f>IF(Table2[[#This Row],[Corrected Form '#
 (If Duplicated)]]="",Table2[[#This Row],[Form '#]],Table2[[#This Row],[Corrected Form '#
 (If Duplicated)]])</f>
        <v>7818-10369</v>
      </c>
      <c r="N82" s="1" t="s">
        <v>49</v>
      </c>
      <c r="O82" s="6" t="str">
        <f>IF(Table2[[#This Row],[POG CONFIRMATION RECEIPT OF ORDER
(DATE &amp; TIME)]]="","No Confirmation","Received Confirmation")</f>
        <v>Received Confirmation</v>
      </c>
      <c r="P82" s="6">
        <f ca="1">TODAY()-Table2[[#This Row],[DATE SENT TO POG]]</f>
        <v>364</v>
      </c>
      <c r="Q82" s="6" t="s">
        <v>5803</v>
      </c>
      <c r="R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" s="2" t="str">
        <f>_xlfn.XLOOKUP(Table2[[#This Row],[Adjusted Form '#]],'[2]IN PROGRESS'!$D:$D,'[2]IN PROGRESS'!$M:$M,"Not Found")</f>
        <v>Not Found</v>
      </c>
      <c r="U82" s="2" t="str">
        <f>_xlfn.XLOOKUP(Table2[[#This Row],[Adjusted Form '#]],[1]COMPLETED!$D:$D,[2]COMPLETED!$M:$M,"Not Found")</f>
        <v>Not Found</v>
      </c>
      <c r="V82" s="17" t="str">
        <f>_xlfn.XLOOKUP(Table2[[#This Row],[Adjusted Form '#]],[2]COMPLETED!$D:$D,[2]COMPLETED!$O:$O,"Not Found")</f>
        <v>Not Found</v>
      </c>
      <c r="W82" s="2" t="str">
        <f>_xlfn.XLOOKUP(Table2[[#This Row],[Adjusted Form '#]],[2]BILLED!$D:$D,[2]BILLED!$M:$M,"Not Found")</f>
        <v>1Z5063E0YW42819953</v>
      </c>
      <c r="X82" s="17" t="e">
        <f>_xlfn.XLOOKUP(Table2[[#This Row],[Adjusted Form '#]],[2]BILLED!$D:$D,[1]BILLED!$O:$O,"Not Found")</f>
        <v>#REF!</v>
      </c>
      <c r="Y82" s="17" t="e">
        <f>_xlfn.XLOOKUP(Table2[[#This Row],[Adjusted Form '#]],'[2]REJECTED ORDERS'!$D:$D,'[2]REJECTED ORDERS'!$E:$E)</f>
        <v>#N/A</v>
      </c>
      <c r="Z82" s="1"/>
      <c r="AA82" s="1"/>
      <c r="AB82" s="8"/>
      <c r="AC82" s="8"/>
      <c r="AD82" s="8"/>
      <c r="AE82" s="8"/>
      <c r="AF82" s="8"/>
      <c r="AG82" s="8"/>
      <c r="AH82" s="8"/>
      <c r="AI82" s="8"/>
      <c r="AJ82" s="8"/>
    </row>
    <row r="83" spans="1:36" ht="15" customHeight="1" x14ac:dyDescent="0.35">
      <c r="A83" s="4" t="s">
        <v>108</v>
      </c>
      <c r="B83" s="1" t="s">
        <v>2579</v>
      </c>
      <c r="C83" s="11">
        <v>44939</v>
      </c>
      <c r="D83" s="11" t="s">
        <v>3947</v>
      </c>
      <c r="E83" s="1" t="s">
        <v>21</v>
      </c>
      <c r="F83" s="1" t="s">
        <v>3951</v>
      </c>
      <c r="G83" s="6">
        <f>COUNTIF(F:F,Table2[[#This Row],[Form '#]])</f>
        <v>1</v>
      </c>
      <c r="H83" s="1" t="s">
        <v>1891</v>
      </c>
      <c r="I83" s="1" t="s">
        <v>3864</v>
      </c>
      <c r="J83" s="1" t="s">
        <v>78</v>
      </c>
      <c r="K83" s="1" t="s">
        <v>3879</v>
      </c>
      <c r="L83" s="1"/>
      <c r="M83" s="6" t="str">
        <f>IF(Table2[[#This Row],[Corrected Form '#
 (If Duplicated)]]="",Table2[[#This Row],[Form '#]],Table2[[#This Row],[Corrected Form '#
 (If Duplicated)]])</f>
        <v>7818-24920</v>
      </c>
      <c r="N83" s="1" t="s">
        <v>49</v>
      </c>
      <c r="O83" s="6" t="str">
        <f>IF(Table2[[#This Row],[POG CONFIRMATION RECEIPT OF ORDER
(DATE &amp; TIME)]]="","No Confirmation","Received Confirmation")</f>
        <v>Received Confirmation</v>
      </c>
      <c r="P83" s="6">
        <f ca="1">TODAY()-Table2[[#This Row],[DATE SENT TO POG]]</f>
        <v>364</v>
      </c>
      <c r="Q83" s="6" t="s">
        <v>5803</v>
      </c>
      <c r="R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" s="2" t="str">
        <f>_xlfn.XLOOKUP(Table2[[#This Row],[Adjusted Form '#]],'[2]IN PROGRESS'!$D:$D,'[2]IN PROGRESS'!$M:$M,"Not Found")</f>
        <v>Not Found</v>
      </c>
      <c r="U83" s="2" t="str">
        <f>_xlfn.XLOOKUP(Table2[[#This Row],[Adjusted Form '#]],[1]COMPLETED!$D:$D,[2]COMPLETED!$M:$M,"Not Found")</f>
        <v>Not Found</v>
      </c>
      <c r="V83" s="17" t="str">
        <f>_xlfn.XLOOKUP(Table2[[#This Row],[Adjusted Form '#]],[2]COMPLETED!$D:$D,[2]COMPLETED!$O:$O,"Not Found")</f>
        <v>Not Found</v>
      </c>
      <c r="W83" s="2" t="str">
        <f>_xlfn.XLOOKUP(Table2[[#This Row],[Adjusted Form '#]],[2]BILLED!$D:$D,[2]BILLED!$M:$M,"Not Found")</f>
        <v>1Z5063E0YW41813479</v>
      </c>
      <c r="X83" s="17" t="e">
        <f>_xlfn.XLOOKUP(Table2[[#This Row],[Adjusted Form '#]],[2]BILLED!$D:$D,[1]BILLED!$O:$O,"Not Found")</f>
        <v>#REF!</v>
      </c>
      <c r="Y83" s="17" t="e">
        <f>_xlfn.XLOOKUP(Table2[[#This Row],[Adjusted Form '#]],'[2]REJECTED ORDERS'!$D:$D,'[2]REJECTED ORDERS'!$E:$E)</f>
        <v>#N/A</v>
      </c>
      <c r="Z83" s="1"/>
      <c r="AA83" s="1"/>
      <c r="AB83" s="8"/>
      <c r="AC83" s="8"/>
      <c r="AD83" s="8"/>
      <c r="AE83" s="8"/>
      <c r="AF83" s="8"/>
      <c r="AG83" s="8"/>
      <c r="AH83" s="8"/>
      <c r="AI83" s="8"/>
      <c r="AJ83" s="8"/>
    </row>
    <row r="84" spans="1:36" ht="15" customHeight="1" x14ac:dyDescent="0.35">
      <c r="A84" s="4" t="s">
        <v>110</v>
      </c>
      <c r="B84" s="1" t="s">
        <v>2389</v>
      </c>
      <c r="C84" s="11">
        <v>44939</v>
      </c>
      <c r="D84" s="11" t="s">
        <v>3952</v>
      </c>
      <c r="E84" s="1" t="s">
        <v>21</v>
      </c>
      <c r="F84" s="1" t="s">
        <v>3953</v>
      </c>
      <c r="G84" s="6">
        <f>COUNTIF(F:F,Table2[[#This Row],[Form '#]])</f>
        <v>1</v>
      </c>
      <c r="H84" s="1" t="s">
        <v>2986</v>
      </c>
      <c r="I84" s="1" t="s">
        <v>28</v>
      </c>
      <c r="J84" s="1" t="s">
        <v>69</v>
      </c>
      <c r="K84" s="1" t="s">
        <v>3862</v>
      </c>
      <c r="L84" s="1"/>
      <c r="M84" s="6" t="str">
        <f>IF(Table2[[#This Row],[Corrected Form '#
 (If Duplicated)]]="",Table2[[#This Row],[Form '#]],Table2[[#This Row],[Corrected Form '#
 (If Duplicated)]])</f>
        <v>7818-10448</v>
      </c>
      <c r="N84" s="1" t="s">
        <v>49</v>
      </c>
      <c r="O84" s="6" t="str">
        <f>IF(Table2[[#This Row],[POG CONFIRMATION RECEIPT OF ORDER
(DATE &amp; TIME)]]="","No Confirmation","Received Confirmation")</f>
        <v>Received Confirmation</v>
      </c>
      <c r="P84" s="6">
        <f ca="1">TODAY()-Table2[[#This Row],[DATE SENT TO POG]]</f>
        <v>364</v>
      </c>
      <c r="Q84" s="6" t="s">
        <v>5803</v>
      </c>
      <c r="R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" s="2" t="str">
        <f>_xlfn.XLOOKUP(Table2[[#This Row],[Adjusted Form '#]],'[2]IN PROGRESS'!$D:$D,'[2]IN PROGRESS'!$M:$M,"Not Found")</f>
        <v>Not Found</v>
      </c>
      <c r="U84" s="2" t="str">
        <f>_xlfn.XLOOKUP(Table2[[#This Row],[Adjusted Form '#]],[1]COMPLETED!$D:$D,[2]COMPLETED!$M:$M,"Not Found")</f>
        <v>Not Found</v>
      </c>
      <c r="V84" s="17" t="str">
        <f>_xlfn.XLOOKUP(Table2[[#This Row],[Adjusted Form '#]],[2]COMPLETED!$D:$D,[2]COMPLETED!$O:$O,"Not Found")</f>
        <v>Not Found</v>
      </c>
      <c r="W84" s="2" t="str">
        <f>_xlfn.XLOOKUP(Table2[[#This Row],[Adjusted Form '#]],[2]BILLED!$D:$D,[2]BILLED!$M:$M,"Not Found")</f>
        <v>1Z5063E0YW42856038</v>
      </c>
      <c r="X84" s="17" t="e">
        <f>_xlfn.XLOOKUP(Table2[[#This Row],[Adjusted Form '#]],[2]BILLED!$D:$D,[1]BILLED!$O:$O,"Not Found")</f>
        <v>#REF!</v>
      </c>
      <c r="Y84" s="17" t="str">
        <f>_xlfn.XLOOKUP(Table2[[#This Row],[Adjusted Form '#]],'[2]REJECTED ORDERS'!$D:$D,'[2]REJECTED ORDERS'!$E:$E)</f>
        <v>FORM NOT SIGNED</v>
      </c>
      <c r="Z84" s="1"/>
      <c r="AA84" s="1"/>
      <c r="AB84" s="8"/>
      <c r="AC84" s="8"/>
      <c r="AD84" s="8"/>
      <c r="AE84" s="8"/>
      <c r="AF84" s="8"/>
      <c r="AG84" s="8"/>
      <c r="AH84" s="8"/>
      <c r="AI84" s="8"/>
      <c r="AJ84" s="8"/>
    </row>
    <row r="85" spans="1:36" ht="15" customHeight="1" x14ac:dyDescent="0.35">
      <c r="A85" s="4" t="s">
        <v>111</v>
      </c>
      <c r="B85" s="1" t="s">
        <v>3570</v>
      </c>
      <c r="C85" s="11">
        <v>44940</v>
      </c>
      <c r="D85" s="11" t="s">
        <v>3952</v>
      </c>
      <c r="E85" s="1" t="s">
        <v>1592</v>
      </c>
      <c r="F85" s="1" t="s">
        <v>3954</v>
      </c>
      <c r="G85" s="6">
        <f>COUNTIF(F:F,Table2[[#This Row],[Form '#]])</f>
        <v>1</v>
      </c>
      <c r="H85" s="1" t="s">
        <v>3955</v>
      </c>
      <c r="I85" s="1" t="s">
        <v>758</v>
      </c>
      <c r="J85" s="1" t="s">
        <v>78</v>
      </c>
      <c r="K85" s="1" t="s">
        <v>3853</v>
      </c>
      <c r="L85" s="1"/>
      <c r="M85" s="6" t="str">
        <f>IF(Table2[[#This Row],[Corrected Form '#
 (If Duplicated)]]="",Table2[[#This Row],[Form '#]],Table2[[#This Row],[Corrected Form '#
 (If Duplicated)]])</f>
        <v>7811-00194</v>
      </c>
      <c r="N85" s="1" t="s">
        <v>49</v>
      </c>
      <c r="O85" s="6" t="str">
        <f>IF(Table2[[#This Row],[POG CONFIRMATION RECEIPT OF ORDER
(DATE &amp; TIME)]]="","No Confirmation","Received Confirmation")</f>
        <v>Received Confirmation</v>
      </c>
      <c r="P85" s="6">
        <f ca="1">TODAY()-Table2[[#This Row],[DATE SENT TO POG]]</f>
        <v>363</v>
      </c>
      <c r="Q85" s="6" t="s">
        <v>5803</v>
      </c>
      <c r="R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" s="2" t="str">
        <f>_xlfn.XLOOKUP(Table2[[#This Row],[Adjusted Form '#]],'[2]IN PROGRESS'!$D:$D,'[2]IN PROGRESS'!$M:$M,"Not Found")</f>
        <v>Not Found</v>
      </c>
      <c r="U85" s="2" t="str">
        <f>_xlfn.XLOOKUP(Table2[[#This Row],[Adjusted Form '#]],[1]COMPLETED!$D:$D,[2]COMPLETED!$M:$M,"Not Found")</f>
        <v>Not Found</v>
      </c>
      <c r="V85" s="17" t="str">
        <f>_xlfn.XLOOKUP(Table2[[#This Row],[Adjusted Form '#]],[2]COMPLETED!$D:$D,[2]COMPLETED!$O:$O,"Not Found")</f>
        <v>Not Found</v>
      </c>
      <c r="W85" s="2" t="str">
        <f>_xlfn.XLOOKUP(Table2[[#This Row],[Adjusted Form '#]],[2]BILLED!$D:$D,[2]BILLED!$M:$M,"Not Found")</f>
        <v>1Z5063E0YW41285068</v>
      </c>
      <c r="X85" s="17" t="e">
        <f>_xlfn.XLOOKUP(Table2[[#This Row],[Adjusted Form '#]],[2]BILLED!$D:$D,[1]BILLED!$O:$O,"Not Found")</f>
        <v>#REF!</v>
      </c>
      <c r="Y85" s="17" t="str">
        <f>_xlfn.XLOOKUP(Table2[[#This Row],[Adjusted Form '#]],'[2]REJECTED ORDERS'!$D:$D,'[2]REJECTED ORDERS'!$E:$E)</f>
        <v>FORM NUMBER ALREADY USED</v>
      </c>
      <c r="Z85" s="1"/>
      <c r="AA85" s="1"/>
      <c r="AB85" s="8"/>
      <c r="AC85" s="8"/>
      <c r="AD85" s="8"/>
      <c r="AE85" s="8"/>
      <c r="AF85" s="8"/>
      <c r="AG85" s="8"/>
      <c r="AH85" s="8"/>
      <c r="AI85" s="8"/>
      <c r="AJ85" s="8"/>
    </row>
    <row r="86" spans="1:36" ht="15" customHeight="1" x14ac:dyDescent="0.35">
      <c r="A86" s="4" t="s">
        <v>113</v>
      </c>
      <c r="B86" s="1" t="s">
        <v>351</v>
      </c>
      <c r="C86" s="11">
        <v>44943</v>
      </c>
      <c r="D86" s="11" t="s">
        <v>3956</v>
      </c>
      <c r="E86" s="1" t="s">
        <v>14</v>
      </c>
      <c r="F86" s="1" t="s">
        <v>3957</v>
      </c>
      <c r="G86" s="6">
        <f>COUNTIF(F:F,Table2[[#This Row],[Form '#]])</f>
        <v>1</v>
      </c>
      <c r="H86" s="1" t="s">
        <v>3958</v>
      </c>
      <c r="I86" s="1" t="s">
        <v>3864</v>
      </c>
      <c r="J86" s="1" t="s">
        <v>3891</v>
      </c>
      <c r="K86" s="1" t="s">
        <v>3862</v>
      </c>
      <c r="L86" s="1"/>
      <c r="M86" s="6" t="str">
        <f>IF(Table2[[#This Row],[Corrected Form '#
 (If Duplicated)]]="",Table2[[#This Row],[Form '#]],Table2[[#This Row],[Corrected Form '#
 (If Duplicated)]])</f>
        <v>7810-01579</v>
      </c>
      <c r="N86" s="1" t="s">
        <v>49</v>
      </c>
      <c r="O86" s="6" t="str">
        <f>IF(Table2[[#This Row],[POG CONFIRMATION RECEIPT OF ORDER
(DATE &amp; TIME)]]="","No Confirmation","Received Confirmation")</f>
        <v>Received Confirmation</v>
      </c>
      <c r="P86" s="6">
        <f ca="1">TODAY()-Table2[[#This Row],[DATE SENT TO POG]]</f>
        <v>360</v>
      </c>
      <c r="Q86" s="6" t="s">
        <v>5803</v>
      </c>
      <c r="R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" s="2" t="str">
        <f>_xlfn.XLOOKUP(Table2[[#This Row],[Adjusted Form '#]],'[2]IN PROGRESS'!$D:$D,'[2]IN PROGRESS'!$M:$M,"Not Found")</f>
        <v>Not Found</v>
      </c>
      <c r="U86" s="2" t="str">
        <f>_xlfn.XLOOKUP(Table2[[#This Row],[Adjusted Form '#]],[1]COMPLETED!$D:$D,[2]COMPLETED!$M:$M,"Not Found")</f>
        <v>Not Found</v>
      </c>
      <c r="V86" s="17" t="str">
        <f>_xlfn.XLOOKUP(Table2[[#This Row],[Adjusted Form '#]],[2]COMPLETED!$D:$D,[2]COMPLETED!$O:$O,"Not Found")</f>
        <v>Not Found</v>
      </c>
      <c r="W86" s="2" t="str">
        <f>_xlfn.XLOOKUP(Table2[[#This Row],[Adjusted Form '#]],[2]BILLED!$D:$D,[2]BILLED!$M:$M,"Not Found")</f>
        <v>1Z5063E0YW40016412</v>
      </c>
      <c r="X86" s="17" t="e">
        <f>_xlfn.XLOOKUP(Table2[[#This Row],[Adjusted Form '#]],[2]BILLED!$D:$D,[1]BILLED!$O:$O,"Not Found")</f>
        <v>#REF!</v>
      </c>
      <c r="Y86" s="17" t="e">
        <f>_xlfn.XLOOKUP(Table2[[#This Row],[Adjusted Form '#]],'[2]REJECTED ORDERS'!$D:$D,'[2]REJECTED ORDERS'!$E:$E)</f>
        <v>#N/A</v>
      </c>
      <c r="Z86" s="1"/>
      <c r="AA86" s="1"/>
      <c r="AB86" s="8"/>
      <c r="AC86" s="8"/>
      <c r="AD86" s="8"/>
      <c r="AE86" s="8"/>
      <c r="AF86" s="8"/>
      <c r="AG86" s="8"/>
      <c r="AH86" s="8"/>
      <c r="AI86" s="8"/>
      <c r="AJ86" s="8"/>
    </row>
    <row r="87" spans="1:36" ht="15" customHeight="1" x14ac:dyDescent="0.35">
      <c r="A87" s="4" t="s">
        <v>114</v>
      </c>
      <c r="B87" s="1" t="s">
        <v>351</v>
      </c>
      <c r="C87" s="11">
        <v>44943</v>
      </c>
      <c r="D87" s="11" t="s">
        <v>3956</v>
      </c>
      <c r="E87" s="1" t="s">
        <v>14</v>
      </c>
      <c r="F87" s="1" t="s">
        <v>3959</v>
      </c>
      <c r="G87" s="6">
        <f>COUNTIF(F:F,Table2[[#This Row],[Form '#]])</f>
        <v>1</v>
      </c>
      <c r="H87" s="1" t="s">
        <v>3960</v>
      </c>
      <c r="I87" s="1" t="s">
        <v>28</v>
      </c>
      <c r="J87" s="1" t="s">
        <v>3891</v>
      </c>
      <c r="K87" s="1" t="s">
        <v>3862</v>
      </c>
      <c r="L87" s="1"/>
      <c r="M87" s="6" t="str">
        <f>IF(Table2[[#This Row],[Corrected Form '#
 (If Duplicated)]]="",Table2[[#This Row],[Form '#]],Table2[[#This Row],[Corrected Form '#
 (If Duplicated)]])</f>
        <v>7810-01709</v>
      </c>
      <c r="N87" s="1" t="s">
        <v>49</v>
      </c>
      <c r="O87" s="6" t="str">
        <f>IF(Table2[[#This Row],[POG CONFIRMATION RECEIPT OF ORDER
(DATE &amp; TIME)]]="","No Confirmation","Received Confirmation")</f>
        <v>Received Confirmation</v>
      </c>
      <c r="P87" s="6">
        <f ca="1">TODAY()-Table2[[#This Row],[DATE SENT TO POG]]</f>
        <v>360</v>
      </c>
      <c r="Q87" s="6" t="s">
        <v>5803</v>
      </c>
      <c r="R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" s="2" t="str">
        <f>_xlfn.XLOOKUP(Table2[[#This Row],[Adjusted Form '#]],'[2]IN PROGRESS'!$D:$D,'[2]IN PROGRESS'!$M:$M,"Not Found")</f>
        <v>Not Found</v>
      </c>
      <c r="U87" s="2" t="str">
        <f>_xlfn.XLOOKUP(Table2[[#This Row],[Adjusted Form '#]],[1]COMPLETED!$D:$D,[2]COMPLETED!$M:$M,"Not Found")</f>
        <v>Not Found</v>
      </c>
      <c r="V87" s="17" t="str">
        <f>_xlfn.XLOOKUP(Table2[[#This Row],[Adjusted Form '#]],[2]COMPLETED!$D:$D,[2]COMPLETED!$O:$O,"Not Found")</f>
        <v>Not Found</v>
      </c>
      <c r="W87" s="2" t="str">
        <f>_xlfn.XLOOKUP(Table2[[#This Row],[Adjusted Form '#]],[2]BILLED!$D:$D,[2]BILLED!$M:$M,"Not Found")</f>
        <v>1Z5063E0YW40475846</v>
      </c>
      <c r="X87" s="17" t="e">
        <f>_xlfn.XLOOKUP(Table2[[#This Row],[Adjusted Form '#]],[2]BILLED!$D:$D,[1]BILLED!$O:$O,"Not Found")</f>
        <v>#REF!</v>
      </c>
      <c r="Y87" s="17" t="e">
        <f>_xlfn.XLOOKUP(Table2[[#This Row],[Adjusted Form '#]],'[2]REJECTED ORDERS'!$D:$D,'[2]REJECTED ORDERS'!$E:$E)</f>
        <v>#N/A</v>
      </c>
      <c r="Z87" s="1"/>
      <c r="AA87" s="1"/>
      <c r="AB87" s="8"/>
      <c r="AC87" s="8"/>
      <c r="AD87" s="8"/>
      <c r="AE87" s="8"/>
      <c r="AF87" s="8"/>
      <c r="AG87" s="8"/>
      <c r="AH87" s="8"/>
      <c r="AI87" s="8"/>
      <c r="AJ87" s="8"/>
    </row>
    <row r="88" spans="1:36" ht="15" customHeight="1" x14ac:dyDescent="0.35">
      <c r="A88" s="4" t="s">
        <v>116</v>
      </c>
      <c r="B88" s="1" t="s">
        <v>351</v>
      </c>
      <c r="C88" s="11">
        <v>44943</v>
      </c>
      <c r="D88" s="11" t="s">
        <v>3956</v>
      </c>
      <c r="E88" s="1" t="s">
        <v>14</v>
      </c>
      <c r="F88" s="1" t="s">
        <v>3961</v>
      </c>
      <c r="G88" s="6">
        <f>COUNTIF(F:F,Table2[[#This Row],[Form '#]])</f>
        <v>1</v>
      </c>
      <c r="H88" s="1" t="s">
        <v>3962</v>
      </c>
      <c r="I88" s="1" t="s">
        <v>127</v>
      </c>
      <c r="J88" s="1" t="s">
        <v>76</v>
      </c>
      <c r="K88" s="1" t="s">
        <v>3919</v>
      </c>
      <c r="L88" s="1"/>
      <c r="M88" s="6" t="str">
        <f>IF(Table2[[#This Row],[Corrected Form '#
 (If Duplicated)]]="",Table2[[#This Row],[Form '#]],Table2[[#This Row],[Corrected Form '#
 (If Duplicated)]])</f>
        <v>7810-01736</v>
      </c>
      <c r="N88" s="1" t="s">
        <v>49</v>
      </c>
      <c r="O88" s="6" t="str">
        <f>IF(Table2[[#This Row],[POG CONFIRMATION RECEIPT OF ORDER
(DATE &amp; TIME)]]="","No Confirmation","Received Confirmation")</f>
        <v>Received Confirmation</v>
      </c>
      <c r="P88" s="6">
        <f ca="1">TODAY()-Table2[[#This Row],[DATE SENT TO POG]]</f>
        <v>360</v>
      </c>
      <c r="Q88" s="6" t="s">
        <v>5803</v>
      </c>
      <c r="R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" s="2" t="str">
        <f>_xlfn.XLOOKUP(Table2[[#This Row],[Adjusted Form '#]],'[2]IN PROGRESS'!$D:$D,'[2]IN PROGRESS'!$M:$M,"Not Found")</f>
        <v>Not Found</v>
      </c>
      <c r="U88" s="2" t="str">
        <f>_xlfn.XLOOKUP(Table2[[#This Row],[Adjusted Form '#]],[1]COMPLETED!$D:$D,[2]COMPLETED!$M:$M,"Not Found")</f>
        <v>Not Found</v>
      </c>
      <c r="V88" s="17" t="str">
        <f>_xlfn.XLOOKUP(Table2[[#This Row],[Adjusted Form '#]],[2]COMPLETED!$D:$D,[2]COMPLETED!$O:$O,"Not Found")</f>
        <v>Not Found</v>
      </c>
      <c r="W88" s="2" t="str">
        <f>_xlfn.XLOOKUP(Table2[[#This Row],[Adjusted Form '#]],[2]BILLED!$D:$D,[2]BILLED!$M:$M,"Not Found")</f>
        <v>1Z5063E0YW42032043</v>
      </c>
      <c r="X88" s="17" t="e">
        <f>_xlfn.XLOOKUP(Table2[[#This Row],[Adjusted Form '#]],[2]BILLED!$D:$D,[1]BILLED!$O:$O,"Not Found")</f>
        <v>#REF!</v>
      </c>
      <c r="Y88" s="17" t="e">
        <f>_xlfn.XLOOKUP(Table2[[#This Row],[Adjusted Form '#]],'[2]REJECTED ORDERS'!$D:$D,'[2]REJECTED ORDERS'!$E:$E)</f>
        <v>#N/A</v>
      </c>
      <c r="Z88" s="1"/>
      <c r="AA88" s="1"/>
      <c r="AB88" s="8"/>
      <c r="AC88" s="8"/>
      <c r="AD88" s="8"/>
      <c r="AE88" s="8"/>
      <c r="AF88" s="8"/>
      <c r="AG88" s="8"/>
      <c r="AH88" s="8"/>
      <c r="AI88" s="8"/>
      <c r="AJ88" s="8"/>
    </row>
    <row r="89" spans="1:36" ht="15" customHeight="1" x14ac:dyDescent="0.35">
      <c r="A89" s="4" t="s">
        <v>117</v>
      </c>
      <c r="B89" s="1" t="s">
        <v>3385</v>
      </c>
      <c r="C89" s="11">
        <v>44943</v>
      </c>
      <c r="D89" s="11" t="s">
        <v>3963</v>
      </c>
      <c r="E89" s="1" t="s">
        <v>21</v>
      </c>
      <c r="F89" s="1" t="s">
        <v>3964</v>
      </c>
      <c r="G89" s="6">
        <f>COUNTIF(F:F,Table2[[#This Row],[Form '#]])</f>
        <v>1</v>
      </c>
      <c r="H89" s="1" t="s">
        <v>1096</v>
      </c>
      <c r="I89" s="1" t="s">
        <v>28</v>
      </c>
      <c r="J89" s="1" t="s">
        <v>3891</v>
      </c>
      <c r="K89" s="1" t="s">
        <v>3898</v>
      </c>
      <c r="L89" s="1"/>
      <c r="M89" s="6" t="str">
        <f>IF(Table2[[#This Row],[Corrected Form '#
 (If Duplicated)]]="",Table2[[#This Row],[Form '#]],Table2[[#This Row],[Corrected Form '#
 (If Duplicated)]])</f>
        <v>7818-16568</v>
      </c>
      <c r="N89" s="1" t="s">
        <v>49</v>
      </c>
      <c r="O89" s="6" t="str">
        <f>IF(Table2[[#This Row],[POG CONFIRMATION RECEIPT OF ORDER
(DATE &amp; TIME)]]="","No Confirmation","Received Confirmation")</f>
        <v>Received Confirmation</v>
      </c>
      <c r="P89" s="6">
        <f ca="1">TODAY()-Table2[[#This Row],[DATE SENT TO POG]]</f>
        <v>360</v>
      </c>
      <c r="Q89" s="6" t="s">
        <v>5802</v>
      </c>
      <c r="R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8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89" s="2" t="str">
        <f>_xlfn.XLOOKUP(Table2[[#This Row],[Adjusted Form '#]],'[2]IN PROGRESS'!$D:$D,'[2]IN PROGRESS'!$M:$M,"Not Found")</f>
        <v>Not Found</v>
      </c>
      <c r="U89" s="2" t="str">
        <f>_xlfn.XLOOKUP(Table2[[#This Row],[Adjusted Form '#]],[1]COMPLETED!$D:$D,[2]COMPLETED!$M:$M,"Not Found")</f>
        <v>Not Found</v>
      </c>
      <c r="V89" s="17" t="str">
        <f>_xlfn.XLOOKUP(Table2[[#This Row],[Adjusted Form '#]],[2]COMPLETED!$D:$D,[2]COMPLETED!$O:$O,"Not Found")</f>
        <v>Not Found</v>
      </c>
      <c r="W89" s="2" t="str">
        <f>_xlfn.XLOOKUP(Table2[[#This Row],[Adjusted Form '#]],[2]BILLED!$D:$D,[2]BILLED!$M:$M,"Not Found")</f>
        <v>Not Found</v>
      </c>
      <c r="X89" s="17" t="str">
        <f>_xlfn.XLOOKUP(Table2[[#This Row],[Adjusted Form '#]],[2]BILLED!$D:$D,[1]BILLED!$O:$O,"Not Found")</f>
        <v>Not Found</v>
      </c>
      <c r="Y89" s="17" t="e">
        <f>_xlfn.XLOOKUP(Table2[[#This Row],[Adjusted Form '#]],'[2]REJECTED ORDERS'!$D:$D,'[2]REJECTED ORDERS'!$E:$E)</f>
        <v>#N/A</v>
      </c>
      <c r="Z89" s="1"/>
      <c r="AA89" s="1"/>
      <c r="AB89" s="8"/>
      <c r="AC89" s="8"/>
      <c r="AD89" s="8"/>
      <c r="AE89" s="8"/>
      <c r="AF89" s="8"/>
      <c r="AG89" s="8"/>
      <c r="AH89" s="8"/>
      <c r="AI89" s="8"/>
      <c r="AJ89" s="8"/>
    </row>
    <row r="90" spans="1:36" ht="15" customHeight="1" x14ac:dyDescent="0.35">
      <c r="A90" s="4" t="s">
        <v>119</v>
      </c>
      <c r="B90" s="1" t="s">
        <v>3385</v>
      </c>
      <c r="C90" s="11">
        <v>44943</v>
      </c>
      <c r="D90" s="11" t="s">
        <v>3963</v>
      </c>
      <c r="E90" s="1" t="s">
        <v>21</v>
      </c>
      <c r="F90" s="1" t="s">
        <v>3965</v>
      </c>
      <c r="G90" s="6">
        <f>COUNTIF(F:F,Table2[[#This Row],[Form '#]])</f>
        <v>1</v>
      </c>
      <c r="H90" s="1" t="s">
        <v>3966</v>
      </c>
      <c r="I90" s="1" t="s">
        <v>3852</v>
      </c>
      <c r="J90" s="1" t="s">
        <v>80</v>
      </c>
      <c r="K90" s="1" t="s">
        <v>3853</v>
      </c>
      <c r="L90" s="1"/>
      <c r="M90" s="6" t="str">
        <f>IF(Table2[[#This Row],[Corrected Form '#
 (If Duplicated)]]="",Table2[[#This Row],[Form '#]],Table2[[#This Row],[Corrected Form '#
 (If Duplicated)]])</f>
        <v>7818-24661</v>
      </c>
      <c r="N90" s="1" t="s">
        <v>49</v>
      </c>
      <c r="O90" s="6" t="str">
        <f>IF(Table2[[#This Row],[POG CONFIRMATION RECEIPT OF ORDER
(DATE &amp; TIME)]]="","No Confirmation","Received Confirmation")</f>
        <v>Received Confirmation</v>
      </c>
      <c r="P90" s="6">
        <f ca="1">TODAY()-Table2[[#This Row],[DATE SENT TO POG]]</f>
        <v>360</v>
      </c>
      <c r="Q90" s="6" t="s">
        <v>5803</v>
      </c>
      <c r="R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" s="2" t="str">
        <f>_xlfn.XLOOKUP(Table2[[#This Row],[Adjusted Form '#]],'[2]IN PROGRESS'!$D:$D,'[2]IN PROGRESS'!$M:$M,"Not Found")</f>
        <v>Not Found</v>
      </c>
      <c r="U90" s="2" t="str">
        <f>_xlfn.XLOOKUP(Table2[[#This Row],[Adjusted Form '#]],[1]COMPLETED!$D:$D,[2]COMPLETED!$M:$M,"Not Found")</f>
        <v>Not Found</v>
      </c>
      <c r="V90" s="17" t="str">
        <f>_xlfn.XLOOKUP(Table2[[#This Row],[Adjusted Form '#]],[2]COMPLETED!$D:$D,[2]COMPLETED!$O:$O,"Not Found")</f>
        <v>Not Found</v>
      </c>
      <c r="W90" s="2" t="str">
        <f>_xlfn.XLOOKUP(Table2[[#This Row],[Adjusted Form '#]],[2]BILLED!$D:$D,[2]BILLED!$M:$M,"Not Found")</f>
        <v>1Z5063E0YW41617922</v>
      </c>
      <c r="X90" s="17" t="e">
        <f>_xlfn.XLOOKUP(Table2[[#This Row],[Adjusted Form '#]],[2]BILLED!$D:$D,[1]BILLED!$O:$O,"Not Found")</f>
        <v>#REF!</v>
      </c>
      <c r="Y90" s="17" t="e">
        <f>_xlfn.XLOOKUP(Table2[[#This Row],[Adjusted Form '#]],'[2]REJECTED ORDERS'!$D:$D,'[2]REJECTED ORDERS'!$E:$E)</f>
        <v>#N/A</v>
      </c>
      <c r="Z90" s="1"/>
      <c r="AA90" s="1"/>
      <c r="AB90" s="8"/>
      <c r="AC90" s="8"/>
      <c r="AD90" s="8"/>
      <c r="AE90" s="8"/>
      <c r="AF90" s="8"/>
      <c r="AG90" s="8"/>
      <c r="AH90" s="8"/>
      <c r="AI90" s="8"/>
      <c r="AJ90" s="8"/>
    </row>
    <row r="91" spans="1:36" ht="15" customHeight="1" x14ac:dyDescent="0.35">
      <c r="A91" s="4" t="s">
        <v>120</v>
      </c>
      <c r="B91" s="1" t="s">
        <v>3385</v>
      </c>
      <c r="C91" s="11">
        <v>44943</v>
      </c>
      <c r="D91" s="11" t="s">
        <v>3963</v>
      </c>
      <c r="E91" s="1" t="s">
        <v>21</v>
      </c>
      <c r="F91" s="1" t="s">
        <v>3967</v>
      </c>
      <c r="G91" s="6">
        <f>COUNTIF(F:F,Table2[[#This Row],[Form '#]])</f>
        <v>1</v>
      </c>
      <c r="H91" s="1" t="s">
        <v>3968</v>
      </c>
      <c r="I91" s="1" t="s">
        <v>3852</v>
      </c>
      <c r="J91" s="1" t="s">
        <v>80</v>
      </c>
      <c r="K91" s="1" t="s">
        <v>3853</v>
      </c>
      <c r="L91" s="1"/>
      <c r="M91" s="6" t="str">
        <f>IF(Table2[[#This Row],[Corrected Form '#
 (If Duplicated)]]="",Table2[[#This Row],[Form '#]],Table2[[#This Row],[Corrected Form '#
 (If Duplicated)]])</f>
        <v>7818-25941</v>
      </c>
      <c r="N91" s="1" t="s">
        <v>49</v>
      </c>
      <c r="O91" s="6" t="str">
        <f>IF(Table2[[#This Row],[POG CONFIRMATION RECEIPT OF ORDER
(DATE &amp; TIME)]]="","No Confirmation","Received Confirmation")</f>
        <v>Received Confirmation</v>
      </c>
      <c r="P91" s="6">
        <f ca="1">TODAY()-Table2[[#This Row],[DATE SENT TO POG]]</f>
        <v>360</v>
      </c>
      <c r="Q91" s="6" t="s">
        <v>5803</v>
      </c>
      <c r="R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" s="2" t="str">
        <f>_xlfn.XLOOKUP(Table2[[#This Row],[Adjusted Form '#]],'[2]IN PROGRESS'!$D:$D,'[2]IN PROGRESS'!$M:$M,"Not Found")</f>
        <v>Not Found</v>
      </c>
      <c r="U91" s="2" t="str">
        <f>_xlfn.XLOOKUP(Table2[[#This Row],[Adjusted Form '#]],[1]COMPLETED!$D:$D,[2]COMPLETED!$M:$M,"Not Found")</f>
        <v>Not Found</v>
      </c>
      <c r="V91" s="17" t="str">
        <f>_xlfn.XLOOKUP(Table2[[#This Row],[Adjusted Form '#]],[2]COMPLETED!$D:$D,[2]COMPLETED!$O:$O,"Not Found")</f>
        <v>Not Found</v>
      </c>
      <c r="W91" s="2" t="str">
        <f>_xlfn.XLOOKUP(Table2[[#This Row],[Adjusted Form '#]],[2]BILLED!$D:$D,[2]BILLED!$M:$M,"Not Found")</f>
        <v>1Z5063E0YW40735967</v>
      </c>
      <c r="X91" s="17" t="e">
        <f>_xlfn.XLOOKUP(Table2[[#This Row],[Adjusted Form '#]],[2]BILLED!$D:$D,[1]BILLED!$O:$O,"Not Found")</f>
        <v>#REF!</v>
      </c>
      <c r="Y91" s="17" t="e">
        <f>_xlfn.XLOOKUP(Table2[[#This Row],[Adjusted Form '#]],'[2]REJECTED ORDERS'!$D:$D,'[2]REJECTED ORDERS'!$E:$E)</f>
        <v>#N/A</v>
      </c>
      <c r="Z91" s="1"/>
      <c r="AA91" s="1"/>
      <c r="AB91" s="8"/>
      <c r="AC91" s="8"/>
      <c r="AD91" s="8"/>
      <c r="AE91" s="8"/>
      <c r="AF91" s="8"/>
      <c r="AG91" s="8"/>
      <c r="AH91" s="8"/>
      <c r="AI91" s="8"/>
      <c r="AJ91" s="8"/>
    </row>
    <row r="92" spans="1:36" ht="15" customHeight="1" x14ac:dyDescent="0.35">
      <c r="A92" s="4" t="s">
        <v>121</v>
      </c>
      <c r="B92" s="1" t="s">
        <v>3385</v>
      </c>
      <c r="C92" s="11">
        <v>44943</v>
      </c>
      <c r="D92" s="11" t="s">
        <v>3963</v>
      </c>
      <c r="E92" s="1" t="s">
        <v>21</v>
      </c>
      <c r="F92" s="1" t="s">
        <v>3969</v>
      </c>
      <c r="G92" s="6">
        <f>COUNTIF(F:F,Table2[[#This Row],[Form '#]])</f>
        <v>1</v>
      </c>
      <c r="H92" s="1" t="s">
        <v>3970</v>
      </c>
      <c r="I92" s="1" t="s">
        <v>3852</v>
      </c>
      <c r="J92" s="1" t="s">
        <v>75</v>
      </c>
      <c r="K92" s="1" t="s">
        <v>3853</v>
      </c>
      <c r="L92" s="1"/>
      <c r="M92" s="6" t="str">
        <f>IF(Table2[[#This Row],[Corrected Form '#
 (If Duplicated)]]="",Table2[[#This Row],[Form '#]],Table2[[#This Row],[Corrected Form '#
 (If Duplicated)]])</f>
        <v>7818-19046</v>
      </c>
      <c r="N92" s="1" t="s">
        <v>49</v>
      </c>
      <c r="O92" s="6" t="str">
        <f>IF(Table2[[#This Row],[POG CONFIRMATION RECEIPT OF ORDER
(DATE &amp; TIME)]]="","No Confirmation","Received Confirmation")</f>
        <v>Received Confirmation</v>
      </c>
      <c r="P92" s="6">
        <f ca="1">TODAY()-Table2[[#This Row],[DATE SENT TO POG]]</f>
        <v>360</v>
      </c>
      <c r="Q92" s="6" t="s">
        <v>5803</v>
      </c>
      <c r="R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" s="2" t="str">
        <f>_xlfn.XLOOKUP(Table2[[#This Row],[Adjusted Form '#]],'[2]IN PROGRESS'!$D:$D,'[2]IN PROGRESS'!$M:$M,"Not Found")</f>
        <v>Not Found</v>
      </c>
      <c r="U92" s="2" t="str">
        <f>_xlfn.XLOOKUP(Table2[[#This Row],[Adjusted Form '#]],[1]COMPLETED!$D:$D,[2]COMPLETED!$M:$M,"Not Found")</f>
        <v>Not Found</v>
      </c>
      <c r="V92" s="17" t="str">
        <f>_xlfn.XLOOKUP(Table2[[#This Row],[Adjusted Form '#]],[2]COMPLETED!$D:$D,[2]COMPLETED!$O:$O,"Not Found")</f>
        <v>Not Found</v>
      </c>
      <c r="W92" s="2" t="str">
        <f>_xlfn.XLOOKUP(Table2[[#This Row],[Adjusted Form '#]],[2]BILLED!$D:$D,[2]BILLED!$M:$M,"Not Found")</f>
        <v>1Z5063E0YW41582479</v>
      </c>
      <c r="X92" s="17" t="e">
        <f>_xlfn.XLOOKUP(Table2[[#This Row],[Adjusted Form '#]],[2]BILLED!$D:$D,[1]BILLED!$O:$O,"Not Found")</f>
        <v>#REF!</v>
      </c>
      <c r="Y92" s="17" t="e">
        <f>_xlfn.XLOOKUP(Table2[[#This Row],[Adjusted Form '#]],'[2]REJECTED ORDERS'!$D:$D,'[2]REJECTED ORDERS'!$E:$E)</f>
        <v>#N/A</v>
      </c>
      <c r="Z92" s="1"/>
      <c r="AA92" s="1"/>
      <c r="AB92" s="8"/>
      <c r="AC92" s="8"/>
      <c r="AD92" s="8"/>
      <c r="AE92" s="8"/>
      <c r="AF92" s="8"/>
      <c r="AG92" s="8"/>
      <c r="AH92" s="8"/>
      <c r="AI92" s="8"/>
      <c r="AJ92" s="8"/>
    </row>
    <row r="93" spans="1:36" ht="15" customHeight="1" x14ac:dyDescent="0.35">
      <c r="A93" s="4" t="s">
        <v>122</v>
      </c>
      <c r="B93" s="1" t="s">
        <v>3385</v>
      </c>
      <c r="C93" s="11">
        <v>44943</v>
      </c>
      <c r="D93" s="11" t="s">
        <v>3963</v>
      </c>
      <c r="E93" s="1" t="s">
        <v>21</v>
      </c>
      <c r="F93" s="1" t="s">
        <v>3971</v>
      </c>
      <c r="G93" s="6">
        <f>COUNTIF(F:F,Table2[[#This Row],[Form '#]])</f>
        <v>2</v>
      </c>
      <c r="H93" s="1" t="s">
        <v>3972</v>
      </c>
      <c r="I93" s="1" t="s">
        <v>3852</v>
      </c>
      <c r="J93" s="1" t="s">
        <v>80</v>
      </c>
      <c r="K93" s="1" t="s">
        <v>3853</v>
      </c>
      <c r="L93" s="1"/>
      <c r="M93" s="6" t="str">
        <f>IF(Table2[[#This Row],[Corrected Form '#
 (If Duplicated)]]="",Table2[[#This Row],[Form '#]],Table2[[#This Row],[Corrected Form '#
 (If Duplicated)]])</f>
        <v>7818-16786</v>
      </c>
      <c r="N93" s="1" t="s">
        <v>49</v>
      </c>
      <c r="O93" s="6" t="str">
        <f>IF(Table2[[#This Row],[POG CONFIRMATION RECEIPT OF ORDER
(DATE &amp; TIME)]]="","No Confirmation","Received Confirmation")</f>
        <v>Received Confirmation</v>
      </c>
      <c r="P93" s="6">
        <f ca="1">TODAY()-Table2[[#This Row],[DATE SENT TO POG]]</f>
        <v>360</v>
      </c>
      <c r="Q93" s="6" t="s">
        <v>5803</v>
      </c>
      <c r="R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" s="2" t="str">
        <f>_xlfn.XLOOKUP(Table2[[#This Row],[Adjusted Form '#]],'[2]IN PROGRESS'!$D:$D,'[2]IN PROGRESS'!$M:$M,"Not Found")</f>
        <v>Not Found</v>
      </c>
      <c r="U93" s="2" t="str">
        <f>_xlfn.XLOOKUP(Table2[[#This Row],[Adjusted Form '#]],[1]COMPLETED!$D:$D,[2]COMPLETED!$M:$M,"Not Found")</f>
        <v>Not Found</v>
      </c>
      <c r="V93" s="17" t="str">
        <f>_xlfn.XLOOKUP(Table2[[#This Row],[Adjusted Form '#]],[2]COMPLETED!$D:$D,[2]COMPLETED!$O:$O,"Not Found")</f>
        <v>Not Found</v>
      </c>
      <c r="W93" s="2" t="str">
        <f>_xlfn.XLOOKUP(Table2[[#This Row],[Adjusted Form '#]],[2]BILLED!$D:$D,[2]BILLED!$M:$M,"Not Found")</f>
        <v>1Z5063E0YW40184884</v>
      </c>
      <c r="X93" s="17" t="e">
        <f>_xlfn.XLOOKUP(Table2[[#This Row],[Adjusted Form '#]],[2]BILLED!$D:$D,[1]BILLED!$O:$O,"Not Found")</f>
        <v>#REF!</v>
      </c>
      <c r="Y93" s="17" t="str">
        <f>_xlfn.XLOOKUP(Table2[[#This Row],[Adjusted Form '#]],'[2]REJECTED ORDERS'!$D:$D,'[2]REJECTED ORDERS'!$E:$E)</f>
        <v>FORM NUMBER ALREADY USED</v>
      </c>
      <c r="Z93" s="1"/>
      <c r="AA93" s="1"/>
      <c r="AB93" s="8"/>
      <c r="AC93" s="8"/>
      <c r="AD93" s="8"/>
      <c r="AE93" s="8"/>
      <c r="AF93" s="8"/>
      <c r="AG93" s="8"/>
      <c r="AH93" s="8"/>
      <c r="AI93" s="8"/>
      <c r="AJ93" s="8"/>
    </row>
    <row r="94" spans="1:36" ht="15" customHeight="1" x14ac:dyDescent="0.35">
      <c r="A94" s="4" t="s">
        <v>124</v>
      </c>
      <c r="B94" s="1" t="s">
        <v>3385</v>
      </c>
      <c r="C94" s="11">
        <v>44943</v>
      </c>
      <c r="D94" s="11" t="s">
        <v>3963</v>
      </c>
      <c r="E94" s="1" t="s">
        <v>21</v>
      </c>
      <c r="F94" s="1" t="s">
        <v>3973</v>
      </c>
      <c r="G94" s="6">
        <f>COUNTIF(F:F,Table2[[#This Row],[Form '#]])</f>
        <v>1</v>
      </c>
      <c r="H94" s="1" t="s">
        <v>3538</v>
      </c>
      <c r="I94" s="1" t="s">
        <v>3852</v>
      </c>
      <c r="J94" s="1" t="s">
        <v>78</v>
      </c>
      <c r="K94" s="1" t="s">
        <v>3879</v>
      </c>
      <c r="L94" s="1"/>
      <c r="M94" s="6" t="str">
        <f>IF(Table2[[#This Row],[Corrected Form '#
 (If Duplicated)]]="",Table2[[#This Row],[Form '#]],Table2[[#This Row],[Corrected Form '#
 (If Duplicated)]])</f>
        <v>7818-19812</v>
      </c>
      <c r="N94" s="1" t="s">
        <v>49</v>
      </c>
      <c r="O94" s="6" t="str">
        <f>IF(Table2[[#This Row],[POG CONFIRMATION RECEIPT OF ORDER
(DATE &amp; TIME)]]="","No Confirmation","Received Confirmation")</f>
        <v>Received Confirmation</v>
      </c>
      <c r="P94" s="6">
        <f ca="1">TODAY()-Table2[[#This Row],[DATE SENT TO POG]]</f>
        <v>360</v>
      </c>
      <c r="Q94" s="6" t="s">
        <v>5803</v>
      </c>
      <c r="R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" s="2" t="str">
        <f>_xlfn.XLOOKUP(Table2[[#This Row],[Adjusted Form '#]],'[2]IN PROGRESS'!$D:$D,'[2]IN PROGRESS'!$M:$M,"Not Found")</f>
        <v>Not Found</v>
      </c>
      <c r="U94" s="2" t="str">
        <f>_xlfn.XLOOKUP(Table2[[#This Row],[Adjusted Form '#]],[1]COMPLETED!$D:$D,[2]COMPLETED!$M:$M,"Not Found")</f>
        <v>Not Found</v>
      </c>
      <c r="V94" s="17" t="str">
        <f>_xlfn.XLOOKUP(Table2[[#This Row],[Adjusted Form '#]],[2]COMPLETED!$D:$D,[2]COMPLETED!$O:$O,"Not Found")</f>
        <v>Not Found</v>
      </c>
      <c r="W94" s="2" t="str">
        <f>_xlfn.XLOOKUP(Table2[[#This Row],[Adjusted Form '#]],[2]BILLED!$D:$D,[2]BILLED!$M:$M,"Not Found")</f>
        <v>1Z5063E0YW41622096</v>
      </c>
      <c r="X94" s="17" t="e">
        <f>_xlfn.XLOOKUP(Table2[[#This Row],[Adjusted Form '#]],[2]BILLED!$D:$D,[1]BILLED!$O:$O,"Not Found")</f>
        <v>#REF!</v>
      </c>
      <c r="Y94" s="17" t="e">
        <f>_xlfn.XLOOKUP(Table2[[#This Row],[Adjusted Form '#]],'[2]REJECTED ORDERS'!$D:$D,'[2]REJECTED ORDERS'!$E:$E)</f>
        <v>#N/A</v>
      </c>
      <c r="Z94" s="1"/>
      <c r="AA94" s="1"/>
      <c r="AB94" s="8"/>
      <c r="AC94" s="8"/>
      <c r="AD94" s="8"/>
      <c r="AE94" s="8"/>
      <c r="AF94" s="8"/>
      <c r="AG94" s="8"/>
      <c r="AH94" s="8"/>
      <c r="AI94" s="8"/>
      <c r="AJ94" s="8"/>
    </row>
    <row r="95" spans="1:36" ht="15" customHeight="1" x14ac:dyDescent="0.35">
      <c r="A95" s="4" t="s">
        <v>126</v>
      </c>
      <c r="B95" s="1" t="s">
        <v>2001</v>
      </c>
      <c r="C95" s="11">
        <v>44943</v>
      </c>
      <c r="D95" s="11" t="s">
        <v>3974</v>
      </c>
      <c r="E95" s="1" t="s">
        <v>21</v>
      </c>
      <c r="F95" s="1" t="s">
        <v>3777</v>
      </c>
      <c r="G95" s="6">
        <f>COUNTIF(F:F,Table2[[#This Row],[Form '#]])</f>
        <v>1</v>
      </c>
      <c r="H95" s="1" t="s">
        <v>1637</v>
      </c>
      <c r="I95" s="1" t="s">
        <v>758</v>
      </c>
      <c r="J95" s="1" t="s">
        <v>78</v>
      </c>
      <c r="K95" s="1" t="s">
        <v>3853</v>
      </c>
      <c r="L95" s="1"/>
      <c r="M95" s="6" t="str">
        <f>IF(Table2[[#This Row],[Corrected Form '#
 (If Duplicated)]]="",Table2[[#This Row],[Form '#]],Table2[[#This Row],[Corrected Form '#
 (If Duplicated)]])</f>
        <v>7812-03464</v>
      </c>
      <c r="N95" s="1" t="s">
        <v>49</v>
      </c>
      <c r="O95" s="6" t="str">
        <f>IF(Table2[[#This Row],[POG CONFIRMATION RECEIPT OF ORDER
(DATE &amp; TIME)]]="","No Confirmation","Received Confirmation")</f>
        <v>Received Confirmation</v>
      </c>
      <c r="P95" s="6">
        <f ca="1">TODAY()-Table2[[#This Row],[DATE SENT TO POG]]</f>
        <v>360</v>
      </c>
      <c r="Q95" s="6" t="s">
        <v>5803</v>
      </c>
      <c r="R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" s="2" t="str">
        <f>_xlfn.XLOOKUP(Table2[[#This Row],[Adjusted Form '#]],'[2]IN PROGRESS'!$D:$D,'[2]IN PROGRESS'!$M:$M,"Not Found")</f>
        <v>Not Found</v>
      </c>
      <c r="U95" s="2" t="str">
        <f>_xlfn.XLOOKUP(Table2[[#This Row],[Adjusted Form '#]],[1]COMPLETED!$D:$D,[2]COMPLETED!$M:$M,"Not Found")</f>
        <v>Not Found</v>
      </c>
      <c r="V95" s="17" t="str">
        <f>_xlfn.XLOOKUP(Table2[[#This Row],[Adjusted Form '#]],[2]COMPLETED!$D:$D,[2]COMPLETED!$O:$O,"Not Found")</f>
        <v>Not Found</v>
      </c>
      <c r="W95" s="2" t="str">
        <f>_xlfn.XLOOKUP(Table2[[#This Row],[Adjusted Form '#]],[2]BILLED!$D:$D,[2]BILLED!$M:$M,"Not Found")</f>
        <v>1Z5063E0YW41346519</v>
      </c>
      <c r="X95" s="17" t="e">
        <f>_xlfn.XLOOKUP(Table2[[#This Row],[Adjusted Form '#]],[2]BILLED!$D:$D,[1]BILLED!$O:$O,"Not Found")</f>
        <v>#REF!</v>
      </c>
      <c r="Y95" s="17" t="e">
        <f>_xlfn.XLOOKUP(Table2[[#This Row],[Adjusted Form '#]],'[2]REJECTED ORDERS'!$D:$D,'[2]REJECTED ORDERS'!$E:$E)</f>
        <v>#N/A</v>
      </c>
      <c r="Z95" s="1"/>
      <c r="AA95" s="1"/>
      <c r="AB95" s="8"/>
      <c r="AC95" s="8"/>
      <c r="AD95" s="8"/>
      <c r="AE95" s="8"/>
      <c r="AF95" s="8"/>
      <c r="AG95" s="8"/>
      <c r="AH95" s="8"/>
      <c r="AI95" s="8"/>
      <c r="AJ95" s="8"/>
    </row>
    <row r="96" spans="1:36" ht="15" customHeight="1" x14ac:dyDescent="0.35">
      <c r="A96" s="4" t="s">
        <v>127</v>
      </c>
      <c r="B96" s="1" t="s">
        <v>2286</v>
      </c>
      <c r="C96" s="11">
        <v>44943</v>
      </c>
      <c r="D96" s="11" t="s">
        <v>3975</v>
      </c>
      <c r="E96" s="1" t="s">
        <v>73</v>
      </c>
      <c r="F96" s="1" t="s">
        <v>3976</v>
      </c>
      <c r="G96" s="6">
        <f>COUNTIF(F:F,Table2[[#This Row],[Form '#]])</f>
        <v>2</v>
      </c>
      <c r="H96" s="1" t="s">
        <v>2357</v>
      </c>
      <c r="I96" s="1" t="s">
        <v>3864</v>
      </c>
      <c r="J96" s="1" t="s">
        <v>3891</v>
      </c>
      <c r="K96" s="1" t="s">
        <v>3891</v>
      </c>
      <c r="L96" s="1"/>
      <c r="M96" s="6" t="str">
        <f>IF(Table2[[#This Row],[Corrected Form '#
 (If Duplicated)]]="",Table2[[#This Row],[Form '#]],Table2[[#This Row],[Corrected Form '#
 (If Duplicated)]])</f>
        <v>7823-01771</v>
      </c>
      <c r="N96" s="1" t="s">
        <v>49</v>
      </c>
      <c r="O96" s="6" t="str">
        <f>IF(Table2[[#This Row],[POG CONFIRMATION RECEIPT OF ORDER
(DATE &amp; TIME)]]="","No Confirmation","Received Confirmation")</f>
        <v>Received Confirmation</v>
      </c>
      <c r="P96" s="6">
        <f ca="1">TODAY()-Table2[[#This Row],[DATE SENT TO POG]]</f>
        <v>360</v>
      </c>
      <c r="Q96" s="6" t="s">
        <v>5803</v>
      </c>
      <c r="R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" s="2" t="str">
        <f>_xlfn.XLOOKUP(Table2[[#This Row],[Adjusted Form '#]],'[2]IN PROGRESS'!$D:$D,'[2]IN PROGRESS'!$M:$M,"Not Found")</f>
        <v>Not Found</v>
      </c>
      <c r="U96" s="2" t="str">
        <f>_xlfn.XLOOKUP(Table2[[#This Row],[Adjusted Form '#]],[1]COMPLETED!$D:$D,[2]COMPLETED!$M:$M,"Not Found")</f>
        <v>Not Found</v>
      </c>
      <c r="V96" s="17" t="str">
        <f>_xlfn.XLOOKUP(Table2[[#This Row],[Adjusted Form '#]],[2]COMPLETED!$D:$D,[2]COMPLETED!$O:$O,"Not Found")</f>
        <v>Not Found</v>
      </c>
      <c r="W96" s="2" t="str">
        <f>_xlfn.XLOOKUP(Table2[[#This Row],[Adjusted Form '#]],[2]BILLED!$D:$D,[2]BILLED!$M:$M,"Not Found")</f>
        <v>1Z5063E0YW42936602</v>
      </c>
      <c r="X96" s="17" t="e">
        <f>_xlfn.XLOOKUP(Table2[[#This Row],[Adjusted Form '#]],[2]BILLED!$D:$D,[1]BILLED!$O:$O,"Not Found")</f>
        <v>#REF!</v>
      </c>
      <c r="Y96" s="17" t="e">
        <f>_xlfn.XLOOKUP(Table2[[#This Row],[Adjusted Form '#]],'[2]REJECTED ORDERS'!$D:$D,'[2]REJECTED ORDERS'!$E:$E)</f>
        <v>#N/A</v>
      </c>
      <c r="Z96" s="1"/>
      <c r="AA96" s="1"/>
      <c r="AB96" s="8"/>
      <c r="AC96" s="8"/>
      <c r="AD96" s="8"/>
      <c r="AE96" s="8"/>
      <c r="AF96" s="8"/>
      <c r="AG96" s="8"/>
      <c r="AH96" s="8"/>
      <c r="AI96" s="8"/>
      <c r="AJ96" s="8"/>
    </row>
    <row r="97" spans="1:36" ht="15" customHeight="1" x14ac:dyDescent="0.35">
      <c r="A97" s="4" t="s">
        <v>128</v>
      </c>
      <c r="B97" s="1" t="s">
        <v>658</v>
      </c>
      <c r="C97" s="11">
        <v>44943</v>
      </c>
      <c r="D97" s="11" t="s">
        <v>3975</v>
      </c>
      <c r="E97" s="1" t="s">
        <v>73</v>
      </c>
      <c r="F97" s="1" t="s">
        <v>3977</v>
      </c>
      <c r="G97" s="6">
        <f>COUNTIF(F:F,Table2[[#This Row],[Form '#]])</f>
        <v>1</v>
      </c>
      <c r="H97" s="1" t="s">
        <v>3978</v>
      </c>
      <c r="I97" s="1" t="s">
        <v>127</v>
      </c>
      <c r="J97" s="1" t="s">
        <v>74</v>
      </c>
      <c r="K97" s="1" t="s">
        <v>3883</v>
      </c>
      <c r="L97" s="1"/>
      <c r="M97" s="6" t="str">
        <f>IF(Table2[[#This Row],[Corrected Form '#
 (If Duplicated)]]="",Table2[[#This Row],[Form '#]],Table2[[#This Row],[Corrected Form '#
 (If Duplicated)]])</f>
        <v>7823-01856</v>
      </c>
      <c r="N97" s="1" t="s">
        <v>49</v>
      </c>
      <c r="O97" s="6" t="str">
        <f>IF(Table2[[#This Row],[POG CONFIRMATION RECEIPT OF ORDER
(DATE &amp; TIME)]]="","No Confirmation","Received Confirmation")</f>
        <v>Received Confirmation</v>
      </c>
      <c r="P97" s="6">
        <f ca="1">TODAY()-Table2[[#This Row],[DATE SENT TO POG]]</f>
        <v>360</v>
      </c>
      <c r="Q97" s="6" t="s">
        <v>5803</v>
      </c>
      <c r="R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" s="2" t="str">
        <f>_xlfn.XLOOKUP(Table2[[#This Row],[Adjusted Form '#]],'[2]IN PROGRESS'!$D:$D,'[2]IN PROGRESS'!$M:$M,"Not Found")</f>
        <v>Not Found</v>
      </c>
      <c r="U97" s="2" t="str">
        <f>_xlfn.XLOOKUP(Table2[[#This Row],[Adjusted Form '#]],[1]COMPLETED!$D:$D,[2]COMPLETED!$M:$M,"Not Found")</f>
        <v>Not Found</v>
      </c>
      <c r="V97" s="17" t="str">
        <f>_xlfn.XLOOKUP(Table2[[#This Row],[Adjusted Form '#]],[2]COMPLETED!$D:$D,[2]COMPLETED!$O:$O,"Not Found")</f>
        <v>Not Found</v>
      </c>
      <c r="W97" s="2" t="str">
        <f>_xlfn.XLOOKUP(Table2[[#This Row],[Adjusted Form '#]],[2]BILLED!$D:$D,[2]BILLED!$M:$M,"Not Found")</f>
        <v>1Z5063E0YW41890814</v>
      </c>
      <c r="X97" s="17" t="e">
        <f>_xlfn.XLOOKUP(Table2[[#This Row],[Adjusted Form '#]],[2]BILLED!$D:$D,[1]BILLED!$O:$O,"Not Found")</f>
        <v>#REF!</v>
      </c>
      <c r="Y97" s="17" t="e">
        <f>_xlfn.XLOOKUP(Table2[[#This Row],[Adjusted Form '#]],'[2]REJECTED ORDERS'!$D:$D,'[2]REJECTED ORDERS'!$E:$E)</f>
        <v>#N/A</v>
      </c>
      <c r="Z97" s="1"/>
      <c r="AA97" s="1"/>
      <c r="AB97" s="8"/>
      <c r="AC97" s="8"/>
      <c r="AD97" s="8"/>
      <c r="AE97" s="8"/>
      <c r="AF97" s="8"/>
      <c r="AG97" s="8"/>
      <c r="AH97" s="8"/>
      <c r="AI97" s="8"/>
      <c r="AJ97" s="8"/>
    </row>
    <row r="98" spans="1:36" ht="15" customHeight="1" x14ac:dyDescent="0.35">
      <c r="A98" s="4" t="s">
        <v>129</v>
      </c>
      <c r="B98" s="1" t="s">
        <v>2802</v>
      </c>
      <c r="C98" s="11">
        <v>44943</v>
      </c>
      <c r="D98" s="11" t="s">
        <v>3979</v>
      </c>
      <c r="E98" s="1" t="s">
        <v>73</v>
      </c>
      <c r="F98" s="1" t="s">
        <v>3980</v>
      </c>
      <c r="G98" s="6">
        <f>COUNTIF(F:F,Table2[[#This Row],[Form '#]])</f>
        <v>1</v>
      </c>
      <c r="H98" s="1" t="s">
        <v>3981</v>
      </c>
      <c r="I98" s="1" t="s">
        <v>3852</v>
      </c>
      <c r="J98" s="1" t="s">
        <v>75</v>
      </c>
      <c r="K98" s="1" t="s">
        <v>3853</v>
      </c>
      <c r="L98" s="1"/>
      <c r="M98" s="6" t="str">
        <f>IF(Table2[[#This Row],[Corrected Form '#
 (If Duplicated)]]="",Table2[[#This Row],[Form '#]],Table2[[#This Row],[Corrected Form '#
 (If Duplicated)]])</f>
        <v>7823-02753</v>
      </c>
      <c r="N98" s="1" t="s">
        <v>49</v>
      </c>
      <c r="O98" s="6" t="str">
        <f>IF(Table2[[#This Row],[POG CONFIRMATION RECEIPT OF ORDER
(DATE &amp; TIME)]]="","No Confirmation","Received Confirmation")</f>
        <v>Received Confirmation</v>
      </c>
      <c r="P98" s="6">
        <f ca="1">TODAY()-Table2[[#This Row],[DATE SENT TO POG]]</f>
        <v>360</v>
      </c>
      <c r="Q98" s="6" t="s">
        <v>5803</v>
      </c>
      <c r="R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" s="2" t="str">
        <f>_xlfn.XLOOKUP(Table2[[#This Row],[Adjusted Form '#]],'[2]IN PROGRESS'!$D:$D,'[2]IN PROGRESS'!$M:$M,"Not Found")</f>
        <v>Not Found</v>
      </c>
      <c r="U98" s="2" t="str">
        <f>_xlfn.XLOOKUP(Table2[[#This Row],[Adjusted Form '#]],[1]COMPLETED!$D:$D,[2]COMPLETED!$M:$M,"Not Found")</f>
        <v>Not Found</v>
      </c>
      <c r="V98" s="17" t="str">
        <f>_xlfn.XLOOKUP(Table2[[#This Row],[Adjusted Form '#]],[2]COMPLETED!$D:$D,[2]COMPLETED!$O:$O,"Not Found")</f>
        <v>Not Found</v>
      </c>
      <c r="W98" s="2" t="str">
        <f>_xlfn.XLOOKUP(Table2[[#This Row],[Adjusted Form '#]],[2]BILLED!$D:$D,[2]BILLED!$M:$M,"Not Found")</f>
        <v>1Z5063E0YW42773449</v>
      </c>
      <c r="X98" s="17" t="e">
        <f>_xlfn.XLOOKUP(Table2[[#This Row],[Adjusted Form '#]],[2]BILLED!$D:$D,[1]BILLED!$O:$O,"Not Found")</f>
        <v>#REF!</v>
      </c>
      <c r="Y98" s="17" t="e">
        <f>_xlfn.XLOOKUP(Table2[[#This Row],[Adjusted Form '#]],'[2]REJECTED ORDERS'!$D:$D,'[2]REJECTED ORDERS'!$E:$E)</f>
        <v>#N/A</v>
      </c>
      <c r="Z98" s="1"/>
      <c r="AA98" s="1"/>
      <c r="AB98" s="8"/>
      <c r="AC98" s="8"/>
      <c r="AD98" s="8"/>
      <c r="AE98" s="8"/>
      <c r="AF98" s="8"/>
      <c r="AG98" s="8"/>
      <c r="AH98" s="8"/>
      <c r="AI98" s="8"/>
      <c r="AJ98" s="8"/>
    </row>
    <row r="99" spans="1:36" ht="15" customHeight="1" x14ac:dyDescent="0.35">
      <c r="A99" s="4" t="s">
        <v>130</v>
      </c>
      <c r="B99" s="1" t="s">
        <v>3529</v>
      </c>
      <c r="C99" s="11">
        <v>44943</v>
      </c>
      <c r="D99" s="11" t="s">
        <v>3982</v>
      </c>
      <c r="E99" s="1" t="s">
        <v>73</v>
      </c>
      <c r="F99" s="1" t="s">
        <v>3983</v>
      </c>
      <c r="G99" s="6">
        <f>COUNTIF(F:F,Table2[[#This Row],[Form '#]])</f>
        <v>1</v>
      </c>
      <c r="H99" s="1" t="s">
        <v>3984</v>
      </c>
      <c r="I99" s="1" t="s">
        <v>3852</v>
      </c>
      <c r="J99" s="1" t="s">
        <v>80</v>
      </c>
      <c r="K99" s="1" t="s">
        <v>3853</v>
      </c>
      <c r="L99" s="1"/>
      <c r="M99" s="6" t="str">
        <f>IF(Table2[[#This Row],[Corrected Form '#
 (If Duplicated)]]="",Table2[[#This Row],[Form '#]],Table2[[#This Row],[Corrected Form '#
 (If Duplicated)]])</f>
        <v>7823-01434</v>
      </c>
      <c r="N99" s="1" t="s">
        <v>49</v>
      </c>
      <c r="O99" s="6" t="str">
        <f>IF(Table2[[#This Row],[POG CONFIRMATION RECEIPT OF ORDER
(DATE &amp; TIME)]]="","No Confirmation","Received Confirmation")</f>
        <v>Received Confirmation</v>
      </c>
      <c r="P99" s="6">
        <f ca="1">TODAY()-Table2[[#This Row],[DATE SENT TO POG]]</f>
        <v>360</v>
      </c>
      <c r="Q99" s="6" t="s">
        <v>5803</v>
      </c>
      <c r="R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" s="2" t="str">
        <f>_xlfn.XLOOKUP(Table2[[#This Row],[Adjusted Form '#]],'[2]IN PROGRESS'!$D:$D,'[2]IN PROGRESS'!$M:$M,"Not Found")</f>
        <v>Not Found</v>
      </c>
      <c r="U99" s="2" t="str">
        <f>_xlfn.XLOOKUP(Table2[[#This Row],[Adjusted Form '#]],[1]COMPLETED!$D:$D,[2]COMPLETED!$M:$M,"Not Found")</f>
        <v>Not Found</v>
      </c>
      <c r="V99" s="17" t="str">
        <f>_xlfn.XLOOKUP(Table2[[#This Row],[Adjusted Form '#]],[2]COMPLETED!$D:$D,[2]COMPLETED!$O:$O,"Not Found")</f>
        <v>Not Found</v>
      </c>
      <c r="W99" s="2" t="str">
        <f>_xlfn.XLOOKUP(Table2[[#This Row],[Adjusted Form '#]],[2]BILLED!$D:$D,[2]BILLED!$M:$M,"Not Found")</f>
        <v>1Z5063E0YW40289904</v>
      </c>
      <c r="X99" s="17" t="e">
        <f>_xlfn.XLOOKUP(Table2[[#This Row],[Adjusted Form '#]],[2]BILLED!$D:$D,[1]BILLED!$O:$O,"Not Found")</f>
        <v>#REF!</v>
      </c>
      <c r="Y99" s="17" t="e">
        <f>_xlfn.XLOOKUP(Table2[[#This Row],[Adjusted Form '#]],'[2]REJECTED ORDERS'!$D:$D,'[2]REJECTED ORDERS'!$E:$E)</f>
        <v>#N/A</v>
      </c>
      <c r="Z99" s="1"/>
      <c r="AA99" s="1"/>
      <c r="AB99" s="8"/>
      <c r="AC99" s="8"/>
      <c r="AD99" s="8"/>
      <c r="AE99" s="8"/>
      <c r="AF99" s="8"/>
      <c r="AG99" s="8"/>
      <c r="AH99" s="8"/>
      <c r="AI99" s="8"/>
      <c r="AJ99" s="8"/>
    </row>
    <row r="100" spans="1:36" ht="15" customHeight="1" x14ac:dyDescent="0.35">
      <c r="A100" s="4" t="s">
        <v>131</v>
      </c>
      <c r="B100" s="1" t="s">
        <v>1294</v>
      </c>
      <c r="C100" s="11">
        <v>44943</v>
      </c>
      <c r="D100" s="11" t="s">
        <v>3982</v>
      </c>
      <c r="E100" s="1" t="s">
        <v>191</v>
      </c>
      <c r="F100" s="1" t="s">
        <v>3732</v>
      </c>
      <c r="G100" s="6">
        <f>COUNTIF(F:F,Table2[[#This Row],[Form '#]])</f>
        <v>1</v>
      </c>
      <c r="H100" s="1" t="s">
        <v>1415</v>
      </c>
      <c r="I100" s="1" t="s">
        <v>3864</v>
      </c>
      <c r="J100" s="1" t="s">
        <v>78</v>
      </c>
      <c r="K100" s="1" t="s">
        <v>3879</v>
      </c>
      <c r="L100" s="1"/>
      <c r="M100" s="6" t="str">
        <f>IF(Table2[[#This Row],[Corrected Form '#
 (If Duplicated)]]="",Table2[[#This Row],[Form '#]],Table2[[#This Row],[Corrected Form '#
 (If Duplicated)]])</f>
        <v>7812-03364</v>
      </c>
      <c r="N100" s="1" t="s">
        <v>49</v>
      </c>
      <c r="O100" s="6" t="str">
        <f>IF(Table2[[#This Row],[POG CONFIRMATION RECEIPT OF ORDER
(DATE &amp; TIME)]]="","No Confirmation","Received Confirmation")</f>
        <v>Received Confirmation</v>
      </c>
      <c r="P100" s="6">
        <f ca="1">TODAY()-Table2[[#This Row],[DATE SENT TO POG]]</f>
        <v>360</v>
      </c>
      <c r="Q100" s="6" t="s">
        <v>5803</v>
      </c>
      <c r="R1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" s="2" t="str">
        <f>_xlfn.XLOOKUP(Table2[[#This Row],[Adjusted Form '#]],'[2]IN PROGRESS'!$D:$D,'[2]IN PROGRESS'!$M:$M,"Not Found")</f>
        <v>Not Found</v>
      </c>
      <c r="U100" s="2" t="str">
        <f>_xlfn.XLOOKUP(Table2[[#This Row],[Adjusted Form '#]],[1]COMPLETED!$D:$D,[2]COMPLETED!$M:$M,"Not Found")</f>
        <v>Not Found</v>
      </c>
      <c r="V100" s="17" t="str">
        <f>_xlfn.XLOOKUP(Table2[[#This Row],[Adjusted Form '#]],[2]COMPLETED!$D:$D,[2]COMPLETED!$O:$O,"Not Found")</f>
        <v>Not Found</v>
      </c>
      <c r="W100" s="2" t="str">
        <f>_xlfn.XLOOKUP(Table2[[#This Row],[Adjusted Form '#]],[2]BILLED!$D:$D,[2]BILLED!$M:$M,"Not Found")</f>
        <v>1Z5063E0YW41103067</v>
      </c>
      <c r="X100" s="17" t="e">
        <f>_xlfn.XLOOKUP(Table2[[#This Row],[Adjusted Form '#]],[2]BILLED!$D:$D,[1]BILLED!$O:$O,"Not Found")</f>
        <v>#REF!</v>
      </c>
      <c r="Y100" s="17" t="e">
        <f>_xlfn.XLOOKUP(Table2[[#This Row],[Adjusted Form '#]],'[2]REJECTED ORDERS'!$D:$D,'[2]REJECTED ORDERS'!$E:$E)</f>
        <v>#N/A</v>
      </c>
      <c r="Z100" s="1"/>
      <c r="AA100" s="1"/>
      <c r="AB100" s="8"/>
      <c r="AC100" s="8"/>
      <c r="AD100" s="8"/>
      <c r="AE100" s="8"/>
      <c r="AF100" s="8"/>
      <c r="AG100" s="8"/>
      <c r="AH100" s="8"/>
      <c r="AI100" s="8"/>
      <c r="AJ100" s="8"/>
    </row>
    <row r="101" spans="1:36" ht="15" customHeight="1" x14ac:dyDescent="0.35">
      <c r="A101" s="4" t="s">
        <v>132</v>
      </c>
      <c r="B101" s="1" t="s">
        <v>1854</v>
      </c>
      <c r="C101" s="11">
        <v>44943</v>
      </c>
      <c r="D101" s="11" t="s">
        <v>3982</v>
      </c>
      <c r="E101" s="1" t="s">
        <v>73</v>
      </c>
      <c r="F101" s="1" t="s">
        <v>3985</v>
      </c>
      <c r="G101" s="6">
        <f>COUNTIF(F:F,Table2[[#This Row],[Form '#]])</f>
        <v>1</v>
      </c>
      <c r="H101" s="1" t="s">
        <v>3986</v>
      </c>
      <c r="I101" s="1" t="s">
        <v>3864</v>
      </c>
      <c r="J101" s="1" t="s">
        <v>80</v>
      </c>
      <c r="K101" s="1" t="s">
        <v>3853</v>
      </c>
      <c r="L101" s="1"/>
      <c r="M101" s="6" t="str">
        <f>IF(Table2[[#This Row],[Corrected Form '#
 (If Duplicated)]]="",Table2[[#This Row],[Form '#]],Table2[[#This Row],[Corrected Form '#
 (If Duplicated)]])</f>
        <v>7823-02562</v>
      </c>
      <c r="N101" s="1" t="s">
        <v>49</v>
      </c>
      <c r="O101" s="6" t="str">
        <f>IF(Table2[[#This Row],[POG CONFIRMATION RECEIPT OF ORDER
(DATE &amp; TIME)]]="","No Confirmation","Received Confirmation")</f>
        <v>Received Confirmation</v>
      </c>
      <c r="P101" s="6">
        <f ca="1">TODAY()-Table2[[#This Row],[DATE SENT TO POG]]</f>
        <v>360</v>
      </c>
      <c r="Q101" s="6" t="s">
        <v>5803</v>
      </c>
      <c r="R1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" s="2" t="str">
        <f>_xlfn.XLOOKUP(Table2[[#This Row],[Adjusted Form '#]],'[2]IN PROGRESS'!$D:$D,'[2]IN PROGRESS'!$M:$M,"Not Found")</f>
        <v>Not Found</v>
      </c>
      <c r="U101" s="2" t="str">
        <f>_xlfn.XLOOKUP(Table2[[#This Row],[Adjusted Form '#]],[1]COMPLETED!$D:$D,[2]COMPLETED!$M:$M,"Not Found")</f>
        <v>Not Found</v>
      </c>
      <c r="V101" s="17" t="str">
        <f>_xlfn.XLOOKUP(Table2[[#This Row],[Adjusted Form '#]],[2]COMPLETED!$D:$D,[2]COMPLETED!$O:$O,"Not Found")</f>
        <v>Not Found</v>
      </c>
      <c r="W101" s="2" t="str">
        <f>_xlfn.XLOOKUP(Table2[[#This Row],[Adjusted Form '#]],[2]BILLED!$D:$D,[2]BILLED!$M:$M,"Not Found")</f>
        <v>1Z5063E0YW41931305</v>
      </c>
      <c r="X101" s="17" t="e">
        <f>_xlfn.XLOOKUP(Table2[[#This Row],[Adjusted Form '#]],[2]BILLED!$D:$D,[1]BILLED!$O:$O,"Not Found")</f>
        <v>#REF!</v>
      </c>
      <c r="Y101" s="17" t="e">
        <f>_xlfn.XLOOKUP(Table2[[#This Row],[Adjusted Form '#]],'[2]REJECTED ORDERS'!$D:$D,'[2]REJECTED ORDERS'!$E:$E)</f>
        <v>#N/A</v>
      </c>
      <c r="Z101" s="1"/>
      <c r="AA101" s="1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1:36" ht="15" customHeight="1" x14ac:dyDescent="0.35">
      <c r="A102" s="4" t="s">
        <v>133</v>
      </c>
      <c r="B102" s="1" t="s">
        <v>3374</v>
      </c>
      <c r="C102" s="11">
        <v>44944</v>
      </c>
      <c r="D102" s="11" t="s">
        <v>3987</v>
      </c>
      <c r="E102" s="1" t="s">
        <v>21</v>
      </c>
      <c r="F102" s="1" t="s">
        <v>3988</v>
      </c>
      <c r="G102" s="6">
        <f>COUNTIF(F:F,Table2[[#This Row],[Form '#]])</f>
        <v>1</v>
      </c>
      <c r="H102" s="1" t="s">
        <v>3989</v>
      </c>
      <c r="I102" s="1" t="s">
        <v>3852</v>
      </c>
      <c r="J102" s="1" t="s">
        <v>75</v>
      </c>
      <c r="K102" s="1" t="s">
        <v>3853</v>
      </c>
      <c r="L102" s="1"/>
      <c r="M102" s="6" t="str">
        <f>IF(Table2[[#This Row],[Corrected Form '#
 (If Duplicated)]]="",Table2[[#This Row],[Form '#]],Table2[[#This Row],[Corrected Form '#
 (If Duplicated)]])</f>
        <v>7818-25767</v>
      </c>
      <c r="N102" s="1" t="s">
        <v>49</v>
      </c>
      <c r="O102" s="6" t="str">
        <f>IF(Table2[[#This Row],[POG CONFIRMATION RECEIPT OF ORDER
(DATE &amp; TIME)]]="","No Confirmation","Received Confirmation")</f>
        <v>Received Confirmation</v>
      </c>
      <c r="P102" s="6">
        <f ca="1">TODAY()-Table2[[#This Row],[DATE SENT TO POG]]</f>
        <v>359</v>
      </c>
      <c r="Q102" s="6" t="s">
        <v>5803</v>
      </c>
      <c r="R1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" s="2" t="str">
        <f>_xlfn.XLOOKUP(Table2[[#This Row],[Adjusted Form '#]],'[2]IN PROGRESS'!$D:$D,'[2]IN PROGRESS'!$M:$M,"Not Found")</f>
        <v>Not Found</v>
      </c>
      <c r="U102" s="2" t="str">
        <f>_xlfn.XLOOKUP(Table2[[#This Row],[Adjusted Form '#]],[1]COMPLETED!$D:$D,[2]COMPLETED!$M:$M,"Not Found")</f>
        <v>Not Found</v>
      </c>
      <c r="V102" s="17" t="str">
        <f>_xlfn.XLOOKUP(Table2[[#This Row],[Adjusted Form '#]],[2]COMPLETED!$D:$D,[2]COMPLETED!$O:$O,"Not Found")</f>
        <v>Not Found</v>
      </c>
      <c r="W102" s="2" t="str">
        <f>_xlfn.XLOOKUP(Table2[[#This Row],[Adjusted Form '#]],[2]BILLED!$D:$D,[2]BILLED!$M:$M,"Not Found")</f>
        <v>1Z5063E0YW42821280</v>
      </c>
      <c r="X102" s="17" t="e">
        <f>_xlfn.XLOOKUP(Table2[[#This Row],[Adjusted Form '#]],[2]BILLED!$D:$D,[1]BILLED!$O:$O,"Not Found")</f>
        <v>#REF!</v>
      </c>
      <c r="Y102" s="17" t="e">
        <f>_xlfn.XLOOKUP(Table2[[#This Row],[Adjusted Form '#]],'[2]REJECTED ORDERS'!$D:$D,'[2]REJECTED ORDERS'!$E:$E)</f>
        <v>#N/A</v>
      </c>
      <c r="Z102" s="1"/>
      <c r="AA102" s="1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1:36" ht="15" customHeight="1" x14ac:dyDescent="0.35">
      <c r="A103" s="4" t="s">
        <v>134</v>
      </c>
      <c r="B103" s="1" t="s">
        <v>3374</v>
      </c>
      <c r="C103" s="11">
        <v>44944</v>
      </c>
      <c r="D103" s="11" t="s">
        <v>3987</v>
      </c>
      <c r="E103" s="1" t="s">
        <v>21</v>
      </c>
      <c r="F103" s="1" t="s">
        <v>3990</v>
      </c>
      <c r="G103" s="6">
        <f>COUNTIF(F:F,Table2[[#This Row],[Form '#]])</f>
        <v>1</v>
      </c>
      <c r="H103" s="1" t="s">
        <v>2536</v>
      </c>
      <c r="I103" s="1" t="s">
        <v>127</v>
      </c>
      <c r="J103" s="1" t="s">
        <v>74</v>
      </c>
      <c r="K103" s="1" t="s">
        <v>3919</v>
      </c>
      <c r="L103" s="1"/>
      <c r="M103" s="6" t="str">
        <f>IF(Table2[[#This Row],[Corrected Form '#
 (If Duplicated)]]="",Table2[[#This Row],[Form '#]],Table2[[#This Row],[Corrected Form '#
 (If Duplicated)]])</f>
        <v>7818-24932</v>
      </c>
      <c r="N103" s="1" t="s">
        <v>49</v>
      </c>
      <c r="O103" s="6" t="str">
        <f>IF(Table2[[#This Row],[POG CONFIRMATION RECEIPT OF ORDER
(DATE &amp; TIME)]]="","No Confirmation","Received Confirmation")</f>
        <v>Received Confirmation</v>
      </c>
      <c r="P103" s="6">
        <f ca="1">TODAY()-Table2[[#This Row],[DATE SENT TO POG]]</f>
        <v>359</v>
      </c>
      <c r="Q103" s="6" t="s">
        <v>5803</v>
      </c>
      <c r="R1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" s="2" t="str">
        <f>_xlfn.XLOOKUP(Table2[[#This Row],[Adjusted Form '#]],'[2]IN PROGRESS'!$D:$D,'[2]IN PROGRESS'!$M:$M,"Not Found")</f>
        <v>Not Found</v>
      </c>
      <c r="U103" s="2" t="str">
        <f>_xlfn.XLOOKUP(Table2[[#This Row],[Adjusted Form '#]],[1]COMPLETED!$D:$D,[2]COMPLETED!$M:$M,"Not Found")</f>
        <v>Not Found</v>
      </c>
      <c r="V103" s="17" t="str">
        <f>_xlfn.XLOOKUP(Table2[[#This Row],[Adjusted Form '#]],[2]COMPLETED!$D:$D,[2]COMPLETED!$O:$O,"Not Found")</f>
        <v>Not Found</v>
      </c>
      <c r="W103" s="2" t="str">
        <f>_xlfn.XLOOKUP(Table2[[#This Row],[Adjusted Form '#]],[2]BILLED!$D:$D,[2]BILLED!$M:$M,"Not Found")</f>
        <v>1Z5063E0YW42076998</v>
      </c>
      <c r="X103" s="17" t="e">
        <f>_xlfn.XLOOKUP(Table2[[#This Row],[Adjusted Form '#]],[2]BILLED!$D:$D,[1]BILLED!$O:$O,"Not Found")</f>
        <v>#REF!</v>
      </c>
      <c r="Y103" s="17" t="e">
        <f>_xlfn.XLOOKUP(Table2[[#This Row],[Adjusted Form '#]],'[2]REJECTED ORDERS'!$D:$D,'[2]REJECTED ORDERS'!$E:$E)</f>
        <v>#N/A</v>
      </c>
      <c r="Z103" s="1"/>
      <c r="AA103" s="1"/>
      <c r="AB103" s="8"/>
      <c r="AC103" s="8"/>
      <c r="AD103" s="8"/>
      <c r="AE103" s="8"/>
      <c r="AF103" s="8"/>
      <c r="AG103" s="8"/>
      <c r="AH103" s="8"/>
      <c r="AI103" s="8"/>
      <c r="AJ103" s="8"/>
    </row>
    <row r="104" spans="1:36" ht="15" customHeight="1" x14ac:dyDescent="0.35">
      <c r="A104" s="4" t="s">
        <v>135</v>
      </c>
      <c r="B104" s="1" t="s">
        <v>3374</v>
      </c>
      <c r="C104" s="11">
        <v>44944</v>
      </c>
      <c r="D104" s="11" t="s">
        <v>3987</v>
      </c>
      <c r="E104" s="1" t="s">
        <v>21</v>
      </c>
      <c r="F104" s="1" t="s">
        <v>3991</v>
      </c>
      <c r="G104" s="6">
        <f>COUNTIF(F:F,Table2[[#This Row],[Form '#]])</f>
        <v>1</v>
      </c>
      <c r="H104" s="1" t="s">
        <v>3992</v>
      </c>
      <c r="I104" s="1" t="s">
        <v>3864</v>
      </c>
      <c r="J104" s="1" t="s">
        <v>78</v>
      </c>
      <c r="K104" s="1" t="s">
        <v>3879</v>
      </c>
      <c r="L104" s="1"/>
      <c r="M104" s="6" t="str">
        <f>IF(Table2[[#This Row],[Corrected Form '#
 (If Duplicated)]]="",Table2[[#This Row],[Form '#]],Table2[[#This Row],[Corrected Form '#
 (If Duplicated)]])</f>
        <v>7818-21213</v>
      </c>
      <c r="N104" s="1" t="s">
        <v>49</v>
      </c>
      <c r="O104" s="6" t="str">
        <f>IF(Table2[[#This Row],[POG CONFIRMATION RECEIPT OF ORDER
(DATE &amp; TIME)]]="","No Confirmation","Received Confirmation")</f>
        <v>Received Confirmation</v>
      </c>
      <c r="P104" s="6">
        <f ca="1">TODAY()-Table2[[#This Row],[DATE SENT TO POG]]</f>
        <v>359</v>
      </c>
      <c r="Q104" s="6" t="s">
        <v>5803</v>
      </c>
      <c r="R1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" s="2" t="str">
        <f>_xlfn.XLOOKUP(Table2[[#This Row],[Adjusted Form '#]],'[2]IN PROGRESS'!$D:$D,'[2]IN PROGRESS'!$M:$M,"Not Found")</f>
        <v>Not Found</v>
      </c>
      <c r="U104" s="2" t="str">
        <f>_xlfn.XLOOKUP(Table2[[#This Row],[Adjusted Form '#]],[1]COMPLETED!$D:$D,[2]COMPLETED!$M:$M,"Not Found")</f>
        <v>Not Found</v>
      </c>
      <c r="V104" s="17" t="str">
        <f>_xlfn.XLOOKUP(Table2[[#This Row],[Adjusted Form '#]],[2]COMPLETED!$D:$D,[2]COMPLETED!$O:$O,"Not Found")</f>
        <v>Not Found</v>
      </c>
      <c r="W104" s="2" t="str">
        <f>_xlfn.XLOOKUP(Table2[[#This Row],[Adjusted Form '#]],[2]BILLED!$D:$D,[2]BILLED!$M:$M,"Not Found")</f>
        <v>9400 1112 0620 7195 2216 07</v>
      </c>
      <c r="X104" s="17" t="e">
        <f>_xlfn.XLOOKUP(Table2[[#This Row],[Adjusted Form '#]],[2]BILLED!$D:$D,[1]BILLED!$O:$O,"Not Found")</f>
        <v>#REF!</v>
      </c>
      <c r="Y104" s="17" t="e">
        <f>_xlfn.XLOOKUP(Table2[[#This Row],[Adjusted Form '#]],'[2]REJECTED ORDERS'!$D:$D,'[2]REJECTED ORDERS'!$E:$E)</f>
        <v>#N/A</v>
      </c>
      <c r="Z104" s="1"/>
      <c r="AA104" s="1"/>
      <c r="AB104" s="8"/>
      <c r="AC104" s="8"/>
      <c r="AD104" s="8"/>
      <c r="AE104" s="8"/>
      <c r="AF104" s="8"/>
      <c r="AG104" s="8"/>
      <c r="AH104" s="8"/>
      <c r="AI104" s="8"/>
      <c r="AJ104" s="8"/>
    </row>
    <row r="105" spans="1:36" ht="15" customHeight="1" x14ac:dyDescent="0.35">
      <c r="A105" s="4" t="s">
        <v>136</v>
      </c>
      <c r="B105" s="1" t="s">
        <v>3374</v>
      </c>
      <c r="C105" s="11">
        <v>44944</v>
      </c>
      <c r="D105" s="11" t="s">
        <v>3987</v>
      </c>
      <c r="E105" s="1" t="s">
        <v>21</v>
      </c>
      <c r="F105" s="1" t="s">
        <v>3993</v>
      </c>
      <c r="G105" s="6">
        <f>COUNTIF(F:F,Table2[[#This Row],[Form '#]])</f>
        <v>1</v>
      </c>
      <c r="H105" s="1" t="s">
        <v>3994</v>
      </c>
      <c r="I105" s="1" t="s">
        <v>3864</v>
      </c>
      <c r="J105" s="1" t="s">
        <v>78</v>
      </c>
      <c r="K105" s="1" t="s">
        <v>3879</v>
      </c>
      <c r="L105" s="1"/>
      <c r="M105" s="6" t="str">
        <f>IF(Table2[[#This Row],[Corrected Form '#
 (If Duplicated)]]="",Table2[[#This Row],[Form '#]],Table2[[#This Row],[Corrected Form '#
 (If Duplicated)]])</f>
        <v>7818-17409</v>
      </c>
      <c r="N105" s="1" t="s">
        <v>49</v>
      </c>
      <c r="O105" s="6" t="str">
        <f>IF(Table2[[#This Row],[POG CONFIRMATION RECEIPT OF ORDER
(DATE &amp; TIME)]]="","No Confirmation","Received Confirmation")</f>
        <v>Received Confirmation</v>
      </c>
      <c r="P105" s="6">
        <f ca="1">TODAY()-Table2[[#This Row],[DATE SENT TO POG]]</f>
        <v>359</v>
      </c>
      <c r="Q105" s="6" t="s">
        <v>5803</v>
      </c>
      <c r="R1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" s="2" t="str">
        <f>_xlfn.XLOOKUP(Table2[[#This Row],[Adjusted Form '#]],'[2]IN PROGRESS'!$D:$D,'[2]IN PROGRESS'!$M:$M,"Not Found")</f>
        <v>Not Found</v>
      </c>
      <c r="U105" s="2" t="str">
        <f>_xlfn.XLOOKUP(Table2[[#This Row],[Adjusted Form '#]],[1]COMPLETED!$D:$D,[2]COMPLETED!$M:$M,"Not Found")</f>
        <v>Not Found</v>
      </c>
      <c r="V105" s="17" t="str">
        <f>_xlfn.XLOOKUP(Table2[[#This Row],[Adjusted Form '#]],[2]COMPLETED!$D:$D,[2]COMPLETED!$O:$O,"Not Found")</f>
        <v>Not Found</v>
      </c>
      <c r="W105" s="2" t="str">
        <f>_xlfn.XLOOKUP(Table2[[#This Row],[Adjusted Form '#]],[2]BILLED!$D:$D,[2]BILLED!$M:$M,"Not Found")</f>
        <v>1Z5063E0YW40590800</v>
      </c>
      <c r="X105" s="17" t="e">
        <f>_xlfn.XLOOKUP(Table2[[#This Row],[Adjusted Form '#]],[2]BILLED!$D:$D,[1]BILLED!$O:$O,"Not Found")</f>
        <v>#REF!</v>
      </c>
      <c r="Y105" s="17" t="e">
        <f>_xlfn.XLOOKUP(Table2[[#This Row],[Adjusted Form '#]],'[2]REJECTED ORDERS'!$D:$D,'[2]REJECTED ORDERS'!$E:$E)</f>
        <v>#N/A</v>
      </c>
      <c r="Z105" s="1"/>
      <c r="AA105" s="1"/>
      <c r="AB105" s="8"/>
      <c r="AC105" s="8"/>
      <c r="AD105" s="8"/>
      <c r="AE105" s="8"/>
      <c r="AF105" s="8"/>
      <c r="AG105" s="8"/>
      <c r="AH105" s="8"/>
      <c r="AI105" s="8"/>
      <c r="AJ105" s="8"/>
    </row>
    <row r="106" spans="1:36" ht="15" customHeight="1" x14ac:dyDescent="0.35">
      <c r="A106" s="4" t="s">
        <v>137</v>
      </c>
      <c r="B106" s="1" t="s">
        <v>3374</v>
      </c>
      <c r="C106" s="11">
        <v>44944</v>
      </c>
      <c r="D106" s="11" t="s">
        <v>3987</v>
      </c>
      <c r="E106" s="1" t="s">
        <v>21</v>
      </c>
      <c r="F106" s="1" t="s">
        <v>3677</v>
      </c>
      <c r="G106" s="6">
        <f>COUNTIF(F:F,Table2[[#This Row],[Form '#]])</f>
        <v>1</v>
      </c>
      <c r="H106" s="1" t="s">
        <v>3678</v>
      </c>
      <c r="I106" s="1" t="s">
        <v>127</v>
      </c>
      <c r="J106" s="1" t="s">
        <v>74</v>
      </c>
      <c r="K106" s="1" t="s">
        <v>3919</v>
      </c>
      <c r="L106" s="1"/>
      <c r="M106" s="6" t="str">
        <f>IF(Table2[[#This Row],[Corrected Form '#
 (If Duplicated)]]="",Table2[[#This Row],[Form '#]],Table2[[#This Row],[Corrected Form '#
 (If Duplicated)]])</f>
        <v>7818-20067</v>
      </c>
      <c r="N106" s="1" t="s">
        <v>49</v>
      </c>
      <c r="O106" s="6" t="str">
        <f>IF(Table2[[#This Row],[POG CONFIRMATION RECEIPT OF ORDER
(DATE &amp; TIME)]]="","No Confirmation","Received Confirmation")</f>
        <v>Received Confirmation</v>
      </c>
      <c r="P106" s="6">
        <f ca="1">TODAY()-Table2[[#This Row],[DATE SENT TO POG]]</f>
        <v>359</v>
      </c>
      <c r="Q106" s="6" t="s">
        <v>5803</v>
      </c>
      <c r="R1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" s="2" t="str">
        <f>_xlfn.XLOOKUP(Table2[[#This Row],[Adjusted Form '#]],'[2]IN PROGRESS'!$D:$D,'[2]IN PROGRESS'!$M:$M,"Not Found")</f>
        <v>Not Found</v>
      </c>
      <c r="U106" s="2" t="str">
        <f>_xlfn.XLOOKUP(Table2[[#This Row],[Adjusted Form '#]],[1]COMPLETED!$D:$D,[2]COMPLETED!$M:$M,"Not Found")</f>
        <v>Not Found</v>
      </c>
      <c r="V106" s="17" t="str">
        <f>_xlfn.XLOOKUP(Table2[[#This Row],[Adjusted Form '#]],[2]COMPLETED!$D:$D,[2]COMPLETED!$O:$O,"Not Found")</f>
        <v>Not Found</v>
      </c>
      <c r="W106" s="2" t="str">
        <f>_xlfn.XLOOKUP(Table2[[#This Row],[Adjusted Form '#]],[2]BILLED!$D:$D,[2]BILLED!$M:$M,"Not Found")</f>
        <v>1Z5063E0YW41968393</v>
      </c>
      <c r="X106" s="17" t="e">
        <f>_xlfn.XLOOKUP(Table2[[#This Row],[Adjusted Form '#]],[2]BILLED!$D:$D,[1]BILLED!$O:$O,"Not Found")</f>
        <v>#REF!</v>
      </c>
      <c r="Y106" s="17" t="e">
        <f>_xlfn.XLOOKUP(Table2[[#This Row],[Adjusted Form '#]],'[2]REJECTED ORDERS'!$D:$D,'[2]REJECTED ORDERS'!$E:$E)</f>
        <v>#N/A</v>
      </c>
      <c r="Z106" s="1"/>
      <c r="AA106" s="1"/>
      <c r="AB106" s="8"/>
      <c r="AC106" s="8"/>
      <c r="AD106" s="8"/>
      <c r="AE106" s="8"/>
      <c r="AF106" s="8"/>
      <c r="AG106" s="8"/>
      <c r="AH106" s="8"/>
      <c r="AI106" s="8"/>
      <c r="AJ106" s="8"/>
    </row>
    <row r="107" spans="1:36" ht="15" customHeight="1" x14ac:dyDescent="0.35">
      <c r="A107" s="4" t="s">
        <v>138</v>
      </c>
      <c r="B107" s="1" t="s">
        <v>3374</v>
      </c>
      <c r="C107" s="11">
        <v>44944</v>
      </c>
      <c r="D107" s="11" t="s">
        <v>3987</v>
      </c>
      <c r="E107" s="1" t="s">
        <v>21</v>
      </c>
      <c r="F107" s="1" t="s">
        <v>3995</v>
      </c>
      <c r="G107" s="6">
        <f>COUNTIF(F:F,Table2[[#This Row],[Form '#]])</f>
        <v>1</v>
      </c>
      <c r="H107" s="1" t="s">
        <v>3996</v>
      </c>
      <c r="I107" s="1" t="s">
        <v>3852</v>
      </c>
      <c r="J107" s="1" t="s">
        <v>80</v>
      </c>
      <c r="K107" s="1" t="s">
        <v>3853</v>
      </c>
      <c r="L107" s="1"/>
      <c r="M107" s="6" t="str">
        <f>IF(Table2[[#This Row],[Corrected Form '#
 (If Duplicated)]]="",Table2[[#This Row],[Form '#]],Table2[[#This Row],[Corrected Form '#
 (If Duplicated)]])</f>
        <v>7818-25407</v>
      </c>
      <c r="N107" s="1" t="s">
        <v>49</v>
      </c>
      <c r="O107" s="6" t="str">
        <f>IF(Table2[[#This Row],[POG CONFIRMATION RECEIPT OF ORDER
(DATE &amp; TIME)]]="","No Confirmation","Received Confirmation")</f>
        <v>Received Confirmation</v>
      </c>
      <c r="P107" s="6">
        <f ca="1">TODAY()-Table2[[#This Row],[DATE SENT TO POG]]</f>
        <v>359</v>
      </c>
      <c r="Q107" s="6" t="s">
        <v>5803</v>
      </c>
      <c r="R1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" s="2" t="str">
        <f>_xlfn.XLOOKUP(Table2[[#This Row],[Adjusted Form '#]],'[2]IN PROGRESS'!$D:$D,'[2]IN PROGRESS'!$M:$M,"Not Found")</f>
        <v>Not Found</v>
      </c>
      <c r="U107" s="2" t="str">
        <f>_xlfn.XLOOKUP(Table2[[#This Row],[Adjusted Form '#]],[1]COMPLETED!$D:$D,[2]COMPLETED!$M:$M,"Not Found")</f>
        <v>Not Found</v>
      </c>
      <c r="V107" s="17" t="str">
        <f>_xlfn.XLOOKUP(Table2[[#This Row],[Adjusted Form '#]],[2]COMPLETED!$D:$D,[2]COMPLETED!$O:$O,"Not Found")</f>
        <v>Not Found</v>
      </c>
      <c r="W107" s="2" t="str">
        <f>_xlfn.XLOOKUP(Table2[[#This Row],[Adjusted Form '#]],[2]BILLED!$D:$D,[2]BILLED!$M:$M,"Not Found")</f>
        <v>1Z5063E0YW40897766</v>
      </c>
      <c r="X107" s="17" t="e">
        <f>_xlfn.XLOOKUP(Table2[[#This Row],[Adjusted Form '#]],[2]BILLED!$D:$D,[1]BILLED!$O:$O,"Not Found")</f>
        <v>#REF!</v>
      </c>
      <c r="Y107" s="17" t="e">
        <f>_xlfn.XLOOKUP(Table2[[#This Row],[Adjusted Form '#]],'[2]REJECTED ORDERS'!$D:$D,'[2]REJECTED ORDERS'!$E:$E)</f>
        <v>#N/A</v>
      </c>
      <c r="Z107" s="1"/>
      <c r="AA107" s="1"/>
      <c r="AB107" s="8"/>
      <c r="AC107" s="8"/>
      <c r="AD107" s="8"/>
      <c r="AE107" s="8"/>
      <c r="AF107" s="8"/>
      <c r="AG107" s="8"/>
      <c r="AH107" s="8"/>
      <c r="AI107" s="8"/>
      <c r="AJ107" s="8"/>
    </row>
    <row r="108" spans="1:36" ht="15" customHeight="1" x14ac:dyDescent="0.35">
      <c r="A108" s="4" t="s">
        <v>140</v>
      </c>
      <c r="B108" s="1" t="s">
        <v>3374</v>
      </c>
      <c r="C108" s="11">
        <v>44944</v>
      </c>
      <c r="D108" s="11" t="s">
        <v>3987</v>
      </c>
      <c r="E108" s="1" t="s">
        <v>21</v>
      </c>
      <c r="F108" s="1" t="s">
        <v>3997</v>
      </c>
      <c r="G108" s="6">
        <f>COUNTIF(F:F,Table2[[#This Row],[Form '#]])</f>
        <v>1</v>
      </c>
      <c r="H108" s="1" t="s">
        <v>3998</v>
      </c>
      <c r="I108" s="1" t="s">
        <v>3852</v>
      </c>
      <c r="J108" s="1" t="s">
        <v>80</v>
      </c>
      <c r="K108" s="1" t="s">
        <v>3853</v>
      </c>
      <c r="L108" s="1"/>
      <c r="M108" s="6" t="str">
        <f>IF(Table2[[#This Row],[Corrected Form '#
 (If Duplicated)]]="",Table2[[#This Row],[Form '#]],Table2[[#This Row],[Corrected Form '#
 (If Duplicated)]])</f>
        <v>7818-18731</v>
      </c>
      <c r="N108" s="1" t="s">
        <v>49</v>
      </c>
      <c r="O108" s="6" t="str">
        <f>IF(Table2[[#This Row],[POG CONFIRMATION RECEIPT OF ORDER
(DATE &amp; TIME)]]="","No Confirmation","Received Confirmation")</f>
        <v>Received Confirmation</v>
      </c>
      <c r="P108" s="6">
        <f ca="1">TODAY()-Table2[[#This Row],[DATE SENT TO POG]]</f>
        <v>359</v>
      </c>
      <c r="Q108" s="6" t="s">
        <v>5803</v>
      </c>
      <c r="R1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" s="2" t="str">
        <f>_xlfn.XLOOKUP(Table2[[#This Row],[Adjusted Form '#]],'[2]IN PROGRESS'!$D:$D,'[2]IN PROGRESS'!$M:$M,"Not Found")</f>
        <v>Not Found</v>
      </c>
      <c r="U108" s="2" t="str">
        <f>_xlfn.XLOOKUP(Table2[[#This Row],[Adjusted Form '#]],[1]COMPLETED!$D:$D,[2]COMPLETED!$M:$M,"Not Found")</f>
        <v>Not Found</v>
      </c>
      <c r="V108" s="17" t="str">
        <f>_xlfn.XLOOKUP(Table2[[#This Row],[Adjusted Form '#]],[2]COMPLETED!$D:$D,[2]COMPLETED!$O:$O,"Not Found")</f>
        <v>Not Found</v>
      </c>
      <c r="W108" s="2" t="str">
        <f>_xlfn.XLOOKUP(Table2[[#This Row],[Adjusted Form '#]],[2]BILLED!$D:$D,[2]BILLED!$M:$M,"Not Found")</f>
        <v>9400 1112 0620 7168 0671 26</v>
      </c>
      <c r="X108" s="17" t="e">
        <f>_xlfn.XLOOKUP(Table2[[#This Row],[Adjusted Form '#]],[2]BILLED!$D:$D,[1]BILLED!$O:$O,"Not Found")</f>
        <v>#REF!</v>
      </c>
      <c r="Y108" s="17" t="e">
        <f>_xlfn.XLOOKUP(Table2[[#This Row],[Adjusted Form '#]],'[2]REJECTED ORDERS'!$D:$D,'[2]REJECTED ORDERS'!$E:$E)</f>
        <v>#N/A</v>
      </c>
      <c r="Z108" s="1"/>
      <c r="AA108" s="1"/>
      <c r="AB108" s="8"/>
      <c r="AC108" s="8"/>
      <c r="AD108" s="8"/>
      <c r="AE108" s="8"/>
      <c r="AF108" s="8"/>
      <c r="AG108" s="8"/>
      <c r="AH108" s="8"/>
      <c r="AI108" s="8"/>
      <c r="AJ108" s="8"/>
    </row>
    <row r="109" spans="1:36" ht="15" customHeight="1" x14ac:dyDescent="0.35">
      <c r="A109" s="4" t="s">
        <v>141</v>
      </c>
      <c r="B109" s="1" t="s">
        <v>2607</v>
      </c>
      <c r="C109" s="11">
        <v>44944</v>
      </c>
      <c r="D109" s="11" t="s">
        <v>3987</v>
      </c>
      <c r="E109" s="1" t="s">
        <v>73</v>
      </c>
      <c r="F109" s="1" t="s">
        <v>3999</v>
      </c>
      <c r="G109" s="6">
        <f>COUNTIF(F:F,Table2[[#This Row],[Form '#]])</f>
        <v>1</v>
      </c>
      <c r="H109" s="1" t="s">
        <v>3443</v>
      </c>
      <c r="I109" s="1" t="s">
        <v>3852</v>
      </c>
      <c r="J109" s="1" t="s">
        <v>80</v>
      </c>
      <c r="K109" s="1" t="s">
        <v>3891</v>
      </c>
      <c r="L109" s="1"/>
      <c r="M109" s="6" t="str">
        <f>IF(Table2[[#This Row],[Corrected Form '#
 (If Duplicated)]]="",Table2[[#This Row],[Form '#]],Table2[[#This Row],[Corrected Form '#
 (If Duplicated)]])</f>
        <v>7823-03321</v>
      </c>
      <c r="N109" s="1" t="s">
        <v>49</v>
      </c>
      <c r="O109" s="6" t="str">
        <f>IF(Table2[[#This Row],[POG CONFIRMATION RECEIPT OF ORDER
(DATE &amp; TIME)]]="","No Confirmation","Received Confirmation")</f>
        <v>Received Confirmation</v>
      </c>
      <c r="P109" s="6">
        <f ca="1">TODAY()-Table2[[#This Row],[DATE SENT TO POG]]</f>
        <v>359</v>
      </c>
      <c r="Q109" s="6" t="s">
        <v>5803</v>
      </c>
      <c r="R1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" s="2" t="str">
        <f>_xlfn.XLOOKUP(Table2[[#This Row],[Adjusted Form '#]],'[2]IN PROGRESS'!$D:$D,'[2]IN PROGRESS'!$M:$M,"Not Found")</f>
        <v>Not Found</v>
      </c>
      <c r="U109" s="2" t="str">
        <f>_xlfn.XLOOKUP(Table2[[#This Row],[Adjusted Form '#]],[1]COMPLETED!$D:$D,[2]COMPLETED!$M:$M,"Not Found")</f>
        <v>Not Found</v>
      </c>
      <c r="V109" s="17" t="str">
        <f>_xlfn.XLOOKUP(Table2[[#This Row],[Adjusted Form '#]],[2]COMPLETED!$D:$D,[2]COMPLETED!$O:$O,"Not Found")</f>
        <v>Not Found</v>
      </c>
      <c r="W109" s="2" t="str">
        <f>_xlfn.XLOOKUP(Table2[[#This Row],[Adjusted Form '#]],[2]BILLED!$D:$D,[2]BILLED!$M:$M,"Not Found")</f>
        <v>1Z5063E0YW40159545</v>
      </c>
      <c r="X109" s="17" t="e">
        <f>_xlfn.XLOOKUP(Table2[[#This Row],[Adjusted Form '#]],[2]BILLED!$D:$D,[1]BILLED!$O:$O,"Not Found")</f>
        <v>#REF!</v>
      </c>
      <c r="Y109" s="17" t="str">
        <f>_xlfn.XLOOKUP(Table2[[#This Row],[Adjusted Form '#]],'[2]REJECTED ORDERS'!$D:$D,'[2]REJECTED ORDERS'!$E:$E)</f>
        <v>FORM NUMBER ALREADY USED</v>
      </c>
      <c r="Z109" s="1"/>
      <c r="AA109" s="1"/>
      <c r="AB109" s="8"/>
      <c r="AC109" s="8"/>
      <c r="AD109" s="8"/>
      <c r="AE109" s="8"/>
      <c r="AF109" s="8"/>
      <c r="AG109" s="8"/>
      <c r="AH109" s="8"/>
      <c r="AI109" s="8"/>
      <c r="AJ109" s="8"/>
    </row>
    <row r="110" spans="1:36" ht="15" customHeight="1" x14ac:dyDescent="0.35">
      <c r="A110" s="4" t="s">
        <v>142</v>
      </c>
      <c r="B110" s="1" t="s">
        <v>2697</v>
      </c>
      <c r="C110" s="11">
        <v>44944</v>
      </c>
      <c r="D110" s="11" t="s">
        <v>4000</v>
      </c>
      <c r="E110" s="1" t="s">
        <v>14</v>
      </c>
      <c r="F110" s="1" t="s">
        <v>4001</v>
      </c>
      <c r="G110" s="6">
        <f>COUNTIF(F:F,Table2[[#This Row],[Form '#]])</f>
        <v>1</v>
      </c>
      <c r="H110" s="1" t="s">
        <v>4002</v>
      </c>
      <c r="I110" s="1" t="s">
        <v>3864</v>
      </c>
      <c r="J110" s="1" t="s">
        <v>3891</v>
      </c>
      <c r="K110" s="1" t="s">
        <v>3879</v>
      </c>
      <c r="L110" s="1"/>
      <c r="M110" s="6" t="str">
        <f>IF(Table2[[#This Row],[Corrected Form '#
 (If Duplicated)]]="",Table2[[#This Row],[Form '#]],Table2[[#This Row],[Corrected Form '#
 (If Duplicated)]])</f>
        <v>7810-01558</v>
      </c>
      <c r="N110" s="1" t="s">
        <v>49</v>
      </c>
      <c r="O110" s="6" t="str">
        <f>IF(Table2[[#This Row],[POG CONFIRMATION RECEIPT OF ORDER
(DATE &amp; TIME)]]="","No Confirmation","Received Confirmation")</f>
        <v>Received Confirmation</v>
      </c>
      <c r="P110" s="6">
        <f ca="1">TODAY()-Table2[[#This Row],[DATE SENT TO POG]]</f>
        <v>359</v>
      </c>
      <c r="Q110" s="6" t="s">
        <v>5803</v>
      </c>
      <c r="R1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" s="2" t="str">
        <f>_xlfn.XLOOKUP(Table2[[#This Row],[Adjusted Form '#]],'[2]IN PROGRESS'!$D:$D,'[2]IN PROGRESS'!$M:$M,"Not Found")</f>
        <v>Not Found</v>
      </c>
      <c r="U110" s="2" t="str">
        <f>_xlfn.XLOOKUP(Table2[[#This Row],[Adjusted Form '#]],[1]COMPLETED!$D:$D,[2]COMPLETED!$M:$M,"Not Found")</f>
        <v>Not Found</v>
      </c>
      <c r="V110" s="17" t="str">
        <f>_xlfn.XLOOKUP(Table2[[#This Row],[Adjusted Form '#]],[2]COMPLETED!$D:$D,[2]COMPLETED!$O:$O,"Not Found")</f>
        <v>Not Found</v>
      </c>
      <c r="W110" s="2" t="str">
        <f>_xlfn.XLOOKUP(Table2[[#This Row],[Adjusted Form '#]],[2]BILLED!$D:$D,[2]BILLED!$M:$M,"Not Found")</f>
        <v>1Z5063E0YW41277193</v>
      </c>
      <c r="X110" s="17" t="e">
        <f>_xlfn.XLOOKUP(Table2[[#This Row],[Adjusted Form '#]],[2]BILLED!$D:$D,[1]BILLED!$O:$O,"Not Found")</f>
        <v>#REF!</v>
      </c>
      <c r="Y110" s="17" t="e">
        <f>_xlfn.XLOOKUP(Table2[[#This Row],[Adjusted Form '#]],'[2]REJECTED ORDERS'!$D:$D,'[2]REJECTED ORDERS'!$E:$E)</f>
        <v>#N/A</v>
      </c>
      <c r="Z110" s="1"/>
      <c r="AA110" s="1"/>
      <c r="AB110" s="8"/>
      <c r="AC110" s="8"/>
      <c r="AD110" s="8"/>
      <c r="AE110" s="8"/>
      <c r="AF110" s="8"/>
      <c r="AG110" s="8"/>
      <c r="AH110" s="8"/>
      <c r="AI110" s="8"/>
      <c r="AJ110" s="8"/>
    </row>
    <row r="111" spans="1:36" ht="15" customHeight="1" x14ac:dyDescent="0.35">
      <c r="A111" s="4" t="s">
        <v>143</v>
      </c>
      <c r="B111" s="1" t="s">
        <v>2697</v>
      </c>
      <c r="C111" s="11">
        <v>44944</v>
      </c>
      <c r="D111" s="11" t="s">
        <v>4000</v>
      </c>
      <c r="E111" s="1" t="s">
        <v>14</v>
      </c>
      <c r="F111" s="1" t="s">
        <v>4003</v>
      </c>
      <c r="G111" s="6">
        <f>COUNTIF(F:F,Table2[[#This Row],[Form '#]])</f>
        <v>1</v>
      </c>
      <c r="H111" s="1" t="s">
        <v>641</v>
      </c>
      <c r="I111" s="1" t="s">
        <v>3864</v>
      </c>
      <c r="J111" s="1" t="s">
        <v>3891</v>
      </c>
      <c r="K111" s="1" t="s">
        <v>3879</v>
      </c>
      <c r="L111" s="1"/>
      <c r="M111" s="6" t="str">
        <f>IF(Table2[[#This Row],[Corrected Form '#
 (If Duplicated)]]="",Table2[[#This Row],[Form '#]],Table2[[#This Row],[Corrected Form '#
 (If Duplicated)]])</f>
        <v>7810-01171</v>
      </c>
      <c r="N111" s="1" t="s">
        <v>49</v>
      </c>
      <c r="O111" s="6" t="str">
        <f>IF(Table2[[#This Row],[POG CONFIRMATION RECEIPT OF ORDER
(DATE &amp; TIME)]]="","No Confirmation","Received Confirmation")</f>
        <v>Received Confirmation</v>
      </c>
      <c r="P111" s="6">
        <f ca="1">TODAY()-Table2[[#This Row],[DATE SENT TO POG]]</f>
        <v>359</v>
      </c>
      <c r="Q111" s="6" t="s">
        <v>5803</v>
      </c>
      <c r="R1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" s="2" t="str">
        <f>_xlfn.XLOOKUP(Table2[[#This Row],[Adjusted Form '#]],'[2]IN PROGRESS'!$D:$D,'[2]IN PROGRESS'!$M:$M,"Not Found")</f>
        <v>Not Found</v>
      </c>
      <c r="U111" s="2" t="str">
        <f>_xlfn.XLOOKUP(Table2[[#This Row],[Adjusted Form '#]],[1]COMPLETED!$D:$D,[2]COMPLETED!$M:$M,"Not Found")</f>
        <v>Not Found</v>
      </c>
      <c r="V111" s="17" t="str">
        <f>_xlfn.XLOOKUP(Table2[[#This Row],[Adjusted Form '#]],[2]COMPLETED!$D:$D,[2]COMPLETED!$O:$O,"Not Found")</f>
        <v>Not Found</v>
      </c>
      <c r="W111" s="2" t="str">
        <f>_xlfn.XLOOKUP(Table2[[#This Row],[Adjusted Form '#]],[2]BILLED!$D:$D,[2]BILLED!$M:$M,"Not Found")</f>
        <v>1Z5063E0YW41276907</v>
      </c>
      <c r="X111" s="17" t="e">
        <f>_xlfn.XLOOKUP(Table2[[#This Row],[Adjusted Form '#]],[2]BILLED!$D:$D,[1]BILLED!$O:$O,"Not Found")</f>
        <v>#REF!</v>
      </c>
      <c r="Y111" s="17" t="e">
        <f>_xlfn.XLOOKUP(Table2[[#This Row],[Adjusted Form '#]],'[2]REJECTED ORDERS'!$D:$D,'[2]REJECTED ORDERS'!$E:$E)</f>
        <v>#N/A</v>
      </c>
      <c r="Z111" s="1"/>
      <c r="AA111" s="1"/>
      <c r="AB111" s="8"/>
      <c r="AC111" s="8"/>
      <c r="AD111" s="8"/>
      <c r="AE111" s="8"/>
      <c r="AF111" s="8"/>
      <c r="AG111" s="8"/>
      <c r="AH111" s="8"/>
      <c r="AI111" s="8"/>
      <c r="AJ111" s="8"/>
    </row>
    <row r="112" spans="1:36" ht="15" customHeight="1" x14ac:dyDescent="0.35">
      <c r="A112" s="4" t="s">
        <v>144</v>
      </c>
      <c r="B112" s="1" t="s">
        <v>2697</v>
      </c>
      <c r="C112" s="11">
        <v>44944</v>
      </c>
      <c r="D112" s="11" t="s">
        <v>4000</v>
      </c>
      <c r="E112" s="1" t="s">
        <v>14</v>
      </c>
      <c r="F112" s="1" t="s">
        <v>4004</v>
      </c>
      <c r="G112" s="6">
        <f>COUNTIF(F:F,Table2[[#This Row],[Form '#]])</f>
        <v>1</v>
      </c>
      <c r="H112" s="1" t="s">
        <v>4005</v>
      </c>
      <c r="I112" s="1" t="s">
        <v>177</v>
      </c>
      <c r="J112" s="1" t="s">
        <v>75</v>
      </c>
      <c r="K112" s="1" t="s">
        <v>3853</v>
      </c>
      <c r="L112" s="1"/>
      <c r="M112" s="6" t="str">
        <f>IF(Table2[[#This Row],[Corrected Form '#
 (If Duplicated)]]="",Table2[[#This Row],[Form '#]],Table2[[#This Row],[Corrected Form '#
 (If Duplicated)]])</f>
        <v>7810-00506</v>
      </c>
      <c r="N112" s="1" t="s">
        <v>49</v>
      </c>
      <c r="O112" s="6" t="str">
        <f>IF(Table2[[#This Row],[POG CONFIRMATION RECEIPT OF ORDER
(DATE &amp; TIME)]]="","No Confirmation","Received Confirmation")</f>
        <v>Received Confirmation</v>
      </c>
      <c r="P112" s="6">
        <f ca="1">TODAY()-Table2[[#This Row],[DATE SENT TO POG]]</f>
        <v>359</v>
      </c>
      <c r="Q112" s="6" t="s">
        <v>5803</v>
      </c>
      <c r="R1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" s="2" t="str">
        <f>_xlfn.XLOOKUP(Table2[[#This Row],[Adjusted Form '#]],'[2]IN PROGRESS'!$D:$D,'[2]IN PROGRESS'!$M:$M,"Not Found")</f>
        <v>Not Found</v>
      </c>
      <c r="U112" s="2" t="str">
        <f>_xlfn.XLOOKUP(Table2[[#This Row],[Adjusted Form '#]],[1]COMPLETED!$D:$D,[2]COMPLETED!$M:$M,"Not Found")</f>
        <v>Not Found</v>
      </c>
      <c r="V112" s="17" t="str">
        <f>_xlfn.XLOOKUP(Table2[[#This Row],[Adjusted Form '#]],[2]COMPLETED!$D:$D,[2]COMPLETED!$O:$O,"Not Found")</f>
        <v>Not Found</v>
      </c>
      <c r="W112" s="2" t="str">
        <f>_xlfn.XLOOKUP(Table2[[#This Row],[Adjusted Form '#]],[2]BILLED!$D:$D,[2]BILLED!$M:$M,"Not Found")</f>
        <v>1Z5063E0YW40688376</v>
      </c>
      <c r="X112" s="17" t="e">
        <f>_xlfn.XLOOKUP(Table2[[#This Row],[Adjusted Form '#]],[2]BILLED!$D:$D,[1]BILLED!$O:$O,"Not Found")</f>
        <v>#REF!</v>
      </c>
      <c r="Y112" s="17" t="e">
        <f>_xlfn.XLOOKUP(Table2[[#This Row],[Adjusted Form '#]],'[2]REJECTED ORDERS'!$D:$D,'[2]REJECTED ORDERS'!$E:$E)</f>
        <v>#N/A</v>
      </c>
      <c r="Z112" s="1"/>
      <c r="AA112" s="1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1:36" ht="15" customHeight="1" x14ac:dyDescent="0.35">
      <c r="A113" s="4" t="s">
        <v>145</v>
      </c>
      <c r="B113" s="1" t="s">
        <v>4006</v>
      </c>
      <c r="C113" s="11">
        <v>44944</v>
      </c>
      <c r="D113" s="11" t="s">
        <v>4000</v>
      </c>
      <c r="E113" s="1" t="s">
        <v>21</v>
      </c>
      <c r="F113" s="1" t="s">
        <v>4007</v>
      </c>
      <c r="G113" s="6">
        <f>COUNTIF(F:F,Table2[[#This Row],[Form '#]])</f>
        <v>1</v>
      </c>
      <c r="H113" s="1" t="s">
        <v>2602</v>
      </c>
      <c r="I113" s="1" t="s">
        <v>3864</v>
      </c>
      <c r="J113" s="1" t="s">
        <v>3891</v>
      </c>
      <c r="K113" s="1" t="s">
        <v>3891</v>
      </c>
      <c r="L113" s="1"/>
      <c r="M113" s="6" t="str">
        <f>IF(Table2[[#This Row],[Corrected Form '#
 (If Duplicated)]]="",Table2[[#This Row],[Form '#]],Table2[[#This Row],[Corrected Form '#
 (If Duplicated)]])</f>
        <v>7818-25986</v>
      </c>
      <c r="N113" s="1" t="s">
        <v>49</v>
      </c>
      <c r="O113" s="6" t="str">
        <f>IF(Table2[[#This Row],[POG CONFIRMATION RECEIPT OF ORDER
(DATE &amp; TIME)]]="","No Confirmation","Received Confirmation")</f>
        <v>Received Confirmation</v>
      </c>
      <c r="P113" s="6">
        <f ca="1">TODAY()-Table2[[#This Row],[DATE SENT TO POG]]</f>
        <v>359</v>
      </c>
      <c r="Q113" s="6" t="s">
        <v>5803</v>
      </c>
      <c r="R1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" s="2" t="str">
        <f>_xlfn.XLOOKUP(Table2[[#This Row],[Adjusted Form '#]],'[2]IN PROGRESS'!$D:$D,'[2]IN PROGRESS'!$M:$M,"Not Found")</f>
        <v>Not Found</v>
      </c>
      <c r="U113" s="2" t="str">
        <f>_xlfn.XLOOKUP(Table2[[#This Row],[Adjusted Form '#]],[1]COMPLETED!$D:$D,[2]COMPLETED!$M:$M,"Not Found")</f>
        <v>Not Found</v>
      </c>
      <c r="V113" s="17" t="str">
        <f>_xlfn.XLOOKUP(Table2[[#This Row],[Adjusted Form '#]],[2]COMPLETED!$D:$D,[2]COMPLETED!$O:$O,"Not Found")</f>
        <v>Not Found</v>
      </c>
      <c r="W113" s="2" t="str">
        <f>_xlfn.XLOOKUP(Table2[[#This Row],[Adjusted Form '#]],[2]BILLED!$D:$D,[2]BILLED!$M:$M,"Not Found")</f>
        <v>1Z5063E0YW42590422</v>
      </c>
      <c r="X113" s="17" t="e">
        <f>_xlfn.XLOOKUP(Table2[[#This Row],[Adjusted Form '#]],[2]BILLED!$D:$D,[1]BILLED!$O:$O,"Not Found")</f>
        <v>#REF!</v>
      </c>
      <c r="Y113" s="17" t="e">
        <f>_xlfn.XLOOKUP(Table2[[#This Row],[Adjusted Form '#]],'[2]REJECTED ORDERS'!$D:$D,'[2]REJECTED ORDERS'!$E:$E)</f>
        <v>#N/A</v>
      </c>
      <c r="Z113" s="1"/>
      <c r="AA113" s="1"/>
      <c r="AB113" s="8"/>
      <c r="AC113" s="8"/>
      <c r="AD113" s="8"/>
      <c r="AE113" s="8"/>
      <c r="AF113" s="8"/>
      <c r="AG113" s="8"/>
      <c r="AH113" s="8"/>
      <c r="AI113" s="8"/>
      <c r="AJ113" s="8"/>
    </row>
    <row r="114" spans="1:36" ht="15" customHeight="1" x14ac:dyDescent="0.35">
      <c r="A114" s="4" t="s">
        <v>147</v>
      </c>
      <c r="B114" s="1" t="s">
        <v>1272</v>
      </c>
      <c r="C114" s="11">
        <v>44945</v>
      </c>
      <c r="E114" s="1" t="s">
        <v>21</v>
      </c>
      <c r="F114" s="1" t="s">
        <v>4008</v>
      </c>
      <c r="G114" s="6">
        <f>COUNTIF(F:F,Table2[[#This Row],[Form '#]])</f>
        <v>1</v>
      </c>
      <c r="H114" s="1" t="s">
        <v>4009</v>
      </c>
      <c r="I114" s="1" t="s">
        <v>3864</v>
      </c>
      <c r="J114" s="1" t="s">
        <v>78</v>
      </c>
      <c r="K114" s="1" t="s">
        <v>3879</v>
      </c>
      <c r="L114" s="1"/>
      <c r="M114" s="6" t="str">
        <f>IF(Table2[[#This Row],[Corrected Form '#
 (If Duplicated)]]="",Table2[[#This Row],[Form '#]],Table2[[#This Row],[Corrected Form '#
 (If Duplicated)]])</f>
        <v>7818-27024</v>
      </c>
      <c r="N114" s="1" t="s">
        <v>49</v>
      </c>
      <c r="O114" s="6" t="str">
        <f>IF(Table2[[#This Row],[POG CONFIRMATION RECEIPT OF ORDER
(DATE &amp; TIME)]]="","No Confirmation","Received Confirmation")</f>
        <v>No Confirmation</v>
      </c>
      <c r="P114" s="6">
        <f ca="1">TODAY()-Table2[[#This Row],[DATE SENT TO POG]]</f>
        <v>358</v>
      </c>
      <c r="Q114" s="6" t="s">
        <v>5803</v>
      </c>
      <c r="R1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" s="2" t="str">
        <f>_xlfn.XLOOKUP(Table2[[#This Row],[Adjusted Form '#]],'[2]IN PROGRESS'!$D:$D,'[2]IN PROGRESS'!$M:$M,"Not Found")</f>
        <v>Not Found</v>
      </c>
      <c r="U114" s="2" t="str">
        <f>_xlfn.XLOOKUP(Table2[[#This Row],[Adjusted Form '#]],[1]COMPLETED!$D:$D,[2]COMPLETED!$M:$M,"Not Found")</f>
        <v>Not Found</v>
      </c>
      <c r="V114" s="17" t="str">
        <f>_xlfn.XLOOKUP(Table2[[#This Row],[Adjusted Form '#]],[2]COMPLETED!$D:$D,[2]COMPLETED!$O:$O,"Not Found")</f>
        <v>Not Found</v>
      </c>
      <c r="W114" s="2" t="str">
        <f>_xlfn.XLOOKUP(Table2[[#This Row],[Adjusted Form '#]],[2]BILLED!$D:$D,[2]BILLED!$M:$M,"Not Found")</f>
        <v>1Z5063E0YW40902633</v>
      </c>
      <c r="X114" s="17" t="e">
        <f>_xlfn.XLOOKUP(Table2[[#This Row],[Adjusted Form '#]],[2]BILLED!$D:$D,[1]BILLED!$O:$O,"Not Found")</f>
        <v>#REF!</v>
      </c>
      <c r="Y114" s="17" t="e">
        <f>_xlfn.XLOOKUP(Table2[[#This Row],[Adjusted Form '#]],'[2]REJECTED ORDERS'!$D:$D,'[2]REJECTED ORDERS'!$E:$E)</f>
        <v>#N/A</v>
      </c>
      <c r="Z114" s="1"/>
      <c r="AA114" s="1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1:36" ht="15" customHeight="1" x14ac:dyDescent="0.35">
      <c r="A115" s="4" t="s">
        <v>148</v>
      </c>
      <c r="B115" s="1" t="s">
        <v>1572</v>
      </c>
      <c r="C115" s="11">
        <v>44945</v>
      </c>
      <c r="E115" s="1" t="s">
        <v>191</v>
      </c>
      <c r="F115" s="1" t="s">
        <v>4010</v>
      </c>
      <c r="G115" s="6">
        <f>COUNTIF(F:F,Table2[[#This Row],[Form '#]])</f>
        <v>1</v>
      </c>
      <c r="H115" s="1" t="s">
        <v>3481</v>
      </c>
      <c r="I115" s="1" t="s">
        <v>127</v>
      </c>
      <c r="J115" s="1" t="s">
        <v>76</v>
      </c>
      <c r="K115" s="1" t="s">
        <v>4011</v>
      </c>
      <c r="L115" s="1"/>
      <c r="M115" s="6" t="str">
        <f>IF(Table2[[#This Row],[Corrected Form '#
 (If Duplicated)]]="",Table2[[#This Row],[Form '#]],Table2[[#This Row],[Corrected Form '#
 (If Duplicated)]])</f>
        <v>7812-02070</v>
      </c>
      <c r="N115" s="1" t="s">
        <v>49</v>
      </c>
      <c r="O115" s="6" t="str">
        <f>IF(Table2[[#This Row],[POG CONFIRMATION RECEIPT OF ORDER
(DATE &amp; TIME)]]="","No Confirmation","Received Confirmation")</f>
        <v>No Confirmation</v>
      </c>
      <c r="P115" s="6">
        <f ca="1">TODAY()-Table2[[#This Row],[DATE SENT TO POG]]</f>
        <v>358</v>
      </c>
      <c r="Q115" s="6" t="s">
        <v>5803</v>
      </c>
      <c r="R1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" s="2" t="str">
        <f>_xlfn.XLOOKUP(Table2[[#This Row],[Adjusted Form '#]],'[2]IN PROGRESS'!$D:$D,'[2]IN PROGRESS'!$M:$M,"Not Found")</f>
        <v>Not Found</v>
      </c>
      <c r="U115" s="2" t="str">
        <f>_xlfn.XLOOKUP(Table2[[#This Row],[Adjusted Form '#]],[1]COMPLETED!$D:$D,[2]COMPLETED!$M:$M,"Not Found")</f>
        <v>Not Found</v>
      </c>
      <c r="V115" s="17" t="str">
        <f>_xlfn.XLOOKUP(Table2[[#This Row],[Adjusted Form '#]],[2]COMPLETED!$D:$D,[2]COMPLETED!$O:$O,"Not Found")</f>
        <v>Not Found</v>
      </c>
      <c r="W115" s="2" t="str">
        <f>_xlfn.XLOOKUP(Table2[[#This Row],[Adjusted Form '#]],[2]BILLED!$D:$D,[2]BILLED!$M:$M,"Not Found")</f>
        <v>1Z5063E0YW42280641</v>
      </c>
      <c r="X115" s="17" t="e">
        <f>_xlfn.XLOOKUP(Table2[[#This Row],[Adjusted Form '#]],[2]BILLED!$D:$D,[1]BILLED!$O:$O,"Not Found")</f>
        <v>#REF!</v>
      </c>
      <c r="Y115" s="17" t="e">
        <f>_xlfn.XLOOKUP(Table2[[#This Row],[Adjusted Form '#]],'[2]REJECTED ORDERS'!$D:$D,'[2]REJECTED ORDERS'!$E:$E)</f>
        <v>#N/A</v>
      </c>
      <c r="Z115" s="1"/>
      <c r="AA115" s="1"/>
      <c r="AB115" s="8"/>
      <c r="AC115" s="8"/>
      <c r="AD115" s="8"/>
      <c r="AE115" s="8"/>
      <c r="AF115" s="8"/>
      <c r="AG115" s="8"/>
      <c r="AH115" s="8"/>
      <c r="AI115" s="8"/>
      <c r="AJ115" s="8"/>
    </row>
    <row r="116" spans="1:36" ht="15" customHeight="1" x14ac:dyDescent="0.35">
      <c r="A116" s="4" t="s">
        <v>149</v>
      </c>
      <c r="B116" s="1" t="s">
        <v>1572</v>
      </c>
      <c r="C116" s="11">
        <v>44945</v>
      </c>
      <c r="E116" s="1" t="s">
        <v>191</v>
      </c>
      <c r="F116" s="1" t="s">
        <v>4012</v>
      </c>
      <c r="G116" s="6">
        <f>COUNTIF(F:F,Table2[[#This Row],[Form '#]])</f>
        <v>1</v>
      </c>
      <c r="H116" s="1" t="s">
        <v>4013</v>
      </c>
      <c r="I116" s="1" t="s">
        <v>177</v>
      </c>
      <c r="J116" s="1" t="s">
        <v>75</v>
      </c>
      <c r="K116" s="1" t="s">
        <v>4011</v>
      </c>
      <c r="L116" s="1"/>
      <c r="M116" s="6" t="str">
        <f>IF(Table2[[#This Row],[Corrected Form '#
 (If Duplicated)]]="",Table2[[#This Row],[Form '#]],Table2[[#This Row],[Corrected Form '#
 (If Duplicated)]])</f>
        <v>7812-03375</v>
      </c>
      <c r="N116" s="1" t="s">
        <v>49</v>
      </c>
      <c r="O116" s="6" t="str">
        <f>IF(Table2[[#This Row],[POG CONFIRMATION RECEIPT OF ORDER
(DATE &amp; TIME)]]="","No Confirmation","Received Confirmation")</f>
        <v>No Confirmation</v>
      </c>
      <c r="P116" s="6">
        <f ca="1">TODAY()-Table2[[#This Row],[DATE SENT TO POG]]</f>
        <v>358</v>
      </c>
      <c r="Q116" s="6" t="s">
        <v>5803</v>
      </c>
      <c r="R1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" s="2" t="str">
        <f>_xlfn.XLOOKUP(Table2[[#This Row],[Adjusted Form '#]],'[2]IN PROGRESS'!$D:$D,'[2]IN PROGRESS'!$M:$M,"Not Found")</f>
        <v>Not Found</v>
      </c>
      <c r="U116" s="2" t="str">
        <f>_xlfn.XLOOKUP(Table2[[#This Row],[Adjusted Form '#]],[1]COMPLETED!$D:$D,[2]COMPLETED!$M:$M,"Not Found")</f>
        <v>Not Found</v>
      </c>
      <c r="V116" s="17" t="str">
        <f>_xlfn.XLOOKUP(Table2[[#This Row],[Adjusted Form '#]],[2]COMPLETED!$D:$D,[2]COMPLETED!$O:$O,"Not Found")</f>
        <v>Not Found</v>
      </c>
      <c r="W116" s="2" t="str">
        <f>_xlfn.XLOOKUP(Table2[[#This Row],[Adjusted Form '#]],[2]BILLED!$D:$D,[2]BILLED!$M:$M,"Not Found")</f>
        <v>1Z5063E0YW40264127</v>
      </c>
      <c r="X116" s="17" t="e">
        <f>_xlfn.XLOOKUP(Table2[[#This Row],[Adjusted Form '#]],[2]BILLED!$D:$D,[1]BILLED!$O:$O,"Not Found")</f>
        <v>#REF!</v>
      </c>
      <c r="Y116" s="17" t="e">
        <f>_xlfn.XLOOKUP(Table2[[#This Row],[Adjusted Form '#]],'[2]REJECTED ORDERS'!$D:$D,'[2]REJECTED ORDERS'!$E:$E)</f>
        <v>#N/A</v>
      </c>
      <c r="Z116" s="1"/>
      <c r="AA116" s="1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1:36" ht="15" customHeight="1" x14ac:dyDescent="0.35">
      <c r="A117" s="4" t="s">
        <v>150</v>
      </c>
      <c r="B117" s="1" t="s">
        <v>1572</v>
      </c>
      <c r="C117" s="11">
        <v>44945</v>
      </c>
      <c r="E117" s="1" t="s">
        <v>191</v>
      </c>
      <c r="F117" s="1" t="s">
        <v>4014</v>
      </c>
      <c r="G117" s="6">
        <f>COUNTIF(F:F,Table2[[#This Row],[Form '#]])</f>
        <v>1</v>
      </c>
      <c r="H117" s="1" t="s">
        <v>4015</v>
      </c>
      <c r="I117" s="1" t="s">
        <v>127</v>
      </c>
      <c r="J117" s="1" t="s">
        <v>71</v>
      </c>
      <c r="K117" s="1" t="s">
        <v>4011</v>
      </c>
      <c r="L117" s="1"/>
      <c r="M117" s="6" t="str">
        <f>IF(Table2[[#This Row],[Corrected Form '#
 (If Duplicated)]]="",Table2[[#This Row],[Form '#]],Table2[[#This Row],[Corrected Form '#
 (If Duplicated)]])</f>
        <v>7812-03393</v>
      </c>
      <c r="N117" s="1" t="s">
        <v>49</v>
      </c>
      <c r="O117" s="6" t="str">
        <f>IF(Table2[[#This Row],[POG CONFIRMATION RECEIPT OF ORDER
(DATE &amp; TIME)]]="","No Confirmation","Received Confirmation")</f>
        <v>No Confirmation</v>
      </c>
      <c r="P117" s="6">
        <f ca="1">TODAY()-Table2[[#This Row],[DATE SENT TO POG]]</f>
        <v>358</v>
      </c>
      <c r="Q117" s="6" t="s">
        <v>5803</v>
      </c>
      <c r="R1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" s="2" t="str">
        <f>_xlfn.XLOOKUP(Table2[[#This Row],[Adjusted Form '#]],'[2]IN PROGRESS'!$D:$D,'[2]IN PROGRESS'!$M:$M,"Not Found")</f>
        <v>Not Found</v>
      </c>
      <c r="U117" s="2" t="str">
        <f>_xlfn.XLOOKUP(Table2[[#This Row],[Adjusted Form '#]],[1]COMPLETED!$D:$D,[2]COMPLETED!$M:$M,"Not Found")</f>
        <v>Not Found</v>
      </c>
      <c r="V117" s="17" t="str">
        <f>_xlfn.XLOOKUP(Table2[[#This Row],[Adjusted Form '#]],[2]COMPLETED!$D:$D,[2]COMPLETED!$O:$O,"Not Found")</f>
        <v>Not Found</v>
      </c>
      <c r="W117" s="2" t="str">
        <f>_xlfn.XLOOKUP(Table2[[#This Row],[Adjusted Form '#]],[2]BILLED!$D:$D,[2]BILLED!$M:$M,"Not Found")</f>
        <v>1Z5063E0YW40651959</v>
      </c>
      <c r="X117" s="17" t="e">
        <f>_xlfn.XLOOKUP(Table2[[#This Row],[Adjusted Form '#]],[2]BILLED!$D:$D,[1]BILLED!$O:$O,"Not Found")</f>
        <v>#REF!</v>
      </c>
      <c r="Y117" s="17" t="e">
        <f>_xlfn.XLOOKUP(Table2[[#This Row],[Adjusted Form '#]],'[2]REJECTED ORDERS'!$D:$D,'[2]REJECTED ORDERS'!$E:$E)</f>
        <v>#N/A</v>
      </c>
      <c r="Z117" s="1"/>
      <c r="AA117" s="1"/>
      <c r="AB117" s="8"/>
      <c r="AC117" s="8"/>
      <c r="AD117" s="8"/>
      <c r="AE117" s="8"/>
      <c r="AF117" s="8"/>
      <c r="AG117" s="8"/>
      <c r="AH117" s="8"/>
      <c r="AI117" s="8"/>
      <c r="AJ117" s="8"/>
    </row>
    <row r="118" spans="1:36" ht="15" customHeight="1" x14ac:dyDescent="0.35">
      <c r="A118" s="4" t="s">
        <v>152</v>
      </c>
      <c r="B118" s="1" t="s">
        <v>3220</v>
      </c>
      <c r="C118" s="11">
        <v>44945</v>
      </c>
      <c r="E118" s="1" t="s">
        <v>21</v>
      </c>
      <c r="F118" s="1" t="s">
        <v>4016</v>
      </c>
      <c r="G118" s="6">
        <f>COUNTIF(F:F,Table2[[#This Row],[Form '#]])</f>
        <v>1</v>
      </c>
      <c r="H118" s="1" t="s">
        <v>4017</v>
      </c>
      <c r="I118" s="1" t="s">
        <v>3852</v>
      </c>
      <c r="J118" s="1" t="s">
        <v>80</v>
      </c>
      <c r="K118" s="1" t="s">
        <v>3853</v>
      </c>
      <c r="L118" s="1"/>
      <c r="M118" s="6" t="str">
        <f>IF(Table2[[#This Row],[Corrected Form '#
 (If Duplicated)]]="",Table2[[#This Row],[Form '#]],Table2[[#This Row],[Corrected Form '#
 (If Duplicated)]])</f>
        <v>7818-25977</v>
      </c>
      <c r="N118" s="1" t="s">
        <v>49</v>
      </c>
      <c r="O118" s="6" t="str">
        <f>IF(Table2[[#This Row],[POG CONFIRMATION RECEIPT OF ORDER
(DATE &amp; TIME)]]="","No Confirmation","Received Confirmation")</f>
        <v>No Confirmation</v>
      </c>
      <c r="P118" s="6">
        <f ca="1">TODAY()-Table2[[#This Row],[DATE SENT TO POG]]</f>
        <v>358</v>
      </c>
      <c r="Q118" s="6" t="s">
        <v>5803</v>
      </c>
      <c r="R1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8" s="2" t="str">
        <f>_xlfn.XLOOKUP(Table2[[#This Row],[Adjusted Form '#]],'[2]IN PROGRESS'!$D:$D,'[2]IN PROGRESS'!$M:$M,"Not Found")</f>
        <v>Not Found</v>
      </c>
      <c r="U118" s="2" t="str">
        <f>_xlfn.XLOOKUP(Table2[[#This Row],[Adjusted Form '#]],[1]COMPLETED!$D:$D,[2]COMPLETED!$M:$M,"Not Found")</f>
        <v>Not Found</v>
      </c>
      <c r="V118" s="17" t="str">
        <f>_xlfn.XLOOKUP(Table2[[#This Row],[Adjusted Form '#]],[2]COMPLETED!$D:$D,[2]COMPLETED!$O:$O,"Not Found")</f>
        <v>Not Found</v>
      </c>
      <c r="W118" s="2" t="str">
        <f>_xlfn.XLOOKUP(Table2[[#This Row],[Adjusted Form '#]],[2]BILLED!$D:$D,[2]BILLED!$M:$M,"Not Found")</f>
        <v>1Z5063E0YW42254296</v>
      </c>
      <c r="X118" s="17" t="e">
        <f>_xlfn.XLOOKUP(Table2[[#This Row],[Adjusted Form '#]],[2]BILLED!$D:$D,[1]BILLED!$O:$O,"Not Found")</f>
        <v>#REF!</v>
      </c>
      <c r="Y118" s="17" t="str">
        <f>_xlfn.XLOOKUP(Table2[[#This Row],[Adjusted Form '#]],'[2]REJECTED ORDERS'!$D:$D,'[2]REJECTED ORDERS'!$E:$E)</f>
        <v>FORM NUMBER ALREADY USED</v>
      </c>
      <c r="Z118" s="1"/>
      <c r="AA118" s="1"/>
      <c r="AB118" s="8"/>
      <c r="AC118" s="8"/>
      <c r="AD118" s="8"/>
      <c r="AE118" s="8"/>
      <c r="AF118" s="8"/>
      <c r="AG118" s="8"/>
      <c r="AH118" s="8"/>
      <c r="AI118" s="8"/>
      <c r="AJ118" s="8"/>
    </row>
    <row r="119" spans="1:36" ht="15" customHeight="1" x14ac:dyDescent="0.35">
      <c r="A119" s="4" t="s">
        <v>153</v>
      </c>
      <c r="B119" s="1" t="s">
        <v>3220</v>
      </c>
      <c r="C119" s="11">
        <v>44945</v>
      </c>
      <c r="E119" s="1" t="s">
        <v>21</v>
      </c>
      <c r="F119" s="1" t="s">
        <v>4018</v>
      </c>
      <c r="G119" s="6">
        <f>COUNTIF(F:F,Table2[[#This Row],[Form '#]])</f>
        <v>1</v>
      </c>
      <c r="H119" s="1" t="s">
        <v>4019</v>
      </c>
      <c r="I119" s="1" t="s">
        <v>3864</v>
      </c>
      <c r="J119" s="1" t="s">
        <v>78</v>
      </c>
      <c r="K119" s="1" t="s">
        <v>3879</v>
      </c>
      <c r="L119" s="1"/>
      <c r="M119" s="6" t="str">
        <f>IF(Table2[[#This Row],[Corrected Form '#
 (If Duplicated)]]="",Table2[[#This Row],[Form '#]],Table2[[#This Row],[Corrected Form '#
 (If Duplicated)]])</f>
        <v>7818-22411</v>
      </c>
      <c r="N119" s="1" t="s">
        <v>49</v>
      </c>
      <c r="O119" s="6" t="str">
        <f>IF(Table2[[#This Row],[POG CONFIRMATION RECEIPT OF ORDER
(DATE &amp; TIME)]]="","No Confirmation","Received Confirmation")</f>
        <v>No Confirmation</v>
      </c>
      <c r="P119" s="6">
        <f ca="1">TODAY()-Table2[[#This Row],[DATE SENT TO POG]]</f>
        <v>358</v>
      </c>
      <c r="Q119" s="6" t="s">
        <v>5803</v>
      </c>
      <c r="R1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" s="2" t="str">
        <f>_xlfn.XLOOKUP(Table2[[#This Row],[Adjusted Form '#]],'[2]IN PROGRESS'!$D:$D,'[2]IN PROGRESS'!$M:$M,"Not Found")</f>
        <v>Not Found</v>
      </c>
      <c r="U119" s="2" t="str">
        <f>_xlfn.XLOOKUP(Table2[[#This Row],[Adjusted Form '#]],[1]COMPLETED!$D:$D,[2]COMPLETED!$M:$M,"Not Found")</f>
        <v>Not Found</v>
      </c>
      <c r="V119" s="17" t="str">
        <f>_xlfn.XLOOKUP(Table2[[#This Row],[Adjusted Form '#]],[2]COMPLETED!$D:$D,[2]COMPLETED!$O:$O,"Not Found")</f>
        <v>Not Found</v>
      </c>
      <c r="W119" s="2" t="str">
        <f>_xlfn.XLOOKUP(Table2[[#This Row],[Adjusted Form '#]],[2]BILLED!$D:$D,[2]BILLED!$M:$M,"Not Found")</f>
        <v>9400 1112 0620 7156 4835 01</v>
      </c>
      <c r="X119" s="17" t="e">
        <f>_xlfn.XLOOKUP(Table2[[#This Row],[Adjusted Form '#]],[2]BILLED!$D:$D,[1]BILLED!$O:$O,"Not Found")</f>
        <v>#REF!</v>
      </c>
      <c r="Y119" s="17" t="str">
        <f>_xlfn.XLOOKUP(Table2[[#This Row],[Adjusted Form '#]],'[2]REJECTED ORDERS'!$D:$D,'[2]REJECTED ORDERS'!$E:$E)</f>
        <v>FORM NUMBER ALREADY USED</v>
      </c>
      <c r="Z119" s="1"/>
      <c r="AA119" s="1"/>
      <c r="AB119" s="8"/>
      <c r="AC119" s="8"/>
      <c r="AD119" s="8"/>
      <c r="AE119" s="8"/>
      <c r="AF119" s="8"/>
      <c r="AG119" s="8"/>
      <c r="AH119" s="8"/>
      <c r="AI119" s="8"/>
      <c r="AJ119" s="8"/>
    </row>
    <row r="120" spans="1:36" ht="15" customHeight="1" x14ac:dyDescent="0.35">
      <c r="A120" s="4" t="s">
        <v>154</v>
      </c>
      <c r="B120" s="1" t="s">
        <v>3220</v>
      </c>
      <c r="C120" s="11">
        <v>44945</v>
      </c>
      <c r="E120" s="1" t="s">
        <v>21</v>
      </c>
      <c r="F120" s="1" t="s">
        <v>4020</v>
      </c>
      <c r="G120" s="6">
        <f>COUNTIF(F:F,Table2[[#This Row],[Form '#]])</f>
        <v>1</v>
      </c>
      <c r="H120" s="1" t="s">
        <v>3341</v>
      </c>
      <c r="I120" s="1" t="s">
        <v>3864</v>
      </c>
      <c r="J120" s="1" t="s">
        <v>78</v>
      </c>
      <c r="K120" s="1" t="s">
        <v>3879</v>
      </c>
      <c r="L120" s="1"/>
      <c r="M120" s="6" t="str">
        <f>IF(Table2[[#This Row],[Corrected Form '#
 (If Duplicated)]]="",Table2[[#This Row],[Form '#]],Table2[[#This Row],[Corrected Form '#
 (If Duplicated)]])</f>
        <v>7818-17291</v>
      </c>
      <c r="N120" s="1" t="s">
        <v>49</v>
      </c>
      <c r="O120" s="6" t="str">
        <f>IF(Table2[[#This Row],[POG CONFIRMATION RECEIPT OF ORDER
(DATE &amp; TIME)]]="","No Confirmation","Received Confirmation")</f>
        <v>No Confirmation</v>
      </c>
      <c r="P120" s="6">
        <f ca="1">TODAY()-Table2[[#This Row],[DATE SENT TO POG]]</f>
        <v>358</v>
      </c>
      <c r="Q120" s="6" t="s">
        <v>5803</v>
      </c>
      <c r="R1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" s="2" t="str">
        <f>_xlfn.XLOOKUP(Table2[[#This Row],[Adjusted Form '#]],'[2]IN PROGRESS'!$D:$D,'[2]IN PROGRESS'!$M:$M,"Not Found")</f>
        <v>Not Found</v>
      </c>
      <c r="U120" s="2" t="str">
        <f>_xlfn.XLOOKUP(Table2[[#This Row],[Adjusted Form '#]],[1]COMPLETED!$D:$D,[2]COMPLETED!$M:$M,"Not Found")</f>
        <v>Not Found</v>
      </c>
      <c r="V120" s="17" t="str">
        <f>_xlfn.XLOOKUP(Table2[[#This Row],[Adjusted Form '#]],[2]COMPLETED!$D:$D,[2]COMPLETED!$O:$O,"Not Found")</f>
        <v>Not Found</v>
      </c>
      <c r="W120" s="2" t="str">
        <f>_xlfn.XLOOKUP(Table2[[#This Row],[Adjusted Form '#]],[2]BILLED!$D:$D,[2]BILLED!$M:$M,"Not Found")</f>
        <v>1Z5063E0YW40689786</v>
      </c>
      <c r="X120" s="17" t="e">
        <f>_xlfn.XLOOKUP(Table2[[#This Row],[Adjusted Form '#]],[2]BILLED!$D:$D,[1]BILLED!$O:$O,"Not Found")</f>
        <v>#REF!</v>
      </c>
      <c r="Y120" s="17" t="str">
        <f>_xlfn.XLOOKUP(Table2[[#This Row],[Adjusted Form '#]],'[2]REJECTED ORDERS'!$D:$D,'[2]REJECTED ORDERS'!$E:$E)</f>
        <v>FORM NUMBER ALREADY USED</v>
      </c>
      <c r="Z120" s="1"/>
      <c r="AA120" s="1"/>
      <c r="AB120" s="8"/>
      <c r="AC120" s="8"/>
      <c r="AD120" s="8"/>
      <c r="AE120" s="8"/>
      <c r="AF120" s="8"/>
      <c r="AG120" s="8"/>
      <c r="AH120" s="8"/>
      <c r="AI120" s="8"/>
      <c r="AJ120" s="8"/>
    </row>
    <row r="121" spans="1:36" ht="15" customHeight="1" x14ac:dyDescent="0.35">
      <c r="A121" s="4" t="s">
        <v>156</v>
      </c>
      <c r="B121" s="1" t="s">
        <v>3220</v>
      </c>
      <c r="C121" s="11">
        <v>44945</v>
      </c>
      <c r="E121" s="1" t="s">
        <v>21</v>
      </c>
      <c r="F121" s="1" t="s">
        <v>4021</v>
      </c>
      <c r="G121" s="6">
        <f>COUNTIF(F:F,Table2[[#This Row],[Form '#]])</f>
        <v>1</v>
      </c>
      <c r="H121" s="1" t="s">
        <v>1974</v>
      </c>
      <c r="I121" s="1" t="s">
        <v>3864</v>
      </c>
      <c r="J121" s="1" t="s">
        <v>78</v>
      </c>
      <c r="K121" s="1" t="s">
        <v>3879</v>
      </c>
      <c r="L121" s="1"/>
      <c r="M121" s="6" t="str">
        <f>IF(Table2[[#This Row],[Corrected Form '#
 (If Duplicated)]]="",Table2[[#This Row],[Form '#]],Table2[[#This Row],[Corrected Form '#
 (If Duplicated)]])</f>
        <v>7818-22304</v>
      </c>
      <c r="N121" s="1" t="s">
        <v>49</v>
      </c>
      <c r="O121" s="6" t="str">
        <f>IF(Table2[[#This Row],[POG CONFIRMATION RECEIPT OF ORDER
(DATE &amp; TIME)]]="","No Confirmation","Received Confirmation")</f>
        <v>No Confirmation</v>
      </c>
      <c r="P121" s="6">
        <f ca="1">TODAY()-Table2[[#This Row],[DATE SENT TO POG]]</f>
        <v>358</v>
      </c>
      <c r="Q121" s="6" t="s">
        <v>5803</v>
      </c>
      <c r="R1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" s="2" t="str">
        <f>_xlfn.XLOOKUP(Table2[[#This Row],[Adjusted Form '#]],'[2]IN PROGRESS'!$D:$D,'[2]IN PROGRESS'!$M:$M,"Not Found")</f>
        <v>Not Found</v>
      </c>
      <c r="U121" s="2" t="str">
        <f>_xlfn.XLOOKUP(Table2[[#This Row],[Adjusted Form '#]],[1]COMPLETED!$D:$D,[2]COMPLETED!$M:$M,"Not Found")</f>
        <v>Not Found</v>
      </c>
      <c r="V121" s="17" t="str">
        <f>_xlfn.XLOOKUP(Table2[[#This Row],[Adjusted Form '#]],[2]COMPLETED!$D:$D,[2]COMPLETED!$O:$O,"Not Found")</f>
        <v>Not Found</v>
      </c>
      <c r="W121" s="2" t="str">
        <f>_xlfn.XLOOKUP(Table2[[#This Row],[Adjusted Form '#]],[2]BILLED!$D:$D,[2]BILLED!$M:$M,"Not Found")</f>
        <v>1Z5063E0YW42533850</v>
      </c>
      <c r="X121" s="17" t="e">
        <f>_xlfn.XLOOKUP(Table2[[#This Row],[Adjusted Form '#]],[2]BILLED!$D:$D,[1]BILLED!$O:$O,"Not Found")</f>
        <v>#REF!</v>
      </c>
      <c r="Y121" s="17" t="str">
        <f>_xlfn.XLOOKUP(Table2[[#This Row],[Adjusted Form '#]],'[2]REJECTED ORDERS'!$D:$D,'[2]REJECTED ORDERS'!$E:$E)</f>
        <v>FORM NUMBER ALREADY USED</v>
      </c>
      <c r="Z121" s="1"/>
      <c r="AA121" s="1"/>
      <c r="AB121" s="8"/>
      <c r="AC121" s="8"/>
      <c r="AD121" s="8"/>
      <c r="AE121" s="8"/>
      <c r="AF121" s="8"/>
      <c r="AG121" s="8"/>
      <c r="AH121" s="8"/>
      <c r="AI121" s="8"/>
      <c r="AJ121" s="8"/>
    </row>
    <row r="122" spans="1:36" ht="15" customHeight="1" x14ac:dyDescent="0.35">
      <c r="A122" s="4" t="s">
        <v>157</v>
      </c>
      <c r="B122" s="1" t="s">
        <v>2191</v>
      </c>
      <c r="C122" s="11">
        <v>44945</v>
      </c>
      <c r="E122" s="1" t="s">
        <v>21</v>
      </c>
      <c r="F122" s="1" t="s">
        <v>4022</v>
      </c>
      <c r="G122" s="6">
        <f>COUNTIF(F:F,Table2[[#This Row],[Form '#]])</f>
        <v>1</v>
      </c>
      <c r="H122" s="1" t="s">
        <v>4023</v>
      </c>
      <c r="I122" s="1" t="s">
        <v>3852</v>
      </c>
      <c r="J122" s="1" t="s">
        <v>80</v>
      </c>
      <c r="K122" s="1" t="s">
        <v>3853</v>
      </c>
      <c r="L122" s="1"/>
      <c r="M122" s="6" t="str">
        <f>IF(Table2[[#This Row],[Corrected Form '#
 (If Duplicated)]]="",Table2[[#This Row],[Form '#]],Table2[[#This Row],[Corrected Form '#
 (If Duplicated)]])</f>
        <v>7818-25170</v>
      </c>
      <c r="N122" s="1" t="s">
        <v>49</v>
      </c>
      <c r="O122" s="6" t="str">
        <f>IF(Table2[[#This Row],[POG CONFIRMATION RECEIPT OF ORDER
(DATE &amp; TIME)]]="","No Confirmation","Received Confirmation")</f>
        <v>No Confirmation</v>
      </c>
      <c r="P122" s="6">
        <f ca="1">TODAY()-Table2[[#This Row],[DATE SENT TO POG]]</f>
        <v>358</v>
      </c>
      <c r="Q122" s="6" t="s">
        <v>5803</v>
      </c>
      <c r="R1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" s="2" t="str">
        <f>_xlfn.XLOOKUP(Table2[[#This Row],[Adjusted Form '#]],'[2]IN PROGRESS'!$D:$D,'[2]IN PROGRESS'!$M:$M,"Not Found")</f>
        <v>Not Found</v>
      </c>
      <c r="U122" s="2" t="str">
        <f>_xlfn.XLOOKUP(Table2[[#This Row],[Adjusted Form '#]],[1]COMPLETED!$D:$D,[2]COMPLETED!$M:$M,"Not Found")</f>
        <v>Not Found</v>
      </c>
      <c r="V122" s="17" t="str">
        <f>_xlfn.XLOOKUP(Table2[[#This Row],[Adjusted Form '#]],[2]COMPLETED!$D:$D,[2]COMPLETED!$O:$O,"Not Found")</f>
        <v>Not Found</v>
      </c>
      <c r="W122" s="2" t="str">
        <f>_xlfn.XLOOKUP(Table2[[#This Row],[Adjusted Form '#]],[2]BILLED!$D:$D,[2]BILLED!$M:$M,"Not Found")</f>
        <v>1Z5063E0YW40980139</v>
      </c>
      <c r="X122" s="17" t="e">
        <f>_xlfn.XLOOKUP(Table2[[#This Row],[Adjusted Form '#]],[2]BILLED!$D:$D,[1]BILLED!$O:$O,"Not Found")</f>
        <v>#REF!</v>
      </c>
      <c r="Y122" s="17" t="e">
        <f>_xlfn.XLOOKUP(Table2[[#This Row],[Adjusted Form '#]],'[2]REJECTED ORDERS'!$D:$D,'[2]REJECTED ORDERS'!$E:$E)</f>
        <v>#N/A</v>
      </c>
      <c r="Z122" s="1"/>
      <c r="AA122" s="1"/>
      <c r="AB122" s="8"/>
      <c r="AC122" s="8"/>
      <c r="AD122" s="8"/>
      <c r="AE122" s="8"/>
      <c r="AF122" s="8"/>
      <c r="AG122" s="8"/>
      <c r="AH122" s="8"/>
      <c r="AI122" s="8"/>
      <c r="AJ122" s="8"/>
    </row>
    <row r="123" spans="1:36" ht="15" customHeight="1" x14ac:dyDescent="0.35">
      <c r="A123" s="4" t="s">
        <v>158</v>
      </c>
      <c r="B123" s="1" t="s">
        <v>840</v>
      </c>
      <c r="C123" s="11">
        <v>44945</v>
      </c>
      <c r="E123" s="1" t="s">
        <v>21</v>
      </c>
      <c r="F123" s="1" t="s">
        <v>4024</v>
      </c>
      <c r="G123" s="6">
        <f>COUNTIF(F:F,Table2[[#This Row],[Form '#]])</f>
        <v>1</v>
      </c>
      <c r="H123" s="1" t="s">
        <v>1626</v>
      </c>
      <c r="I123" s="1" t="s">
        <v>127</v>
      </c>
      <c r="J123" s="1" t="s">
        <v>71</v>
      </c>
      <c r="K123" s="1" t="s">
        <v>3919</v>
      </c>
      <c r="L123" s="1"/>
      <c r="M123" s="6" t="str">
        <f>IF(Table2[[#This Row],[Corrected Form '#
 (If Duplicated)]]="",Table2[[#This Row],[Form '#]],Table2[[#This Row],[Corrected Form '#
 (If Duplicated)]])</f>
        <v>7818-21673</v>
      </c>
      <c r="N123" s="1" t="s">
        <v>49</v>
      </c>
      <c r="O123" s="6" t="str">
        <f>IF(Table2[[#This Row],[POG CONFIRMATION RECEIPT OF ORDER
(DATE &amp; TIME)]]="","No Confirmation","Received Confirmation")</f>
        <v>No Confirmation</v>
      </c>
      <c r="P123" s="6">
        <f ca="1">TODAY()-Table2[[#This Row],[DATE SENT TO POG]]</f>
        <v>358</v>
      </c>
      <c r="Q123" s="6" t="s">
        <v>5803</v>
      </c>
      <c r="R1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" s="2" t="str">
        <f>_xlfn.XLOOKUP(Table2[[#This Row],[Adjusted Form '#]],'[2]IN PROGRESS'!$D:$D,'[2]IN PROGRESS'!$M:$M,"Not Found")</f>
        <v>Not Found</v>
      </c>
      <c r="U123" s="2" t="str">
        <f>_xlfn.XLOOKUP(Table2[[#This Row],[Adjusted Form '#]],[1]COMPLETED!$D:$D,[2]COMPLETED!$M:$M,"Not Found")</f>
        <v>Not Found</v>
      </c>
      <c r="V123" s="17" t="str">
        <f>_xlfn.XLOOKUP(Table2[[#This Row],[Adjusted Form '#]],[2]COMPLETED!$D:$D,[2]COMPLETED!$O:$O,"Not Found")</f>
        <v>Not Found</v>
      </c>
      <c r="W123" s="2" t="str">
        <f>_xlfn.XLOOKUP(Table2[[#This Row],[Adjusted Form '#]],[2]BILLED!$D:$D,[2]BILLED!$M:$M,"Not Found")</f>
        <v>1Z5063E0YW40738697</v>
      </c>
      <c r="X123" s="17" t="e">
        <f>_xlfn.XLOOKUP(Table2[[#This Row],[Adjusted Form '#]],[2]BILLED!$D:$D,[1]BILLED!$O:$O,"Not Found")</f>
        <v>#REF!</v>
      </c>
      <c r="Y123" s="17" t="e">
        <f>_xlfn.XLOOKUP(Table2[[#This Row],[Adjusted Form '#]],'[2]REJECTED ORDERS'!$D:$D,'[2]REJECTED ORDERS'!$E:$E)</f>
        <v>#N/A</v>
      </c>
      <c r="Z123" s="1"/>
      <c r="AA123" s="1"/>
      <c r="AB123" s="8"/>
      <c r="AC123" s="8"/>
      <c r="AD123" s="8"/>
      <c r="AE123" s="8"/>
      <c r="AF123" s="8"/>
      <c r="AG123" s="8"/>
      <c r="AH123" s="8"/>
      <c r="AI123" s="8"/>
      <c r="AJ123" s="8"/>
    </row>
    <row r="124" spans="1:36" ht="15" customHeight="1" x14ac:dyDescent="0.35">
      <c r="A124" s="4" t="s">
        <v>159</v>
      </c>
      <c r="B124" s="1" t="s">
        <v>1086</v>
      </c>
      <c r="C124" s="11">
        <v>44945</v>
      </c>
      <c r="E124" s="1" t="s">
        <v>21</v>
      </c>
      <c r="F124" s="1" t="s">
        <v>4025</v>
      </c>
      <c r="G124" s="6">
        <f>COUNTIF(F:F,Table2[[#This Row],[Form '#]])</f>
        <v>1</v>
      </c>
      <c r="H124" s="1" t="s">
        <v>161</v>
      </c>
      <c r="I124" s="1" t="s">
        <v>758</v>
      </c>
      <c r="J124" s="1" t="s">
        <v>78</v>
      </c>
      <c r="K124" s="1" t="s">
        <v>3853</v>
      </c>
      <c r="L124" s="1"/>
      <c r="M124" s="6" t="str">
        <f>IF(Table2[[#This Row],[Corrected Form '#
 (If Duplicated)]]="",Table2[[#This Row],[Form '#]],Table2[[#This Row],[Corrected Form '#
 (If Duplicated)]])</f>
        <v>7818-25789</v>
      </c>
      <c r="N124" s="1" t="s">
        <v>49</v>
      </c>
      <c r="O124" s="6" t="str">
        <f>IF(Table2[[#This Row],[POG CONFIRMATION RECEIPT OF ORDER
(DATE &amp; TIME)]]="","No Confirmation","Received Confirmation")</f>
        <v>No Confirmation</v>
      </c>
      <c r="P124" s="6">
        <f ca="1">TODAY()-Table2[[#This Row],[DATE SENT TO POG]]</f>
        <v>358</v>
      </c>
      <c r="Q124" s="6" t="s">
        <v>5803</v>
      </c>
      <c r="R1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" s="2" t="str">
        <f>_xlfn.XLOOKUP(Table2[[#This Row],[Adjusted Form '#]],'[2]IN PROGRESS'!$D:$D,'[2]IN PROGRESS'!$M:$M,"Not Found")</f>
        <v>Not Found</v>
      </c>
      <c r="U124" s="2" t="str">
        <f>_xlfn.XLOOKUP(Table2[[#This Row],[Adjusted Form '#]],[1]COMPLETED!$D:$D,[2]COMPLETED!$M:$M,"Not Found")</f>
        <v>Not Found</v>
      </c>
      <c r="V124" s="17" t="str">
        <f>_xlfn.XLOOKUP(Table2[[#This Row],[Adjusted Form '#]],[2]COMPLETED!$D:$D,[2]COMPLETED!$O:$O,"Not Found")</f>
        <v>Not Found</v>
      </c>
      <c r="W124" s="2" t="str">
        <f>_xlfn.XLOOKUP(Table2[[#This Row],[Adjusted Form '#]],[2]BILLED!$D:$D,[2]BILLED!$M:$M,"Not Found")</f>
        <v>1Z5063E0YW41721836</v>
      </c>
      <c r="X124" s="17" t="e">
        <f>_xlfn.XLOOKUP(Table2[[#This Row],[Adjusted Form '#]],[2]BILLED!$D:$D,[1]BILLED!$O:$O,"Not Found")</f>
        <v>#REF!</v>
      </c>
      <c r="Y124" s="17" t="e">
        <f>_xlfn.XLOOKUP(Table2[[#This Row],[Adjusted Form '#]],'[2]REJECTED ORDERS'!$D:$D,'[2]REJECTED ORDERS'!$E:$E)</f>
        <v>#N/A</v>
      </c>
      <c r="Z124" s="1"/>
      <c r="AA124" s="1"/>
      <c r="AB124" s="8"/>
      <c r="AC124" s="8"/>
      <c r="AD124" s="8"/>
      <c r="AE124" s="8"/>
      <c r="AF124" s="8"/>
      <c r="AG124" s="8"/>
      <c r="AH124" s="8"/>
      <c r="AI124" s="8"/>
      <c r="AJ124" s="8"/>
    </row>
    <row r="125" spans="1:36" ht="15" customHeight="1" x14ac:dyDescent="0.35">
      <c r="A125" s="4" t="s">
        <v>160</v>
      </c>
      <c r="B125" s="1" t="s">
        <v>1086</v>
      </c>
      <c r="C125" s="11">
        <v>44945</v>
      </c>
      <c r="E125" s="1" t="s">
        <v>21</v>
      </c>
      <c r="F125" s="1" t="s">
        <v>4026</v>
      </c>
      <c r="G125" s="6">
        <f>COUNTIF(F:F,Table2[[#This Row],[Form '#]])</f>
        <v>1</v>
      </c>
      <c r="H125" s="1" t="s">
        <v>2575</v>
      </c>
      <c r="I125" s="1" t="s">
        <v>106</v>
      </c>
      <c r="J125" s="1" t="s">
        <v>72</v>
      </c>
      <c r="K125" s="1" t="s">
        <v>3853</v>
      </c>
      <c r="L125" s="1"/>
      <c r="M125" s="6" t="str">
        <f>IF(Table2[[#This Row],[Corrected Form '#
 (If Duplicated)]]="",Table2[[#This Row],[Form '#]],Table2[[#This Row],[Corrected Form '#
 (If Duplicated)]])</f>
        <v>7818-17075</v>
      </c>
      <c r="N125" s="1" t="s">
        <v>49</v>
      </c>
      <c r="O125" s="6" t="str">
        <f>IF(Table2[[#This Row],[POG CONFIRMATION RECEIPT OF ORDER
(DATE &amp; TIME)]]="","No Confirmation","Received Confirmation")</f>
        <v>No Confirmation</v>
      </c>
      <c r="P125" s="6">
        <f ca="1">TODAY()-Table2[[#This Row],[DATE SENT TO POG]]</f>
        <v>358</v>
      </c>
      <c r="Q125" s="6" t="s">
        <v>5803</v>
      </c>
      <c r="R1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" s="2" t="str">
        <f>_xlfn.XLOOKUP(Table2[[#This Row],[Adjusted Form '#]],'[2]IN PROGRESS'!$D:$D,'[2]IN PROGRESS'!$M:$M,"Not Found")</f>
        <v>Not Found</v>
      </c>
      <c r="U125" s="2" t="str">
        <f>_xlfn.XLOOKUP(Table2[[#This Row],[Adjusted Form '#]],[1]COMPLETED!$D:$D,[2]COMPLETED!$M:$M,"Not Found")</f>
        <v>Not Found</v>
      </c>
      <c r="V125" s="17" t="str">
        <f>_xlfn.XLOOKUP(Table2[[#This Row],[Adjusted Form '#]],[2]COMPLETED!$D:$D,[2]COMPLETED!$O:$O,"Not Found")</f>
        <v>Not Found</v>
      </c>
      <c r="W125" s="2" t="str">
        <f>_xlfn.XLOOKUP(Table2[[#This Row],[Adjusted Form '#]],[2]BILLED!$D:$D,[2]BILLED!$M:$M,"Not Found")</f>
        <v>1Z5063E0YW40078794</v>
      </c>
      <c r="X125" s="17" t="e">
        <f>_xlfn.XLOOKUP(Table2[[#This Row],[Adjusted Form '#]],[2]BILLED!$D:$D,[1]BILLED!$O:$O,"Not Found")</f>
        <v>#REF!</v>
      </c>
      <c r="Y125" s="17" t="e">
        <f>_xlfn.XLOOKUP(Table2[[#This Row],[Adjusted Form '#]],'[2]REJECTED ORDERS'!$D:$D,'[2]REJECTED ORDERS'!$E:$E)</f>
        <v>#N/A</v>
      </c>
      <c r="Z125" s="1"/>
      <c r="AA125" s="1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1:36" ht="15" customHeight="1" x14ac:dyDescent="0.35">
      <c r="A126" s="4" t="s">
        <v>162</v>
      </c>
      <c r="B126" s="1" t="s">
        <v>1086</v>
      </c>
      <c r="C126" s="11">
        <v>44945</v>
      </c>
      <c r="E126" s="1" t="s">
        <v>21</v>
      </c>
      <c r="F126" s="1" t="s">
        <v>4027</v>
      </c>
      <c r="G126" s="6">
        <f>COUNTIF(F:F,Table2[[#This Row],[Form '#]])</f>
        <v>1</v>
      </c>
      <c r="H126" s="1" t="s">
        <v>4028</v>
      </c>
      <c r="I126" s="1" t="s">
        <v>758</v>
      </c>
      <c r="J126" s="1" t="s">
        <v>75</v>
      </c>
      <c r="K126" s="1" t="s">
        <v>3853</v>
      </c>
      <c r="L126" s="1"/>
      <c r="M126" s="6" t="str">
        <f>IF(Table2[[#This Row],[Corrected Form '#
 (If Duplicated)]]="",Table2[[#This Row],[Form '#]],Table2[[#This Row],[Corrected Form '#
 (If Duplicated)]])</f>
        <v>7818-25964</v>
      </c>
      <c r="N126" s="1" t="s">
        <v>49</v>
      </c>
      <c r="O126" s="6" t="str">
        <f>IF(Table2[[#This Row],[POG CONFIRMATION RECEIPT OF ORDER
(DATE &amp; TIME)]]="","No Confirmation","Received Confirmation")</f>
        <v>No Confirmation</v>
      </c>
      <c r="P126" s="6">
        <f ca="1">TODAY()-Table2[[#This Row],[DATE SENT TO POG]]</f>
        <v>358</v>
      </c>
      <c r="Q126" s="6" t="s">
        <v>5803</v>
      </c>
      <c r="R1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" s="2" t="str">
        <f>_xlfn.XLOOKUP(Table2[[#This Row],[Adjusted Form '#]],'[2]IN PROGRESS'!$D:$D,'[2]IN PROGRESS'!$M:$M,"Not Found")</f>
        <v>Not Found</v>
      </c>
      <c r="U126" s="2" t="str">
        <f>_xlfn.XLOOKUP(Table2[[#This Row],[Adjusted Form '#]],[1]COMPLETED!$D:$D,[2]COMPLETED!$M:$M,"Not Found")</f>
        <v>Not Found</v>
      </c>
      <c r="V126" s="17" t="str">
        <f>_xlfn.XLOOKUP(Table2[[#This Row],[Adjusted Form '#]],[2]COMPLETED!$D:$D,[2]COMPLETED!$O:$O,"Not Found")</f>
        <v>Not Found</v>
      </c>
      <c r="W126" s="2" t="str">
        <f>_xlfn.XLOOKUP(Table2[[#This Row],[Adjusted Form '#]],[2]BILLED!$D:$D,[2]BILLED!$M:$M,"Not Found")</f>
        <v>1Z5063E0YW40618905</v>
      </c>
      <c r="X126" s="17" t="e">
        <f>_xlfn.XLOOKUP(Table2[[#This Row],[Adjusted Form '#]],[2]BILLED!$D:$D,[1]BILLED!$O:$O,"Not Found")</f>
        <v>#REF!</v>
      </c>
      <c r="Y126" s="17" t="e">
        <f>_xlfn.XLOOKUP(Table2[[#This Row],[Adjusted Form '#]],'[2]REJECTED ORDERS'!$D:$D,'[2]REJECTED ORDERS'!$E:$E)</f>
        <v>#N/A</v>
      </c>
      <c r="Z126" s="1"/>
      <c r="AA126" s="1"/>
      <c r="AB126" s="8"/>
      <c r="AC126" s="8"/>
      <c r="AD126" s="8"/>
      <c r="AE126" s="8"/>
      <c r="AF126" s="8"/>
      <c r="AG126" s="8"/>
      <c r="AH126" s="8"/>
      <c r="AI126" s="8"/>
      <c r="AJ126" s="8"/>
    </row>
    <row r="127" spans="1:36" ht="15" customHeight="1" x14ac:dyDescent="0.35">
      <c r="A127" s="4" t="s">
        <v>163</v>
      </c>
      <c r="B127" s="1" t="s">
        <v>1086</v>
      </c>
      <c r="C127" s="11">
        <v>44945</v>
      </c>
      <c r="E127" s="1" t="s">
        <v>21</v>
      </c>
      <c r="F127" s="1" t="s">
        <v>4029</v>
      </c>
      <c r="G127" s="6">
        <f>COUNTIF(F:F,Table2[[#This Row],[Form '#]])</f>
        <v>1</v>
      </c>
      <c r="H127" s="1" t="s">
        <v>2465</v>
      </c>
      <c r="I127" s="1" t="s">
        <v>3852</v>
      </c>
      <c r="J127" s="1" t="s">
        <v>75</v>
      </c>
      <c r="K127" s="1" t="s">
        <v>3853</v>
      </c>
      <c r="L127" s="1"/>
      <c r="M127" s="6" t="str">
        <f>IF(Table2[[#This Row],[Corrected Form '#
 (If Duplicated)]]="",Table2[[#This Row],[Form '#]],Table2[[#This Row],[Corrected Form '#
 (If Duplicated)]])</f>
        <v>7818-14053</v>
      </c>
      <c r="N127" s="1" t="s">
        <v>49</v>
      </c>
      <c r="O127" s="6" t="str">
        <f>IF(Table2[[#This Row],[POG CONFIRMATION RECEIPT OF ORDER
(DATE &amp; TIME)]]="","No Confirmation","Received Confirmation")</f>
        <v>No Confirmation</v>
      </c>
      <c r="P127" s="6">
        <f ca="1">TODAY()-Table2[[#This Row],[DATE SENT TO POG]]</f>
        <v>358</v>
      </c>
      <c r="Q127" s="6" t="s">
        <v>5803</v>
      </c>
      <c r="R1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" s="2" t="str">
        <f>_xlfn.XLOOKUP(Table2[[#This Row],[Adjusted Form '#]],'[2]IN PROGRESS'!$D:$D,'[2]IN PROGRESS'!$M:$M,"Not Found")</f>
        <v>Not Found</v>
      </c>
      <c r="U127" s="2" t="str">
        <f>_xlfn.XLOOKUP(Table2[[#This Row],[Adjusted Form '#]],[1]COMPLETED!$D:$D,[2]COMPLETED!$M:$M,"Not Found")</f>
        <v>Not Found</v>
      </c>
      <c r="V127" s="17" t="str">
        <f>_xlfn.XLOOKUP(Table2[[#This Row],[Adjusted Form '#]],[2]COMPLETED!$D:$D,[2]COMPLETED!$O:$O,"Not Found")</f>
        <v>Not Found</v>
      </c>
      <c r="W127" s="2" t="str">
        <f>_xlfn.XLOOKUP(Table2[[#This Row],[Adjusted Form '#]],[2]BILLED!$D:$D,[2]BILLED!$M:$M,"Not Found")</f>
        <v>9400 1112 0620 7345 9713 69</v>
      </c>
      <c r="X127" s="17" t="e">
        <f>_xlfn.XLOOKUP(Table2[[#This Row],[Adjusted Form '#]],[2]BILLED!$D:$D,[1]BILLED!$O:$O,"Not Found")</f>
        <v>#REF!</v>
      </c>
      <c r="Y127" s="17" t="e">
        <f>_xlfn.XLOOKUP(Table2[[#This Row],[Adjusted Form '#]],'[2]REJECTED ORDERS'!$D:$D,'[2]REJECTED ORDERS'!$E:$E)</f>
        <v>#N/A</v>
      </c>
      <c r="Z127" s="1"/>
      <c r="AA127" s="1"/>
      <c r="AB127" s="8"/>
      <c r="AC127" s="8"/>
      <c r="AD127" s="8"/>
      <c r="AE127" s="8"/>
      <c r="AF127" s="8"/>
      <c r="AG127" s="8"/>
      <c r="AH127" s="8"/>
      <c r="AI127" s="8"/>
      <c r="AJ127" s="8"/>
    </row>
    <row r="128" spans="1:36" ht="15" customHeight="1" x14ac:dyDescent="0.35">
      <c r="A128" s="4" t="s">
        <v>164</v>
      </c>
      <c r="B128" s="1" t="s">
        <v>2744</v>
      </c>
      <c r="C128" s="11">
        <v>44946</v>
      </c>
      <c r="D128" s="11" t="s">
        <v>4030</v>
      </c>
      <c r="E128" s="1" t="s">
        <v>14</v>
      </c>
      <c r="F128" s="1" t="s">
        <v>4031</v>
      </c>
      <c r="G128" s="6">
        <f>COUNTIF(F:F,Table2[[#This Row],[Form '#]])</f>
        <v>1</v>
      </c>
      <c r="H128" s="1" t="s">
        <v>4032</v>
      </c>
      <c r="I128" s="1" t="s">
        <v>3864</v>
      </c>
      <c r="J128" s="1" t="s">
        <v>3891</v>
      </c>
      <c r="K128" s="1" t="s">
        <v>3879</v>
      </c>
      <c r="L128" s="1"/>
      <c r="M128" s="6" t="str">
        <f>IF(Table2[[#This Row],[Corrected Form '#
 (If Duplicated)]]="",Table2[[#This Row],[Form '#]],Table2[[#This Row],[Corrected Form '#
 (If Duplicated)]])</f>
        <v>7810-01583</v>
      </c>
      <c r="N128" s="1" t="s">
        <v>49</v>
      </c>
      <c r="O128" s="6" t="str">
        <f>IF(Table2[[#This Row],[POG CONFIRMATION RECEIPT OF ORDER
(DATE &amp; TIME)]]="","No Confirmation","Received Confirmation")</f>
        <v>Received Confirmation</v>
      </c>
      <c r="P128" s="6">
        <f ca="1">TODAY()-Table2[[#This Row],[DATE SENT TO POG]]</f>
        <v>357</v>
      </c>
      <c r="Q128" s="6" t="s">
        <v>5803</v>
      </c>
      <c r="R1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" s="2" t="str">
        <f>_xlfn.XLOOKUP(Table2[[#This Row],[Adjusted Form '#]],'[2]IN PROGRESS'!$D:$D,'[2]IN PROGRESS'!$M:$M,"Not Found")</f>
        <v>Not Found</v>
      </c>
      <c r="U128" s="2" t="str">
        <f>_xlfn.XLOOKUP(Table2[[#This Row],[Adjusted Form '#]],[1]COMPLETED!$D:$D,[2]COMPLETED!$M:$M,"Not Found")</f>
        <v>Not Found</v>
      </c>
      <c r="V128" s="17" t="str">
        <f>_xlfn.XLOOKUP(Table2[[#This Row],[Adjusted Form '#]],[2]COMPLETED!$D:$D,[2]COMPLETED!$O:$O,"Not Found")</f>
        <v>Not Found</v>
      </c>
      <c r="W128" s="2" t="str">
        <f>_xlfn.XLOOKUP(Table2[[#This Row],[Adjusted Form '#]],[2]BILLED!$D:$D,[2]BILLED!$M:$M,"Not Found")</f>
        <v>1Z5063E0YW41608665</v>
      </c>
      <c r="X128" s="17" t="e">
        <f>_xlfn.XLOOKUP(Table2[[#This Row],[Adjusted Form '#]],[2]BILLED!$D:$D,[1]BILLED!$O:$O,"Not Found")</f>
        <v>#REF!</v>
      </c>
      <c r="Y128" s="17" t="e">
        <f>_xlfn.XLOOKUP(Table2[[#This Row],[Adjusted Form '#]],'[2]REJECTED ORDERS'!$D:$D,'[2]REJECTED ORDERS'!$E:$E)</f>
        <v>#N/A</v>
      </c>
      <c r="Z128" s="1"/>
      <c r="AA128" s="1"/>
      <c r="AB128" s="8"/>
      <c r="AC128" s="8"/>
      <c r="AD128" s="8"/>
      <c r="AE128" s="8"/>
      <c r="AF128" s="8"/>
      <c r="AG128" s="8"/>
      <c r="AH128" s="8"/>
      <c r="AI128" s="8"/>
      <c r="AJ128" s="8"/>
    </row>
    <row r="129" spans="1:36" ht="15" customHeight="1" x14ac:dyDescent="0.35">
      <c r="A129" s="4" t="s">
        <v>165</v>
      </c>
      <c r="B129" s="1" t="s">
        <v>1344</v>
      </c>
      <c r="C129" s="11">
        <v>44946</v>
      </c>
      <c r="D129" s="11" t="s">
        <v>4033</v>
      </c>
      <c r="E129" s="1" t="s">
        <v>21</v>
      </c>
      <c r="F129" s="1" t="s">
        <v>4034</v>
      </c>
      <c r="G129" s="6">
        <f>COUNTIF(F:F,Table2[[#This Row],[Form '#]])</f>
        <v>1</v>
      </c>
      <c r="H129" s="1" t="s">
        <v>3556</v>
      </c>
      <c r="I129" s="1" t="s">
        <v>3852</v>
      </c>
      <c r="J129" s="1" t="s">
        <v>80</v>
      </c>
      <c r="K129" s="1" t="s">
        <v>3853</v>
      </c>
      <c r="L129" s="1"/>
      <c r="M129" s="6" t="str">
        <f>IF(Table2[[#This Row],[Corrected Form '#
 (If Duplicated)]]="",Table2[[#This Row],[Form '#]],Table2[[#This Row],[Corrected Form '#
 (If Duplicated)]])</f>
        <v>7818-10377</v>
      </c>
      <c r="N129" s="1" t="s">
        <v>49</v>
      </c>
      <c r="O129" s="6" t="str">
        <f>IF(Table2[[#This Row],[POG CONFIRMATION RECEIPT OF ORDER
(DATE &amp; TIME)]]="","No Confirmation","Received Confirmation")</f>
        <v>Received Confirmation</v>
      </c>
      <c r="P129" s="6">
        <f ca="1">TODAY()-Table2[[#This Row],[DATE SENT TO POG]]</f>
        <v>357</v>
      </c>
      <c r="Q129" s="6" t="s">
        <v>5803</v>
      </c>
      <c r="R1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" s="2" t="str">
        <f>_xlfn.XLOOKUP(Table2[[#This Row],[Adjusted Form '#]],'[2]IN PROGRESS'!$D:$D,'[2]IN PROGRESS'!$M:$M,"Not Found")</f>
        <v>Not Found</v>
      </c>
      <c r="U129" s="2" t="str">
        <f>_xlfn.XLOOKUP(Table2[[#This Row],[Adjusted Form '#]],[1]COMPLETED!$D:$D,[2]COMPLETED!$M:$M,"Not Found")</f>
        <v>Not Found</v>
      </c>
      <c r="V129" s="17" t="str">
        <f>_xlfn.XLOOKUP(Table2[[#This Row],[Adjusted Form '#]],[2]COMPLETED!$D:$D,[2]COMPLETED!$O:$O,"Not Found")</f>
        <v>Not Found</v>
      </c>
      <c r="W129" s="2" t="str">
        <f>_xlfn.XLOOKUP(Table2[[#This Row],[Adjusted Form '#]],[2]BILLED!$D:$D,[2]BILLED!$M:$M,"Not Found")</f>
        <v>1Z5063E0YW41033937</v>
      </c>
      <c r="X129" s="17" t="e">
        <f>_xlfn.XLOOKUP(Table2[[#This Row],[Adjusted Form '#]],[2]BILLED!$D:$D,[1]BILLED!$O:$O,"Not Found")</f>
        <v>#REF!</v>
      </c>
      <c r="Y129" s="17" t="e">
        <f>_xlfn.XLOOKUP(Table2[[#This Row],[Adjusted Form '#]],'[2]REJECTED ORDERS'!$D:$D,'[2]REJECTED ORDERS'!$E:$E)</f>
        <v>#N/A</v>
      </c>
      <c r="Z129" s="1"/>
      <c r="AA129" s="1"/>
      <c r="AB129" s="8"/>
      <c r="AC129" s="8"/>
      <c r="AD129" s="8"/>
      <c r="AE129" s="8"/>
      <c r="AF129" s="8"/>
      <c r="AG129" s="8"/>
      <c r="AH129" s="8"/>
      <c r="AI129" s="8"/>
      <c r="AJ129" s="8"/>
    </row>
    <row r="130" spans="1:36" ht="15" customHeight="1" x14ac:dyDescent="0.35">
      <c r="A130" s="4" t="s">
        <v>166</v>
      </c>
      <c r="B130" s="1" t="s">
        <v>1767</v>
      </c>
      <c r="C130" s="11">
        <v>44946</v>
      </c>
      <c r="D130" s="11" t="s">
        <v>4033</v>
      </c>
      <c r="E130" s="1" t="s">
        <v>21</v>
      </c>
      <c r="F130" s="1" t="s">
        <v>4035</v>
      </c>
      <c r="G130" s="6">
        <f>COUNTIF(F:F,Table2[[#This Row],[Form '#]])</f>
        <v>2</v>
      </c>
      <c r="H130" s="1" t="s">
        <v>4036</v>
      </c>
      <c r="I130" s="1" t="s">
        <v>3864</v>
      </c>
      <c r="J130" s="1" t="s">
        <v>78</v>
      </c>
      <c r="K130" s="1" t="s">
        <v>3879</v>
      </c>
      <c r="L130" s="1"/>
      <c r="M130" s="6" t="str">
        <f>IF(Table2[[#This Row],[Corrected Form '#
 (If Duplicated)]]="",Table2[[#This Row],[Form '#]],Table2[[#This Row],[Corrected Form '#
 (If Duplicated)]])</f>
        <v>7818-25171</v>
      </c>
      <c r="N130" s="1" t="s">
        <v>49</v>
      </c>
      <c r="O130" s="6" t="str">
        <f>IF(Table2[[#This Row],[POG CONFIRMATION RECEIPT OF ORDER
(DATE &amp; TIME)]]="","No Confirmation","Received Confirmation")</f>
        <v>Received Confirmation</v>
      </c>
      <c r="P130" s="6">
        <f ca="1">TODAY()-Table2[[#This Row],[DATE SENT TO POG]]</f>
        <v>357</v>
      </c>
      <c r="Q130" s="6" t="s">
        <v>5803</v>
      </c>
      <c r="R1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" s="2" t="str">
        <f>_xlfn.XLOOKUP(Table2[[#This Row],[Adjusted Form '#]],'[2]IN PROGRESS'!$D:$D,'[2]IN PROGRESS'!$M:$M,"Not Found")</f>
        <v>Not Found</v>
      </c>
      <c r="U130" s="2" t="str">
        <f>_xlfn.XLOOKUP(Table2[[#This Row],[Adjusted Form '#]],[1]COMPLETED!$D:$D,[2]COMPLETED!$M:$M,"Not Found")</f>
        <v>Not Found</v>
      </c>
      <c r="V130" s="17" t="str">
        <f>_xlfn.XLOOKUP(Table2[[#This Row],[Adjusted Form '#]],[2]COMPLETED!$D:$D,[2]COMPLETED!$O:$O,"Not Found")</f>
        <v>Not Found</v>
      </c>
      <c r="W130" s="2" t="str">
        <f>_xlfn.XLOOKUP(Table2[[#This Row],[Adjusted Form '#]],[2]BILLED!$D:$D,[2]BILLED!$M:$M,"Not Found")</f>
        <v>1Z5063E0YW42092112</v>
      </c>
      <c r="X130" s="17" t="e">
        <f>_xlfn.XLOOKUP(Table2[[#This Row],[Adjusted Form '#]],[2]BILLED!$D:$D,[1]BILLED!$O:$O,"Not Found")</f>
        <v>#REF!</v>
      </c>
      <c r="Y130" s="17" t="str">
        <f>_xlfn.XLOOKUP(Table2[[#This Row],[Adjusted Form '#]],'[2]REJECTED ORDERS'!$D:$D,'[2]REJECTED ORDERS'!$E:$E)</f>
        <v>FORM NUMBER ALREADY USED</v>
      </c>
      <c r="Z130" s="1"/>
      <c r="AA130" s="1"/>
      <c r="AB130" s="8"/>
      <c r="AC130" s="8"/>
      <c r="AD130" s="8"/>
      <c r="AE130" s="8"/>
      <c r="AF130" s="8"/>
      <c r="AG130" s="8"/>
      <c r="AH130" s="8"/>
      <c r="AI130" s="8"/>
      <c r="AJ130" s="8"/>
    </row>
    <row r="131" spans="1:36" ht="15" customHeight="1" x14ac:dyDescent="0.35">
      <c r="A131" s="4" t="s">
        <v>168</v>
      </c>
      <c r="B131" s="1" t="s">
        <v>1319</v>
      </c>
      <c r="C131" s="11">
        <v>44946</v>
      </c>
      <c r="D131" s="11" t="s">
        <v>4037</v>
      </c>
      <c r="E131" s="1" t="s">
        <v>14</v>
      </c>
      <c r="F131" s="1" t="s">
        <v>4038</v>
      </c>
      <c r="G131" s="6">
        <f>COUNTIF(F:F,Table2[[#This Row],[Form '#]])</f>
        <v>1</v>
      </c>
      <c r="H131" s="1" t="s">
        <v>4039</v>
      </c>
      <c r="I131" s="1" t="s">
        <v>3852</v>
      </c>
      <c r="J131" s="1" t="s">
        <v>80</v>
      </c>
      <c r="K131" s="1" t="s">
        <v>4011</v>
      </c>
      <c r="L131" s="1"/>
      <c r="M131" s="6" t="str">
        <f>IF(Table2[[#This Row],[Corrected Form '#
 (If Duplicated)]]="",Table2[[#This Row],[Form '#]],Table2[[#This Row],[Corrected Form '#
 (If Duplicated)]])</f>
        <v>7810-00509</v>
      </c>
      <c r="N131" s="1" t="s">
        <v>49</v>
      </c>
      <c r="O131" s="6" t="str">
        <f>IF(Table2[[#This Row],[POG CONFIRMATION RECEIPT OF ORDER
(DATE &amp; TIME)]]="","No Confirmation","Received Confirmation")</f>
        <v>Received Confirmation</v>
      </c>
      <c r="P131" s="6">
        <f ca="1">TODAY()-Table2[[#This Row],[DATE SENT TO POG]]</f>
        <v>357</v>
      </c>
      <c r="Q131" s="6" t="s">
        <v>5803</v>
      </c>
      <c r="R1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" s="2" t="str">
        <f>_xlfn.XLOOKUP(Table2[[#This Row],[Adjusted Form '#]],'[2]IN PROGRESS'!$D:$D,'[2]IN PROGRESS'!$M:$M,"Not Found")</f>
        <v>Not Found</v>
      </c>
      <c r="U131" s="2" t="str">
        <f>_xlfn.XLOOKUP(Table2[[#This Row],[Adjusted Form '#]],[1]COMPLETED!$D:$D,[2]COMPLETED!$M:$M,"Not Found")</f>
        <v>Not Found</v>
      </c>
      <c r="V131" s="17" t="str">
        <f>_xlfn.XLOOKUP(Table2[[#This Row],[Adjusted Form '#]],[2]COMPLETED!$D:$D,[2]COMPLETED!$O:$O,"Not Found")</f>
        <v>Not Found</v>
      </c>
      <c r="W131" s="2" t="str">
        <f>_xlfn.XLOOKUP(Table2[[#This Row],[Adjusted Form '#]],[2]BILLED!$D:$D,[2]BILLED!$M:$M,"Not Found")</f>
        <v>1Z5063E0YW41597203</v>
      </c>
      <c r="X131" s="17" t="e">
        <f>_xlfn.XLOOKUP(Table2[[#This Row],[Adjusted Form '#]],[2]BILLED!$D:$D,[1]BILLED!$O:$O,"Not Found")</f>
        <v>#REF!</v>
      </c>
      <c r="Y131" s="17" t="e">
        <f>_xlfn.XLOOKUP(Table2[[#This Row],[Adjusted Form '#]],'[2]REJECTED ORDERS'!$D:$D,'[2]REJECTED ORDERS'!$E:$E)</f>
        <v>#N/A</v>
      </c>
      <c r="Z131" s="1"/>
      <c r="AA131" s="1"/>
      <c r="AB131" s="8"/>
      <c r="AC131" s="8"/>
      <c r="AD131" s="8"/>
      <c r="AE131" s="8"/>
      <c r="AF131" s="8"/>
      <c r="AG131" s="8"/>
      <c r="AH131" s="8"/>
      <c r="AI131" s="8"/>
      <c r="AJ131" s="8"/>
    </row>
    <row r="132" spans="1:36" ht="15" customHeight="1" x14ac:dyDescent="0.35">
      <c r="A132" s="4" t="s">
        <v>169</v>
      </c>
      <c r="B132" s="1" t="s">
        <v>409</v>
      </c>
      <c r="C132" s="11">
        <v>44946</v>
      </c>
      <c r="E132" s="1" t="s">
        <v>21</v>
      </c>
      <c r="F132" s="1" t="s">
        <v>4040</v>
      </c>
      <c r="G132" s="6">
        <f>COUNTIF(F:F,Table2[[#This Row],[Form '#]])</f>
        <v>1</v>
      </c>
      <c r="H132" s="1" t="s">
        <v>3766</v>
      </c>
      <c r="I132" s="1" t="s">
        <v>3852</v>
      </c>
      <c r="J132" s="1" t="s">
        <v>75</v>
      </c>
      <c r="K132" s="1" t="s">
        <v>4011</v>
      </c>
      <c r="L132" s="1"/>
      <c r="M132" s="6" t="str">
        <f>IF(Table2[[#This Row],[Corrected Form '#
 (If Duplicated)]]="",Table2[[#This Row],[Form '#]],Table2[[#This Row],[Corrected Form '#
 (If Duplicated)]])</f>
        <v>7818-27025</v>
      </c>
      <c r="N132" s="1" t="s">
        <v>104</v>
      </c>
      <c r="O132" s="6" t="str">
        <f>IF(Table2[[#This Row],[POG CONFIRMATION RECEIPT OF ORDER
(DATE &amp; TIME)]]="","No Confirmation","Received Confirmation")</f>
        <v>No Confirmation</v>
      </c>
      <c r="P132" s="6">
        <f ca="1">TODAY()-Table2[[#This Row],[DATE SENT TO POG]]</f>
        <v>357</v>
      </c>
      <c r="Q132" s="6" t="s">
        <v>5803</v>
      </c>
      <c r="R1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" s="2" t="str">
        <f>_xlfn.XLOOKUP(Table2[[#This Row],[Adjusted Form '#]],'[2]IN PROGRESS'!$D:$D,'[2]IN PROGRESS'!$M:$M,"Not Found")</f>
        <v>Not Found</v>
      </c>
      <c r="U132" s="2" t="str">
        <f>_xlfn.XLOOKUP(Table2[[#This Row],[Adjusted Form '#]],[1]COMPLETED!$D:$D,[2]COMPLETED!$M:$M,"Not Found")</f>
        <v>Not Found</v>
      </c>
      <c r="V132" s="17" t="str">
        <f>_xlfn.XLOOKUP(Table2[[#This Row],[Adjusted Form '#]],[2]COMPLETED!$D:$D,[2]COMPLETED!$O:$O,"Not Found")</f>
        <v>Not Found</v>
      </c>
      <c r="W132" s="2" t="str">
        <f>_xlfn.XLOOKUP(Table2[[#This Row],[Adjusted Form '#]],[2]BILLED!$D:$D,[2]BILLED!$M:$M,"Not Found")</f>
        <v>9400 1112 0620 7368 3809 88</v>
      </c>
      <c r="X132" s="17" t="e">
        <f>_xlfn.XLOOKUP(Table2[[#This Row],[Adjusted Form '#]],[2]BILLED!$D:$D,[1]BILLED!$O:$O,"Not Found")</f>
        <v>#REF!</v>
      </c>
      <c r="Y132" s="17" t="e">
        <f>_xlfn.XLOOKUP(Table2[[#This Row],[Adjusted Form '#]],'[2]REJECTED ORDERS'!$D:$D,'[2]REJECTED ORDERS'!$E:$E)</f>
        <v>#N/A</v>
      </c>
      <c r="Z132" s="1"/>
      <c r="AA132" s="1"/>
      <c r="AB132" s="8"/>
      <c r="AC132" s="8"/>
      <c r="AD132" s="8"/>
      <c r="AE132" s="8"/>
      <c r="AF132" s="8"/>
      <c r="AG132" s="8"/>
      <c r="AH132" s="8"/>
      <c r="AI132" s="8"/>
      <c r="AJ132" s="8"/>
    </row>
    <row r="133" spans="1:36" ht="15" customHeight="1" x14ac:dyDescent="0.35">
      <c r="A133" s="4" t="s">
        <v>171</v>
      </c>
      <c r="B133" s="1" t="s">
        <v>806</v>
      </c>
      <c r="C133" s="11">
        <v>44946</v>
      </c>
      <c r="E133" s="1" t="s">
        <v>21</v>
      </c>
      <c r="F133" s="1" t="s">
        <v>4041</v>
      </c>
      <c r="G133" s="6">
        <f>COUNTIF(F:F,Table2[[#This Row],[Form '#]])</f>
        <v>1</v>
      </c>
      <c r="H133" s="1" t="s">
        <v>3552</v>
      </c>
      <c r="I133" s="1" t="s">
        <v>3852</v>
      </c>
      <c r="J133" s="1" t="s">
        <v>80</v>
      </c>
      <c r="K133" s="1" t="s">
        <v>3853</v>
      </c>
      <c r="L133" s="1"/>
      <c r="M133" s="6" t="str">
        <f>IF(Table2[[#This Row],[Corrected Form '#
 (If Duplicated)]]="",Table2[[#This Row],[Form '#]],Table2[[#This Row],[Corrected Form '#
 (If Duplicated)]])</f>
        <v>7818-27026</v>
      </c>
      <c r="N133" s="1" t="s">
        <v>104</v>
      </c>
      <c r="O133" s="6" t="str">
        <f>IF(Table2[[#This Row],[POG CONFIRMATION RECEIPT OF ORDER
(DATE &amp; TIME)]]="","No Confirmation","Received Confirmation")</f>
        <v>No Confirmation</v>
      </c>
      <c r="P133" s="6">
        <f ca="1">TODAY()-Table2[[#This Row],[DATE SENT TO POG]]</f>
        <v>357</v>
      </c>
      <c r="Q133" s="6" t="s">
        <v>5802</v>
      </c>
      <c r="R1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3" s="2" t="str">
        <f>_xlfn.XLOOKUP(Table2[[#This Row],[Adjusted Form '#]],'[2]IN PROGRESS'!$D:$D,'[2]IN PROGRESS'!$M:$M,"Not Found")</f>
        <v>Not Found</v>
      </c>
      <c r="U133" s="2" t="str">
        <f>_xlfn.XLOOKUP(Table2[[#This Row],[Adjusted Form '#]],[1]COMPLETED!$D:$D,[2]COMPLETED!$M:$M,"Not Found")</f>
        <v>Not Found</v>
      </c>
      <c r="V133" s="17" t="str">
        <f>_xlfn.XLOOKUP(Table2[[#This Row],[Adjusted Form '#]],[2]COMPLETED!$D:$D,[2]COMPLETED!$O:$O,"Not Found")</f>
        <v>Not Found</v>
      </c>
      <c r="W133" s="2" t="str">
        <f>_xlfn.XLOOKUP(Table2[[#This Row],[Adjusted Form '#]],[2]BILLED!$D:$D,[2]BILLED!$M:$M,"Not Found")</f>
        <v>Not Found</v>
      </c>
      <c r="X133" s="17" t="str">
        <f>_xlfn.XLOOKUP(Table2[[#This Row],[Adjusted Form '#]],[2]BILLED!$D:$D,[1]BILLED!$O:$O,"Not Found")</f>
        <v>Not Found</v>
      </c>
      <c r="Y133" s="17" t="e">
        <f>_xlfn.XLOOKUP(Table2[[#This Row],[Adjusted Form '#]],'[2]REJECTED ORDERS'!$D:$D,'[2]REJECTED ORDERS'!$E:$E)</f>
        <v>#N/A</v>
      </c>
      <c r="Z133" s="1"/>
      <c r="AA133" s="1"/>
      <c r="AB133" s="8"/>
      <c r="AC133" s="8"/>
      <c r="AD133" s="8"/>
      <c r="AE133" s="8"/>
      <c r="AF133" s="8"/>
      <c r="AG133" s="8"/>
      <c r="AH133" s="8"/>
      <c r="AI133" s="8"/>
      <c r="AJ133" s="8"/>
    </row>
    <row r="134" spans="1:36" ht="15" customHeight="1" x14ac:dyDescent="0.35">
      <c r="A134" s="4" t="s">
        <v>172</v>
      </c>
      <c r="B134" s="1" t="s">
        <v>837</v>
      </c>
      <c r="C134" s="11">
        <v>44949</v>
      </c>
      <c r="D134" s="11" t="s">
        <v>4042</v>
      </c>
      <c r="E134" s="1" t="s">
        <v>14</v>
      </c>
      <c r="F134" s="1" t="s">
        <v>4043</v>
      </c>
      <c r="G134" s="6">
        <f>COUNTIF(F:F,Table2[[#This Row],[Form '#]])</f>
        <v>1</v>
      </c>
      <c r="H134" s="1" t="s">
        <v>4044</v>
      </c>
      <c r="I134" s="1" t="s">
        <v>127</v>
      </c>
      <c r="J134" s="1" t="s">
        <v>3891</v>
      </c>
      <c r="K134" s="1" t="s">
        <v>4011</v>
      </c>
      <c r="L134" s="1"/>
      <c r="M134" s="6" t="str">
        <f>IF(Table2[[#This Row],[Corrected Form '#
 (If Duplicated)]]="",Table2[[#This Row],[Form '#]],Table2[[#This Row],[Corrected Form '#
 (If Duplicated)]])</f>
        <v>7810-00821</v>
      </c>
      <c r="N134" s="1" t="s">
        <v>49</v>
      </c>
      <c r="O134" s="6" t="str">
        <f>IF(Table2[[#This Row],[POG CONFIRMATION RECEIPT OF ORDER
(DATE &amp; TIME)]]="","No Confirmation","Received Confirmation")</f>
        <v>Received Confirmation</v>
      </c>
      <c r="P134" s="6">
        <f ca="1">TODAY()-Table2[[#This Row],[DATE SENT TO POG]]</f>
        <v>354</v>
      </c>
      <c r="Q134" s="6" t="s">
        <v>5803</v>
      </c>
      <c r="R1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4" s="2" t="str">
        <f>_xlfn.XLOOKUP(Table2[[#This Row],[Adjusted Form '#]],'[2]IN PROGRESS'!$D:$D,'[2]IN PROGRESS'!$M:$M,"Not Found")</f>
        <v>Not Found</v>
      </c>
      <c r="U134" s="2" t="str">
        <f>_xlfn.XLOOKUP(Table2[[#This Row],[Adjusted Form '#]],[1]COMPLETED!$D:$D,[2]COMPLETED!$M:$M,"Not Found")</f>
        <v>Not Found</v>
      </c>
      <c r="V134" s="17" t="str">
        <f>_xlfn.XLOOKUP(Table2[[#This Row],[Adjusted Form '#]],[2]COMPLETED!$D:$D,[2]COMPLETED!$O:$O,"Not Found")</f>
        <v>Not Found</v>
      </c>
      <c r="W134" s="2" t="str">
        <f>_xlfn.XLOOKUP(Table2[[#This Row],[Adjusted Form '#]],[2]BILLED!$D:$D,[2]BILLED!$M:$M,"Not Found")</f>
        <v>1Z5063E0YW41496983</v>
      </c>
      <c r="X134" s="17" t="e">
        <f>_xlfn.XLOOKUP(Table2[[#This Row],[Adjusted Form '#]],[2]BILLED!$D:$D,[1]BILLED!$O:$O,"Not Found")</f>
        <v>#REF!</v>
      </c>
      <c r="Y134" s="17" t="e">
        <f>_xlfn.XLOOKUP(Table2[[#This Row],[Adjusted Form '#]],'[2]REJECTED ORDERS'!$D:$D,'[2]REJECTED ORDERS'!$E:$E)</f>
        <v>#N/A</v>
      </c>
      <c r="Z134" s="1"/>
      <c r="AA134" s="1"/>
      <c r="AB134" s="8"/>
      <c r="AC134" s="8"/>
      <c r="AD134" s="8"/>
      <c r="AE134" s="8"/>
      <c r="AF134" s="8"/>
      <c r="AG134" s="8"/>
      <c r="AH134" s="8"/>
      <c r="AI134" s="8"/>
      <c r="AJ134" s="8"/>
    </row>
    <row r="135" spans="1:36" ht="15" customHeight="1" x14ac:dyDescent="0.35">
      <c r="A135" s="4" t="s">
        <v>173</v>
      </c>
      <c r="B135" s="1" t="s">
        <v>842</v>
      </c>
      <c r="C135" s="11">
        <v>44949</v>
      </c>
      <c r="D135" s="11" t="s">
        <v>4045</v>
      </c>
      <c r="E135" s="1" t="s">
        <v>21</v>
      </c>
      <c r="F135" s="1" t="s">
        <v>3687</v>
      </c>
      <c r="G135" s="6">
        <f>COUNTIF(F:F,Table2[[#This Row],[Form '#]])</f>
        <v>1</v>
      </c>
      <c r="H135" s="1" t="s">
        <v>2126</v>
      </c>
      <c r="I135" s="1" t="s">
        <v>28</v>
      </c>
      <c r="J135" s="1" t="s">
        <v>69</v>
      </c>
      <c r="K135" s="1" t="s">
        <v>3898</v>
      </c>
      <c r="L135" s="1"/>
      <c r="M135" s="6" t="str">
        <f>IF(Table2[[#This Row],[Corrected Form '#
 (If Duplicated)]]="",Table2[[#This Row],[Form '#]],Table2[[#This Row],[Corrected Form '#
 (If Duplicated)]])</f>
        <v>7818-25757</v>
      </c>
      <c r="N135" s="1" t="s">
        <v>104</v>
      </c>
      <c r="O135" s="6" t="str">
        <f>IF(Table2[[#This Row],[POG CONFIRMATION RECEIPT OF ORDER
(DATE &amp; TIME)]]="","No Confirmation","Received Confirmation")</f>
        <v>Received Confirmation</v>
      </c>
      <c r="P135" s="6">
        <f ca="1">TODAY()-Table2[[#This Row],[DATE SENT TO POG]]</f>
        <v>354</v>
      </c>
      <c r="Q135" s="6" t="s">
        <v>5803</v>
      </c>
      <c r="R1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" s="2" t="str">
        <f>_xlfn.XLOOKUP(Table2[[#This Row],[Adjusted Form '#]],'[2]IN PROGRESS'!$D:$D,'[2]IN PROGRESS'!$M:$M,"Not Found")</f>
        <v>Not Found</v>
      </c>
      <c r="U135" s="2" t="str">
        <f>_xlfn.XLOOKUP(Table2[[#This Row],[Adjusted Form '#]],[1]COMPLETED!$D:$D,[2]COMPLETED!$M:$M,"Not Found")</f>
        <v>Not Found</v>
      </c>
      <c r="V135" s="17" t="str">
        <f>_xlfn.XLOOKUP(Table2[[#This Row],[Adjusted Form '#]],[2]COMPLETED!$D:$D,[2]COMPLETED!$O:$O,"Not Found")</f>
        <v>Not Found</v>
      </c>
      <c r="W135" s="2" t="str">
        <f>_xlfn.XLOOKUP(Table2[[#This Row],[Adjusted Form '#]],[2]BILLED!$D:$D,[2]BILLED!$M:$M,"Not Found")</f>
        <v>1Z5063E0YW40218507</v>
      </c>
      <c r="X135" s="17" t="e">
        <f>_xlfn.XLOOKUP(Table2[[#This Row],[Adjusted Form '#]],[2]BILLED!$D:$D,[1]BILLED!$O:$O,"Not Found")</f>
        <v>#REF!</v>
      </c>
      <c r="Y135" s="17" t="e">
        <f>_xlfn.XLOOKUP(Table2[[#This Row],[Adjusted Form '#]],'[2]REJECTED ORDERS'!$D:$D,'[2]REJECTED ORDERS'!$E:$E)</f>
        <v>#N/A</v>
      </c>
      <c r="Z135" s="1"/>
      <c r="AA135" s="1"/>
      <c r="AB135" s="8"/>
      <c r="AC135" s="8"/>
      <c r="AD135" s="8"/>
      <c r="AE135" s="8"/>
      <c r="AF135" s="8"/>
      <c r="AG135" s="8"/>
      <c r="AH135" s="8"/>
      <c r="AI135" s="8"/>
      <c r="AJ135" s="8"/>
    </row>
    <row r="136" spans="1:36" ht="15" customHeight="1" x14ac:dyDescent="0.35">
      <c r="A136" s="4" t="s">
        <v>174</v>
      </c>
      <c r="B136" s="1" t="s">
        <v>728</v>
      </c>
      <c r="C136" s="11">
        <v>44949</v>
      </c>
      <c r="D136" s="11" t="s">
        <v>4046</v>
      </c>
      <c r="E136" s="1" t="s">
        <v>21</v>
      </c>
      <c r="F136" s="1" t="s">
        <v>4047</v>
      </c>
      <c r="G136" s="6">
        <f>COUNTIF(F:F,Table2[[#This Row],[Form '#]])</f>
        <v>1</v>
      </c>
      <c r="H136" s="1" t="s">
        <v>4048</v>
      </c>
      <c r="I136" s="1" t="s">
        <v>3864</v>
      </c>
      <c r="J136" s="1" t="s">
        <v>78</v>
      </c>
      <c r="K136" s="1" t="s">
        <v>3879</v>
      </c>
      <c r="L136" s="1"/>
      <c r="M136" s="6" t="str">
        <f>IF(Table2[[#This Row],[Corrected Form '#
 (If Duplicated)]]="",Table2[[#This Row],[Form '#]],Table2[[#This Row],[Corrected Form '#
 (If Duplicated)]])</f>
        <v>7818-26077</v>
      </c>
      <c r="N136" s="1" t="s">
        <v>49</v>
      </c>
      <c r="O136" s="6" t="str">
        <f>IF(Table2[[#This Row],[POG CONFIRMATION RECEIPT OF ORDER
(DATE &amp; TIME)]]="","No Confirmation","Received Confirmation")</f>
        <v>Received Confirmation</v>
      </c>
      <c r="P136" s="6">
        <f ca="1">TODAY()-Table2[[#This Row],[DATE SENT TO POG]]</f>
        <v>354</v>
      </c>
      <c r="Q136" s="6" t="s">
        <v>5803</v>
      </c>
      <c r="R1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" s="2" t="str">
        <f>_xlfn.XLOOKUP(Table2[[#This Row],[Adjusted Form '#]],'[2]IN PROGRESS'!$D:$D,'[2]IN PROGRESS'!$M:$M,"Not Found")</f>
        <v>Not Found</v>
      </c>
      <c r="U136" s="2" t="str">
        <f>_xlfn.XLOOKUP(Table2[[#This Row],[Adjusted Form '#]],[1]COMPLETED!$D:$D,[2]COMPLETED!$M:$M,"Not Found")</f>
        <v>Not Found</v>
      </c>
      <c r="V136" s="17" t="str">
        <f>_xlfn.XLOOKUP(Table2[[#This Row],[Adjusted Form '#]],[2]COMPLETED!$D:$D,[2]COMPLETED!$O:$O,"Not Found")</f>
        <v>Not Found</v>
      </c>
      <c r="W136" s="2" t="str">
        <f>_xlfn.XLOOKUP(Table2[[#This Row],[Adjusted Form '#]],[2]BILLED!$D:$D,[2]BILLED!$M:$M,"Not Found")</f>
        <v>1Z5063E0YW41390837</v>
      </c>
      <c r="X136" s="17" t="e">
        <f>_xlfn.XLOOKUP(Table2[[#This Row],[Adjusted Form '#]],[2]BILLED!$D:$D,[1]BILLED!$O:$O,"Not Found")</f>
        <v>#REF!</v>
      </c>
      <c r="Y136" s="17" t="e">
        <f>_xlfn.XLOOKUP(Table2[[#This Row],[Adjusted Form '#]],'[2]REJECTED ORDERS'!$D:$D,'[2]REJECTED ORDERS'!$E:$E)</f>
        <v>#N/A</v>
      </c>
      <c r="Z136" s="1"/>
      <c r="AA136" s="1"/>
      <c r="AB136" s="8"/>
      <c r="AC136" s="8"/>
      <c r="AD136" s="8"/>
      <c r="AE136" s="8"/>
      <c r="AF136" s="8"/>
      <c r="AG136" s="8"/>
      <c r="AH136" s="8"/>
      <c r="AI136" s="8"/>
      <c r="AJ136" s="8"/>
    </row>
    <row r="137" spans="1:36" ht="15" customHeight="1" x14ac:dyDescent="0.35">
      <c r="A137" s="4" t="s">
        <v>175</v>
      </c>
      <c r="B137" s="1" t="s">
        <v>728</v>
      </c>
      <c r="C137" s="11">
        <v>44949</v>
      </c>
      <c r="D137" s="11" t="s">
        <v>4046</v>
      </c>
      <c r="E137" s="1" t="s">
        <v>21</v>
      </c>
      <c r="F137" s="1" t="s">
        <v>4049</v>
      </c>
      <c r="G137" s="6">
        <f>COUNTIF(F:F,Table2[[#This Row],[Form '#]])</f>
        <v>1</v>
      </c>
      <c r="H137" s="1" t="s">
        <v>1507</v>
      </c>
      <c r="I137" s="1" t="s">
        <v>127</v>
      </c>
      <c r="J137" s="1" t="s">
        <v>74</v>
      </c>
      <c r="K137" s="1" t="s">
        <v>3919</v>
      </c>
      <c r="L137" s="1"/>
      <c r="M137" s="6" t="str">
        <f>IF(Table2[[#This Row],[Corrected Form '#
 (If Duplicated)]]="",Table2[[#This Row],[Form '#]],Table2[[#This Row],[Corrected Form '#
 (If Duplicated)]])</f>
        <v>7818-26076</v>
      </c>
      <c r="N137" s="1" t="s">
        <v>49</v>
      </c>
      <c r="O137" s="6" t="str">
        <f>IF(Table2[[#This Row],[POG CONFIRMATION RECEIPT OF ORDER
(DATE &amp; TIME)]]="","No Confirmation","Received Confirmation")</f>
        <v>Received Confirmation</v>
      </c>
      <c r="P137" s="6">
        <f ca="1">TODAY()-Table2[[#This Row],[DATE SENT TO POG]]</f>
        <v>354</v>
      </c>
      <c r="Q137" s="6" t="s">
        <v>5803</v>
      </c>
      <c r="R1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7" s="2" t="str">
        <f>_xlfn.XLOOKUP(Table2[[#This Row],[Adjusted Form '#]],'[2]IN PROGRESS'!$D:$D,'[2]IN PROGRESS'!$M:$M,"Not Found")</f>
        <v>Not Found</v>
      </c>
      <c r="U137" s="2" t="str">
        <f>_xlfn.XLOOKUP(Table2[[#This Row],[Adjusted Form '#]],[1]COMPLETED!$D:$D,[2]COMPLETED!$M:$M,"Not Found")</f>
        <v>Not Found</v>
      </c>
      <c r="V137" s="17" t="str">
        <f>_xlfn.XLOOKUP(Table2[[#This Row],[Adjusted Form '#]],[2]COMPLETED!$D:$D,[2]COMPLETED!$O:$O,"Not Found")</f>
        <v>Not Found</v>
      </c>
      <c r="W137" s="2" t="str">
        <f>_xlfn.XLOOKUP(Table2[[#This Row],[Adjusted Form '#]],[2]BILLED!$D:$D,[2]BILLED!$M:$M,"Not Found")</f>
        <v>1Z5063E0YW40715827</v>
      </c>
      <c r="X137" s="17" t="e">
        <f>_xlfn.XLOOKUP(Table2[[#This Row],[Adjusted Form '#]],[2]BILLED!$D:$D,[1]BILLED!$O:$O,"Not Found")</f>
        <v>#REF!</v>
      </c>
      <c r="Y137" s="17" t="e">
        <f>_xlfn.XLOOKUP(Table2[[#This Row],[Adjusted Form '#]],'[2]REJECTED ORDERS'!$D:$D,'[2]REJECTED ORDERS'!$E:$E)</f>
        <v>#N/A</v>
      </c>
      <c r="Z137" s="1"/>
      <c r="AA137" s="1"/>
      <c r="AB137" s="8"/>
      <c r="AC137" s="8"/>
      <c r="AD137" s="8"/>
      <c r="AE137" s="8"/>
      <c r="AF137" s="8"/>
      <c r="AG137" s="8"/>
      <c r="AH137" s="8"/>
      <c r="AI137" s="8"/>
      <c r="AJ137" s="8"/>
    </row>
    <row r="138" spans="1:36" ht="15" customHeight="1" x14ac:dyDescent="0.35">
      <c r="A138" s="4" t="s">
        <v>176</v>
      </c>
      <c r="B138" s="1" t="s">
        <v>728</v>
      </c>
      <c r="C138" s="11">
        <v>44949</v>
      </c>
      <c r="D138" s="11" t="s">
        <v>4046</v>
      </c>
      <c r="E138" s="1" t="s">
        <v>21</v>
      </c>
      <c r="F138" s="1" t="s">
        <v>4050</v>
      </c>
      <c r="G138" s="6">
        <f>COUNTIF(F:F,Table2[[#This Row],[Form '#]])</f>
        <v>1</v>
      </c>
      <c r="H138" s="1" t="s">
        <v>2010</v>
      </c>
      <c r="I138" s="1" t="s">
        <v>3852</v>
      </c>
      <c r="J138" s="1" t="s">
        <v>80</v>
      </c>
      <c r="K138" s="1" t="s">
        <v>3853</v>
      </c>
      <c r="L138" s="1"/>
      <c r="M138" s="6" t="str">
        <f>IF(Table2[[#This Row],[Corrected Form '#
 (If Duplicated)]]="",Table2[[#This Row],[Form '#]],Table2[[#This Row],[Corrected Form '#
 (If Duplicated)]])</f>
        <v>7818-26075</v>
      </c>
      <c r="N138" s="1" t="s">
        <v>49</v>
      </c>
      <c r="O138" s="6" t="str">
        <f>IF(Table2[[#This Row],[POG CONFIRMATION RECEIPT OF ORDER
(DATE &amp; TIME)]]="","No Confirmation","Received Confirmation")</f>
        <v>Received Confirmation</v>
      </c>
      <c r="P138" s="6">
        <f ca="1">TODAY()-Table2[[#This Row],[DATE SENT TO POG]]</f>
        <v>354</v>
      </c>
      <c r="Q138" s="6" t="s">
        <v>5803</v>
      </c>
      <c r="R1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" s="2" t="str">
        <f>_xlfn.XLOOKUP(Table2[[#This Row],[Adjusted Form '#]],'[2]IN PROGRESS'!$D:$D,'[2]IN PROGRESS'!$M:$M,"Not Found")</f>
        <v>Not Found</v>
      </c>
      <c r="U138" s="2" t="str">
        <f>_xlfn.XLOOKUP(Table2[[#This Row],[Adjusted Form '#]],[1]COMPLETED!$D:$D,[2]COMPLETED!$M:$M,"Not Found")</f>
        <v>Not Found</v>
      </c>
      <c r="V138" s="17" t="str">
        <f>_xlfn.XLOOKUP(Table2[[#This Row],[Adjusted Form '#]],[2]COMPLETED!$D:$D,[2]COMPLETED!$O:$O,"Not Found")</f>
        <v>Not Found</v>
      </c>
      <c r="W138" s="2" t="str">
        <f>_xlfn.XLOOKUP(Table2[[#This Row],[Adjusted Form '#]],[2]BILLED!$D:$D,[2]BILLED!$M:$M,"Not Found")</f>
        <v>1Z5063E0YW41300951</v>
      </c>
      <c r="X138" s="17" t="e">
        <f>_xlfn.XLOOKUP(Table2[[#This Row],[Adjusted Form '#]],[2]BILLED!$D:$D,[1]BILLED!$O:$O,"Not Found")</f>
        <v>#REF!</v>
      </c>
      <c r="Y138" s="17" t="e">
        <f>_xlfn.XLOOKUP(Table2[[#This Row],[Adjusted Form '#]],'[2]REJECTED ORDERS'!$D:$D,'[2]REJECTED ORDERS'!$E:$E)</f>
        <v>#N/A</v>
      </c>
      <c r="Z138" s="1"/>
      <c r="AA138" s="1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1:36" ht="15" customHeight="1" x14ac:dyDescent="0.35">
      <c r="A139" s="4" t="s">
        <v>177</v>
      </c>
      <c r="B139" s="1" t="s">
        <v>728</v>
      </c>
      <c r="C139" s="11">
        <v>44949</v>
      </c>
      <c r="D139" s="11" t="s">
        <v>4046</v>
      </c>
      <c r="E139" s="1" t="s">
        <v>21</v>
      </c>
      <c r="F139" s="1" t="s">
        <v>4051</v>
      </c>
      <c r="G139" s="6">
        <f>COUNTIF(F:F,Table2[[#This Row],[Form '#]])</f>
        <v>1</v>
      </c>
      <c r="H139" s="1" t="s">
        <v>2588</v>
      </c>
      <c r="I139" s="1" t="s">
        <v>3852</v>
      </c>
      <c r="J139" s="1" t="s">
        <v>80</v>
      </c>
      <c r="K139" s="1" t="s">
        <v>3853</v>
      </c>
      <c r="L139" s="1"/>
      <c r="M139" s="6" t="str">
        <f>IF(Table2[[#This Row],[Corrected Form '#
 (If Duplicated)]]="",Table2[[#This Row],[Form '#]],Table2[[#This Row],[Corrected Form '#
 (If Duplicated)]])</f>
        <v>7818-17795</v>
      </c>
      <c r="N139" s="1" t="s">
        <v>49</v>
      </c>
      <c r="O139" s="6" t="str">
        <f>IF(Table2[[#This Row],[POG CONFIRMATION RECEIPT OF ORDER
(DATE &amp; TIME)]]="","No Confirmation","Received Confirmation")</f>
        <v>Received Confirmation</v>
      </c>
      <c r="P139" s="6">
        <f ca="1">TODAY()-Table2[[#This Row],[DATE SENT TO POG]]</f>
        <v>354</v>
      </c>
      <c r="Q139" s="6" t="s">
        <v>5803</v>
      </c>
      <c r="R1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" s="2" t="str">
        <f>_xlfn.XLOOKUP(Table2[[#This Row],[Adjusted Form '#]],'[2]IN PROGRESS'!$D:$D,'[2]IN PROGRESS'!$M:$M,"Not Found")</f>
        <v>Not Found</v>
      </c>
      <c r="U139" s="2" t="str">
        <f>_xlfn.XLOOKUP(Table2[[#This Row],[Adjusted Form '#]],[1]COMPLETED!$D:$D,[2]COMPLETED!$M:$M,"Not Found")</f>
        <v>Not Found</v>
      </c>
      <c r="V139" s="17" t="str">
        <f>_xlfn.XLOOKUP(Table2[[#This Row],[Adjusted Form '#]],[2]COMPLETED!$D:$D,[2]COMPLETED!$O:$O,"Not Found")</f>
        <v>Not Found</v>
      </c>
      <c r="W139" s="2" t="str">
        <f>_xlfn.XLOOKUP(Table2[[#This Row],[Adjusted Form '#]],[2]BILLED!$D:$D,[2]BILLED!$M:$M,"Not Found")</f>
        <v>9400 1112 0620 7195 2904 36</v>
      </c>
      <c r="X139" s="17" t="e">
        <f>_xlfn.XLOOKUP(Table2[[#This Row],[Adjusted Form '#]],[2]BILLED!$D:$D,[1]BILLED!$O:$O,"Not Found")</f>
        <v>#REF!</v>
      </c>
      <c r="Y139" s="17" t="e">
        <f>_xlfn.XLOOKUP(Table2[[#This Row],[Adjusted Form '#]],'[2]REJECTED ORDERS'!$D:$D,'[2]REJECTED ORDERS'!$E:$E)</f>
        <v>#N/A</v>
      </c>
      <c r="Z139" s="1"/>
      <c r="AA139" s="1"/>
      <c r="AB139" s="8"/>
      <c r="AC139" s="8"/>
      <c r="AD139" s="8"/>
      <c r="AE139" s="8"/>
      <c r="AF139" s="8"/>
      <c r="AG139" s="8"/>
      <c r="AH139" s="8"/>
      <c r="AI139" s="8"/>
      <c r="AJ139" s="8"/>
    </row>
    <row r="140" spans="1:36" ht="15" customHeight="1" x14ac:dyDescent="0.35">
      <c r="A140" s="4" t="s">
        <v>179</v>
      </c>
      <c r="B140" s="1" t="s">
        <v>728</v>
      </c>
      <c r="C140" s="11">
        <v>44949</v>
      </c>
      <c r="D140" s="11" t="s">
        <v>4046</v>
      </c>
      <c r="E140" s="1" t="s">
        <v>21</v>
      </c>
      <c r="F140" s="1" t="s">
        <v>4052</v>
      </c>
      <c r="G140" s="6">
        <f>COUNTIF(F:F,Table2[[#This Row],[Form '#]])</f>
        <v>1</v>
      </c>
      <c r="H140" s="1" t="s">
        <v>4053</v>
      </c>
      <c r="I140" s="1" t="s">
        <v>3852</v>
      </c>
      <c r="J140" s="1" t="s">
        <v>80</v>
      </c>
      <c r="K140" s="1" t="s">
        <v>3853</v>
      </c>
      <c r="L140" s="1"/>
      <c r="M140" s="6" t="str">
        <f>IF(Table2[[#This Row],[Corrected Form '#
 (If Duplicated)]]="",Table2[[#This Row],[Form '#]],Table2[[#This Row],[Corrected Form '#
 (If Duplicated)]])</f>
        <v>7818-25497</v>
      </c>
      <c r="N140" s="1" t="s">
        <v>49</v>
      </c>
      <c r="O140" s="6" t="str">
        <f>IF(Table2[[#This Row],[POG CONFIRMATION RECEIPT OF ORDER
(DATE &amp; TIME)]]="","No Confirmation","Received Confirmation")</f>
        <v>Received Confirmation</v>
      </c>
      <c r="P140" s="6">
        <f ca="1">TODAY()-Table2[[#This Row],[DATE SENT TO POG]]</f>
        <v>354</v>
      </c>
      <c r="Q140" s="6" t="s">
        <v>5803</v>
      </c>
      <c r="R1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" s="2" t="str">
        <f>_xlfn.XLOOKUP(Table2[[#This Row],[Adjusted Form '#]],'[2]IN PROGRESS'!$D:$D,'[2]IN PROGRESS'!$M:$M,"Not Found")</f>
        <v>Not Found</v>
      </c>
      <c r="U140" s="2" t="str">
        <f>_xlfn.XLOOKUP(Table2[[#This Row],[Adjusted Form '#]],[1]COMPLETED!$D:$D,[2]COMPLETED!$M:$M,"Not Found")</f>
        <v>Not Found</v>
      </c>
      <c r="V140" s="17" t="str">
        <f>_xlfn.XLOOKUP(Table2[[#This Row],[Adjusted Form '#]],[2]COMPLETED!$D:$D,[2]COMPLETED!$O:$O,"Not Found")</f>
        <v>Not Found</v>
      </c>
      <c r="W140" s="2" t="str">
        <f>_xlfn.XLOOKUP(Table2[[#This Row],[Adjusted Form '#]],[2]BILLED!$D:$D,[2]BILLED!$M:$M,"Not Found")</f>
        <v>1Z5063E0YW42224149</v>
      </c>
      <c r="X140" s="17" t="e">
        <f>_xlfn.XLOOKUP(Table2[[#This Row],[Adjusted Form '#]],[2]BILLED!$D:$D,[1]BILLED!$O:$O,"Not Found")</f>
        <v>#REF!</v>
      </c>
      <c r="Y140" s="17" t="e">
        <f>_xlfn.XLOOKUP(Table2[[#This Row],[Adjusted Form '#]],'[2]REJECTED ORDERS'!$D:$D,'[2]REJECTED ORDERS'!$E:$E)</f>
        <v>#N/A</v>
      </c>
      <c r="Z140" s="1"/>
      <c r="AA140" s="1"/>
      <c r="AB140" s="8"/>
      <c r="AC140" s="8"/>
      <c r="AD140" s="8"/>
      <c r="AE140" s="8"/>
      <c r="AF140" s="8"/>
      <c r="AG140" s="8"/>
      <c r="AH140" s="8"/>
      <c r="AI140" s="8"/>
      <c r="AJ140" s="8"/>
    </row>
    <row r="141" spans="1:36" ht="15" customHeight="1" x14ac:dyDescent="0.35">
      <c r="A141" s="4" t="s">
        <v>181</v>
      </c>
      <c r="B141" s="1" t="s">
        <v>728</v>
      </c>
      <c r="C141" s="11">
        <v>44949</v>
      </c>
      <c r="D141" s="11" t="s">
        <v>4046</v>
      </c>
      <c r="E141" s="1" t="s">
        <v>21</v>
      </c>
      <c r="F141" s="1" t="s">
        <v>4054</v>
      </c>
      <c r="G141" s="6">
        <f>COUNTIF(F:F,Table2[[#This Row],[Form '#]])</f>
        <v>1</v>
      </c>
      <c r="H141" s="1" t="s">
        <v>3118</v>
      </c>
      <c r="I141" s="1" t="s">
        <v>127</v>
      </c>
      <c r="J141" s="1" t="s">
        <v>74</v>
      </c>
      <c r="K141" s="1" t="s">
        <v>3891</v>
      </c>
      <c r="L141" s="1"/>
      <c r="M141" s="6" t="str">
        <f>IF(Table2[[#This Row],[Corrected Form '#
 (If Duplicated)]]="",Table2[[#This Row],[Form '#]],Table2[[#This Row],[Corrected Form '#
 (If Duplicated)]])</f>
        <v>7818-25182</v>
      </c>
      <c r="N141" s="1" t="s">
        <v>49</v>
      </c>
      <c r="O141" s="6" t="str">
        <f>IF(Table2[[#This Row],[POG CONFIRMATION RECEIPT OF ORDER
(DATE &amp; TIME)]]="","No Confirmation","Received Confirmation")</f>
        <v>Received Confirmation</v>
      </c>
      <c r="P141" s="6">
        <f ca="1">TODAY()-Table2[[#This Row],[DATE SENT TO POG]]</f>
        <v>354</v>
      </c>
      <c r="Q141" s="6" t="s">
        <v>5803</v>
      </c>
      <c r="R1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" s="2" t="str">
        <f>_xlfn.XLOOKUP(Table2[[#This Row],[Adjusted Form '#]],'[2]IN PROGRESS'!$D:$D,'[2]IN PROGRESS'!$M:$M,"Not Found")</f>
        <v>Not Found</v>
      </c>
      <c r="U141" s="2" t="str">
        <f>_xlfn.XLOOKUP(Table2[[#This Row],[Adjusted Form '#]],[1]COMPLETED!$D:$D,[2]COMPLETED!$M:$M,"Not Found")</f>
        <v>Not Found</v>
      </c>
      <c r="V141" s="17" t="str">
        <f>_xlfn.XLOOKUP(Table2[[#This Row],[Adjusted Form '#]],[2]COMPLETED!$D:$D,[2]COMPLETED!$O:$O,"Not Found")</f>
        <v>Not Found</v>
      </c>
      <c r="W141" s="2" t="str">
        <f>_xlfn.XLOOKUP(Table2[[#This Row],[Adjusted Form '#]],[2]BILLED!$D:$D,[2]BILLED!$M:$M,"Not Found")</f>
        <v>1Z5063E0YW42733876</v>
      </c>
      <c r="X141" s="17" t="e">
        <f>_xlfn.XLOOKUP(Table2[[#This Row],[Adjusted Form '#]],[2]BILLED!$D:$D,[1]BILLED!$O:$O,"Not Found")</f>
        <v>#REF!</v>
      </c>
      <c r="Y141" s="17" t="e">
        <f>_xlfn.XLOOKUP(Table2[[#This Row],[Adjusted Form '#]],'[2]REJECTED ORDERS'!$D:$D,'[2]REJECTED ORDERS'!$E:$E)</f>
        <v>#N/A</v>
      </c>
      <c r="Z141" s="1"/>
      <c r="AA141" s="1"/>
      <c r="AB141" s="8"/>
      <c r="AC141" s="8"/>
      <c r="AD141" s="8"/>
      <c r="AE141" s="8"/>
      <c r="AF141" s="8"/>
      <c r="AG141" s="8"/>
      <c r="AH141" s="8"/>
      <c r="AI141" s="8"/>
      <c r="AJ141" s="8"/>
    </row>
    <row r="142" spans="1:36" ht="15" customHeight="1" x14ac:dyDescent="0.35">
      <c r="A142" s="4" t="s">
        <v>184</v>
      </c>
      <c r="B142" s="1" t="s">
        <v>728</v>
      </c>
      <c r="C142" s="11">
        <v>44949</v>
      </c>
      <c r="D142" s="11" t="s">
        <v>4046</v>
      </c>
      <c r="E142" s="1" t="s">
        <v>21</v>
      </c>
      <c r="F142" s="1" t="s">
        <v>4055</v>
      </c>
      <c r="G142" s="6">
        <f>COUNTIF(F:F,Table2[[#This Row],[Form '#]])</f>
        <v>1</v>
      </c>
      <c r="H142" s="1" t="s">
        <v>4056</v>
      </c>
      <c r="I142" s="1" t="s">
        <v>28</v>
      </c>
      <c r="J142" s="1" t="s">
        <v>69</v>
      </c>
      <c r="K142" s="1" t="s">
        <v>4011</v>
      </c>
      <c r="L142" s="1"/>
      <c r="M142" s="6" t="str">
        <f>IF(Table2[[#This Row],[Corrected Form '#
 (If Duplicated)]]="",Table2[[#This Row],[Form '#]],Table2[[#This Row],[Corrected Form '#
 (If Duplicated)]])</f>
        <v>7818-21655</v>
      </c>
      <c r="N142" s="1" t="s">
        <v>49</v>
      </c>
      <c r="O142" s="6" t="str">
        <f>IF(Table2[[#This Row],[POG CONFIRMATION RECEIPT OF ORDER
(DATE &amp; TIME)]]="","No Confirmation","Received Confirmation")</f>
        <v>Received Confirmation</v>
      </c>
      <c r="P142" s="6">
        <f ca="1">TODAY()-Table2[[#This Row],[DATE SENT TO POG]]</f>
        <v>354</v>
      </c>
      <c r="Q142" s="6" t="s">
        <v>5803</v>
      </c>
      <c r="R1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" s="2" t="str">
        <f>_xlfn.XLOOKUP(Table2[[#This Row],[Adjusted Form '#]],'[2]IN PROGRESS'!$D:$D,'[2]IN PROGRESS'!$M:$M,"Not Found")</f>
        <v>Not Found</v>
      </c>
      <c r="U142" s="2" t="str">
        <f>_xlfn.XLOOKUP(Table2[[#This Row],[Adjusted Form '#]],[1]COMPLETED!$D:$D,[2]COMPLETED!$M:$M,"Not Found")</f>
        <v>Not Found</v>
      </c>
      <c r="V142" s="17" t="str">
        <f>_xlfn.XLOOKUP(Table2[[#This Row],[Adjusted Form '#]],[2]COMPLETED!$D:$D,[2]COMPLETED!$O:$O,"Not Found")</f>
        <v>Not Found</v>
      </c>
      <c r="W142" s="2" t="str">
        <f>_xlfn.XLOOKUP(Table2[[#This Row],[Adjusted Form '#]],[2]BILLED!$D:$D,[2]BILLED!$M:$M,"Not Found")</f>
        <v>1Z5063E0YW41207777</v>
      </c>
      <c r="X142" s="17" t="e">
        <f>_xlfn.XLOOKUP(Table2[[#This Row],[Adjusted Form '#]],[2]BILLED!$D:$D,[1]BILLED!$O:$O,"Not Found")</f>
        <v>#REF!</v>
      </c>
      <c r="Y142" s="17" t="e">
        <f>_xlfn.XLOOKUP(Table2[[#This Row],[Adjusted Form '#]],'[2]REJECTED ORDERS'!$D:$D,'[2]REJECTED ORDERS'!$E:$E)</f>
        <v>#N/A</v>
      </c>
      <c r="Z142" s="1"/>
      <c r="AA142" s="1"/>
      <c r="AB142" s="8"/>
      <c r="AC142" s="8"/>
      <c r="AD142" s="8"/>
      <c r="AE142" s="8"/>
      <c r="AF142" s="8"/>
      <c r="AG142" s="8"/>
      <c r="AH142" s="8"/>
      <c r="AI142" s="8"/>
      <c r="AJ142" s="8"/>
    </row>
    <row r="143" spans="1:36" ht="15" customHeight="1" x14ac:dyDescent="0.35">
      <c r="A143" s="4" t="s">
        <v>185</v>
      </c>
      <c r="B143" s="1" t="s">
        <v>728</v>
      </c>
      <c r="C143" s="11">
        <v>44949</v>
      </c>
      <c r="D143" s="11" t="s">
        <v>4046</v>
      </c>
      <c r="E143" s="1" t="s">
        <v>21</v>
      </c>
      <c r="F143" s="1" t="s">
        <v>4035</v>
      </c>
      <c r="G143" s="6">
        <f>COUNTIF(F:F,Table2[[#This Row],[Form '#]])</f>
        <v>2</v>
      </c>
      <c r="H143" s="1" t="s">
        <v>4036</v>
      </c>
      <c r="I143" s="1" t="s">
        <v>3864</v>
      </c>
      <c r="J143" s="1" t="s">
        <v>78</v>
      </c>
      <c r="K143" s="1" t="s">
        <v>3879</v>
      </c>
      <c r="L143" s="1"/>
      <c r="M143" s="6" t="str">
        <f>IF(Table2[[#This Row],[Corrected Form '#
 (If Duplicated)]]="",Table2[[#This Row],[Form '#]],Table2[[#This Row],[Corrected Form '#
 (If Duplicated)]])</f>
        <v>7818-25171</v>
      </c>
      <c r="N143" s="1" t="s">
        <v>49</v>
      </c>
      <c r="O143" s="6" t="str">
        <f>IF(Table2[[#This Row],[POG CONFIRMATION RECEIPT OF ORDER
(DATE &amp; TIME)]]="","No Confirmation","Received Confirmation")</f>
        <v>Received Confirmation</v>
      </c>
      <c r="P143" s="6">
        <f ca="1">TODAY()-Table2[[#This Row],[DATE SENT TO POG]]</f>
        <v>354</v>
      </c>
      <c r="Q143" s="6" t="s">
        <v>5803</v>
      </c>
      <c r="R1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" s="2" t="str">
        <f>_xlfn.XLOOKUP(Table2[[#This Row],[Adjusted Form '#]],'[2]IN PROGRESS'!$D:$D,'[2]IN PROGRESS'!$M:$M,"Not Found")</f>
        <v>Not Found</v>
      </c>
      <c r="U143" s="2" t="str">
        <f>_xlfn.XLOOKUP(Table2[[#This Row],[Adjusted Form '#]],[1]COMPLETED!$D:$D,[2]COMPLETED!$M:$M,"Not Found")</f>
        <v>Not Found</v>
      </c>
      <c r="V143" s="17" t="str">
        <f>_xlfn.XLOOKUP(Table2[[#This Row],[Adjusted Form '#]],[2]COMPLETED!$D:$D,[2]COMPLETED!$O:$O,"Not Found")</f>
        <v>Not Found</v>
      </c>
      <c r="W143" s="2" t="str">
        <f>_xlfn.XLOOKUP(Table2[[#This Row],[Adjusted Form '#]],[2]BILLED!$D:$D,[2]BILLED!$M:$M,"Not Found")</f>
        <v>1Z5063E0YW42092112</v>
      </c>
      <c r="X143" s="17" t="e">
        <f>_xlfn.XLOOKUP(Table2[[#This Row],[Adjusted Form '#]],[2]BILLED!$D:$D,[1]BILLED!$O:$O,"Not Found")</f>
        <v>#REF!</v>
      </c>
      <c r="Y143" s="17" t="str">
        <f>_xlfn.XLOOKUP(Table2[[#This Row],[Adjusted Form '#]],'[2]REJECTED ORDERS'!$D:$D,'[2]REJECTED ORDERS'!$E:$E)</f>
        <v>FORM NUMBER ALREADY USED</v>
      </c>
      <c r="Z143" s="1"/>
      <c r="AA143" s="1"/>
      <c r="AB143" s="8"/>
      <c r="AC143" s="8"/>
      <c r="AD143" s="8"/>
      <c r="AE143" s="8"/>
      <c r="AF143" s="8"/>
      <c r="AG143" s="8"/>
      <c r="AH143" s="8"/>
      <c r="AI143" s="8"/>
      <c r="AJ143" s="8"/>
    </row>
    <row r="144" spans="1:36" ht="15" customHeight="1" x14ac:dyDescent="0.35">
      <c r="A144" s="4" t="s">
        <v>186</v>
      </c>
      <c r="B144" s="1" t="s">
        <v>3684</v>
      </c>
      <c r="C144" s="11">
        <v>44950</v>
      </c>
      <c r="D144" s="11" t="s">
        <v>4057</v>
      </c>
      <c r="E144" s="1" t="s">
        <v>21</v>
      </c>
      <c r="F144" s="1" t="s">
        <v>4058</v>
      </c>
      <c r="G144" s="6">
        <f>COUNTIF(F:F,Table2[[#This Row],[Form '#]])</f>
        <v>1</v>
      </c>
      <c r="H144" s="1" t="s">
        <v>2665</v>
      </c>
      <c r="I144" s="1" t="s">
        <v>3864</v>
      </c>
      <c r="J144" s="1" t="s">
        <v>78</v>
      </c>
      <c r="K144" s="1" t="s">
        <v>3879</v>
      </c>
      <c r="L144" s="1"/>
      <c r="M144" s="6" t="str">
        <f>IF(Table2[[#This Row],[Corrected Form '#
 (If Duplicated)]]="",Table2[[#This Row],[Form '#]],Table2[[#This Row],[Corrected Form '#
 (If Duplicated)]])</f>
        <v>7818-12241</v>
      </c>
      <c r="N144" s="1" t="s">
        <v>49</v>
      </c>
      <c r="O144" s="6" t="str">
        <f>IF(Table2[[#This Row],[POG CONFIRMATION RECEIPT OF ORDER
(DATE &amp; TIME)]]="","No Confirmation","Received Confirmation")</f>
        <v>Received Confirmation</v>
      </c>
      <c r="P144" s="6">
        <f ca="1">TODAY()-Table2[[#This Row],[DATE SENT TO POG]]</f>
        <v>353</v>
      </c>
      <c r="Q144" s="6" t="s">
        <v>5803</v>
      </c>
      <c r="R1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4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44" s="2" t="str">
        <f>_xlfn.XLOOKUP(Table2[[#This Row],[Adjusted Form '#]],'[2]IN PROGRESS'!$D:$D,'[2]IN PROGRESS'!$M:$M,"Not Found")</f>
        <v>Not Found</v>
      </c>
      <c r="U144" s="2" t="str">
        <f>_xlfn.XLOOKUP(Table2[[#This Row],[Adjusted Form '#]],[1]COMPLETED!$D:$D,[2]COMPLETED!$M:$M,"Not Found")</f>
        <v>Not Found</v>
      </c>
      <c r="V144" s="17">
        <f>_xlfn.XLOOKUP(Table2[[#This Row],[Adjusted Form '#]],[2]COMPLETED!$D:$D,[2]COMPLETED!$O:$O,"Not Found")</f>
        <v>0</v>
      </c>
      <c r="W144" s="2" t="str">
        <f>_xlfn.XLOOKUP(Table2[[#This Row],[Adjusted Form '#]],[2]BILLED!$D:$D,[2]BILLED!$M:$M,"Not Found")</f>
        <v>Not Found</v>
      </c>
      <c r="X144" s="17" t="str">
        <f>_xlfn.XLOOKUP(Table2[[#This Row],[Adjusted Form '#]],[2]BILLED!$D:$D,[1]BILLED!$O:$O,"Not Found")</f>
        <v>Not Found</v>
      </c>
      <c r="Y144" s="17" t="e">
        <f>_xlfn.XLOOKUP(Table2[[#This Row],[Adjusted Form '#]],'[2]REJECTED ORDERS'!$D:$D,'[2]REJECTED ORDERS'!$E:$E)</f>
        <v>#N/A</v>
      </c>
      <c r="Z144" s="1"/>
      <c r="AA144" s="1"/>
      <c r="AB144" s="8"/>
      <c r="AC144" s="8"/>
      <c r="AD144" s="8"/>
      <c r="AE144" s="8"/>
      <c r="AF144" s="8"/>
      <c r="AG144" s="8"/>
      <c r="AH144" s="8"/>
      <c r="AI144" s="8"/>
      <c r="AJ144" s="8"/>
    </row>
    <row r="145" spans="1:36" ht="15" customHeight="1" x14ac:dyDescent="0.35">
      <c r="A145" s="4" t="s">
        <v>187</v>
      </c>
      <c r="B145" s="1" t="s">
        <v>1240</v>
      </c>
      <c r="C145" s="11">
        <v>44950</v>
      </c>
      <c r="D145" s="11" t="s">
        <v>4059</v>
      </c>
      <c r="E145" s="1" t="s">
        <v>191</v>
      </c>
      <c r="F145" s="1" t="s">
        <v>4060</v>
      </c>
      <c r="G145" s="6">
        <f>COUNTIF(F:F,Table2[[#This Row],[Form '#]])</f>
        <v>2</v>
      </c>
      <c r="H145" s="1" t="s">
        <v>2517</v>
      </c>
      <c r="I145" s="1" t="s">
        <v>127</v>
      </c>
      <c r="J145" s="1" t="s">
        <v>76</v>
      </c>
      <c r="K145" s="1" t="s">
        <v>3891</v>
      </c>
      <c r="L145" s="1"/>
      <c r="M145" s="6" t="str">
        <f>IF(Table2[[#This Row],[Corrected Form '#
 (If Duplicated)]]="",Table2[[#This Row],[Form '#]],Table2[[#This Row],[Corrected Form '#
 (If Duplicated)]])</f>
        <v>7812-01559</v>
      </c>
      <c r="N145" s="1" t="s">
        <v>49</v>
      </c>
      <c r="O145" s="6" t="str">
        <f>IF(Table2[[#This Row],[POG CONFIRMATION RECEIPT OF ORDER
(DATE &amp; TIME)]]="","No Confirmation","Received Confirmation")</f>
        <v>Received Confirmation</v>
      </c>
      <c r="P145" s="6">
        <f ca="1">TODAY()-Table2[[#This Row],[DATE SENT TO POG]]</f>
        <v>353</v>
      </c>
      <c r="Q145" s="6" t="s">
        <v>5803</v>
      </c>
      <c r="R1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" s="2" t="str">
        <f>_xlfn.XLOOKUP(Table2[[#This Row],[Adjusted Form '#]],'[2]IN PROGRESS'!$D:$D,'[2]IN PROGRESS'!$M:$M,"Not Found")</f>
        <v>Not Found</v>
      </c>
      <c r="U145" s="2" t="str">
        <f>_xlfn.XLOOKUP(Table2[[#This Row],[Adjusted Form '#]],[1]COMPLETED!$D:$D,[2]COMPLETED!$M:$M,"Not Found")</f>
        <v>Not Found</v>
      </c>
      <c r="V145" s="17" t="str">
        <f>_xlfn.XLOOKUP(Table2[[#This Row],[Adjusted Form '#]],[2]COMPLETED!$D:$D,[2]COMPLETED!$O:$O,"Not Found")</f>
        <v>Not Found</v>
      </c>
      <c r="W145" s="2" t="str">
        <f>_xlfn.XLOOKUP(Table2[[#This Row],[Adjusted Form '#]],[2]BILLED!$D:$D,[2]BILLED!$M:$M,"Not Found")</f>
        <v>1Z5063E0YW41145978</v>
      </c>
      <c r="X145" s="17" t="e">
        <f>_xlfn.XLOOKUP(Table2[[#This Row],[Adjusted Form '#]],[2]BILLED!$D:$D,[1]BILLED!$O:$O,"Not Found")</f>
        <v>#REF!</v>
      </c>
      <c r="Y145" s="17" t="e">
        <f>_xlfn.XLOOKUP(Table2[[#This Row],[Adjusted Form '#]],'[2]REJECTED ORDERS'!$D:$D,'[2]REJECTED ORDERS'!$E:$E)</f>
        <v>#N/A</v>
      </c>
      <c r="Z145" s="1"/>
      <c r="AA145" s="1"/>
      <c r="AB145" s="8"/>
      <c r="AC145" s="8"/>
      <c r="AD145" s="8"/>
      <c r="AE145" s="8"/>
      <c r="AF145" s="8"/>
      <c r="AG145" s="8"/>
      <c r="AH145" s="8"/>
      <c r="AI145" s="8"/>
      <c r="AJ145" s="8"/>
    </row>
    <row r="146" spans="1:36" ht="15" customHeight="1" x14ac:dyDescent="0.35">
      <c r="A146" s="4" t="s">
        <v>188</v>
      </c>
      <c r="B146" s="1" t="s">
        <v>1240</v>
      </c>
      <c r="C146" s="11">
        <v>44950</v>
      </c>
      <c r="D146" s="11" t="s">
        <v>4059</v>
      </c>
      <c r="E146" s="1" t="s">
        <v>191</v>
      </c>
      <c r="F146" s="1" t="s">
        <v>4060</v>
      </c>
      <c r="G146" s="6">
        <f>COUNTIF(F:F,Table2[[#This Row],[Form '#]])</f>
        <v>2</v>
      </c>
      <c r="H146" s="1" t="s">
        <v>4061</v>
      </c>
      <c r="I146" s="1" t="s">
        <v>3864</v>
      </c>
      <c r="J146" s="1" t="s">
        <v>3891</v>
      </c>
      <c r="K146" s="1" t="s">
        <v>3891</v>
      </c>
      <c r="L146" s="1"/>
      <c r="M146" s="6" t="str">
        <f>IF(Table2[[#This Row],[Corrected Form '#
 (If Duplicated)]]="",Table2[[#This Row],[Form '#]],Table2[[#This Row],[Corrected Form '#
 (If Duplicated)]])</f>
        <v>7812-01559</v>
      </c>
      <c r="N146" s="1" t="s">
        <v>49</v>
      </c>
      <c r="O146" s="6" t="str">
        <f>IF(Table2[[#This Row],[POG CONFIRMATION RECEIPT OF ORDER
(DATE &amp; TIME)]]="","No Confirmation","Received Confirmation")</f>
        <v>Received Confirmation</v>
      </c>
      <c r="P146" s="6">
        <f ca="1">TODAY()-Table2[[#This Row],[DATE SENT TO POG]]</f>
        <v>353</v>
      </c>
      <c r="Q146" s="6" t="s">
        <v>5803</v>
      </c>
      <c r="R1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" s="2" t="str">
        <f>_xlfn.XLOOKUP(Table2[[#This Row],[Adjusted Form '#]],'[2]IN PROGRESS'!$D:$D,'[2]IN PROGRESS'!$M:$M,"Not Found")</f>
        <v>Not Found</v>
      </c>
      <c r="U146" s="2" t="str">
        <f>_xlfn.XLOOKUP(Table2[[#This Row],[Adjusted Form '#]],[1]COMPLETED!$D:$D,[2]COMPLETED!$M:$M,"Not Found")</f>
        <v>Not Found</v>
      </c>
      <c r="V146" s="17" t="str">
        <f>_xlfn.XLOOKUP(Table2[[#This Row],[Adjusted Form '#]],[2]COMPLETED!$D:$D,[2]COMPLETED!$O:$O,"Not Found")</f>
        <v>Not Found</v>
      </c>
      <c r="W146" s="2" t="str">
        <f>_xlfn.XLOOKUP(Table2[[#This Row],[Adjusted Form '#]],[2]BILLED!$D:$D,[2]BILLED!$M:$M,"Not Found")</f>
        <v>1Z5063E0YW41145978</v>
      </c>
      <c r="X146" s="17" t="e">
        <f>_xlfn.XLOOKUP(Table2[[#This Row],[Adjusted Form '#]],[2]BILLED!$D:$D,[1]BILLED!$O:$O,"Not Found")</f>
        <v>#REF!</v>
      </c>
      <c r="Y146" s="17" t="e">
        <f>_xlfn.XLOOKUP(Table2[[#This Row],[Adjusted Form '#]],'[2]REJECTED ORDERS'!$D:$D,'[2]REJECTED ORDERS'!$E:$E)</f>
        <v>#N/A</v>
      </c>
      <c r="Z146" s="1"/>
      <c r="AA146" s="1"/>
      <c r="AB146" s="8"/>
      <c r="AC146" s="8"/>
      <c r="AD146" s="8"/>
      <c r="AE146" s="8"/>
      <c r="AF146" s="8"/>
      <c r="AG146" s="8"/>
      <c r="AH146" s="8"/>
      <c r="AI146" s="8"/>
      <c r="AJ146" s="8"/>
    </row>
    <row r="147" spans="1:36" ht="15" customHeight="1" x14ac:dyDescent="0.35">
      <c r="A147" s="4" t="s">
        <v>189</v>
      </c>
      <c r="B147" s="1" t="s">
        <v>1317</v>
      </c>
      <c r="C147" s="11">
        <v>44950</v>
      </c>
      <c r="D147" s="11" t="s">
        <v>4059</v>
      </c>
      <c r="E147" s="1" t="s">
        <v>73</v>
      </c>
      <c r="F147" s="1" t="s">
        <v>3890</v>
      </c>
      <c r="G147" s="6">
        <f>COUNTIF(F:F,Table2[[#This Row],[Form '#]])</f>
        <v>2</v>
      </c>
      <c r="H147" s="1" t="s">
        <v>3892</v>
      </c>
      <c r="I147" s="1" t="s">
        <v>758</v>
      </c>
      <c r="J147" s="1" t="s">
        <v>3891</v>
      </c>
      <c r="K147" s="1" t="s">
        <v>3853</v>
      </c>
      <c r="L147" s="1"/>
      <c r="M147" s="6" t="str">
        <f>IF(Table2[[#This Row],[Corrected Form '#
 (If Duplicated)]]="",Table2[[#This Row],[Form '#]],Table2[[#This Row],[Corrected Form '#
 (If Duplicated)]])</f>
        <v>7823-03381</v>
      </c>
      <c r="N147" s="1" t="s">
        <v>49</v>
      </c>
      <c r="O147" s="6" t="str">
        <f>IF(Table2[[#This Row],[POG CONFIRMATION RECEIPT OF ORDER
(DATE &amp; TIME)]]="","No Confirmation","Received Confirmation")</f>
        <v>Received Confirmation</v>
      </c>
      <c r="P147" s="6">
        <f ca="1">TODAY()-Table2[[#This Row],[DATE SENT TO POG]]</f>
        <v>353</v>
      </c>
      <c r="Q147" s="6" t="s">
        <v>5803</v>
      </c>
      <c r="R1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" s="2" t="str">
        <f>_xlfn.XLOOKUP(Table2[[#This Row],[Adjusted Form '#]],'[2]IN PROGRESS'!$D:$D,'[2]IN PROGRESS'!$M:$M,"Not Found")</f>
        <v>Not Found</v>
      </c>
      <c r="U147" s="2" t="str">
        <f>_xlfn.XLOOKUP(Table2[[#This Row],[Adjusted Form '#]],[1]COMPLETED!$D:$D,[2]COMPLETED!$M:$M,"Not Found")</f>
        <v>Not Found</v>
      </c>
      <c r="V147" s="17" t="str">
        <f>_xlfn.XLOOKUP(Table2[[#This Row],[Adjusted Form '#]],[2]COMPLETED!$D:$D,[2]COMPLETED!$O:$O,"Not Found")</f>
        <v>Not Found</v>
      </c>
      <c r="W147" s="2" t="str">
        <f>_xlfn.XLOOKUP(Table2[[#This Row],[Adjusted Form '#]],[2]BILLED!$D:$D,[2]BILLED!$M:$M,"Not Found")</f>
        <v>9400 1112 0620 7376 7081 25</v>
      </c>
      <c r="X147" s="17" t="e">
        <f>_xlfn.XLOOKUP(Table2[[#This Row],[Adjusted Form '#]],[2]BILLED!$D:$D,[1]BILLED!$O:$O,"Not Found")</f>
        <v>#REF!</v>
      </c>
      <c r="Y147" s="17" t="e">
        <f>_xlfn.XLOOKUP(Table2[[#This Row],[Adjusted Form '#]],'[2]REJECTED ORDERS'!$D:$D,'[2]REJECTED ORDERS'!$E:$E)</f>
        <v>#N/A</v>
      </c>
      <c r="Z147" s="1"/>
      <c r="AA147" s="1"/>
      <c r="AB147" s="8"/>
      <c r="AC147" s="8"/>
      <c r="AD147" s="8"/>
      <c r="AE147" s="8"/>
      <c r="AF147" s="8"/>
      <c r="AG147" s="8"/>
      <c r="AH147" s="8"/>
      <c r="AI147" s="8"/>
      <c r="AJ147" s="8"/>
    </row>
    <row r="148" spans="1:36" ht="15" customHeight="1" x14ac:dyDescent="0.35">
      <c r="A148" s="4" t="s">
        <v>192</v>
      </c>
      <c r="B148" s="1" t="s">
        <v>1591</v>
      </c>
      <c r="C148" s="11">
        <v>44950</v>
      </c>
      <c r="D148" s="11" t="s">
        <v>4062</v>
      </c>
      <c r="E148" s="1" t="s">
        <v>73</v>
      </c>
      <c r="F148" s="1" t="s">
        <v>4063</v>
      </c>
      <c r="G148" s="6">
        <f>COUNTIF(F:F,Table2[[#This Row],[Form '#]])</f>
        <v>1</v>
      </c>
      <c r="H148" s="1" t="s">
        <v>4064</v>
      </c>
      <c r="I148" s="1" t="s">
        <v>3864</v>
      </c>
      <c r="J148" s="1" t="s">
        <v>78</v>
      </c>
      <c r="K148" s="1" t="s">
        <v>3879</v>
      </c>
      <c r="L148" s="1"/>
      <c r="M148" s="6" t="str">
        <f>IF(Table2[[#This Row],[Corrected Form '#
 (If Duplicated)]]="",Table2[[#This Row],[Form '#]],Table2[[#This Row],[Corrected Form '#
 (If Duplicated)]])</f>
        <v>7823-01653</v>
      </c>
      <c r="N148" s="1" t="s">
        <v>49</v>
      </c>
      <c r="O148" s="6" t="str">
        <f>IF(Table2[[#This Row],[POG CONFIRMATION RECEIPT OF ORDER
(DATE &amp; TIME)]]="","No Confirmation","Received Confirmation")</f>
        <v>Received Confirmation</v>
      </c>
      <c r="P148" s="6">
        <f ca="1">TODAY()-Table2[[#This Row],[DATE SENT TO POG]]</f>
        <v>353</v>
      </c>
      <c r="Q148" s="6" t="s">
        <v>5803</v>
      </c>
      <c r="R1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" s="2" t="str">
        <f>_xlfn.XLOOKUP(Table2[[#This Row],[Adjusted Form '#]],'[2]IN PROGRESS'!$D:$D,'[2]IN PROGRESS'!$M:$M,"Not Found")</f>
        <v>Not Found</v>
      </c>
      <c r="U148" s="2" t="str">
        <f>_xlfn.XLOOKUP(Table2[[#This Row],[Adjusted Form '#]],[1]COMPLETED!$D:$D,[2]COMPLETED!$M:$M,"Not Found")</f>
        <v>Not Found</v>
      </c>
      <c r="V148" s="17" t="str">
        <f>_xlfn.XLOOKUP(Table2[[#This Row],[Adjusted Form '#]],[2]COMPLETED!$D:$D,[2]COMPLETED!$O:$O,"Not Found")</f>
        <v>Not Found</v>
      </c>
      <c r="W148" s="2" t="str">
        <f>_xlfn.XLOOKUP(Table2[[#This Row],[Adjusted Form '#]],[2]BILLED!$D:$D,[2]BILLED!$M:$M,"Not Found")</f>
        <v>1Z5063E0YW41579198</v>
      </c>
      <c r="X148" s="17" t="e">
        <f>_xlfn.XLOOKUP(Table2[[#This Row],[Adjusted Form '#]],[2]BILLED!$D:$D,[1]BILLED!$O:$O,"Not Found")</f>
        <v>#REF!</v>
      </c>
      <c r="Y148" s="17" t="e">
        <f>_xlfn.XLOOKUP(Table2[[#This Row],[Adjusted Form '#]],'[2]REJECTED ORDERS'!$D:$D,'[2]REJECTED ORDERS'!$E:$E)</f>
        <v>#N/A</v>
      </c>
      <c r="Z148" s="1"/>
      <c r="AA148" s="1"/>
      <c r="AB148" s="8"/>
      <c r="AC148" s="8"/>
      <c r="AD148" s="8"/>
      <c r="AE148" s="8"/>
      <c r="AF148" s="8"/>
      <c r="AG148" s="8"/>
      <c r="AH148" s="8"/>
      <c r="AI148" s="8"/>
      <c r="AJ148" s="8"/>
    </row>
    <row r="149" spans="1:36" ht="15" customHeight="1" x14ac:dyDescent="0.35">
      <c r="A149" s="4" t="s">
        <v>193</v>
      </c>
      <c r="B149" s="1" t="s">
        <v>1369</v>
      </c>
      <c r="C149" s="11">
        <v>44951</v>
      </c>
      <c r="D149" s="11" t="s">
        <v>4065</v>
      </c>
      <c r="E149" s="1" t="s">
        <v>21</v>
      </c>
      <c r="F149" s="1" t="s">
        <v>4066</v>
      </c>
      <c r="G149" s="6">
        <f>COUNTIF(F:F,Table2[[#This Row],[Form '#]])</f>
        <v>2</v>
      </c>
      <c r="H149" s="1" t="s">
        <v>4067</v>
      </c>
      <c r="I149" s="1" t="s">
        <v>3852</v>
      </c>
      <c r="J149" s="1" t="s">
        <v>75</v>
      </c>
      <c r="K149" s="1" t="s">
        <v>3879</v>
      </c>
      <c r="L149" s="1"/>
      <c r="M149" s="6" t="str">
        <f>IF(Table2[[#This Row],[Corrected Form '#
 (If Duplicated)]]="",Table2[[#This Row],[Form '#]],Table2[[#This Row],[Corrected Form '#
 (If Duplicated)]])</f>
        <v>7818-25147</v>
      </c>
      <c r="N149" s="1" t="s">
        <v>49</v>
      </c>
      <c r="O149" s="6" t="str">
        <f>IF(Table2[[#This Row],[POG CONFIRMATION RECEIPT OF ORDER
(DATE &amp; TIME)]]="","No Confirmation","Received Confirmation")</f>
        <v>Received Confirmation</v>
      </c>
      <c r="P149" s="6">
        <f ca="1">TODAY()-Table2[[#This Row],[DATE SENT TO POG]]</f>
        <v>352</v>
      </c>
      <c r="Q149" s="6" t="s">
        <v>5803</v>
      </c>
      <c r="R1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" s="2" t="str">
        <f>_xlfn.XLOOKUP(Table2[[#This Row],[Adjusted Form '#]],'[2]IN PROGRESS'!$D:$D,'[2]IN PROGRESS'!$M:$M,"Not Found")</f>
        <v>Not Found</v>
      </c>
      <c r="U149" s="2" t="str">
        <f>_xlfn.XLOOKUP(Table2[[#This Row],[Adjusted Form '#]],[1]COMPLETED!$D:$D,[2]COMPLETED!$M:$M,"Not Found")</f>
        <v>Not Found</v>
      </c>
      <c r="V149" s="17" t="str">
        <f>_xlfn.XLOOKUP(Table2[[#This Row],[Adjusted Form '#]],[2]COMPLETED!$D:$D,[2]COMPLETED!$O:$O,"Not Found")</f>
        <v>Not Found</v>
      </c>
      <c r="W149" s="2" t="str">
        <f>_xlfn.XLOOKUP(Table2[[#This Row],[Adjusted Form '#]],[2]BILLED!$D:$D,[2]BILLED!$M:$M,"Not Found")</f>
        <v>1Z5063E0YW41829800</v>
      </c>
      <c r="X149" s="17" t="e">
        <f>_xlfn.XLOOKUP(Table2[[#This Row],[Adjusted Form '#]],[2]BILLED!$D:$D,[1]BILLED!$O:$O,"Not Found")</f>
        <v>#REF!</v>
      </c>
      <c r="Y149" s="17" t="e">
        <f>_xlfn.XLOOKUP(Table2[[#This Row],[Adjusted Form '#]],'[2]REJECTED ORDERS'!$D:$D,'[2]REJECTED ORDERS'!$E:$E)</f>
        <v>#N/A</v>
      </c>
      <c r="Z149" s="1"/>
      <c r="AA149" s="1"/>
      <c r="AB149" s="8"/>
      <c r="AC149" s="8"/>
      <c r="AD149" s="8"/>
      <c r="AE149" s="8"/>
      <c r="AF149" s="8"/>
      <c r="AG149" s="8"/>
      <c r="AH149" s="8"/>
      <c r="AI149" s="8"/>
      <c r="AJ149" s="8"/>
    </row>
    <row r="150" spans="1:36" ht="15" customHeight="1" x14ac:dyDescent="0.35">
      <c r="A150" s="4" t="s">
        <v>194</v>
      </c>
      <c r="B150" s="1" t="s">
        <v>1369</v>
      </c>
      <c r="C150" s="11">
        <v>44951</v>
      </c>
      <c r="D150" s="11" t="s">
        <v>4065</v>
      </c>
      <c r="E150" s="1" t="s">
        <v>21</v>
      </c>
      <c r="F150" s="1" t="s">
        <v>4068</v>
      </c>
      <c r="G150" s="6">
        <f>COUNTIF(F:F,Table2[[#This Row],[Form '#]])</f>
        <v>1</v>
      </c>
      <c r="H150" s="1" t="s">
        <v>391</v>
      </c>
      <c r="I150" s="1" t="s">
        <v>3864</v>
      </c>
      <c r="J150" s="1" t="s">
        <v>78</v>
      </c>
      <c r="K150" s="1" t="s">
        <v>3879</v>
      </c>
      <c r="L150" s="1"/>
      <c r="M150" s="6" t="str">
        <f>IF(Table2[[#This Row],[Corrected Form '#
 (If Duplicated)]]="",Table2[[#This Row],[Form '#]],Table2[[#This Row],[Corrected Form '#
 (If Duplicated)]])</f>
        <v>7818-07949</v>
      </c>
      <c r="N150" s="1" t="s">
        <v>49</v>
      </c>
      <c r="O150" s="6" t="str">
        <f>IF(Table2[[#This Row],[POG CONFIRMATION RECEIPT OF ORDER
(DATE &amp; TIME)]]="","No Confirmation","Received Confirmation")</f>
        <v>Received Confirmation</v>
      </c>
      <c r="P150" s="6">
        <f ca="1">TODAY()-Table2[[#This Row],[DATE SENT TO POG]]</f>
        <v>352</v>
      </c>
      <c r="Q150" s="6" t="s">
        <v>5803</v>
      </c>
      <c r="R1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" s="2" t="str">
        <f>_xlfn.XLOOKUP(Table2[[#This Row],[Adjusted Form '#]],'[2]IN PROGRESS'!$D:$D,'[2]IN PROGRESS'!$M:$M,"Not Found")</f>
        <v>Not Found</v>
      </c>
      <c r="U150" s="2" t="str">
        <f>_xlfn.XLOOKUP(Table2[[#This Row],[Adjusted Form '#]],[1]COMPLETED!$D:$D,[2]COMPLETED!$M:$M,"Not Found")</f>
        <v>Not Found</v>
      </c>
      <c r="V150" s="17" t="str">
        <f>_xlfn.XLOOKUP(Table2[[#This Row],[Adjusted Form '#]],[2]COMPLETED!$D:$D,[2]COMPLETED!$O:$O,"Not Found")</f>
        <v>Not Found</v>
      </c>
      <c r="W150" s="2" t="str">
        <f>_xlfn.XLOOKUP(Table2[[#This Row],[Adjusted Form '#]],[2]BILLED!$D:$D,[2]BILLED!$M:$M,"Not Found")</f>
        <v>1Z5063E0YW40441284</v>
      </c>
      <c r="X150" s="17" t="e">
        <f>_xlfn.XLOOKUP(Table2[[#This Row],[Adjusted Form '#]],[2]BILLED!$D:$D,[1]BILLED!$O:$O,"Not Found")</f>
        <v>#REF!</v>
      </c>
      <c r="Y150" s="17" t="e">
        <f>_xlfn.XLOOKUP(Table2[[#This Row],[Adjusted Form '#]],'[2]REJECTED ORDERS'!$D:$D,'[2]REJECTED ORDERS'!$E:$E)</f>
        <v>#N/A</v>
      </c>
      <c r="Z150" s="1"/>
      <c r="AA150" s="1"/>
      <c r="AB150" s="8"/>
      <c r="AC150" s="8"/>
      <c r="AD150" s="8"/>
      <c r="AE150" s="8"/>
      <c r="AF150" s="8"/>
      <c r="AG150" s="8"/>
      <c r="AH150" s="8"/>
      <c r="AI150" s="8"/>
      <c r="AJ150" s="8"/>
    </row>
    <row r="151" spans="1:36" ht="15" customHeight="1" x14ac:dyDescent="0.35">
      <c r="A151" s="4" t="s">
        <v>195</v>
      </c>
      <c r="B151" s="1" t="s">
        <v>3674</v>
      </c>
      <c r="C151" s="11">
        <v>44951</v>
      </c>
      <c r="D151" s="11" t="s">
        <v>4065</v>
      </c>
      <c r="E151" s="1" t="s">
        <v>21</v>
      </c>
      <c r="F151" s="1" t="s">
        <v>4069</v>
      </c>
      <c r="G151" s="6">
        <f>COUNTIF(F:F,Table2[[#This Row],[Form '#]])</f>
        <v>1</v>
      </c>
      <c r="H151" s="1" t="s">
        <v>4070</v>
      </c>
      <c r="I151" s="1" t="s">
        <v>3864</v>
      </c>
      <c r="J151" s="1" t="s">
        <v>78</v>
      </c>
      <c r="K151" s="1" t="s">
        <v>3879</v>
      </c>
      <c r="L151" s="1"/>
      <c r="M151" s="6" t="str">
        <f>IF(Table2[[#This Row],[Corrected Form '#
 (If Duplicated)]]="",Table2[[#This Row],[Form '#]],Table2[[#This Row],[Corrected Form '#
 (If Duplicated)]])</f>
        <v>7818-16288</v>
      </c>
      <c r="N151" s="1" t="s">
        <v>49</v>
      </c>
      <c r="O151" s="6" t="str">
        <f>IF(Table2[[#This Row],[POG CONFIRMATION RECEIPT OF ORDER
(DATE &amp; TIME)]]="","No Confirmation","Received Confirmation")</f>
        <v>Received Confirmation</v>
      </c>
      <c r="P151" s="6">
        <f ca="1">TODAY()-Table2[[#This Row],[DATE SENT TO POG]]</f>
        <v>352</v>
      </c>
      <c r="Q151" s="6" t="s">
        <v>5803</v>
      </c>
      <c r="R1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" s="2" t="str">
        <f>_xlfn.XLOOKUP(Table2[[#This Row],[Adjusted Form '#]],'[2]IN PROGRESS'!$D:$D,'[2]IN PROGRESS'!$M:$M,"Not Found")</f>
        <v>Not Found</v>
      </c>
      <c r="U151" s="2" t="str">
        <f>_xlfn.XLOOKUP(Table2[[#This Row],[Adjusted Form '#]],[1]COMPLETED!$D:$D,[2]COMPLETED!$M:$M,"Not Found")</f>
        <v>Not Found</v>
      </c>
      <c r="V151" s="17" t="str">
        <f>_xlfn.XLOOKUP(Table2[[#This Row],[Adjusted Form '#]],[2]COMPLETED!$D:$D,[2]COMPLETED!$O:$O,"Not Found")</f>
        <v>Not Found</v>
      </c>
      <c r="W151" s="2" t="str">
        <f>_xlfn.XLOOKUP(Table2[[#This Row],[Adjusted Form '#]],[2]BILLED!$D:$D,[2]BILLED!$M:$M,"Not Found")</f>
        <v>1Z5063E0YW42496614</v>
      </c>
      <c r="X151" s="17" t="e">
        <f>_xlfn.XLOOKUP(Table2[[#This Row],[Adjusted Form '#]],[2]BILLED!$D:$D,[1]BILLED!$O:$O,"Not Found")</f>
        <v>#REF!</v>
      </c>
      <c r="Y151" s="17" t="e">
        <f>_xlfn.XLOOKUP(Table2[[#This Row],[Adjusted Form '#]],'[2]REJECTED ORDERS'!$D:$D,'[2]REJECTED ORDERS'!$E:$E)</f>
        <v>#N/A</v>
      </c>
      <c r="Z151" s="1"/>
      <c r="AA151" s="1"/>
      <c r="AB151" s="8"/>
      <c r="AC151" s="8"/>
      <c r="AD151" s="8"/>
      <c r="AE151" s="8"/>
      <c r="AF151" s="8"/>
      <c r="AG151" s="8"/>
      <c r="AH151" s="8"/>
      <c r="AI151" s="8"/>
      <c r="AJ151" s="8"/>
    </row>
    <row r="152" spans="1:36" ht="15" customHeight="1" x14ac:dyDescent="0.35">
      <c r="A152" s="4" t="s">
        <v>198</v>
      </c>
      <c r="B152" s="1" t="s">
        <v>3344</v>
      </c>
      <c r="C152" s="11">
        <v>44951</v>
      </c>
      <c r="D152" s="11" t="s">
        <v>4071</v>
      </c>
      <c r="E152" s="1" t="s">
        <v>73</v>
      </c>
      <c r="F152" s="1" t="s">
        <v>4072</v>
      </c>
      <c r="G152" s="6">
        <f>COUNTIF(F:F,Table2[[#This Row],[Form '#]])</f>
        <v>1</v>
      </c>
      <c r="H152" s="1" t="s">
        <v>4073</v>
      </c>
      <c r="I152" s="1" t="s">
        <v>3852</v>
      </c>
      <c r="J152" s="1" t="s">
        <v>75</v>
      </c>
      <c r="K152" s="1" t="s">
        <v>3853</v>
      </c>
      <c r="L152" s="1"/>
      <c r="M152" s="6" t="str">
        <f>IF(Table2[[#This Row],[Corrected Form '#
 (If Duplicated)]]="",Table2[[#This Row],[Form '#]],Table2[[#This Row],[Corrected Form '#
 (If Duplicated)]])</f>
        <v>7823-02842</v>
      </c>
      <c r="N152" s="1" t="s">
        <v>49</v>
      </c>
      <c r="O152" s="6" t="str">
        <f>IF(Table2[[#This Row],[POG CONFIRMATION RECEIPT OF ORDER
(DATE &amp; TIME)]]="","No Confirmation","Received Confirmation")</f>
        <v>Received Confirmation</v>
      </c>
      <c r="P152" s="6">
        <f ca="1">TODAY()-Table2[[#This Row],[DATE SENT TO POG]]</f>
        <v>352</v>
      </c>
      <c r="Q152" s="6" t="s">
        <v>5803</v>
      </c>
      <c r="R1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" s="2" t="str">
        <f>_xlfn.XLOOKUP(Table2[[#This Row],[Adjusted Form '#]],'[2]IN PROGRESS'!$D:$D,'[2]IN PROGRESS'!$M:$M,"Not Found")</f>
        <v>Not Found</v>
      </c>
      <c r="U152" s="2" t="str">
        <f>_xlfn.XLOOKUP(Table2[[#This Row],[Adjusted Form '#]],[1]COMPLETED!$D:$D,[2]COMPLETED!$M:$M,"Not Found")</f>
        <v>Not Found</v>
      </c>
      <c r="V152" s="17" t="str">
        <f>_xlfn.XLOOKUP(Table2[[#This Row],[Adjusted Form '#]],[2]COMPLETED!$D:$D,[2]COMPLETED!$O:$O,"Not Found")</f>
        <v>Not Found</v>
      </c>
      <c r="W152" s="2" t="str">
        <f>_xlfn.XLOOKUP(Table2[[#This Row],[Adjusted Form '#]],[2]BILLED!$D:$D,[2]BILLED!$M:$M,"Not Found")</f>
        <v>1Z5063E0YW42635133</v>
      </c>
      <c r="X152" s="17" t="e">
        <f>_xlfn.XLOOKUP(Table2[[#This Row],[Adjusted Form '#]],[2]BILLED!$D:$D,[1]BILLED!$O:$O,"Not Found")</f>
        <v>#REF!</v>
      </c>
      <c r="Y152" s="17" t="e">
        <f>_xlfn.XLOOKUP(Table2[[#This Row],[Adjusted Form '#]],'[2]REJECTED ORDERS'!$D:$D,'[2]REJECTED ORDERS'!$E:$E)</f>
        <v>#N/A</v>
      </c>
      <c r="Z152" s="1"/>
      <c r="AA152" s="1"/>
      <c r="AB152" s="8"/>
      <c r="AC152" s="8"/>
      <c r="AD152" s="8"/>
      <c r="AE152" s="8"/>
      <c r="AF152" s="8"/>
      <c r="AG152" s="8"/>
      <c r="AH152" s="8"/>
      <c r="AI152" s="8"/>
      <c r="AJ152" s="8"/>
    </row>
    <row r="153" spans="1:36" ht="15" customHeight="1" x14ac:dyDescent="0.35">
      <c r="A153" s="4" t="s">
        <v>200</v>
      </c>
      <c r="B153" s="1" t="s">
        <v>3344</v>
      </c>
      <c r="C153" s="11">
        <v>44951</v>
      </c>
      <c r="D153" s="11" t="s">
        <v>4071</v>
      </c>
      <c r="E153" s="1" t="s">
        <v>73</v>
      </c>
      <c r="F153" s="1" t="s">
        <v>4074</v>
      </c>
      <c r="G153" s="6">
        <f>COUNTIF(F:F,Table2[[#This Row],[Form '#]])</f>
        <v>1</v>
      </c>
      <c r="H153" s="1" t="s">
        <v>2798</v>
      </c>
      <c r="I153" s="1" t="s">
        <v>758</v>
      </c>
      <c r="J153" s="1" t="s">
        <v>78</v>
      </c>
      <c r="K153" s="1" t="s">
        <v>3853</v>
      </c>
      <c r="L153" s="1"/>
      <c r="M153" s="6" t="str">
        <f>IF(Table2[[#This Row],[Corrected Form '#
 (If Duplicated)]]="",Table2[[#This Row],[Form '#]],Table2[[#This Row],[Corrected Form '#
 (If Duplicated)]])</f>
        <v>7823-02843</v>
      </c>
      <c r="N153" s="1" t="s">
        <v>49</v>
      </c>
      <c r="O153" s="6" t="str">
        <f>IF(Table2[[#This Row],[POG CONFIRMATION RECEIPT OF ORDER
(DATE &amp; TIME)]]="","No Confirmation","Received Confirmation")</f>
        <v>Received Confirmation</v>
      </c>
      <c r="P153" s="6">
        <f ca="1">TODAY()-Table2[[#This Row],[DATE SENT TO POG]]</f>
        <v>352</v>
      </c>
      <c r="Q153" s="6" t="s">
        <v>5803</v>
      </c>
      <c r="R1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" s="2" t="str">
        <f>_xlfn.XLOOKUP(Table2[[#This Row],[Adjusted Form '#]],'[2]IN PROGRESS'!$D:$D,'[2]IN PROGRESS'!$M:$M,"Not Found")</f>
        <v>Not Found</v>
      </c>
      <c r="U153" s="2" t="str">
        <f>_xlfn.XLOOKUP(Table2[[#This Row],[Adjusted Form '#]],[1]COMPLETED!$D:$D,[2]COMPLETED!$M:$M,"Not Found")</f>
        <v>Not Found</v>
      </c>
      <c r="V153" s="17" t="str">
        <f>_xlfn.XLOOKUP(Table2[[#This Row],[Adjusted Form '#]],[2]COMPLETED!$D:$D,[2]COMPLETED!$O:$O,"Not Found")</f>
        <v>Not Found</v>
      </c>
      <c r="W153" s="2" t="str">
        <f>_xlfn.XLOOKUP(Table2[[#This Row],[Adjusted Form '#]],[2]BILLED!$D:$D,[2]BILLED!$M:$M,"Not Found")</f>
        <v>1Z5063E0YW40383043</v>
      </c>
      <c r="X153" s="17" t="e">
        <f>_xlfn.XLOOKUP(Table2[[#This Row],[Adjusted Form '#]],[2]BILLED!$D:$D,[1]BILLED!$O:$O,"Not Found")</f>
        <v>#REF!</v>
      </c>
      <c r="Y153" s="17" t="e">
        <f>_xlfn.XLOOKUP(Table2[[#This Row],[Adjusted Form '#]],'[2]REJECTED ORDERS'!$D:$D,'[2]REJECTED ORDERS'!$E:$E)</f>
        <v>#N/A</v>
      </c>
      <c r="Z153" s="1"/>
      <c r="AA153" s="1"/>
      <c r="AB153" s="8"/>
      <c r="AC153" s="8"/>
      <c r="AD153" s="8"/>
      <c r="AE153" s="8"/>
      <c r="AF153" s="8"/>
      <c r="AG153" s="8"/>
      <c r="AH153" s="8"/>
      <c r="AI153" s="8"/>
      <c r="AJ153" s="8"/>
    </row>
    <row r="154" spans="1:36" ht="15" customHeight="1" x14ac:dyDescent="0.35">
      <c r="A154" s="4" t="s">
        <v>201</v>
      </c>
      <c r="B154" s="1" t="s">
        <v>2676</v>
      </c>
      <c r="C154" s="11">
        <v>44951</v>
      </c>
      <c r="D154" s="11" t="s">
        <v>4075</v>
      </c>
      <c r="E154" s="1" t="s">
        <v>21</v>
      </c>
      <c r="F154" s="1" t="s">
        <v>4076</v>
      </c>
      <c r="G154" s="6">
        <f>COUNTIF(F:F,Table2[[#This Row],[Form '#]])</f>
        <v>1</v>
      </c>
      <c r="H154" s="1" t="s">
        <v>2503</v>
      </c>
      <c r="I154" s="1" t="s">
        <v>28</v>
      </c>
      <c r="J154" s="1" t="s">
        <v>69</v>
      </c>
      <c r="K154" s="1" t="s">
        <v>3898</v>
      </c>
      <c r="L154" s="1"/>
      <c r="M154" s="6" t="str">
        <f>IF(Table2[[#This Row],[Corrected Form '#
 (If Duplicated)]]="",Table2[[#This Row],[Form '#]],Table2[[#This Row],[Corrected Form '#
 (If Duplicated)]])</f>
        <v>7818-20232</v>
      </c>
      <c r="N154" s="1" t="s">
        <v>49</v>
      </c>
      <c r="O154" s="6" t="str">
        <f>IF(Table2[[#This Row],[POG CONFIRMATION RECEIPT OF ORDER
(DATE &amp; TIME)]]="","No Confirmation","Received Confirmation")</f>
        <v>Received Confirmation</v>
      </c>
      <c r="P154" s="6">
        <f ca="1">TODAY()-Table2[[#This Row],[DATE SENT TO POG]]</f>
        <v>352</v>
      </c>
      <c r="Q154" s="6" t="s">
        <v>5803</v>
      </c>
      <c r="R1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" s="2" t="str">
        <f>_xlfn.XLOOKUP(Table2[[#This Row],[Adjusted Form '#]],'[2]IN PROGRESS'!$D:$D,'[2]IN PROGRESS'!$M:$M,"Not Found")</f>
        <v>Not Found</v>
      </c>
      <c r="U154" s="2" t="str">
        <f>_xlfn.XLOOKUP(Table2[[#This Row],[Adjusted Form '#]],[1]COMPLETED!$D:$D,[2]COMPLETED!$M:$M,"Not Found")</f>
        <v>Not Found</v>
      </c>
      <c r="V154" s="17" t="str">
        <f>_xlfn.XLOOKUP(Table2[[#This Row],[Adjusted Form '#]],[2]COMPLETED!$D:$D,[2]COMPLETED!$O:$O,"Not Found")</f>
        <v>Not Found</v>
      </c>
      <c r="W154" s="2" t="str">
        <f>_xlfn.XLOOKUP(Table2[[#This Row],[Adjusted Form '#]],[2]BILLED!$D:$D,[2]BILLED!$M:$M,"Not Found")</f>
        <v>1Z5063E0YW40245460</v>
      </c>
      <c r="X154" s="17" t="e">
        <f>_xlfn.XLOOKUP(Table2[[#This Row],[Adjusted Form '#]],[2]BILLED!$D:$D,[1]BILLED!$O:$O,"Not Found")</f>
        <v>#REF!</v>
      </c>
      <c r="Y154" s="17" t="e">
        <f>_xlfn.XLOOKUP(Table2[[#This Row],[Adjusted Form '#]],'[2]REJECTED ORDERS'!$D:$D,'[2]REJECTED ORDERS'!$E:$E)</f>
        <v>#N/A</v>
      </c>
      <c r="Z154" s="1"/>
      <c r="AA154" s="1"/>
      <c r="AB154" s="8"/>
      <c r="AC154" s="8"/>
      <c r="AD154" s="8"/>
      <c r="AE154" s="8"/>
      <c r="AF154" s="8"/>
      <c r="AG154" s="8"/>
      <c r="AH154" s="8"/>
      <c r="AI154" s="8"/>
      <c r="AJ154" s="8"/>
    </row>
    <row r="155" spans="1:36" ht="15" customHeight="1" x14ac:dyDescent="0.35">
      <c r="A155" s="4" t="s">
        <v>203</v>
      </c>
      <c r="B155" s="1" t="s">
        <v>2676</v>
      </c>
      <c r="C155" s="11">
        <v>44951</v>
      </c>
      <c r="D155" s="11" t="s">
        <v>4075</v>
      </c>
      <c r="E155" s="1" t="s">
        <v>21</v>
      </c>
      <c r="F155" s="1" t="s">
        <v>4077</v>
      </c>
      <c r="G155" s="6">
        <f>COUNTIF(F:F,Table2[[#This Row],[Form '#]])</f>
        <v>1</v>
      </c>
      <c r="H155" s="1" t="s">
        <v>4078</v>
      </c>
      <c r="I155" s="1" t="s">
        <v>3864</v>
      </c>
      <c r="J155" s="1" t="s">
        <v>78</v>
      </c>
      <c r="K155" s="1" t="s">
        <v>3879</v>
      </c>
      <c r="L155" s="1"/>
      <c r="M155" s="6" t="str">
        <f>IF(Table2[[#This Row],[Corrected Form '#
 (If Duplicated)]]="",Table2[[#This Row],[Form '#]],Table2[[#This Row],[Corrected Form '#
 (If Duplicated)]])</f>
        <v>7818-10378</v>
      </c>
      <c r="N155" s="1" t="s">
        <v>49</v>
      </c>
      <c r="O155" s="6" t="str">
        <f>IF(Table2[[#This Row],[POG CONFIRMATION RECEIPT OF ORDER
(DATE &amp; TIME)]]="","No Confirmation","Received Confirmation")</f>
        <v>Received Confirmation</v>
      </c>
      <c r="P155" s="6">
        <f ca="1">TODAY()-Table2[[#This Row],[DATE SENT TO POG]]</f>
        <v>352</v>
      </c>
      <c r="Q155" s="6" t="s">
        <v>5803</v>
      </c>
      <c r="R1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5" s="2" t="str">
        <f>_xlfn.XLOOKUP(Table2[[#This Row],[Adjusted Form '#]],'[2]IN PROGRESS'!$D:$D,'[2]IN PROGRESS'!$M:$M,"Not Found")</f>
        <v>Not Found</v>
      </c>
      <c r="U155" s="2" t="str">
        <f>_xlfn.XLOOKUP(Table2[[#This Row],[Adjusted Form '#]],[1]COMPLETED!$D:$D,[2]COMPLETED!$M:$M,"Not Found")</f>
        <v>Not Found</v>
      </c>
      <c r="V155" s="17" t="str">
        <f>_xlfn.XLOOKUP(Table2[[#This Row],[Adjusted Form '#]],[2]COMPLETED!$D:$D,[2]COMPLETED!$O:$O,"Not Found")</f>
        <v>Not Found</v>
      </c>
      <c r="W155" s="2" t="str">
        <f>_xlfn.XLOOKUP(Table2[[#This Row],[Adjusted Form '#]],[2]BILLED!$D:$D,[2]BILLED!$M:$M,"Not Found")</f>
        <v>1Z5063E0YW42107696</v>
      </c>
      <c r="X155" s="17" t="e">
        <f>_xlfn.XLOOKUP(Table2[[#This Row],[Adjusted Form '#]],[2]BILLED!$D:$D,[1]BILLED!$O:$O,"Not Found")</f>
        <v>#REF!</v>
      </c>
      <c r="Y155" s="17" t="e">
        <f>_xlfn.XLOOKUP(Table2[[#This Row],[Adjusted Form '#]],'[2]REJECTED ORDERS'!$D:$D,'[2]REJECTED ORDERS'!$E:$E)</f>
        <v>#N/A</v>
      </c>
      <c r="Z155" s="1"/>
      <c r="AA155" s="1"/>
      <c r="AB155" s="8"/>
      <c r="AC155" s="8"/>
      <c r="AD155" s="8"/>
      <c r="AE155" s="8"/>
      <c r="AF155" s="8"/>
      <c r="AG155" s="8"/>
      <c r="AH155" s="8"/>
      <c r="AI155" s="8"/>
      <c r="AJ155" s="8"/>
    </row>
    <row r="156" spans="1:36" ht="15" customHeight="1" x14ac:dyDescent="0.35">
      <c r="A156" s="4" t="s">
        <v>204</v>
      </c>
      <c r="B156" s="1" t="s">
        <v>2676</v>
      </c>
      <c r="C156" s="11">
        <v>44951</v>
      </c>
      <c r="D156" s="11" t="s">
        <v>4075</v>
      </c>
      <c r="E156" s="1" t="s">
        <v>21</v>
      </c>
      <c r="F156" s="1" t="s">
        <v>4066</v>
      </c>
      <c r="G156" s="6">
        <f>COUNTIF(F:F,Table2[[#This Row],[Form '#]])</f>
        <v>2</v>
      </c>
      <c r="H156" s="1" t="s">
        <v>4067</v>
      </c>
      <c r="I156" s="1" t="s">
        <v>3852</v>
      </c>
      <c r="J156" s="1" t="s">
        <v>75</v>
      </c>
      <c r="K156" s="1" t="s">
        <v>4011</v>
      </c>
      <c r="L156" s="1"/>
      <c r="M156" s="6" t="str">
        <f>IF(Table2[[#This Row],[Corrected Form '#
 (If Duplicated)]]="",Table2[[#This Row],[Form '#]],Table2[[#This Row],[Corrected Form '#
 (If Duplicated)]])</f>
        <v>7818-25147</v>
      </c>
      <c r="N156" s="1" t="s">
        <v>49</v>
      </c>
      <c r="O156" s="6" t="str">
        <f>IF(Table2[[#This Row],[POG CONFIRMATION RECEIPT OF ORDER
(DATE &amp; TIME)]]="","No Confirmation","Received Confirmation")</f>
        <v>Received Confirmation</v>
      </c>
      <c r="P156" s="6">
        <f ca="1">TODAY()-Table2[[#This Row],[DATE SENT TO POG]]</f>
        <v>352</v>
      </c>
      <c r="Q156" s="6" t="s">
        <v>5803</v>
      </c>
      <c r="R1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" s="2" t="str">
        <f>_xlfn.XLOOKUP(Table2[[#This Row],[Adjusted Form '#]],'[2]IN PROGRESS'!$D:$D,'[2]IN PROGRESS'!$M:$M,"Not Found")</f>
        <v>Not Found</v>
      </c>
      <c r="U156" s="2" t="str">
        <f>_xlfn.XLOOKUP(Table2[[#This Row],[Adjusted Form '#]],[1]COMPLETED!$D:$D,[2]COMPLETED!$M:$M,"Not Found")</f>
        <v>Not Found</v>
      </c>
      <c r="V156" s="17" t="str">
        <f>_xlfn.XLOOKUP(Table2[[#This Row],[Adjusted Form '#]],[2]COMPLETED!$D:$D,[2]COMPLETED!$O:$O,"Not Found")</f>
        <v>Not Found</v>
      </c>
      <c r="W156" s="2" t="str">
        <f>_xlfn.XLOOKUP(Table2[[#This Row],[Adjusted Form '#]],[2]BILLED!$D:$D,[2]BILLED!$M:$M,"Not Found")</f>
        <v>1Z5063E0YW41829800</v>
      </c>
      <c r="X156" s="17" t="e">
        <f>_xlfn.XLOOKUP(Table2[[#This Row],[Adjusted Form '#]],[2]BILLED!$D:$D,[1]BILLED!$O:$O,"Not Found")</f>
        <v>#REF!</v>
      </c>
      <c r="Y156" s="17" t="e">
        <f>_xlfn.XLOOKUP(Table2[[#This Row],[Adjusted Form '#]],'[2]REJECTED ORDERS'!$D:$D,'[2]REJECTED ORDERS'!$E:$E)</f>
        <v>#N/A</v>
      </c>
      <c r="Z156" s="1"/>
      <c r="AA156" s="1"/>
      <c r="AB156" s="8"/>
      <c r="AC156" s="8"/>
      <c r="AD156" s="8"/>
      <c r="AE156" s="8"/>
      <c r="AF156" s="8"/>
      <c r="AG156" s="8"/>
      <c r="AH156" s="8"/>
      <c r="AI156" s="8"/>
      <c r="AJ156" s="8"/>
    </row>
    <row r="157" spans="1:36" ht="15" customHeight="1" x14ac:dyDescent="0.35">
      <c r="A157" s="4" t="s">
        <v>205</v>
      </c>
      <c r="B157" s="1" t="s">
        <v>2676</v>
      </c>
      <c r="C157" s="11">
        <v>44951</v>
      </c>
      <c r="D157" s="11" t="s">
        <v>4075</v>
      </c>
      <c r="E157" s="1" t="s">
        <v>21</v>
      </c>
      <c r="F157" s="1" t="s">
        <v>4079</v>
      </c>
      <c r="G157" s="6">
        <f>COUNTIF(F:F,Table2[[#This Row],[Form '#]])</f>
        <v>1</v>
      </c>
      <c r="H157" s="1" t="s">
        <v>4080</v>
      </c>
      <c r="I157" s="1" t="s">
        <v>3864</v>
      </c>
      <c r="J157" s="1" t="s">
        <v>78</v>
      </c>
      <c r="K157" s="1" t="s">
        <v>3879</v>
      </c>
      <c r="L157" s="1"/>
      <c r="M157" s="6" t="str">
        <f>IF(Table2[[#This Row],[Corrected Form '#
 (If Duplicated)]]="",Table2[[#This Row],[Form '#]],Table2[[#This Row],[Corrected Form '#
 (If Duplicated)]])</f>
        <v>7818-24000</v>
      </c>
      <c r="N157" s="1" t="s">
        <v>49</v>
      </c>
      <c r="O157" s="6" t="str">
        <f>IF(Table2[[#This Row],[POG CONFIRMATION RECEIPT OF ORDER
(DATE &amp; TIME)]]="","No Confirmation","Received Confirmation")</f>
        <v>Received Confirmation</v>
      </c>
      <c r="P157" s="6">
        <f ca="1">TODAY()-Table2[[#This Row],[DATE SENT TO POG]]</f>
        <v>352</v>
      </c>
      <c r="Q157" s="6" t="s">
        <v>5803</v>
      </c>
      <c r="R1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" s="2" t="str">
        <f>_xlfn.XLOOKUP(Table2[[#This Row],[Adjusted Form '#]],'[2]IN PROGRESS'!$D:$D,'[2]IN PROGRESS'!$M:$M,"Not Found")</f>
        <v>Not Found</v>
      </c>
      <c r="U157" s="2" t="str">
        <f>_xlfn.XLOOKUP(Table2[[#This Row],[Adjusted Form '#]],[1]COMPLETED!$D:$D,[2]COMPLETED!$M:$M,"Not Found")</f>
        <v>Not Found</v>
      </c>
      <c r="V157" s="17" t="str">
        <f>_xlfn.XLOOKUP(Table2[[#This Row],[Adjusted Form '#]],[2]COMPLETED!$D:$D,[2]COMPLETED!$O:$O,"Not Found")</f>
        <v>Not Found</v>
      </c>
      <c r="W157" s="2" t="str">
        <f>_xlfn.XLOOKUP(Table2[[#This Row],[Adjusted Form '#]],[2]BILLED!$D:$D,[2]BILLED!$M:$M,"Not Found")</f>
        <v>1Z5063E0YW40145621</v>
      </c>
      <c r="X157" s="17" t="e">
        <f>_xlfn.XLOOKUP(Table2[[#This Row],[Adjusted Form '#]],[2]BILLED!$D:$D,[1]BILLED!$O:$O,"Not Found")</f>
        <v>#REF!</v>
      </c>
      <c r="Y157" s="17" t="e">
        <f>_xlfn.XLOOKUP(Table2[[#This Row],[Adjusted Form '#]],'[2]REJECTED ORDERS'!$D:$D,'[2]REJECTED ORDERS'!$E:$E)</f>
        <v>#N/A</v>
      </c>
      <c r="Z157" s="1"/>
      <c r="AA157" s="1"/>
      <c r="AB157" s="8"/>
      <c r="AC157" s="8"/>
      <c r="AD157" s="8"/>
      <c r="AE157" s="8"/>
      <c r="AF157" s="8"/>
      <c r="AG157" s="8"/>
      <c r="AH157" s="8"/>
      <c r="AI157" s="8"/>
      <c r="AJ157" s="8"/>
    </row>
    <row r="158" spans="1:36" ht="15" customHeight="1" x14ac:dyDescent="0.35">
      <c r="A158" s="4" t="s">
        <v>206</v>
      </c>
      <c r="B158" s="1" t="s">
        <v>2676</v>
      </c>
      <c r="C158" s="11">
        <v>44951</v>
      </c>
      <c r="D158" s="11" t="s">
        <v>4075</v>
      </c>
      <c r="E158" s="1" t="s">
        <v>21</v>
      </c>
      <c r="F158" s="1" t="s">
        <v>4081</v>
      </c>
      <c r="G158" s="6">
        <f>COUNTIF(F:F,Table2[[#This Row],[Form '#]])</f>
        <v>1</v>
      </c>
      <c r="H158" s="1" t="s">
        <v>4082</v>
      </c>
      <c r="I158" s="1" t="s">
        <v>3852</v>
      </c>
      <c r="J158" s="1" t="s">
        <v>80</v>
      </c>
      <c r="K158" s="1" t="s">
        <v>4011</v>
      </c>
      <c r="L158" s="1"/>
      <c r="M158" s="6" t="str">
        <f>IF(Table2[[#This Row],[Corrected Form '#
 (If Duplicated)]]="",Table2[[#This Row],[Form '#]],Table2[[#This Row],[Corrected Form '#
 (If Duplicated)]])</f>
        <v>7818-21957</v>
      </c>
      <c r="N158" s="1" t="s">
        <v>49</v>
      </c>
      <c r="O158" s="6" t="str">
        <f>IF(Table2[[#This Row],[POG CONFIRMATION RECEIPT OF ORDER
(DATE &amp; TIME)]]="","No Confirmation","Received Confirmation")</f>
        <v>Received Confirmation</v>
      </c>
      <c r="P158" s="6">
        <f ca="1">TODAY()-Table2[[#This Row],[DATE SENT TO POG]]</f>
        <v>352</v>
      </c>
      <c r="Q158" s="6" t="s">
        <v>5803</v>
      </c>
      <c r="R1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" s="2" t="str">
        <f>_xlfn.XLOOKUP(Table2[[#This Row],[Adjusted Form '#]],'[2]IN PROGRESS'!$D:$D,'[2]IN PROGRESS'!$M:$M,"Not Found")</f>
        <v>Not Found</v>
      </c>
      <c r="U158" s="2" t="str">
        <f>_xlfn.XLOOKUP(Table2[[#This Row],[Adjusted Form '#]],[1]COMPLETED!$D:$D,[2]COMPLETED!$M:$M,"Not Found")</f>
        <v>Not Found</v>
      </c>
      <c r="V158" s="17" t="str">
        <f>_xlfn.XLOOKUP(Table2[[#This Row],[Adjusted Form '#]],[2]COMPLETED!$D:$D,[2]COMPLETED!$O:$O,"Not Found")</f>
        <v>Not Found</v>
      </c>
      <c r="W158" s="2" t="str">
        <f>_xlfn.XLOOKUP(Table2[[#This Row],[Adjusted Form '#]],[2]BILLED!$D:$D,[2]BILLED!$M:$M,"Not Found")</f>
        <v>1Z5063E0YW42257819</v>
      </c>
      <c r="X158" s="17" t="e">
        <f>_xlfn.XLOOKUP(Table2[[#This Row],[Adjusted Form '#]],[2]BILLED!$D:$D,[1]BILLED!$O:$O,"Not Found")</f>
        <v>#REF!</v>
      </c>
      <c r="Y158" s="17" t="e">
        <f>_xlfn.XLOOKUP(Table2[[#This Row],[Adjusted Form '#]],'[2]REJECTED ORDERS'!$D:$D,'[2]REJECTED ORDERS'!$E:$E)</f>
        <v>#N/A</v>
      </c>
      <c r="Z158" s="1"/>
      <c r="AA158" s="1"/>
      <c r="AB158" s="8"/>
      <c r="AC158" s="8"/>
      <c r="AD158" s="8"/>
      <c r="AE158" s="8"/>
      <c r="AF158" s="8"/>
      <c r="AG158" s="8"/>
      <c r="AH158" s="8"/>
      <c r="AI158" s="8"/>
      <c r="AJ158" s="8"/>
    </row>
    <row r="159" spans="1:36" ht="15" customHeight="1" x14ac:dyDescent="0.35">
      <c r="A159" s="4" t="s">
        <v>207</v>
      </c>
      <c r="B159" s="1" t="s">
        <v>2676</v>
      </c>
      <c r="C159" s="11">
        <v>44951</v>
      </c>
      <c r="D159" s="11" t="s">
        <v>4075</v>
      </c>
      <c r="E159" s="1" t="s">
        <v>21</v>
      </c>
      <c r="F159" s="1" t="s">
        <v>4083</v>
      </c>
      <c r="G159" s="6">
        <f>COUNTIF(F:F,Table2[[#This Row],[Form '#]])</f>
        <v>1</v>
      </c>
      <c r="H159" s="1" t="s">
        <v>2672</v>
      </c>
      <c r="I159" s="1" t="s">
        <v>3864</v>
      </c>
      <c r="J159" s="1" t="s">
        <v>78</v>
      </c>
      <c r="K159" s="1" t="s">
        <v>3879</v>
      </c>
      <c r="L159" s="1"/>
      <c r="M159" s="6" t="str">
        <f>IF(Table2[[#This Row],[Corrected Form '#
 (If Duplicated)]]="",Table2[[#This Row],[Form '#]],Table2[[#This Row],[Corrected Form '#
 (If Duplicated)]])</f>
        <v>7818-18768</v>
      </c>
      <c r="N159" s="1" t="s">
        <v>49</v>
      </c>
      <c r="O159" s="6" t="str">
        <f>IF(Table2[[#This Row],[POG CONFIRMATION RECEIPT OF ORDER
(DATE &amp; TIME)]]="","No Confirmation","Received Confirmation")</f>
        <v>Received Confirmation</v>
      </c>
      <c r="P159" s="6">
        <f ca="1">TODAY()-Table2[[#This Row],[DATE SENT TO POG]]</f>
        <v>352</v>
      </c>
      <c r="Q159" s="6" t="s">
        <v>5803</v>
      </c>
      <c r="R1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" s="2" t="str">
        <f>_xlfn.XLOOKUP(Table2[[#This Row],[Adjusted Form '#]],'[2]IN PROGRESS'!$D:$D,'[2]IN PROGRESS'!$M:$M,"Not Found")</f>
        <v>Not Found</v>
      </c>
      <c r="U159" s="2" t="str">
        <f>_xlfn.XLOOKUP(Table2[[#This Row],[Adjusted Form '#]],[1]COMPLETED!$D:$D,[2]COMPLETED!$M:$M,"Not Found")</f>
        <v>Not Found</v>
      </c>
      <c r="V159" s="17" t="str">
        <f>_xlfn.XLOOKUP(Table2[[#This Row],[Adjusted Form '#]],[2]COMPLETED!$D:$D,[2]COMPLETED!$O:$O,"Not Found")</f>
        <v>Not Found</v>
      </c>
      <c r="W159" s="2" t="str">
        <f>_xlfn.XLOOKUP(Table2[[#This Row],[Adjusted Form '#]],[2]BILLED!$D:$D,[2]BILLED!$M:$M,"Not Found")</f>
        <v>1Z5063E0YW42003806</v>
      </c>
      <c r="X159" s="17" t="e">
        <f>_xlfn.XLOOKUP(Table2[[#This Row],[Adjusted Form '#]],[2]BILLED!$D:$D,[1]BILLED!$O:$O,"Not Found")</f>
        <v>#REF!</v>
      </c>
      <c r="Y159" s="17" t="e">
        <f>_xlfn.XLOOKUP(Table2[[#This Row],[Adjusted Form '#]],'[2]REJECTED ORDERS'!$D:$D,'[2]REJECTED ORDERS'!$E:$E)</f>
        <v>#N/A</v>
      </c>
      <c r="Z159" s="1"/>
      <c r="AA159" s="1"/>
      <c r="AB159" s="8"/>
      <c r="AC159" s="8"/>
      <c r="AD159" s="8"/>
      <c r="AE159" s="8"/>
      <c r="AF159" s="8"/>
      <c r="AG159" s="8"/>
      <c r="AH159" s="8"/>
      <c r="AI159" s="8"/>
      <c r="AJ159" s="8"/>
    </row>
    <row r="160" spans="1:36" ht="15" customHeight="1" x14ac:dyDescent="0.35">
      <c r="A160" s="4" t="s">
        <v>209</v>
      </c>
      <c r="B160" s="1" t="s">
        <v>660</v>
      </c>
      <c r="C160" s="11">
        <v>44951</v>
      </c>
      <c r="D160" s="11" t="s">
        <v>4075</v>
      </c>
      <c r="E160" s="1" t="s">
        <v>191</v>
      </c>
      <c r="F160" s="1" t="s">
        <v>3713</v>
      </c>
      <c r="G160" s="6">
        <f>COUNTIF(F:F,Table2[[#This Row],[Form '#]])</f>
        <v>1</v>
      </c>
      <c r="H160" s="1" t="s">
        <v>2155</v>
      </c>
      <c r="I160" s="1" t="s">
        <v>177</v>
      </c>
      <c r="J160" s="1" t="s">
        <v>75</v>
      </c>
      <c r="K160" s="1" t="s">
        <v>4011</v>
      </c>
      <c r="L160" s="1"/>
      <c r="M160" s="6" t="str">
        <f>IF(Table2[[#This Row],[Corrected Form '#
 (If Duplicated)]]="",Table2[[#This Row],[Form '#]],Table2[[#This Row],[Corrected Form '#
 (If Duplicated)]])</f>
        <v>7812-03109</v>
      </c>
      <c r="N160" s="1" t="s">
        <v>49</v>
      </c>
      <c r="O160" s="6" t="str">
        <f>IF(Table2[[#This Row],[POG CONFIRMATION RECEIPT OF ORDER
(DATE &amp; TIME)]]="","No Confirmation","Received Confirmation")</f>
        <v>Received Confirmation</v>
      </c>
      <c r="P160" s="6">
        <f ca="1">TODAY()-Table2[[#This Row],[DATE SENT TO POG]]</f>
        <v>352</v>
      </c>
      <c r="Q160" s="6" t="s">
        <v>5803</v>
      </c>
      <c r="R1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0" s="2" t="str">
        <f>_xlfn.XLOOKUP(Table2[[#This Row],[Adjusted Form '#]],'[2]IN PROGRESS'!$D:$D,'[2]IN PROGRESS'!$M:$M,"Not Found")</f>
        <v>Not Found</v>
      </c>
      <c r="U160" s="2" t="str">
        <f>_xlfn.XLOOKUP(Table2[[#This Row],[Adjusted Form '#]],[1]COMPLETED!$D:$D,[2]COMPLETED!$M:$M,"Not Found")</f>
        <v>Not Found</v>
      </c>
      <c r="V160" s="17" t="str">
        <f>_xlfn.XLOOKUP(Table2[[#This Row],[Adjusted Form '#]],[2]COMPLETED!$D:$D,[2]COMPLETED!$O:$O,"Not Found")</f>
        <v>Not Found</v>
      </c>
      <c r="W160" s="2" t="str">
        <f>_xlfn.XLOOKUP(Table2[[#This Row],[Adjusted Form '#]],[2]BILLED!$D:$D,[2]BILLED!$M:$M,"Not Found")</f>
        <v>1Z5063E0YW41941732</v>
      </c>
      <c r="X160" s="17" t="e">
        <f>_xlfn.XLOOKUP(Table2[[#This Row],[Adjusted Form '#]],[2]BILLED!$D:$D,[1]BILLED!$O:$O,"Not Found")</f>
        <v>#REF!</v>
      </c>
      <c r="Y160" s="17" t="e">
        <f>_xlfn.XLOOKUP(Table2[[#This Row],[Adjusted Form '#]],'[2]REJECTED ORDERS'!$D:$D,'[2]REJECTED ORDERS'!$E:$E)</f>
        <v>#N/A</v>
      </c>
      <c r="Z160" s="1"/>
      <c r="AA160" s="1"/>
      <c r="AB160" s="8"/>
      <c r="AC160" s="8"/>
      <c r="AD160" s="8"/>
      <c r="AE160" s="8"/>
      <c r="AF160" s="8"/>
      <c r="AG160" s="8"/>
      <c r="AH160" s="8"/>
      <c r="AI160" s="8"/>
      <c r="AJ160" s="8"/>
    </row>
    <row r="161" spans="1:36" ht="15" customHeight="1" x14ac:dyDescent="0.35">
      <c r="A161" s="4" t="s">
        <v>210</v>
      </c>
      <c r="B161" s="1" t="s">
        <v>660</v>
      </c>
      <c r="C161" s="11">
        <v>44951</v>
      </c>
      <c r="D161" s="11" t="s">
        <v>4075</v>
      </c>
      <c r="E161" s="1" t="s">
        <v>191</v>
      </c>
      <c r="F161" s="1" t="s">
        <v>3711</v>
      </c>
      <c r="G161" s="6">
        <f>COUNTIF(F:F,Table2[[#This Row],[Form '#]])</f>
        <v>1</v>
      </c>
      <c r="H161" s="1" t="s">
        <v>3712</v>
      </c>
      <c r="I161" s="1" t="s">
        <v>177</v>
      </c>
      <c r="J161" s="1" t="s">
        <v>3891</v>
      </c>
      <c r="K161" s="1" t="s">
        <v>3891</v>
      </c>
      <c r="L161" s="1"/>
      <c r="M161" s="6" t="str">
        <f>IF(Table2[[#This Row],[Corrected Form '#
 (If Duplicated)]]="",Table2[[#This Row],[Form '#]],Table2[[#This Row],[Corrected Form '#
 (If Duplicated)]])</f>
        <v>7812-03105</v>
      </c>
      <c r="N161" s="1" t="s">
        <v>49</v>
      </c>
      <c r="O161" s="6" t="str">
        <f>IF(Table2[[#This Row],[POG CONFIRMATION RECEIPT OF ORDER
(DATE &amp; TIME)]]="","No Confirmation","Received Confirmation")</f>
        <v>Received Confirmation</v>
      </c>
      <c r="P161" s="6">
        <f ca="1">TODAY()-Table2[[#This Row],[DATE SENT TO POG]]</f>
        <v>352</v>
      </c>
      <c r="Q161" s="6" t="s">
        <v>5803</v>
      </c>
      <c r="R1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" s="2" t="str">
        <f>_xlfn.XLOOKUP(Table2[[#This Row],[Adjusted Form '#]],'[2]IN PROGRESS'!$D:$D,'[2]IN PROGRESS'!$M:$M,"Not Found")</f>
        <v>Not Found</v>
      </c>
      <c r="U161" s="2" t="str">
        <f>_xlfn.XLOOKUP(Table2[[#This Row],[Adjusted Form '#]],[1]COMPLETED!$D:$D,[2]COMPLETED!$M:$M,"Not Found")</f>
        <v>Not Found</v>
      </c>
      <c r="V161" s="17" t="str">
        <f>_xlfn.XLOOKUP(Table2[[#This Row],[Adjusted Form '#]],[2]COMPLETED!$D:$D,[2]COMPLETED!$O:$O,"Not Found")</f>
        <v>Not Found</v>
      </c>
      <c r="W161" s="2" t="str">
        <f>_xlfn.XLOOKUP(Table2[[#This Row],[Adjusted Form '#]],[2]BILLED!$D:$D,[2]BILLED!$M:$M,"Not Found")</f>
        <v>1Z5063E0YW41172920</v>
      </c>
      <c r="X161" s="17" t="e">
        <f>_xlfn.XLOOKUP(Table2[[#This Row],[Adjusted Form '#]],[2]BILLED!$D:$D,[1]BILLED!$O:$O,"Not Found")</f>
        <v>#REF!</v>
      </c>
      <c r="Y161" s="17" t="e">
        <f>_xlfn.XLOOKUP(Table2[[#This Row],[Adjusted Form '#]],'[2]REJECTED ORDERS'!$D:$D,'[2]REJECTED ORDERS'!$E:$E)</f>
        <v>#N/A</v>
      </c>
      <c r="Z161" s="1"/>
      <c r="AA161" s="1"/>
      <c r="AB161" s="8"/>
      <c r="AC161" s="8"/>
      <c r="AD161" s="8"/>
      <c r="AE161" s="8"/>
      <c r="AF161" s="8"/>
      <c r="AG161" s="8"/>
      <c r="AH161" s="8"/>
      <c r="AI161" s="8"/>
      <c r="AJ161" s="8"/>
    </row>
    <row r="162" spans="1:36" ht="15" customHeight="1" x14ac:dyDescent="0.35">
      <c r="A162" s="4" t="s">
        <v>213</v>
      </c>
      <c r="B162" s="1" t="s">
        <v>660</v>
      </c>
      <c r="C162" s="11">
        <v>44951</v>
      </c>
      <c r="D162" s="11" t="s">
        <v>4075</v>
      </c>
      <c r="E162" s="1" t="s">
        <v>191</v>
      </c>
      <c r="F162" s="1" t="s">
        <v>3690</v>
      </c>
      <c r="G162" s="6">
        <f>COUNTIF(F:F,Table2[[#This Row],[Form '#]])</f>
        <v>1</v>
      </c>
      <c r="H162" s="1" t="s">
        <v>3691</v>
      </c>
      <c r="I162" s="1" t="s">
        <v>177</v>
      </c>
      <c r="J162" s="1" t="s">
        <v>3891</v>
      </c>
      <c r="K162" s="1" t="s">
        <v>3853</v>
      </c>
      <c r="L162" s="1"/>
      <c r="M162" s="6" t="str">
        <f>IF(Table2[[#This Row],[Corrected Form '#
 (If Duplicated)]]="",Table2[[#This Row],[Form '#]],Table2[[#This Row],[Corrected Form '#
 (If Duplicated)]])</f>
        <v>7812-03107</v>
      </c>
      <c r="N162" s="1" t="s">
        <v>49</v>
      </c>
      <c r="O162" s="6" t="str">
        <f>IF(Table2[[#This Row],[POG CONFIRMATION RECEIPT OF ORDER
(DATE &amp; TIME)]]="","No Confirmation","Received Confirmation")</f>
        <v>Received Confirmation</v>
      </c>
      <c r="P162" s="6">
        <f ca="1">TODAY()-Table2[[#This Row],[DATE SENT TO POG]]</f>
        <v>352</v>
      </c>
      <c r="Q162" s="6" t="s">
        <v>5803</v>
      </c>
      <c r="R1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" s="2" t="str">
        <f>_xlfn.XLOOKUP(Table2[[#This Row],[Adjusted Form '#]],'[2]IN PROGRESS'!$D:$D,'[2]IN PROGRESS'!$M:$M,"Not Found")</f>
        <v>Not Found</v>
      </c>
      <c r="U162" s="2" t="str">
        <f>_xlfn.XLOOKUP(Table2[[#This Row],[Adjusted Form '#]],[1]COMPLETED!$D:$D,[2]COMPLETED!$M:$M,"Not Found")</f>
        <v>Not Found</v>
      </c>
      <c r="V162" s="17" t="str">
        <f>_xlfn.XLOOKUP(Table2[[#This Row],[Adjusted Form '#]],[2]COMPLETED!$D:$D,[2]COMPLETED!$O:$O,"Not Found")</f>
        <v>Not Found</v>
      </c>
      <c r="W162" s="2" t="str">
        <f>_xlfn.XLOOKUP(Table2[[#This Row],[Adjusted Form '#]],[2]BILLED!$D:$D,[2]BILLED!$M:$M,"Not Found")</f>
        <v>1Z5053E0YW40175410</v>
      </c>
      <c r="X162" s="17" t="e">
        <f>_xlfn.XLOOKUP(Table2[[#This Row],[Adjusted Form '#]],[2]BILLED!$D:$D,[1]BILLED!$O:$O,"Not Found")</f>
        <v>#REF!</v>
      </c>
      <c r="Y162" s="17" t="e">
        <f>_xlfn.XLOOKUP(Table2[[#This Row],[Adjusted Form '#]],'[2]REJECTED ORDERS'!$D:$D,'[2]REJECTED ORDERS'!$E:$E)</f>
        <v>#N/A</v>
      </c>
      <c r="Z162" s="1"/>
      <c r="AA162" s="1"/>
      <c r="AB162" s="8"/>
      <c r="AC162" s="8"/>
      <c r="AD162" s="8"/>
      <c r="AE162" s="8"/>
      <c r="AF162" s="8"/>
      <c r="AG162" s="8"/>
      <c r="AH162" s="8"/>
      <c r="AI162" s="8"/>
      <c r="AJ162" s="8"/>
    </row>
    <row r="163" spans="1:36" ht="15" customHeight="1" x14ac:dyDescent="0.35">
      <c r="A163" s="4" t="s">
        <v>214</v>
      </c>
      <c r="B163" s="1" t="s">
        <v>660</v>
      </c>
      <c r="C163" s="11">
        <v>44951</v>
      </c>
      <c r="D163" s="11" t="s">
        <v>4075</v>
      </c>
      <c r="E163" s="1" t="s">
        <v>191</v>
      </c>
      <c r="F163" s="1" t="s">
        <v>3785</v>
      </c>
      <c r="G163" s="6">
        <f>COUNTIF(F:F,Table2[[#This Row],[Form '#]])</f>
        <v>2</v>
      </c>
      <c r="H163" s="1" t="s">
        <v>3786</v>
      </c>
      <c r="I163" s="1" t="s">
        <v>3864</v>
      </c>
      <c r="J163" s="1" t="s">
        <v>78</v>
      </c>
      <c r="K163" s="1" t="s">
        <v>3879</v>
      </c>
      <c r="L163" s="1"/>
      <c r="M163" s="6" t="str">
        <f>IF(Table2[[#This Row],[Corrected Form '#
 (If Duplicated)]]="",Table2[[#This Row],[Form '#]],Table2[[#This Row],[Corrected Form '#
 (If Duplicated)]])</f>
        <v>7812-03116</v>
      </c>
      <c r="N163" s="1" t="s">
        <v>49</v>
      </c>
      <c r="O163" s="6" t="str">
        <f>IF(Table2[[#This Row],[POG CONFIRMATION RECEIPT OF ORDER
(DATE &amp; TIME)]]="","No Confirmation","Received Confirmation")</f>
        <v>Received Confirmation</v>
      </c>
      <c r="P163" s="6">
        <f ca="1">TODAY()-Table2[[#This Row],[DATE SENT TO POG]]</f>
        <v>352</v>
      </c>
      <c r="Q163" s="6" t="s">
        <v>5803</v>
      </c>
      <c r="R1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" s="2" t="str">
        <f>_xlfn.XLOOKUP(Table2[[#This Row],[Adjusted Form '#]],'[2]IN PROGRESS'!$D:$D,'[2]IN PROGRESS'!$M:$M,"Not Found")</f>
        <v>Not Found</v>
      </c>
      <c r="U163" s="2" t="str">
        <f>_xlfn.XLOOKUP(Table2[[#This Row],[Adjusted Form '#]],[1]COMPLETED!$D:$D,[2]COMPLETED!$M:$M,"Not Found")</f>
        <v>Not Found</v>
      </c>
      <c r="V163" s="17" t="str">
        <f>_xlfn.XLOOKUP(Table2[[#This Row],[Adjusted Form '#]],[2]COMPLETED!$D:$D,[2]COMPLETED!$O:$O,"Not Found")</f>
        <v>Not Found</v>
      </c>
      <c r="W163" s="2" t="str">
        <f>_xlfn.XLOOKUP(Table2[[#This Row],[Adjusted Form '#]],[2]BILLED!$D:$D,[2]BILLED!$M:$M,"Not Found")</f>
        <v>1Z5063E0YW41402805</v>
      </c>
      <c r="X163" s="17" t="e">
        <f>_xlfn.XLOOKUP(Table2[[#This Row],[Adjusted Form '#]],[2]BILLED!$D:$D,[1]BILLED!$O:$O,"Not Found")</f>
        <v>#REF!</v>
      </c>
      <c r="Y163" s="17" t="e">
        <f>_xlfn.XLOOKUP(Table2[[#This Row],[Adjusted Form '#]],'[2]REJECTED ORDERS'!$D:$D,'[2]REJECTED ORDERS'!$E:$E)</f>
        <v>#N/A</v>
      </c>
      <c r="Z163" s="1"/>
      <c r="AA163" s="1"/>
      <c r="AB163" s="8"/>
      <c r="AC163" s="8"/>
      <c r="AD163" s="8"/>
      <c r="AE163" s="8"/>
      <c r="AF163" s="8"/>
      <c r="AG163" s="8"/>
      <c r="AH163" s="8"/>
      <c r="AI163" s="8"/>
      <c r="AJ163" s="8"/>
    </row>
    <row r="164" spans="1:36" ht="15" customHeight="1" x14ac:dyDescent="0.35">
      <c r="A164" s="4" t="s">
        <v>216</v>
      </c>
      <c r="B164" s="1" t="s">
        <v>660</v>
      </c>
      <c r="C164" s="11">
        <v>44951</v>
      </c>
      <c r="D164" s="11" t="s">
        <v>4075</v>
      </c>
      <c r="E164" s="1" t="s">
        <v>191</v>
      </c>
      <c r="F164" s="1" t="s">
        <v>3787</v>
      </c>
      <c r="G164" s="6">
        <f>COUNTIF(F:F,Table2[[#This Row],[Form '#]])</f>
        <v>2</v>
      </c>
      <c r="H164" s="1" t="s">
        <v>3788</v>
      </c>
      <c r="I164" s="1" t="s">
        <v>758</v>
      </c>
      <c r="J164" s="1" t="s">
        <v>78</v>
      </c>
      <c r="K164" s="1" t="s">
        <v>3853</v>
      </c>
      <c r="L164" s="1"/>
      <c r="M164" s="6" t="str">
        <f>IF(Table2[[#This Row],[Corrected Form '#
 (If Duplicated)]]="",Table2[[#This Row],[Form '#]],Table2[[#This Row],[Corrected Form '#
 (If Duplicated)]])</f>
        <v>7812-01744</v>
      </c>
      <c r="N164" s="1" t="s">
        <v>49</v>
      </c>
      <c r="O164" s="6" t="str">
        <f>IF(Table2[[#This Row],[POG CONFIRMATION RECEIPT OF ORDER
(DATE &amp; TIME)]]="","No Confirmation","Received Confirmation")</f>
        <v>Received Confirmation</v>
      </c>
      <c r="P164" s="6">
        <f ca="1">TODAY()-Table2[[#This Row],[DATE SENT TO POG]]</f>
        <v>352</v>
      </c>
      <c r="Q164" s="6" t="s">
        <v>5803</v>
      </c>
      <c r="R1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" s="2" t="str">
        <f>_xlfn.XLOOKUP(Table2[[#This Row],[Adjusted Form '#]],'[2]IN PROGRESS'!$D:$D,'[2]IN PROGRESS'!$M:$M,"Not Found")</f>
        <v>Not Found</v>
      </c>
      <c r="U164" s="2" t="str">
        <f>_xlfn.XLOOKUP(Table2[[#This Row],[Adjusted Form '#]],[1]COMPLETED!$D:$D,[2]COMPLETED!$M:$M,"Not Found")</f>
        <v>Not Found</v>
      </c>
      <c r="V164" s="17" t="str">
        <f>_xlfn.XLOOKUP(Table2[[#This Row],[Adjusted Form '#]],[2]COMPLETED!$D:$D,[2]COMPLETED!$O:$O,"Not Found")</f>
        <v>Not Found</v>
      </c>
      <c r="W164" s="2" t="str">
        <f>_xlfn.XLOOKUP(Table2[[#This Row],[Adjusted Form '#]],[2]BILLED!$D:$D,[2]BILLED!$M:$M,"Not Found")</f>
        <v>1Z5063E0YW41088058</v>
      </c>
      <c r="X164" s="17" t="e">
        <f>_xlfn.XLOOKUP(Table2[[#This Row],[Adjusted Form '#]],[2]BILLED!$D:$D,[1]BILLED!$O:$O,"Not Found")</f>
        <v>#REF!</v>
      </c>
      <c r="Y164" s="17" t="e">
        <f>_xlfn.XLOOKUP(Table2[[#This Row],[Adjusted Form '#]],'[2]REJECTED ORDERS'!$D:$D,'[2]REJECTED ORDERS'!$E:$E)</f>
        <v>#N/A</v>
      </c>
      <c r="Z164" s="1"/>
      <c r="AA164" s="1"/>
      <c r="AB164" s="8"/>
      <c r="AC164" s="8"/>
      <c r="AD164" s="8"/>
      <c r="AE164" s="8"/>
      <c r="AF164" s="8"/>
      <c r="AG164" s="8"/>
      <c r="AH164" s="8"/>
      <c r="AI164" s="8"/>
      <c r="AJ164" s="8"/>
    </row>
    <row r="165" spans="1:36" ht="15" customHeight="1" x14ac:dyDescent="0.35">
      <c r="A165" s="4" t="s">
        <v>217</v>
      </c>
      <c r="B165" s="1" t="s">
        <v>660</v>
      </c>
      <c r="C165" s="11">
        <v>44951</v>
      </c>
      <c r="D165" s="11" t="s">
        <v>4075</v>
      </c>
      <c r="E165" s="1" t="s">
        <v>191</v>
      </c>
      <c r="F165" s="1" t="s">
        <v>3791</v>
      </c>
      <c r="G165" s="6">
        <f>COUNTIF(F:F,Table2[[#This Row],[Form '#]])</f>
        <v>2</v>
      </c>
      <c r="H165" s="1" t="s">
        <v>3792</v>
      </c>
      <c r="I165" s="1" t="s">
        <v>3852</v>
      </c>
      <c r="J165" s="1" t="s">
        <v>75</v>
      </c>
      <c r="K165" s="1" t="s">
        <v>3853</v>
      </c>
      <c r="L165" s="1"/>
      <c r="M165" s="6" t="str">
        <f>IF(Table2[[#This Row],[Corrected Form '#
 (If Duplicated)]]="",Table2[[#This Row],[Form '#]],Table2[[#This Row],[Corrected Form '#
 (If Duplicated)]])</f>
        <v>7812-01740</v>
      </c>
      <c r="N165" s="1" t="s">
        <v>49</v>
      </c>
      <c r="O165" s="6" t="str">
        <f>IF(Table2[[#This Row],[POG CONFIRMATION RECEIPT OF ORDER
(DATE &amp; TIME)]]="","No Confirmation","Received Confirmation")</f>
        <v>Received Confirmation</v>
      </c>
      <c r="P165" s="6">
        <f ca="1">TODAY()-Table2[[#This Row],[DATE SENT TO POG]]</f>
        <v>352</v>
      </c>
      <c r="Q165" s="6" t="s">
        <v>5803</v>
      </c>
      <c r="R1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" s="2" t="str">
        <f>_xlfn.XLOOKUP(Table2[[#This Row],[Adjusted Form '#]],'[2]IN PROGRESS'!$D:$D,'[2]IN PROGRESS'!$M:$M,"Not Found")</f>
        <v>Not Found</v>
      </c>
      <c r="U165" s="2" t="str">
        <f>_xlfn.XLOOKUP(Table2[[#This Row],[Adjusted Form '#]],[1]COMPLETED!$D:$D,[2]COMPLETED!$M:$M,"Not Found")</f>
        <v>Not Found</v>
      </c>
      <c r="V165" s="17" t="str">
        <f>_xlfn.XLOOKUP(Table2[[#This Row],[Adjusted Form '#]],[2]COMPLETED!$D:$D,[2]COMPLETED!$O:$O,"Not Found")</f>
        <v>Not Found</v>
      </c>
      <c r="W165" s="2" t="str">
        <f>_xlfn.XLOOKUP(Table2[[#This Row],[Adjusted Form '#]],[2]BILLED!$D:$D,[2]BILLED!$M:$M,"Not Found")</f>
        <v>1Z5063E0YW40049191</v>
      </c>
      <c r="X165" s="17" t="e">
        <f>_xlfn.XLOOKUP(Table2[[#This Row],[Adjusted Form '#]],[2]BILLED!$D:$D,[1]BILLED!$O:$O,"Not Found")</f>
        <v>#REF!</v>
      </c>
      <c r="Y165" s="17" t="e">
        <f>_xlfn.XLOOKUP(Table2[[#This Row],[Adjusted Form '#]],'[2]REJECTED ORDERS'!$D:$D,'[2]REJECTED ORDERS'!$E:$E)</f>
        <v>#N/A</v>
      </c>
      <c r="Z165" s="1"/>
      <c r="AA165" s="1"/>
      <c r="AB165" s="8"/>
      <c r="AC165" s="8"/>
      <c r="AD165" s="8"/>
      <c r="AE165" s="8"/>
      <c r="AF165" s="8"/>
      <c r="AG165" s="8"/>
      <c r="AH165" s="8"/>
      <c r="AI165" s="8"/>
      <c r="AJ165" s="8"/>
    </row>
    <row r="166" spans="1:36" ht="15" customHeight="1" x14ac:dyDescent="0.35">
      <c r="A166" s="4" t="s">
        <v>218</v>
      </c>
      <c r="B166" s="1" t="s">
        <v>660</v>
      </c>
      <c r="C166" s="11">
        <v>44951</v>
      </c>
      <c r="D166" s="11" t="s">
        <v>4075</v>
      </c>
      <c r="E166" s="1" t="s">
        <v>191</v>
      </c>
      <c r="F166" s="1" t="s">
        <v>3793</v>
      </c>
      <c r="G166" s="6">
        <f>COUNTIF(F:F,Table2[[#This Row],[Form '#]])</f>
        <v>2</v>
      </c>
      <c r="H166" s="1" t="s">
        <v>1373</v>
      </c>
      <c r="I166" s="1" t="s">
        <v>127</v>
      </c>
      <c r="J166" s="1" t="s">
        <v>76</v>
      </c>
      <c r="K166" s="1" t="s">
        <v>3919</v>
      </c>
      <c r="L166" s="1"/>
      <c r="M166" s="6" t="str">
        <f>IF(Table2[[#This Row],[Corrected Form '#
 (If Duplicated)]]="",Table2[[#This Row],[Form '#]],Table2[[#This Row],[Corrected Form '#
 (If Duplicated)]])</f>
        <v>7812-02886</v>
      </c>
      <c r="N166" s="1" t="s">
        <v>49</v>
      </c>
      <c r="O166" s="6" t="str">
        <f>IF(Table2[[#This Row],[POG CONFIRMATION RECEIPT OF ORDER
(DATE &amp; TIME)]]="","No Confirmation","Received Confirmation")</f>
        <v>Received Confirmation</v>
      </c>
      <c r="P166" s="6">
        <f ca="1">TODAY()-Table2[[#This Row],[DATE SENT TO POG]]</f>
        <v>352</v>
      </c>
      <c r="Q166" s="6" t="s">
        <v>5803</v>
      </c>
      <c r="R1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" s="2" t="str">
        <f>_xlfn.XLOOKUP(Table2[[#This Row],[Adjusted Form '#]],'[2]IN PROGRESS'!$D:$D,'[2]IN PROGRESS'!$M:$M,"Not Found")</f>
        <v>Not Found</v>
      </c>
      <c r="U166" s="2" t="str">
        <f>_xlfn.XLOOKUP(Table2[[#This Row],[Adjusted Form '#]],[1]COMPLETED!$D:$D,[2]COMPLETED!$M:$M,"Not Found")</f>
        <v>Not Found</v>
      </c>
      <c r="V166" s="17" t="str">
        <f>_xlfn.XLOOKUP(Table2[[#This Row],[Adjusted Form '#]],[2]COMPLETED!$D:$D,[2]COMPLETED!$O:$O,"Not Found")</f>
        <v>Not Found</v>
      </c>
      <c r="W166" s="2" t="str">
        <f>_xlfn.XLOOKUP(Table2[[#This Row],[Adjusted Form '#]],[2]BILLED!$D:$D,[2]BILLED!$M:$M,"Not Found")</f>
        <v>1Z5063E0YW41283239</v>
      </c>
      <c r="X166" s="17" t="e">
        <f>_xlfn.XLOOKUP(Table2[[#This Row],[Adjusted Form '#]],[2]BILLED!$D:$D,[1]BILLED!$O:$O,"Not Found")</f>
        <v>#REF!</v>
      </c>
      <c r="Y166" s="17" t="e">
        <f>_xlfn.XLOOKUP(Table2[[#This Row],[Adjusted Form '#]],'[2]REJECTED ORDERS'!$D:$D,'[2]REJECTED ORDERS'!$E:$E)</f>
        <v>#N/A</v>
      </c>
      <c r="Z166" s="1"/>
      <c r="AA166" s="1"/>
      <c r="AB166" s="8"/>
      <c r="AC166" s="8"/>
      <c r="AD166" s="8"/>
      <c r="AE166" s="8"/>
      <c r="AF166" s="8"/>
      <c r="AG166" s="8"/>
      <c r="AH166" s="8"/>
      <c r="AI166" s="8"/>
      <c r="AJ166" s="8"/>
    </row>
    <row r="167" spans="1:36" ht="15" customHeight="1" x14ac:dyDescent="0.35">
      <c r="A167" s="4" t="s">
        <v>219</v>
      </c>
      <c r="B167" s="1" t="s">
        <v>660</v>
      </c>
      <c r="C167" s="11">
        <v>44951</v>
      </c>
      <c r="D167" s="11" t="s">
        <v>4075</v>
      </c>
      <c r="E167" s="1" t="s">
        <v>191</v>
      </c>
      <c r="F167" s="1" t="s">
        <v>4084</v>
      </c>
      <c r="G167" s="6">
        <f>COUNTIF(F:F,Table2[[#This Row],[Form '#]])</f>
        <v>1</v>
      </c>
      <c r="H167" s="1" t="s">
        <v>2142</v>
      </c>
      <c r="I167" s="1" t="s">
        <v>3852</v>
      </c>
      <c r="J167" s="1" t="s">
        <v>80</v>
      </c>
      <c r="K167" s="1" t="s">
        <v>4011</v>
      </c>
      <c r="L167" s="1"/>
      <c r="M167" s="6" t="str">
        <f>IF(Table2[[#This Row],[Corrected Form '#
 (If Duplicated)]]="",Table2[[#This Row],[Form '#]],Table2[[#This Row],[Corrected Form '#
 (If Duplicated)]])</f>
        <v>7812-3766</v>
      </c>
      <c r="N167" s="1" t="s">
        <v>49</v>
      </c>
      <c r="O167" s="6" t="str">
        <f>IF(Table2[[#This Row],[POG CONFIRMATION RECEIPT OF ORDER
(DATE &amp; TIME)]]="","No Confirmation","Received Confirmation")</f>
        <v>Received Confirmation</v>
      </c>
      <c r="P167" s="6">
        <f ca="1">TODAY()-Table2[[#This Row],[DATE SENT TO POG]]</f>
        <v>352</v>
      </c>
      <c r="Q167" s="6" t="s">
        <v>5803</v>
      </c>
      <c r="R1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" s="2" t="str">
        <f>_xlfn.XLOOKUP(Table2[[#This Row],[Adjusted Form '#]],'[2]IN PROGRESS'!$D:$D,'[2]IN PROGRESS'!$M:$M,"Not Found")</f>
        <v>Not Found</v>
      </c>
      <c r="U167" s="2" t="str">
        <f>_xlfn.XLOOKUP(Table2[[#This Row],[Adjusted Form '#]],[1]COMPLETED!$D:$D,[2]COMPLETED!$M:$M,"Not Found")</f>
        <v>Not Found</v>
      </c>
      <c r="V167" s="17" t="str">
        <f>_xlfn.XLOOKUP(Table2[[#This Row],[Adjusted Form '#]],[2]COMPLETED!$D:$D,[2]COMPLETED!$O:$O,"Not Found")</f>
        <v>Not Found</v>
      </c>
      <c r="W167" s="2" t="str">
        <f>_xlfn.XLOOKUP(Table2[[#This Row],[Adjusted Form '#]],[2]BILLED!$D:$D,[2]BILLED!$M:$M,"Not Found")</f>
        <v>1Z5063E0YW41275720</v>
      </c>
      <c r="X167" s="17" t="e">
        <f>_xlfn.XLOOKUP(Table2[[#This Row],[Adjusted Form '#]],[2]BILLED!$D:$D,[1]BILLED!$O:$O,"Not Found")</f>
        <v>#REF!</v>
      </c>
      <c r="Y167" s="17" t="e">
        <f>_xlfn.XLOOKUP(Table2[[#This Row],[Adjusted Form '#]],'[2]REJECTED ORDERS'!$D:$D,'[2]REJECTED ORDERS'!$E:$E)</f>
        <v>#N/A</v>
      </c>
      <c r="Z167" s="1"/>
      <c r="AA167" s="1"/>
      <c r="AB167" s="8"/>
      <c r="AC167" s="8"/>
      <c r="AD167" s="8"/>
      <c r="AE167" s="8"/>
      <c r="AF167" s="8"/>
      <c r="AG167" s="8"/>
      <c r="AH167" s="8"/>
      <c r="AI167" s="8"/>
      <c r="AJ167" s="8"/>
    </row>
    <row r="168" spans="1:36" ht="15" customHeight="1" x14ac:dyDescent="0.35">
      <c r="A168" s="4" t="s">
        <v>220</v>
      </c>
      <c r="B168" s="1" t="s">
        <v>660</v>
      </c>
      <c r="C168" s="11">
        <v>44951</v>
      </c>
      <c r="D168" s="11" t="s">
        <v>4075</v>
      </c>
      <c r="E168" s="1" t="s">
        <v>191</v>
      </c>
      <c r="F168" s="1" t="s">
        <v>4085</v>
      </c>
      <c r="G168" s="6">
        <f>COUNTIF(F:F,Table2[[#This Row],[Form '#]])</f>
        <v>1</v>
      </c>
      <c r="H168" s="1" t="s">
        <v>4086</v>
      </c>
      <c r="I168" s="1" t="s">
        <v>127</v>
      </c>
      <c r="J168" s="1" t="s">
        <v>76</v>
      </c>
      <c r="K168" s="1" t="s">
        <v>4011</v>
      </c>
      <c r="L168" s="1"/>
      <c r="M168" s="6" t="str">
        <f>IF(Table2[[#This Row],[Corrected Form '#
 (If Duplicated)]]="",Table2[[#This Row],[Form '#]],Table2[[#This Row],[Corrected Form '#
 (If Duplicated)]])</f>
        <v>7812-02068</v>
      </c>
      <c r="N168" s="1" t="s">
        <v>49</v>
      </c>
      <c r="O168" s="6" t="str">
        <f>IF(Table2[[#This Row],[POG CONFIRMATION RECEIPT OF ORDER
(DATE &amp; TIME)]]="","No Confirmation","Received Confirmation")</f>
        <v>Received Confirmation</v>
      </c>
      <c r="P168" s="6">
        <f ca="1">TODAY()-Table2[[#This Row],[DATE SENT TO POG]]</f>
        <v>352</v>
      </c>
      <c r="Q168" s="6" t="s">
        <v>5803</v>
      </c>
      <c r="R1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" s="2" t="str">
        <f>_xlfn.XLOOKUP(Table2[[#This Row],[Adjusted Form '#]],'[2]IN PROGRESS'!$D:$D,'[2]IN PROGRESS'!$M:$M,"Not Found")</f>
        <v>Not Found</v>
      </c>
      <c r="U168" s="2" t="str">
        <f>_xlfn.XLOOKUP(Table2[[#This Row],[Adjusted Form '#]],[1]COMPLETED!$D:$D,[2]COMPLETED!$M:$M,"Not Found")</f>
        <v>Not Found</v>
      </c>
      <c r="V168" s="17" t="str">
        <f>_xlfn.XLOOKUP(Table2[[#This Row],[Adjusted Form '#]],[2]COMPLETED!$D:$D,[2]COMPLETED!$O:$O,"Not Found")</f>
        <v>Not Found</v>
      </c>
      <c r="W168" s="2" t="str">
        <f>_xlfn.XLOOKUP(Table2[[#This Row],[Adjusted Form '#]],[2]BILLED!$D:$D,[2]BILLED!$M:$M,"Not Found")</f>
        <v>1Z5063E0YW42533172</v>
      </c>
      <c r="X168" s="17" t="e">
        <f>_xlfn.XLOOKUP(Table2[[#This Row],[Adjusted Form '#]],[2]BILLED!$D:$D,[1]BILLED!$O:$O,"Not Found")</f>
        <v>#REF!</v>
      </c>
      <c r="Y168" s="17" t="e">
        <f>_xlfn.XLOOKUP(Table2[[#This Row],[Adjusted Form '#]],'[2]REJECTED ORDERS'!$D:$D,'[2]REJECTED ORDERS'!$E:$E)</f>
        <v>#N/A</v>
      </c>
      <c r="Z168" s="1"/>
      <c r="AA168" s="1"/>
      <c r="AB168" s="8"/>
      <c r="AC168" s="8"/>
      <c r="AD168" s="8"/>
      <c r="AE168" s="8"/>
      <c r="AF168" s="8"/>
      <c r="AG168" s="8"/>
      <c r="AH168" s="8"/>
      <c r="AI168" s="8"/>
      <c r="AJ168" s="8"/>
    </row>
    <row r="169" spans="1:36" ht="15" customHeight="1" x14ac:dyDescent="0.35">
      <c r="A169" s="4" t="s">
        <v>221</v>
      </c>
      <c r="B169" s="1" t="s">
        <v>660</v>
      </c>
      <c r="C169" s="11">
        <v>44951</v>
      </c>
      <c r="D169" s="11" t="s">
        <v>4075</v>
      </c>
      <c r="E169" s="1" t="s">
        <v>191</v>
      </c>
      <c r="F169" s="1" t="s">
        <v>4087</v>
      </c>
      <c r="G169" s="6">
        <f>COUNTIF(F:F,Table2[[#This Row],[Form '#]])</f>
        <v>1</v>
      </c>
      <c r="H169" s="1" t="s">
        <v>4088</v>
      </c>
      <c r="I169" s="1" t="s">
        <v>3864</v>
      </c>
      <c r="J169" s="1" t="s">
        <v>78</v>
      </c>
      <c r="K169" s="1" t="s">
        <v>3879</v>
      </c>
      <c r="L169" s="1"/>
      <c r="M169" s="6" t="str">
        <f>IF(Table2[[#This Row],[Corrected Form '#
 (If Duplicated)]]="",Table2[[#This Row],[Form '#]],Table2[[#This Row],[Corrected Form '#
 (If Duplicated)]])</f>
        <v>7812-03391</v>
      </c>
      <c r="N169" s="1" t="s">
        <v>49</v>
      </c>
      <c r="O169" s="6" t="str">
        <f>IF(Table2[[#This Row],[POG CONFIRMATION RECEIPT OF ORDER
(DATE &amp; TIME)]]="","No Confirmation","Received Confirmation")</f>
        <v>Received Confirmation</v>
      </c>
      <c r="P169" s="6">
        <f ca="1">TODAY()-Table2[[#This Row],[DATE SENT TO POG]]</f>
        <v>352</v>
      </c>
      <c r="Q169" s="6" t="s">
        <v>5803</v>
      </c>
      <c r="R1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" s="2" t="str">
        <f>_xlfn.XLOOKUP(Table2[[#This Row],[Adjusted Form '#]],'[2]IN PROGRESS'!$D:$D,'[2]IN PROGRESS'!$M:$M,"Not Found")</f>
        <v>Not Found</v>
      </c>
      <c r="U169" s="2" t="str">
        <f>_xlfn.XLOOKUP(Table2[[#This Row],[Adjusted Form '#]],[1]COMPLETED!$D:$D,[2]COMPLETED!$M:$M,"Not Found")</f>
        <v>Not Found</v>
      </c>
      <c r="V169" s="17" t="str">
        <f>_xlfn.XLOOKUP(Table2[[#This Row],[Adjusted Form '#]],[2]COMPLETED!$D:$D,[2]COMPLETED!$O:$O,"Not Found")</f>
        <v>Not Found</v>
      </c>
      <c r="W169" s="2" t="str">
        <f>_xlfn.XLOOKUP(Table2[[#This Row],[Adjusted Form '#]],[2]BILLED!$D:$D,[2]BILLED!$M:$M,"Not Found")</f>
        <v>1Z5063E0YW40834627</v>
      </c>
      <c r="X169" s="17" t="e">
        <f>_xlfn.XLOOKUP(Table2[[#This Row],[Adjusted Form '#]],[2]BILLED!$D:$D,[1]BILLED!$O:$O,"Not Found")</f>
        <v>#REF!</v>
      </c>
      <c r="Y169" s="17" t="e">
        <f>_xlfn.XLOOKUP(Table2[[#This Row],[Adjusted Form '#]],'[2]REJECTED ORDERS'!$D:$D,'[2]REJECTED ORDERS'!$E:$E)</f>
        <v>#N/A</v>
      </c>
      <c r="Z169" s="1"/>
      <c r="AA169" s="1"/>
      <c r="AB169" s="8"/>
      <c r="AC169" s="8"/>
      <c r="AD169" s="8"/>
      <c r="AE169" s="8"/>
      <c r="AF169" s="8"/>
      <c r="AG169" s="8"/>
      <c r="AH169" s="8"/>
      <c r="AI169" s="8"/>
      <c r="AJ169" s="8"/>
    </row>
    <row r="170" spans="1:36" ht="15" customHeight="1" x14ac:dyDescent="0.35">
      <c r="A170" s="4" t="s">
        <v>222</v>
      </c>
      <c r="B170" s="1" t="s">
        <v>660</v>
      </c>
      <c r="C170" s="11">
        <v>44951</v>
      </c>
      <c r="D170" s="11" t="s">
        <v>4075</v>
      </c>
      <c r="E170" s="1" t="s">
        <v>191</v>
      </c>
      <c r="F170" s="1" t="s">
        <v>4089</v>
      </c>
      <c r="G170" s="6">
        <f>COUNTIF(F:F,Table2[[#This Row],[Form '#]])</f>
        <v>1</v>
      </c>
      <c r="H170" s="1" t="s">
        <v>4090</v>
      </c>
      <c r="I170" s="1" t="s">
        <v>177</v>
      </c>
      <c r="J170" s="1" t="s">
        <v>75</v>
      </c>
      <c r="K170" s="1" t="s">
        <v>3853</v>
      </c>
      <c r="L170" s="1"/>
      <c r="M170" s="6" t="str">
        <f>IF(Table2[[#This Row],[Corrected Form '#
 (If Duplicated)]]="",Table2[[#This Row],[Form '#]],Table2[[#This Row],[Corrected Form '#
 (If Duplicated)]])</f>
        <v>7812-03390</v>
      </c>
      <c r="N170" s="1" t="s">
        <v>49</v>
      </c>
      <c r="O170" s="6" t="str">
        <f>IF(Table2[[#This Row],[POG CONFIRMATION RECEIPT OF ORDER
(DATE &amp; TIME)]]="","No Confirmation","Received Confirmation")</f>
        <v>Received Confirmation</v>
      </c>
      <c r="P170" s="6">
        <f ca="1">TODAY()-Table2[[#This Row],[DATE SENT TO POG]]</f>
        <v>352</v>
      </c>
      <c r="Q170" s="6" t="s">
        <v>5803</v>
      </c>
      <c r="R1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" s="2" t="str">
        <f>_xlfn.XLOOKUP(Table2[[#This Row],[Adjusted Form '#]],'[2]IN PROGRESS'!$D:$D,'[2]IN PROGRESS'!$M:$M,"Not Found")</f>
        <v>Not Found</v>
      </c>
      <c r="U170" s="2" t="str">
        <f>_xlfn.XLOOKUP(Table2[[#This Row],[Adjusted Form '#]],[1]COMPLETED!$D:$D,[2]COMPLETED!$M:$M,"Not Found")</f>
        <v>Not Found</v>
      </c>
      <c r="V170" s="17" t="str">
        <f>_xlfn.XLOOKUP(Table2[[#This Row],[Adjusted Form '#]],[2]COMPLETED!$D:$D,[2]COMPLETED!$O:$O,"Not Found")</f>
        <v>Not Found</v>
      </c>
      <c r="W170" s="2" t="str">
        <f>_xlfn.XLOOKUP(Table2[[#This Row],[Adjusted Form '#]],[2]BILLED!$D:$D,[2]BILLED!$M:$M,"Not Found")</f>
        <v>1Z5063E0YW40994928</v>
      </c>
      <c r="X170" s="17" t="e">
        <f>_xlfn.XLOOKUP(Table2[[#This Row],[Adjusted Form '#]],[2]BILLED!$D:$D,[1]BILLED!$O:$O,"Not Found")</f>
        <v>#REF!</v>
      </c>
      <c r="Y170" s="17" t="e">
        <f>_xlfn.XLOOKUP(Table2[[#This Row],[Adjusted Form '#]],'[2]REJECTED ORDERS'!$D:$D,'[2]REJECTED ORDERS'!$E:$E)</f>
        <v>#N/A</v>
      </c>
      <c r="Z170" s="1"/>
      <c r="AA170" s="1"/>
      <c r="AB170" s="8"/>
      <c r="AC170" s="8"/>
      <c r="AD170" s="8"/>
      <c r="AE170" s="8"/>
      <c r="AF170" s="8"/>
      <c r="AG170" s="8"/>
      <c r="AH170" s="8"/>
      <c r="AI170" s="8"/>
      <c r="AJ170" s="8"/>
    </row>
    <row r="171" spans="1:36" ht="15" customHeight="1" x14ac:dyDescent="0.35">
      <c r="A171" s="4" t="s">
        <v>223</v>
      </c>
      <c r="B171" s="1" t="s">
        <v>660</v>
      </c>
      <c r="C171" s="11">
        <v>44951</v>
      </c>
      <c r="D171" s="11" t="s">
        <v>4075</v>
      </c>
      <c r="E171" s="1" t="s">
        <v>191</v>
      </c>
      <c r="F171" s="1" t="s">
        <v>4091</v>
      </c>
      <c r="G171" s="6">
        <f>COUNTIF(F:F,Table2[[#This Row],[Form '#]])</f>
        <v>1</v>
      </c>
      <c r="H171" s="1" t="s">
        <v>4092</v>
      </c>
      <c r="I171" s="1" t="s">
        <v>3864</v>
      </c>
      <c r="J171" s="1" t="s">
        <v>78</v>
      </c>
      <c r="K171" s="1" t="s">
        <v>3879</v>
      </c>
      <c r="L171" s="1"/>
      <c r="M171" s="6" t="str">
        <f>IF(Table2[[#This Row],[Corrected Form '#
 (If Duplicated)]]="",Table2[[#This Row],[Form '#]],Table2[[#This Row],[Corrected Form '#
 (If Duplicated)]])</f>
        <v>7812-03368</v>
      </c>
      <c r="N171" s="1" t="s">
        <v>49</v>
      </c>
      <c r="O171" s="6" t="str">
        <f>IF(Table2[[#This Row],[POG CONFIRMATION RECEIPT OF ORDER
(DATE &amp; TIME)]]="","No Confirmation","Received Confirmation")</f>
        <v>Received Confirmation</v>
      </c>
      <c r="P171" s="6">
        <f ca="1">TODAY()-Table2[[#This Row],[DATE SENT TO POG]]</f>
        <v>352</v>
      </c>
      <c r="Q171" s="6" t="s">
        <v>5803</v>
      </c>
      <c r="R1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" s="2" t="str">
        <f>_xlfn.XLOOKUP(Table2[[#This Row],[Adjusted Form '#]],'[2]IN PROGRESS'!$D:$D,'[2]IN PROGRESS'!$M:$M,"Not Found")</f>
        <v>Not Found</v>
      </c>
      <c r="U171" s="2" t="str">
        <f>_xlfn.XLOOKUP(Table2[[#This Row],[Adjusted Form '#]],[1]COMPLETED!$D:$D,[2]COMPLETED!$M:$M,"Not Found")</f>
        <v>Not Found</v>
      </c>
      <c r="V171" s="17" t="str">
        <f>_xlfn.XLOOKUP(Table2[[#This Row],[Adjusted Form '#]],[2]COMPLETED!$D:$D,[2]COMPLETED!$O:$O,"Not Found")</f>
        <v>Not Found</v>
      </c>
      <c r="W171" s="2" t="str">
        <f>_xlfn.XLOOKUP(Table2[[#This Row],[Adjusted Form '#]],[2]BILLED!$D:$D,[2]BILLED!$M:$M,"Not Found")</f>
        <v>1Z5063E0YW41835259</v>
      </c>
      <c r="X171" s="17" t="e">
        <f>_xlfn.XLOOKUP(Table2[[#This Row],[Adjusted Form '#]],[2]BILLED!$D:$D,[1]BILLED!$O:$O,"Not Found")</f>
        <v>#REF!</v>
      </c>
      <c r="Y171" s="17" t="e">
        <f>_xlfn.XLOOKUP(Table2[[#This Row],[Adjusted Form '#]],'[2]REJECTED ORDERS'!$D:$D,'[2]REJECTED ORDERS'!$E:$E)</f>
        <v>#N/A</v>
      </c>
      <c r="Z171" s="1"/>
      <c r="AA171" s="1"/>
      <c r="AB171" s="8"/>
      <c r="AC171" s="8"/>
      <c r="AD171" s="8"/>
      <c r="AE171" s="8"/>
      <c r="AF171" s="8"/>
      <c r="AG171" s="8"/>
      <c r="AH171" s="8"/>
      <c r="AI171" s="8"/>
      <c r="AJ171" s="8"/>
    </row>
    <row r="172" spans="1:36" ht="15" customHeight="1" x14ac:dyDescent="0.35">
      <c r="A172" s="4" t="s">
        <v>224</v>
      </c>
      <c r="B172" s="1" t="s">
        <v>660</v>
      </c>
      <c r="C172" s="11">
        <v>44951</v>
      </c>
      <c r="D172" s="11" t="s">
        <v>4075</v>
      </c>
      <c r="E172" s="1" t="s">
        <v>191</v>
      </c>
      <c r="F172" s="1" t="s">
        <v>4093</v>
      </c>
      <c r="G172" s="6">
        <f>COUNTIF(F:F,Table2[[#This Row],[Form '#]])</f>
        <v>1</v>
      </c>
      <c r="H172" s="1" t="s">
        <v>4094</v>
      </c>
      <c r="I172" s="1" t="s">
        <v>3852</v>
      </c>
      <c r="J172" s="1" t="s">
        <v>80</v>
      </c>
      <c r="K172" s="1" t="s">
        <v>3853</v>
      </c>
      <c r="L172" s="1"/>
      <c r="M172" s="6" t="str">
        <f>IF(Table2[[#This Row],[Corrected Form '#
 (If Duplicated)]]="",Table2[[#This Row],[Form '#]],Table2[[#This Row],[Corrected Form '#
 (If Duplicated)]])</f>
        <v>7812-03113</v>
      </c>
      <c r="N172" s="1" t="s">
        <v>49</v>
      </c>
      <c r="O172" s="6" t="str">
        <f>IF(Table2[[#This Row],[POG CONFIRMATION RECEIPT OF ORDER
(DATE &amp; TIME)]]="","No Confirmation","Received Confirmation")</f>
        <v>Received Confirmation</v>
      </c>
      <c r="P172" s="6">
        <f ca="1">TODAY()-Table2[[#This Row],[DATE SENT TO POG]]</f>
        <v>352</v>
      </c>
      <c r="Q172" s="6" t="s">
        <v>5803</v>
      </c>
      <c r="R1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2" s="2" t="str">
        <f>_xlfn.XLOOKUP(Table2[[#This Row],[Adjusted Form '#]],'[2]IN PROGRESS'!$D:$D,'[2]IN PROGRESS'!$M:$M,"Not Found")</f>
        <v>Not Found</v>
      </c>
      <c r="U172" s="2" t="str">
        <f>_xlfn.XLOOKUP(Table2[[#This Row],[Adjusted Form '#]],[1]COMPLETED!$D:$D,[2]COMPLETED!$M:$M,"Not Found")</f>
        <v>Not Found</v>
      </c>
      <c r="V172" s="17" t="str">
        <f>_xlfn.XLOOKUP(Table2[[#This Row],[Adjusted Form '#]],[2]COMPLETED!$D:$D,[2]COMPLETED!$O:$O,"Not Found")</f>
        <v>Not Found</v>
      </c>
      <c r="W172" s="2" t="str">
        <f>_xlfn.XLOOKUP(Table2[[#This Row],[Adjusted Form '#]],[2]BILLED!$D:$D,[2]BILLED!$M:$M,"Not Found")</f>
        <v>1Z5063E0YW41578206</v>
      </c>
      <c r="X172" s="17" t="e">
        <f>_xlfn.XLOOKUP(Table2[[#This Row],[Adjusted Form '#]],[2]BILLED!$D:$D,[1]BILLED!$O:$O,"Not Found")</f>
        <v>#REF!</v>
      </c>
      <c r="Y172" s="17" t="e">
        <f>_xlfn.XLOOKUP(Table2[[#This Row],[Adjusted Form '#]],'[2]REJECTED ORDERS'!$D:$D,'[2]REJECTED ORDERS'!$E:$E)</f>
        <v>#N/A</v>
      </c>
      <c r="Z172" s="1"/>
      <c r="AA172" s="1"/>
      <c r="AB172" s="8"/>
      <c r="AC172" s="8"/>
      <c r="AD172" s="8"/>
      <c r="AE172" s="8"/>
      <c r="AF172" s="8"/>
      <c r="AG172" s="8"/>
      <c r="AH172" s="8"/>
      <c r="AI172" s="8"/>
      <c r="AJ172" s="8"/>
    </row>
    <row r="173" spans="1:36" ht="15" customHeight="1" x14ac:dyDescent="0.35">
      <c r="A173" s="4" t="s">
        <v>227</v>
      </c>
      <c r="B173" s="1" t="s">
        <v>660</v>
      </c>
      <c r="C173" s="11">
        <v>44951</v>
      </c>
      <c r="D173" s="11" t="s">
        <v>4075</v>
      </c>
      <c r="E173" s="1" t="s">
        <v>191</v>
      </c>
      <c r="F173" s="1" t="s">
        <v>4095</v>
      </c>
      <c r="G173" s="6">
        <f>COUNTIF(F:F,Table2[[#This Row],[Form '#]])</f>
        <v>1</v>
      </c>
      <c r="H173" s="1" t="s">
        <v>4096</v>
      </c>
      <c r="I173" s="1" t="s">
        <v>3852</v>
      </c>
      <c r="J173" s="1" t="s">
        <v>80</v>
      </c>
      <c r="K173" s="1" t="s">
        <v>3862</v>
      </c>
      <c r="L173" s="1"/>
      <c r="M173" s="6" t="str">
        <f>IF(Table2[[#This Row],[Corrected Form '#
 (If Duplicated)]]="",Table2[[#This Row],[Form '#]],Table2[[#This Row],[Corrected Form '#
 (If Duplicated)]])</f>
        <v>7812-03053</v>
      </c>
      <c r="N173" s="1" t="s">
        <v>49</v>
      </c>
      <c r="O173" s="6" t="str">
        <f>IF(Table2[[#This Row],[POG CONFIRMATION RECEIPT OF ORDER
(DATE &amp; TIME)]]="","No Confirmation","Received Confirmation")</f>
        <v>Received Confirmation</v>
      </c>
      <c r="P173" s="6">
        <f ca="1">TODAY()-Table2[[#This Row],[DATE SENT TO POG]]</f>
        <v>352</v>
      </c>
      <c r="Q173" s="6" t="s">
        <v>5803</v>
      </c>
      <c r="R1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" s="2" t="str">
        <f>_xlfn.XLOOKUP(Table2[[#This Row],[Adjusted Form '#]],'[2]IN PROGRESS'!$D:$D,'[2]IN PROGRESS'!$M:$M,"Not Found")</f>
        <v>Not Found</v>
      </c>
      <c r="U173" s="2" t="str">
        <f>_xlfn.XLOOKUP(Table2[[#This Row],[Adjusted Form '#]],[1]COMPLETED!$D:$D,[2]COMPLETED!$M:$M,"Not Found")</f>
        <v>Not Found</v>
      </c>
      <c r="V173" s="17" t="str">
        <f>_xlfn.XLOOKUP(Table2[[#This Row],[Adjusted Form '#]],[2]COMPLETED!$D:$D,[2]COMPLETED!$O:$O,"Not Found")</f>
        <v>Not Found</v>
      </c>
      <c r="W173" s="2" t="str">
        <f>_xlfn.XLOOKUP(Table2[[#This Row],[Adjusted Form '#]],[2]BILLED!$D:$D,[2]BILLED!$M:$M,"Not Found")</f>
        <v>9400 1112 0620 7703 7355 10</v>
      </c>
      <c r="X173" s="17" t="e">
        <f>_xlfn.XLOOKUP(Table2[[#This Row],[Adjusted Form '#]],[2]BILLED!$D:$D,[1]BILLED!$O:$O,"Not Found")</f>
        <v>#REF!</v>
      </c>
      <c r="Y173" s="17" t="e">
        <f>_xlfn.XLOOKUP(Table2[[#This Row],[Adjusted Form '#]],'[2]REJECTED ORDERS'!$D:$D,'[2]REJECTED ORDERS'!$E:$E)</f>
        <v>#N/A</v>
      </c>
      <c r="Z173" s="1"/>
      <c r="AA173" s="1"/>
      <c r="AB173" s="8"/>
      <c r="AC173" s="8"/>
      <c r="AD173" s="8"/>
      <c r="AE173" s="8"/>
      <c r="AF173" s="8"/>
      <c r="AG173" s="8"/>
      <c r="AH173" s="8"/>
      <c r="AI173" s="8"/>
      <c r="AJ173" s="8"/>
    </row>
    <row r="174" spans="1:36" ht="15" customHeight="1" x14ac:dyDescent="0.35">
      <c r="A174" s="4" t="s">
        <v>228</v>
      </c>
      <c r="B174" s="1" t="s">
        <v>660</v>
      </c>
      <c r="C174" s="11">
        <v>44951</v>
      </c>
      <c r="D174" s="11" t="s">
        <v>4075</v>
      </c>
      <c r="E174" s="1" t="s">
        <v>191</v>
      </c>
      <c r="F174" s="1" t="s">
        <v>4097</v>
      </c>
      <c r="G174" s="6">
        <f>COUNTIF(F:F,Table2[[#This Row],[Form '#]])</f>
        <v>1</v>
      </c>
      <c r="H174" s="1" t="s">
        <v>4098</v>
      </c>
      <c r="I174" s="1" t="s">
        <v>3852</v>
      </c>
      <c r="J174" s="1" t="s">
        <v>80</v>
      </c>
      <c r="K174" s="1" t="s">
        <v>3853</v>
      </c>
      <c r="L174" s="1"/>
      <c r="M174" s="6" t="str">
        <f>IF(Table2[[#This Row],[Corrected Form '#
 (If Duplicated)]]="",Table2[[#This Row],[Form '#]],Table2[[#This Row],[Corrected Form '#
 (If Duplicated)]])</f>
        <v>7812-01097</v>
      </c>
      <c r="N174" s="1" t="s">
        <v>49</v>
      </c>
      <c r="O174" s="6" t="str">
        <f>IF(Table2[[#This Row],[POG CONFIRMATION RECEIPT OF ORDER
(DATE &amp; TIME)]]="","No Confirmation","Received Confirmation")</f>
        <v>Received Confirmation</v>
      </c>
      <c r="P174" s="6">
        <f ca="1">TODAY()-Table2[[#This Row],[DATE SENT TO POG]]</f>
        <v>352</v>
      </c>
      <c r="Q174" s="6" t="s">
        <v>5803</v>
      </c>
      <c r="R1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" s="2" t="str">
        <f>_xlfn.XLOOKUP(Table2[[#This Row],[Adjusted Form '#]],'[2]IN PROGRESS'!$D:$D,'[2]IN PROGRESS'!$M:$M,"Not Found")</f>
        <v>Not Found</v>
      </c>
      <c r="U174" s="2" t="str">
        <f>_xlfn.XLOOKUP(Table2[[#This Row],[Adjusted Form '#]],[1]COMPLETED!$D:$D,[2]COMPLETED!$M:$M,"Not Found")</f>
        <v>Not Found</v>
      </c>
      <c r="V174" s="17" t="str">
        <f>_xlfn.XLOOKUP(Table2[[#This Row],[Adjusted Form '#]],[2]COMPLETED!$D:$D,[2]COMPLETED!$O:$O,"Not Found")</f>
        <v>Not Found</v>
      </c>
      <c r="W174" s="2" t="str">
        <f>_xlfn.XLOOKUP(Table2[[#This Row],[Adjusted Form '#]],[2]BILLED!$D:$D,[2]BILLED!$M:$M,"Not Found")</f>
        <v>1Z5063E0YW42011628</v>
      </c>
      <c r="X174" s="17" t="e">
        <f>_xlfn.XLOOKUP(Table2[[#This Row],[Adjusted Form '#]],[2]BILLED!$D:$D,[1]BILLED!$O:$O,"Not Found")</f>
        <v>#REF!</v>
      </c>
      <c r="Y174" s="17" t="e">
        <f>_xlfn.XLOOKUP(Table2[[#This Row],[Adjusted Form '#]],'[2]REJECTED ORDERS'!$D:$D,'[2]REJECTED ORDERS'!$E:$E)</f>
        <v>#N/A</v>
      </c>
      <c r="Z174" s="1"/>
      <c r="AA174" s="1"/>
      <c r="AB174" s="8"/>
      <c r="AC174" s="8"/>
      <c r="AD174" s="8"/>
      <c r="AE174" s="8"/>
      <c r="AF174" s="8"/>
      <c r="AG174" s="8"/>
      <c r="AH174" s="8"/>
      <c r="AI174" s="8"/>
      <c r="AJ174" s="8"/>
    </row>
    <row r="175" spans="1:36" ht="15" customHeight="1" x14ac:dyDescent="0.35">
      <c r="A175" s="4" t="s">
        <v>229</v>
      </c>
      <c r="B175" s="1" t="s">
        <v>660</v>
      </c>
      <c r="C175" s="11">
        <v>44951</v>
      </c>
      <c r="D175" s="11" t="s">
        <v>4075</v>
      </c>
      <c r="E175" s="1" t="s">
        <v>191</v>
      </c>
      <c r="F175" s="1" t="s">
        <v>4099</v>
      </c>
      <c r="G175" s="6">
        <f>COUNTIF(F:F,Table2[[#This Row],[Form '#]])</f>
        <v>1</v>
      </c>
      <c r="H175" s="1" t="s">
        <v>4100</v>
      </c>
      <c r="I175" s="1" t="s">
        <v>177</v>
      </c>
      <c r="J175" s="1" t="s">
        <v>75</v>
      </c>
      <c r="K175" s="1" t="s">
        <v>3862</v>
      </c>
      <c r="L175" s="1"/>
      <c r="M175" s="6" t="str">
        <f>IF(Table2[[#This Row],[Corrected Form '#
 (If Duplicated)]]="",Table2[[#This Row],[Form '#]],Table2[[#This Row],[Corrected Form '#
 (If Duplicated)]])</f>
        <v>7812-03343</v>
      </c>
      <c r="N175" s="1" t="s">
        <v>49</v>
      </c>
      <c r="O175" s="6" t="str">
        <f>IF(Table2[[#This Row],[POG CONFIRMATION RECEIPT OF ORDER
(DATE &amp; TIME)]]="","No Confirmation","Received Confirmation")</f>
        <v>Received Confirmation</v>
      </c>
      <c r="P175" s="6">
        <f ca="1">TODAY()-Table2[[#This Row],[DATE SENT TO POG]]</f>
        <v>352</v>
      </c>
      <c r="Q175" s="6" t="s">
        <v>5803</v>
      </c>
      <c r="R1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" s="2" t="str">
        <f>_xlfn.XLOOKUP(Table2[[#This Row],[Adjusted Form '#]],'[2]IN PROGRESS'!$D:$D,'[2]IN PROGRESS'!$M:$M,"Not Found")</f>
        <v>Not Found</v>
      </c>
      <c r="U175" s="2" t="str">
        <f>_xlfn.XLOOKUP(Table2[[#This Row],[Adjusted Form '#]],[1]COMPLETED!$D:$D,[2]COMPLETED!$M:$M,"Not Found")</f>
        <v>Not Found</v>
      </c>
      <c r="V175" s="17" t="str">
        <f>_xlfn.XLOOKUP(Table2[[#This Row],[Adjusted Form '#]],[2]COMPLETED!$D:$D,[2]COMPLETED!$O:$O,"Not Found")</f>
        <v>Not Found</v>
      </c>
      <c r="W175" s="2" t="str">
        <f>_xlfn.XLOOKUP(Table2[[#This Row],[Adjusted Form '#]],[2]BILLED!$D:$D,[2]BILLED!$M:$M,"Not Found")</f>
        <v>1Z5063E0YW40943054</v>
      </c>
      <c r="X175" s="17" t="e">
        <f>_xlfn.XLOOKUP(Table2[[#This Row],[Adjusted Form '#]],[2]BILLED!$D:$D,[1]BILLED!$O:$O,"Not Found")</f>
        <v>#REF!</v>
      </c>
      <c r="Y175" s="17" t="e">
        <f>_xlfn.XLOOKUP(Table2[[#This Row],[Adjusted Form '#]],'[2]REJECTED ORDERS'!$D:$D,'[2]REJECTED ORDERS'!$E:$E)</f>
        <v>#N/A</v>
      </c>
      <c r="Z175" s="1"/>
      <c r="AA175" s="1"/>
      <c r="AB175" s="8"/>
      <c r="AC175" s="8"/>
      <c r="AD175" s="8"/>
      <c r="AE175" s="8"/>
      <c r="AF175" s="8"/>
      <c r="AG175" s="8"/>
      <c r="AH175" s="8"/>
      <c r="AI175" s="8"/>
      <c r="AJ175" s="8"/>
    </row>
    <row r="176" spans="1:36" ht="15" customHeight="1" x14ac:dyDescent="0.35">
      <c r="A176" s="4" t="s">
        <v>230</v>
      </c>
      <c r="B176" s="1" t="s">
        <v>815</v>
      </c>
      <c r="C176" s="11">
        <v>44951</v>
      </c>
      <c r="D176" s="11" t="s">
        <v>4101</v>
      </c>
      <c r="E176" s="1" t="s">
        <v>73</v>
      </c>
      <c r="F176" s="1" t="s">
        <v>3744</v>
      </c>
      <c r="G176" s="6">
        <f>COUNTIF(F:F,Table2[[#This Row],[Form '#]])</f>
        <v>1</v>
      </c>
      <c r="H176" s="1" t="s">
        <v>3745</v>
      </c>
      <c r="I176" s="1" t="s">
        <v>3852</v>
      </c>
      <c r="J176" s="1" t="s">
        <v>80</v>
      </c>
      <c r="K176" s="1" t="s">
        <v>3853</v>
      </c>
      <c r="L176" s="1"/>
      <c r="M176" s="6" t="str">
        <f>IF(Table2[[#This Row],[Corrected Form '#
 (If Duplicated)]]="",Table2[[#This Row],[Form '#]],Table2[[#This Row],[Corrected Form '#
 (If Duplicated)]])</f>
        <v>7823-02838</v>
      </c>
      <c r="N176" s="1" t="s">
        <v>49</v>
      </c>
      <c r="O176" s="6" t="str">
        <f>IF(Table2[[#This Row],[POG CONFIRMATION RECEIPT OF ORDER
(DATE &amp; TIME)]]="","No Confirmation","Received Confirmation")</f>
        <v>Received Confirmation</v>
      </c>
      <c r="P176" s="6">
        <f ca="1">TODAY()-Table2[[#This Row],[DATE SENT TO POG]]</f>
        <v>352</v>
      </c>
      <c r="Q176" s="6" t="s">
        <v>5803</v>
      </c>
      <c r="R1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" s="2" t="str">
        <f>_xlfn.XLOOKUP(Table2[[#This Row],[Adjusted Form '#]],'[2]IN PROGRESS'!$D:$D,'[2]IN PROGRESS'!$M:$M,"Not Found")</f>
        <v>Not Found</v>
      </c>
      <c r="U176" s="2" t="str">
        <f>_xlfn.XLOOKUP(Table2[[#This Row],[Adjusted Form '#]],[1]COMPLETED!$D:$D,[2]COMPLETED!$M:$M,"Not Found")</f>
        <v>Not Found</v>
      </c>
      <c r="V176" s="17" t="str">
        <f>_xlfn.XLOOKUP(Table2[[#This Row],[Adjusted Form '#]],[2]COMPLETED!$D:$D,[2]COMPLETED!$O:$O,"Not Found")</f>
        <v>Not Found</v>
      </c>
      <c r="W176" s="2" t="str">
        <f>_xlfn.XLOOKUP(Table2[[#This Row],[Adjusted Form '#]],[2]BILLED!$D:$D,[2]BILLED!$M:$M,"Not Found")</f>
        <v>9400 1112 0620 7514 2144 57</v>
      </c>
      <c r="X176" s="17" t="e">
        <f>_xlfn.XLOOKUP(Table2[[#This Row],[Adjusted Form '#]],[2]BILLED!$D:$D,[1]BILLED!$O:$O,"Not Found")</f>
        <v>#REF!</v>
      </c>
      <c r="Y176" s="17" t="e">
        <f>_xlfn.XLOOKUP(Table2[[#This Row],[Adjusted Form '#]],'[2]REJECTED ORDERS'!$D:$D,'[2]REJECTED ORDERS'!$E:$E)</f>
        <v>#N/A</v>
      </c>
      <c r="Z176" s="1"/>
      <c r="AA176" s="1"/>
      <c r="AB176" s="8"/>
      <c r="AC176" s="8"/>
      <c r="AD176" s="8"/>
      <c r="AE176" s="8"/>
      <c r="AF176" s="8"/>
      <c r="AG176" s="8"/>
      <c r="AH176" s="8"/>
      <c r="AI176" s="8"/>
      <c r="AJ176" s="8"/>
    </row>
    <row r="177" spans="1:36" ht="15" customHeight="1" x14ac:dyDescent="0.35">
      <c r="A177" s="4" t="s">
        <v>233</v>
      </c>
      <c r="B177" s="1" t="s">
        <v>3708</v>
      </c>
      <c r="C177" s="11">
        <v>44951</v>
      </c>
      <c r="D177" s="11" t="s">
        <v>4101</v>
      </c>
      <c r="E177" s="1" t="s">
        <v>21</v>
      </c>
      <c r="F177" s="1" t="s">
        <v>4102</v>
      </c>
      <c r="G177" s="6">
        <f>COUNTIF(F:F,Table2[[#This Row],[Form '#]])</f>
        <v>1</v>
      </c>
      <c r="H177" s="1" t="s">
        <v>4103</v>
      </c>
      <c r="I177" s="1" t="s">
        <v>3864</v>
      </c>
      <c r="J177" s="1" t="s">
        <v>78</v>
      </c>
      <c r="K177" s="1" t="s">
        <v>3879</v>
      </c>
      <c r="L177" s="1"/>
      <c r="M177" s="6" t="str">
        <f>IF(Table2[[#This Row],[Corrected Form '#
 (If Duplicated)]]="",Table2[[#This Row],[Form '#]],Table2[[#This Row],[Corrected Form '#
 (If Duplicated)]])</f>
        <v>7818-18093</v>
      </c>
      <c r="N177" s="1" t="s">
        <v>49</v>
      </c>
      <c r="O177" s="6" t="str">
        <f>IF(Table2[[#This Row],[POG CONFIRMATION RECEIPT OF ORDER
(DATE &amp; TIME)]]="","No Confirmation","Received Confirmation")</f>
        <v>Received Confirmation</v>
      </c>
      <c r="P177" s="6">
        <f ca="1">TODAY()-Table2[[#This Row],[DATE SENT TO POG]]</f>
        <v>352</v>
      </c>
      <c r="Q177" s="6" t="s">
        <v>5803</v>
      </c>
      <c r="R1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" s="2" t="str">
        <f>_xlfn.XLOOKUP(Table2[[#This Row],[Adjusted Form '#]],'[2]IN PROGRESS'!$D:$D,'[2]IN PROGRESS'!$M:$M,"Not Found")</f>
        <v>Not Found</v>
      </c>
      <c r="U177" s="2" t="str">
        <f>_xlfn.XLOOKUP(Table2[[#This Row],[Adjusted Form '#]],[1]COMPLETED!$D:$D,[2]COMPLETED!$M:$M,"Not Found")</f>
        <v>Not Found</v>
      </c>
      <c r="V177" s="17" t="str">
        <f>_xlfn.XLOOKUP(Table2[[#This Row],[Adjusted Form '#]],[2]COMPLETED!$D:$D,[2]COMPLETED!$O:$O,"Not Found")</f>
        <v>Not Found</v>
      </c>
      <c r="W177" s="2" t="str">
        <f>_xlfn.XLOOKUP(Table2[[#This Row],[Adjusted Form '#]],[2]BILLED!$D:$D,[2]BILLED!$M:$M,"Not Found")</f>
        <v>1Z5063E0YW42735436</v>
      </c>
      <c r="X177" s="17" t="e">
        <f>_xlfn.XLOOKUP(Table2[[#This Row],[Adjusted Form '#]],[2]BILLED!$D:$D,[1]BILLED!$O:$O,"Not Found")</f>
        <v>#REF!</v>
      </c>
      <c r="Y177" s="17" t="e">
        <f>_xlfn.XLOOKUP(Table2[[#This Row],[Adjusted Form '#]],'[2]REJECTED ORDERS'!$D:$D,'[2]REJECTED ORDERS'!$E:$E)</f>
        <v>#N/A</v>
      </c>
      <c r="Z177" s="1"/>
      <c r="AA177" s="1"/>
      <c r="AB177" s="8"/>
      <c r="AC177" s="8"/>
      <c r="AD177" s="8"/>
      <c r="AE177" s="8"/>
      <c r="AF177" s="8"/>
      <c r="AG177" s="8"/>
      <c r="AH177" s="8"/>
      <c r="AI177" s="8"/>
      <c r="AJ177" s="8"/>
    </row>
    <row r="178" spans="1:36" ht="15" customHeight="1" x14ac:dyDescent="0.35">
      <c r="A178" s="4" t="s">
        <v>235</v>
      </c>
      <c r="B178" s="1" t="s">
        <v>2389</v>
      </c>
      <c r="C178" s="11">
        <v>44951</v>
      </c>
      <c r="D178" s="11" t="s">
        <v>4104</v>
      </c>
      <c r="E178" s="1" t="s">
        <v>73</v>
      </c>
      <c r="F178" s="1" t="s">
        <v>4105</v>
      </c>
      <c r="G178" s="6">
        <f>COUNTIF(F:F,Table2[[#This Row],[Form '#]])</f>
        <v>1</v>
      </c>
      <c r="H178" s="1" t="s">
        <v>4106</v>
      </c>
      <c r="I178" s="1" t="s">
        <v>127</v>
      </c>
      <c r="J178" s="1" t="s">
        <v>76</v>
      </c>
      <c r="K178" s="1" t="s">
        <v>3891</v>
      </c>
      <c r="L178" s="1"/>
      <c r="M178" s="6" t="str">
        <f>IF(Table2[[#This Row],[Corrected Form '#
 (If Duplicated)]]="",Table2[[#This Row],[Form '#]],Table2[[#This Row],[Corrected Form '#
 (If Duplicated)]])</f>
        <v>7823-02632</v>
      </c>
      <c r="N178" s="1" t="s">
        <v>49</v>
      </c>
      <c r="O178" s="6" t="str">
        <f>IF(Table2[[#This Row],[POG CONFIRMATION RECEIPT OF ORDER
(DATE &amp; TIME)]]="","No Confirmation","Received Confirmation")</f>
        <v>Received Confirmation</v>
      </c>
      <c r="P178" s="6">
        <f ca="1">TODAY()-Table2[[#This Row],[DATE SENT TO POG]]</f>
        <v>352</v>
      </c>
      <c r="Q178" s="6" t="s">
        <v>5803</v>
      </c>
      <c r="R1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" s="2" t="str">
        <f>_xlfn.XLOOKUP(Table2[[#This Row],[Adjusted Form '#]],'[2]IN PROGRESS'!$D:$D,'[2]IN PROGRESS'!$M:$M,"Not Found")</f>
        <v>Not Found</v>
      </c>
      <c r="U178" s="2" t="str">
        <f>_xlfn.XLOOKUP(Table2[[#This Row],[Adjusted Form '#]],[1]COMPLETED!$D:$D,[2]COMPLETED!$M:$M,"Not Found")</f>
        <v>Not Found</v>
      </c>
      <c r="V178" s="17" t="str">
        <f>_xlfn.XLOOKUP(Table2[[#This Row],[Adjusted Form '#]],[2]COMPLETED!$D:$D,[2]COMPLETED!$O:$O,"Not Found")</f>
        <v>Not Found</v>
      </c>
      <c r="W178" s="2" t="str">
        <f>_xlfn.XLOOKUP(Table2[[#This Row],[Adjusted Form '#]],[2]BILLED!$D:$D,[2]BILLED!$M:$M,"Not Found")</f>
        <v>1Z5063E0YW42854469</v>
      </c>
      <c r="X178" s="17" t="e">
        <f>_xlfn.XLOOKUP(Table2[[#This Row],[Adjusted Form '#]],[2]BILLED!$D:$D,[1]BILLED!$O:$O,"Not Found")</f>
        <v>#REF!</v>
      </c>
      <c r="Y178" s="17" t="e">
        <f>_xlfn.XLOOKUP(Table2[[#This Row],[Adjusted Form '#]],'[2]REJECTED ORDERS'!$D:$D,'[2]REJECTED ORDERS'!$E:$E)</f>
        <v>#N/A</v>
      </c>
      <c r="Z178" s="1"/>
      <c r="AA178" s="1"/>
      <c r="AB178" s="8"/>
      <c r="AC178" s="8"/>
      <c r="AD178" s="8"/>
      <c r="AE178" s="8"/>
      <c r="AF178" s="8"/>
      <c r="AG178" s="8"/>
      <c r="AH178" s="8"/>
      <c r="AI178" s="8"/>
      <c r="AJ178" s="8"/>
    </row>
    <row r="179" spans="1:36" ht="15" customHeight="1" x14ac:dyDescent="0.35">
      <c r="A179" s="4" t="s">
        <v>237</v>
      </c>
      <c r="B179" s="1" t="s">
        <v>2389</v>
      </c>
      <c r="C179" s="11">
        <v>44951</v>
      </c>
      <c r="D179" s="11" t="s">
        <v>4104</v>
      </c>
      <c r="E179" s="1" t="s">
        <v>73</v>
      </c>
      <c r="F179" s="1" t="s">
        <v>4107</v>
      </c>
      <c r="G179" s="6">
        <f>COUNTIF(F:F,Table2[[#This Row],[Form '#]])</f>
        <v>1</v>
      </c>
      <c r="H179" s="1" t="s">
        <v>4108</v>
      </c>
      <c r="I179" s="1" t="s">
        <v>127</v>
      </c>
      <c r="J179" s="1" t="s">
        <v>76</v>
      </c>
      <c r="K179" s="1" t="s">
        <v>3891</v>
      </c>
      <c r="L179" s="1"/>
      <c r="M179" s="6" t="str">
        <f>IF(Table2[[#This Row],[Corrected Form '#
 (If Duplicated)]]="",Table2[[#This Row],[Form '#]],Table2[[#This Row],[Corrected Form '#
 (If Duplicated)]])</f>
        <v>7823-02566</v>
      </c>
      <c r="N179" s="1" t="s">
        <v>49</v>
      </c>
      <c r="O179" s="6" t="str">
        <f>IF(Table2[[#This Row],[POG CONFIRMATION RECEIPT OF ORDER
(DATE &amp; TIME)]]="","No Confirmation","Received Confirmation")</f>
        <v>Received Confirmation</v>
      </c>
      <c r="P179" s="6">
        <f ca="1">TODAY()-Table2[[#This Row],[DATE SENT TO POG]]</f>
        <v>352</v>
      </c>
      <c r="Q179" s="6" t="s">
        <v>5803</v>
      </c>
      <c r="R1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" s="2" t="str">
        <f>_xlfn.XLOOKUP(Table2[[#This Row],[Adjusted Form '#]],'[2]IN PROGRESS'!$D:$D,'[2]IN PROGRESS'!$M:$M,"Not Found")</f>
        <v>Not Found</v>
      </c>
      <c r="U179" s="2" t="str">
        <f>_xlfn.XLOOKUP(Table2[[#This Row],[Adjusted Form '#]],[1]COMPLETED!$D:$D,[2]COMPLETED!$M:$M,"Not Found")</f>
        <v>Not Found</v>
      </c>
      <c r="V179" s="17" t="str">
        <f>_xlfn.XLOOKUP(Table2[[#This Row],[Adjusted Form '#]],[2]COMPLETED!$D:$D,[2]COMPLETED!$O:$O,"Not Found")</f>
        <v>Not Found</v>
      </c>
      <c r="W179" s="2" t="str">
        <f>_xlfn.XLOOKUP(Table2[[#This Row],[Adjusted Form '#]],[2]BILLED!$D:$D,[2]BILLED!$M:$M,"Not Found")</f>
        <v>1Z5063E0YW40758693</v>
      </c>
      <c r="X179" s="17" t="e">
        <f>_xlfn.XLOOKUP(Table2[[#This Row],[Adjusted Form '#]],[2]BILLED!$D:$D,[1]BILLED!$O:$O,"Not Found")</f>
        <v>#REF!</v>
      </c>
      <c r="Y179" s="17" t="e">
        <f>_xlfn.XLOOKUP(Table2[[#This Row],[Adjusted Form '#]],'[2]REJECTED ORDERS'!$D:$D,'[2]REJECTED ORDERS'!$E:$E)</f>
        <v>#N/A</v>
      </c>
      <c r="Z179" s="1"/>
      <c r="AA179" s="1"/>
      <c r="AB179" s="8"/>
      <c r="AC179" s="8"/>
      <c r="AD179" s="8"/>
      <c r="AE179" s="8"/>
      <c r="AF179" s="8"/>
      <c r="AG179" s="8"/>
      <c r="AH179" s="8"/>
      <c r="AI179" s="8"/>
      <c r="AJ179" s="8"/>
    </row>
    <row r="180" spans="1:36" ht="15" customHeight="1" x14ac:dyDescent="0.35">
      <c r="A180" s="4" t="s">
        <v>239</v>
      </c>
      <c r="B180" s="1" t="s">
        <v>1732</v>
      </c>
      <c r="C180" s="11">
        <v>44951</v>
      </c>
      <c r="D180" s="11" t="s">
        <v>4101</v>
      </c>
      <c r="E180" s="1" t="s">
        <v>73</v>
      </c>
      <c r="F180" s="1" t="s">
        <v>4109</v>
      </c>
      <c r="G180" s="6">
        <f>COUNTIF(F:F,Table2[[#This Row],[Form '#]])</f>
        <v>1</v>
      </c>
      <c r="H180" s="1" t="s">
        <v>4110</v>
      </c>
      <c r="I180" s="1" t="s">
        <v>3852</v>
      </c>
      <c r="J180" s="1" t="s">
        <v>80</v>
      </c>
      <c r="K180" s="1" t="s">
        <v>4011</v>
      </c>
      <c r="L180" s="1"/>
      <c r="M180" s="6" t="str">
        <f>IF(Table2[[#This Row],[Corrected Form '#
 (If Duplicated)]]="",Table2[[#This Row],[Form '#]],Table2[[#This Row],[Corrected Form '#
 (If Duplicated)]])</f>
        <v>7823-01646</v>
      </c>
      <c r="N180" s="1" t="s">
        <v>49</v>
      </c>
      <c r="O180" s="6" t="str">
        <f>IF(Table2[[#This Row],[POG CONFIRMATION RECEIPT OF ORDER
(DATE &amp; TIME)]]="","No Confirmation","Received Confirmation")</f>
        <v>Received Confirmation</v>
      </c>
      <c r="P180" s="6">
        <f ca="1">TODAY()-Table2[[#This Row],[DATE SENT TO POG]]</f>
        <v>352</v>
      </c>
      <c r="Q180" s="6" t="s">
        <v>5803</v>
      </c>
      <c r="R1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" s="2" t="str">
        <f>_xlfn.XLOOKUP(Table2[[#This Row],[Adjusted Form '#]],'[2]IN PROGRESS'!$D:$D,'[2]IN PROGRESS'!$M:$M,"Not Found")</f>
        <v>Not Found</v>
      </c>
      <c r="U180" s="2" t="str">
        <f>_xlfn.XLOOKUP(Table2[[#This Row],[Adjusted Form '#]],[1]COMPLETED!$D:$D,[2]COMPLETED!$M:$M,"Not Found")</f>
        <v>Not Found</v>
      </c>
      <c r="V180" s="17" t="str">
        <f>_xlfn.XLOOKUP(Table2[[#This Row],[Adjusted Form '#]],[2]COMPLETED!$D:$D,[2]COMPLETED!$O:$O,"Not Found")</f>
        <v>Not Found</v>
      </c>
      <c r="W180" s="2" t="str">
        <f>_xlfn.XLOOKUP(Table2[[#This Row],[Adjusted Form '#]],[2]BILLED!$D:$D,[2]BILLED!$M:$M,"Not Found")</f>
        <v>1Z5063E0YW41317194</v>
      </c>
      <c r="X180" s="17" t="e">
        <f>_xlfn.XLOOKUP(Table2[[#This Row],[Adjusted Form '#]],[2]BILLED!$D:$D,[1]BILLED!$O:$O,"Not Found")</f>
        <v>#REF!</v>
      </c>
      <c r="Y180" s="17" t="e">
        <f>_xlfn.XLOOKUP(Table2[[#This Row],[Adjusted Form '#]],'[2]REJECTED ORDERS'!$D:$D,'[2]REJECTED ORDERS'!$E:$E)</f>
        <v>#N/A</v>
      </c>
      <c r="Z180" s="1"/>
      <c r="AA180" s="1"/>
      <c r="AB180" s="8"/>
      <c r="AC180" s="8"/>
      <c r="AD180" s="8"/>
      <c r="AE180" s="8"/>
      <c r="AF180" s="8"/>
      <c r="AG180" s="8"/>
      <c r="AH180" s="8"/>
      <c r="AI180" s="8"/>
      <c r="AJ180" s="8"/>
    </row>
    <row r="181" spans="1:36" ht="15" customHeight="1" x14ac:dyDescent="0.35">
      <c r="A181" s="4" t="s">
        <v>240</v>
      </c>
      <c r="B181" s="1" t="s">
        <v>3633</v>
      </c>
      <c r="C181" s="11">
        <v>44952</v>
      </c>
      <c r="D181" s="11" t="s">
        <v>4111</v>
      </c>
      <c r="E181" s="1" t="s">
        <v>191</v>
      </c>
      <c r="F181" s="1" t="s">
        <v>3796</v>
      </c>
      <c r="G181" s="6">
        <f>COUNTIF(F:F,Table2[[#This Row],[Form '#]])</f>
        <v>2</v>
      </c>
      <c r="H181" s="1" t="s">
        <v>3797</v>
      </c>
      <c r="I181" s="1" t="s">
        <v>3852</v>
      </c>
      <c r="J181" s="1" t="s">
        <v>80</v>
      </c>
      <c r="K181" s="1" t="s">
        <v>4011</v>
      </c>
      <c r="L181" s="1"/>
      <c r="M181" s="6" t="str">
        <f>IF(Table2[[#This Row],[Corrected Form '#
 (If Duplicated)]]="",Table2[[#This Row],[Form '#]],Table2[[#This Row],[Corrected Form '#
 (If Duplicated)]])</f>
        <v>7812-02854</v>
      </c>
      <c r="N181" s="1" t="s">
        <v>49</v>
      </c>
      <c r="O181" s="6" t="str">
        <f>IF(Table2[[#This Row],[POG CONFIRMATION RECEIPT OF ORDER
(DATE &amp; TIME)]]="","No Confirmation","Received Confirmation")</f>
        <v>Received Confirmation</v>
      </c>
      <c r="P181" s="6">
        <f ca="1">TODAY()-Table2[[#This Row],[DATE SENT TO POG]]</f>
        <v>351</v>
      </c>
      <c r="Q181" s="6" t="s">
        <v>5803</v>
      </c>
      <c r="R1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" s="2" t="str">
        <f>_xlfn.XLOOKUP(Table2[[#This Row],[Adjusted Form '#]],'[2]IN PROGRESS'!$D:$D,'[2]IN PROGRESS'!$M:$M,"Not Found")</f>
        <v>Not Found</v>
      </c>
      <c r="U181" s="2" t="str">
        <f>_xlfn.XLOOKUP(Table2[[#This Row],[Adjusted Form '#]],[1]COMPLETED!$D:$D,[2]COMPLETED!$M:$M,"Not Found")</f>
        <v>Not Found</v>
      </c>
      <c r="V181" s="17" t="str">
        <f>_xlfn.XLOOKUP(Table2[[#This Row],[Adjusted Form '#]],[2]COMPLETED!$D:$D,[2]COMPLETED!$O:$O,"Not Found")</f>
        <v>Not Found</v>
      </c>
      <c r="W181" s="2" t="str">
        <f>_xlfn.XLOOKUP(Table2[[#This Row],[Adjusted Form '#]],[2]BILLED!$D:$D,[2]BILLED!$M:$M,"Not Found")</f>
        <v>1Z5063E0YW41344815</v>
      </c>
      <c r="X181" s="17" t="e">
        <f>_xlfn.XLOOKUP(Table2[[#This Row],[Adjusted Form '#]],[2]BILLED!$D:$D,[1]BILLED!$O:$O,"Not Found")</f>
        <v>#REF!</v>
      </c>
      <c r="Y181" s="17" t="e">
        <f>_xlfn.XLOOKUP(Table2[[#This Row],[Adjusted Form '#]],'[2]REJECTED ORDERS'!$D:$D,'[2]REJECTED ORDERS'!$E:$E)</f>
        <v>#N/A</v>
      </c>
      <c r="Z181" s="1"/>
      <c r="AA181" s="1"/>
      <c r="AB181" s="8"/>
      <c r="AC181" s="8"/>
      <c r="AD181" s="8"/>
      <c r="AE181" s="8"/>
      <c r="AF181" s="8"/>
      <c r="AG181" s="8"/>
      <c r="AH181" s="8"/>
      <c r="AI181" s="8"/>
      <c r="AJ181" s="8"/>
    </row>
    <row r="182" spans="1:36" ht="15" customHeight="1" x14ac:dyDescent="0.35">
      <c r="A182" s="4" t="s">
        <v>241</v>
      </c>
      <c r="B182" s="1" t="s">
        <v>4112</v>
      </c>
      <c r="C182" s="11">
        <v>44952</v>
      </c>
      <c r="D182" s="11" t="s">
        <v>4113</v>
      </c>
      <c r="E182" s="1" t="s">
        <v>21</v>
      </c>
      <c r="F182" s="1" t="s">
        <v>4114</v>
      </c>
      <c r="G182" s="6">
        <f>COUNTIF(F:F,Table2[[#This Row],[Form '#]])</f>
        <v>1</v>
      </c>
      <c r="H182" s="1" t="s">
        <v>4115</v>
      </c>
      <c r="I182" s="1" t="s">
        <v>3852</v>
      </c>
      <c r="J182" s="1" t="s">
        <v>80</v>
      </c>
      <c r="K182" s="1" t="s">
        <v>3853</v>
      </c>
      <c r="L182" s="1"/>
      <c r="M182" s="6" t="str">
        <f>IF(Table2[[#This Row],[Corrected Form '#
 (If Duplicated)]]="",Table2[[#This Row],[Form '#]],Table2[[#This Row],[Corrected Form '#
 (If Duplicated)]])</f>
        <v>7818-20470</v>
      </c>
      <c r="N182" s="1" t="s">
        <v>49</v>
      </c>
      <c r="O182" s="6" t="str">
        <f>IF(Table2[[#This Row],[POG CONFIRMATION RECEIPT OF ORDER
(DATE &amp; TIME)]]="","No Confirmation","Received Confirmation")</f>
        <v>Received Confirmation</v>
      </c>
      <c r="P182" s="6">
        <f ca="1">TODAY()-Table2[[#This Row],[DATE SENT TO POG]]</f>
        <v>351</v>
      </c>
      <c r="Q182" s="6" t="s">
        <v>5803</v>
      </c>
      <c r="R1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" s="2" t="str">
        <f>_xlfn.XLOOKUP(Table2[[#This Row],[Adjusted Form '#]],'[2]IN PROGRESS'!$D:$D,'[2]IN PROGRESS'!$M:$M,"Not Found")</f>
        <v>Not Found</v>
      </c>
      <c r="U182" s="2" t="str">
        <f>_xlfn.XLOOKUP(Table2[[#This Row],[Adjusted Form '#]],[1]COMPLETED!$D:$D,[2]COMPLETED!$M:$M,"Not Found")</f>
        <v>Not Found</v>
      </c>
      <c r="V182" s="17">
        <f>_xlfn.XLOOKUP(Table2[[#This Row],[Adjusted Form '#]],[2]COMPLETED!$D:$D,[2]COMPLETED!$O:$O,"Not Found")</f>
        <v>0</v>
      </c>
      <c r="W182" s="2" t="str">
        <f>_xlfn.XLOOKUP(Table2[[#This Row],[Adjusted Form '#]],[2]BILLED!$D:$D,[2]BILLED!$M:$M,"Not Found")</f>
        <v>1Z5063E0YW42211528</v>
      </c>
      <c r="X182" s="17" t="e">
        <f>_xlfn.XLOOKUP(Table2[[#This Row],[Adjusted Form '#]],[2]BILLED!$D:$D,[1]BILLED!$O:$O,"Not Found")</f>
        <v>#REF!</v>
      </c>
      <c r="Y182" s="17" t="e">
        <f>_xlfn.XLOOKUP(Table2[[#This Row],[Adjusted Form '#]],'[2]REJECTED ORDERS'!$D:$D,'[2]REJECTED ORDERS'!$E:$E)</f>
        <v>#N/A</v>
      </c>
      <c r="Z182" s="1"/>
      <c r="AA182" s="1"/>
      <c r="AB182" s="8"/>
      <c r="AC182" s="8"/>
      <c r="AD182" s="8"/>
      <c r="AE182" s="8"/>
      <c r="AF182" s="8"/>
      <c r="AG182" s="8"/>
      <c r="AH182" s="8"/>
      <c r="AI182" s="8"/>
      <c r="AJ182" s="8"/>
    </row>
    <row r="183" spans="1:36" ht="15" customHeight="1" x14ac:dyDescent="0.35">
      <c r="A183" s="4" t="s">
        <v>243</v>
      </c>
      <c r="B183" s="1" t="s">
        <v>3372</v>
      </c>
      <c r="C183" s="11">
        <v>44952</v>
      </c>
      <c r="D183" s="11" t="s">
        <v>4113</v>
      </c>
      <c r="E183" s="1" t="s">
        <v>21</v>
      </c>
      <c r="F183" s="1" t="s">
        <v>4116</v>
      </c>
      <c r="G183" s="6">
        <f>COUNTIF(F:F,Table2[[#This Row],[Form '#]])</f>
        <v>1</v>
      </c>
      <c r="H183" s="1" t="s">
        <v>3561</v>
      </c>
      <c r="I183" s="1" t="s">
        <v>3852</v>
      </c>
      <c r="J183" s="1" t="s">
        <v>80</v>
      </c>
      <c r="K183" s="1" t="s">
        <v>3853</v>
      </c>
      <c r="L183" s="1"/>
      <c r="M183" s="6" t="str">
        <f>IF(Table2[[#This Row],[Corrected Form '#
 (If Duplicated)]]="",Table2[[#This Row],[Form '#]],Table2[[#This Row],[Corrected Form '#
 (If Duplicated)]])</f>
        <v>7818-26052</v>
      </c>
      <c r="N183" s="1" t="s">
        <v>49</v>
      </c>
      <c r="O183" s="6" t="str">
        <f>IF(Table2[[#This Row],[POG CONFIRMATION RECEIPT OF ORDER
(DATE &amp; TIME)]]="","No Confirmation","Received Confirmation")</f>
        <v>Received Confirmation</v>
      </c>
      <c r="P183" s="6">
        <f ca="1">TODAY()-Table2[[#This Row],[DATE SENT TO POG]]</f>
        <v>351</v>
      </c>
      <c r="Q183" s="6" t="s">
        <v>5803</v>
      </c>
      <c r="R1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" s="2" t="str">
        <f>_xlfn.XLOOKUP(Table2[[#This Row],[Adjusted Form '#]],'[2]IN PROGRESS'!$D:$D,'[2]IN PROGRESS'!$M:$M,"Not Found")</f>
        <v>Not Found</v>
      </c>
      <c r="U183" s="2" t="str">
        <f>_xlfn.XLOOKUP(Table2[[#This Row],[Adjusted Form '#]],[1]COMPLETED!$D:$D,[2]COMPLETED!$M:$M,"Not Found")</f>
        <v>Not Found</v>
      </c>
      <c r="V183" s="17" t="str">
        <f>_xlfn.XLOOKUP(Table2[[#This Row],[Adjusted Form '#]],[2]COMPLETED!$D:$D,[2]COMPLETED!$O:$O,"Not Found")</f>
        <v>Not Found</v>
      </c>
      <c r="W183" s="2" t="str">
        <f>_xlfn.XLOOKUP(Table2[[#This Row],[Adjusted Form '#]],[2]BILLED!$D:$D,[2]BILLED!$M:$M,"Not Found")</f>
        <v>1Z5063E0YW40764293</v>
      </c>
      <c r="X183" s="17" t="e">
        <f>_xlfn.XLOOKUP(Table2[[#This Row],[Adjusted Form '#]],[2]BILLED!$D:$D,[1]BILLED!$O:$O,"Not Found")</f>
        <v>#REF!</v>
      </c>
      <c r="Y183" s="17" t="e">
        <f>_xlfn.XLOOKUP(Table2[[#This Row],[Adjusted Form '#]],'[2]REJECTED ORDERS'!$D:$D,'[2]REJECTED ORDERS'!$E:$E)</f>
        <v>#N/A</v>
      </c>
      <c r="Z183" s="1"/>
      <c r="AA183" s="1"/>
      <c r="AB183" s="8"/>
      <c r="AC183" s="8"/>
      <c r="AD183" s="8"/>
      <c r="AE183" s="8"/>
      <c r="AF183" s="8"/>
      <c r="AG183" s="8"/>
      <c r="AH183" s="8"/>
      <c r="AI183" s="8"/>
      <c r="AJ183" s="8"/>
    </row>
    <row r="184" spans="1:36" ht="15" customHeight="1" x14ac:dyDescent="0.35">
      <c r="A184" s="4" t="s">
        <v>245</v>
      </c>
      <c r="B184" s="1" t="s">
        <v>3372</v>
      </c>
      <c r="C184" s="11">
        <v>44952</v>
      </c>
      <c r="D184" s="11" t="s">
        <v>4113</v>
      </c>
      <c r="E184" s="1" t="s">
        <v>21</v>
      </c>
      <c r="F184" s="1" t="s">
        <v>4117</v>
      </c>
      <c r="G184" s="6">
        <f>COUNTIF(F:F,Table2[[#This Row],[Form '#]])</f>
        <v>1</v>
      </c>
      <c r="H184" s="1" t="s">
        <v>4118</v>
      </c>
      <c r="I184" s="1" t="s">
        <v>3852</v>
      </c>
      <c r="J184" s="1" t="s">
        <v>80</v>
      </c>
      <c r="K184" s="1" t="s">
        <v>4011</v>
      </c>
      <c r="L184" s="1"/>
      <c r="M184" s="6" t="str">
        <f>IF(Table2[[#This Row],[Corrected Form '#
 (If Duplicated)]]="",Table2[[#This Row],[Form '#]],Table2[[#This Row],[Corrected Form '#
 (If Duplicated)]])</f>
        <v>7818-21778</v>
      </c>
      <c r="N184" s="1" t="s">
        <v>49</v>
      </c>
      <c r="O184" s="6" t="str">
        <f>IF(Table2[[#This Row],[POG CONFIRMATION RECEIPT OF ORDER
(DATE &amp; TIME)]]="","No Confirmation","Received Confirmation")</f>
        <v>Received Confirmation</v>
      </c>
      <c r="P184" s="6">
        <f ca="1">TODAY()-Table2[[#This Row],[DATE SENT TO POG]]</f>
        <v>351</v>
      </c>
      <c r="Q184" s="6" t="s">
        <v>5803</v>
      </c>
      <c r="R1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" s="2" t="str">
        <f>_xlfn.XLOOKUP(Table2[[#This Row],[Adjusted Form '#]],'[2]IN PROGRESS'!$D:$D,'[2]IN PROGRESS'!$M:$M,"Not Found")</f>
        <v>Not Found</v>
      </c>
      <c r="U184" s="2" t="str">
        <f>_xlfn.XLOOKUP(Table2[[#This Row],[Adjusted Form '#]],[1]COMPLETED!$D:$D,[2]COMPLETED!$M:$M,"Not Found")</f>
        <v>Not Found</v>
      </c>
      <c r="V184" s="17" t="str">
        <f>_xlfn.XLOOKUP(Table2[[#This Row],[Adjusted Form '#]],[2]COMPLETED!$D:$D,[2]COMPLETED!$O:$O,"Not Found")</f>
        <v>Not Found</v>
      </c>
      <c r="W184" s="2" t="str">
        <f>_xlfn.XLOOKUP(Table2[[#This Row],[Adjusted Form '#]],[2]BILLED!$D:$D,[2]BILLED!$M:$M,"Not Found")</f>
        <v>1Z5063E0YW42156599</v>
      </c>
      <c r="X184" s="17" t="e">
        <f>_xlfn.XLOOKUP(Table2[[#This Row],[Adjusted Form '#]],[2]BILLED!$D:$D,[1]BILLED!$O:$O,"Not Found")</f>
        <v>#REF!</v>
      </c>
      <c r="Y184" s="17" t="e">
        <f>_xlfn.XLOOKUP(Table2[[#This Row],[Adjusted Form '#]],'[2]REJECTED ORDERS'!$D:$D,'[2]REJECTED ORDERS'!$E:$E)</f>
        <v>#N/A</v>
      </c>
      <c r="Z184" s="1"/>
      <c r="AA184" s="1"/>
      <c r="AB184" s="8"/>
      <c r="AC184" s="8"/>
      <c r="AD184" s="8"/>
      <c r="AE184" s="8"/>
      <c r="AF184" s="8"/>
      <c r="AG184" s="8"/>
      <c r="AH184" s="8"/>
      <c r="AI184" s="8"/>
      <c r="AJ184" s="8"/>
    </row>
    <row r="185" spans="1:36" ht="15" customHeight="1" x14ac:dyDescent="0.35">
      <c r="A185" s="4" t="s">
        <v>248</v>
      </c>
      <c r="B185" s="1" t="s">
        <v>3372</v>
      </c>
      <c r="C185" s="11">
        <v>44952</v>
      </c>
      <c r="D185" s="11" t="s">
        <v>4113</v>
      </c>
      <c r="E185" s="1" t="s">
        <v>21</v>
      </c>
      <c r="F185" s="1" t="s">
        <v>4119</v>
      </c>
      <c r="G185" s="6">
        <f>COUNTIF(F:F,Table2[[#This Row],[Form '#]])</f>
        <v>1</v>
      </c>
      <c r="H185" s="1" t="s">
        <v>2655</v>
      </c>
      <c r="I185" s="1" t="s">
        <v>127</v>
      </c>
      <c r="J185" s="1" t="s">
        <v>76</v>
      </c>
      <c r="K185" s="1" t="s">
        <v>3883</v>
      </c>
      <c r="L185" s="1"/>
      <c r="M185" s="6" t="str">
        <f>IF(Table2[[#This Row],[Corrected Form '#
 (If Duplicated)]]="",Table2[[#This Row],[Form '#]],Table2[[#This Row],[Corrected Form '#
 (If Duplicated)]])</f>
        <v>7818-25783</v>
      </c>
      <c r="N185" s="1" t="s">
        <v>49</v>
      </c>
      <c r="O185" s="6" t="str">
        <f>IF(Table2[[#This Row],[POG CONFIRMATION RECEIPT OF ORDER
(DATE &amp; TIME)]]="","No Confirmation","Received Confirmation")</f>
        <v>Received Confirmation</v>
      </c>
      <c r="P185" s="6">
        <f ca="1">TODAY()-Table2[[#This Row],[DATE SENT TO POG]]</f>
        <v>351</v>
      </c>
      <c r="Q185" s="6" t="s">
        <v>5803</v>
      </c>
      <c r="R1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" s="2" t="str">
        <f>_xlfn.XLOOKUP(Table2[[#This Row],[Adjusted Form '#]],'[2]IN PROGRESS'!$D:$D,'[2]IN PROGRESS'!$M:$M,"Not Found")</f>
        <v>Not Found</v>
      </c>
      <c r="U185" s="2" t="str">
        <f>_xlfn.XLOOKUP(Table2[[#This Row],[Adjusted Form '#]],[1]COMPLETED!$D:$D,[2]COMPLETED!$M:$M,"Not Found")</f>
        <v>Not Found</v>
      </c>
      <c r="V185" s="17" t="str">
        <f>_xlfn.XLOOKUP(Table2[[#This Row],[Adjusted Form '#]],[2]COMPLETED!$D:$D,[2]COMPLETED!$O:$O,"Not Found")</f>
        <v>Not Found</v>
      </c>
      <c r="W185" s="2" t="str">
        <f>_xlfn.XLOOKUP(Table2[[#This Row],[Adjusted Form '#]],[2]BILLED!$D:$D,[2]BILLED!$M:$M,"Not Found")</f>
        <v>1Z5063E0YW40679448</v>
      </c>
      <c r="X185" s="17" t="e">
        <f>_xlfn.XLOOKUP(Table2[[#This Row],[Adjusted Form '#]],[2]BILLED!$D:$D,[1]BILLED!$O:$O,"Not Found")</f>
        <v>#REF!</v>
      </c>
      <c r="Y185" s="17" t="str">
        <f>_xlfn.XLOOKUP(Table2[[#This Row],[Adjusted Form '#]],'[2]REJECTED ORDERS'!$D:$D,'[2]REJECTED ORDERS'!$E:$E)</f>
        <v>FORM NOT SIGNED</v>
      </c>
      <c r="Z185" s="1"/>
      <c r="AA185" s="1"/>
      <c r="AB185" s="8"/>
      <c r="AC185" s="8"/>
      <c r="AD185" s="8"/>
      <c r="AE185" s="8"/>
      <c r="AF185" s="8"/>
      <c r="AG185" s="8"/>
      <c r="AH185" s="8"/>
      <c r="AI185" s="8"/>
      <c r="AJ185" s="8"/>
    </row>
    <row r="186" spans="1:36" ht="15" customHeight="1" x14ac:dyDescent="0.35">
      <c r="A186" s="4" t="s">
        <v>250</v>
      </c>
      <c r="B186" s="1" t="s">
        <v>3372</v>
      </c>
      <c r="C186" s="11">
        <v>44952</v>
      </c>
      <c r="D186" s="11" t="s">
        <v>4113</v>
      </c>
      <c r="E186" s="1" t="s">
        <v>21</v>
      </c>
      <c r="F186" s="1" t="s">
        <v>4120</v>
      </c>
      <c r="G186" s="6">
        <f>COUNTIF(F:F,Table2[[#This Row],[Form '#]])</f>
        <v>1</v>
      </c>
      <c r="H186" s="1" t="s">
        <v>4121</v>
      </c>
      <c r="I186" s="1" t="s">
        <v>3864</v>
      </c>
      <c r="J186" s="1" t="s">
        <v>78</v>
      </c>
      <c r="K186" s="1" t="s">
        <v>3879</v>
      </c>
      <c r="L186" s="1"/>
      <c r="M186" s="6" t="str">
        <f>IF(Table2[[#This Row],[Corrected Form '#
 (If Duplicated)]]="",Table2[[#This Row],[Form '#]],Table2[[#This Row],[Corrected Form '#
 (If Duplicated)]])</f>
        <v>7818-21029</v>
      </c>
      <c r="N186" s="1" t="s">
        <v>49</v>
      </c>
      <c r="O186" s="6" t="str">
        <f>IF(Table2[[#This Row],[POG CONFIRMATION RECEIPT OF ORDER
(DATE &amp; TIME)]]="","No Confirmation","Received Confirmation")</f>
        <v>Received Confirmation</v>
      </c>
      <c r="P186" s="6">
        <f ca="1">TODAY()-Table2[[#This Row],[DATE SENT TO POG]]</f>
        <v>351</v>
      </c>
      <c r="Q186" s="6" t="s">
        <v>5803</v>
      </c>
      <c r="R1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" s="2" t="str">
        <f>_xlfn.XLOOKUP(Table2[[#This Row],[Adjusted Form '#]],'[2]IN PROGRESS'!$D:$D,'[2]IN PROGRESS'!$M:$M,"Not Found")</f>
        <v>Not Found</v>
      </c>
      <c r="U186" s="2" t="str">
        <f>_xlfn.XLOOKUP(Table2[[#This Row],[Adjusted Form '#]],[1]COMPLETED!$D:$D,[2]COMPLETED!$M:$M,"Not Found")</f>
        <v>Not Found</v>
      </c>
      <c r="V186" s="17" t="str">
        <f>_xlfn.XLOOKUP(Table2[[#This Row],[Adjusted Form '#]],[2]COMPLETED!$D:$D,[2]COMPLETED!$O:$O,"Not Found")</f>
        <v>Not Found</v>
      </c>
      <c r="W186" s="2" t="str">
        <f>_xlfn.XLOOKUP(Table2[[#This Row],[Adjusted Form '#]],[2]BILLED!$D:$D,[2]BILLED!$M:$M,"Not Found")</f>
        <v>1Z5063E0YW41943383</v>
      </c>
      <c r="X186" s="17" t="e">
        <f>_xlfn.XLOOKUP(Table2[[#This Row],[Adjusted Form '#]],[2]BILLED!$D:$D,[1]BILLED!$O:$O,"Not Found")</f>
        <v>#REF!</v>
      </c>
      <c r="Y186" s="17" t="e">
        <f>_xlfn.XLOOKUP(Table2[[#This Row],[Adjusted Form '#]],'[2]REJECTED ORDERS'!$D:$D,'[2]REJECTED ORDERS'!$E:$E)</f>
        <v>#N/A</v>
      </c>
      <c r="Z186" s="1"/>
      <c r="AA186" s="1"/>
      <c r="AB186" s="8"/>
      <c r="AC186" s="8"/>
      <c r="AD186" s="8"/>
      <c r="AE186" s="8"/>
      <c r="AF186" s="8"/>
      <c r="AG186" s="8"/>
      <c r="AH186" s="8"/>
      <c r="AI186" s="8"/>
      <c r="AJ186" s="8"/>
    </row>
    <row r="187" spans="1:36" ht="15" customHeight="1" x14ac:dyDescent="0.35">
      <c r="A187" s="4" t="s">
        <v>251</v>
      </c>
      <c r="B187" s="1" t="s">
        <v>3372</v>
      </c>
      <c r="C187" s="11">
        <v>44952</v>
      </c>
      <c r="D187" s="11" t="s">
        <v>4113</v>
      </c>
      <c r="E187" s="1" t="s">
        <v>21</v>
      </c>
      <c r="F187" s="1" t="s">
        <v>4122</v>
      </c>
      <c r="G187" s="6">
        <f>COUNTIF(F:F,Table2[[#This Row],[Form '#]])</f>
        <v>1</v>
      </c>
      <c r="H187" s="1" t="s">
        <v>1611</v>
      </c>
      <c r="I187" s="1" t="s">
        <v>3852</v>
      </c>
      <c r="J187" s="1" t="s">
        <v>80</v>
      </c>
      <c r="K187" s="1" t="s">
        <v>3853</v>
      </c>
      <c r="L187" s="1"/>
      <c r="M187" s="6" t="str">
        <f>IF(Table2[[#This Row],[Corrected Form '#
 (If Duplicated)]]="",Table2[[#This Row],[Form '#]],Table2[[#This Row],[Corrected Form '#
 (If Duplicated)]])</f>
        <v>7818-16673</v>
      </c>
      <c r="N187" s="1" t="s">
        <v>49</v>
      </c>
      <c r="O187" s="6" t="str">
        <f>IF(Table2[[#This Row],[POG CONFIRMATION RECEIPT OF ORDER
(DATE &amp; TIME)]]="","No Confirmation","Received Confirmation")</f>
        <v>Received Confirmation</v>
      </c>
      <c r="P187" s="6">
        <f ca="1">TODAY()-Table2[[#This Row],[DATE SENT TO POG]]</f>
        <v>351</v>
      </c>
      <c r="Q187" s="6" t="s">
        <v>5803</v>
      </c>
      <c r="R1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" s="2" t="str">
        <f>_xlfn.XLOOKUP(Table2[[#This Row],[Adjusted Form '#]],'[2]IN PROGRESS'!$D:$D,'[2]IN PROGRESS'!$M:$M,"Not Found")</f>
        <v>Not Found</v>
      </c>
      <c r="U187" s="2" t="str">
        <f>_xlfn.XLOOKUP(Table2[[#This Row],[Adjusted Form '#]],[1]COMPLETED!$D:$D,[2]COMPLETED!$M:$M,"Not Found")</f>
        <v>Not Found</v>
      </c>
      <c r="V187" s="17" t="str">
        <f>_xlfn.XLOOKUP(Table2[[#This Row],[Adjusted Form '#]],[2]COMPLETED!$D:$D,[2]COMPLETED!$O:$O,"Not Found")</f>
        <v>Not Found</v>
      </c>
      <c r="W187" s="2" t="str">
        <f>_xlfn.XLOOKUP(Table2[[#This Row],[Adjusted Form '#]],[2]BILLED!$D:$D,[2]BILLED!$M:$M,"Not Found")</f>
        <v>1Z5063E0YW40707836</v>
      </c>
      <c r="X187" s="17" t="e">
        <f>_xlfn.XLOOKUP(Table2[[#This Row],[Adjusted Form '#]],[2]BILLED!$D:$D,[1]BILLED!$O:$O,"Not Found")</f>
        <v>#REF!</v>
      </c>
      <c r="Y187" s="17" t="e">
        <f>_xlfn.XLOOKUP(Table2[[#This Row],[Adjusted Form '#]],'[2]REJECTED ORDERS'!$D:$D,'[2]REJECTED ORDERS'!$E:$E)</f>
        <v>#N/A</v>
      </c>
      <c r="Z187" s="1"/>
      <c r="AA187" s="1"/>
      <c r="AB187" s="8"/>
      <c r="AC187" s="8"/>
      <c r="AD187" s="8"/>
      <c r="AE187" s="8"/>
      <c r="AF187" s="8"/>
      <c r="AG187" s="8"/>
      <c r="AH187" s="8"/>
      <c r="AI187" s="8"/>
      <c r="AJ187" s="8"/>
    </row>
    <row r="188" spans="1:36" ht="15" customHeight="1" x14ac:dyDescent="0.35">
      <c r="A188" s="4" t="s">
        <v>253</v>
      </c>
      <c r="B188" s="1" t="s">
        <v>3372</v>
      </c>
      <c r="C188" s="11">
        <v>44952</v>
      </c>
      <c r="D188" s="11" t="s">
        <v>4113</v>
      </c>
      <c r="E188" s="1" t="s">
        <v>21</v>
      </c>
      <c r="F188" s="1" t="s">
        <v>4123</v>
      </c>
      <c r="G188" s="6">
        <f>COUNTIF(F:F,Table2[[#This Row],[Form '#]])</f>
        <v>1</v>
      </c>
      <c r="H188" s="1" t="s">
        <v>4124</v>
      </c>
      <c r="I188" s="1" t="s">
        <v>3852</v>
      </c>
      <c r="J188" s="1" t="s">
        <v>75</v>
      </c>
      <c r="K188" s="1" t="s">
        <v>3853</v>
      </c>
      <c r="L188" s="1"/>
      <c r="M188" s="6" t="str">
        <f>IF(Table2[[#This Row],[Corrected Form '#
 (If Duplicated)]]="",Table2[[#This Row],[Form '#]],Table2[[#This Row],[Corrected Form '#
 (If Duplicated)]])</f>
        <v>7818-07085</v>
      </c>
      <c r="N188" s="1" t="s">
        <v>49</v>
      </c>
      <c r="O188" s="6" t="str">
        <f>IF(Table2[[#This Row],[POG CONFIRMATION RECEIPT OF ORDER
(DATE &amp; TIME)]]="","No Confirmation","Received Confirmation")</f>
        <v>Received Confirmation</v>
      </c>
      <c r="P188" s="6">
        <f ca="1">TODAY()-Table2[[#This Row],[DATE SENT TO POG]]</f>
        <v>351</v>
      </c>
      <c r="Q188" s="6" t="s">
        <v>5803</v>
      </c>
      <c r="R1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" s="2" t="str">
        <f>_xlfn.XLOOKUP(Table2[[#This Row],[Adjusted Form '#]],'[2]IN PROGRESS'!$D:$D,'[2]IN PROGRESS'!$M:$M,"Not Found")</f>
        <v>Not Found</v>
      </c>
      <c r="U188" s="2" t="str">
        <f>_xlfn.XLOOKUP(Table2[[#This Row],[Adjusted Form '#]],[1]COMPLETED!$D:$D,[2]COMPLETED!$M:$M,"Not Found")</f>
        <v>Not Found</v>
      </c>
      <c r="V188" s="17" t="str">
        <f>_xlfn.XLOOKUP(Table2[[#This Row],[Adjusted Form '#]],[2]COMPLETED!$D:$D,[2]COMPLETED!$O:$O,"Not Found")</f>
        <v>Not Found</v>
      </c>
      <c r="W188" s="2" t="str">
        <f>_xlfn.XLOOKUP(Table2[[#This Row],[Adjusted Form '#]],[2]BILLED!$D:$D,[2]BILLED!$M:$M,"Not Found")</f>
        <v>1Z5063E0YW40154693</v>
      </c>
      <c r="X188" s="17" t="e">
        <f>_xlfn.XLOOKUP(Table2[[#This Row],[Adjusted Form '#]],[2]BILLED!$D:$D,[1]BILLED!$O:$O,"Not Found")</f>
        <v>#REF!</v>
      </c>
      <c r="Y188" s="17" t="e">
        <f>_xlfn.XLOOKUP(Table2[[#This Row],[Adjusted Form '#]],'[2]REJECTED ORDERS'!$D:$D,'[2]REJECTED ORDERS'!$E:$E)</f>
        <v>#N/A</v>
      </c>
      <c r="Z188" s="1"/>
      <c r="AA188" s="1"/>
      <c r="AB188" s="8"/>
      <c r="AC188" s="8"/>
      <c r="AD188" s="8"/>
      <c r="AE188" s="8"/>
      <c r="AF188" s="8"/>
      <c r="AG188" s="8"/>
      <c r="AH188" s="8"/>
      <c r="AI188" s="8"/>
      <c r="AJ188" s="8"/>
    </row>
    <row r="189" spans="1:36" ht="15" customHeight="1" x14ac:dyDescent="0.35">
      <c r="A189" s="4" t="s">
        <v>256</v>
      </c>
      <c r="B189" s="1" t="s">
        <v>3372</v>
      </c>
      <c r="C189" s="11">
        <v>44952</v>
      </c>
      <c r="D189" s="11" t="s">
        <v>4113</v>
      </c>
      <c r="E189" s="1" t="s">
        <v>21</v>
      </c>
      <c r="F189" s="1" t="s">
        <v>4125</v>
      </c>
      <c r="G189" s="6">
        <f>COUNTIF(F:F,Table2[[#This Row],[Form '#]])</f>
        <v>1</v>
      </c>
      <c r="H189" s="1" t="s">
        <v>4126</v>
      </c>
      <c r="I189" s="1" t="s">
        <v>3852</v>
      </c>
      <c r="J189" s="1" t="s">
        <v>80</v>
      </c>
      <c r="K189" s="1" t="s">
        <v>3853</v>
      </c>
      <c r="L189" s="1"/>
      <c r="M189" s="6" t="str">
        <f>IF(Table2[[#This Row],[Corrected Form '#
 (If Duplicated)]]="",Table2[[#This Row],[Form '#]],Table2[[#This Row],[Corrected Form '#
 (If Duplicated)]])</f>
        <v>7818-07084</v>
      </c>
      <c r="N189" s="1" t="s">
        <v>49</v>
      </c>
      <c r="O189" s="6" t="str">
        <f>IF(Table2[[#This Row],[POG CONFIRMATION RECEIPT OF ORDER
(DATE &amp; TIME)]]="","No Confirmation","Received Confirmation")</f>
        <v>Received Confirmation</v>
      </c>
      <c r="P189" s="6">
        <f ca="1">TODAY()-Table2[[#This Row],[DATE SENT TO POG]]</f>
        <v>351</v>
      </c>
      <c r="Q189" s="6" t="s">
        <v>5803</v>
      </c>
      <c r="R1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" s="2" t="str">
        <f>_xlfn.XLOOKUP(Table2[[#This Row],[Adjusted Form '#]],'[2]IN PROGRESS'!$D:$D,'[2]IN PROGRESS'!$M:$M,"Not Found")</f>
        <v>Not Found</v>
      </c>
      <c r="U189" s="2" t="str">
        <f>_xlfn.XLOOKUP(Table2[[#This Row],[Adjusted Form '#]],[1]COMPLETED!$D:$D,[2]COMPLETED!$M:$M,"Not Found")</f>
        <v>Not Found</v>
      </c>
      <c r="V189" s="17" t="str">
        <f>_xlfn.XLOOKUP(Table2[[#This Row],[Adjusted Form '#]],[2]COMPLETED!$D:$D,[2]COMPLETED!$O:$O,"Not Found")</f>
        <v>Not Found</v>
      </c>
      <c r="W189" s="2" t="str">
        <f>_xlfn.XLOOKUP(Table2[[#This Row],[Adjusted Form '#]],[2]BILLED!$D:$D,[2]BILLED!$M:$M,"Not Found")</f>
        <v>1Z5063E0YW40119329</v>
      </c>
      <c r="X189" s="17" t="e">
        <f>_xlfn.XLOOKUP(Table2[[#This Row],[Adjusted Form '#]],[2]BILLED!$D:$D,[1]BILLED!$O:$O,"Not Found")</f>
        <v>#REF!</v>
      </c>
      <c r="Y189" s="17" t="e">
        <f>_xlfn.XLOOKUP(Table2[[#This Row],[Adjusted Form '#]],'[2]REJECTED ORDERS'!$D:$D,'[2]REJECTED ORDERS'!$E:$E)</f>
        <v>#N/A</v>
      </c>
      <c r="Z189" s="1"/>
      <c r="AA189" s="1"/>
      <c r="AB189" s="8"/>
      <c r="AC189" s="8"/>
      <c r="AD189" s="8"/>
      <c r="AE189" s="8"/>
      <c r="AF189" s="8"/>
      <c r="AG189" s="8"/>
      <c r="AH189" s="8"/>
      <c r="AI189" s="8"/>
      <c r="AJ189" s="8"/>
    </row>
    <row r="190" spans="1:36" ht="15" customHeight="1" x14ac:dyDescent="0.35">
      <c r="A190" s="4" t="s">
        <v>258</v>
      </c>
      <c r="B190" s="1" t="s">
        <v>3372</v>
      </c>
      <c r="C190" s="11">
        <v>44952</v>
      </c>
      <c r="D190" s="11" t="s">
        <v>4113</v>
      </c>
      <c r="E190" s="1" t="s">
        <v>21</v>
      </c>
      <c r="F190" s="1" t="s">
        <v>4127</v>
      </c>
      <c r="G190" s="6">
        <f>COUNTIF(F:F,Table2[[#This Row],[Form '#]])</f>
        <v>1</v>
      </c>
      <c r="H190" s="1" t="s">
        <v>4128</v>
      </c>
      <c r="I190" s="1" t="s">
        <v>3864</v>
      </c>
      <c r="J190" s="1" t="s">
        <v>78</v>
      </c>
      <c r="K190" s="1" t="s">
        <v>3879</v>
      </c>
      <c r="L190" s="1"/>
      <c r="M190" s="6" t="str">
        <f>IF(Table2[[#This Row],[Corrected Form '#
 (If Duplicated)]]="",Table2[[#This Row],[Form '#]],Table2[[#This Row],[Corrected Form '#
 (If Duplicated)]])</f>
        <v>7818-18302</v>
      </c>
      <c r="N190" s="1" t="s">
        <v>49</v>
      </c>
      <c r="O190" s="6" t="str">
        <f>IF(Table2[[#This Row],[POG CONFIRMATION RECEIPT OF ORDER
(DATE &amp; TIME)]]="","No Confirmation","Received Confirmation")</f>
        <v>Received Confirmation</v>
      </c>
      <c r="P190" s="6">
        <f ca="1">TODAY()-Table2[[#This Row],[DATE SENT TO POG]]</f>
        <v>351</v>
      </c>
      <c r="Q190" s="6" t="s">
        <v>5803</v>
      </c>
      <c r="R1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" s="2" t="str">
        <f>_xlfn.XLOOKUP(Table2[[#This Row],[Adjusted Form '#]],'[2]IN PROGRESS'!$D:$D,'[2]IN PROGRESS'!$M:$M,"Not Found")</f>
        <v>Not Found</v>
      </c>
      <c r="U190" s="2" t="str">
        <f>_xlfn.XLOOKUP(Table2[[#This Row],[Adjusted Form '#]],[1]COMPLETED!$D:$D,[2]COMPLETED!$M:$M,"Not Found")</f>
        <v>Not Found</v>
      </c>
      <c r="V190" s="17" t="str">
        <f>_xlfn.XLOOKUP(Table2[[#This Row],[Adjusted Form '#]],[2]COMPLETED!$D:$D,[2]COMPLETED!$O:$O,"Not Found")</f>
        <v>Not Found</v>
      </c>
      <c r="W190" s="2" t="str">
        <f>_xlfn.XLOOKUP(Table2[[#This Row],[Adjusted Form '#]],[2]BILLED!$D:$D,[2]BILLED!$M:$M,"Not Found")</f>
        <v>1Z5063E0YW42089242</v>
      </c>
      <c r="X190" s="17" t="e">
        <f>_xlfn.XLOOKUP(Table2[[#This Row],[Adjusted Form '#]],[2]BILLED!$D:$D,[1]BILLED!$O:$O,"Not Found")</f>
        <v>#REF!</v>
      </c>
      <c r="Y190" s="17" t="e">
        <f>_xlfn.XLOOKUP(Table2[[#This Row],[Adjusted Form '#]],'[2]REJECTED ORDERS'!$D:$D,'[2]REJECTED ORDERS'!$E:$E)</f>
        <v>#N/A</v>
      </c>
      <c r="Z190" s="1"/>
      <c r="AA190" s="1"/>
      <c r="AB190" s="8"/>
      <c r="AC190" s="8"/>
      <c r="AD190" s="8"/>
      <c r="AE190" s="8"/>
      <c r="AF190" s="8"/>
      <c r="AG190" s="8"/>
      <c r="AH190" s="8"/>
      <c r="AI190" s="8"/>
      <c r="AJ190" s="8"/>
    </row>
    <row r="191" spans="1:36" ht="15" customHeight="1" x14ac:dyDescent="0.35">
      <c r="A191" s="4" t="s">
        <v>260</v>
      </c>
      <c r="B191" s="1" t="s">
        <v>3372</v>
      </c>
      <c r="C191" s="11">
        <v>44952</v>
      </c>
      <c r="D191" s="11" t="s">
        <v>4113</v>
      </c>
      <c r="E191" s="1" t="s">
        <v>21</v>
      </c>
      <c r="F191" s="1" t="s">
        <v>4129</v>
      </c>
      <c r="G191" s="6">
        <f>COUNTIF(F:F,Table2[[#This Row],[Form '#]])</f>
        <v>1</v>
      </c>
      <c r="H191" s="1" t="s">
        <v>4130</v>
      </c>
      <c r="I191" s="1" t="s">
        <v>127</v>
      </c>
      <c r="J191" s="1" t="s">
        <v>76</v>
      </c>
      <c r="K191" s="1" t="s">
        <v>4011</v>
      </c>
      <c r="L191" s="1"/>
      <c r="M191" s="6" t="str">
        <f>IF(Table2[[#This Row],[Corrected Form '#
 (If Duplicated)]]="",Table2[[#This Row],[Form '#]],Table2[[#This Row],[Corrected Form '#
 (If Duplicated)]])</f>
        <v>7818-26971</v>
      </c>
      <c r="N191" s="1" t="s">
        <v>49</v>
      </c>
      <c r="O191" s="6" t="str">
        <f>IF(Table2[[#This Row],[POG CONFIRMATION RECEIPT OF ORDER
(DATE &amp; TIME)]]="","No Confirmation","Received Confirmation")</f>
        <v>Received Confirmation</v>
      </c>
      <c r="P191" s="6">
        <f ca="1">TODAY()-Table2[[#This Row],[DATE SENT TO POG]]</f>
        <v>351</v>
      </c>
      <c r="Q191" s="6" t="s">
        <v>5803</v>
      </c>
      <c r="R1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" s="2" t="str">
        <f>_xlfn.XLOOKUP(Table2[[#This Row],[Adjusted Form '#]],'[2]IN PROGRESS'!$D:$D,'[2]IN PROGRESS'!$M:$M,"Not Found")</f>
        <v>Not Found</v>
      </c>
      <c r="U191" s="2" t="str">
        <f>_xlfn.XLOOKUP(Table2[[#This Row],[Adjusted Form '#]],[1]COMPLETED!$D:$D,[2]COMPLETED!$M:$M,"Not Found")</f>
        <v>Not Found</v>
      </c>
      <c r="V191" s="17" t="str">
        <f>_xlfn.XLOOKUP(Table2[[#This Row],[Adjusted Form '#]],[2]COMPLETED!$D:$D,[2]COMPLETED!$O:$O,"Not Found")</f>
        <v>Not Found</v>
      </c>
      <c r="W191" s="2" t="str">
        <f>_xlfn.XLOOKUP(Table2[[#This Row],[Adjusted Form '#]],[2]BILLED!$D:$D,[2]BILLED!$M:$M,"Not Found")</f>
        <v>1Z5063E0YW42557567</v>
      </c>
      <c r="X191" s="17" t="e">
        <f>_xlfn.XLOOKUP(Table2[[#This Row],[Adjusted Form '#]],[2]BILLED!$D:$D,[1]BILLED!$O:$O,"Not Found")</f>
        <v>#REF!</v>
      </c>
      <c r="Y191" s="17" t="e">
        <f>_xlfn.XLOOKUP(Table2[[#This Row],[Adjusted Form '#]],'[2]REJECTED ORDERS'!$D:$D,'[2]REJECTED ORDERS'!$E:$E)</f>
        <v>#N/A</v>
      </c>
      <c r="Z191" s="1"/>
      <c r="AA191" s="1"/>
      <c r="AB191" s="8"/>
      <c r="AC191" s="8"/>
      <c r="AD191" s="8"/>
      <c r="AE191" s="8"/>
      <c r="AF191" s="8"/>
      <c r="AG191" s="8"/>
      <c r="AH191" s="8"/>
      <c r="AI191" s="8"/>
      <c r="AJ191" s="8"/>
    </row>
    <row r="192" spans="1:36" ht="15" customHeight="1" x14ac:dyDescent="0.35">
      <c r="A192" s="4" t="s">
        <v>262</v>
      </c>
      <c r="B192" s="1" t="s">
        <v>4131</v>
      </c>
      <c r="C192" s="11">
        <v>44952</v>
      </c>
      <c r="D192" s="11" t="s">
        <v>4132</v>
      </c>
      <c r="E192" s="1" t="s">
        <v>21</v>
      </c>
      <c r="F192" s="1" t="s">
        <v>4133</v>
      </c>
      <c r="G192" s="6">
        <f>COUNTIF(F:F,Table2[[#This Row],[Form '#]])</f>
        <v>2</v>
      </c>
      <c r="H192" s="1" t="s">
        <v>4134</v>
      </c>
      <c r="I192" s="1" t="s">
        <v>177</v>
      </c>
      <c r="J192" s="1" t="s">
        <v>75</v>
      </c>
      <c r="K192" s="1" t="s">
        <v>3853</v>
      </c>
      <c r="L192" s="1"/>
      <c r="M192" s="6" t="str">
        <f>IF(Table2[[#This Row],[Corrected Form '#
 (If Duplicated)]]="",Table2[[#This Row],[Form '#]],Table2[[#This Row],[Corrected Form '#
 (If Duplicated)]])</f>
        <v>7818-23130</v>
      </c>
      <c r="N192" s="1" t="s">
        <v>49</v>
      </c>
      <c r="O192" s="6" t="str">
        <f>IF(Table2[[#This Row],[POG CONFIRMATION RECEIPT OF ORDER
(DATE &amp; TIME)]]="","No Confirmation","Received Confirmation")</f>
        <v>Received Confirmation</v>
      </c>
      <c r="P192" s="6">
        <f ca="1">TODAY()-Table2[[#This Row],[DATE SENT TO POG]]</f>
        <v>351</v>
      </c>
      <c r="Q192" s="6" t="s">
        <v>5803</v>
      </c>
      <c r="R1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" s="2" t="str">
        <f>_xlfn.XLOOKUP(Table2[[#This Row],[Adjusted Form '#]],'[2]IN PROGRESS'!$D:$D,'[2]IN PROGRESS'!$M:$M,"Not Found")</f>
        <v>Not Found</v>
      </c>
      <c r="U192" s="2" t="str">
        <f>_xlfn.XLOOKUP(Table2[[#This Row],[Adjusted Form '#]],[1]COMPLETED!$D:$D,[2]COMPLETED!$M:$M,"Not Found")</f>
        <v>Not Found</v>
      </c>
      <c r="V192" s="17" t="str">
        <f>_xlfn.XLOOKUP(Table2[[#This Row],[Adjusted Form '#]],[2]COMPLETED!$D:$D,[2]COMPLETED!$O:$O,"Not Found")</f>
        <v>Not Found</v>
      </c>
      <c r="W192" s="2" t="str">
        <f>_xlfn.XLOOKUP(Table2[[#This Row],[Adjusted Form '#]],[2]BILLED!$D:$D,[2]BILLED!$M:$M,"Not Found")</f>
        <v>1Z5063E0YW42361107</v>
      </c>
      <c r="X192" s="17" t="e">
        <f>_xlfn.XLOOKUP(Table2[[#This Row],[Adjusted Form '#]],[2]BILLED!$D:$D,[1]BILLED!$O:$O,"Not Found")</f>
        <v>#REF!</v>
      </c>
      <c r="Y192" s="17" t="e">
        <f>_xlfn.XLOOKUP(Table2[[#This Row],[Adjusted Form '#]],'[2]REJECTED ORDERS'!$D:$D,'[2]REJECTED ORDERS'!$E:$E)</f>
        <v>#N/A</v>
      </c>
      <c r="Z192" s="1"/>
      <c r="AA192" s="1"/>
      <c r="AB192" s="8"/>
      <c r="AC192" s="8"/>
      <c r="AD192" s="8"/>
      <c r="AE192" s="8"/>
      <c r="AF192" s="8"/>
      <c r="AG192" s="8"/>
      <c r="AH192" s="8"/>
      <c r="AI192" s="8"/>
      <c r="AJ192" s="8"/>
    </row>
    <row r="193" spans="1:36" ht="15" customHeight="1" x14ac:dyDescent="0.35">
      <c r="A193" s="4" t="s">
        <v>264</v>
      </c>
      <c r="B193" s="1" t="s">
        <v>831</v>
      </c>
      <c r="C193" s="11">
        <v>44953</v>
      </c>
      <c r="D193" s="11" t="s">
        <v>4132</v>
      </c>
      <c r="E193" s="1" t="s">
        <v>191</v>
      </c>
      <c r="F193" s="1" t="s">
        <v>3672</v>
      </c>
      <c r="G193" s="6">
        <f>COUNTIF(F:F,Table2[[#This Row],[Form '#]])</f>
        <v>1</v>
      </c>
      <c r="H193" s="1" t="s">
        <v>3673</v>
      </c>
      <c r="I193" s="1" t="s">
        <v>127</v>
      </c>
      <c r="J193" s="1" t="s">
        <v>76</v>
      </c>
      <c r="K193" s="1" t="s">
        <v>3919</v>
      </c>
      <c r="L193" s="1"/>
      <c r="M193" s="6" t="str">
        <f>IF(Table2[[#This Row],[Corrected Form '#
 (If Duplicated)]]="",Table2[[#This Row],[Form '#]],Table2[[#This Row],[Corrected Form '#
 (If Duplicated)]])</f>
        <v>7812-03270</v>
      </c>
      <c r="N193" s="1" t="s">
        <v>49</v>
      </c>
      <c r="O193" s="6" t="str">
        <f>IF(Table2[[#This Row],[POG CONFIRMATION RECEIPT OF ORDER
(DATE &amp; TIME)]]="","No Confirmation","Received Confirmation")</f>
        <v>Received Confirmation</v>
      </c>
      <c r="P193" s="6">
        <f ca="1">TODAY()-Table2[[#This Row],[DATE SENT TO POG]]</f>
        <v>350</v>
      </c>
      <c r="Q193" s="6" t="s">
        <v>5803</v>
      </c>
      <c r="R1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" s="2" t="str">
        <f>_xlfn.XLOOKUP(Table2[[#This Row],[Adjusted Form '#]],'[2]IN PROGRESS'!$D:$D,'[2]IN PROGRESS'!$M:$M,"Not Found")</f>
        <v>Not Found</v>
      </c>
      <c r="U193" s="2" t="str">
        <f>_xlfn.XLOOKUP(Table2[[#This Row],[Adjusted Form '#]],[1]COMPLETED!$D:$D,[2]COMPLETED!$M:$M,"Not Found")</f>
        <v>Not Found</v>
      </c>
      <c r="V193" s="17" t="str">
        <f>_xlfn.XLOOKUP(Table2[[#This Row],[Adjusted Form '#]],[2]COMPLETED!$D:$D,[2]COMPLETED!$O:$O,"Not Found")</f>
        <v>Not Found</v>
      </c>
      <c r="W193" s="2" t="str">
        <f>_xlfn.XLOOKUP(Table2[[#This Row],[Adjusted Form '#]],[2]BILLED!$D:$D,[2]BILLED!$M:$M,"Not Found")</f>
        <v>1Z5063E0YW42142308</v>
      </c>
      <c r="X193" s="17" t="e">
        <f>_xlfn.XLOOKUP(Table2[[#This Row],[Adjusted Form '#]],[2]BILLED!$D:$D,[1]BILLED!$O:$O,"Not Found")</f>
        <v>#REF!</v>
      </c>
      <c r="Y193" s="17" t="e">
        <f>_xlfn.XLOOKUP(Table2[[#This Row],[Adjusted Form '#]],'[2]REJECTED ORDERS'!$D:$D,'[2]REJECTED ORDERS'!$E:$E)</f>
        <v>#N/A</v>
      </c>
      <c r="Z193" s="1"/>
      <c r="AA193" s="1"/>
      <c r="AB193" s="8"/>
      <c r="AC193" s="8"/>
      <c r="AD193" s="8"/>
      <c r="AE193" s="8"/>
      <c r="AF193" s="8"/>
      <c r="AG193" s="8"/>
      <c r="AH193" s="8"/>
      <c r="AI193" s="8"/>
      <c r="AJ193" s="8"/>
    </row>
    <row r="194" spans="1:36" ht="15" customHeight="1" x14ac:dyDescent="0.35">
      <c r="A194" s="4" t="s">
        <v>266</v>
      </c>
      <c r="B194" s="1" t="s">
        <v>287</v>
      </c>
      <c r="C194" s="11">
        <v>44953</v>
      </c>
      <c r="D194" s="11" t="s">
        <v>4135</v>
      </c>
      <c r="E194" s="1" t="s">
        <v>21</v>
      </c>
      <c r="F194" s="1" t="s">
        <v>4136</v>
      </c>
      <c r="G194" s="6">
        <f>COUNTIF(F:F,Table2[[#This Row],[Form '#]])</f>
        <v>1</v>
      </c>
      <c r="H194" s="1" t="s">
        <v>4137</v>
      </c>
      <c r="I194" s="1" t="s">
        <v>3852</v>
      </c>
      <c r="J194" s="1" t="s">
        <v>75</v>
      </c>
      <c r="K194" s="1" t="s">
        <v>4011</v>
      </c>
      <c r="L194" s="1"/>
      <c r="M194" s="6" t="str">
        <f>IF(Table2[[#This Row],[Corrected Form '#
 (If Duplicated)]]="",Table2[[#This Row],[Form '#]],Table2[[#This Row],[Corrected Form '#
 (If Duplicated)]])</f>
        <v>7818-19387</v>
      </c>
      <c r="N194" s="1" t="s">
        <v>49</v>
      </c>
      <c r="O194" s="6" t="str">
        <f>IF(Table2[[#This Row],[POG CONFIRMATION RECEIPT OF ORDER
(DATE &amp; TIME)]]="","No Confirmation","Received Confirmation")</f>
        <v>Received Confirmation</v>
      </c>
      <c r="P194" s="6">
        <f ca="1">TODAY()-Table2[[#This Row],[DATE SENT TO POG]]</f>
        <v>350</v>
      </c>
      <c r="Q194" s="6" t="s">
        <v>5803</v>
      </c>
      <c r="R1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" s="2" t="str">
        <f>_xlfn.XLOOKUP(Table2[[#This Row],[Adjusted Form '#]],'[2]IN PROGRESS'!$D:$D,'[2]IN PROGRESS'!$M:$M,"Not Found")</f>
        <v>Not Found</v>
      </c>
      <c r="U194" s="2" t="str">
        <f>_xlfn.XLOOKUP(Table2[[#This Row],[Adjusted Form '#]],[1]COMPLETED!$D:$D,[2]COMPLETED!$M:$M,"Not Found")</f>
        <v>Not Found</v>
      </c>
      <c r="V194" s="17" t="str">
        <f>_xlfn.XLOOKUP(Table2[[#This Row],[Adjusted Form '#]],[2]COMPLETED!$D:$D,[2]COMPLETED!$O:$O,"Not Found")</f>
        <v>Not Found</v>
      </c>
      <c r="W194" s="2" t="str">
        <f>_xlfn.XLOOKUP(Table2[[#This Row],[Adjusted Form '#]],[2]BILLED!$D:$D,[2]BILLED!$M:$M,"Not Found")</f>
        <v>1Z5063E0YW42404543</v>
      </c>
      <c r="X194" s="17" t="e">
        <f>_xlfn.XLOOKUP(Table2[[#This Row],[Adjusted Form '#]],[2]BILLED!$D:$D,[1]BILLED!$O:$O,"Not Found")</f>
        <v>#REF!</v>
      </c>
      <c r="Y194" s="17" t="e">
        <f>_xlfn.XLOOKUP(Table2[[#This Row],[Adjusted Form '#]],'[2]REJECTED ORDERS'!$D:$D,'[2]REJECTED ORDERS'!$E:$E)</f>
        <v>#N/A</v>
      </c>
      <c r="Z194" s="1"/>
      <c r="AA194" s="1"/>
      <c r="AB194" s="8"/>
      <c r="AC194" s="8"/>
      <c r="AD194" s="8"/>
      <c r="AE194" s="8"/>
      <c r="AF194" s="8"/>
      <c r="AG194" s="8"/>
      <c r="AH194" s="8"/>
      <c r="AI194" s="8"/>
      <c r="AJ194" s="8"/>
    </row>
    <row r="195" spans="1:36" ht="15" customHeight="1" x14ac:dyDescent="0.35">
      <c r="A195" s="4" t="s">
        <v>269</v>
      </c>
      <c r="B195" s="1" t="s">
        <v>287</v>
      </c>
      <c r="C195" s="11">
        <v>44953</v>
      </c>
      <c r="D195" s="11" t="s">
        <v>4135</v>
      </c>
      <c r="E195" s="1" t="s">
        <v>21</v>
      </c>
      <c r="F195" s="1" t="s">
        <v>4138</v>
      </c>
      <c r="G195" s="6">
        <f>COUNTIF(F:F,Table2[[#This Row],[Form '#]])</f>
        <v>1</v>
      </c>
      <c r="H195" s="1" t="s">
        <v>4139</v>
      </c>
      <c r="I195" s="1" t="s">
        <v>3864</v>
      </c>
      <c r="J195" s="1" t="s">
        <v>78</v>
      </c>
      <c r="K195" s="1" t="s">
        <v>3879</v>
      </c>
      <c r="L195" s="1"/>
      <c r="M195" s="6" t="str">
        <f>IF(Table2[[#This Row],[Corrected Form '#
 (If Duplicated)]]="",Table2[[#This Row],[Form '#]],Table2[[#This Row],[Corrected Form '#
 (If Duplicated)]])</f>
        <v>7818-24653</v>
      </c>
      <c r="N195" s="1" t="s">
        <v>49</v>
      </c>
      <c r="O195" s="6" t="str">
        <f>IF(Table2[[#This Row],[POG CONFIRMATION RECEIPT OF ORDER
(DATE &amp; TIME)]]="","No Confirmation","Received Confirmation")</f>
        <v>Received Confirmation</v>
      </c>
      <c r="P195" s="6">
        <f ca="1">TODAY()-Table2[[#This Row],[DATE SENT TO POG]]</f>
        <v>350</v>
      </c>
      <c r="Q195" s="6" t="s">
        <v>5803</v>
      </c>
      <c r="R1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" s="2" t="str">
        <f>_xlfn.XLOOKUP(Table2[[#This Row],[Adjusted Form '#]],'[2]IN PROGRESS'!$D:$D,'[2]IN PROGRESS'!$M:$M,"Not Found")</f>
        <v>Not Found</v>
      </c>
      <c r="U195" s="2" t="str">
        <f>_xlfn.XLOOKUP(Table2[[#This Row],[Adjusted Form '#]],[1]COMPLETED!$D:$D,[2]COMPLETED!$M:$M,"Not Found")</f>
        <v>Not Found</v>
      </c>
      <c r="V195" s="17" t="str">
        <f>_xlfn.XLOOKUP(Table2[[#This Row],[Adjusted Form '#]],[2]COMPLETED!$D:$D,[2]COMPLETED!$O:$O,"Not Found")</f>
        <v>Not Found</v>
      </c>
      <c r="W195" s="2" t="str">
        <f>_xlfn.XLOOKUP(Table2[[#This Row],[Adjusted Form '#]],[2]BILLED!$D:$D,[2]BILLED!$M:$M,"Not Found")</f>
        <v>1Z5063E0YW40402307</v>
      </c>
      <c r="X195" s="17" t="e">
        <f>_xlfn.XLOOKUP(Table2[[#This Row],[Adjusted Form '#]],[2]BILLED!$D:$D,[1]BILLED!$O:$O,"Not Found")</f>
        <v>#REF!</v>
      </c>
      <c r="Y195" s="17" t="e">
        <f>_xlfn.XLOOKUP(Table2[[#This Row],[Adjusted Form '#]],'[2]REJECTED ORDERS'!$D:$D,'[2]REJECTED ORDERS'!$E:$E)</f>
        <v>#N/A</v>
      </c>
      <c r="Z195" s="1"/>
      <c r="AA195" s="1"/>
      <c r="AB195" s="8"/>
      <c r="AC195" s="8"/>
      <c r="AD195" s="8"/>
      <c r="AE195" s="8"/>
      <c r="AF195" s="8"/>
      <c r="AG195" s="8"/>
      <c r="AH195" s="8"/>
      <c r="AI195" s="8"/>
      <c r="AJ195" s="8"/>
    </row>
    <row r="196" spans="1:36" ht="15" customHeight="1" x14ac:dyDescent="0.35">
      <c r="A196" s="4" t="s">
        <v>270</v>
      </c>
      <c r="B196" s="1" t="s">
        <v>287</v>
      </c>
      <c r="C196" s="11">
        <v>44953</v>
      </c>
      <c r="D196" s="11" t="s">
        <v>4135</v>
      </c>
      <c r="E196" s="1" t="s">
        <v>21</v>
      </c>
      <c r="F196" s="1" t="s">
        <v>4140</v>
      </c>
      <c r="G196" s="6">
        <f>COUNTIF(F:F,Table2[[#This Row],[Form '#]])</f>
        <v>2</v>
      </c>
      <c r="H196" s="1" t="s">
        <v>4141</v>
      </c>
      <c r="I196" s="1" t="s">
        <v>3852</v>
      </c>
      <c r="J196" s="1" t="s">
        <v>80</v>
      </c>
      <c r="K196" s="1" t="s">
        <v>3853</v>
      </c>
      <c r="L196" s="1"/>
      <c r="M196" s="6" t="str">
        <f>IF(Table2[[#This Row],[Corrected Form '#
 (If Duplicated)]]="",Table2[[#This Row],[Form '#]],Table2[[#This Row],[Corrected Form '#
 (If Duplicated)]])</f>
        <v>7818-25402</v>
      </c>
      <c r="N196" s="1" t="s">
        <v>49</v>
      </c>
      <c r="O196" s="6" t="str">
        <f>IF(Table2[[#This Row],[POG CONFIRMATION RECEIPT OF ORDER
(DATE &amp; TIME)]]="","No Confirmation","Received Confirmation")</f>
        <v>Received Confirmation</v>
      </c>
      <c r="P196" s="6">
        <f ca="1">TODAY()-Table2[[#This Row],[DATE SENT TO POG]]</f>
        <v>350</v>
      </c>
      <c r="Q196" s="6" t="s">
        <v>5803</v>
      </c>
      <c r="R1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" s="2" t="str">
        <f>_xlfn.XLOOKUP(Table2[[#This Row],[Adjusted Form '#]],'[2]IN PROGRESS'!$D:$D,'[2]IN PROGRESS'!$M:$M,"Not Found")</f>
        <v>Not Found</v>
      </c>
      <c r="U196" s="2" t="str">
        <f>_xlfn.XLOOKUP(Table2[[#This Row],[Adjusted Form '#]],[1]COMPLETED!$D:$D,[2]COMPLETED!$M:$M,"Not Found")</f>
        <v>Not Found</v>
      </c>
      <c r="V196" s="17" t="str">
        <f>_xlfn.XLOOKUP(Table2[[#This Row],[Adjusted Form '#]],[2]COMPLETED!$D:$D,[2]COMPLETED!$O:$O,"Not Found")</f>
        <v>Not Found</v>
      </c>
      <c r="W196" s="2" t="str">
        <f>_xlfn.XLOOKUP(Table2[[#This Row],[Adjusted Form '#]],[2]BILLED!$D:$D,[2]BILLED!$M:$M,"Not Found")</f>
        <v>1Z5063E0YW40422063</v>
      </c>
      <c r="X196" s="17" t="e">
        <f>_xlfn.XLOOKUP(Table2[[#This Row],[Adjusted Form '#]],[2]BILLED!$D:$D,[1]BILLED!$O:$O,"Not Found")</f>
        <v>#REF!</v>
      </c>
      <c r="Y196" s="17" t="e">
        <f>_xlfn.XLOOKUP(Table2[[#This Row],[Adjusted Form '#]],'[2]REJECTED ORDERS'!$D:$D,'[2]REJECTED ORDERS'!$E:$E)</f>
        <v>#N/A</v>
      </c>
      <c r="Z196" s="1"/>
      <c r="AA196" s="1"/>
      <c r="AB196" s="8"/>
      <c r="AC196" s="8"/>
      <c r="AD196" s="8"/>
      <c r="AE196" s="8"/>
      <c r="AF196" s="8"/>
      <c r="AG196" s="8"/>
      <c r="AH196" s="8"/>
      <c r="AI196" s="8"/>
      <c r="AJ196" s="8"/>
    </row>
    <row r="197" spans="1:36" ht="15" customHeight="1" x14ac:dyDescent="0.35">
      <c r="A197" s="4" t="s">
        <v>273</v>
      </c>
      <c r="B197" s="1" t="s">
        <v>3586</v>
      </c>
      <c r="C197" s="11">
        <v>44953</v>
      </c>
      <c r="D197" s="11" t="s">
        <v>4135</v>
      </c>
      <c r="E197" s="1" t="s">
        <v>73</v>
      </c>
      <c r="F197" s="1" t="s">
        <v>4142</v>
      </c>
      <c r="G197" s="6">
        <f>COUNTIF(F:F,Table2[[#This Row],[Form '#]])</f>
        <v>1</v>
      </c>
      <c r="H197" s="1" t="s">
        <v>4143</v>
      </c>
      <c r="I197" s="1" t="s">
        <v>758</v>
      </c>
      <c r="J197" s="1" t="s">
        <v>78</v>
      </c>
      <c r="K197" s="1" t="s">
        <v>3853</v>
      </c>
      <c r="L197" s="1"/>
      <c r="M197" s="6" t="str">
        <f>IF(Table2[[#This Row],[Corrected Form '#
 (If Duplicated)]]="",Table2[[#This Row],[Form '#]],Table2[[#This Row],[Corrected Form '#
 (If Duplicated)]])</f>
        <v>7823-02666</v>
      </c>
      <c r="N197" s="1" t="s">
        <v>49</v>
      </c>
      <c r="O197" s="6" t="str">
        <f>IF(Table2[[#This Row],[POG CONFIRMATION RECEIPT OF ORDER
(DATE &amp; TIME)]]="","No Confirmation","Received Confirmation")</f>
        <v>Received Confirmation</v>
      </c>
      <c r="P197" s="6">
        <f ca="1">TODAY()-Table2[[#This Row],[DATE SENT TO POG]]</f>
        <v>350</v>
      </c>
      <c r="Q197" s="6" t="s">
        <v>5803</v>
      </c>
      <c r="R1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" s="2" t="str">
        <f>_xlfn.XLOOKUP(Table2[[#This Row],[Adjusted Form '#]],'[2]IN PROGRESS'!$D:$D,'[2]IN PROGRESS'!$M:$M,"Not Found")</f>
        <v>Not Found</v>
      </c>
      <c r="U197" s="2" t="str">
        <f>_xlfn.XLOOKUP(Table2[[#This Row],[Adjusted Form '#]],[1]COMPLETED!$D:$D,[2]COMPLETED!$M:$M,"Not Found")</f>
        <v>Not Found</v>
      </c>
      <c r="V197" s="17" t="str">
        <f>_xlfn.XLOOKUP(Table2[[#This Row],[Adjusted Form '#]],[2]COMPLETED!$D:$D,[2]COMPLETED!$O:$O,"Not Found")</f>
        <v>Not Found</v>
      </c>
      <c r="W197" s="2" t="str">
        <f>_xlfn.XLOOKUP(Table2[[#This Row],[Adjusted Form '#]],[2]BILLED!$D:$D,[2]BILLED!$M:$M,"Not Found")</f>
        <v>1Z5063E0YW42488678</v>
      </c>
      <c r="X197" s="17" t="e">
        <f>_xlfn.XLOOKUP(Table2[[#This Row],[Adjusted Form '#]],[2]BILLED!$D:$D,[1]BILLED!$O:$O,"Not Found")</f>
        <v>#REF!</v>
      </c>
      <c r="Y197" s="17" t="e">
        <f>_xlfn.XLOOKUP(Table2[[#This Row],[Adjusted Form '#]],'[2]REJECTED ORDERS'!$D:$D,'[2]REJECTED ORDERS'!$E:$E)</f>
        <v>#N/A</v>
      </c>
      <c r="Z197" s="1"/>
      <c r="AA197" s="1"/>
      <c r="AB197" s="8"/>
      <c r="AC197" s="8"/>
      <c r="AD197" s="8"/>
      <c r="AE197" s="8"/>
      <c r="AF197" s="8"/>
      <c r="AG197" s="8"/>
      <c r="AH197" s="8"/>
      <c r="AI197" s="8"/>
      <c r="AJ197" s="8"/>
    </row>
    <row r="198" spans="1:36" ht="15" customHeight="1" x14ac:dyDescent="0.35">
      <c r="A198" s="4" t="s">
        <v>275</v>
      </c>
      <c r="B198" s="1" t="s">
        <v>3586</v>
      </c>
      <c r="C198" s="11">
        <v>44953</v>
      </c>
      <c r="D198" s="11" t="s">
        <v>4135</v>
      </c>
      <c r="E198" s="1" t="s">
        <v>73</v>
      </c>
      <c r="F198" s="1" t="s">
        <v>3493</v>
      </c>
      <c r="G198" s="6">
        <f>COUNTIF(F:F,Table2[[#This Row],[Form '#]])</f>
        <v>1</v>
      </c>
      <c r="H198" s="1" t="s">
        <v>4144</v>
      </c>
      <c r="I198" s="1" t="s">
        <v>3864</v>
      </c>
      <c r="J198" s="1" t="s">
        <v>78</v>
      </c>
      <c r="K198" s="1" t="s">
        <v>3879</v>
      </c>
      <c r="L198" s="1"/>
      <c r="M198" s="6" t="str">
        <f>IF(Table2[[#This Row],[Corrected Form '#
 (If Duplicated)]]="",Table2[[#This Row],[Form '#]],Table2[[#This Row],[Corrected Form '#
 (If Duplicated)]])</f>
        <v>7823-02723</v>
      </c>
      <c r="N198" s="1" t="s">
        <v>49</v>
      </c>
      <c r="O198" s="6" t="str">
        <f>IF(Table2[[#This Row],[POG CONFIRMATION RECEIPT OF ORDER
(DATE &amp; TIME)]]="","No Confirmation","Received Confirmation")</f>
        <v>Received Confirmation</v>
      </c>
      <c r="P198" s="6">
        <f ca="1">TODAY()-Table2[[#This Row],[DATE SENT TO POG]]</f>
        <v>350</v>
      </c>
      <c r="Q198" s="6" t="s">
        <v>5803</v>
      </c>
      <c r="R1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" s="2" t="str">
        <f>_xlfn.XLOOKUP(Table2[[#This Row],[Adjusted Form '#]],'[2]IN PROGRESS'!$D:$D,'[2]IN PROGRESS'!$M:$M,"Not Found")</f>
        <v>Not Found</v>
      </c>
      <c r="U198" s="2" t="str">
        <f>_xlfn.XLOOKUP(Table2[[#This Row],[Adjusted Form '#]],[1]COMPLETED!$D:$D,[2]COMPLETED!$M:$M,"Not Found")</f>
        <v>Not Found</v>
      </c>
      <c r="V198" s="17" t="str">
        <f>_xlfn.XLOOKUP(Table2[[#This Row],[Adjusted Form '#]],[2]COMPLETED!$D:$D,[2]COMPLETED!$O:$O,"Not Found")</f>
        <v>Not Found</v>
      </c>
      <c r="W198" s="2" t="str">
        <f>_xlfn.XLOOKUP(Table2[[#This Row],[Adjusted Form '#]],[2]BILLED!$D:$D,[2]BILLED!$M:$M,"Not Found")</f>
        <v>1Z5063E0YW42357710</v>
      </c>
      <c r="X198" s="17" t="e">
        <f>_xlfn.XLOOKUP(Table2[[#This Row],[Adjusted Form '#]],[2]BILLED!$D:$D,[1]BILLED!$O:$O,"Not Found")</f>
        <v>#REF!</v>
      </c>
      <c r="Y198" s="17" t="e">
        <f>_xlfn.XLOOKUP(Table2[[#This Row],[Adjusted Form '#]],'[2]REJECTED ORDERS'!$D:$D,'[2]REJECTED ORDERS'!$E:$E)</f>
        <v>#N/A</v>
      </c>
      <c r="Z198" s="1"/>
      <c r="AA198" s="1"/>
      <c r="AB198" s="8"/>
      <c r="AC198" s="8"/>
      <c r="AD198" s="8"/>
      <c r="AE198" s="8"/>
      <c r="AF198" s="8"/>
      <c r="AG198" s="8"/>
      <c r="AH198" s="8"/>
      <c r="AI198" s="8"/>
      <c r="AJ198" s="8"/>
    </row>
    <row r="199" spans="1:36" ht="15" customHeight="1" x14ac:dyDescent="0.35">
      <c r="A199" s="4" t="s">
        <v>277</v>
      </c>
      <c r="B199" s="1" t="s">
        <v>3586</v>
      </c>
      <c r="C199" s="11">
        <v>44953</v>
      </c>
      <c r="D199" s="11" t="s">
        <v>4135</v>
      </c>
      <c r="E199" s="1" t="s">
        <v>73</v>
      </c>
      <c r="F199" s="1" t="s">
        <v>4145</v>
      </c>
      <c r="G199" s="6">
        <f>COUNTIF(F:F,Table2[[#This Row],[Form '#]])</f>
        <v>1</v>
      </c>
      <c r="H199" s="1" t="s">
        <v>4146</v>
      </c>
      <c r="I199" s="1" t="s">
        <v>28</v>
      </c>
      <c r="J199" s="1" t="s">
        <v>69</v>
      </c>
      <c r="K199" s="1" t="s">
        <v>4011</v>
      </c>
      <c r="L199" s="1"/>
      <c r="M199" s="6" t="str">
        <f>IF(Table2[[#This Row],[Corrected Form '#
 (If Duplicated)]]="",Table2[[#This Row],[Form '#]],Table2[[#This Row],[Corrected Form '#
 (If Duplicated)]])</f>
        <v>7823-02739</v>
      </c>
      <c r="N199" s="1" t="s">
        <v>49</v>
      </c>
      <c r="O199" s="6" t="str">
        <f>IF(Table2[[#This Row],[POG CONFIRMATION RECEIPT OF ORDER
(DATE &amp; TIME)]]="","No Confirmation","Received Confirmation")</f>
        <v>Received Confirmation</v>
      </c>
      <c r="P199" s="6">
        <f ca="1">TODAY()-Table2[[#This Row],[DATE SENT TO POG]]</f>
        <v>350</v>
      </c>
      <c r="Q199" s="6" t="s">
        <v>5803</v>
      </c>
      <c r="R1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" s="2" t="str">
        <f>_xlfn.XLOOKUP(Table2[[#This Row],[Adjusted Form '#]],'[2]IN PROGRESS'!$D:$D,'[2]IN PROGRESS'!$M:$M,"Not Found")</f>
        <v>Not Found</v>
      </c>
      <c r="U199" s="2" t="str">
        <f>_xlfn.XLOOKUP(Table2[[#This Row],[Adjusted Form '#]],[1]COMPLETED!$D:$D,[2]COMPLETED!$M:$M,"Not Found")</f>
        <v>Not Found</v>
      </c>
      <c r="V199" s="17" t="str">
        <f>_xlfn.XLOOKUP(Table2[[#This Row],[Adjusted Form '#]],[2]COMPLETED!$D:$D,[2]COMPLETED!$O:$O,"Not Found")</f>
        <v>Not Found</v>
      </c>
      <c r="W199" s="2" t="str">
        <f>_xlfn.XLOOKUP(Table2[[#This Row],[Adjusted Form '#]],[2]BILLED!$D:$D,[2]BILLED!$M:$M,"Not Found")</f>
        <v>1Z5063E0YW41333014</v>
      </c>
      <c r="X199" s="17" t="e">
        <f>_xlfn.XLOOKUP(Table2[[#This Row],[Adjusted Form '#]],[2]BILLED!$D:$D,[1]BILLED!$O:$O,"Not Found")</f>
        <v>#REF!</v>
      </c>
      <c r="Y199" s="17" t="e">
        <f>_xlfn.XLOOKUP(Table2[[#This Row],[Adjusted Form '#]],'[2]REJECTED ORDERS'!$D:$D,'[2]REJECTED ORDERS'!$E:$E)</f>
        <v>#N/A</v>
      </c>
      <c r="Z199" s="1"/>
      <c r="AA199" s="1"/>
      <c r="AB199" s="8"/>
      <c r="AC199" s="8"/>
      <c r="AD199" s="8"/>
      <c r="AE199" s="8"/>
      <c r="AF199" s="8"/>
      <c r="AG199" s="8"/>
      <c r="AH199" s="8"/>
      <c r="AI199" s="8"/>
      <c r="AJ199" s="8"/>
    </row>
    <row r="200" spans="1:36" ht="15" customHeight="1" x14ac:dyDescent="0.35">
      <c r="A200" s="4" t="s">
        <v>279</v>
      </c>
      <c r="B200" s="1" t="s">
        <v>3586</v>
      </c>
      <c r="C200" s="11">
        <v>44953</v>
      </c>
      <c r="D200" s="11" t="s">
        <v>4135</v>
      </c>
      <c r="E200" s="1" t="s">
        <v>73</v>
      </c>
      <c r="F200" s="1" t="s">
        <v>4147</v>
      </c>
      <c r="G200" s="6">
        <f>COUNTIF(F:F,Table2[[#This Row],[Form '#]])</f>
        <v>1</v>
      </c>
      <c r="H200" s="1" t="s">
        <v>4148</v>
      </c>
      <c r="I200" s="1" t="s">
        <v>177</v>
      </c>
      <c r="J200" s="1" t="s">
        <v>75</v>
      </c>
      <c r="K200" s="1" t="s">
        <v>3853</v>
      </c>
      <c r="L200" s="1"/>
      <c r="M200" s="6" t="str">
        <f>IF(Table2[[#This Row],[Corrected Form '#
 (If Duplicated)]]="",Table2[[#This Row],[Form '#]],Table2[[#This Row],[Corrected Form '#
 (If Duplicated)]])</f>
        <v>7823-03016</v>
      </c>
      <c r="N200" s="1" t="s">
        <v>49</v>
      </c>
      <c r="O200" s="6" t="str">
        <f>IF(Table2[[#This Row],[POG CONFIRMATION RECEIPT OF ORDER
(DATE &amp; TIME)]]="","No Confirmation","Received Confirmation")</f>
        <v>Received Confirmation</v>
      </c>
      <c r="P200" s="6">
        <f ca="1">TODAY()-Table2[[#This Row],[DATE SENT TO POG]]</f>
        <v>350</v>
      </c>
      <c r="Q200" s="6" t="s">
        <v>5803</v>
      </c>
      <c r="R2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" s="2" t="str">
        <f>_xlfn.XLOOKUP(Table2[[#This Row],[Adjusted Form '#]],'[2]IN PROGRESS'!$D:$D,'[2]IN PROGRESS'!$M:$M,"Not Found")</f>
        <v>Not Found</v>
      </c>
      <c r="U200" s="2" t="str">
        <f>_xlfn.XLOOKUP(Table2[[#This Row],[Adjusted Form '#]],[1]COMPLETED!$D:$D,[2]COMPLETED!$M:$M,"Not Found")</f>
        <v>Not Found</v>
      </c>
      <c r="V200" s="17" t="str">
        <f>_xlfn.XLOOKUP(Table2[[#This Row],[Adjusted Form '#]],[2]COMPLETED!$D:$D,[2]COMPLETED!$O:$O,"Not Found")</f>
        <v>Not Found</v>
      </c>
      <c r="W200" s="2" t="str">
        <f>_xlfn.XLOOKUP(Table2[[#This Row],[Adjusted Form '#]],[2]BILLED!$D:$D,[2]BILLED!$M:$M,"Not Found")</f>
        <v>1Z5063E0YW42008392</v>
      </c>
      <c r="X200" s="17" t="e">
        <f>_xlfn.XLOOKUP(Table2[[#This Row],[Adjusted Form '#]],[2]BILLED!$D:$D,[1]BILLED!$O:$O,"Not Found")</f>
        <v>#REF!</v>
      </c>
      <c r="Y200" s="17" t="e">
        <f>_xlfn.XLOOKUP(Table2[[#This Row],[Adjusted Form '#]],'[2]REJECTED ORDERS'!$D:$D,'[2]REJECTED ORDERS'!$E:$E)</f>
        <v>#N/A</v>
      </c>
      <c r="Z200" s="1"/>
      <c r="AA200" s="1"/>
      <c r="AB200" s="8"/>
      <c r="AC200" s="8"/>
      <c r="AD200" s="8"/>
      <c r="AE200" s="8"/>
      <c r="AF200" s="8"/>
      <c r="AG200" s="8"/>
      <c r="AH200" s="8"/>
      <c r="AI200" s="8"/>
      <c r="AJ200" s="8"/>
    </row>
    <row r="201" spans="1:36" ht="15" customHeight="1" x14ac:dyDescent="0.35">
      <c r="A201" s="4" t="s">
        <v>280</v>
      </c>
      <c r="B201" s="1" t="s">
        <v>3670</v>
      </c>
      <c r="C201" s="11">
        <v>44956</v>
      </c>
      <c r="D201" s="11" t="s">
        <v>4149</v>
      </c>
      <c r="E201" s="1" t="s">
        <v>73</v>
      </c>
      <c r="F201" s="1" t="s">
        <v>4150</v>
      </c>
      <c r="G201" s="6">
        <f>COUNTIF(F:F,Table2[[#This Row],[Form '#]])</f>
        <v>1</v>
      </c>
      <c r="H201" s="1" t="s">
        <v>4151</v>
      </c>
      <c r="I201" s="1" t="s">
        <v>177</v>
      </c>
      <c r="J201" s="1" t="s">
        <v>75</v>
      </c>
      <c r="K201" s="1" t="s">
        <v>3891</v>
      </c>
      <c r="L201" s="1"/>
      <c r="M201" s="6" t="str">
        <f>IF(Table2[[#This Row],[Corrected Form '#
 (If Duplicated)]]="",Table2[[#This Row],[Form '#]],Table2[[#This Row],[Corrected Form '#
 (If Duplicated)]])</f>
        <v>7823-03322</v>
      </c>
      <c r="N201" s="1" t="s">
        <v>49</v>
      </c>
      <c r="O201" s="6" t="str">
        <f>IF(Table2[[#This Row],[POG CONFIRMATION RECEIPT OF ORDER
(DATE &amp; TIME)]]="","No Confirmation","Received Confirmation")</f>
        <v>Received Confirmation</v>
      </c>
      <c r="P201" s="6">
        <f ca="1">TODAY()-Table2[[#This Row],[DATE SENT TO POG]]</f>
        <v>347</v>
      </c>
      <c r="Q201" s="6" t="s">
        <v>5803</v>
      </c>
      <c r="R2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" s="2" t="str">
        <f>_xlfn.XLOOKUP(Table2[[#This Row],[Adjusted Form '#]],'[2]IN PROGRESS'!$D:$D,'[2]IN PROGRESS'!$M:$M,"Not Found")</f>
        <v>Not Found</v>
      </c>
      <c r="U201" s="2" t="str">
        <f>_xlfn.XLOOKUP(Table2[[#This Row],[Adjusted Form '#]],[1]COMPLETED!$D:$D,[2]COMPLETED!$M:$M,"Not Found")</f>
        <v>Not Found</v>
      </c>
      <c r="V201" s="17" t="str">
        <f>_xlfn.XLOOKUP(Table2[[#This Row],[Adjusted Form '#]],[2]COMPLETED!$D:$D,[2]COMPLETED!$O:$O,"Not Found")</f>
        <v>Not Found</v>
      </c>
      <c r="W201" s="2" t="str">
        <f>_xlfn.XLOOKUP(Table2[[#This Row],[Adjusted Form '#]],[2]BILLED!$D:$D,[2]BILLED!$M:$M,"Not Found")</f>
        <v>1Z5063E0YW40362600</v>
      </c>
      <c r="X201" s="17" t="e">
        <f>_xlfn.XLOOKUP(Table2[[#This Row],[Adjusted Form '#]],[2]BILLED!$D:$D,[1]BILLED!$O:$O,"Not Found")</f>
        <v>#REF!</v>
      </c>
      <c r="Y201" s="17" t="e">
        <f>_xlfn.XLOOKUP(Table2[[#This Row],[Adjusted Form '#]],'[2]REJECTED ORDERS'!$D:$D,'[2]REJECTED ORDERS'!$E:$E)</f>
        <v>#N/A</v>
      </c>
      <c r="Z201" s="1"/>
      <c r="AA201" s="1"/>
      <c r="AB201" s="8"/>
      <c r="AC201" s="8"/>
      <c r="AD201" s="8"/>
      <c r="AE201" s="8"/>
      <c r="AF201" s="8"/>
      <c r="AG201" s="8"/>
      <c r="AH201" s="8"/>
      <c r="AI201" s="8"/>
      <c r="AJ201" s="8"/>
    </row>
    <row r="202" spans="1:36" ht="15" customHeight="1" x14ac:dyDescent="0.35">
      <c r="A202" s="4" t="s">
        <v>281</v>
      </c>
      <c r="B202" s="1" t="s">
        <v>3881</v>
      </c>
      <c r="C202" s="11">
        <v>44956</v>
      </c>
      <c r="D202" s="11" t="s">
        <v>4149</v>
      </c>
      <c r="E202" s="1" t="s">
        <v>73</v>
      </c>
      <c r="F202" s="1" t="s">
        <v>4152</v>
      </c>
      <c r="G202" s="6">
        <f>COUNTIF(F:F,Table2[[#This Row],[Form '#]])</f>
        <v>1</v>
      </c>
      <c r="H202" s="1" t="s">
        <v>4153</v>
      </c>
      <c r="I202" s="1" t="s">
        <v>758</v>
      </c>
      <c r="J202" s="1" t="s">
        <v>78</v>
      </c>
      <c r="K202" s="1" t="s">
        <v>3853</v>
      </c>
      <c r="L202" s="1"/>
      <c r="M202" s="6" t="str">
        <f>IF(Table2[[#This Row],[Corrected Form '#
 (If Duplicated)]]="",Table2[[#This Row],[Form '#]],Table2[[#This Row],[Corrected Form '#
 (If Duplicated)]])</f>
        <v>7823-02772</v>
      </c>
      <c r="N202" s="1" t="s">
        <v>49</v>
      </c>
      <c r="O202" s="6" t="str">
        <f>IF(Table2[[#This Row],[POG CONFIRMATION RECEIPT OF ORDER
(DATE &amp; TIME)]]="","No Confirmation","Received Confirmation")</f>
        <v>Received Confirmation</v>
      </c>
      <c r="P202" s="6">
        <f ca="1">TODAY()-Table2[[#This Row],[DATE SENT TO POG]]</f>
        <v>347</v>
      </c>
      <c r="Q202" s="6" t="s">
        <v>5803</v>
      </c>
      <c r="R2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" s="2" t="str">
        <f>_xlfn.XLOOKUP(Table2[[#This Row],[Adjusted Form '#]],'[2]IN PROGRESS'!$D:$D,'[2]IN PROGRESS'!$M:$M,"Not Found")</f>
        <v>Not Found</v>
      </c>
      <c r="U202" s="2" t="str">
        <f>_xlfn.XLOOKUP(Table2[[#This Row],[Adjusted Form '#]],[1]COMPLETED!$D:$D,[2]COMPLETED!$M:$M,"Not Found")</f>
        <v>Not Found</v>
      </c>
      <c r="V202" s="17" t="str">
        <f>_xlfn.XLOOKUP(Table2[[#This Row],[Adjusted Form '#]],[2]COMPLETED!$D:$D,[2]COMPLETED!$O:$O,"Not Found")</f>
        <v>Not Found</v>
      </c>
      <c r="W202" s="2" t="str">
        <f>_xlfn.XLOOKUP(Table2[[#This Row],[Adjusted Form '#]],[2]BILLED!$D:$D,[2]BILLED!$M:$M,"Not Found")</f>
        <v>1Z5063E0YW41879471</v>
      </c>
      <c r="X202" s="17" t="e">
        <f>_xlfn.XLOOKUP(Table2[[#This Row],[Adjusted Form '#]],[2]BILLED!$D:$D,[1]BILLED!$O:$O,"Not Found")</f>
        <v>#REF!</v>
      </c>
      <c r="Y202" s="17" t="str">
        <f>_xlfn.XLOOKUP(Table2[[#This Row],[Adjusted Form '#]],'[2]REJECTED ORDERS'!$D:$D,'[2]REJECTED ORDERS'!$E:$E)</f>
        <v>FORM NUMBER ALREADY USED</v>
      </c>
      <c r="Z202" s="1"/>
      <c r="AA202" s="1"/>
      <c r="AB202" s="8"/>
      <c r="AC202" s="8"/>
      <c r="AD202" s="8"/>
      <c r="AE202" s="8"/>
      <c r="AF202" s="8"/>
      <c r="AG202" s="8"/>
      <c r="AH202" s="8"/>
      <c r="AI202" s="8"/>
      <c r="AJ202" s="8"/>
    </row>
    <row r="203" spans="1:36" ht="15" customHeight="1" x14ac:dyDescent="0.35">
      <c r="A203" s="4" t="s">
        <v>283</v>
      </c>
      <c r="B203" s="1" t="s">
        <v>735</v>
      </c>
      <c r="C203" s="11">
        <v>44956</v>
      </c>
      <c r="D203" s="11" t="s">
        <v>4154</v>
      </c>
      <c r="E203" s="1" t="s">
        <v>21</v>
      </c>
      <c r="F203" s="1" t="s">
        <v>4140</v>
      </c>
      <c r="G203" s="6">
        <f>COUNTIF(F:F,Table2[[#This Row],[Form '#]])</f>
        <v>2</v>
      </c>
      <c r="H203" s="1" t="s">
        <v>4141</v>
      </c>
      <c r="I203" s="1" t="s">
        <v>3852</v>
      </c>
      <c r="J203" s="1" t="s">
        <v>80</v>
      </c>
      <c r="K203" s="1" t="s">
        <v>3853</v>
      </c>
      <c r="L203" s="1"/>
      <c r="M203" s="6" t="str">
        <f>IF(Table2[[#This Row],[Corrected Form '#
 (If Duplicated)]]="",Table2[[#This Row],[Form '#]],Table2[[#This Row],[Corrected Form '#
 (If Duplicated)]])</f>
        <v>7818-25402</v>
      </c>
      <c r="N203" s="1" t="s">
        <v>49</v>
      </c>
      <c r="O203" s="6" t="str">
        <f>IF(Table2[[#This Row],[POG CONFIRMATION RECEIPT OF ORDER
(DATE &amp; TIME)]]="","No Confirmation","Received Confirmation")</f>
        <v>Received Confirmation</v>
      </c>
      <c r="P203" s="6">
        <f ca="1">TODAY()-Table2[[#This Row],[DATE SENT TO POG]]</f>
        <v>347</v>
      </c>
      <c r="Q203" s="6" t="s">
        <v>5803</v>
      </c>
      <c r="R2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" s="2" t="str">
        <f>_xlfn.XLOOKUP(Table2[[#This Row],[Adjusted Form '#]],'[2]IN PROGRESS'!$D:$D,'[2]IN PROGRESS'!$M:$M,"Not Found")</f>
        <v>Not Found</v>
      </c>
      <c r="U203" s="2" t="str">
        <f>_xlfn.XLOOKUP(Table2[[#This Row],[Adjusted Form '#]],[1]COMPLETED!$D:$D,[2]COMPLETED!$M:$M,"Not Found")</f>
        <v>Not Found</v>
      </c>
      <c r="V203" s="17" t="str">
        <f>_xlfn.XLOOKUP(Table2[[#This Row],[Adjusted Form '#]],[2]COMPLETED!$D:$D,[2]COMPLETED!$O:$O,"Not Found")</f>
        <v>Not Found</v>
      </c>
      <c r="W203" s="2" t="str">
        <f>_xlfn.XLOOKUP(Table2[[#This Row],[Adjusted Form '#]],[2]BILLED!$D:$D,[2]BILLED!$M:$M,"Not Found")</f>
        <v>1Z5063E0YW40422063</v>
      </c>
      <c r="X203" s="17" t="e">
        <f>_xlfn.XLOOKUP(Table2[[#This Row],[Adjusted Form '#]],[2]BILLED!$D:$D,[1]BILLED!$O:$O,"Not Found")</f>
        <v>#REF!</v>
      </c>
      <c r="Y203" s="17" t="e">
        <f>_xlfn.XLOOKUP(Table2[[#This Row],[Adjusted Form '#]],'[2]REJECTED ORDERS'!$D:$D,'[2]REJECTED ORDERS'!$E:$E)</f>
        <v>#N/A</v>
      </c>
      <c r="Z203" s="1"/>
      <c r="AA203" s="1"/>
      <c r="AB203" s="8"/>
      <c r="AC203" s="8"/>
      <c r="AD203" s="8"/>
      <c r="AE203" s="8"/>
      <c r="AF203" s="8"/>
      <c r="AG203" s="8"/>
      <c r="AH203" s="8"/>
      <c r="AI203" s="8"/>
      <c r="AJ203" s="8"/>
    </row>
    <row r="204" spans="1:36" ht="15" customHeight="1" x14ac:dyDescent="0.35">
      <c r="A204" s="4" t="s">
        <v>284</v>
      </c>
      <c r="B204" s="1" t="s">
        <v>396</v>
      </c>
      <c r="C204" s="11">
        <v>44956</v>
      </c>
      <c r="D204" s="11" t="s">
        <v>4154</v>
      </c>
      <c r="E204" s="1" t="s">
        <v>73</v>
      </c>
      <c r="F204" s="1" t="s">
        <v>4155</v>
      </c>
      <c r="G204" s="6">
        <f>COUNTIF(F:F,Table2[[#This Row],[Form '#]])</f>
        <v>1</v>
      </c>
      <c r="H204" s="1" t="s">
        <v>4156</v>
      </c>
      <c r="I204" s="1" t="s">
        <v>3852</v>
      </c>
      <c r="J204" s="1" t="s">
        <v>80</v>
      </c>
      <c r="K204" s="1" t="s">
        <v>3853</v>
      </c>
      <c r="L204" s="1"/>
      <c r="M204" s="6" t="str">
        <f>IF(Table2[[#This Row],[Corrected Form '#
 (If Duplicated)]]="",Table2[[#This Row],[Form '#]],Table2[[#This Row],[Corrected Form '#
 (If Duplicated)]])</f>
        <v>7823-02835</v>
      </c>
      <c r="N204" s="1" t="s">
        <v>49</v>
      </c>
      <c r="O204" s="6" t="str">
        <f>IF(Table2[[#This Row],[POG CONFIRMATION RECEIPT OF ORDER
(DATE &amp; TIME)]]="","No Confirmation","Received Confirmation")</f>
        <v>Received Confirmation</v>
      </c>
      <c r="P204" s="6">
        <f ca="1">TODAY()-Table2[[#This Row],[DATE SENT TO POG]]</f>
        <v>347</v>
      </c>
      <c r="Q204" s="6" t="s">
        <v>5803</v>
      </c>
      <c r="R2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" s="2" t="str">
        <f>_xlfn.XLOOKUP(Table2[[#This Row],[Adjusted Form '#]],'[2]IN PROGRESS'!$D:$D,'[2]IN PROGRESS'!$M:$M,"Not Found")</f>
        <v>Not Found</v>
      </c>
      <c r="U204" s="2" t="str">
        <f>_xlfn.XLOOKUP(Table2[[#This Row],[Adjusted Form '#]],[1]COMPLETED!$D:$D,[2]COMPLETED!$M:$M,"Not Found")</f>
        <v>Not Found</v>
      </c>
      <c r="V204" s="17" t="str">
        <f>_xlfn.XLOOKUP(Table2[[#This Row],[Adjusted Form '#]],[2]COMPLETED!$D:$D,[2]COMPLETED!$O:$O,"Not Found")</f>
        <v>Not Found</v>
      </c>
      <c r="W204" s="2" t="str">
        <f>_xlfn.XLOOKUP(Table2[[#This Row],[Adjusted Form '#]],[2]BILLED!$D:$D,[2]BILLED!$M:$M,"Not Found")</f>
        <v>1Z5063E0YW41552037</v>
      </c>
      <c r="X204" s="17" t="e">
        <f>_xlfn.XLOOKUP(Table2[[#This Row],[Adjusted Form '#]],[2]BILLED!$D:$D,[1]BILLED!$O:$O,"Not Found")</f>
        <v>#REF!</v>
      </c>
      <c r="Y204" s="17" t="e">
        <f>_xlfn.XLOOKUP(Table2[[#This Row],[Adjusted Form '#]],'[2]REJECTED ORDERS'!$D:$D,'[2]REJECTED ORDERS'!$E:$E)</f>
        <v>#N/A</v>
      </c>
      <c r="Z204" s="1"/>
      <c r="AA204" s="1"/>
      <c r="AB204" s="8"/>
      <c r="AC204" s="8"/>
      <c r="AD204" s="8"/>
      <c r="AE204" s="8"/>
      <c r="AF204" s="8"/>
      <c r="AG204" s="8"/>
      <c r="AH204" s="8"/>
      <c r="AI204" s="8"/>
      <c r="AJ204" s="8"/>
    </row>
    <row r="205" spans="1:36" ht="15" customHeight="1" x14ac:dyDescent="0.35">
      <c r="A205" s="4" t="s">
        <v>286</v>
      </c>
      <c r="B205" s="1" t="s">
        <v>1458</v>
      </c>
      <c r="C205" s="11">
        <v>44956</v>
      </c>
      <c r="E205" s="1" t="s">
        <v>21</v>
      </c>
      <c r="F205" s="1" t="s">
        <v>4157</v>
      </c>
      <c r="G205" s="6">
        <f>COUNTIF(F:F,Table2[[#This Row],[Form '#]])</f>
        <v>2</v>
      </c>
      <c r="H205" s="1" t="s">
        <v>4158</v>
      </c>
      <c r="I205" s="1" t="s">
        <v>127</v>
      </c>
      <c r="J205" s="1" t="s">
        <v>76</v>
      </c>
      <c r="K205" s="1" t="s">
        <v>4011</v>
      </c>
      <c r="L205" s="1"/>
      <c r="M205" s="6" t="str">
        <f>IF(Table2[[#This Row],[Corrected Form '#
 (If Duplicated)]]="",Table2[[#This Row],[Form '#]],Table2[[#This Row],[Corrected Form '#
 (If Duplicated)]])</f>
        <v>7818-26089</v>
      </c>
      <c r="N205" s="1" t="s">
        <v>104</v>
      </c>
      <c r="O205" s="6" t="str">
        <f>IF(Table2[[#This Row],[POG CONFIRMATION RECEIPT OF ORDER
(DATE &amp; TIME)]]="","No Confirmation","Received Confirmation")</f>
        <v>No Confirmation</v>
      </c>
      <c r="P205" s="6">
        <f ca="1">TODAY()-Table2[[#This Row],[DATE SENT TO POG]]</f>
        <v>347</v>
      </c>
      <c r="Q205" s="6" t="s">
        <v>5803</v>
      </c>
      <c r="R2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5" s="2" t="str">
        <f>_xlfn.XLOOKUP(Table2[[#This Row],[Adjusted Form '#]],'[2]IN PROGRESS'!$D:$D,'[2]IN PROGRESS'!$M:$M,"Not Found")</f>
        <v>Not Found</v>
      </c>
      <c r="U205" s="2" t="str">
        <f>_xlfn.XLOOKUP(Table2[[#This Row],[Adjusted Form '#]],[1]COMPLETED!$D:$D,[2]COMPLETED!$M:$M,"Not Found")</f>
        <v>Not Found</v>
      </c>
      <c r="V205" s="17" t="str">
        <f>_xlfn.XLOOKUP(Table2[[#This Row],[Adjusted Form '#]],[2]COMPLETED!$D:$D,[2]COMPLETED!$O:$O,"Not Found")</f>
        <v>Not Found</v>
      </c>
      <c r="W205" s="2" t="str">
        <f>_xlfn.XLOOKUP(Table2[[#This Row],[Adjusted Form '#]],[2]BILLED!$D:$D,[2]BILLED!$M:$M,"Not Found")</f>
        <v>1Z5063E0YW42193263</v>
      </c>
      <c r="X205" s="17" t="e">
        <f>_xlfn.XLOOKUP(Table2[[#This Row],[Adjusted Form '#]],[2]BILLED!$D:$D,[1]BILLED!$O:$O,"Not Found")</f>
        <v>#REF!</v>
      </c>
      <c r="Y205" s="17" t="e">
        <f>_xlfn.XLOOKUP(Table2[[#This Row],[Adjusted Form '#]],'[2]REJECTED ORDERS'!$D:$D,'[2]REJECTED ORDERS'!$E:$E)</f>
        <v>#N/A</v>
      </c>
      <c r="Z205" s="1"/>
      <c r="AA205" s="1"/>
      <c r="AB205" s="8"/>
      <c r="AC205" s="8"/>
      <c r="AD205" s="8"/>
      <c r="AE205" s="8"/>
      <c r="AF205" s="8"/>
      <c r="AG205" s="8"/>
      <c r="AH205" s="8"/>
      <c r="AI205" s="8"/>
      <c r="AJ205" s="8"/>
    </row>
    <row r="206" spans="1:36" ht="15" customHeight="1" x14ac:dyDescent="0.35">
      <c r="A206" s="4" t="s">
        <v>289</v>
      </c>
      <c r="B206" s="1" t="s">
        <v>1458</v>
      </c>
      <c r="C206" s="11">
        <v>44956</v>
      </c>
      <c r="E206" s="1" t="s">
        <v>21</v>
      </c>
      <c r="F206" s="1" t="s">
        <v>4159</v>
      </c>
      <c r="G206" s="6">
        <f>COUNTIF(F:F,Table2[[#This Row],[Form '#]])</f>
        <v>1</v>
      </c>
      <c r="H206" s="1" t="s">
        <v>3728</v>
      </c>
      <c r="I206" s="1" t="s">
        <v>3864</v>
      </c>
      <c r="J206" s="1" t="s">
        <v>78</v>
      </c>
      <c r="K206" s="1" t="s">
        <v>3879</v>
      </c>
      <c r="L206" s="1"/>
      <c r="M206" s="6" t="str">
        <f>IF(Table2[[#This Row],[Corrected Form '#
 (If Duplicated)]]="",Table2[[#This Row],[Form '#]],Table2[[#This Row],[Corrected Form '#
 (If Duplicated)]])</f>
        <v>7818-26090</v>
      </c>
      <c r="N206" s="1" t="s">
        <v>104</v>
      </c>
      <c r="O206" s="6" t="str">
        <f>IF(Table2[[#This Row],[POG CONFIRMATION RECEIPT OF ORDER
(DATE &amp; TIME)]]="","No Confirmation","Received Confirmation")</f>
        <v>No Confirmation</v>
      </c>
      <c r="P206" s="6">
        <f ca="1">TODAY()-Table2[[#This Row],[DATE SENT TO POG]]</f>
        <v>347</v>
      </c>
      <c r="Q206" s="6" t="s">
        <v>5803</v>
      </c>
      <c r="R2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" s="2" t="str">
        <f>_xlfn.XLOOKUP(Table2[[#This Row],[Adjusted Form '#]],'[2]IN PROGRESS'!$D:$D,'[2]IN PROGRESS'!$M:$M,"Not Found")</f>
        <v>Not Found</v>
      </c>
      <c r="U206" s="2" t="str">
        <f>_xlfn.XLOOKUP(Table2[[#This Row],[Adjusted Form '#]],[1]COMPLETED!$D:$D,[2]COMPLETED!$M:$M,"Not Found")</f>
        <v>Not Found</v>
      </c>
      <c r="V206" s="17" t="str">
        <f>_xlfn.XLOOKUP(Table2[[#This Row],[Adjusted Form '#]],[2]COMPLETED!$D:$D,[2]COMPLETED!$O:$O,"Not Found")</f>
        <v>Not Found</v>
      </c>
      <c r="W206" s="2" t="str">
        <f>_xlfn.XLOOKUP(Table2[[#This Row],[Adjusted Form '#]],[2]BILLED!$D:$D,[2]BILLED!$M:$M,"Not Found")</f>
        <v>1Z5063E0YW42654872</v>
      </c>
      <c r="X206" s="17" t="e">
        <f>_xlfn.XLOOKUP(Table2[[#This Row],[Adjusted Form '#]],[2]BILLED!$D:$D,[1]BILLED!$O:$O,"Not Found")</f>
        <v>#REF!</v>
      </c>
      <c r="Y206" s="17" t="e">
        <f>_xlfn.XLOOKUP(Table2[[#This Row],[Adjusted Form '#]],'[2]REJECTED ORDERS'!$D:$D,'[2]REJECTED ORDERS'!$E:$E)</f>
        <v>#N/A</v>
      </c>
      <c r="Z206" s="1"/>
      <c r="AA206" s="1"/>
      <c r="AB206" s="8"/>
      <c r="AC206" s="8"/>
      <c r="AD206" s="8"/>
      <c r="AE206" s="8"/>
      <c r="AF206" s="8"/>
      <c r="AG206" s="8"/>
      <c r="AH206" s="8"/>
      <c r="AI206" s="8"/>
      <c r="AJ206" s="8"/>
    </row>
    <row r="207" spans="1:36" ht="15" customHeight="1" x14ac:dyDescent="0.35">
      <c r="A207" s="4" t="s">
        <v>291</v>
      </c>
      <c r="B207" s="1" t="s">
        <v>1216</v>
      </c>
      <c r="C207" s="11">
        <v>44956</v>
      </c>
      <c r="D207" s="11" t="s">
        <v>4154</v>
      </c>
      <c r="E207" s="1" t="s">
        <v>73</v>
      </c>
      <c r="F207" s="1" t="s">
        <v>4160</v>
      </c>
      <c r="G207" s="6">
        <f>COUNTIF(F:F,Table2[[#This Row],[Form '#]])</f>
        <v>1</v>
      </c>
      <c r="H207" s="1" t="s">
        <v>4161</v>
      </c>
      <c r="I207" s="1" t="s">
        <v>127</v>
      </c>
      <c r="J207" s="1" t="s">
        <v>71</v>
      </c>
      <c r="K207" s="1" t="s">
        <v>3891</v>
      </c>
      <c r="L207" s="1"/>
      <c r="M207" s="6" t="str">
        <f>IF(Table2[[#This Row],[Corrected Form '#
 (If Duplicated)]]="",Table2[[#This Row],[Form '#]],Table2[[#This Row],[Corrected Form '#
 (If Duplicated)]])</f>
        <v>7823-03362</v>
      </c>
      <c r="N207" s="1" t="s">
        <v>49</v>
      </c>
      <c r="O207" s="6" t="str">
        <f>IF(Table2[[#This Row],[POG CONFIRMATION RECEIPT OF ORDER
(DATE &amp; TIME)]]="","No Confirmation","Received Confirmation")</f>
        <v>Received Confirmation</v>
      </c>
      <c r="P207" s="6">
        <f ca="1">TODAY()-Table2[[#This Row],[DATE SENT TO POG]]</f>
        <v>347</v>
      </c>
      <c r="Q207" s="6" t="s">
        <v>5803</v>
      </c>
      <c r="R2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" s="2" t="str">
        <f>_xlfn.XLOOKUP(Table2[[#This Row],[Adjusted Form '#]],'[2]IN PROGRESS'!$D:$D,'[2]IN PROGRESS'!$M:$M,"Not Found")</f>
        <v>Not Found</v>
      </c>
      <c r="U207" s="2" t="str">
        <f>_xlfn.XLOOKUP(Table2[[#This Row],[Adjusted Form '#]],[1]COMPLETED!$D:$D,[2]COMPLETED!$M:$M,"Not Found")</f>
        <v>Not Found</v>
      </c>
      <c r="V207" s="17" t="str">
        <f>_xlfn.XLOOKUP(Table2[[#This Row],[Adjusted Form '#]],[2]COMPLETED!$D:$D,[2]COMPLETED!$O:$O,"Not Found")</f>
        <v>Not Found</v>
      </c>
      <c r="W207" s="2" t="str">
        <f>_xlfn.XLOOKUP(Table2[[#This Row],[Adjusted Form '#]],[2]BILLED!$D:$D,[2]BILLED!$M:$M,"Not Found")</f>
        <v>1Z5063E0YW40598366</v>
      </c>
      <c r="X207" s="17" t="e">
        <f>_xlfn.XLOOKUP(Table2[[#This Row],[Adjusted Form '#]],[2]BILLED!$D:$D,[1]BILLED!$O:$O,"Not Found")</f>
        <v>#REF!</v>
      </c>
      <c r="Y207" s="17" t="e">
        <f>_xlfn.XLOOKUP(Table2[[#This Row],[Adjusted Form '#]],'[2]REJECTED ORDERS'!$D:$D,'[2]REJECTED ORDERS'!$E:$E)</f>
        <v>#N/A</v>
      </c>
      <c r="Z207" s="1"/>
      <c r="AA207" s="1"/>
      <c r="AB207" s="8"/>
      <c r="AC207" s="8"/>
      <c r="AD207" s="8"/>
      <c r="AE207" s="8"/>
      <c r="AF207" s="8"/>
      <c r="AG207" s="8"/>
      <c r="AH207" s="8"/>
      <c r="AI207" s="8"/>
      <c r="AJ207" s="8"/>
    </row>
    <row r="208" spans="1:36" ht="15" customHeight="1" x14ac:dyDescent="0.35">
      <c r="A208" s="4" t="s">
        <v>293</v>
      </c>
      <c r="B208" s="1" t="s">
        <v>1216</v>
      </c>
      <c r="C208" s="11">
        <v>44956</v>
      </c>
      <c r="D208" s="11" t="s">
        <v>4154</v>
      </c>
      <c r="E208" s="1" t="s">
        <v>21</v>
      </c>
      <c r="F208" s="1" t="s">
        <v>4162</v>
      </c>
      <c r="G208" s="6">
        <f>COUNTIF(F:F,Table2[[#This Row],[Form '#]])</f>
        <v>1</v>
      </c>
      <c r="H208" s="1" t="s">
        <v>4164</v>
      </c>
      <c r="I208" s="1" t="s">
        <v>127</v>
      </c>
      <c r="J208" s="1" t="s">
        <v>76</v>
      </c>
      <c r="K208" s="1" t="s">
        <v>4163</v>
      </c>
      <c r="L208" s="1"/>
      <c r="M208" s="6" t="str">
        <f>IF(Table2[[#This Row],[Corrected Form '#
 (If Duplicated)]]="",Table2[[#This Row],[Form '#]],Table2[[#This Row],[Corrected Form '#
 (If Duplicated)]])</f>
        <v>7818-11942</v>
      </c>
      <c r="N208" s="1" t="s">
        <v>49</v>
      </c>
      <c r="O208" s="6" t="str">
        <f>IF(Table2[[#This Row],[POG CONFIRMATION RECEIPT OF ORDER
(DATE &amp; TIME)]]="","No Confirmation","Received Confirmation")</f>
        <v>Received Confirmation</v>
      </c>
      <c r="P208" s="6">
        <f ca="1">TODAY()-Table2[[#This Row],[DATE SENT TO POG]]</f>
        <v>347</v>
      </c>
      <c r="Q208" s="6" t="s">
        <v>5803</v>
      </c>
      <c r="R2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8" s="2" t="str">
        <f>_xlfn.XLOOKUP(Table2[[#This Row],[Adjusted Form '#]],'[2]IN PROGRESS'!$D:$D,'[2]IN PROGRESS'!$M:$M,"Not Found")</f>
        <v>Not Found</v>
      </c>
      <c r="U208" s="2" t="str">
        <f>_xlfn.XLOOKUP(Table2[[#This Row],[Adjusted Form '#]],[1]COMPLETED!$D:$D,[2]COMPLETED!$M:$M,"Not Found")</f>
        <v>Not Found</v>
      </c>
      <c r="V208" s="17" t="str">
        <f>_xlfn.XLOOKUP(Table2[[#This Row],[Adjusted Form '#]],[2]COMPLETED!$D:$D,[2]COMPLETED!$O:$O,"Not Found")</f>
        <v>Not Found</v>
      </c>
      <c r="W208" s="2" t="str">
        <f>_xlfn.XLOOKUP(Table2[[#This Row],[Adjusted Form '#]],[2]BILLED!$D:$D,[2]BILLED!$M:$M,"Not Found")</f>
        <v>1Z5063E0YW40606865</v>
      </c>
      <c r="X208" s="17" t="e">
        <f>_xlfn.XLOOKUP(Table2[[#This Row],[Adjusted Form '#]],[2]BILLED!$D:$D,[1]BILLED!$O:$O,"Not Found")</f>
        <v>#REF!</v>
      </c>
      <c r="Y208" s="17" t="e">
        <f>_xlfn.XLOOKUP(Table2[[#This Row],[Adjusted Form '#]],'[2]REJECTED ORDERS'!$D:$D,'[2]REJECTED ORDERS'!$E:$E)</f>
        <v>#N/A</v>
      </c>
      <c r="Z208" s="1"/>
      <c r="AA208" s="1"/>
      <c r="AB208" s="8"/>
      <c r="AC208" s="8"/>
      <c r="AD208" s="8"/>
      <c r="AE208" s="8"/>
      <c r="AF208" s="8"/>
      <c r="AG208" s="8"/>
      <c r="AH208" s="8"/>
      <c r="AI208" s="8"/>
      <c r="AJ208" s="8"/>
    </row>
    <row r="209" spans="1:36" ht="15" customHeight="1" x14ac:dyDescent="0.35">
      <c r="A209" s="4" t="s">
        <v>295</v>
      </c>
      <c r="B209" s="1" t="s">
        <v>1216</v>
      </c>
      <c r="C209" s="11">
        <v>44957</v>
      </c>
      <c r="D209" s="11" t="s">
        <v>4154</v>
      </c>
      <c r="E209" s="1" t="s">
        <v>21</v>
      </c>
      <c r="F209" s="1" t="s">
        <v>4165</v>
      </c>
      <c r="G209" s="6">
        <f>COUNTIF(F:F,Table2[[#This Row],[Form '#]])</f>
        <v>1</v>
      </c>
      <c r="H209" s="1" t="s">
        <v>2036</v>
      </c>
      <c r="I209" s="1" t="s">
        <v>3864</v>
      </c>
      <c r="J209" s="1" t="s">
        <v>78</v>
      </c>
      <c r="K209" s="1" t="s">
        <v>4011</v>
      </c>
      <c r="L209" s="1"/>
      <c r="M209" s="6" t="str">
        <f>IF(Table2[[#This Row],[Corrected Form '#
 (If Duplicated)]]="",Table2[[#This Row],[Form '#]],Table2[[#This Row],[Corrected Form '#
 (If Duplicated)]])</f>
        <v>7818-25264</v>
      </c>
      <c r="N209" s="1" t="s">
        <v>49</v>
      </c>
      <c r="O209" s="6" t="str">
        <f>IF(Table2[[#This Row],[POG CONFIRMATION RECEIPT OF ORDER
(DATE &amp; TIME)]]="","No Confirmation","Received Confirmation")</f>
        <v>Received Confirmation</v>
      </c>
      <c r="P209" s="6">
        <f ca="1">TODAY()-Table2[[#This Row],[DATE SENT TO POG]]</f>
        <v>346</v>
      </c>
      <c r="Q209" s="6" t="s">
        <v>5803</v>
      </c>
      <c r="R2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9" s="2" t="str">
        <f>_xlfn.XLOOKUP(Table2[[#This Row],[Adjusted Form '#]],'[2]IN PROGRESS'!$D:$D,'[2]IN PROGRESS'!$M:$M,"Not Found")</f>
        <v>Not Found</v>
      </c>
      <c r="U209" s="2" t="str">
        <f>_xlfn.XLOOKUP(Table2[[#This Row],[Adjusted Form '#]],[1]COMPLETED!$D:$D,[2]COMPLETED!$M:$M,"Not Found")</f>
        <v>Not Found</v>
      </c>
      <c r="V209" s="17" t="str">
        <f>_xlfn.XLOOKUP(Table2[[#This Row],[Adjusted Form '#]],[2]COMPLETED!$D:$D,[2]COMPLETED!$O:$O,"Not Found")</f>
        <v>Not Found</v>
      </c>
      <c r="W209" s="2" t="str">
        <f>_xlfn.XLOOKUP(Table2[[#This Row],[Adjusted Form '#]],[2]BILLED!$D:$D,[2]BILLED!$M:$M,"Not Found")</f>
        <v>1Z5063E0YW41067008</v>
      </c>
      <c r="X209" s="17" t="e">
        <f>_xlfn.XLOOKUP(Table2[[#This Row],[Adjusted Form '#]],[2]BILLED!$D:$D,[1]BILLED!$O:$O,"Not Found")</f>
        <v>#REF!</v>
      </c>
      <c r="Y209" s="17" t="e">
        <f>_xlfn.XLOOKUP(Table2[[#This Row],[Adjusted Form '#]],'[2]REJECTED ORDERS'!$D:$D,'[2]REJECTED ORDERS'!$E:$E)</f>
        <v>#N/A</v>
      </c>
      <c r="Z209" s="1"/>
      <c r="AA209" s="1"/>
      <c r="AB209" s="8"/>
      <c r="AC209" s="8"/>
      <c r="AD209" s="8"/>
      <c r="AE209" s="8"/>
      <c r="AF209" s="8"/>
      <c r="AG209" s="8"/>
      <c r="AH209" s="8"/>
      <c r="AI209" s="8"/>
      <c r="AJ209" s="8"/>
    </row>
    <row r="210" spans="1:36" ht="15" customHeight="1" x14ac:dyDescent="0.35">
      <c r="A210" s="4" t="s">
        <v>297</v>
      </c>
      <c r="B210" s="1" t="s">
        <v>1216</v>
      </c>
      <c r="C210" s="11">
        <v>44957</v>
      </c>
      <c r="D210" s="11" t="s">
        <v>4154</v>
      </c>
      <c r="E210" s="1" t="s">
        <v>21</v>
      </c>
      <c r="F210" s="1" t="s">
        <v>4166</v>
      </c>
      <c r="G210" s="6">
        <f>COUNTIF(F:F,Table2[[#This Row],[Form '#]])</f>
        <v>1</v>
      </c>
      <c r="H210" s="1" t="s">
        <v>4167</v>
      </c>
      <c r="I210" s="1" t="s">
        <v>127</v>
      </c>
      <c r="J210" s="1" t="s">
        <v>76</v>
      </c>
      <c r="K210" s="1" t="s">
        <v>4011</v>
      </c>
      <c r="L210" s="1"/>
      <c r="M210" s="6" t="str">
        <f>IF(Table2[[#This Row],[Corrected Form '#
 (If Duplicated)]]="",Table2[[#This Row],[Form '#]],Table2[[#This Row],[Corrected Form '#
 (If Duplicated)]])</f>
        <v>7818-26080</v>
      </c>
      <c r="N210" s="1" t="s">
        <v>49</v>
      </c>
      <c r="O210" s="6" t="str">
        <f>IF(Table2[[#This Row],[POG CONFIRMATION RECEIPT OF ORDER
(DATE &amp; TIME)]]="","No Confirmation","Received Confirmation")</f>
        <v>Received Confirmation</v>
      </c>
      <c r="P210" s="6">
        <f ca="1">TODAY()-Table2[[#This Row],[DATE SENT TO POG]]</f>
        <v>346</v>
      </c>
      <c r="Q210" s="6" t="s">
        <v>5803</v>
      </c>
      <c r="R2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0" s="2" t="str">
        <f>_xlfn.XLOOKUP(Table2[[#This Row],[Adjusted Form '#]],'[2]IN PROGRESS'!$D:$D,'[2]IN PROGRESS'!$M:$M,"Not Found")</f>
        <v>Not Found</v>
      </c>
      <c r="U210" s="2" t="str">
        <f>_xlfn.XLOOKUP(Table2[[#This Row],[Adjusted Form '#]],[1]COMPLETED!$D:$D,[2]COMPLETED!$M:$M,"Not Found")</f>
        <v>Not Found</v>
      </c>
      <c r="V210" s="17" t="str">
        <f>_xlfn.XLOOKUP(Table2[[#This Row],[Adjusted Form '#]],[2]COMPLETED!$D:$D,[2]COMPLETED!$O:$O,"Not Found")</f>
        <v>Not Found</v>
      </c>
      <c r="W210" s="2" t="str">
        <f>_xlfn.XLOOKUP(Table2[[#This Row],[Adjusted Form '#]],[2]BILLED!$D:$D,[2]BILLED!$M:$M,"Not Found")</f>
        <v>1Z5063E0YW40967734</v>
      </c>
      <c r="X210" s="17" t="e">
        <f>_xlfn.XLOOKUP(Table2[[#This Row],[Adjusted Form '#]],[2]BILLED!$D:$D,[1]BILLED!$O:$O,"Not Found")</f>
        <v>#REF!</v>
      </c>
      <c r="Y210" s="17" t="e">
        <f>_xlfn.XLOOKUP(Table2[[#This Row],[Adjusted Form '#]],'[2]REJECTED ORDERS'!$D:$D,'[2]REJECTED ORDERS'!$E:$E)</f>
        <v>#N/A</v>
      </c>
      <c r="Z210" s="1"/>
      <c r="AA210" s="1"/>
      <c r="AB210" s="8"/>
      <c r="AC210" s="8"/>
      <c r="AD210" s="8"/>
      <c r="AE210" s="8"/>
      <c r="AF210" s="8"/>
      <c r="AG210" s="8"/>
      <c r="AH210" s="8"/>
      <c r="AI210" s="8"/>
      <c r="AJ210" s="8"/>
    </row>
    <row r="211" spans="1:36" ht="15" customHeight="1" x14ac:dyDescent="0.35">
      <c r="A211" s="4" t="s">
        <v>298</v>
      </c>
      <c r="B211" s="1" t="s">
        <v>1216</v>
      </c>
      <c r="C211" s="11">
        <v>44957</v>
      </c>
      <c r="D211" s="11" t="s">
        <v>4154</v>
      </c>
      <c r="E211" s="1" t="s">
        <v>21</v>
      </c>
      <c r="F211" s="1" t="s">
        <v>4168</v>
      </c>
      <c r="G211" s="6">
        <f>COUNTIF(F:F,Table2[[#This Row],[Form '#]])</f>
        <v>1</v>
      </c>
      <c r="H211" s="1" t="s">
        <v>2880</v>
      </c>
      <c r="I211" s="1" t="s">
        <v>28</v>
      </c>
      <c r="J211" s="1" t="s">
        <v>3891</v>
      </c>
      <c r="K211" s="1" t="s">
        <v>4011</v>
      </c>
      <c r="L211" s="1"/>
      <c r="M211" s="6" t="str">
        <f>IF(Table2[[#This Row],[Corrected Form '#
 (If Duplicated)]]="",Table2[[#This Row],[Form '#]],Table2[[#This Row],[Corrected Form '#
 (If Duplicated)]])</f>
        <v>7818-23646</v>
      </c>
      <c r="N211" s="1" t="s">
        <v>49</v>
      </c>
      <c r="O211" s="6" t="str">
        <f>IF(Table2[[#This Row],[POG CONFIRMATION RECEIPT OF ORDER
(DATE &amp; TIME)]]="","No Confirmation","Received Confirmation")</f>
        <v>Received Confirmation</v>
      </c>
      <c r="P211" s="6">
        <f ca="1">TODAY()-Table2[[#This Row],[DATE SENT TO POG]]</f>
        <v>346</v>
      </c>
      <c r="Q211" s="6" t="s">
        <v>5803</v>
      </c>
      <c r="R2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1" s="2" t="str">
        <f>_xlfn.XLOOKUP(Table2[[#This Row],[Adjusted Form '#]],'[2]IN PROGRESS'!$D:$D,'[2]IN PROGRESS'!$M:$M,"Not Found")</f>
        <v>Not Found</v>
      </c>
      <c r="U211" s="2" t="str">
        <f>_xlfn.XLOOKUP(Table2[[#This Row],[Adjusted Form '#]],[1]COMPLETED!$D:$D,[2]COMPLETED!$M:$M,"Not Found")</f>
        <v>Not Found</v>
      </c>
      <c r="V211" s="17" t="str">
        <f>_xlfn.XLOOKUP(Table2[[#This Row],[Adjusted Form '#]],[2]COMPLETED!$D:$D,[2]COMPLETED!$O:$O,"Not Found")</f>
        <v>Not Found</v>
      </c>
      <c r="W211" s="2" t="str">
        <f>_xlfn.XLOOKUP(Table2[[#This Row],[Adjusted Form '#]],[2]BILLED!$D:$D,[2]BILLED!$M:$M,"Not Found")</f>
        <v>1Z5063E0YW40753885</v>
      </c>
      <c r="X211" s="17" t="e">
        <f>_xlfn.XLOOKUP(Table2[[#This Row],[Adjusted Form '#]],[2]BILLED!$D:$D,[1]BILLED!$O:$O,"Not Found")</f>
        <v>#REF!</v>
      </c>
      <c r="Y211" s="17" t="e">
        <f>_xlfn.XLOOKUP(Table2[[#This Row],[Adjusted Form '#]],'[2]REJECTED ORDERS'!$D:$D,'[2]REJECTED ORDERS'!$E:$E)</f>
        <v>#N/A</v>
      </c>
      <c r="Z211" s="1"/>
      <c r="AA211" s="1"/>
      <c r="AB211" s="8"/>
      <c r="AC211" s="8"/>
      <c r="AD211" s="8"/>
      <c r="AE211" s="8"/>
      <c r="AF211" s="8"/>
      <c r="AG211" s="8"/>
      <c r="AH211" s="8"/>
      <c r="AI211" s="8"/>
      <c r="AJ211" s="8"/>
    </row>
    <row r="212" spans="1:36" ht="15" customHeight="1" x14ac:dyDescent="0.35">
      <c r="A212" s="4" t="s">
        <v>300</v>
      </c>
      <c r="B212" s="1" t="s">
        <v>1216</v>
      </c>
      <c r="C212" s="11">
        <v>44957</v>
      </c>
      <c r="D212" s="11" t="s">
        <v>4154</v>
      </c>
      <c r="E212" s="1" t="s">
        <v>21</v>
      </c>
      <c r="F212" s="1" t="s">
        <v>4169</v>
      </c>
      <c r="G212" s="6">
        <f>COUNTIF(F:F,Table2[[#This Row],[Form '#]])</f>
        <v>1</v>
      </c>
      <c r="H212" s="1" t="s">
        <v>2577</v>
      </c>
      <c r="I212" s="1" t="s">
        <v>127</v>
      </c>
      <c r="J212" s="1" t="s">
        <v>74</v>
      </c>
      <c r="K212" s="1" t="s">
        <v>4011</v>
      </c>
      <c r="L212" s="1"/>
      <c r="M212" s="6" t="str">
        <f>IF(Table2[[#This Row],[Corrected Form '#
 (If Duplicated)]]="",Table2[[#This Row],[Form '#]],Table2[[#This Row],[Corrected Form '#
 (If Duplicated)]])</f>
        <v>7818-25303</v>
      </c>
      <c r="N212" s="1" t="s">
        <v>49</v>
      </c>
      <c r="O212" s="6" t="str">
        <f>IF(Table2[[#This Row],[POG CONFIRMATION RECEIPT OF ORDER
(DATE &amp; TIME)]]="","No Confirmation","Received Confirmation")</f>
        <v>Received Confirmation</v>
      </c>
      <c r="P212" s="6">
        <f ca="1">TODAY()-Table2[[#This Row],[DATE SENT TO POG]]</f>
        <v>346</v>
      </c>
      <c r="Q212" s="6" t="s">
        <v>5803</v>
      </c>
      <c r="R2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2" s="2" t="str">
        <f>_xlfn.XLOOKUP(Table2[[#This Row],[Adjusted Form '#]],'[2]IN PROGRESS'!$D:$D,'[2]IN PROGRESS'!$M:$M,"Not Found")</f>
        <v>Not Found</v>
      </c>
      <c r="U212" s="2" t="str">
        <f>_xlfn.XLOOKUP(Table2[[#This Row],[Adjusted Form '#]],[1]COMPLETED!$D:$D,[2]COMPLETED!$M:$M,"Not Found")</f>
        <v>Not Found</v>
      </c>
      <c r="V212" s="17" t="str">
        <f>_xlfn.XLOOKUP(Table2[[#This Row],[Adjusted Form '#]],[2]COMPLETED!$D:$D,[2]COMPLETED!$O:$O,"Not Found")</f>
        <v>Not Found</v>
      </c>
      <c r="W212" s="2" t="str">
        <f>_xlfn.XLOOKUP(Table2[[#This Row],[Adjusted Form '#]],[2]BILLED!$D:$D,[2]BILLED!$M:$M,"Not Found")</f>
        <v>1Z5063E0YW42615888</v>
      </c>
      <c r="X212" s="17" t="e">
        <f>_xlfn.XLOOKUP(Table2[[#This Row],[Adjusted Form '#]],[2]BILLED!$D:$D,[1]BILLED!$O:$O,"Not Found")</f>
        <v>#REF!</v>
      </c>
      <c r="Y212" s="17" t="e">
        <f>_xlfn.XLOOKUP(Table2[[#This Row],[Adjusted Form '#]],'[2]REJECTED ORDERS'!$D:$D,'[2]REJECTED ORDERS'!$E:$E)</f>
        <v>#N/A</v>
      </c>
      <c r="Z212" s="1"/>
      <c r="AA212" s="1"/>
      <c r="AB212" s="8"/>
      <c r="AC212" s="8"/>
      <c r="AD212" s="8"/>
      <c r="AE212" s="8"/>
      <c r="AF212" s="8"/>
      <c r="AG212" s="8"/>
      <c r="AH212" s="8"/>
      <c r="AI212" s="8"/>
      <c r="AJ212" s="8"/>
    </row>
    <row r="213" spans="1:36" ht="15" customHeight="1" x14ac:dyDescent="0.35">
      <c r="A213" s="4" t="s">
        <v>302</v>
      </c>
      <c r="B213" s="1" t="s">
        <v>1216</v>
      </c>
      <c r="C213" s="11">
        <v>44957</v>
      </c>
      <c r="D213" s="11" t="s">
        <v>4154</v>
      </c>
      <c r="E213" s="1" t="s">
        <v>21</v>
      </c>
      <c r="F213" s="1" t="s">
        <v>4170</v>
      </c>
      <c r="G213" s="6">
        <f>COUNTIF(F:F,Table2[[#This Row],[Form '#]])</f>
        <v>1</v>
      </c>
      <c r="H213" s="1" t="s">
        <v>4171</v>
      </c>
      <c r="I213" s="1" t="s">
        <v>127</v>
      </c>
      <c r="J213" s="1" t="s">
        <v>76</v>
      </c>
      <c r="K213" s="1" t="s">
        <v>3883</v>
      </c>
      <c r="L213" s="1"/>
      <c r="M213" s="6" t="str">
        <f>IF(Table2[[#This Row],[Corrected Form '#
 (If Duplicated)]]="",Table2[[#This Row],[Form '#]],Table2[[#This Row],[Corrected Form '#
 (If Duplicated)]])</f>
        <v>7818-25122</v>
      </c>
      <c r="N213" s="1" t="s">
        <v>49</v>
      </c>
      <c r="O213" s="6" t="str">
        <f>IF(Table2[[#This Row],[POG CONFIRMATION RECEIPT OF ORDER
(DATE &amp; TIME)]]="","No Confirmation","Received Confirmation")</f>
        <v>Received Confirmation</v>
      </c>
      <c r="P213" s="6">
        <f ca="1">TODAY()-Table2[[#This Row],[DATE SENT TO POG]]</f>
        <v>346</v>
      </c>
      <c r="Q213" s="6" t="s">
        <v>5803</v>
      </c>
      <c r="R2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3" s="2" t="str">
        <f>_xlfn.XLOOKUP(Table2[[#This Row],[Adjusted Form '#]],'[2]IN PROGRESS'!$D:$D,'[2]IN PROGRESS'!$M:$M,"Not Found")</f>
        <v>Not Found</v>
      </c>
      <c r="U213" s="2" t="str">
        <f>_xlfn.XLOOKUP(Table2[[#This Row],[Adjusted Form '#]],[1]COMPLETED!$D:$D,[2]COMPLETED!$M:$M,"Not Found")</f>
        <v>Not Found</v>
      </c>
      <c r="V213" s="17" t="str">
        <f>_xlfn.XLOOKUP(Table2[[#This Row],[Adjusted Form '#]],[2]COMPLETED!$D:$D,[2]COMPLETED!$O:$O,"Not Found")</f>
        <v>Not Found</v>
      </c>
      <c r="W213" s="2" t="str">
        <f>_xlfn.XLOOKUP(Table2[[#This Row],[Adjusted Form '#]],[2]BILLED!$D:$D,[2]BILLED!$M:$M,"Not Found")</f>
        <v>1Z5063E0YW41599872</v>
      </c>
      <c r="X213" s="17" t="e">
        <f>_xlfn.XLOOKUP(Table2[[#This Row],[Adjusted Form '#]],[2]BILLED!$D:$D,[1]BILLED!$O:$O,"Not Found")</f>
        <v>#REF!</v>
      </c>
      <c r="Y213" s="17" t="e">
        <f>_xlfn.XLOOKUP(Table2[[#This Row],[Adjusted Form '#]],'[2]REJECTED ORDERS'!$D:$D,'[2]REJECTED ORDERS'!$E:$E)</f>
        <v>#N/A</v>
      </c>
      <c r="Z213" s="1"/>
      <c r="AA213" s="1"/>
      <c r="AB213" s="8"/>
      <c r="AC213" s="8"/>
      <c r="AD213" s="8"/>
      <c r="AE213" s="8"/>
      <c r="AF213" s="8"/>
      <c r="AG213" s="8"/>
      <c r="AH213" s="8"/>
      <c r="AI213" s="8"/>
      <c r="AJ213" s="8"/>
    </row>
    <row r="214" spans="1:36" ht="15" customHeight="1" x14ac:dyDescent="0.35">
      <c r="A214" s="4" t="s">
        <v>303</v>
      </c>
      <c r="B214" s="1" t="s">
        <v>1464</v>
      </c>
      <c r="C214" s="11">
        <v>44956</v>
      </c>
      <c r="D214" s="11" t="s">
        <v>4172</v>
      </c>
      <c r="E214" s="1" t="s">
        <v>73</v>
      </c>
      <c r="F214" s="1" t="s">
        <v>4173</v>
      </c>
      <c r="G214" s="6">
        <f>COUNTIF(F:F,Table2[[#This Row],[Form '#]])</f>
        <v>1</v>
      </c>
      <c r="H214" s="1" t="s">
        <v>4174</v>
      </c>
      <c r="I214" s="1" t="s">
        <v>127</v>
      </c>
      <c r="J214" s="1" t="s">
        <v>76</v>
      </c>
      <c r="K214" s="1" t="s">
        <v>3883</v>
      </c>
      <c r="L214" s="1"/>
      <c r="M214" s="6" t="str">
        <f>IF(Table2[[#This Row],[Corrected Form '#
 (If Duplicated)]]="",Table2[[#This Row],[Form '#]],Table2[[#This Row],[Corrected Form '#
 (If Duplicated)]])</f>
        <v>7823-02479</v>
      </c>
      <c r="N214" s="1" t="s">
        <v>49</v>
      </c>
      <c r="O214" s="6" t="str">
        <f>IF(Table2[[#This Row],[POG CONFIRMATION RECEIPT OF ORDER
(DATE &amp; TIME)]]="","No Confirmation","Received Confirmation")</f>
        <v>Received Confirmation</v>
      </c>
      <c r="P214" s="6">
        <f ca="1">TODAY()-Table2[[#This Row],[DATE SENT TO POG]]</f>
        <v>347</v>
      </c>
      <c r="Q214" s="6" t="s">
        <v>5803</v>
      </c>
      <c r="R2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4" s="2" t="str">
        <f>_xlfn.XLOOKUP(Table2[[#This Row],[Adjusted Form '#]],'[2]IN PROGRESS'!$D:$D,'[2]IN PROGRESS'!$M:$M,"Not Found")</f>
        <v>Not Found</v>
      </c>
      <c r="U214" s="2" t="str">
        <f>_xlfn.XLOOKUP(Table2[[#This Row],[Adjusted Form '#]],[1]COMPLETED!$D:$D,[2]COMPLETED!$M:$M,"Not Found")</f>
        <v>Not Found</v>
      </c>
      <c r="V214" s="17" t="str">
        <f>_xlfn.XLOOKUP(Table2[[#This Row],[Adjusted Form '#]],[2]COMPLETED!$D:$D,[2]COMPLETED!$O:$O,"Not Found")</f>
        <v>Not Found</v>
      </c>
      <c r="W214" s="2" t="str">
        <f>_xlfn.XLOOKUP(Table2[[#This Row],[Adjusted Form '#]],[2]BILLED!$D:$D,[2]BILLED!$M:$M,"Not Found")</f>
        <v>1Z5063E0YW40967743</v>
      </c>
      <c r="X214" s="17" t="e">
        <f>_xlfn.XLOOKUP(Table2[[#This Row],[Adjusted Form '#]],[2]BILLED!$D:$D,[1]BILLED!$O:$O,"Not Found")</f>
        <v>#REF!</v>
      </c>
      <c r="Y214" s="17" t="e">
        <f>_xlfn.XLOOKUP(Table2[[#This Row],[Adjusted Form '#]],'[2]REJECTED ORDERS'!$D:$D,'[2]REJECTED ORDERS'!$E:$E)</f>
        <v>#N/A</v>
      </c>
      <c r="Z214" s="1"/>
      <c r="AA214" s="1"/>
      <c r="AB214" s="8"/>
      <c r="AC214" s="8"/>
      <c r="AD214" s="8"/>
      <c r="AE214" s="8"/>
      <c r="AF214" s="8"/>
      <c r="AG214" s="8"/>
      <c r="AH214" s="8"/>
      <c r="AI214" s="8"/>
      <c r="AJ214" s="8"/>
    </row>
    <row r="215" spans="1:36" ht="15" customHeight="1" x14ac:dyDescent="0.35">
      <c r="A215" s="4" t="s">
        <v>304</v>
      </c>
      <c r="B215" s="1" t="s">
        <v>1811</v>
      </c>
      <c r="C215" s="11">
        <v>44957</v>
      </c>
      <c r="D215" s="11" t="s">
        <v>4175</v>
      </c>
      <c r="E215" s="1" t="s">
        <v>21</v>
      </c>
      <c r="F215" s="1" t="s">
        <v>4176</v>
      </c>
      <c r="G215" s="6">
        <f>COUNTIF(F:F,Table2[[#This Row],[Form '#]])</f>
        <v>1</v>
      </c>
      <c r="H215" s="1" t="s">
        <v>288</v>
      </c>
      <c r="I215" s="1" t="s">
        <v>3864</v>
      </c>
      <c r="J215" s="1" t="s">
        <v>78</v>
      </c>
      <c r="K215" s="1" t="s">
        <v>3879</v>
      </c>
      <c r="L215" s="1"/>
      <c r="M215" s="6" t="str">
        <f>IF(Table2[[#This Row],[Corrected Form '#
 (If Duplicated)]]="",Table2[[#This Row],[Form '#]],Table2[[#This Row],[Corrected Form '#
 (If Duplicated)]])</f>
        <v>7818-18098</v>
      </c>
      <c r="N215" s="1" t="s">
        <v>49</v>
      </c>
      <c r="O215" s="6" t="str">
        <f>IF(Table2[[#This Row],[POG CONFIRMATION RECEIPT OF ORDER
(DATE &amp; TIME)]]="","No Confirmation","Received Confirmation")</f>
        <v>Received Confirmation</v>
      </c>
      <c r="P215" s="6">
        <f ca="1">TODAY()-Table2[[#This Row],[DATE SENT TO POG]]</f>
        <v>346</v>
      </c>
      <c r="Q215" s="6" t="s">
        <v>5803</v>
      </c>
      <c r="R2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5" s="2" t="str">
        <f>_xlfn.XLOOKUP(Table2[[#This Row],[Adjusted Form '#]],'[2]IN PROGRESS'!$D:$D,'[2]IN PROGRESS'!$M:$M,"Not Found")</f>
        <v>Not Found</v>
      </c>
      <c r="U215" s="2" t="str">
        <f>_xlfn.XLOOKUP(Table2[[#This Row],[Adjusted Form '#]],[1]COMPLETED!$D:$D,[2]COMPLETED!$M:$M,"Not Found")</f>
        <v>Not Found</v>
      </c>
      <c r="V215" s="17" t="str">
        <f>_xlfn.XLOOKUP(Table2[[#This Row],[Adjusted Form '#]],[2]COMPLETED!$D:$D,[2]COMPLETED!$O:$O,"Not Found")</f>
        <v>Not Found</v>
      </c>
      <c r="W215" s="2" t="str">
        <f>_xlfn.XLOOKUP(Table2[[#This Row],[Adjusted Form '#]],[2]BILLED!$D:$D,[2]BILLED!$M:$M,"Not Found")</f>
        <v>1Z5063E0YW42901470</v>
      </c>
      <c r="X215" s="17" t="e">
        <f>_xlfn.XLOOKUP(Table2[[#This Row],[Adjusted Form '#]],[2]BILLED!$D:$D,[1]BILLED!$O:$O,"Not Found")</f>
        <v>#REF!</v>
      </c>
      <c r="Y215" s="17" t="e">
        <f>_xlfn.XLOOKUP(Table2[[#This Row],[Adjusted Form '#]],'[2]REJECTED ORDERS'!$D:$D,'[2]REJECTED ORDERS'!$E:$E)</f>
        <v>#N/A</v>
      </c>
      <c r="Z215" s="1"/>
      <c r="AA215" s="1"/>
      <c r="AB215" s="8"/>
      <c r="AC215" s="8"/>
      <c r="AD215" s="8"/>
      <c r="AE215" s="8"/>
      <c r="AF215" s="8"/>
      <c r="AG215" s="8"/>
      <c r="AH215" s="8"/>
      <c r="AI215" s="8"/>
      <c r="AJ215" s="8"/>
    </row>
    <row r="216" spans="1:36" ht="15" customHeight="1" x14ac:dyDescent="0.35">
      <c r="A216" s="4" t="s">
        <v>305</v>
      </c>
      <c r="B216" s="1" t="s">
        <v>2627</v>
      </c>
      <c r="C216" s="11">
        <v>44957</v>
      </c>
      <c r="D216" s="11" t="s">
        <v>4177</v>
      </c>
      <c r="E216" s="1" t="s">
        <v>21</v>
      </c>
      <c r="F216" s="1" t="s">
        <v>4178</v>
      </c>
      <c r="G216" s="6">
        <f>COUNTIF(F:F,Table2[[#This Row],[Form '#]])</f>
        <v>1</v>
      </c>
      <c r="H216" s="1" t="s">
        <v>4179</v>
      </c>
      <c r="I216" s="1" t="s">
        <v>3864</v>
      </c>
      <c r="J216" s="1" t="s">
        <v>78</v>
      </c>
      <c r="K216" s="1" t="s">
        <v>3879</v>
      </c>
      <c r="L216" s="1"/>
      <c r="M216" s="6" t="str">
        <f>IF(Table2[[#This Row],[Corrected Form '#
 (If Duplicated)]]="",Table2[[#This Row],[Form '#]],Table2[[#This Row],[Corrected Form '#
 (If Duplicated)]])</f>
        <v>7818-23484</v>
      </c>
      <c r="N216" s="1" t="s">
        <v>49</v>
      </c>
      <c r="O216" s="6" t="str">
        <f>IF(Table2[[#This Row],[POG CONFIRMATION RECEIPT OF ORDER
(DATE &amp; TIME)]]="","No Confirmation","Received Confirmation")</f>
        <v>Received Confirmation</v>
      </c>
      <c r="P216" s="6">
        <f ca="1">TODAY()-Table2[[#This Row],[DATE SENT TO POG]]</f>
        <v>346</v>
      </c>
      <c r="Q216" s="6" t="s">
        <v>5802</v>
      </c>
      <c r="R2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" s="2" t="str">
        <f>_xlfn.XLOOKUP(Table2[[#This Row],[Adjusted Form '#]],'[2]IN PROGRESS'!$D:$D,'[2]IN PROGRESS'!$M:$M,"Not Found")</f>
        <v>Not Found</v>
      </c>
      <c r="U216" s="2" t="str">
        <f>_xlfn.XLOOKUP(Table2[[#This Row],[Adjusted Form '#]],[1]COMPLETED!$D:$D,[2]COMPLETED!$M:$M,"Not Found")</f>
        <v>Not Found</v>
      </c>
      <c r="V216" s="17" t="str">
        <f>_xlfn.XLOOKUP(Table2[[#This Row],[Adjusted Form '#]],[2]COMPLETED!$D:$D,[2]COMPLETED!$O:$O,"Not Found")</f>
        <v>Not Found</v>
      </c>
      <c r="W216" s="2" t="str">
        <f>_xlfn.XLOOKUP(Table2[[#This Row],[Adjusted Form '#]],[2]BILLED!$D:$D,[2]BILLED!$M:$M,"Not Found")</f>
        <v>Not Found</v>
      </c>
      <c r="X216" s="17" t="str">
        <f>_xlfn.XLOOKUP(Table2[[#This Row],[Adjusted Form '#]],[2]BILLED!$D:$D,[1]BILLED!$O:$O,"Not Found")</f>
        <v>Not Found</v>
      </c>
      <c r="Y216" s="17" t="e">
        <f>_xlfn.XLOOKUP(Table2[[#This Row],[Adjusted Form '#]],'[2]REJECTED ORDERS'!$D:$D,'[2]REJECTED ORDERS'!$E:$E)</f>
        <v>#N/A</v>
      </c>
      <c r="Z216" s="1"/>
      <c r="AA216" s="1"/>
      <c r="AB216" s="8"/>
      <c r="AC216" s="8"/>
      <c r="AD216" s="8"/>
      <c r="AE216" s="8"/>
      <c r="AF216" s="8"/>
      <c r="AG216" s="8"/>
      <c r="AH216" s="8"/>
      <c r="AI216" s="8"/>
      <c r="AJ216" s="8"/>
    </row>
    <row r="217" spans="1:36" ht="15" customHeight="1" x14ac:dyDescent="0.35">
      <c r="A217" s="4" t="s">
        <v>306</v>
      </c>
      <c r="B217" s="1" t="s">
        <v>942</v>
      </c>
      <c r="C217" s="11">
        <v>44957</v>
      </c>
      <c r="D217" s="11" t="s">
        <v>4177</v>
      </c>
      <c r="E217" s="1" t="s">
        <v>21</v>
      </c>
      <c r="F217" s="1" t="s">
        <v>4180</v>
      </c>
      <c r="G217" s="6">
        <f>COUNTIF(F:F,Table2[[#This Row],[Form '#]])</f>
        <v>1</v>
      </c>
      <c r="H217" s="1" t="s">
        <v>2528</v>
      </c>
      <c r="I217" s="1" t="s">
        <v>3864</v>
      </c>
      <c r="J217" s="1" t="s">
        <v>78</v>
      </c>
      <c r="K217" s="1" t="s">
        <v>3879</v>
      </c>
      <c r="L217" s="1"/>
      <c r="M217" s="6" t="str">
        <f>IF(Table2[[#This Row],[Corrected Form '#
 (If Duplicated)]]="",Table2[[#This Row],[Form '#]],Table2[[#This Row],[Corrected Form '#
 (If Duplicated)]])</f>
        <v>7818-25984</v>
      </c>
      <c r="N217" s="1" t="s">
        <v>49</v>
      </c>
      <c r="O217" s="6" t="str">
        <f>IF(Table2[[#This Row],[POG CONFIRMATION RECEIPT OF ORDER
(DATE &amp; TIME)]]="","No Confirmation","Received Confirmation")</f>
        <v>Received Confirmation</v>
      </c>
      <c r="P217" s="6">
        <f ca="1">TODAY()-Table2[[#This Row],[DATE SENT TO POG]]</f>
        <v>346</v>
      </c>
      <c r="Q217" s="6" t="s">
        <v>5803</v>
      </c>
      <c r="R2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7" s="2" t="str">
        <f>_xlfn.XLOOKUP(Table2[[#This Row],[Adjusted Form '#]],'[2]IN PROGRESS'!$D:$D,'[2]IN PROGRESS'!$M:$M,"Not Found")</f>
        <v>Not Found</v>
      </c>
      <c r="U217" s="2" t="str">
        <f>_xlfn.XLOOKUP(Table2[[#This Row],[Adjusted Form '#]],[1]COMPLETED!$D:$D,[2]COMPLETED!$M:$M,"Not Found")</f>
        <v>Not Found</v>
      </c>
      <c r="V217" s="17" t="str">
        <f>_xlfn.XLOOKUP(Table2[[#This Row],[Adjusted Form '#]],[2]COMPLETED!$D:$D,[2]COMPLETED!$O:$O,"Not Found")</f>
        <v>Not Found</v>
      </c>
      <c r="W217" s="2" t="str">
        <f>_xlfn.XLOOKUP(Table2[[#This Row],[Adjusted Form '#]],[2]BILLED!$D:$D,[2]BILLED!$M:$M,"Not Found")</f>
        <v>1Z5063E0YW40058065</v>
      </c>
      <c r="X217" s="17" t="e">
        <f>_xlfn.XLOOKUP(Table2[[#This Row],[Adjusted Form '#]],[2]BILLED!$D:$D,[1]BILLED!$O:$O,"Not Found")</f>
        <v>#REF!</v>
      </c>
      <c r="Y217" s="17" t="e">
        <f>_xlfn.XLOOKUP(Table2[[#This Row],[Adjusted Form '#]],'[2]REJECTED ORDERS'!$D:$D,'[2]REJECTED ORDERS'!$E:$E)</f>
        <v>#N/A</v>
      </c>
      <c r="Z217" s="1"/>
      <c r="AA217" s="1"/>
      <c r="AB217" s="8"/>
      <c r="AC217" s="8"/>
      <c r="AD217" s="8"/>
      <c r="AE217" s="8"/>
      <c r="AF217" s="8"/>
      <c r="AG217" s="8"/>
      <c r="AH217" s="8"/>
      <c r="AI217" s="8"/>
      <c r="AJ217" s="8"/>
    </row>
    <row r="218" spans="1:36" ht="15" customHeight="1" x14ac:dyDescent="0.35">
      <c r="A218" s="4" t="s">
        <v>307</v>
      </c>
      <c r="B218" s="1" t="s">
        <v>888</v>
      </c>
      <c r="C218" s="11">
        <v>44958</v>
      </c>
      <c r="D218" s="11" t="s">
        <v>4181</v>
      </c>
      <c r="E218" s="1" t="s">
        <v>21</v>
      </c>
      <c r="F218" s="1" t="s">
        <v>4182</v>
      </c>
      <c r="G218" s="6">
        <f>COUNTIF(F:F,Table2[[#This Row],[Form '#]])</f>
        <v>1</v>
      </c>
      <c r="H218" s="1" t="s">
        <v>1940</v>
      </c>
      <c r="I218" s="1" t="s">
        <v>127</v>
      </c>
      <c r="J218" s="1" t="s">
        <v>76</v>
      </c>
      <c r="K218" s="1" t="s">
        <v>3919</v>
      </c>
      <c r="L218" s="1"/>
      <c r="M218" s="6" t="str">
        <f>IF(Table2[[#This Row],[Corrected Form '#
 (If Duplicated)]]="",Table2[[#This Row],[Form '#]],Table2[[#This Row],[Corrected Form '#
 (If Duplicated)]])</f>
        <v>7818-25555</v>
      </c>
      <c r="N218" s="1" t="s">
        <v>49</v>
      </c>
      <c r="O218" s="6" t="str">
        <f>IF(Table2[[#This Row],[POG CONFIRMATION RECEIPT OF ORDER
(DATE &amp; TIME)]]="","No Confirmation","Received Confirmation")</f>
        <v>Received Confirmation</v>
      </c>
      <c r="P218" s="6">
        <f ca="1">TODAY()-Table2[[#This Row],[DATE SENT TO POG]]</f>
        <v>345</v>
      </c>
      <c r="Q218" s="6" t="s">
        <v>5803</v>
      </c>
      <c r="R2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8" s="2" t="str">
        <f>_xlfn.XLOOKUP(Table2[[#This Row],[Adjusted Form '#]],'[2]IN PROGRESS'!$D:$D,'[2]IN PROGRESS'!$M:$M,"Not Found")</f>
        <v>Not Found</v>
      </c>
      <c r="U218" s="2" t="str">
        <f>_xlfn.XLOOKUP(Table2[[#This Row],[Adjusted Form '#]],[1]COMPLETED!$D:$D,[2]COMPLETED!$M:$M,"Not Found")</f>
        <v>Not Found</v>
      </c>
      <c r="V218" s="17" t="str">
        <f>_xlfn.XLOOKUP(Table2[[#This Row],[Adjusted Form '#]],[2]COMPLETED!$D:$D,[2]COMPLETED!$O:$O,"Not Found")</f>
        <v>Not Found</v>
      </c>
      <c r="W218" s="2" t="str">
        <f>_xlfn.XLOOKUP(Table2[[#This Row],[Adjusted Form '#]],[2]BILLED!$D:$D,[2]BILLED!$M:$M,"Not Found")</f>
        <v>1Z5063E0YW42310519</v>
      </c>
      <c r="X218" s="17" t="e">
        <f>_xlfn.XLOOKUP(Table2[[#This Row],[Adjusted Form '#]],[2]BILLED!$D:$D,[1]BILLED!$O:$O,"Not Found")</f>
        <v>#REF!</v>
      </c>
      <c r="Y218" s="17" t="str">
        <f>_xlfn.XLOOKUP(Table2[[#This Row],[Adjusted Form '#]],'[2]REJECTED ORDERS'!$D:$D,'[2]REJECTED ORDERS'!$E:$E)</f>
        <v>FORM NOT SIGNED</v>
      </c>
      <c r="Z218" s="1"/>
      <c r="AA218" s="1"/>
      <c r="AB218" s="8"/>
      <c r="AC218" s="8"/>
      <c r="AD218" s="8"/>
      <c r="AE218" s="8"/>
      <c r="AF218" s="8"/>
      <c r="AG218" s="8"/>
      <c r="AH218" s="8"/>
      <c r="AI218" s="8"/>
      <c r="AJ218" s="8"/>
    </row>
    <row r="219" spans="1:36" ht="15" customHeight="1" x14ac:dyDescent="0.35">
      <c r="A219" s="4" t="s">
        <v>309</v>
      </c>
      <c r="B219" s="1" t="s">
        <v>888</v>
      </c>
      <c r="C219" s="11">
        <v>44958</v>
      </c>
      <c r="D219" s="11" t="s">
        <v>4181</v>
      </c>
      <c r="E219" s="1" t="s">
        <v>21</v>
      </c>
      <c r="F219" s="1" t="s">
        <v>3775</v>
      </c>
      <c r="G219" s="6">
        <f>COUNTIF(F:F,Table2[[#This Row],[Form '#]])</f>
        <v>1</v>
      </c>
      <c r="H219" s="1" t="s">
        <v>1843</v>
      </c>
      <c r="I219" s="1" t="s">
        <v>28</v>
      </c>
      <c r="J219" s="1" t="s">
        <v>69</v>
      </c>
      <c r="K219" s="1" t="s">
        <v>4011</v>
      </c>
      <c r="L219" s="1"/>
      <c r="M219" s="6" t="str">
        <f>IF(Table2[[#This Row],[Corrected Form '#
 (If Duplicated)]]="",Table2[[#This Row],[Form '#]],Table2[[#This Row],[Corrected Form '#
 (If Duplicated)]])</f>
        <v>7818-23316</v>
      </c>
      <c r="N219" s="1" t="s">
        <v>49</v>
      </c>
      <c r="O219" s="6" t="str">
        <f>IF(Table2[[#This Row],[POG CONFIRMATION RECEIPT OF ORDER
(DATE &amp; TIME)]]="","No Confirmation","Received Confirmation")</f>
        <v>Received Confirmation</v>
      </c>
      <c r="P219" s="6">
        <f ca="1">TODAY()-Table2[[#This Row],[DATE SENT TO POG]]</f>
        <v>345</v>
      </c>
      <c r="Q219" s="6" t="s">
        <v>5803</v>
      </c>
      <c r="R2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9" s="2" t="str">
        <f>_xlfn.XLOOKUP(Table2[[#This Row],[Adjusted Form '#]],'[2]IN PROGRESS'!$D:$D,'[2]IN PROGRESS'!$M:$M,"Not Found")</f>
        <v>Not Found</v>
      </c>
      <c r="U219" s="2" t="str">
        <f>_xlfn.XLOOKUP(Table2[[#This Row],[Adjusted Form '#]],[1]COMPLETED!$D:$D,[2]COMPLETED!$M:$M,"Not Found")</f>
        <v>Not Found</v>
      </c>
      <c r="V219" s="17" t="str">
        <f>_xlfn.XLOOKUP(Table2[[#This Row],[Adjusted Form '#]],[2]COMPLETED!$D:$D,[2]COMPLETED!$O:$O,"Not Found")</f>
        <v>Not Found</v>
      </c>
      <c r="W219" s="2" t="str">
        <f>_xlfn.XLOOKUP(Table2[[#This Row],[Adjusted Form '#]],[2]BILLED!$D:$D,[2]BILLED!$M:$M,"Not Found")</f>
        <v>1Z5063E0YW41519029</v>
      </c>
      <c r="X219" s="17" t="e">
        <f>_xlfn.XLOOKUP(Table2[[#This Row],[Adjusted Form '#]],[2]BILLED!$D:$D,[1]BILLED!$O:$O,"Not Found")</f>
        <v>#REF!</v>
      </c>
      <c r="Y219" s="17" t="e">
        <f>_xlfn.XLOOKUP(Table2[[#This Row],[Adjusted Form '#]],'[2]REJECTED ORDERS'!$D:$D,'[2]REJECTED ORDERS'!$E:$E)</f>
        <v>#N/A</v>
      </c>
      <c r="Z219" s="1"/>
      <c r="AA219" s="1"/>
      <c r="AB219" s="8"/>
      <c r="AC219" s="8"/>
      <c r="AD219" s="8"/>
      <c r="AE219" s="8"/>
      <c r="AF219" s="8"/>
      <c r="AG219" s="8"/>
      <c r="AH219" s="8"/>
      <c r="AI219" s="8"/>
      <c r="AJ219" s="8"/>
    </row>
    <row r="220" spans="1:36" ht="15" customHeight="1" x14ac:dyDescent="0.35">
      <c r="A220" s="4" t="s">
        <v>310</v>
      </c>
      <c r="B220" s="1" t="s">
        <v>888</v>
      </c>
      <c r="C220" s="11">
        <v>44958</v>
      </c>
      <c r="D220" s="11" t="s">
        <v>4181</v>
      </c>
      <c r="E220" s="1" t="s">
        <v>21</v>
      </c>
      <c r="F220" s="1" t="s">
        <v>3837</v>
      </c>
      <c r="G220" s="6">
        <f>COUNTIF(F:F,Table2[[#This Row],[Form '#]])</f>
        <v>2</v>
      </c>
      <c r="H220" s="1" t="s">
        <v>3838</v>
      </c>
      <c r="I220" s="1" t="s">
        <v>28</v>
      </c>
      <c r="J220" s="1" t="s">
        <v>69</v>
      </c>
      <c r="K220" s="1" t="s">
        <v>3898</v>
      </c>
      <c r="L220" s="1"/>
      <c r="M220" s="6" t="str">
        <f>IF(Table2[[#This Row],[Corrected Form '#
 (If Duplicated)]]="",Table2[[#This Row],[Form '#]],Table2[[#This Row],[Corrected Form '#
 (If Duplicated)]])</f>
        <v>7818-24919</v>
      </c>
      <c r="N220" s="1" t="s">
        <v>49</v>
      </c>
      <c r="O220" s="6" t="str">
        <f>IF(Table2[[#This Row],[POG CONFIRMATION RECEIPT OF ORDER
(DATE &amp; TIME)]]="","No Confirmation","Received Confirmation")</f>
        <v>Received Confirmation</v>
      </c>
      <c r="P220" s="6">
        <f ca="1">TODAY()-Table2[[#This Row],[DATE SENT TO POG]]</f>
        <v>345</v>
      </c>
      <c r="Q220" s="6" t="s">
        <v>5803</v>
      </c>
      <c r="R2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0" s="2" t="str">
        <f>_xlfn.XLOOKUP(Table2[[#This Row],[Adjusted Form '#]],'[2]IN PROGRESS'!$D:$D,'[2]IN PROGRESS'!$M:$M,"Not Found")</f>
        <v>Not Found</v>
      </c>
      <c r="U220" s="2" t="str">
        <f>_xlfn.XLOOKUP(Table2[[#This Row],[Adjusted Form '#]],[1]COMPLETED!$D:$D,[2]COMPLETED!$M:$M,"Not Found")</f>
        <v>Not Found</v>
      </c>
      <c r="V220" s="17" t="str">
        <f>_xlfn.XLOOKUP(Table2[[#This Row],[Adjusted Form '#]],[2]COMPLETED!$D:$D,[2]COMPLETED!$O:$O,"Not Found")</f>
        <v>Not Found</v>
      </c>
      <c r="W220" s="2" t="str">
        <f>_xlfn.XLOOKUP(Table2[[#This Row],[Adjusted Form '#]],[2]BILLED!$D:$D,[2]BILLED!$M:$M,"Not Found")</f>
        <v>1Z5063E0YW41999592</v>
      </c>
      <c r="X220" s="17" t="e">
        <f>_xlfn.XLOOKUP(Table2[[#This Row],[Adjusted Form '#]],[2]BILLED!$D:$D,[1]BILLED!$O:$O,"Not Found")</f>
        <v>#REF!</v>
      </c>
      <c r="Y220" s="17" t="e">
        <f>_xlfn.XLOOKUP(Table2[[#This Row],[Adjusted Form '#]],'[2]REJECTED ORDERS'!$D:$D,'[2]REJECTED ORDERS'!$E:$E)</f>
        <v>#N/A</v>
      </c>
      <c r="Z220" s="1"/>
      <c r="AA220" s="1"/>
      <c r="AB220" s="8"/>
      <c r="AC220" s="8"/>
      <c r="AD220" s="8"/>
      <c r="AE220" s="8"/>
      <c r="AF220" s="8"/>
      <c r="AG220" s="8"/>
      <c r="AH220" s="8"/>
      <c r="AI220" s="8"/>
      <c r="AJ220" s="8"/>
    </row>
    <row r="221" spans="1:36" ht="15" customHeight="1" x14ac:dyDescent="0.35">
      <c r="A221" s="4" t="s">
        <v>311</v>
      </c>
      <c r="B221" s="1" t="s">
        <v>4183</v>
      </c>
      <c r="C221" s="11">
        <v>44958</v>
      </c>
      <c r="D221" s="11" t="s">
        <v>4181</v>
      </c>
      <c r="E221" s="1" t="s">
        <v>64</v>
      </c>
      <c r="F221" s="1" t="s">
        <v>4184</v>
      </c>
      <c r="G221" s="6">
        <f>COUNTIF(F:F,Table2[[#This Row],[Form '#]])</f>
        <v>1</v>
      </c>
      <c r="H221" s="1" t="s">
        <v>4185</v>
      </c>
      <c r="I221" s="1" t="s">
        <v>3852</v>
      </c>
      <c r="J221" s="1" t="s">
        <v>75</v>
      </c>
      <c r="K221" s="1" t="s">
        <v>3853</v>
      </c>
      <c r="L221" s="1"/>
      <c r="M221" s="6" t="str">
        <f>IF(Table2[[#This Row],[Corrected Form '#
 (If Duplicated)]]="",Table2[[#This Row],[Form '#]],Table2[[#This Row],[Corrected Form '#
 (If Duplicated)]])</f>
        <v>7824-00336</v>
      </c>
      <c r="N221" s="1" t="s">
        <v>49</v>
      </c>
      <c r="O221" s="6" t="str">
        <f>IF(Table2[[#This Row],[POG CONFIRMATION RECEIPT OF ORDER
(DATE &amp; TIME)]]="","No Confirmation","Received Confirmation")</f>
        <v>Received Confirmation</v>
      </c>
      <c r="P221" s="6">
        <f ca="1">TODAY()-Table2[[#This Row],[DATE SENT TO POG]]</f>
        <v>345</v>
      </c>
      <c r="Q221" s="6" t="s">
        <v>5803</v>
      </c>
      <c r="R2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1" s="2" t="str">
        <f>_xlfn.XLOOKUP(Table2[[#This Row],[Adjusted Form '#]],'[2]IN PROGRESS'!$D:$D,'[2]IN PROGRESS'!$M:$M,"Not Found")</f>
        <v>Not Found</v>
      </c>
      <c r="U221" s="2" t="str">
        <f>_xlfn.XLOOKUP(Table2[[#This Row],[Adjusted Form '#]],[1]COMPLETED!$D:$D,[2]COMPLETED!$M:$M,"Not Found")</f>
        <v>Not Found</v>
      </c>
      <c r="V221" s="17" t="str">
        <f>_xlfn.XLOOKUP(Table2[[#This Row],[Adjusted Form '#]],[2]COMPLETED!$D:$D,[2]COMPLETED!$O:$O,"Not Found")</f>
        <v>Not Found</v>
      </c>
      <c r="W221" s="2" t="str">
        <f>_xlfn.XLOOKUP(Table2[[#This Row],[Adjusted Form '#]],[2]BILLED!$D:$D,[2]BILLED!$M:$M,"Not Found")</f>
        <v>1Z5063E0YW41750153</v>
      </c>
      <c r="X221" s="17" t="e">
        <f>_xlfn.XLOOKUP(Table2[[#This Row],[Adjusted Form '#]],[2]BILLED!$D:$D,[1]BILLED!$O:$O,"Not Found")</f>
        <v>#REF!</v>
      </c>
      <c r="Y221" s="17" t="e">
        <f>_xlfn.XLOOKUP(Table2[[#This Row],[Adjusted Form '#]],'[2]REJECTED ORDERS'!$D:$D,'[2]REJECTED ORDERS'!$E:$E)</f>
        <v>#N/A</v>
      </c>
      <c r="Z221" s="1"/>
      <c r="AA221" s="1"/>
      <c r="AB221" s="8"/>
      <c r="AC221" s="8"/>
      <c r="AD221" s="8"/>
      <c r="AE221" s="8"/>
      <c r="AF221" s="8"/>
      <c r="AG221" s="8"/>
      <c r="AH221" s="8"/>
      <c r="AI221" s="8"/>
      <c r="AJ221" s="8"/>
    </row>
    <row r="222" spans="1:36" ht="15" customHeight="1" x14ac:dyDescent="0.35">
      <c r="A222" s="4" t="s">
        <v>312</v>
      </c>
      <c r="B222" s="1" t="s">
        <v>4183</v>
      </c>
      <c r="C222" s="11">
        <v>44958</v>
      </c>
      <c r="D222" s="11" t="s">
        <v>4181</v>
      </c>
      <c r="E222" s="1" t="s">
        <v>64</v>
      </c>
      <c r="F222" s="1" t="s">
        <v>4186</v>
      </c>
      <c r="G222" s="6">
        <f>COUNTIF(F:F,Table2[[#This Row],[Form '#]])</f>
        <v>1</v>
      </c>
      <c r="H222" s="1" t="s">
        <v>4187</v>
      </c>
      <c r="I222" s="1" t="s">
        <v>3852</v>
      </c>
      <c r="J222" s="1" t="s">
        <v>80</v>
      </c>
      <c r="K222" s="1" t="s">
        <v>3853</v>
      </c>
      <c r="L222" s="1"/>
      <c r="M222" s="6" t="str">
        <f>IF(Table2[[#This Row],[Corrected Form '#
 (If Duplicated)]]="",Table2[[#This Row],[Form '#]],Table2[[#This Row],[Corrected Form '#
 (If Duplicated)]])</f>
        <v>7824-00340</v>
      </c>
      <c r="N222" s="1" t="s">
        <v>49</v>
      </c>
      <c r="O222" s="6" t="str">
        <f>IF(Table2[[#This Row],[POG CONFIRMATION RECEIPT OF ORDER
(DATE &amp; TIME)]]="","No Confirmation","Received Confirmation")</f>
        <v>Received Confirmation</v>
      </c>
      <c r="P222" s="6">
        <f ca="1">TODAY()-Table2[[#This Row],[DATE SENT TO POG]]</f>
        <v>345</v>
      </c>
      <c r="Q222" s="6" t="s">
        <v>5803</v>
      </c>
      <c r="R2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2" s="2" t="str">
        <f>_xlfn.XLOOKUP(Table2[[#This Row],[Adjusted Form '#]],'[2]IN PROGRESS'!$D:$D,'[2]IN PROGRESS'!$M:$M,"Not Found")</f>
        <v>Not Found</v>
      </c>
      <c r="U222" s="2" t="str">
        <f>_xlfn.XLOOKUP(Table2[[#This Row],[Adjusted Form '#]],[1]COMPLETED!$D:$D,[2]COMPLETED!$M:$M,"Not Found")</f>
        <v>Not Found</v>
      </c>
      <c r="V222" s="17" t="str">
        <f>_xlfn.XLOOKUP(Table2[[#This Row],[Adjusted Form '#]],[2]COMPLETED!$D:$D,[2]COMPLETED!$O:$O,"Not Found")</f>
        <v>Not Found</v>
      </c>
      <c r="W222" s="2" t="str">
        <f>_xlfn.XLOOKUP(Table2[[#This Row],[Adjusted Form '#]],[2]BILLED!$D:$D,[2]BILLED!$M:$M,"Not Found")</f>
        <v>1Z5063E0YW42243011</v>
      </c>
      <c r="X222" s="17" t="e">
        <f>_xlfn.XLOOKUP(Table2[[#This Row],[Adjusted Form '#]],[2]BILLED!$D:$D,[1]BILLED!$O:$O,"Not Found")</f>
        <v>#REF!</v>
      </c>
      <c r="Y222" s="17" t="e">
        <f>_xlfn.XLOOKUP(Table2[[#This Row],[Adjusted Form '#]],'[2]REJECTED ORDERS'!$D:$D,'[2]REJECTED ORDERS'!$E:$E)</f>
        <v>#N/A</v>
      </c>
      <c r="Z222" s="1"/>
      <c r="AA222" s="1"/>
      <c r="AB222" s="8"/>
      <c r="AC222" s="8"/>
      <c r="AD222" s="8"/>
      <c r="AE222" s="8"/>
      <c r="AF222" s="8"/>
      <c r="AG222" s="8"/>
      <c r="AH222" s="8"/>
      <c r="AI222" s="8"/>
      <c r="AJ222" s="8"/>
    </row>
    <row r="223" spans="1:36" ht="15" customHeight="1" x14ac:dyDescent="0.35">
      <c r="A223" s="4" t="s">
        <v>314</v>
      </c>
      <c r="B223" s="1" t="s">
        <v>3510</v>
      </c>
      <c r="C223" s="11">
        <v>44958</v>
      </c>
      <c r="D223" s="11" t="s">
        <v>4181</v>
      </c>
      <c r="E223" s="1" t="s">
        <v>21</v>
      </c>
      <c r="F223" s="1" t="s">
        <v>4188</v>
      </c>
      <c r="G223" s="6">
        <f>COUNTIF(F:F,Table2[[#This Row],[Form '#]])</f>
        <v>1</v>
      </c>
      <c r="H223" s="1" t="s">
        <v>1562</v>
      </c>
      <c r="I223" s="1" t="s">
        <v>127</v>
      </c>
      <c r="J223" s="1" t="s">
        <v>76</v>
      </c>
      <c r="K223" s="1" t="s">
        <v>4011</v>
      </c>
      <c r="L223" s="1"/>
      <c r="M223" s="6" t="str">
        <f>IF(Table2[[#This Row],[Corrected Form '#
 (If Duplicated)]]="",Table2[[#This Row],[Form '#]],Table2[[#This Row],[Corrected Form '#
 (If Duplicated)]])</f>
        <v>7818-15454</v>
      </c>
      <c r="N223" s="1" t="s">
        <v>49</v>
      </c>
      <c r="O223" s="6" t="str">
        <f>IF(Table2[[#This Row],[POG CONFIRMATION RECEIPT OF ORDER
(DATE &amp; TIME)]]="","No Confirmation","Received Confirmation")</f>
        <v>Received Confirmation</v>
      </c>
      <c r="P223" s="6">
        <f ca="1">TODAY()-Table2[[#This Row],[DATE SENT TO POG]]</f>
        <v>345</v>
      </c>
      <c r="Q223" s="6" t="s">
        <v>5803</v>
      </c>
      <c r="R2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3" s="2" t="str">
        <f>_xlfn.XLOOKUP(Table2[[#This Row],[Adjusted Form '#]],'[2]IN PROGRESS'!$D:$D,'[2]IN PROGRESS'!$M:$M,"Not Found")</f>
        <v>Not Found</v>
      </c>
      <c r="U223" s="2" t="str">
        <f>_xlfn.XLOOKUP(Table2[[#This Row],[Adjusted Form '#]],[1]COMPLETED!$D:$D,[2]COMPLETED!$M:$M,"Not Found")</f>
        <v>Not Found</v>
      </c>
      <c r="V223" s="17" t="str">
        <f>_xlfn.XLOOKUP(Table2[[#This Row],[Adjusted Form '#]],[2]COMPLETED!$D:$D,[2]COMPLETED!$O:$O,"Not Found")</f>
        <v>Not Found</v>
      </c>
      <c r="W223" s="2" t="str">
        <f>_xlfn.XLOOKUP(Table2[[#This Row],[Adjusted Form '#]],[2]BILLED!$D:$D,[2]BILLED!$M:$M,"Not Found")</f>
        <v>1Z5063E0YW42145421</v>
      </c>
      <c r="X223" s="17" t="e">
        <f>_xlfn.XLOOKUP(Table2[[#This Row],[Adjusted Form '#]],[2]BILLED!$D:$D,[1]BILLED!$O:$O,"Not Found")</f>
        <v>#REF!</v>
      </c>
      <c r="Y223" s="17" t="e">
        <f>_xlfn.XLOOKUP(Table2[[#This Row],[Adjusted Form '#]],'[2]REJECTED ORDERS'!$D:$D,'[2]REJECTED ORDERS'!$E:$E)</f>
        <v>#N/A</v>
      </c>
      <c r="Z223" s="1"/>
      <c r="AA223" s="1"/>
      <c r="AB223" s="8"/>
      <c r="AC223" s="8"/>
      <c r="AD223" s="8"/>
      <c r="AE223" s="8"/>
      <c r="AF223" s="8"/>
      <c r="AG223" s="8"/>
      <c r="AH223" s="8"/>
      <c r="AI223" s="8"/>
      <c r="AJ223" s="8"/>
    </row>
    <row r="224" spans="1:36" ht="15" customHeight="1" x14ac:dyDescent="0.35">
      <c r="A224" s="4" t="s">
        <v>316</v>
      </c>
      <c r="B224" s="1" t="s">
        <v>1012</v>
      </c>
      <c r="C224" s="11">
        <v>44958</v>
      </c>
      <c r="D224" s="11" t="s">
        <v>4189</v>
      </c>
      <c r="E224" s="1" t="s">
        <v>21</v>
      </c>
      <c r="F224" s="1" t="s">
        <v>4190</v>
      </c>
      <c r="G224" s="6">
        <f>COUNTIF(F:F,Table2[[#This Row],[Form '#]])</f>
        <v>1</v>
      </c>
      <c r="H224" s="1" t="s">
        <v>4191</v>
      </c>
      <c r="I224" s="1" t="s">
        <v>3864</v>
      </c>
      <c r="J224" s="1" t="s">
        <v>78</v>
      </c>
      <c r="K224" s="1" t="s">
        <v>3879</v>
      </c>
      <c r="L224" s="1"/>
      <c r="M224" s="6" t="str">
        <f>IF(Table2[[#This Row],[Corrected Form '#
 (If Duplicated)]]="",Table2[[#This Row],[Form '#]],Table2[[#This Row],[Corrected Form '#
 (If Duplicated)]])</f>
        <v>7818-23408</v>
      </c>
      <c r="N224" s="1" t="s">
        <v>49</v>
      </c>
      <c r="O224" s="6" t="str">
        <f>IF(Table2[[#This Row],[POG CONFIRMATION RECEIPT OF ORDER
(DATE &amp; TIME)]]="","No Confirmation","Received Confirmation")</f>
        <v>Received Confirmation</v>
      </c>
      <c r="P224" s="6">
        <f ca="1">TODAY()-Table2[[#This Row],[DATE SENT TO POG]]</f>
        <v>345</v>
      </c>
      <c r="Q224" s="6" t="s">
        <v>5803</v>
      </c>
      <c r="R2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4" s="2" t="str">
        <f>_xlfn.XLOOKUP(Table2[[#This Row],[Adjusted Form '#]],'[2]IN PROGRESS'!$D:$D,'[2]IN PROGRESS'!$M:$M,"Not Found")</f>
        <v>Not Found</v>
      </c>
      <c r="U224" s="2" t="str">
        <f>_xlfn.XLOOKUP(Table2[[#This Row],[Adjusted Form '#]],[1]COMPLETED!$D:$D,[2]COMPLETED!$M:$M,"Not Found")</f>
        <v>Not Found</v>
      </c>
      <c r="V224" s="17" t="str">
        <f>_xlfn.XLOOKUP(Table2[[#This Row],[Adjusted Form '#]],[2]COMPLETED!$D:$D,[2]COMPLETED!$O:$O,"Not Found")</f>
        <v>Not Found</v>
      </c>
      <c r="W224" s="2" t="str">
        <f>_xlfn.XLOOKUP(Table2[[#This Row],[Adjusted Form '#]],[2]BILLED!$D:$D,[2]BILLED!$M:$M,"Not Found")</f>
        <v>1Z5063E0YW42035077</v>
      </c>
      <c r="X224" s="17" t="e">
        <f>_xlfn.XLOOKUP(Table2[[#This Row],[Adjusted Form '#]],[2]BILLED!$D:$D,[1]BILLED!$O:$O,"Not Found")</f>
        <v>#REF!</v>
      </c>
      <c r="Y224" s="17" t="e">
        <f>_xlfn.XLOOKUP(Table2[[#This Row],[Adjusted Form '#]],'[2]REJECTED ORDERS'!$D:$D,'[2]REJECTED ORDERS'!$E:$E)</f>
        <v>#N/A</v>
      </c>
      <c r="Z224" s="1"/>
      <c r="AA224" s="1"/>
      <c r="AB224" s="8"/>
      <c r="AC224" s="8"/>
      <c r="AD224" s="8"/>
      <c r="AE224" s="8"/>
      <c r="AF224" s="8"/>
      <c r="AG224" s="8"/>
      <c r="AH224" s="8"/>
      <c r="AI224" s="8"/>
      <c r="AJ224" s="8"/>
    </row>
    <row r="225" spans="1:36" ht="15" customHeight="1" x14ac:dyDescent="0.35">
      <c r="A225" s="4" t="s">
        <v>317</v>
      </c>
      <c r="B225" s="1" t="s">
        <v>374</v>
      </c>
      <c r="C225" s="11">
        <v>44959</v>
      </c>
      <c r="D225" s="11" t="s">
        <v>4192</v>
      </c>
      <c r="E225" s="1" t="s">
        <v>73</v>
      </c>
      <c r="F225" s="1" t="s">
        <v>4193</v>
      </c>
      <c r="G225" s="6">
        <f>COUNTIF(F:F,Table2[[#This Row],[Form '#]])</f>
        <v>1</v>
      </c>
      <c r="H225" s="1" t="s">
        <v>4194</v>
      </c>
      <c r="I225" s="1" t="s">
        <v>3891</v>
      </c>
      <c r="J225" s="1" t="s">
        <v>3891</v>
      </c>
      <c r="K225" s="1" t="s">
        <v>3891</v>
      </c>
      <c r="L225" s="1"/>
      <c r="M225" s="6" t="str">
        <f>IF(Table2[[#This Row],[Corrected Form '#
 (If Duplicated)]]="",Table2[[#This Row],[Form '#]],Table2[[#This Row],[Corrected Form '#
 (If Duplicated)]])</f>
        <v>7823-02149</v>
      </c>
      <c r="N225" s="1" t="s">
        <v>49</v>
      </c>
      <c r="O225" s="6" t="str">
        <f>IF(Table2[[#This Row],[POG CONFIRMATION RECEIPT OF ORDER
(DATE &amp; TIME)]]="","No Confirmation","Received Confirmation")</f>
        <v>Received Confirmation</v>
      </c>
      <c r="P225" s="6">
        <f ca="1">TODAY()-Table2[[#This Row],[DATE SENT TO POG]]</f>
        <v>344</v>
      </c>
      <c r="Q225" s="6" t="s">
        <v>5803</v>
      </c>
      <c r="R2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5" s="2" t="str">
        <f>_xlfn.XLOOKUP(Table2[[#This Row],[Adjusted Form '#]],'[2]IN PROGRESS'!$D:$D,'[2]IN PROGRESS'!$M:$M,"Not Found")</f>
        <v>Not Found</v>
      </c>
      <c r="U225" s="2" t="str">
        <f>_xlfn.XLOOKUP(Table2[[#This Row],[Adjusted Form '#]],[1]COMPLETED!$D:$D,[2]COMPLETED!$M:$M,"Not Found")</f>
        <v>Not Found</v>
      </c>
      <c r="V225" s="17" t="str">
        <f>_xlfn.XLOOKUP(Table2[[#This Row],[Adjusted Form '#]],[2]COMPLETED!$D:$D,[2]COMPLETED!$O:$O,"Not Found")</f>
        <v>Not Found</v>
      </c>
      <c r="W225" s="2" t="str">
        <f>_xlfn.XLOOKUP(Table2[[#This Row],[Adjusted Form '#]],[2]BILLED!$D:$D,[2]BILLED!$M:$M,"Not Found")</f>
        <v>1Z5063E0YW41066081</v>
      </c>
      <c r="X225" s="17" t="e">
        <f>_xlfn.XLOOKUP(Table2[[#This Row],[Adjusted Form '#]],[2]BILLED!$D:$D,[1]BILLED!$O:$O,"Not Found")</f>
        <v>#REF!</v>
      </c>
      <c r="Y225" s="17" t="e">
        <f>_xlfn.XLOOKUP(Table2[[#This Row],[Adjusted Form '#]],'[2]REJECTED ORDERS'!$D:$D,'[2]REJECTED ORDERS'!$E:$E)</f>
        <v>#N/A</v>
      </c>
      <c r="Z225" s="1"/>
      <c r="AA225" s="1"/>
      <c r="AB225" s="8"/>
      <c r="AC225" s="8"/>
      <c r="AD225" s="8"/>
      <c r="AE225" s="8"/>
      <c r="AF225" s="8"/>
      <c r="AG225" s="8"/>
      <c r="AH225" s="8"/>
      <c r="AI225" s="8"/>
      <c r="AJ225" s="8"/>
    </row>
    <row r="226" spans="1:36" ht="15" customHeight="1" x14ac:dyDescent="0.35">
      <c r="A226" s="4" t="s">
        <v>318</v>
      </c>
      <c r="B226" s="1" t="s">
        <v>2291</v>
      </c>
      <c r="C226" s="11">
        <v>44959</v>
      </c>
      <c r="D226" s="11" t="s">
        <v>4192</v>
      </c>
      <c r="E226" s="1" t="s">
        <v>191</v>
      </c>
      <c r="F226" s="1" t="s">
        <v>4195</v>
      </c>
      <c r="G226" s="6">
        <f>COUNTIF(F:F,Table2[[#This Row],[Form '#]])</f>
        <v>1</v>
      </c>
      <c r="H226" s="1" t="s">
        <v>4196</v>
      </c>
      <c r="I226" s="1" t="s">
        <v>3852</v>
      </c>
      <c r="J226" s="1" t="s">
        <v>80</v>
      </c>
      <c r="K226" s="1" t="s">
        <v>3853</v>
      </c>
      <c r="L226" s="1"/>
      <c r="M226" s="6" t="str">
        <f>IF(Table2[[#This Row],[Corrected Form '#
 (If Duplicated)]]="",Table2[[#This Row],[Form '#]],Table2[[#This Row],[Corrected Form '#
 (If Duplicated)]])</f>
        <v>7812-03399</v>
      </c>
      <c r="N226" s="1" t="s">
        <v>49</v>
      </c>
      <c r="O226" s="6" t="str">
        <f>IF(Table2[[#This Row],[POG CONFIRMATION RECEIPT OF ORDER
(DATE &amp; TIME)]]="","No Confirmation","Received Confirmation")</f>
        <v>Received Confirmation</v>
      </c>
      <c r="P226" s="6">
        <f ca="1">TODAY()-Table2[[#This Row],[DATE SENT TO POG]]</f>
        <v>344</v>
      </c>
      <c r="Q226" s="6" t="s">
        <v>5803</v>
      </c>
      <c r="R2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6" s="2" t="str">
        <f>_xlfn.XLOOKUP(Table2[[#This Row],[Adjusted Form '#]],'[2]IN PROGRESS'!$D:$D,'[2]IN PROGRESS'!$M:$M,"Not Found")</f>
        <v>Not Found</v>
      </c>
      <c r="U226" s="2" t="str">
        <f>_xlfn.XLOOKUP(Table2[[#This Row],[Adjusted Form '#]],[1]COMPLETED!$D:$D,[2]COMPLETED!$M:$M,"Not Found")</f>
        <v>Not Found</v>
      </c>
      <c r="V226" s="17" t="str">
        <f>_xlfn.XLOOKUP(Table2[[#This Row],[Adjusted Form '#]],[2]COMPLETED!$D:$D,[2]COMPLETED!$O:$O,"Not Found")</f>
        <v>Not Found</v>
      </c>
      <c r="W226" s="2" t="str">
        <f>_xlfn.XLOOKUP(Table2[[#This Row],[Adjusted Form '#]],[2]BILLED!$D:$D,[2]BILLED!$M:$M,"Not Found")</f>
        <v>1Z5063E0YW42038770</v>
      </c>
      <c r="X226" s="17" t="e">
        <f>_xlfn.XLOOKUP(Table2[[#This Row],[Adjusted Form '#]],[2]BILLED!$D:$D,[1]BILLED!$O:$O,"Not Found")</f>
        <v>#REF!</v>
      </c>
      <c r="Y226" s="17" t="e">
        <f>_xlfn.XLOOKUP(Table2[[#This Row],[Adjusted Form '#]],'[2]REJECTED ORDERS'!$D:$D,'[2]REJECTED ORDERS'!$E:$E)</f>
        <v>#N/A</v>
      </c>
      <c r="Z226" s="1"/>
      <c r="AA226" s="1"/>
      <c r="AB226" s="8"/>
      <c r="AC226" s="8"/>
      <c r="AD226" s="8"/>
      <c r="AE226" s="8"/>
      <c r="AF226" s="8"/>
      <c r="AG226" s="8"/>
      <c r="AH226" s="8"/>
      <c r="AI226" s="8"/>
      <c r="AJ226" s="8"/>
    </row>
    <row r="227" spans="1:36" ht="15" customHeight="1" x14ac:dyDescent="0.35">
      <c r="A227" s="4" t="s">
        <v>319</v>
      </c>
      <c r="B227" s="1" t="s">
        <v>2291</v>
      </c>
      <c r="C227" s="11">
        <v>44959</v>
      </c>
      <c r="D227" s="11" t="s">
        <v>4192</v>
      </c>
      <c r="E227" s="1" t="s">
        <v>191</v>
      </c>
      <c r="F227" s="1" t="s">
        <v>4197</v>
      </c>
      <c r="G227" s="6">
        <f>COUNTIF(F:F,Table2[[#This Row],[Form '#]])</f>
        <v>1</v>
      </c>
      <c r="H227" s="1" t="s">
        <v>3270</v>
      </c>
      <c r="I227" s="1" t="s">
        <v>127</v>
      </c>
      <c r="J227" s="1" t="s">
        <v>76</v>
      </c>
      <c r="K227" s="1" t="s">
        <v>4011</v>
      </c>
      <c r="L227" s="1"/>
      <c r="M227" s="6" t="str">
        <f>IF(Table2[[#This Row],[Corrected Form '#
 (If Duplicated)]]="",Table2[[#This Row],[Form '#]],Table2[[#This Row],[Corrected Form '#
 (If Duplicated)]])</f>
        <v>7812-02072</v>
      </c>
      <c r="N227" s="1" t="s">
        <v>49</v>
      </c>
      <c r="O227" s="6" t="str">
        <f>IF(Table2[[#This Row],[POG CONFIRMATION RECEIPT OF ORDER
(DATE &amp; TIME)]]="","No Confirmation","Received Confirmation")</f>
        <v>Received Confirmation</v>
      </c>
      <c r="P227" s="6">
        <f ca="1">TODAY()-Table2[[#This Row],[DATE SENT TO POG]]</f>
        <v>344</v>
      </c>
      <c r="Q227" s="6" t="s">
        <v>5803</v>
      </c>
      <c r="R2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7" s="2" t="str">
        <f>_xlfn.XLOOKUP(Table2[[#This Row],[Adjusted Form '#]],'[2]IN PROGRESS'!$D:$D,'[2]IN PROGRESS'!$M:$M,"Not Found")</f>
        <v>Not Found</v>
      </c>
      <c r="U227" s="2" t="str">
        <f>_xlfn.XLOOKUP(Table2[[#This Row],[Adjusted Form '#]],[1]COMPLETED!$D:$D,[2]COMPLETED!$M:$M,"Not Found")</f>
        <v>Not Found</v>
      </c>
      <c r="V227" s="17" t="str">
        <f>_xlfn.XLOOKUP(Table2[[#This Row],[Adjusted Form '#]],[2]COMPLETED!$D:$D,[2]COMPLETED!$O:$O,"Not Found")</f>
        <v>Not Found</v>
      </c>
      <c r="W227" s="2" t="str">
        <f>_xlfn.XLOOKUP(Table2[[#This Row],[Adjusted Form '#]],[2]BILLED!$D:$D,[2]BILLED!$M:$M,"Not Found")</f>
        <v>1Z5063E0YW41762417</v>
      </c>
      <c r="X227" s="17" t="e">
        <f>_xlfn.XLOOKUP(Table2[[#This Row],[Adjusted Form '#]],[2]BILLED!$D:$D,[1]BILLED!$O:$O,"Not Found")</f>
        <v>#REF!</v>
      </c>
      <c r="Y227" s="17" t="e">
        <f>_xlfn.XLOOKUP(Table2[[#This Row],[Adjusted Form '#]],'[2]REJECTED ORDERS'!$D:$D,'[2]REJECTED ORDERS'!$E:$E)</f>
        <v>#N/A</v>
      </c>
      <c r="Z227" s="1"/>
      <c r="AA227" s="1"/>
      <c r="AB227" s="8"/>
      <c r="AC227" s="8"/>
      <c r="AD227" s="8"/>
      <c r="AE227" s="8"/>
      <c r="AF227" s="8"/>
      <c r="AG227" s="8"/>
      <c r="AH227" s="8"/>
      <c r="AI227" s="8"/>
      <c r="AJ227" s="8"/>
    </row>
    <row r="228" spans="1:36" ht="15" customHeight="1" x14ac:dyDescent="0.35">
      <c r="A228" s="4" t="s">
        <v>321</v>
      </c>
      <c r="B228" s="1" t="s">
        <v>2291</v>
      </c>
      <c r="C228" s="11">
        <v>44959</v>
      </c>
      <c r="D228" s="11" t="s">
        <v>4192</v>
      </c>
      <c r="E228" s="1" t="s">
        <v>191</v>
      </c>
      <c r="F228" s="1" t="s">
        <v>4198</v>
      </c>
      <c r="G228" s="6">
        <f>COUNTIF(F:F,Table2[[#This Row],[Form '#]])</f>
        <v>1</v>
      </c>
      <c r="H228" s="1" t="s">
        <v>1630</v>
      </c>
      <c r="I228" s="1" t="s">
        <v>177</v>
      </c>
      <c r="J228" s="1" t="s">
        <v>75</v>
      </c>
      <c r="K228" s="1" t="s">
        <v>4011</v>
      </c>
      <c r="L228" s="1"/>
      <c r="M228" s="6" t="str">
        <f>IF(Table2[[#This Row],[Corrected Form '#
 (If Duplicated)]]="",Table2[[#This Row],[Form '#]],Table2[[#This Row],[Corrected Form '#
 (If Duplicated)]])</f>
        <v>7812-03344</v>
      </c>
      <c r="N228" s="1" t="s">
        <v>49</v>
      </c>
      <c r="O228" s="6" t="str">
        <f>IF(Table2[[#This Row],[POG CONFIRMATION RECEIPT OF ORDER
(DATE &amp; TIME)]]="","No Confirmation","Received Confirmation")</f>
        <v>Received Confirmation</v>
      </c>
      <c r="P228" s="6">
        <f ca="1">TODAY()-Table2[[#This Row],[DATE SENT TO POG]]</f>
        <v>344</v>
      </c>
      <c r="Q228" s="6" t="s">
        <v>5803</v>
      </c>
      <c r="R2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8" s="2" t="str">
        <f>_xlfn.XLOOKUP(Table2[[#This Row],[Adjusted Form '#]],'[2]IN PROGRESS'!$D:$D,'[2]IN PROGRESS'!$M:$M,"Not Found")</f>
        <v>Not Found</v>
      </c>
      <c r="U228" s="2" t="str">
        <f>_xlfn.XLOOKUP(Table2[[#This Row],[Adjusted Form '#]],[1]COMPLETED!$D:$D,[2]COMPLETED!$M:$M,"Not Found")</f>
        <v>Not Found</v>
      </c>
      <c r="V228" s="17" t="str">
        <f>_xlfn.XLOOKUP(Table2[[#This Row],[Adjusted Form '#]],[2]COMPLETED!$D:$D,[2]COMPLETED!$O:$O,"Not Found")</f>
        <v>Not Found</v>
      </c>
      <c r="W228" s="2" t="str">
        <f>_xlfn.XLOOKUP(Table2[[#This Row],[Adjusted Form '#]],[2]BILLED!$D:$D,[2]BILLED!$M:$M,"Not Found")</f>
        <v>1Z5063E0YW42173123</v>
      </c>
      <c r="X228" s="17" t="e">
        <f>_xlfn.XLOOKUP(Table2[[#This Row],[Adjusted Form '#]],[2]BILLED!$D:$D,[1]BILLED!$O:$O,"Not Found")</f>
        <v>#REF!</v>
      </c>
      <c r="Y228" s="17" t="e">
        <f>_xlfn.XLOOKUP(Table2[[#This Row],[Adjusted Form '#]],'[2]REJECTED ORDERS'!$D:$D,'[2]REJECTED ORDERS'!$E:$E)</f>
        <v>#N/A</v>
      </c>
      <c r="Z228" s="1"/>
      <c r="AA228" s="1"/>
      <c r="AB228" s="8"/>
      <c r="AC228" s="8"/>
      <c r="AD228" s="8"/>
      <c r="AE228" s="8"/>
      <c r="AF228" s="8"/>
      <c r="AG228" s="8"/>
      <c r="AH228" s="8"/>
      <c r="AI228" s="8"/>
      <c r="AJ228" s="8"/>
    </row>
    <row r="229" spans="1:36" ht="15" customHeight="1" x14ac:dyDescent="0.35">
      <c r="A229" s="4" t="s">
        <v>322</v>
      </c>
      <c r="B229" s="1" t="s">
        <v>2291</v>
      </c>
      <c r="C229" s="11">
        <v>44959</v>
      </c>
      <c r="D229" s="11" t="s">
        <v>4192</v>
      </c>
      <c r="E229" s="1" t="s">
        <v>191</v>
      </c>
      <c r="F229" s="1" t="s">
        <v>4199</v>
      </c>
      <c r="G229" s="6">
        <f>COUNTIF(F:F,Table2[[#This Row],[Form '#]])</f>
        <v>1</v>
      </c>
      <c r="H229" s="1" t="s">
        <v>2750</v>
      </c>
      <c r="I229" s="1" t="s">
        <v>127</v>
      </c>
      <c r="J229" s="1" t="s">
        <v>76</v>
      </c>
      <c r="K229" s="1" t="s">
        <v>4011</v>
      </c>
      <c r="L229" s="1"/>
      <c r="M229" s="6" t="str">
        <f>IF(Table2[[#This Row],[Corrected Form '#
 (If Duplicated)]]="",Table2[[#This Row],[Form '#]],Table2[[#This Row],[Corrected Form '#
 (If Duplicated)]])</f>
        <v>7812-03345</v>
      </c>
      <c r="N229" s="1" t="s">
        <v>49</v>
      </c>
      <c r="O229" s="6" t="str">
        <f>IF(Table2[[#This Row],[POG CONFIRMATION RECEIPT OF ORDER
(DATE &amp; TIME)]]="","No Confirmation","Received Confirmation")</f>
        <v>Received Confirmation</v>
      </c>
      <c r="P229" s="6">
        <f ca="1">TODAY()-Table2[[#This Row],[DATE SENT TO POG]]</f>
        <v>344</v>
      </c>
      <c r="Q229" s="6" t="s">
        <v>5803</v>
      </c>
      <c r="R2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9" s="2" t="str">
        <f>_xlfn.XLOOKUP(Table2[[#This Row],[Adjusted Form '#]],'[2]IN PROGRESS'!$D:$D,'[2]IN PROGRESS'!$M:$M,"Not Found")</f>
        <v>Not Found</v>
      </c>
      <c r="U229" s="2" t="str">
        <f>_xlfn.XLOOKUP(Table2[[#This Row],[Adjusted Form '#]],[1]COMPLETED!$D:$D,[2]COMPLETED!$M:$M,"Not Found")</f>
        <v>Not Found</v>
      </c>
      <c r="V229" s="17" t="str">
        <f>_xlfn.XLOOKUP(Table2[[#This Row],[Adjusted Form '#]],[2]COMPLETED!$D:$D,[2]COMPLETED!$O:$O,"Not Found")</f>
        <v>Not Found</v>
      </c>
      <c r="W229" s="2" t="str">
        <f>_xlfn.XLOOKUP(Table2[[#This Row],[Adjusted Form '#]],[2]BILLED!$D:$D,[2]BILLED!$M:$M,"Not Found")</f>
        <v>1Z5063E0YW42608707</v>
      </c>
      <c r="X229" s="17" t="e">
        <f>_xlfn.XLOOKUP(Table2[[#This Row],[Adjusted Form '#]],[2]BILLED!$D:$D,[1]BILLED!$O:$O,"Not Found")</f>
        <v>#REF!</v>
      </c>
      <c r="Y229" s="17" t="e">
        <f>_xlfn.XLOOKUP(Table2[[#This Row],[Adjusted Form '#]],'[2]REJECTED ORDERS'!$D:$D,'[2]REJECTED ORDERS'!$E:$E)</f>
        <v>#N/A</v>
      </c>
      <c r="Z229" s="1"/>
      <c r="AA229" s="1"/>
      <c r="AB229" s="8"/>
      <c r="AC229" s="8"/>
      <c r="AD229" s="8"/>
      <c r="AE229" s="8"/>
      <c r="AF229" s="8"/>
      <c r="AG229" s="8"/>
      <c r="AH229" s="8"/>
      <c r="AI229" s="8"/>
      <c r="AJ229" s="8"/>
    </row>
    <row r="230" spans="1:36" ht="15" customHeight="1" x14ac:dyDescent="0.35">
      <c r="A230" s="4" t="s">
        <v>323</v>
      </c>
      <c r="B230" s="1" t="s">
        <v>2291</v>
      </c>
      <c r="C230" s="11">
        <v>44959</v>
      </c>
      <c r="D230" s="11" t="s">
        <v>4192</v>
      </c>
      <c r="E230" s="1" t="s">
        <v>191</v>
      </c>
      <c r="F230" s="1" t="s">
        <v>4200</v>
      </c>
      <c r="G230" s="6">
        <f>COUNTIF(F:F,Table2[[#This Row],[Form '#]])</f>
        <v>1</v>
      </c>
      <c r="H230" s="1" t="s">
        <v>3585</v>
      </c>
      <c r="I230" s="1" t="s">
        <v>3864</v>
      </c>
      <c r="J230" s="1" t="s">
        <v>78</v>
      </c>
      <c r="K230" s="1" t="s">
        <v>3879</v>
      </c>
      <c r="L230" s="1"/>
      <c r="M230" s="6" t="str">
        <f>IF(Table2[[#This Row],[Corrected Form '#
 (If Duplicated)]]="",Table2[[#This Row],[Form '#]],Table2[[#This Row],[Corrected Form '#
 (If Duplicated)]])</f>
        <v>7812-03394</v>
      </c>
      <c r="N230" s="1" t="s">
        <v>49</v>
      </c>
      <c r="O230" s="6" t="str">
        <f>IF(Table2[[#This Row],[POG CONFIRMATION RECEIPT OF ORDER
(DATE &amp; TIME)]]="","No Confirmation","Received Confirmation")</f>
        <v>Received Confirmation</v>
      </c>
      <c r="P230" s="6">
        <f ca="1">TODAY()-Table2[[#This Row],[DATE SENT TO POG]]</f>
        <v>344</v>
      </c>
      <c r="Q230" s="6" t="s">
        <v>5803</v>
      </c>
      <c r="R2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0" s="2" t="str">
        <f>_xlfn.XLOOKUP(Table2[[#This Row],[Adjusted Form '#]],'[2]IN PROGRESS'!$D:$D,'[2]IN PROGRESS'!$M:$M,"Not Found")</f>
        <v>Not Found</v>
      </c>
      <c r="U230" s="2" t="str">
        <f>_xlfn.XLOOKUP(Table2[[#This Row],[Adjusted Form '#]],[1]COMPLETED!$D:$D,[2]COMPLETED!$M:$M,"Not Found")</f>
        <v>Not Found</v>
      </c>
      <c r="V230" s="17" t="str">
        <f>_xlfn.XLOOKUP(Table2[[#This Row],[Adjusted Form '#]],[2]COMPLETED!$D:$D,[2]COMPLETED!$O:$O,"Not Found")</f>
        <v>Not Found</v>
      </c>
      <c r="W230" s="2" t="str">
        <f>_xlfn.XLOOKUP(Table2[[#This Row],[Adjusted Form '#]],[2]BILLED!$D:$D,[2]BILLED!$M:$M,"Not Found")</f>
        <v>1Z5063E0YW41799334</v>
      </c>
      <c r="X230" s="17" t="e">
        <f>_xlfn.XLOOKUP(Table2[[#This Row],[Adjusted Form '#]],[2]BILLED!$D:$D,[1]BILLED!$O:$O,"Not Found")</f>
        <v>#REF!</v>
      </c>
      <c r="Y230" s="17" t="e">
        <f>_xlfn.XLOOKUP(Table2[[#This Row],[Adjusted Form '#]],'[2]REJECTED ORDERS'!$D:$D,'[2]REJECTED ORDERS'!$E:$E)</f>
        <v>#N/A</v>
      </c>
      <c r="Z230" s="1"/>
      <c r="AA230" s="1"/>
      <c r="AB230" s="8"/>
      <c r="AC230" s="8"/>
      <c r="AD230" s="8"/>
      <c r="AE230" s="8"/>
      <c r="AF230" s="8"/>
      <c r="AG230" s="8"/>
      <c r="AH230" s="8"/>
      <c r="AI230" s="8"/>
      <c r="AJ230" s="8"/>
    </row>
    <row r="231" spans="1:36" ht="15" customHeight="1" x14ac:dyDescent="0.35">
      <c r="A231" s="4" t="s">
        <v>324</v>
      </c>
      <c r="B231" s="1" t="s">
        <v>2291</v>
      </c>
      <c r="C231" s="11">
        <v>44959</v>
      </c>
      <c r="D231" s="11" t="s">
        <v>4192</v>
      </c>
      <c r="E231" s="1" t="s">
        <v>191</v>
      </c>
      <c r="F231" s="1" t="s">
        <v>4201</v>
      </c>
      <c r="G231" s="6">
        <f>COUNTIF(F:F,Table2[[#This Row],[Form '#]])</f>
        <v>1</v>
      </c>
      <c r="H231" s="1" t="s">
        <v>1593</v>
      </c>
      <c r="I231" s="1" t="s">
        <v>758</v>
      </c>
      <c r="J231" s="1" t="s">
        <v>3891</v>
      </c>
      <c r="K231" s="1" t="s">
        <v>3853</v>
      </c>
      <c r="L231" s="1"/>
      <c r="M231" s="6" t="str">
        <f>IF(Table2[[#This Row],[Corrected Form '#
 (If Duplicated)]]="",Table2[[#This Row],[Form '#]],Table2[[#This Row],[Corrected Form '#
 (If Duplicated)]])</f>
        <v>7812-02529</v>
      </c>
      <c r="N231" s="1" t="s">
        <v>49</v>
      </c>
      <c r="O231" s="6" t="str">
        <f>IF(Table2[[#This Row],[POG CONFIRMATION RECEIPT OF ORDER
(DATE &amp; TIME)]]="","No Confirmation","Received Confirmation")</f>
        <v>Received Confirmation</v>
      </c>
      <c r="P231" s="6">
        <f ca="1">TODAY()-Table2[[#This Row],[DATE SENT TO POG]]</f>
        <v>344</v>
      </c>
      <c r="Q231" s="6" t="s">
        <v>5803</v>
      </c>
      <c r="R2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1" s="2" t="str">
        <f>_xlfn.XLOOKUP(Table2[[#This Row],[Adjusted Form '#]],'[2]IN PROGRESS'!$D:$D,'[2]IN PROGRESS'!$M:$M,"Not Found")</f>
        <v>Not Found</v>
      </c>
      <c r="U231" s="2" t="str">
        <f>_xlfn.XLOOKUP(Table2[[#This Row],[Adjusted Form '#]],[1]COMPLETED!$D:$D,[2]COMPLETED!$M:$M,"Not Found")</f>
        <v>Not Found</v>
      </c>
      <c r="V231" s="17" t="str">
        <f>_xlfn.XLOOKUP(Table2[[#This Row],[Adjusted Form '#]],[2]COMPLETED!$D:$D,[2]COMPLETED!$O:$O,"Not Found")</f>
        <v>Not Found</v>
      </c>
      <c r="W231" s="2" t="str">
        <f>_xlfn.XLOOKUP(Table2[[#This Row],[Adjusted Form '#]],[2]BILLED!$D:$D,[2]BILLED!$M:$M,"Not Found")</f>
        <v>1Z5063E0YW40743654</v>
      </c>
      <c r="X231" s="17" t="e">
        <f>_xlfn.XLOOKUP(Table2[[#This Row],[Adjusted Form '#]],[2]BILLED!$D:$D,[1]BILLED!$O:$O,"Not Found")</f>
        <v>#REF!</v>
      </c>
      <c r="Y231" s="17" t="e">
        <f>_xlfn.XLOOKUP(Table2[[#This Row],[Adjusted Form '#]],'[2]REJECTED ORDERS'!$D:$D,'[2]REJECTED ORDERS'!$E:$E)</f>
        <v>#N/A</v>
      </c>
      <c r="Z231" s="1"/>
      <c r="AA231" s="1"/>
      <c r="AB231" s="8"/>
      <c r="AC231" s="8"/>
      <c r="AD231" s="8"/>
      <c r="AE231" s="8"/>
      <c r="AF231" s="8"/>
      <c r="AG231" s="8"/>
      <c r="AH231" s="8"/>
      <c r="AI231" s="8"/>
      <c r="AJ231" s="8"/>
    </row>
    <row r="232" spans="1:36" ht="15" customHeight="1" x14ac:dyDescent="0.35">
      <c r="A232" s="4" t="s">
        <v>325</v>
      </c>
      <c r="B232" s="1" t="s">
        <v>2291</v>
      </c>
      <c r="C232" s="11">
        <v>44959</v>
      </c>
      <c r="D232" s="11" t="s">
        <v>4192</v>
      </c>
      <c r="E232" s="1" t="s">
        <v>191</v>
      </c>
      <c r="F232" s="1" t="s">
        <v>4202</v>
      </c>
      <c r="G232" s="6">
        <f>COUNTIF(F:F,Table2[[#This Row],[Form '#]])</f>
        <v>1</v>
      </c>
      <c r="H232" s="1" t="s">
        <v>2632</v>
      </c>
      <c r="I232" s="1" t="s">
        <v>3852</v>
      </c>
      <c r="J232" s="1" t="s">
        <v>80</v>
      </c>
      <c r="K232" s="1" t="s">
        <v>4011</v>
      </c>
      <c r="L232" s="1"/>
      <c r="M232" s="6" t="str">
        <f>IF(Table2[[#This Row],[Corrected Form '#
 (If Duplicated)]]="",Table2[[#This Row],[Form '#]],Table2[[#This Row],[Corrected Form '#
 (If Duplicated)]])</f>
        <v>7812-3840</v>
      </c>
      <c r="N232" s="1" t="s">
        <v>49</v>
      </c>
      <c r="O232" s="6" t="str">
        <f>IF(Table2[[#This Row],[POG CONFIRMATION RECEIPT OF ORDER
(DATE &amp; TIME)]]="","No Confirmation","Received Confirmation")</f>
        <v>Received Confirmation</v>
      </c>
      <c r="P232" s="6">
        <f ca="1">TODAY()-Table2[[#This Row],[DATE SENT TO POG]]</f>
        <v>344</v>
      </c>
      <c r="Q232" s="6" t="s">
        <v>5803</v>
      </c>
      <c r="R2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2" s="2" t="str">
        <f>_xlfn.XLOOKUP(Table2[[#This Row],[Adjusted Form '#]],'[2]IN PROGRESS'!$D:$D,'[2]IN PROGRESS'!$M:$M,"Not Found")</f>
        <v>Not Found</v>
      </c>
      <c r="U232" s="2" t="str">
        <f>_xlfn.XLOOKUP(Table2[[#This Row],[Adjusted Form '#]],[1]COMPLETED!$D:$D,[2]COMPLETED!$M:$M,"Not Found")</f>
        <v>Not Found</v>
      </c>
      <c r="V232" s="17" t="str">
        <f>_xlfn.XLOOKUP(Table2[[#This Row],[Adjusted Form '#]],[2]COMPLETED!$D:$D,[2]COMPLETED!$O:$O,"Not Found")</f>
        <v>Not Found</v>
      </c>
      <c r="W232" s="2" t="str">
        <f>_xlfn.XLOOKUP(Table2[[#This Row],[Adjusted Form '#]],[2]BILLED!$D:$D,[2]BILLED!$M:$M,"Not Found")</f>
        <v>9402 1112 0620 7057 1386 90</v>
      </c>
      <c r="X232" s="17" t="e">
        <f>_xlfn.XLOOKUP(Table2[[#This Row],[Adjusted Form '#]],[2]BILLED!$D:$D,[1]BILLED!$O:$O,"Not Found")</f>
        <v>#REF!</v>
      </c>
      <c r="Y232" s="17" t="e">
        <f>_xlfn.XLOOKUP(Table2[[#This Row],[Adjusted Form '#]],'[2]REJECTED ORDERS'!$D:$D,'[2]REJECTED ORDERS'!$E:$E)</f>
        <v>#N/A</v>
      </c>
      <c r="Z232" s="1"/>
      <c r="AA232" s="1"/>
      <c r="AB232" s="8"/>
      <c r="AC232" s="8"/>
      <c r="AD232" s="8"/>
      <c r="AE232" s="8"/>
      <c r="AF232" s="8"/>
      <c r="AG232" s="8"/>
      <c r="AH232" s="8"/>
      <c r="AI232" s="8"/>
      <c r="AJ232" s="8"/>
    </row>
    <row r="233" spans="1:36" ht="15" customHeight="1" x14ac:dyDescent="0.35">
      <c r="A233" s="4" t="s">
        <v>326</v>
      </c>
      <c r="B233" s="1" t="s">
        <v>2291</v>
      </c>
      <c r="C233" s="11">
        <v>44959</v>
      </c>
      <c r="D233" s="11" t="s">
        <v>4192</v>
      </c>
      <c r="E233" s="1" t="s">
        <v>191</v>
      </c>
      <c r="F233" s="21" t="s">
        <v>4203</v>
      </c>
      <c r="G233" s="6">
        <f>COUNTIF(F:F,Table2[[#This Row],[Form '#]])</f>
        <v>2</v>
      </c>
      <c r="H233" s="1" t="s">
        <v>4204</v>
      </c>
      <c r="I233" s="1" t="s">
        <v>3852</v>
      </c>
      <c r="J233" s="1" t="s">
        <v>3891</v>
      </c>
      <c r="K233" s="1" t="s">
        <v>4011</v>
      </c>
      <c r="L233" s="1"/>
      <c r="M233" s="6" t="str">
        <f>IF(Table2[[#This Row],[Corrected Form '#
 (If Duplicated)]]="",Table2[[#This Row],[Form '#]],Table2[[#This Row],[Corrected Form '#
 (If Duplicated)]])</f>
        <v>7812-00801</v>
      </c>
      <c r="N233" s="1" t="s">
        <v>49</v>
      </c>
      <c r="O233" s="6" t="str">
        <f>IF(Table2[[#This Row],[POG CONFIRMATION RECEIPT OF ORDER
(DATE &amp; TIME)]]="","No Confirmation","Received Confirmation")</f>
        <v>Received Confirmation</v>
      </c>
      <c r="P233" s="6">
        <f ca="1">TODAY()-Table2[[#This Row],[DATE SENT TO POG]]</f>
        <v>344</v>
      </c>
      <c r="Q233" s="6" t="s">
        <v>5803</v>
      </c>
      <c r="R2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3" s="2" t="str">
        <f>_xlfn.XLOOKUP(Table2[[#This Row],[Adjusted Form '#]],'[2]IN PROGRESS'!$D:$D,'[2]IN PROGRESS'!$M:$M,"Not Found")</f>
        <v>Not Found</v>
      </c>
      <c r="U233" s="2" t="str">
        <f>_xlfn.XLOOKUP(Table2[[#This Row],[Adjusted Form '#]],[1]COMPLETED!$D:$D,[2]COMPLETED!$M:$M,"Not Found")</f>
        <v>Not Found</v>
      </c>
      <c r="V233" s="17" t="str">
        <f>_xlfn.XLOOKUP(Table2[[#This Row],[Adjusted Form '#]],[2]COMPLETED!$D:$D,[2]COMPLETED!$O:$O,"Not Found")</f>
        <v>Not Found</v>
      </c>
      <c r="W233" s="2" t="str">
        <f>_xlfn.XLOOKUP(Table2[[#This Row],[Adjusted Form '#]],[2]BILLED!$D:$D,[2]BILLED!$M:$M,"Not Found")</f>
        <v>1Z5063E0YW41641306</v>
      </c>
      <c r="X233" s="17" t="e">
        <f>_xlfn.XLOOKUP(Table2[[#This Row],[Adjusted Form '#]],[2]BILLED!$D:$D,[1]BILLED!$O:$O,"Not Found")</f>
        <v>#REF!</v>
      </c>
      <c r="Y233" s="17" t="str">
        <f>_xlfn.XLOOKUP(Table2[[#This Row],[Adjusted Form '#]],'[2]REJECTED ORDERS'!$D:$D,'[2]REJECTED ORDERS'!$E:$E)</f>
        <v>FORM NUMBER ALREADY USED</v>
      </c>
      <c r="Z233" s="1"/>
      <c r="AA233" s="1"/>
      <c r="AB233" s="8"/>
      <c r="AC233" s="8"/>
      <c r="AD233" s="8"/>
      <c r="AE233" s="8"/>
      <c r="AF233" s="8"/>
      <c r="AG233" s="8"/>
      <c r="AH233" s="8"/>
      <c r="AI233" s="8"/>
      <c r="AJ233" s="8"/>
    </row>
    <row r="234" spans="1:36" ht="15" customHeight="1" x14ac:dyDescent="0.35">
      <c r="A234" s="4" t="s">
        <v>327</v>
      </c>
      <c r="B234" s="1" t="s">
        <v>3483</v>
      </c>
      <c r="C234" s="11">
        <v>44959</v>
      </c>
      <c r="D234" s="11" t="s">
        <v>4192</v>
      </c>
      <c r="E234" s="1" t="s">
        <v>64</v>
      </c>
      <c r="F234" s="1" t="s">
        <v>4205</v>
      </c>
      <c r="G234" s="6">
        <f>COUNTIF(F:F,Table2[[#This Row],[Form '#]])</f>
        <v>1</v>
      </c>
      <c r="H234" s="1" t="s">
        <v>648</v>
      </c>
      <c r="I234" s="1" t="s">
        <v>127</v>
      </c>
      <c r="J234" s="1" t="s">
        <v>76</v>
      </c>
      <c r="K234" s="1" t="s">
        <v>4206</v>
      </c>
      <c r="L234" s="1"/>
      <c r="M234" s="6" t="str">
        <f>IF(Table2[[#This Row],[Corrected Form '#
 (If Duplicated)]]="",Table2[[#This Row],[Form '#]],Table2[[#This Row],[Corrected Form '#
 (If Duplicated)]])</f>
        <v>7824-00378</v>
      </c>
      <c r="N234" s="1" t="s">
        <v>49</v>
      </c>
      <c r="O234" s="6" t="str">
        <f>IF(Table2[[#This Row],[POG CONFIRMATION RECEIPT OF ORDER
(DATE &amp; TIME)]]="","No Confirmation","Received Confirmation")</f>
        <v>Received Confirmation</v>
      </c>
      <c r="P234" s="6">
        <f ca="1">TODAY()-Table2[[#This Row],[DATE SENT TO POG]]</f>
        <v>344</v>
      </c>
      <c r="Q234" s="6" t="s">
        <v>5803</v>
      </c>
      <c r="R2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4" s="2" t="str">
        <f>_xlfn.XLOOKUP(Table2[[#This Row],[Adjusted Form '#]],'[2]IN PROGRESS'!$D:$D,'[2]IN PROGRESS'!$M:$M,"Not Found")</f>
        <v>Not Found</v>
      </c>
      <c r="U234" s="2" t="str">
        <f>_xlfn.XLOOKUP(Table2[[#This Row],[Adjusted Form '#]],[1]COMPLETED!$D:$D,[2]COMPLETED!$M:$M,"Not Found")</f>
        <v>Not Found</v>
      </c>
      <c r="V234" s="17" t="str">
        <f>_xlfn.XLOOKUP(Table2[[#This Row],[Adjusted Form '#]],[2]COMPLETED!$D:$D,[2]COMPLETED!$O:$O,"Not Found")</f>
        <v>Not Found</v>
      </c>
      <c r="W234" s="2" t="str">
        <f>_xlfn.XLOOKUP(Table2[[#This Row],[Adjusted Form '#]],[2]BILLED!$D:$D,[2]BILLED!$M:$M,"Not Found")</f>
        <v>1Z5063E0YW41641753</v>
      </c>
      <c r="X234" s="17" t="e">
        <f>_xlfn.XLOOKUP(Table2[[#This Row],[Adjusted Form '#]],[2]BILLED!$D:$D,[1]BILLED!$O:$O,"Not Found")</f>
        <v>#REF!</v>
      </c>
      <c r="Y234" s="17" t="e">
        <f>_xlfn.XLOOKUP(Table2[[#This Row],[Adjusted Form '#]],'[2]REJECTED ORDERS'!$D:$D,'[2]REJECTED ORDERS'!$E:$E)</f>
        <v>#N/A</v>
      </c>
      <c r="Z234" s="1"/>
      <c r="AA234" s="1"/>
      <c r="AB234" s="8"/>
      <c r="AC234" s="8"/>
      <c r="AD234" s="8"/>
      <c r="AE234" s="8"/>
      <c r="AF234" s="8"/>
      <c r="AG234" s="8"/>
      <c r="AH234" s="8"/>
      <c r="AI234" s="8"/>
      <c r="AJ234" s="8"/>
    </row>
    <row r="235" spans="1:36" ht="15" customHeight="1" x14ac:dyDescent="0.35">
      <c r="A235" s="4" t="s">
        <v>330</v>
      </c>
      <c r="B235" s="1" t="s">
        <v>4207</v>
      </c>
      <c r="C235" s="11">
        <v>44959</v>
      </c>
      <c r="D235" s="11" t="s">
        <v>4208</v>
      </c>
      <c r="E235" s="1" t="s">
        <v>21</v>
      </c>
      <c r="F235" s="1" t="s">
        <v>4209</v>
      </c>
      <c r="G235" s="6">
        <f>COUNTIF(F:F,Table2[[#This Row],[Form '#]])</f>
        <v>1</v>
      </c>
      <c r="H235" s="1" t="s">
        <v>4078</v>
      </c>
      <c r="I235" s="1" t="s">
        <v>3864</v>
      </c>
      <c r="J235" s="1" t="s">
        <v>78</v>
      </c>
      <c r="K235" s="1" t="s">
        <v>3879</v>
      </c>
      <c r="L235" s="1"/>
      <c r="M235" s="6" t="str">
        <f>IF(Table2[[#This Row],[Corrected Form '#
 (If Duplicated)]]="",Table2[[#This Row],[Form '#]],Table2[[#This Row],[Corrected Form '#
 (If Duplicated)]])</f>
        <v>7818-27173</v>
      </c>
      <c r="N235" s="1" t="s">
        <v>49</v>
      </c>
      <c r="O235" s="6" t="str">
        <f>IF(Table2[[#This Row],[POG CONFIRMATION RECEIPT OF ORDER
(DATE &amp; TIME)]]="","No Confirmation","Received Confirmation")</f>
        <v>Received Confirmation</v>
      </c>
      <c r="P235" s="6">
        <f ca="1">TODAY()-Table2[[#This Row],[DATE SENT TO POG]]</f>
        <v>344</v>
      </c>
      <c r="Q235" s="6" t="s">
        <v>5803</v>
      </c>
      <c r="R2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" s="2" t="str">
        <f>_xlfn.XLOOKUP(Table2[[#This Row],[Adjusted Form '#]],'[2]IN PROGRESS'!$D:$D,'[2]IN PROGRESS'!$M:$M,"Not Found")</f>
        <v>Not Found</v>
      </c>
      <c r="U235" s="2" t="str">
        <f>_xlfn.XLOOKUP(Table2[[#This Row],[Adjusted Form '#]],[1]COMPLETED!$D:$D,[2]COMPLETED!$M:$M,"Not Found")</f>
        <v>Not Found</v>
      </c>
      <c r="V235" s="17">
        <f>_xlfn.XLOOKUP(Table2[[#This Row],[Adjusted Form '#]],[2]COMPLETED!$D:$D,[2]COMPLETED!$O:$O,"Not Found")</f>
        <v>0</v>
      </c>
      <c r="W235" s="2" t="str">
        <f>_xlfn.XLOOKUP(Table2[[#This Row],[Adjusted Form '#]],[2]BILLED!$D:$D,[2]BILLED!$M:$M,"Not Found")</f>
        <v>Not Found</v>
      </c>
      <c r="X235" s="17" t="str">
        <f>_xlfn.XLOOKUP(Table2[[#This Row],[Adjusted Form '#]],[2]BILLED!$D:$D,[1]BILLED!$O:$O,"Not Found")</f>
        <v>Not Found</v>
      </c>
      <c r="Y235" s="17" t="e">
        <f>_xlfn.XLOOKUP(Table2[[#This Row],[Adjusted Form '#]],'[2]REJECTED ORDERS'!$D:$D,'[2]REJECTED ORDERS'!$E:$E)</f>
        <v>#N/A</v>
      </c>
      <c r="Z235" s="1"/>
      <c r="AA235" s="1"/>
      <c r="AB235" s="8"/>
      <c r="AC235" s="8"/>
      <c r="AD235" s="8"/>
      <c r="AE235" s="8"/>
      <c r="AF235" s="8"/>
      <c r="AG235" s="8"/>
      <c r="AH235" s="8"/>
      <c r="AI235" s="8"/>
      <c r="AJ235" s="8"/>
    </row>
    <row r="236" spans="1:36" ht="15" customHeight="1" x14ac:dyDescent="0.35">
      <c r="A236" s="4" t="s">
        <v>331</v>
      </c>
      <c r="B236" s="1" t="s">
        <v>4207</v>
      </c>
      <c r="C236" s="11">
        <v>44959</v>
      </c>
      <c r="D236" s="11" t="s">
        <v>4208</v>
      </c>
      <c r="E236" s="1" t="s">
        <v>21</v>
      </c>
      <c r="F236" s="1" t="s">
        <v>4210</v>
      </c>
      <c r="G236" s="6">
        <f>COUNTIF(F:F,Table2[[#This Row],[Form '#]])</f>
        <v>1</v>
      </c>
      <c r="H236" s="1" t="s">
        <v>170</v>
      </c>
      <c r="I236" s="1" t="s">
        <v>3852</v>
      </c>
      <c r="J236" s="1" t="s">
        <v>80</v>
      </c>
      <c r="K236" s="1" t="s">
        <v>3853</v>
      </c>
      <c r="L236" s="1"/>
      <c r="M236" s="6" t="str">
        <f>IF(Table2[[#This Row],[Corrected Form '#
 (If Duplicated)]]="",Table2[[#This Row],[Form '#]],Table2[[#This Row],[Corrected Form '#
 (If Duplicated)]])</f>
        <v>7818-27174</v>
      </c>
      <c r="N236" s="1" t="s">
        <v>49</v>
      </c>
      <c r="O236" s="6" t="str">
        <f>IF(Table2[[#This Row],[POG CONFIRMATION RECEIPT OF ORDER
(DATE &amp; TIME)]]="","No Confirmation","Received Confirmation")</f>
        <v>Received Confirmation</v>
      </c>
      <c r="P236" s="6">
        <f ca="1">TODAY()-Table2[[#This Row],[DATE SENT TO POG]]</f>
        <v>344</v>
      </c>
      <c r="Q236" s="6" t="s">
        <v>5803</v>
      </c>
      <c r="R2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6" s="2" t="str">
        <f>_xlfn.XLOOKUP(Table2[[#This Row],[Adjusted Form '#]],'[2]IN PROGRESS'!$D:$D,'[2]IN PROGRESS'!$M:$M,"Not Found")</f>
        <v>Not Found</v>
      </c>
      <c r="U236" s="2" t="str">
        <f>_xlfn.XLOOKUP(Table2[[#This Row],[Adjusted Form '#]],[1]COMPLETED!$D:$D,[2]COMPLETED!$M:$M,"Not Found")</f>
        <v>Not Found</v>
      </c>
      <c r="V236" s="17" t="str">
        <f>_xlfn.XLOOKUP(Table2[[#This Row],[Adjusted Form '#]],[2]COMPLETED!$D:$D,[2]COMPLETED!$O:$O,"Not Found")</f>
        <v>Not Found</v>
      </c>
      <c r="W236" s="2" t="str">
        <f>_xlfn.XLOOKUP(Table2[[#This Row],[Adjusted Form '#]],[2]BILLED!$D:$D,[2]BILLED!$M:$M,"Not Found")</f>
        <v>1Z5063E0YW42747987</v>
      </c>
      <c r="X236" s="17" t="e">
        <f>_xlfn.XLOOKUP(Table2[[#This Row],[Adjusted Form '#]],[2]BILLED!$D:$D,[1]BILLED!$O:$O,"Not Found")</f>
        <v>#REF!</v>
      </c>
      <c r="Y236" s="17" t="e">
        <f>_xlfn.XLOOKUP(Table2[[#This Row],[Adjusted Form '#]],'[2]REJECTED ORDERS'!$D:$D,'[2]REJECTED ORDERS'!$E:$E)</f>
        <v>#N/A</v>
      </c>
      <c r="Z236" s="1"/>
      <c r="AA236" s="1"/>
      <c r="AB236" s="8"/>
      <c r="AC236" s="8"/>
      <c r="AD236" s="8"/>
      <c r="AE236" s="8"/>
      <c r="AF236" s="8"/>
      <c r="AG236" s="8"/>
      <c r="AH236" s="8"/>
      <c r="AI236" s="8"/>
      <c r="AJ236" s="8"/>
    </row>
    <row r="237" spans="1:36" ht="15" customHeight="1" x14ac:dyDescent="0.35">
      <c r="A237" s="4" t="s">
        <v>332</v>
      </c>
      <c r="B237" s="1" t="s">
        <v>4207</v>
      </c>
      <c r="C237" s="11">
        <v>44959</v>
      </c>
      <c r="D237" s="11" t="s">
        <v>4208</v>
      </c>
      <c r="E237" s="1" t="s">
        <v>21</v>
      </c>
      <c r="F237" s="1" t="s">
        <v>4211</v>
      </c>
      <c r="G237" s="6">
        <f>COUNTIF(F:F,Table2[[#This Row],[Form '#]])</f>
        <v>1</v>
      </c>
      <c r="H237" s="1" t="s">
        <v>2226</v>
      </c>
      <c r="I237" s="1" t="s">
        <v>3852</v>
      </c>
      <c r="J237" s="1" t="s">
        <v>80</v>
      </c>
      <c r="K237" s="1" t="s">
        <v>3853</v>
      </c>
      <c r="L237" s="1"/>
      <c r="M237" s="6" t="str">
        <f>IF(Table2[[#This Row],[Corrected Form '#
 (If Duplicated)]]="",Table2[[#This Row],[Form '#]],Table2[[#This Row],[Corrected Form '#
 (If Duplicated)]])</f>
        <v>7818-27175</v>
      </c>
      <c r="N237" s="1" t="s">
        <v>49</v>
      </c>
      <c r="O237" s="6" t="str">
        <f>IF(Table2[[#This Row],[POG CONFIRMATION RECEIPT OF ORDER
(DATE &amp; TIME)]]="","No Confirmation","Received Confirmation")</f>
        <v>Received Confirmation</v>
      </c>
      <c r="P237" s="6">
        <f ca="1">TODAY()-Table2[[#This Row],[DATE SENT TO POG]]</f>
        <v>344</v>
      </c>
      <c r="Q237" s="6" t="s">
        <v>5803</v>
      </c>
      <c r="R2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7" s="2" t="str">
        <f>_xlfn.XLOOKUP(Table2[[#This Row],[Adjusted Form '#]],'[2]IN PROGRESS'!$D:$D,'[2]IN PROGRESS'!$M:$M,"Not Found")</f>
        <v>Not Found</v>
      </c>
      <c r="U237" s="2" t="str">
        <f>_xlfn.XLOOKUP(Table2[[#This Row],[Adjusted Form '#]],[1]COMPLETED!$D:$D,[2]COMPLETED!$M:$M,"Not Found")</f>
        <v>Not Found</v>
      </c>
      <c r="V237" s="17" t="str">
        <f>_xlfn.XLOOKUP(Table2[[#This Row],[Adjusted Form '#]],[2]COMPLETED!$D:$D,[2]COMPLETED!$O:$O,"Not Found")</f>
        <v>Not Found</v>
      </c>
      <c r="W237" s="2" t="str">
        <f>_xlfn.XLOOKUP(Table2[[#This Row],[Adjusted Form '#]],[2]BILLED!$D:$D,[2]BILLED!$M:$M,"Not Found")</f>
        <v>1Z5063E0YW41807762</v>
      </c>
      <c r="X237" s="17" t="e">
        <f>_xlfn.XLOOKUP(Table2[[#This Row],[Adjusted Form '#]],[2]BILLED!$D:$D,[1]BILLED!$O:$O,"Not Found")</f>
        <v>#REF!</v>
      </c>
      <c r="Y237" s="17" t="e">
        <f>_xlfn.XLOOKUP(Table2[[#This Row],[Adjusted Form '#]],'[2]REJECTED ORDERS'!$D:$D,'[2]REJECTED ORDERS'!$E:$E)</f>
        <v>#N/A</v>
      </c>
      <c r="Z237" s="1"/>
      <c r="AA237" s="1"/>
      <c r="AB237" s="8"/>
      <c r="AC237" s="8"/>
      <c r="AD237" s="8"/>
      <c r="AE237" s="8"/>
      <c r="AF237" s="8"/>
      <c r="AG237" s="8"/>
      <c r="AH237" s="8"/>
      <c r="AI237" s="8"/>
      <c r="AJ237" s="8"/>
    </row>
    <row r="238" spans="1:36" ht="15" customHeight="1" x14ac:dyDescent="0.35">
      <c r="A238" s="4" t="s">
        <v>333</v>
      </c>
      <c r="B238" s="1" t="s">
        <v>4207</v>
      </c>
      <c r="C238" s="11">
        <v>44959</v>
      </c>
      <c r="D238" s="11" t="s">
        <v>4208</v>
      </c>
      <c r="E238" s="1" t="s">
        <v>21</v>
      </c>
      <c r="F238" s="1" t="s">
        <v>4212</v>
      </c>
      <c r="G238" s="6">
        <f>COUNTIF(F:F,Table2[[#This Row],[Form '#]])</f>
        <v>1</v>
      </c>
      <c r="H238" s="1" t="s">
        <v>4213</v>
      </c>
      <c r="I238" s="1" t="s">
        <v>127</v>
      </c>
      <c r="J238" s="1" t="s">
        <v>76</v>
      </c>
      <c r="K238" s="1" t="s">
        <v>4011</v>
      </c>
      <c r="L238" s="1"/>
      <c r="M238" s="6" t="str">
        <f>IF(Table2[[#This Row],[Corrected Form '#
 (If Duplicated)]]="",Table2[[#This Row],[Form '#]],Table2[[#This Row],[Corrected Form '#
 (If Duplicated)]])</f>
        <v>7818-27176</v>
      </c>
      <c r="N238" s="1" t="s">
        <v>49</v>
      </c>
      <c r="O238" s="6" t="str">
        <f>IF(Table2[[#This Row],[POG CONFIRMATION RECEIPT OF ORDER
(DATE &amp; TIME)]]="","No Confirmation","Received Confirmation")</f>
        <v>Received Confirmation</v>
      </c>
      <c r="P238" s="6">
        <f ca="1">TODAY()-Table2[[#This Row],[DATE SENT TO POG]]</f>
        <v>344</v>
      </c>
      <c r="Q238" s="6" t="s">
        <v>5803</v>
      </c>
      <c r="R2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8" s="2" t="str">
        <f>_xlfn.XLOOKUP(Table2[[#This Row],[Adjusted Form '#]],'[2]IN PROGRESS'!$D:$D,'[2]IN PROGRESS'!$M:$M,"Not Found")</f>
        <v>Not Found</v>
      </c>
      <c r="U238" s="2" t="str">
        <f>_xlfn.XLOOKUP(Table2[[#This Row],[Adjusted Form '#]],[1]COMPLETED!$D:$D,[2]COMPLETED!$M:$M,"Not Found")</f>
        <v>Not Found</v>
      </c>
      <c r="V238" s="17" t="str">
        <f>_xlfn.XLOOKUP(Table2[[#This Row],[Adjusted Form '#]],[2]COMPLETED!$D:$D,[2]COMPLETED!$O:$O,"Not Found")</f>
        <v>Not Found</v>
      </c>
      <c r="W238" s="2" t="str">
        <f>_xlfn.XLOOKUP(Table2[[#This Row],[Adjusted Form '#]],[2]BILLED!$D:$D,[2]BILLED!$M:$M,"Not Found")</f>
        <v>1Z5063E0YW40877091</v>
      </c>
      <c r="X238" s="17" t="e">
        <f>_xlfn.XLOOKUP(Table2[[#This Row],[Adjusted Form '#]],[2]BILLED!$D:$D,[1]BILLED!$O:$O,"Not Found")</f>
        <v>#REF!</v>
      </c>
      <c r="Y238" s="17" t="e">
        <f>_xlfn.XLOOKUP(Table2[[#This Row],[Adjusted Form '#]],'[2]REJECTED ORDERS'!$D:$D,'[2]REJECTED ORDERS'!$E:$E)</f>
        <v>#N/A</v>
      </c>
      <c r="Z238" s="1"/>
      <c r="AA238" s="1"/>
      <c r="AB238" s="8"/>
      <c r="AC238" s="8"/>
      <c r="AD238" s="8"/>
      <c r="AE238" s="8"/>
      <c r="AF238" s="8"/>
      <c r="AG238" s="8"/>
      <c r="AH238" s="8"/>
      <c r="AI238" s="8"/>
      <c r="AJ238" s="8"/>
    </row>
    <row r="239" spans="1:36" ht="15" customHeight="1" x14ac:dyDescent="0.35">
      <c r="A239" s="4" t="s">
        <v>334</v>
      </c>
      <c r="B239" s="1" t="s">
        <v>4207</v>
      </c>
      <c r="C239" s="11">
        <v>44959</v>
      </c>
      <c r="D239" s="11" t="s">
        <v>4208</v>
      </c>
      <c r="E239" s="1" t="s">
        <v>21</v>
      </c>
      <c r="F239" s="1" t="s">
        <v>4214</v>
      </c>
      <c r="G239" s="6">
        <f>COUNTIF(F:F,Table2[[#This Row],[Form '#]])</f>
        <v>1</v>
      </c>
      <c r="H239" s="1" t="s">
        <v>4215</v>
      </c>
      <c r="I239" s="1" t="s">
        <v>3852</v>
      </c>
      <c r="J239" s="1" t="s">
        <v>75</v>
      </c>
      <c r="K239" s="1" t="s">
        <v>4011</v>
      </c>
      <c r="L239" s="1"/>
      <c r="M239" s="6" t="str">
        <f>IF(Table2[[#This Row],[Corrected Form '#
 (If Duplicated)]]="",Table2[[#This Row],[Form '#]],Table2[[#This Row],[Corrected Form '#
 (If Duplicated)]])</f>
        <v>7818-24608</v>
      </c>
      <c r="N239" s="1" t="s">
        <v>49</v>
      </c>
      <c r="O239" s="6" t="str">
        <f>IF(Table2[[#This Row],[POG CONFIRMATION RECEIPT OF ORDER
(DATE &amp; TIME)]]="","No Confirmation","Received Confirmation")</f>
        <v>Received Confirmation</v>
      </c>
      <c r="P239" s="6">
        <f ca="1">TODAY()-Table2[[#This Row],[DATE SENT TO POG]]</f>
        <v>344</v>
      </c>
      <c r="Q239" s="6" t="s">
        <v>5803</v>
      </c>
      <c r="R2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39" s="2" t="str">
        <f>_xlfn.XLOOKUP(Table2[[#This Row],[Adjusted Form '#]],'[2]IN PROGRESS'!$D:$D,'[2]IN PROGRESS'!$M:$M,"Not Found")</f>
        <v>Not Found</v>
      </c>
      <c r="U239" s="2" t="str">
        <f>_xlfn.XLOOKUP(Table2[[#This Row],[Adjusted Form '#]],[1]COMPLETED!$D:$D,[2]COMPLETED!$M:$M,"Not Found")</f>
        <v>Not Found</v>
      </c>
      <c r="V239" s="17" t="str">
        <f>_xlfn.XLOOKUP(Table2[[#This Row],[Adjusted Form '#]],[2]COMPLETED!$D:$D,[2]COMPLETED!$O:$O,"Not Found")</f>
        <v>Not Found</v>
      </c>
      <c r="W239" s="2" t="str">
        <f>_xlfn.XLOOKUP(Table2[[#This Row],[Adjusted Form '#]],[2]BILLED!$D:$D,[2]BILLED!$M:$M,"Not Found")</f>
        <v>1Z5063E0YW41434441</v>
      </c>
      <c r="X239" s="17" t="e">
        <f>_xlfn.XLOOKUP(Table2[[#This Row],[Adjusted Form '#]],[2]BILLED!$D:$D,[1]BILLED!$O:$O,"Not Found")</f>
        <v>#REF!</v>
      </c>
      <c r="Y239" s="17" t="str">
        <f>_xlfn.XLOOKUP(Table2[[#This Row],[Adjusted Form '#]],'[2]REJECTED ORDERS'!$D:$D,'[2]REJECTED ORDERS'!$E:$E)</f>
        <v>FORM NOT SIGNED</v>
      </c>
      <c r="Z239" s="1"/>
      <c r="AA239" s="1"/>
      <c r="AB239" s="8"/>
      <c r="AC239" s="8"/>
      <c r="AD239" s="8"/>
      <c r="AE239" s="8"/>
      <c r="AF239" s="8"/>
      <c r="AG239" s="8"/>
      <c r="AH239" s="8"/>
      <c r="AI239" s="8"/>
      <c r="AJ239" s="8"/>
    </row>
    <row r="240" spans="1:36" ht="15" customHeight="1" x14ac:dyDescent="0.35">
      <c r="A240" s="4" t="s">
        <v>335</v>
      </c>
      <c r="B240" s="1" t="s">
        <v>4207</v>
      </c>
      <c r="C240" s="11">
        <v>44959</v>
      </c>
      <c r="D240" s="11" t="s">
        <v>4208</v>
      </c>
      <c r="E240" s="1" t="s">
        <v>21</v>
      </c>
      <c r="F240" s="1" t="s">
        <v>4216</v>
      </c>
      <c r="G240" s="6">
        <f>COUNTIF(F:F,Table2[[#This Row],[Form '#]])</f>
        <v>1</v>
      </c>
      <c r="H240" s="1" t="s">
        <v>2453</v>
      </c>
      <c r="I240" s="1" t="s">
        <v>127</v>
      </c>
      <c r="J240" s="1" t="s">
        <v>76</v>
      </c>
      <c r="K240" s="1" t="s">
        <v>4011</v>
      </c>
      <c r="L240" s="1"/>
      <c r="M240" s="6" t="str">
        <f>IF(Table2[[#This Row],[Corrected Form '#
 (If Duplicated)]]="",Table2[[#This Row],[Form '#]],Table2[[#This Row],[Corrected Form '#
 (If Duplicated)]])</f>
        <v>7818-01275</v>
      </c>
      <c r="N240" s="1" t="s">
        <v>49</v>
      </c>
      <c r="O240" s="6" t="str">
        <f>IF(Table2[[#This Row],[POG CONFIRMATION RECEIPT OF ORDER
(DATE &amp; TIME)]]="","No Confirmation","Received Confirmation")</f>
        <v>Received Confirmation</v>
      </c>
      <c r="P240" s="6">
        <f ca="1">TODAY()-Table2[[#This Row],[DATE SENT TO POG]]</f>
        <v>344</v>
      </c>
      <c r="Q240" s="6" t="s">
        <v>5803</v>
      </c>
      <c r="R2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0" s="2" t="str">
        <f>_xlfn.XLOOKUP(Table2[[#This Row],[Adjusted Form '#]],'[2]IN PROGRESS'!$D:$D,'[2]IN PROGRESS'!$M:$M,"Not Found")</f>
        <v>Not Found</v>
      </c>
      <c r="U240" s="2" t="str">
        <f>_xlfn.XLOOKUP(Table2[[#This Row],[Adjusted Form '#]],[1]COMPLETED!$D:$D,[2]COMPLETED!$M:$M,"Not Found")</f>
        <v>Not Found</v>
      </c>
      <c r="V240" s="17" t="str">
        <f>_xlfn.XLOOKUP(Table2[[#This Row],[Adjusted Form '#]],[2]COMPLETED!$D:$D,[2]COMPLETED!$O:$O,"Not Found")</f>
        <v>Not Found</v>
      </c>
      <c r="W240" s="2" t="str">
        <f>_xlfn.XLOOKUP(Table2[[#This Row],[Adjusted Form '#]],[2]BILLED!$D:$D,[2]BILLED!$M:$M,"Not Found")</f>
        <v>1Z5063E0YW42431684</v>
      </c>
      <c r="X240" s="17" t="e">
        <f>_xlfn.XLOOKUP(Table2[[#This Row],[Adjusted Form '#]],[2]BILLED!$D:$D,[1]BILLED!$O:$O,"Not Found")</f>
        <v>#REF!</v>
      </c>
      <c r="Y240" s="17" t="e">
        <f>_xlfn.XLOOKUP(Table2[[#This Row],[Adjusted Form '#]],'[2]REJECTED ORDERS'!$D:$D,'[2]REJECTED ORDERS'!$E:$E)</f>
        <v>#N/A</v>
      </c>
      <c r="Z240" s="1"/>
      <c r="AA240" s="1"/>
      <c r="AB240" s="8"/>
      <c r="AC240" s="8"/>
      <c r="AD240" s="8"/>
      <c r="AE240" s="8"/>
      <c r="AF240" s="8"/>
      <c r="AG240" s="8"/>
      <c r="AH240" s="8"/>
      <c r="AI240" s="8"/>
      <c r="AJ240" s="8"/>
    </row>
    <row r="241" spans="1:36" ht="15" customHeight="1" x14ac:dyDescent="0.35">
      <c r="A241" s="4" t="s">
        <v>336</v>
      </c>
      <c r="B241" s="1" t="s">
        <v>4207</v>
      </c>
      <c r="C241" s="11">
        <v>44959</v>
      </c>
      <c r="D241" s="11" t="s">
        <v>4208</v>
      </c>
      <c r="E241" s="1" t="s">
        <v>21</v>
      </c>
      <c r="F241" s="1" t="s">
        <v>4217</v>
      </c>
      <c r="G241" s="6">
        <f>COUNTIF(F:F,Table2[[#This Row],[Form '#]])</f>
        <v>1</v>
      </c>
      <c r="H241" s="1" t="s">
        <v>2794</v>
      </c>
      <c r="I241" s="1" t="s">
        <v>3852</v>
      </c>
      <c r="J241" s="1" t="s">
        <v>80</v>
      </c>
      <c r="K241" s="1" t="s">
        <v>3853</v>
      </c>
      <c r="L241" s="1"/>
      <c r="M241" s="6" t="str">
        <f>IF(Table2[[#This Row],[Corrected Form '#
 (If Duplicated)]]="",Table2[[#This Row],[Form '#]],Table2[[#This Row],[Corrected Form '#
 (If Duplicated)]])</f>
        <v>7818-26571</v>
      </c>
      <c r="N241" s="1" t="s">
        <v>49</v>
      </c>
      <c r="O241" s="6" t="str">
        <f>IF(Table2[[#This Row],[POG CONFIRMATION RECEIPT OF ORDER
(DATE &amp; TIME)]]="","No Confirmation","Received Confirmation")</f>
        <v>Received Confirmation</v>
      </c>
      <c r="P241" s="6">
        <f ca="1">TODAY()-Table2[[#This Row],[DATE SENT TO POG]]</f>
        <v>344</v>
      </c>
      <c r="Q241" s="6" t="s">
        <v>5803</v>
      </c>
      <c r="R2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1" s="2" t="str">
        <f>_xlfn.XLOOKUP(Table2[[#This Row],[Adjusted Form '#]],'[2]IN PROGRESS'!$D:$D,'[2]IN PROGRESS'!$M:$M,"Not Found")</f>
        <v>Not Found</v>
      </c>
      <c r="U241" s="2" t="str">
        <f>_xlfn.XLOOKUP(Table2[[#This Row],[Adjusted Form '#]],[1]COMPLETED!$D:$D,[2]COMPLETED!$M:$M,"Not Found")</f>
        <v>Not Found</v>
      </c>
      <c r="V241" s="17" t="str">
        <f>_xlfn.XLOOKUP(Table2[[#This Row],[Adjusted Form '#]],[2]COMPLETED!$D:$D,[2]COMPLETED!$O:$O,"Not Found")</f>
        <v>Not Found</v>
      </c>
      <c r="W241" s="2" t="str">
        <f>_xlfn.XLOOKUP(Table2[[#This Row],[Adjusted Form '#]],[2]BILLED!$D:$D,[2]BILLED!$M:$M,"Not Found")</f>
        <v>1Z5063E0YW40059395</v>
      </c>
      <c r="X241" s="17" t="e">
        <f>_xlfn.XLOOKUP(Table2[[#This Row],[Adjusted Form '#]],[2]BILLED!$D:$D,[1]BILLED!$O:$O,"Not Found")</f>
        <v>#REF!</v>
      </c>
      <c r="Y241" s="17" t="e">
        <f>_xlfn.XLOOKUP(Table2[[#This Row],[Adjusted Form '#]],'[2]REJECTED ORDERS'!$D:$D,'[2]REJECTED ORDERS'!$E:$E)</f>
        <v>#N/A</v>
      </c>
      <c r="Z241" s="1"/>
      <c r="AA241" s="1"/>
      <c r="AB241" s="8"/>
      <c r="AC241" s="8"/>
      <c r="AD241" s="8"/>
      <c r="AE241" s="8"/>
      <c r="AF241" s="8"/>
      <c r="AG241" s="8"/>
      <c r="AH241" s="8"/>
      <c r="AI241" s="8"/>
      <c r="AJ241" s="8"/>
    </row>
    <row r="242" spans="1:36" ht="15" customHeight="1" x14ac:dyDescent="0.35">
      <c r="A242" s="4" t="s">
        <v>338</v>
      </c>
      <c r="B242" s="1" t="s">
        <v>4207</v>
      </c>
      <c r="C242" s="11">
        <v>44959</v>
      </c>
      <c r="D242" s="11" t="s">
        <v>4208</v>
      </c>
      <c r="E242" s="1" t="s">
        <v>21</v>
      </c>
      <c r="F242" s="1" t="s">
        <v>4218</v>
      </c>
      <c r="G242" s="6">
        <f>COUNTIF(F:F,Table2[[#This Row],[Form '#]])</f>
        <v>1</v>
      </c>
      <c r="H242" s="1" t="s">
        <v>3553</v>
      </c>
      <c r="I242" s="1" t="s">
        <v>28</v>
      </c>
      <c r="J242" s="1" t="s">
        <v>69</v>
      </c>
      <c r="K242" s="1" t="s">
        <v>3898</v>
      </c>
      <c r="L242" s="1"/>
      <c r="M242" s="6" t="str">
        <f>IF(Table2[[#This Row],[Corrected Form '#
 (If Duplicated)]]="",Table2[[#This Row],[Form '#]],Table2[[#This Row],[Corrected Form '#
 (If Duplicated)]])</f>
        <v>7818-18226</v>
      </c>
      <c r="N242" s="1" t="s">
        <v>49</v>
      </c>
      <c r="O242" s="6" t="str">
        <f>IF(Table2[[#This Row],[POG CONFIRMATION RECEIPT OF ORDER
(DATE &amp; TIME)]]="","No Confirmation","Received Confirmation")</f>
        <v>Received Confirmation</v>
      </c>
      <c r="P242" s="6">
        <f ca="1">TODAY()-Table2[[#This Row],[DATE SENT TO POG]]</f>
        <v>344</v>
      </c>
      <c r="Q242" s="6" t="s">
        <v>5803</v>
      </c>
      <c r="R2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2" s="2" t="str">
        <f>_xlfn.XLOOKUP(Table2[[#This Row],[Adjusted Form '#]],'[2]IN PROGRESS'!$D:$D,'[2]IN PROGRESS'!$M:$M,"Not Found")</f>
        <v>Not Found</v>
      </c>
      <c r="U242" s="2" t="str">
        <f>_xlfn.XLOOKUP(Table2[[#This Row],[Adjusted Form '#]],[1]COMPLETED!$D:$D,[2]COMPLETED!$M:$M,"Not Found")</f>
        <v>Not Found</v>
      </c>
      <c r="V242" s="17" t="str">
        <f>_xlfn.XLOOKUP(Table2[[#This Row],[Adjusted Form '#]],[2]COMPLETED!$D:$D,[2]COMPLETED!$O:$O,"Not Found")</f>
        <v>Not Found</v>
      </c>
      <c r="W242" s="2" t="str">
        <f>_xlfn.XLOOKUP(Table2[[#This Row],[Adjusted Form '#]],[2]BILLED!$D:$D,[2]BILLED!$M:$M,"Not Found")</f>
        <v>1Z5063E0YW41761776</v>
      </c>
      <c r="X242" s="17" t="e">
        <f>_xlfn.XLOOKUP(Table2[[#This Row],[Adjusted Form '#]],[2]BILLED!$D:$D,[1]BILLED!$O:$O,"Not Found")</f>
        <v>#REF!</v>
      </c>
      <c r="Y242" s="17" t="e">
        <f>_xlfn.XLOOKUP(Table2[[#This Row],[Adjusted Form '#]],'[2]REJECTED ORDERS'!$D:$D,'[2]REJECTED ORDERS'!$E:$E)</f>
        <v>#N/A</v>
      </c>
      <c r="Z242" s="1"/>
      <c r="AA242" s="1"/>
      <c r="AB242" s="8"/>
      <c r="AC242" s="8"/>
      <c r="AD242" s="8"/>
      <c r="AE242" s="8"/>
      <c r="AF242" s="8"/>
      <c r="AG242" s="8"/>
      <c r="AH242" s="8"/>
      <c r="AI242" s="8"/>
      <c r="AJ242" s="8"/>
    </row>
    <row r="243" spans="1:36" ht="15" customHeight="1" x14ac:dyDescent="0.35">
      <c r="A243" s="4" t="s">
        <v>339</v>
      </c>
      <c r="B243" s="1" t="s">
        <v>4207</v>
      </c>
      <c r="C243" s="11">
        <v>44959</v>
      </c>
      <c r="D243" s="11" t="s">
        <v>4208</v>
      </c>
      <c r="E243" s="1" t="s">
        <v>21</v>
      </c>
      <c r="F243" s="1" t="s">
        <v>4219</v>
      </c>
      <c r="G243" s="6">
        <f>COUNTIF(F:F,Table2[[#This Row],[Form '#]])</f>
        <v>1</v>
      </c>
      <c r="H243" s="1" t="s">
        <v>4220</v>
      </c>
      <c r="I243" s="1" t="s">
        <v>3852</v>
      </c>
      <c r="J243" s="1" t="s">
        <v>80</v>
      </c>
      <c r="K243" s="1" t="s">
        <v>3853</v>
      </c>
      <c r="L243" s="1"/>
      <c r="M243" s="6" t="str">
        <f>IF(Table2[[#This Row],[Corrected Form '#
 (If Duplicated)]]="",Table2[[#This Row],[Form '#]],Table2[[#This Row],[Corrected Form '#
 (If Duplicated)]])</f>
        <v>7818-17790</v>
      </c>
      <c r="N243" s="1" t="s">
        <v>49</v>
      </c>
      <c r="O243" s="6" t="str">
        <f>IF(Table2[[#This Row],[POG CONFIRMATION RECEIPT OF ORDER
(DATE &amp; TIME)]]="","No Confirmation","Received Confirmation")</f>
        <v>Received Confirmation</v>
      </c>
      <c r="P243" s="6">
        <f ca="1">TODAY()-Table2[[#This Row],[DATE SENT TO POG]]</f>
        <v>344</v>
      </c>
      <c r="Q243" s="6" t="s">
        <v>5803</v>
      </c>
      <c r="R2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3" s="2" t="str">
        <f>_xlfn.XLOOKUP(Table2[[#This Row],[Adjusted Form '#]],'[2]IN PROGRESS'!$D:$D,'[2]IN PROGRESS'!$M:$M,"Not Found")</f>
        <v>Not Found</v>
      </c>
      <c r="U243" s="2" t="str">
        <f>_xlfn.XLOOKUP(Table2[[#This Row],[Adjusted Form '#]],[1]COMPLETED!$D:$D,[2]COMPLETED!$M:$M,"Not Found")</f>
        <v>Not Found</v>
      </c>
      <c r="V243" s="17" t="str">
        <f>_xlfn.XLOOKUP(Table2[[#This Row],[Adjusted Form '#]],[2]COMPLETED!$D:$D,[2]COMPLETED!$O:$O,"Not Found")</f>
        <v>Not Found</v>
      </c>
      <c r="W243" s="2" t="str">
        <f>_xlfn.XLOOKUP(Table2[[#This Row],[Adjusted Form '#]],[2]BILLED!$D:$D,[2]BILLED!$M:$M,"Not Found")</f>
        <v>1Z5063E0YW41333612</v>
      </c>
      <c r="X243" s="17" t="e">
        <f>_xlfn.XLOOKUP(Table2[[#This Row],[Adjusted Form '#]],[2]BILLED!$D:$D,[1]BILLED!$O:$O,"Not Found")</f>
        <v>#REF!</v>
      </c>
      <c r="Y243" s="17" t="e">
        <f>_xlfn.XLOOKUP(Table2[[#This Row],[Adjusted Form '#]],'[2]REJECTED ORDERS'!$D:$D,'[2]REJECTED ORDERS'!$E:$E)</f>
        <v>#N/A</v>
      </c>
      <c r="Z243" s="1"/>
      <c r="AA243" s="1"/>
      <c r="AB243" s="8"/>
      <c r="AC243" s="8"/>
      <c r="AD243" s="8"/>
      <c r="AE243" s="8"/>
      <c r="AF243" s="8"/>
      <c r="AG243" s="8"/>
      <c r="AH243" s="8"/>
      <c r="AI243" s="8"/>
      <c r="AJ243" s="8"/>
    </row>
    <row r="244" spans="1:36" ht="15" customHeight="1" x14ac:dyDescent="0.35">
      <c r="A244" s="4" t="s">
        <v>340</v>
      </c>
      <c r="B244" s="1" t="s">
        <v>4207</v>
      </c>
      <c r="C244" s="11">
        <v>44959</v>
      </c>
      <c r="D244" s="11" t="s">
        <v>4208</v>
      </c>
      <c r="E244" s="1" t="s">
        <v>21</v>
      </c>
      <c r="F244" s="1" t="s">
        <v>4221</v>
      </c>
      <c r="G244" s="6">
        <f>COUNTIF(F:F,Table2[[#This Row],[Form '#]])</f>
        <v>1</v>
      </c>
      <c r="H244" s="1" t="s">
        <v>4222</v>
      </c>
      <c r="I244" s="1" t="s">
        <v>127</v>
      </c>
      <c r="J244" s="1" t="s">
        <v>76</v>
      </c>
      <c r="K244" s="1" t="s">
        <v>3919</v>
      </c>
      <c r="L244" s="1"/>
      <c r="M244" s="6" t="str">
        <f>IF(Table2[[#This Row],[Corrected Form '#
 (If Duplicated)]]="",Table2[[#This Row],[Form '#]],Table2[[#This Row],[Corrected Form '#
 (If Duplicated)]])</f>
        <v>7818-12208</v>
      </c>
      <c r="N244" s="1" t="s">
        <v>49</v>
      </c>
      <c r="O244" s="6" t="str">
        <f>IF(Table2[[#This Row],[POG CONFIRMATION RECEIPT OF ORDER
(DATE &amp; TIME)]]="","No Confirmation","Received Confirmation")</f>
        <v>Received Confirmation</v>
      </c>
      <c r="P244" s="6">
        <f ca="1">TODAY()-Table2[[#This Row],[DATE SENT TO POG]]</f>
        <v>344</v>
      </c>
      <c r="Q244" s="6" t="s">
        <v>5803</v>
      </c>
      <c r="R2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4" s="2" t="str">
        <f>_xlfn.XLOOKUP(Table2[[#This Row],[Adjusted Form '#]],'[2]IN PROGRESS'!$D:$D,'[2]IN PROGRESS'!$M:$M,"Not Found")</f>
        <v>Not Found</v>
      </c>
      <c r="U244" s="2" t="str">
        <f>_xlfn.XLOOKUP(Table2[[#This Row],[Adjusted Form '#]],[1]COMPLETED!$D:$D,[2]COMPLETED!$M:$M,"Not Found")</f>
        <v>Not Found</v>
      </c>
      <c r="V244" s="17" t="str">
        <f>_xlfn.XLOOKUP(Table2[[#This Row],[Adjusted Form '#]],[2]COMPLETED!$D:$D,[2]COMPLETED!$O:$O,"Not Found")</f>
        <v>Not Found</v>
      </c>
      <c r="W244" s="2" t="str">
        <f>_xlfn.XLOOKUP(Table2[[#This Row],[Adjusted Form '#]],[2]BILLED!$D:$D,[2]BILLED!$M:$M,"Not Found")</f>
        <v>1Z5063E0YW41627162</v>
      </c>
      <c r="X244" s="17" t="e">
        <f>_xlfn.XLOOKUP(Table2[[#This Row],[Adjusted Form '#]],[2]BILLED!$D:$D,[1]BILLED!$O:$O,"Not Found")</f>
        <v>#REF!</v>
      </c>
      <c r="Y244" s="17" t="e">
        <f>_xlfn.XLOOKUP(Table2[[#This Row],[Adjusted Form '#]],'[2]REJECTED ORDERS'!$D:$D,'[2]REJECTED ORDERS'!$E:$E)</f>
        <v>#N/A</v>
      </c>
      <c r="Z244" s="1"/>
      <c r="AA244" s="1"/>
      <c r="AB244" s="8"/>
      <c r="AC244" s="8"/>
      <c r="AD244" s="8"/>
      <c r="AE244" s="8"/>
      <c r="AF244" s="8"/>
      <c r="AG244" s="8"/>
      <c r="AH244" s="8"/>
      <c r="AI244" s="8"/>
      <c r="AJ244" s="8"/>
    </row>
    <row r="245" spans="1:36" ht="15" customHeight="1" x14ac:dyDescent="0.35">
      <c r="A245" s="4" t="s">
        <v>342</v>
      </c>
      <c r="B245" s="1" t="s">
        <v>4223</v>
      </c>
      <c r="C245" s="11">
        <v>44959</v>
      </c>
      <c r="D245" s="11" t="s">
        <v>4208</v>
      </c>
      <c r="E245" s="1" t="s">
        <v>21</v>
      </c>
      <c r="F245" s="1" t="s">
        <v>4224</v>
      </c>
      <c r="G245" s="6">
        <f>COUNTIF(F:F,Table2[[#This Row],[Form '#]])</f>
        <v>1</v>
      </c>
      <c r="H245" s="1" t="s">
        <v>4225</v>
      </c>
      <c r="I245" s="1" t="s">
        <v>127</v>
      </c>
      <c r="J245" s="1" t="s">
        <v>74</v>
      </c>
      <c r="K245" s="1" t="s">
        <v>4011</v>
      </c>
      <c r="L245" s="1"/>
      <c r="M245" s="6" t="str">
        <f>IF(Table2[[#This Row],[Corrected Form '#
 (If Duplicated)]]="",Table2[[#This Row],[Form '#]],Table2[[#This Row],[Corrected Form '#
 (If Duplicated)]])</f>
        <v>7818-03055</v>
      </c>
      <c r="N245" s="1" t="s">
        <v>49</v>
      </c>
      <c r="O245" s="6" t="str">
        <f>IF(Table2[[#This Row],[POG CONFIRMATION RECEIPT OF ORDER
(DATE &amp; TIME)]]="","No Confirmation","Received Confirmation")</f>
        <v>Received Confirmation</v>
      </c>
      <c r="P245" s="6">
        <f ca="1">TODAY()-Table2[[#This Row],[DATE SENT TO POG]]</f>
        <v>344</v>
      </c>
      <c r="Q245" s="6" t="s">
        <v>5802</v>
      </c>
      <c r="R2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4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45" s="2" t="str">
        <f>_xlfn.XLOOKUP(Table2[[#This Row],[Adjusted Form '#]],'[2]IN PROGRESS'!$D:$D,'[2]IN PROGRESS'!$M:$M,"Not Found")</f>
        <v>Not Found</v>
      </c>
      <c r="U245" s="2" t="str">
        <f>_xlfn.XLOOKUP(Table2[[#This Row],[Adjusted Form '#]],[1]COMPLETED!$D:$D,[2]COMPLETED!$M:$M,"Not Found")</f>
        <v>Not Found</v>
      </c>
      <c r="V245" s="17" t="str">
        <f>_xlfn.XLOOKUP(Table2[[#This Row],[Adjusted Form '#]],[2]COMPLETED!$D:$D,[2]COMPLETED!$O:$O,"Not Found")</f>
        <v>Not Found</v>
      </c>
      <c r="W245" s="2" t="str">
        <f>_xlfn.XLOOKUP(Table2[[#This Row],[Adjusted Form '#]],[2]BILLED!$D:$D,[2]BILLED!$M:$M,"Not Found")</f>
        <v>Not Found</v>
      </c>
      <c r="X245" s="17" t="str">
        <f>_xlfn.XLOOKUP(Table2[[#This Row],[Adjusted Form '#]],[2]BILLED!$D:$D,[1]BILLED!$O:$O,"Not Found")</f>
        <v>Not Found</v>
      </c>
      <c r="Y245" s="17" t="e">
        <f>_xlfn.XLOOKUP(Table2[[#This Row],[Adjusted Form '#]],'[2]REJECTED ORDERS'!$D:$D,'[2]REJECTED ORDERS'!$E:$E)</f>
        <v>#N/A</v>
      </c>
      <c r="Z245" s="1"/>
      <c r="AA245" s="1"/>
      <c r="AB245" s="8"/>
      <c r="AC245" s="8"/>
      <c r="AD245" s="8"/>
      <c r="AE245" s="8"/>
      <c r="AF245" s="8"/>
      <c r="AG245" s="8"/>
      <c r="AH245" s="8"/>
      <c r="AI245" s="8"/>
      <c r="AJ245" s="8"/>
    </row>
    <row r="246" spans="1:36" ht="15" customHeight="1" x14ac:dyDescent="0.35">
      <c r="A246" s="4" t="s">
        <v>344</v>
      </c>
      <c r="B246" s="1" t="s">
        <v>4226</v>
      </c>
      <c r="C246" s="11">
        <v>44959</v>
      </c>
      <c r="E246" s="1" t="s">
        <v>21</v>
      </c>
      <c r="F246" s="1" t="s">
        <v>4227</v>
      </c>
      <c r="G246" s="6">
        <f>COUNTIF(F:F,Table2[[#This Row],[Form '#]])</f>
        <v>1</v>
      </c>
      <c r="H246" s="1" t="s">
        <v>2556</v>
      </c>
      <c r="I246" s="1" t="s">
        <v>3852</v>
      </c>
      <c r="J246" s="1" t="s">
        <v>80</v>
      </c>
      <c r="K246" s="1" t="s">
        <v>3853</v>
      </c>
      <c r="L246" s="1"/>
      <c r="M246" s="6" t="str">
        <f>IF(Table2[[#This Row],[Corrected Form '#
 (If Duplicated)]]="",Table2[[#This Row],[Form '#]],Table2[[#This Row],[Corrected Form '#
 (If Duplicated)]])</f>
        <v>7818-23732</v>
      </c>
      <c r="N246" s="1" t="s">
        <v>49</v>
      </c>
      <c r="O246" s="6" t="str">
        <f>IF(Table2[[#This Row],[POG CONFIRMATION RECEIPT OF ORDER
(DATE &amp; TIME)]]="","No Confirmation","Received Confirmation")</f>
        <v>No Confirmation</v>
      </c>
      <c r="P246" s="6">
        <f ca="1">TODAY()-Table2[[#This Row],[DATE SENT TO POG]]</f>
        <v>344</v>
      </c>
      <c r="Q246" s="6" t="s">
        <v>5803</v>
      </c>
      <c r="R2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6" s="2" t="str">
        <f>_xlfn.XLOOKUP(Table2[[#This Row],[Adjusted Form '#]],'[2]IN PROGRESS'!$D:$D,'[2]IN PROGRESS'!$M:$M,"Not Found")</f>
        <v>Not Found</v>
      </c>
      <c r="U246" s="2" t="str">
        <f>_xlfn.XLOOKUP(Table2[[#This Row],[Adjusted Form '#]],[1]COMPLETED!$D:$D,[2]COMPLETED!$M:$M,"Not Found")</f>
        <v>Not Found</v>
      </c>
      <c r="V246" s="17" t="str">
        <f>_xlfn.XLOOKUP(Table2[[#This Row],[Adjusted Form '#]],[2]COMPLETED!$D:$D,[2]COMPLETED!$O:$O,"Not Found")</f>
        <v>Not Found</v>
      </c>
      <c r="W246" s="2" t="str">
        <f>_xlfn.XLOOKUP(Table2[[#This Row],[Adjusted Form '#]],[2]BILLED!$D:$D,[2]BILLED!$M:$M,"Not Found")</f>
        <v>1Z5063E0YW40385729</v>
      </c>
      <c r="X246" s="17" t="e">
        <f>_xlfn.XLOOKUP(Table2[[#This Row],[Adjusted Form '#]],[2]BILLED!$D:$D,[1]BILLED!$O:$O,"Not Found")</f>
        <v>#REF!</v>
      </c>
      <c r="Y246" s="17" t="e">
        <f>_xlfn.XLOOKUP(Table2[[#This Row],[Adjusted Form '#]],'[2]REJECTED ORDERS'!$D:$D,'[2]REJECTED ORDERS'!$E:$E)</f>
        <v>#N/A</v>
      </c>
      <c r="Z246" s="1"/>
      <c r="AA246" s="1"/>
      <c r="AB246" s="8"/>
      <c r="AC246" s="8"/>
      <c r="AD246" s="8"/>
      <c r="AE246" s="8"/>
      <c r="AF246" s="8"/>
      <c r="AG246" s="8"/>
      <c r="AH246" s="8"/>
      <c r="AI246" s="8"/>
      <c r="AJ246" s="8"/>
    </row>
    <row r="247" spans="1:36" ht="15" customHeight="1" x14ac:dyDescent="0.35">
      <c r="A247" s="4" t="s">
        <v>345</v>
      </c>
      <c r="B247" s="1" t="s">
        <v>1879</v>
      </c>
      <c r="C247" s="11">
        <v>44960</v>
      </c>
      <c r="D247" s="11" t="s">
        <v>4228</v>
      </c>
      <c r="E247" s="1" t="s">
        <v>21</v>
      </c>
      <c r="F247" s="1" t="s">
        <v>4229</v>
      </c>
      <c r="G247" s="6">
        <f>COUNTIF(F:F,Table2[[#This Row],[Form '#]])</f>
        <v>1</v>
      </c>
      <c r="H247" s="1" t="s">
        <v>2150</v>
      </c>
      <c r="I247" s="1" t="s">
        <v>127</v>
      </c>
      <c r="J247" s="1" t="s">
        <v>76</v>
      </c>
      <c r="K247" s="1" t="s">
        <v>4011</v>
      </c>
      <c r="L247" s="1"/>
      <c r="M247" s="6" t="str">
        <f>IF(Table2[[#This Row],[Corrected Form '#
 (If Duplicated)]]="",Table2[[#This Row],[Form '#]],Table2[[#This Row],[Corrected Form '#
 (If Duplicated)]])</f>
        <v>7818-25194</v>
      </c>
      <c r="N247" s="1" t="s">
        <v>49</v>
      </c>
      <c r="O247" s="6" t="str">
        <f>IF(Table2[[#This Row],[POG CONFIRMATION RECEIPT OF ORDER
(DATE &amp; TIME)]]="","No Confirmation","Received Confirmation")</f>
        <v>Received Confirmation</v>
      </c>
      <c r="P247" s="6">
        <f ca="1">TODAY()-Table2[[#This Row],[DATE SENT TO POG]]</f>
        <v>343</v>
      </c>
      <c r="Q247" s="6" t="s">
        <v>5803</v>
      </c>
      <c r="R2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7" s="2" t="str">
        <f>_xlfn.XLOOKUP(Table2[[#This Row],[Adjusted Form '#]],'[2]IN PROGRESS'!$D:$D,'[2]IN PROGRESS'!$M:$M,"Not Found")</f>
        <v>Not Found</v>
      </c>
      <c r="U247" s="2" t="str">
        <f>_xlfn.XLOOKUP(Table2[[#This Row],[Adjusted Form '#]],[1]COMPLETED!$D:$D,[2]COMPLETED!$M:$M,"Not Found")</f>
        <v>Not Found</v>
      </c>
      <c r="V247" s="17" t="str">
        <f>_xlfn.XLOOKUP(Table2[[#This Row],[Adjusted Form '#]],[2]COMPLETED!$D:$D,[2]COMPLETED!$O:$O,"Not Found")</f>
        <v>Not Found</v>
      </c>
      <c r="W247" s="2" t="str">
        <f>_xlfn.XLOOKUP(Table2[[#This Row],[Adjusted Form '#]],[2]BILLED!$D:$D,[2]BILLED!$M:$M,"Not Found")</f>
        <v>9400 1112 0620 7183 9230 56</v>
      </c>
      <c r="X247" s="17" t="e">
        <f>_xlfn.XLOOKUP(Table2[[#This Row],[Adjusted Form '#]],[2]BILLED!$D:$D,[1]BILLED!$O:$O,"Not Found")</f>
        <v>#REF!</v>
      </c>
      <c r="Y247" s="17" t="e">
        <f>_xlfn.XLOOKUP(Table2[[#This Row],[Adjusted Form '#]],'[2]REJECTED ORDERS'!$D:$D,'[2]REJECTED ORDERS'!$E:$E)</f>
        <v>#N/A</v>
      </c>
      <c r="Z247" s="1"/>
      <c r="AA247" s="1"/>
      <c r="AB247" s="8"/>
      <c r="AC247" s="8"/>
      <c r="AD247" s="8"/>
      <c r="AE247" s="8"/>
      <c r="AF247" s="8"/>
      <c r="AG247" s="8"/>
      <c r="AH247" s="8"/>
      <c r="AI247" s="8"/>
      <c r="AJ247" s="8"/>
    </row>
    <row r="248" spans="1:36" ht="15" customHeight="1" x14ac:dyDescent="0.35">
      <c r="A248" s="4" t="s">
        <v>346</v>
      </c>
      <c r="B248" s="1" t="s">
        <v>271</v>
      </c>
      <c r="C248" s="11">
        <v>44960</v>
      </c>
      <c r="D248" s="11" t="s">
        <v>4228</v>
      </c>
      <c r="E248" s="1" t="s">
        <v>21</v>
      </c>
      <c r="F248" s="1" t="s">
        <v>3846</v>
      </c>
      <c r="G248" s="6">
        <f>COUNTIF(F:F,Table2[[#This Row],[Form '#]])</f>
        <v>2</v>
      </c>
      <c r="H248" s="1" t="s">
        <v>4230</v>
      </c>
      <c r="I248" s="1" t="s">
        <v>28</v>
      </c>
      <c r="J248" s="1" t="s">
        <v>69</v>
      </c>
      <c r="K248" s="1" t="s">
        <v>3898</v>
      </c>
      <c r="L248" s="1"/>
      <c r="M248" s="6" t="str">
        <f>IF(Table2[[#This Row],[Corrected Form '#
 (If Duplicated)]]="",Table2[[#This Row],[Form '#]],Table2[[#This Row],[Corrected Form '#
 (If Duplicated)]])</f>
        <v>7818-21844</v>
      </c>
      <c r="N248" s="1" t="s">
        <v>49</v>
      </c>
      <c r="O248" s="6" t="str">
        <f>IF(Table2[[#This Row],[POG CONFIRMATION RECEIPT OF ORDER
(DATE &amp; TIME)]]="","No Confirmation","Received Confirmation")</f>
        <v>Received Confirmation</v>
      </c>
      <c r="P248" s="6">
        <f ca="1">TODAY()-Table2[[#This Row],[DATE SENT TO POG]]</f>
        <v>343</v>
      </c>
      <c r="Q248" s="6" t="s">
        <v>5803</v>
      </c>
      <c r="R2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8" s="2" t="str">
        <f>_xlfn.XLOOKUP(Table2[[#This Row],[Adjusted Form '#]],'[2]IN PROGRESS'!$D:$D,'[2]IN PROGRESS'!$M:$M,"Not Found")</f>
        <v>Not Found</v>
      </c>
      <c r="U248" s="2" t="str">
        <f>_xlfn.XLOOKUP(Table2[[#This Row],[Adjusted Form '#]],[1]COMPLETED!$D:$D,[2]COMPLETED!$M:$M,"Not Found")</f>
        <v>Not Found</v>
      </c>
      <c r="V248" s="17" t="str">
        <f>_xlfn.XLOOKUP(Table2[[#This Row],[Adjusted Form '#]],[2]COMPLETED!$D:$D,[2]COMPLETED!$O:$O,"Not Found")</f>
        <v>Not Found</v>
      </c>
      <c r="W248" s="2" t="str">
        <f>_xlfn.XLOOKUP(Table2[[#This Row],[Adjusted Form '#]],[2]BILLED!$D:$D,[2]BILLED!$M:$M,"Not Found")</f>
        <v>1Z5063E0YW40911089</v>
      </c>
      <c r="X248" s="17" t="e">
        <f>_xlfn.XLOOKUP(Table2[[#This Row],[Adjusted Form '#]],[2]BILLED!$D:$D,[1]BILLED!$O:$O,"Not Found")</f>
        <v>#REF!</v>
      </c>
      <c r="Y248" s="17" t="str">
        <f>_xlfn.XLOOKUP(Table2[[#This Row],[Adjusted Form '#]],'[2]REJECTED ORDERS'!$D:$D,'[2]REJECTED ORDERS'!$E:$E)</f>
        <v>FORM NUMBER ALREADY USED</v>
      </c>
      <c r="Z248" s="1"/>
      <c r="AA248" s="1"/>
      <c r="AB248" s="8"/>
      <c r="AC248" s="8"/>
      <c r="AD248" s="8"/>
      <c r="AE248" s="8"/>
      <c r="AF248" s="8"/>
      <c r="AG248" s="8"/>
      <c r="AH248" s="8"/>
      <c r="AI248" s="8"/>
      <c r="AJ248" s="8"/>
    </row>
    <row r="249" spans="1:36" ht="15" customHeight="1" x14ac:dyDescent="0.35">
      <c r="A249" s="4" t="s">
        <v>349</v>
      </c>
      <c r="B249" s="1" t="s">
        <v>287</v>
      </c>
      <c r="C249" s="11">
        <v>44960</v>
      </c>
      <c r="D249" s="11" t="s">
        <v>4231</v>
      </c>
      <c r="E249" s="1" t="s">
        <v>21</v>
      </c>
      <c r="F249" s="1" t="s">
        <v>4232</v>
      </c>
      <c r="G249" s="6">
        <f>COUNTIF(F:F,Table2[[#This Row],[Form '#]])</f>
        <v>1</v>
      </c>
      <c r="H249" s="1" t="s">
        <v>4233</v>
      </c>
      <c r="I249" s="1" t="s">
        <v>127</v>
      </c>
      <c r="J249" s="1" t="s">
        <v>74</v>
      </c>
      <c r="K249" s="1" t="s">
        <v>4011</v>
      </c>
      <c r="L249" s="1"/>
      <c r="M249" s="6" t="str">
        <f>IF(Table2[[#This Row],[Corrected Form '#
 (If Duplicated)]]="",Table2[[#This Row],[Form '#]],Table2[[#This Row],[Corrected Form '#
 (If Duplicated)]])</f>
        <v>7818-23088</v>
      </c>
      <c r="N249" s="1" t="s">
        <v>49</v>
      </c>
      <c r="O249" s="6" t="str">
        <f>IF(Table2[[#This Row],[POG CONFIRMATION RECEIPT OF ORDER
(DATE &amp; TIME)]]="","No Confirmation","Received Confirmation")</f>
        <v>Received Confirmation</v>
      </c>
      <c r="P249" s="6">
        <f ca="1">TODAY()-Table2[[#This Row],[DATE SENT TO POG]]</f>
        <v>343</v>
      </c>
      <c r="Q249" s="6" t="s">
        <v>5803</v>
      </c>
      <c r="R2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49" s="2" t="str">
        <f>_xlfn.XLOOKUP(Table2[[#This Row],[Adjusted Form '#]],'[2]IN PROGRESS'!$D:$D,'[2]IN PROGRESS'!$M:$M,"Not Found")</f>
        <v>Not Found</v>
      </c>
      <c r="U249" s="2" t="str">
        <f>_xlfn.XLOOKUP(Table2[[#This Row],[Adjusted Form '#]],[1]COMPLETED!$D:$D,[2]COMPLETED!$M:$M,"Not Found")</f>
        <v>Not Found</v>
      </c>
      <c r="V249" s="17" t="str">
        <f>_xlfn.XLOOKUP(Table2[[#This Row],[Adjusted Form '#]],[2]COMPLETED!$D:$D,[2]COMPLETED!$O:$O,"Not Found")</f>
        <v>Not Found</v>
      </c>
      <c r="W249" s="2" t="str">
        <f>_xlfn.XLOOKUP(Table2[[#This Row],[Adjusted Form '#]],[2]BILLED!$D:$D,[2]BILLED!$M:$M,"Not Found")</f>
        <v>1Z5063E0YW42570980</v>
      </c>
      <c r="X249" s="17" t="e">
        <f>_xlfn.XLOOKUP(Table2[[#This Row],[Adjusted Form '#]],[2]BILLED!$D:$D,[1]BILLED!$O:$O,"Not Found")</f>
        <v>#REF!</v>
      </c>
      <c r="Y249" s="17" t="e">
        <f>_xlfn.XLOOKUP(Table2[[#This Row],[Adjusted Form '#]],'[2]REJECTED ORDERS'!$D:$D,'[2]REJECTED ORDERS'!$E:$E)</f>
        <v>#N/A</v>
      </c>
      <c r="Z249" s="1"/>
      <c r="AA249" s="1"/>
      <c r="AB249" s="8"/>
      <c r="AC249" s="8"/>
      <c r="AD249" s="8"/>
      <c r="AE249" s="8"/>
      <c r="AF249" s="8"/>
      <c r="AG249" s="8"/>
      <c r="AH249" s="8"/>
      <c r="AI249" s="8"/>
      <c r="AJ249" s="8"/>
    </row>
    <row r="250" spans="1:36" ht="15" customHeight="1" x14ac:dyDescent="0.35">
      <c r="A250" s="4" t="s">
        <v>350</v>
      </c>
      <c r="B250" s="1" t="s">
        <v>1268</v>
      </c>
      <c r="C250" s="11">
        <v>44960</v>
      </c>
      <c r="D250" s="11" t="s">
        <v>4231</v>
      </c>
      <c r="E250" s="1" t="s">
        <v>21</v>
      </c>
      <c r="F250" s="1" t="s">
        <v>3759</v>
      </c>
      <c r="G250" s="6">
        <f>COUNTIF(F:F,Table2[[#This Row],[Form '#]])</f>
        <v>1</v>
      </c>
      <c r="H250" s="1" t="s">
        <v>2194</v>
      </c>
      <c r="I250" s="1" t="s">
        <v>3852</v>
      </c>
      <c r="J250" s="1" t="s">
        <v>80</v>
      </c>
      <c r="K250" s="1" t="s">
        <v>4011</v>
      </c>
      <c r="L250" s="1"/>
      <c r="M250" s="6" t="str">
        <f>IF(Table2[[#This Row],[Corrected Form '#
 (If Duplicated)]]="",Table2[[#This Row],[Form '#]],Table2[[#This Row],[Corrected Form '#
 (If Duplicated)]])</f>
        <v>7818-18821</v>
      </c>
      <c r="N250" s="1" t="s">
        <v>49</v>
      </c>
      <c r="O250" s="6" t="str">
        <f>IF(Table2[[#This Row],[POG CONFIRMATION RECEIPT OF ORDER
(DATE &amp; TIME)]]="","No Confirmation","Received Confirmation")</f>
        <v>Received Confirmation</v>
      </c>
      <c r="P250" s="6">
        <f ca="1">TODAY()-Table2[[#This Row],[DATE SENT TO POG]]</f>
        <v>343</v>
      </c>
      <c r="Q250" s="6" t="s">
        <v>5803</v>
      </c>
      <c r="R2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0" s="2" t="str">
        <f>_xlfn.XLOOKUP(Table2[[#This Row],[Adjusted Form '#]],'[2]IN PROGRESS'!$D:$D,'[2]IN PROGRESS'!$M:$M,"Not Found")</f>
        <v>Not Found</v>
      </c>
      <c r="U250" s="2" t="str">
        <f>_xlfn.XLOOKUP(Table2[[#This Row],[Adjusted Form '#]],[1]COMPLETED!$D:$D,[2]COMPLETED!$M:$M,"Not Found")</f>
        <v>Not Found</v>
      </c>
      <c r="V250" s="17" t="str">
        <f>_xlfn.XLOOKUP(Table2[[#This Row],[Adjusted Form '#]],[2]COMPLETED!$D:$D,[2]COMPLETED!$O:$O,"Not Found")</f>
        <v>Not Found</v>
      </c>
      <c r="W250" s="2" t="str">
        <f>_xlfn.XLOOKUP(Table2[[#This Row],[Adjusted Form '#]],[2]BILLED!$D:$D,[2]BILLED!$M:$M,"Not Found")</f>
        <v>1Z5063E0YW41604187</v>
      </c>
      <c r="X250" s="17" t="e">
        <f>_xlfn.XLOOKUP(Table2[[#This Row],[Adjusted Form '#]],[2]BILLED!$D:$D,[1]BILLED!$O:$O,"Not Found")</f>
        <v>#REF!</v>
      </c>
      <c r="Y250" s="17" t="str">
        <f>_xlfn.XLOOKUP(Table2[[#This Row],[Adjusted Form '#]],'[2]REJECTED ORDERS'!$D:$D,'[2]REJECTED ORDERS'!$E:$E)</f>
        <v>FORM NUMBER ALREADY USED</v>
      </c>
      <c r="Z250" s="1"/>
      <c r="AA250" s="1"/>
      <c r="AB250" s="8"/>
      <c r="AC250" s="8"/>
      <c r="AD250" s="8"/>
      <c r="AE250" s="8"/>
      <c r="AF250" s="8"/>
      <c r="AG250" s="8"/>
      <c r="AH250" s="8"/>
      <c r="AI250" s="8"/>
      <c r="AJ250" s="8"/>
    </row>
    <row r="251" spans="1:36" ht="15" customHeight="1" x14ac:dyDescent="0.35">
      <c r="A251" s="4" t="s">
        <v>353</v>
      </c>
      <c r="B251" s="1" t="s">
        <v>2744</v>
      </c>
      <c r="C251" s="11">
        <v>44963</v>
      </c>
      <c r="D251" s="11" t="s">
        <v>4234</v>
      </c>
      <c r="E251" s="1" t="s">
        <v>21</v>
      </c>
      <c r="F251" s="1" t="s">
        <v>3718</v>
      </c>
      <c r="G251" s="6">
        <f>COUNTIF(F:F,Table2[[#This Row],[Form '#]])</f>
        <v>1</v>
      </c>
      <c r="H251" s="1" t="s">
        <v>3719</v>
      </c>
      <c r="I251" s="1" t="s">
        <v>127</v>
      </c>
      <c r="J251" s="1" t="s">
        <v>74</v>
      </c>
      <c r="K251" s="1" t="s">
        <v>4011</v>
      </c>
      <c r="L251" s="1"/>
      <c r="M251" s="6" t="str">
        <f>IF(Table2[[#This Row],[Corrected Form '#
 (If Duplicated)]]="",Table2[[#This Row],[Form '#]],Table2[[#This Row],[Corrected Form '#
 (If Duplicated)]])</f>
        <v>7818-22230</v>
      </c>
      <c r="N251" s="1" t="s">
        <v>49</v>
      </c>
      <c r="O251" s="6" t="str">
        <f>IF(Table2[[#This Row],[POG CONFIRMATION RECEIPT OF ORDER
(DATE &amp; TIME)]]="","No Confirmation","Received Confirmation")</f>
        <v>Received Confirmation</v>
      </c>
      <c r="P251" s="6">
        <f ca="1">TODAY()-Table2[[#This Row],[DATE SENT TO POG]]</f>
        <v>340</v>
      </c>
      <c r="Q251" s="6" t="s">
        <v>5803</v>
      </c>
      <c r="R2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1" s="2" t="str">
        <f>_xlfn.XLOOKUP(Table2[[#This Row],[Adjusted Form '#]],'[2]IN PROGRESS'!$D:$D,'[2]IN PROGRESS'!$M:$M,"Not Found")</f>
        <v>Not Found</v>
      </c>
      <c r="U251" s="2" t="str">
        <f>_xlfn.XLOOKUP(Table2[[#This Row],[Adjusted Form '#]],[1]COMPLETED!$D:$D,[2]COMPLETED!$M:$M,"Not Found")</f>
        <v>Not Found</v>
      </c>
      <c r="V251" s="17" t="str">
        <f>_xlfn.XLOOKUP(Table2[[#This Row],[Adjusted Form '#]],[2]COMPLETED!$D:$D,[2]COMPLETED!$O:$O,"Not Found")</f>
        <v>Not Found</v>
      </c>
      <c r="W251" s="2" t="str">
        <f>_xlfn.XLOOKUP(Table2[[#This Row],[Adjusted Form '#]],[2]BILLED!$D:$D,[2]BILLED!$M:$M,"Not Found")</f>
        <v>1Z5063E0YW41736446</v>
      </c>
      <c r="X251" s="17" t="e">
        <f>_xlfn.XLOOKUP(Table2[[#This Row],[Adjusted Form '#]],[2]BILLED!$D:$D,[1]BILLED!$O:$O,"Not Found")</f>
        <v>#REF!</v>
      </c>
      <c r="Y251" s="17" t="e">
        <f>_xlfn.XLOOKUP(Table2[[#This Row],[Adjusted Form '#]],'[2]REJECTED ORDERS'!$D:$D,'[2]REJECTED ORDERS'!$E:$E)</f>
        <v>#N/A</v>
      </c>
      <c r="Z251" s="1"/>
      <c r="AA251" s="1"/>
      <c r="AB251" s="8"/>
      <c r="AC251" s="8"/>
      <c r="AD251" s="8"/>
      <c r="AE251" s="8"/>
      <c r="AF251" s="8"/>
      <c r="AG251" s="8"/>
      <c r="AH251" s="8"/>
      <c r="AI251" s="8"/>
      <c r="AJ251" s="8"/>
    </row>
    <row r="252" spans="1:36" ht="15" customHeight="1" x14ac:dyDescent="0.35">
      <c r="A252" s="4" t="s">
        <v>356</v>
      </c>
      <c r="B252" s="1" t="s">
        <v>3305</v>
      </c>
      <c r="C252" s="11">
        <v>44963</v>
      </c>
      <c r="D252" s="11" t="s">
        <v>4234</v>
      </c>
      <c r="E252" s="1" t="s">
        <v>191</v>
      </c>
      <c r="F252" s="1" t="s">
        <v>4235</v>
      </c>
      <c r="G252" s="6">
        <f>COUNTIF(F:F,Table2[[#This Row],[Form '#]])</f>
        <v>1</v>
      </c>
      <c r="H252" s="1" t="s">
        <v>4236</v>
      </c>
      <c r="I252" s="1" t="s">
        <v>127</v>
      </c>
      <c r="J252" s="1" t="s">
        <v>74</v>
      </c>
      <c r="K252" s="1" t="s">
        <v>4011</v>
      </c>
      <c r="L252" s="1"/>
      <c r="M252" s="6" t="str">
        <f>IF(Table2[[#This Row],[Corrected Form '#
 (If Duplicated)]]="",Table2[[#This Row],[Form '#]],Table2[[#This Row],[Corrected Form '#
 (If Duplicated)]])</f>
        <v>7812-02071</v>
      </c>
      <c r="N252" s="1" t="s">
        <v>49</v>
      </c>
      <c r="O252" s="6" t="str">
        <f>IF(Table2[[#This Row],[POG CONFIRMATION RECEIPT OF ORDER
(DATE &amp; TIME)]]="","No Confirmation","Received Confirmation")</f>
        <v>Received Confirmation</v>
      </c>
      <c r="P252" s="6">
        <f ca="1">TODAY()-Table2[[#This Row],[DATE SENT TO POG]]</f>
        <v>340</v>
      </c>
      <c r="Q252" s="6" t="s">
        <v>5803</v>
      </c>
      <c r="R2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2" s="2" t="str">
        <f>_xlfn.XLOOKUP(Table2[[#This Row],[Adjusted Form '#]],'[2]IN PROGRESS'!$D:$D,'[2]IN PROGRESS'!$M:$M,"Not Found")</f>
        <v>Not Found</v>
      </c>
      <c r="U252" s="2" t="str">
        <f>_xlfn.XLOOKUP(Table2[[#This Row],[Adjusted Form '#]],[1]COMPLETED!$D:$D,[2]COMPLETED!$M:$M,"Not Found")</f>
        <v>Not Found</v>
      </c>
      <c r="V252" s="17" t="str">
        <f>_xlfn.XLOOKUP(Table2[[#This Row],[Adjusted Form '#]],[2]COMPLETED!$D:$D,[2]COMPLETED!$O:$O,"Not Found")</f>
        <v>Not Found</v>
      </c>
      <c r="W252" s="2" t="str">
        <f>_xlfn.XLOOKUP(Table2[[#This Row],[Adjusted Form '#]],[2]BILLED!$D:$D,[2]BILLED!$M:$M,"Not Found")</f>
        <v>1Z5063E0YW40523570</v>
      </c>
      <c r="X252" s="17" t="e">
        <f>_xlfn.XLOOKUP(Table2[[#This Row],[Adjusted Form '#]],[2]BILLED!$D:$D,[1]BILLED!$O:$O,"Not Found")</f>
        <v>#REF!</v>
      </c>
      <c r="Y252" s="17" t="e">
        <f>_xlfn.XLOOKUP(Table2[[#This Row],[Adjusted Form '#]],'[2]REJECTED ORDERS'!$D:$D,'[2]REJECTED ORDERS'!$E:$E)</f>
        <v>#N/A</v>
      </c>
      <c r="Z252" s="1"/>
      <c r="AA252" s="1"/>
      <c r="AB252" s="8"/>
      <c r="AC252" s="8"/>
      <c r="AD252" s="8"/>
      <c r="AE252" s="8"/>
      <c r="AF252" s="8"/>
      <c r="AG252" s="8"/>
      <c r="AH252" s="8"/>
      <c r="AI252" s="8"/>
      <c r="AJ252" s="8"/>
    </row>
    <row r="253" spans="1:36" ht="15" customHeight="1" x14ac:dyDescent="0.35">
      <c r="A253" s="4" t="s">
        <v>358</v>
      </c>
      <c r="B253" s="1" t="s">
        <v>3305</v>
      </c>
      <c r="C253" s="11">
        <v>44963</v>
      </c>
      <c r="D253" s="11" t="s">
        <v>4234</v>
      </c>
      <c r="E253" s="1" t="s">
        <v>191</v>
      </c>
      <c r="F253" s="1" t="s">
        <v>4237</v>
      </c>
      <c r="G253" s="6">
        <f>COUNTIF(F:F,Table2[[#This Row],[Form '#]])</f>
        <v>1</v>
      </c>
      <c r="H253" s="1" t="s">
        <v>4238</v>
      </c>
      <c r="I253" s="1" t="s">
        <v>127</v>
      </c>
      <c r="J253" s="1" t="s">
        <v>76</v>
      </c>
      <c r="K253" s="1" t="s">
        <v>4011</v>
      </c>
      <c r="L253" s="1"/>
      <c r="M253" s="6" t="str">
        <f>IF(Table2[[#This Row],[Corrected Form '#
 (If Duplicated)]]="",Table2[[#This Row],[Form '#]],Table2[[#This Row],[Corrected Form '#
 (If Duplicated)]])</f>
        <v>7812-03002</v>
      </c>
      <c r="N253" s="1" t="s">
        <v>49</v>
      </c>
      <c r="O253" s="6" t="str">
        <f>IF(Table2[[#This Row],[POG CONFIRMATION RECEIPT OF ORDER
(DATE &amp; TIME)]]="","No Confirmation","Received Confirmation")</f>
        <v>Received Confirmation</v>
      </c>
      <c r="P253" s="6">
        <f ca="1">TODAY()-Table2[[#This Row],[DATE SENT TO POG]]</f>
        <v>340</v>
      </c>
      <c r="Q253" s="6" t="s">
        <v>5803</v>
      </c>
      <c r="R2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3" s="2" t="str">
        <f>_xlfn.XLOOKUP(Table2[[#This Row],[Adjusted Form '#]],'[2]IN PROGRESS'!$D:$D,'[2]IN PROGRESS'!$M:$M,"Not Found")</f>
        <v>Not Found</v>
      </c>
      <c r="U253" s="2" t="str">
        <f>_xlfn.XLOOKUP(Table2[[#This Row],[Adjusted Form '#]],[1]COMPLETED!$D:$D,[2]COMPLETED!$M:$M,"Not Found")</f>
        <v>Not Found</v>
      </c>
      <c r="V253" s="17" t="str">
        <f>_xlfn.XLOOKUP(Table2[[#This Row],[Adjusted Form '#]],[2]COMPLETED!$D:$D,[2]COMPLETED!$O:$O,"Not Found")</f>
        <v>Not Found</v>
      </c>
      <c r="W253" s="2" t="str">
        <f>_xlfn.XLOOKUP(Table2[[#This Row],[Adjusted Form '#]],[2]BILLED!$D:$D,[2]BILLED!$M:$M,"Not Found")</f>
        <v>1Z5063E0YW41821184</v>
      </c>
      <c r="X253" s="17" t="e">
        <f>_xlfn.XLOOKUP(Table2[[#This Row],[Adjusted Form '#]],[2]BILLED!$D:$D,[1]BILLED!$O:$O,"Not Found")</f>
        <v>#REF!</v>
      </c>
      <c r="Y253" s="17" t="e">
        <f>_xlfn.XLOOKUP(Table2[[#This Row],[Adjusted Form '#]],'[2]REJECTED ORDERS'!$D:$D,'[2]REJECTED ORDERS'!$E:$E)</f>
        <v>#N/A</v>
      </c>
      <c r="Z253" s="1"/>
      <c r="AA253" s="1"/>
      <c r="AB253" s="8"/>
      <c r="AC253" s="8"/>
      <c r="AD253" s="8"/>
      <c r="AE253" s="8"/>
      <c r="AF253" s="8"/>
      <c r="AG253" s="8"/>
      <c r="AH253" s="8"/>
      <c r="AI253" s="8"/>
      <c r="AJ253" s="8"/>
    </row>
    <row r="254" spans="1:36" ht="15" customHeight="1" x14ac:dyDescent="0.35">
      <c r="A254" s="4" t="s">
        <v>359</v>
      </c>
      <c r="B254" s="1" t="s">
        <v>3305</v>
      </c>
      <c r="C254" s="11">
        <v>44963</v>
      </c>
      <c r="E254" s="1" t="s">
        <v>191</v>
      </c>
      <c r="F254" s="1" t="s">
        <v>4239</v>
      </c>
      <c r="G254" s="6">
        <f>COUNTIF(F:F,Table2[[#This Row],[Form '#]])</f>
        <v>1</v>
      </c>
      <c r="H254" s="1" t="s">
        <v>4240</v>
      </c>
      <c r="I254" s="1" t="s">
        <v>127</v>
      </c>
      <c r="J254" s="1" t="s">
        <v>76</v>
      </c>
      <c r="K254" s="1" t="s">
        <v>4011</v>
      </c>
      <c r="L254" s="1"/>
      <c r="M254" s="6" t="str">
        <f>IF(Table2[[#This Row],[Corrected Form '#
 (If Duplicated)]]="",Table2[[#This Row],[Form '#]],Table2[[#This Row],[Corrected Form '#
 (If Duplicated)]])</f>
        <v>7812-00358</v>
      </c>
      <c r="N254" s="1" t="s">
        <v>49</v>
      </c>
      <c r="O254" s="6" t="str">
        <f>IF(Table2[[#This Row],[POG CONFIRMATION RECEIPT OF ORDER
(DATE &amp; TIME)]]="","No Confirmation","Received Confirmation")</f>
        <v>No Confirmation</v>
      </c>
      <c r="P254" s="6">
        <f ca="1">TODAY()-Table2[[#This Row],[DATE SENT TO POG]]</f>
        <v>340</v>
      </c>
      <c r="Q254" s="6" t="s">
        <v>5803</v>
      </c>
      <c r="R2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4" s="2" t="str">
        <f>_xlfn.XLOOKUP(Table2[[#This Row],[Adjusted Form '#]],'[2]IN PROGRESS'!$D:$D,'[2]IN PROGRESS'!$M:$M,"Not Found")</f>
        <v>Not Found</v>
      </c>
      <c r="U254" s="2" t="str">
        <f>_xlfn.XLOOKUP(Table2[[#This Row],[Adjusted Form '#]],[1]COMPLETED!$D:$D,[2]COMPLETED!$M:$M,"Not Found")</f>
        <v>Not Found</v>
      </c>
      <c r="V254" s="17" t="str">
        <f>_xlfn.XLOOKUP(Table2[[#This Row],[Adjusted Form '#]],[2]COMPLETED!$D:$D,[2]COMPLETED!$O:$O,"Not Found")</f>
        <v>Not Found</v>
      </c>
      <c r="W254" s="2" t="str">
        <f>_xlfn.XLOOKUP(Table2[[#This Row],[Adjusted Form '#]],[2]BILLED!$D:$D,[2]BILLED!$M:$M,"Not Found")</f>
        <v>1Z5063E0YW41347992</v>
      </c>
      <c r="X254" s="17" t="e">
        <f>_xlfn.XLOOKUP(Table2[[#This Row],[Adjusted Form '#]],[2]BILLED!$D:$D,[1]BILLED!$O:$O,"Not Found")</f>
        <v>#REF!</v>
      </c>
      <c r="Y254" s="17" t="e">
        <f>_xlfn.XLOOKUP(Table2[[#This Row],[Adjusted Form '#]],'[2]REJECTED ORDERS'!$D:$D,'[2]REJECTED ORDERS'!$E:$E)</f>
        <v>#N/A</v>
      </c>
      <c r="Z254" s="1"/>
      <c r="AA254" s="1"/>
      <c r="AB254" s="8"/>
      <c r="AC254" s="8"/>
      <c r="AD254" s="8"/>
      <c r="AE254" s="8"/>
      <c r="AF254" s="8"/>
      <c r="AG254" s="8"/>
      <c r="AH254" s="8"/>
      <c r="AI254" s="8"/>
      <c r="AJ254" s="8"/>
    </row>
    <row r="255" spans="1:36" ht="15" customHeight="1" x14ac:dyDescent="0.35">
      <c r="A255" s="4" t="s">
        <v>360</v>
      </c>
      <c r="B255" s="1" t="s">
        <v>3305</v>
      </c>
      <c r="C255" s="11">
        <v>44963</v>
      </c>
      <c r="E255" s="1" t="s">
        <v>191</v>
      </c>
      <c r="F255" s="1" t="s">
        <v>4241</v>
      </c>
      <c r="G255" s="6">
        <f>COUNTIF(F:F,Table2[[#This Row],[Form '#]])</f>
        <v>1</v>
      </c>
      <c r="H255" s="1" t="s">
        <v>4242</v>
      </c>
      <c r="I255" s="1" t="s">
        <v>3864</v>
      </c>
      <c r="J255" s="1" t="s">
        <v>3891</v>
      </c>
      <c r="K255" s="1" t="s">
        <v>3879</v>
      </c>
      <c r="L255" s="1"/>
      <c r="M255" s="6" t="str">
        <f>IF(Table2[[#This Row],[Corrected Form '#
 (If Duplicated)]]="",Table2[[#This Row],[Form '#]],Table2[[#This Row],[Corrected Form '#
 (If Duplicated)]])</f>
        <v>7812-3861</v>
      </c>
      <c r="N255" s="1" t="s">
        <v>49</v>
      </c>
      <c r="O255" s="6" t="str">
        <f>IF(Table2[[#This Row],[POG CONFIRMATION RECEIPT OF ORDER
(DATE &amp; TIME)]]="","No Confirmation","Received Confirmation")</f>
        <v>No Confirmation</v>
      </c>
      <c r="P255" s="6">
        <f ca="1">TODAY()-Table2[[#This Row],[DATE SENT TO POG]]</f>
        <v>340</v>
      </c>
      <c r="Q255" s="6" t="s">
        <v>5803</v>
      </c>
      <c r="R2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5" s="2" t="str">
        <f>_xlfn.XLOOKUP(Table2[[#This Row],[Adjusted Form '#]],'[2]IN PROGRESS'!$D:$D,'[2]IN PROGRESS'!$M:$M,"Not Found")</f>
        <v>Not Found</v>
      </c>
      <c r="U255" s="2" t="str">
        <f>_xlfn.XLOOKUP(Table2[[#This Row],[Adjusted Form '#]],[1]COMPLETED!$D:$D,[2]COMPLETED!$M:$M,"Not Found")</f>
        <v>Not Found</v>
      </c>
      <c r="V255" s="17" t="str">
        <f>_xlfn.XLOOKUP(Table2[[#This Row],[Adjusted Form '#]],[2]COMPLETED!$D:$D,[2]COMPLETED!$O:$O,"Not Found")</f>
        <v>Not Found</v>
      </c>
      <c r="W255" s="2" t="str">
        <f>_xlfn.XLOOKUP(Table2[[#This Row],[Adjusted Form '#]],[2]BILLED!$D:$D,[2]BILLED!$M:$M,"Not Found")</f>
        <v>1Z5063E0YW40575603</v>
      </c>
      <c r="X255" s="17" t="e">
        <f>_xlfn.XLOOKUP(Table2[[#This Row],[Adjusted Form '#]],[2]BILLED!$D:$D,[1]BILLED!$O:$O,"Not Found")</f>
        <v>#REF!</v>
      </c>
      <c r="Y255" s="17" t="e">
        <f>_xlfn.XLOOKUP(Table2[[#This Row],[Adjusted Form '#]],'[2]REJECTED ORDERS'!$D:$D,'[2]REJECTED ORDERS'!$E:$E)</f>
        <v>#N/A</v>
      </c>
      <c r="Z255" s="1"/>
      <c r="AA255" s="1"/>
      <c r="AB255" s="8"/>
      <c r="AC255" s="8"/>
      <c r="AD255" s="8"/>
      <c r="AE255" s="8"/>
      <c r="AF255" s="8"/>
      <c r="AG255" s="8"/>
      <c r="AH255" s="8"/>
      <c r="AI255" s="8"/>
      <c r="AJ255" s="8"/>
    </row>
    <row r="256" spans="1:36" ht="15" customHeight="1" x14ac:dyDescent="0.35">
      <c r="A256" s="4" t="s">
        <v>362</v>
      </c>
      <c r="B256" s="1" t="s">
        <v>2915</v>
      </c>
      <c r="C256" s="11">
        <v>44963</v>
      </c>
      <c r="D256" s="11" t="s">
        <v>4243</v>
      </c>
      <c r="E256" s="1" t="s">
        <v>14</v>
      </c>
      <c r="F256" s="1" t="s">
        <v>4244</v>
      </c>
      <c r="G256" s="6">
        <f>COUNTIF(F:F,Table2[[#This Row],[Form '#]])</f>
        <v>1</v>
      </c>
      <c r="H256" s="1" t="s">
        <v>2897</v>
      </c>
      <c r="I256" s="1" t="s">
        <v>3852</v>
      </c>
      <c r="J256" s="1" t="s">
        <v>3891</v>
      </c>
      <c r="K256" s="1" t="s">
        <v>3853</v>
      </c>
      <c r="L256" s="1"/>
      <c r="M256" s="6" t="str">
        <f>IF(Table2[[#This Row],[Corrected Form '#
 (If Duplicated)]]="",Table2[[#This Row],[Form '#]],Table2[[#This Row],[Corrected Form '#
 (If Duplicated)]])</f>
        <v>7810-01772</v>
      </c>
      <c r="N256" s="1" t="s">
        <v>49</v>
      </c>
      <c r="O256" s="6" t="str">
        <f>IF(Table2[[#This Row],[POG CONFIRMATION RECEIPT OF ORDER
(DATE &amp; TIME)]]="","No Confirmation","Received Confirmation")</f>
        <v>Received Confirmation</v>
      </c>
      <c r="P256" s="6">
        <f ca="1">TODAY()-Table2[[#This Row],[DATE SENT TO POG]]</f>
        <v>340</v>
      </c>
      <c r="Q256" s="6" t="s">
        <v>5803</v>
      </c>
      <c r="R2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6" s="2" t="str">
        <f>_xlfn.XLOOKUP(Table2[[#This Row],[Adjusted Form '#]],'[2]IN PROGRESS'!$D:$D,'[2]IN PROGRESS'!$M:$M,"Not Found")</f>
        <v>Not Found</v>
      </c>
      <c r="U256" s="2" t="str">
        <f>_xlfn.XLOOKUP(Table2[[#This Row],[Adjusted Form '#]],[1]COMPLETED!$D:$D,[2]COMPLETED!$M:$M,"Not Found")</f>
        <v>Not Found</v>
      </c>
      <c r="V256" s="17" t="str">
        <f>_xlfn.XLOOKUP(Table2[[#This Row],[Adjusted Form '#]],[2]COMPLETED!$D:$D,[2]COMPLETED!$O:$O,"Not Found")</f>
        <v>Not Found</v>
      </c>
      <c r="W256" s="2" t="str">
        <f>_xlfn.XLOOKUP(Table2[[#This Row],[Adjusted Form '#]],[2]BILLED!$D:$D,[2]BILLED!$M:$M,"Not Found")</f>
        <v>1Z5063E0YW42710686</v>
      </c>
      <c r="X256" s="17" t="e">
        <f>_xlfn.XLOOKUP(Table2[[#This Row],[Adjusted Form '#]],[2]BILLED!$D:$D,[1]BILLED!$O:$O,"Not Found")</f>
        <v>#REF!</v>
      </c>
      <c r="Y256" s="17" t="e">
        <f>_xlfn.XLOOKUP(Table2[[#This Row],[Adjusted Form '#]],'[2]REJECTED ORDERS'!$D:$D,'[2]REJECTED ORDERS'!$E:$E)</f>
        <v>#N/A</v>
      </c>
      <c r="Z256" s="1"/>
      <c r="AA256" s="1"/>
      <c r="AB256" s="8"/>
      <c r="AC256" s="8"/>
      <c r="AD256" s="8"/>
      <c r="AE256" s="8"/>
      <c r="AF256" s="8"/>
      <c r="AG256" s="8"/>
      <c r="AH256" s="8"/>
      <c r="AI256" s="8"/>
      <c r="AJ256" s="8"/>
    </row>
    <row r="257" spans="1:36" ht="15" customHeight="1" x14ac:dyDescent="0.35">
      <c r="A257" s="4" t="s">
        <v>363</v>
      </c>
      <c r="B257" s="1" t="s">
        <v>2915</v>
      </c>
      <c r="C257" s="11">
        <v>44963</v>
      </c>
      <c r="D257" s="11" t="s">
        <v>4243</v>
      </c>
      <c r="E257" s="1" t="s">
        <v>14</v>
      </c>
      <c r="F257" s="1" t="s">
        <v>4245</v>
      </c>
      <c r="G257" s="6">
        <f>COUNTIF(F:F,Table2[[#This Row],[Form '#]])</f>
        <v>1</v>
      </c>
      <c r="H257" s="1" t="s">
        <v>2787</v>
      </c>
      <c r="I257" s="1" t="s">
        <v>127</v>
      </c>
      <c r="J257" s="1" t="s">
        <v>3891</v>
      </c>
      <c r="K257" s="1" t="s">
        <v>4011</v>
      </c>
      <c r="L257" s="1"/>
      <c r="M257" s="6" t="str">
        <f>IF(Table2[[#This Row],[Corrected Form '#
 (If Duplicated)]]="",Table2[[#This Row],[Form '#]],Table2[[#This Row],[Corrected Form '#
 (If Duplicated)]])</f>
        <v>7810-00083</v>
      </c>
      <c r="N257" s="1" t="s">
        <v>49</v>
      </c>
      <c r="O257" s="6" t="str">
        <f>IF(Table2[[#This Row],[POG CONFIRMATION RECEIPT OF ORDER
(DATE &amp; TIME)]]="","No Confirmation","Received Confirmation")</f>
        <v>Received Confirmation</v>
      </c>
      <c r="P257" s="6">
        <f ca="1">TODAY()-Table2[[#This Row],[DATE SENT TO POG]]</f>
        <v>340</v>
      </c>
      <c r="Q257" s="6" t="s">
        <v>5803</v>
      </c>
      <c r="R2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7" s="2" t="str">
        <f>_xlfn.XLOOKUP(Table2[[#This Row],[Adjusted Form '#]],'[2]IN PROGRESS'!$D:$D,'[2]IN PROGRESS'!$M:$M,"Not Found")</f>
        <v>Not Found</v>
      </c>
      <c r="U257" s="2" t="str">
        <f>_xlfn.XLOOKUP(Table2[[#This Row],[Adjusted Form '#]],[1]COMPLETED!$D:$D,[2]COMPLETED!$M:$M,"Not Found")</f>
        <v>Not Found</v>
      </c>
      <c r="V257" s="17" t="str">
        <f>_xlfn.XLOOKUP(Table2[[#This Row],[Adjusted Form '#]],[2]COMPLETED!$D:$D,[2]COMPLETED!$O:$O,"Not Found")</f>
        <v>Not Found</v>
      </c>
      <c r="W257" s="2" t="str">
        <f>_xlfn.XLOOKUP(Table2[[#This Row],[Adjusted Form '#]],[2]BILLED!$D:$D,[2]BILLED!$M:$M,"Not Found")</f>
        <v>1Z5063E0YW41497133</v>
      </c>
      <c r="X257" s="17" t="e">
        <f>_xlfn.XLOOKUP(Table2[[#This Row],[Adjusted Form '#]],[2]BILLED!$D:$D,[1]BILLED!$O:$O,"Not Found")</f>
        <v>#REF!</v>
      </c>
      <c r="Y257" s="17" t="e">
        <f>_xlfn.XLOOKUP(Table2[[#This Row],[Adjusted Form '#]],'[2]REJECTED ORDERS'!$D:$D,'[2]REJECTED ORDERS'!$E:$E)</f>
        <v>#N/A</v>
      </c>
      <c r="Z257" s="1"/>
      <c r="AA257" s="1"/>
      <c r="AB257" s="8"/>
      <c r="AC257" s="8"/>
      <c r="AD257" s="8"/>
      <c r="AE257" s="8"/>
      <c r="AF257" s="8"/>
      <c r="AG257" s="8"/>
      <c r="AH257" s="8"/>
      <c r="AI257" s="8"/>
      <c r="AJ257" s="8"/>
    </row>
    <row r="258" spans="1:36" ht="15" customHeight="1" x14ac:dyDescent="0.35">
      <c r="A258" s="4" t="s">
        <v>364</v>
      </c>
      <c r="B258" s="1" t="s">
        <v>4246</v>
      </c>
      <c r="C258" s="11">
        <v>44963</v>
      </c>
      <c r="D258" s="11" t="s">
        <v>4243</v>
      </c>
      <c r="E258" s="1" t="s">
        <v>21</v>
      </c>
      <c r="F258" s="1" t="s">
        <v>4247</v>
      </c>
      <c r="G258" s="6">
        <f>COUNTIF(F:F,Table2[[#This Row],[Form '#]])</f>
        <v>2</v>
      </c>
      <c r="H258" s="1" t="s">
        <v>505</v>
      </c>
      <c r="I258" s="1" t="s">
        <v>3864</v>
      </c>
      <c r="J258" s="1" t="s">
        <v>78</v>
      </c>
      <c r="K258" s="1" t="s">
        <v>3879</v>
      </c>
      <c r="L258" s="1"/>
      <c r="M258" s="6" t="str">
        <f>IF(Table2[[#This Row],[Corrected Form '#
 (If Duplicated)]]="",Table2[[#This Row],[Form '#]],Table2[[#This Row],[Corrected Form '#
 (If Duplicated)]])</f>
        <v>7818-15030</v>
      </c>
      <c r="N258" s="1" t="s">
        <v>49</v>
      </c>
      <c r="O258" s="6" t="str">
        <f>IF(Table2[[#This Row],[POG CONFIRMATION RECEIPT OF ORDER
(DATE &amp; TIME)]]="","No Confirmation","Received Confirmation")</f>
        <v>Received Confirmation</v>
      </c>
      <c r="P258" s="6">
        <f ca="1">TODAY()-Table2[[#This Row],[DATE SENT TO POG]]</f>
        <v>340</v>
      </c>
      <c r="Q258" s="6" t="s">
        <v>5803</v>
      </c>
      <c r="R2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58" s="2" t="str">
        <f>_xlfn.XLOOKUP(Table2[[#This Row],[Adjusted Form '#]],'[2]IN PROGRESS'!$D:$D,'[2]IN PROGRESS'!$M:$M,"Not Found")</f>
        <v>Not Found</v>
      </c>
      <c r="U258" s="2" t="str">
        <f>_xlfn.XLOOKUP(Table2[[#This Row],[Adjusted Form '#]],[1]COMPLETED!$D:$D,[2]COMPLETED!$M:$M,"Not Found")</f>
        <v>Not Found</v>
      </c>
      <c r="V258" s="17" t="str">
        <f>_xlfn.XLOOKUP(Table2[[#This Row],[Adjusted Form '#]],[2]COMPLETED!$D:$D,[2]COMPLETED!$O:$O,"Not Found")</f>
        <v>Not Found</v>
      </c>
      <c r="W258" s="2" t="str">
        <f>_xlfn.XLOOKUP(Table2[[#This Row],[Adjusted Form '#]],[2]BILLED!$D:$D,[2]BILLED!$M:$M,"Not Found")</f>
        <v>1Z5063E0YW42844578</v>
      </c>
      <c r="X258" s="17" t="e">
        <f>_xlfn.XLOOKUP(Table2[[#This Row],[Adjusted Form '#]],[2]BILLED!$D:$D,[1]BILLED!$O:$O,"Not Found")</f>
        <v>#REF!</v>
      </c>
      <c r="Y258" s="17" t="e">
        <f>_xlfn.XLOOKUP(Table2[[#This Row],[Adjusted Form '#]],'[2]REJECTED ORDERS'!$D:$D,'[2]REJECTED ORDERS'!$E:$E)</f>
        <v>#N/A</v>
      </c>
      <c r="Z258" s="1"/>
      <c r="AA258" s="1"/>
      <c r="AB258" s="8"/>
      <c r="AC258" s="8"/>
      <c r="AD258" s="8"/>
      <c r="AE258" s="8"/>
      <c r="AF258" s="8"/>
      <c r="AG258" s="8"/>
      <c r="AH258" s="8"/>
      <c r="AI258" s="8"/>
      <c r="AJ258" s="8"/>
    </row>
    <row r="259" spans="1:36" ht="15" customHeight="1" x14ac:dyDescent="0.35">
      <c r="A259" s="4" t="s">
        <v>366</v>
      </c>
      <c r="B259" s="1" t="s">
        <v>4246</v>
      </c>
      <c r="C259" s="11">
        <v>44963</v>
      </c>
      <c r="D259" s="11" t="s">
        <v>4243</v>
      </c>
      <c r="E259" s="1" t="s">
        <v>21</v>
      </c>
      <c r="F259" s="1" t="s">
        <v>4248</v>
      </c>
      <c r="G259" s="6">
        <f>COUNTIF(F:F,Table2[[#This Row],[Form '#]])</f>
        <v>1</v>
      </c>
      <c r="H259" s="1" t="s">
        <v>4249</v>
      </c>
      <c r="I259" s="1" t="s">
        <v>28</v>
      </c>
      <c r="J259" s="1" t="s">
        <v>69</v>
      </c>
      <c r="K259" s="1" t="s">
        <v>4011</v>
      </c>
      <c r="L259" s="1"/>
      <c r="M259" s="6" t="str">
        <f>IF(Table2[[#This Row],[Corrected Form '#
 (If Duplicated)]]="",Table2[[#This Row],[Form '#]],Table2[[#This Row],[Corrected Form '#
 (If Duplicated)]])</f>
        <v>7818-15252</v>
      </c>
      <c r="N259" s="1" t="s">
        <v>49</v>
      </c>
      <c r="O259" s="6" t="str">
        <f>IF(Table2[[#This Row],[POG CONFIRMATION RECEIPT OF ORDER
(DATE &amp; TIME)]]="","No Confirmation","Received Confirmation")</f>
        <v>Received Confirmation</v>
      </c>
      <c r="P259" s="6">
        <f ca="1">TODAY()-Table2[[#This Row],[DATE SENT TO POG]]</f>
        <v>340</v>
      </c>
      <c r="Q259" s="6" t="s">
        <v>5802</v>
      </c>
      <c r="R2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5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59" s="2" t="str">
        <f>_xlfn.XLOOKUP(Table2[[#This Row],[Adjusted Form '#]],'[2]IN PROGRESS'!$D:$D,'[2]IN PROGRESS'!$M:$M,"Not Found")</f>
        <v>Not Found</v>
      </c>
      <c r="U259" s="2" t="str">
        <f>_xlfn.XLOOKUP(Table2[[#This Row],[Adjusted Form '#]],[1]COMPLETED!$D:$D,[2]COMPLETED!$M:$M,"Not Found")</f>
        <v>Not Found</v>
      </c>
      <c r="V259" s="17" t="str">
        <f>_xlfn.XLOOKUP(Table2[[#This Row],[Adjusted Form '#]],[2]COMPLETED!$D:$D,[2]COMPLETED!$O:$O,"Not Found")</f>
        <v>Not Found</v>
      </c>
      <c r="W259" s="2" t="str">
        <f>_xlfn.XLOOKUP(Table2[[#This Row],[Adjusted Form '#]],[2]BILLED!$D:$D,[2]BILLED!$M:$M,"Not Found")</f>
        <v>Not Found</v>
      </c>
      <c r="X259" s="17" t="str">
        <f>_xlfn.XLOOKUP(Table2[[#This Row],[Adjusted Form '#]],[2]BILLED!$D:$D,[1]BILLED!$O:$O,"Not Found")</f>
        <v>Not Found</v>
      </c>
      <c r="Y259" s="17" t="e">
        <f>_xlfn.XLOOKUP(Table2[[#This Row],[Adjusted Form '#]],'[2]REJECTED ORDERS'!$D:$D,'[2]REJECTED ORDERS'!$E:$E)</f>
        <v>#N/A</v>
      </c>
      <c r="Z259" s="1"/>
      <c r="AA259" s="1"/>
      <c r="AB259" s="8"/>
      <c r="AC259" s="8"/>
      <c r="AD259" s="8"/>
      <c r="AE259" s="8"/>
      <c r="AF259" s="8"/>
      <c r="AG259" s="8"/>
      <c r="AH259" s="8"/>
      <c r="AI259" s="8"/>
      <c r="AJ259" s="8"/>
    </row>
    <row r="260" spans="1:36" ht="15" customHeight="1" x14ac:dyDescent="0.35">
      <c r="A260" s="4" t="s">
        <v>368</v>
      </c>
      <c r="B260" s="1" t="s">
        <v>4246</v>
      </c>
      <c r="C260" s="11">
        <v>44963</v>
      </c>
      <c r="D260" s="11" t="s">
        <v>4243</v>
      </c>
      <c r="E260" s="1" t="s">
        <v>21</v>
      </c>
      <c r="F260" s="1" t="s">
        <v>4250</v>
      </c>
      <c r="G260" s="6">
        <f>COUNTIF(F:F,Table2[[#This Row],[Form '#]])</f>
        <v>2</v>
      </c>
      <c r="H260" s="1" t="s">
        <v>4251</v>
      </c>
      <c r="I260" s="1" t="s">
        <v>127</v>
      </c>
      <c r="J260" s="1" t="s">
        <v>71</v>
      </c>
      <c r="K260" s="1" t="s">
        <v>3891</v>
      </c>
      <c r="L260" s="1"/>
      <c r="M260" s="6" t="str">
        <f>IF(Table2[[#This Row],[Corrected Form '#
 (If Duplicated)]]="",Table2[[#This Row],[Form '#]],Table2[[#This Row],[Corrected Form '#
 (If Duplicated)]])</f>
        <v>7818-13882</v>
      </c>
      <c r="N260" s="1" t="s">
        <v>49</v>
      </c>
      <c r="O260" s="6" t="str">
        <f>IF(Table2[[#This Row],[POG CONFIRMATION RECEIPT OF ORDER
(DATE &amp; TIME)]]="","No Confirmation","Received Confirmation")</f>
        <v>Received Confirmation</v>
      </c>
      <c r="P260" s="6">
        <f ca="1">TODAY()-Table2[[#This Row],[DATE SENT TO POG]]</f>
        <v>340</v>
      </c>
      <c r="Q260" s="6" t="s">
        <v>5803</v>
      </c>
      <c r="R2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0" s="2" t="str">
        <f>_xlfn.XLOOKUP(Table2[[#This Row],[Adjusted Form '#]],'[2]IN PROGRESS'!$D:$D,'[2]IN PROGRESS'!$M:$M,"Not Found")</f>
        <v>Not Found</v>
      </c>
      <c r="U260" s="2" t="str">
        <f>_xlfn.XLOOKUP(Table2[[#This Row],[Adjusted Form '#]],[1]COMPLETED!$D:$D,[2]COMPLETED!$M:$M,"Not Found")</f>
        <v>Not Found</v>
      </c>
      <c r="V260" s="17" t="str">
        <f>_xlfn.XLOOKUP(Table2[[#This Row],[Adjusted Form '#]],[2]COMPLETED!$D:$D,[2]COMPLETED!$O:$O,"Not Found")</f>
        <v>Not Found</v>
      </c>
      <c r="W260" s="2" t="str">
        <f>_xlfn.XLOOKUP(Table2[[#This Row],[Adjusted Form '#]],[2]BILLED!$D:$D,[2]BILLED!$M:$M,"Not Found")</f>
        <v>1Z5063E0YW41954675</v>
      </c>
      <c r="X260" s="17" t="e">
        <f>_xlfn.XLOOKUP(Table2[[#This Row],[Adjusted Form '#]],[2]BILLED!$D:$D,[1]BILLED!$O:$O,"Not Found")</f>
        <v>#REF!</v>
      </c>
      <c r="Y260" s="17" t="e">
        <f>_xlfn.XLOOKUP(Table2[[#This Row],[Adjusted Form '#]],'[2]REJECTED ORDERS'!$D:$D,'[2]REJECTED ORDERS'!$E:$E)</f>
        <v>#N/A</v>
      </c>
      <c r="Z260" s="1"/>
      <c r="AA260" s="1"/>
      <c r="AB260" s="8"/>
      <c r="AC260" s="8"/>
      <c r="AD260" s="8"/>
      <c r="AE260" s="8"/>
      <c r="AF260" s="8"/>
      <c r="AG260" s="8"/>
      <c r="AH260" s="8"/>
      <c r="AI260" s="8"/>
      <c r="AJ260" s="8"/>
    </row>
    <row r="261" spans="1:36" ht="15" customHeight="1" x14ac:dyDescent="0.35">
      <c r="A261" s="4" t="s">
        <v>369</v>
      </c>
      <c r="B261" s="1" t="s">
        <v>4246</v>
      </c>
      <c r="C261" s="11">
        <v>44963</v>
      </c>
      <c r="D261" s="11" t="s">
        <v>4243</v>
      </c>
      <c r="E261" s="1" t="s">
        <v>21</v>
      </c>
      <c r="F261" s="1" t="s">
        <v>4252</v>
      </c>
      <c r="G261" s="6">
        <f>COUNTIF(F:F,Table2[[#This Row],[Form '#]])</f>
        <v>2</v>
      </c>
      <c r="H261" s="1" t="s">
        <v>873</v>
      </c>
      <c r="I261" s="1" t="s">
        <v>3852</v>
      </c>
      <c r="J261" s="1" t="s">
        <v>80</v>
      </c>
      <c r="K261" s="1" t="s">
        <v>3853</v>
      </c>
      <c r="L261" s="1"/>
      <c r="M261" s="6" t="str">
        <f>IF(Table2[[#This Row],[Corrected Form '#
 (If Duplicated)]]="",Table2[[#This Row],[Form '#]],Table2[[#This Row],[Corrected Form '#
 (If Duplicated)]])</f>
        <v>7818-16213</v>
      </c>
      <c r="N261" s="1" t="s">
        <v>49</v>
      </c>
      <c r="O261" s="6" t="str">
        <f>IF(Table2[[#This Row],[POG CONFIRMATION RECEIPT OF ORDER
(DATE &amp; TIME)]]="","No Confirmation","Received Confirmation")</f>
        <v>Received Confirmation</v>
      </c>
      <c r="P261" s="6">
        <f ca="1">TODAY()-Table2[[#This Row],[DATE SENT TO POG]]</f>
        <v>340</v>
      </c>
      <c r="Q261" s="6" t="s">
        <v>5803</v>
      </c>
      <c r="R2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1" s="2" t="str">
        <f>_xlfn.XLOOKUP(Table2[[#This Row],[Adjusted Form '#]],'[2]IN PROGRESS'!$D:$D,'[2]IN PROGRESS'!$M:$M,"Not Found")</f>
        <v>Not Found</v>
      </c>
      <c r="U261" s="2" t="str">
        <f>_xlfn.XLOOKUP(Table2[[#This Row],[Adjusted Form '#]],[1]COMPLETED!$D:$D,[2]COMPLETED!$M:$M,"Not Found")</f>
        <v>Not Found</v>
      </c>
      <c r="V261" s="17" t="str">
        <f>_xlfn.XLOOKUP(Table2[[#This Row],[Adjusted Form '#]],[2]COMPLETED!$D:$D,[2]COMPLETED!$O:$O,"Not Found")</f>
        <v>Not Found</v>
      </c>
      <c r="W261" s="2" t="str">
        <f>_xlfn.XLOOKUP(Table2[[#This Row],[Adjusted Form '#]],[2]BILLED!$D:$D,[2]BILLED!$M:$M,"Not Found")</f>
        <v>1Z5063E0YW41343932</v>
      </c>
      <c r="X261" s="17" t="e">
        <f>_xlfn.XLOOKUP(Table2[[#This Row],[Adjusted Form '#]],[2]BILLED!$D:$D,[1]BILLED!$O:$O,"Not Found")</f>
        <v>#REF!</v>
      </c>
      <c r="Y261" s="17" t="str">
        <f>_xlfn.XLOOKUP(Table2[[#This Row],[Adjusted Form '#]],'[2]REJECTED ORDERS'!$D:$D,'[2]REJECTED ORDERS'!$E:$E)</f>
        <v>FORM NOT SIGNED</v>
      </c>
      <c r="Z261" s="1"/>
      <c r="AA261" s="1"/>
      <c r="AB261" s="8"/>
      <c r="AC261" s="8"/>
      <c r="AD261" s="8"/>
      <c r="AE261" s="8"/>
      <c r="AF261" s="8"/>
      <c r="AG261" s="8"/>
      <c r="AH261" s="8"/>
      <c r="AI261" s="8"/>
      <c r="AJ261" s="8"/>
    </row>
    <row r="262" spans="1:36" ht="15" customHeight="1" x14ac:dyDescent="0.35">
      <c r="A262" s="4" t="s">
        <v>371</v>
      </c>
      <c r="B262" s="1" t="s">
        <v>271</v>
      </c>
      <c r="C262" s="11">
        <v>44964</v>
      </c>
      <c r="D262" s="11" t="s">
        <v>4253</v>
      </c>
      <c r="E262" s="1" t="s">
        <v>21</v>
      </c>
      <c r="F262" s="1" t="s">
        <v>4254</v>
      </c>
      <c r="G262" s="6">
        <f>COUNTIF(F:F,Table2[[#This Row],[Form '#]])</f>
        <v>1</v>
      </c>
      <c r="H262" s="1" t="s">
        <v>4255</v>
      </c>
      <c r="I262" s="1" t="s">
        <v>3852</v>
      </c>
      <c r="J262" s="1" t="s">
        <v>80</v>
      </c>
      <c r="K262" s="1" t="s">
        <v>3853</v>
      </c>
      <c r="L262" s="1"/>
      <c r="M262" s="6" t="str">
        <f>IF(Table2[[#This Row],[Corrected Form '#
 (If Duplicated)]]="",Table2[[#This Row],[Form '#]],Table2[[#This Row],[Corrected Form '#
 (If Duplicated)]])</f>
        <v>7818-19574</v>
      </c>
      <c r="N262" s="1" t="s">
        <v>49</v>
      </c>
      <c r="O262" s="6" t="str">
        <f>IF(Table2[[#This Row],[POG CONFIRMATION RECEIPT OF ORDER
(DATE &amp; TIME)]]="","No Confirmation","Received Confirmation")</f>
        <v>Received Confirmation</v>
      </c>
      <c r="P262" s="6">
        <f ca="1">TODAY()-Table2[[#This Row],[DATE SENT TO POG]]</f>
        <v>339</v>
      </c>
      <c r="Q262" s="6" t="s">
        <v>5803</v>
      </c>
      <c r="R2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2" s="2" t="str">
        <f>_xlfn.XLOOKUP(Table2[[#This Row],[Adjusted Form '#]],'[2]IN PROGRESS'!$D:$D,'[2]IN PROGRESS'!$M:$M,"Not Found")</f>
        <v>Not Found</v>
      </c>
      <c r="U262" s="2" t="str">
        <f>_xlfn.XLOOKUP(Table2[[#This Row],[Adjusted Form '#]],[1]COMPLETED!$D:$D,[2]COMPLETED!$M:$M,"Not Found")</f>
        <v>Not Found</v>
      </c>
      <c r="V262" s="17" t="str">
        <f>_xlfn.XLOOKUP(Table2[[#This Row],[Adjusted Form '#]],[2]COMPLETED!$D:$D,[2]COMPLETED!$O:$O,"Not Found")</f>
        <v>Not Found</v>
      </c>
      <c r="W262" s="2" t="str">
        <f>_xlfn.XLOOKUP(Table2[[#This Row],[Adjusted Form '#]],[2]BILLED!$D:$D,[2]BILLED!$M:$M,"Not Found")</f>
        <v>1Z5063E0YW42967472</v>
      </c>
      <c r="X262" s="17" t="e">
        <f>_xlfn.XLOOKUP(Table2[[#This Row],[Adjusted Form '#]],[2]BILLED!$D:$D,[1]BILLED!$O:$O,"Not Found")</f>
        <v>#REF!</v>
      </c>
      <c r="Y262" s="17" t="e">
        <f>_xlfn.XLOOKUP(Table2[[#This Row],[Adjusted Form '#]],'[2]REJECTED ORDERS'!$D:$D,'[2]REJECTED ORDERS'!$E:$E)</f>
        <v>#N/A</v>
      </c>
      <c r="Z262" s="1"/>
      <c r="AA262" s="1"/>
      <c r="AB262" s="8"/>
      <c r="AC262" s="8"/>
      <c r="AD262" s="8"/>
      <c r="AE262" s="8"/>
      <c r="AF262" s="8"/>
      <c r="AG262" s="8"/>
      <c r="AH262" s="8"/>
      <c r="AI262" s="8"/>
      <c r="AJ262" s="8"/>
    </row>
    <row r="263" spans="1:36" ht="15" customHeight="1" x14ac:dyDescent="0.35">
      <c r="A263" s="4" t="s">
        <v>372</v>
      </c>
      <c r="B263" s="1" t="s">
        <v>1289</v>
      </c>
      <c r="C263" s="11">
        <v>44964</v>
      </c>
      <c r="D263" s="11" t="s">
        <v>4253</v>
      </c>
      <c r="E263" s="1" t="s">
        <v>21</v>
      </c>
      <c r="F263" s="1" t="s">
        <v>4256</v>
      </c>
      <c r="G263" s="6">
        <f>COUNTIF(F:F,Table2[[#This Row],[Form '#]])</f>
        <v>1</v>
      </c>
      <c r="H263" s="1" t="s">
        <v>1694</v>
      </c>
      <c r="I263" s="1" t="s">
        <v>28</v>
      </c>
      <c r="J263" s="1" t="s">
        <v>69</v>
      </c>
      <c r="K263" s="1" t="s">
        <v>3898</v>
      </c>
      <c r="L263" s="1"/>
      <c r="M263" s="6" t="str">
        <f>IF(Table2[[#This Row],[Corrected Form '#
 (If Duplicated)]]="",Table2[[#This Row],[Form '#]],Table2[[#This Row],[Corrected Form '#
 (If Duplicated)]])</f>
        <v>7818-10388</v>
      </c>
      <c r="N263" s="1" t="s">
        <v>49</v>
      </c>
      <c r="O263" s="6" t="str">
        <f>IF(Table2[[#This Row],[POG CONFIRMATION RECEIPT OF ORDER
(DATE &amp; TIME)]]="","No Confirmation","Received Confirmation")</f>
        <v>Received Confirmation</v>
      </c>
      <c r="P263" s="6">
        <f ca="1">TODAY()-Table2[[#This Row],[DATE SENT TO POG]]</f>
        <v>339</v>
      </c>
      <c r="Q263" s="6" t="s">
        <v>5803</v>
      </c>
      <c r="R2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3" s="2" t="str">
        <f>_xlfn.XLOOKUP(Table2[[#This Row],[Adjusted Form '#]],'[2]IN PROGRESS'!$D:$D,'[2]IN PROGRESS'!$M:$M,"Not Found")</f>
        <v>Not Found</v>
      </c>
      <c r="U263" s="2" t="str">
        <f>_xlfn.XLOOKUP(Table2[[#This Row],[Adjusted Form '#]],[1]COMPLETED!$D:$D,[2]COMPLETED!$M:$M,"Not Found")</f>
        <v>Not Found</v>
      </c>
      <c r="V263" s="17" t="str">
        <f>_xlfn.XLOOKUP(Table2[[#This Row],[Adjusted Form '#]],[2]COMPLETED!$D:$D,[2]COMPLETED!$O:$O,"Not Found")</f>
        <v>Not Found</v>
      </c>
      <c r="W263" s="2" t="str">
        <f>_xlfn.XLOOKUP(Table2[[#This Row],[Adjusted Form '#]],[2]BILLED!$D:$D,[2]BILLED!$M:$M,"Not Found")</f>
        <v>1Z5063E0YW40221495</v>
      </c>
      <c r="X263" s="17" t="e">
        <f>_xlfn.XLOOKUP(Table2[[#This Row],[Adjusted Form '#]],[2]BILLED!$D:$D,[1]BILLED!$O:$O,"Not Found")</f>
        <v>#REF!</v>
      </c>
      <c r="Y263" s="17" t="e">
        <f>_xlfn.XLOOKUP(Table2[[#This Row],[Adjusted Form '#]],'[2]REJECTED ORDERS'!$D:$D,'[2]REJECTED ORDERS'!$E:$E)</f>
        <v>#N/A</v>
      </c>
      <c r="Z263" s="1"/>
      <c r="AA263" s="1"/>
      <c r="AB263" s="8"/>
      <c r="AC263" s="8"/>
      <c r="AD263" s="8"/>
      <c r="AE263" s="8"/>
      <c r="AF263" s="8"/>
      <c r="AG263" s="8"/>
      <c r="AH263" s="8"/>
      <c r="AI263" s="8"/>
      <c r="AJ263" s="8"/>
    </row>
    <row r="264" spans="1:36" ht="15" customHeight="1" x14ac:dyDescent="0.35">
      <c r="A264" s="4" t="s">
        <v>373</v>
      </c>
      <c r="B264" s="1" t="s">
        <v>2174</v>
      </c>
      <c r="C264" s="11">
        <v>44964</v>
      </c>
      <c r="D264" s="11" t="s">
        <v>4253</v>
      </c>
      <c r="E264" s="1" t="s">
        <v>73</v>
      </c>
      <c r="F264" s="1" t="s">
        <v>4257</v>
      </c>
      <c r="G264" s="6">
        <f>COUNTIF(F:F,Table2[[#This Row],[Form '#]])</f>
        <v>1</v>
      </c>
      <c r="H264" s="1" t="s">
        <v>4258</v>
      </c>
      <c r="I264" s="1" t="s">
        <v>3852</v>
      </c>
      <c r="J264" s="1" t="s">
        <v>80</v>
      </c>
      <c r="K264" s="1" t="s">
        <v>3853</v>
      </c>
      <c r="L264" s="1"/>
      <c r="M264" s="6" t="str">
        <f>IF(Table2[[#This Row],[Corrected Form '#
 (If Duplicated)]]="",Table2[[#This Row],[Form '#]],Table2[[#This Row],[Corrected Form '#
 (If Duplicated)]])</f>
        <v>7823-01568</v>
      </c>
      <c r="N264" s="1" t="s">
        <v>49</v>
      </c>
      <c r="O264" s="6" t="str">
        <f>IF(Table2[[#This Row],[POG CONFIRMATION RECEIPT OF ORDER
(DATE &amp; TIME)]]="","No Confirmation","Received Confirmation")</f>
        <v>Received Confirmation</v>
      </c>
      <c r="P264" s="6">
        <f ca="1">TODAY()-Table2[[#This Row],[DATE SENT TO POG]]</f>
        <v>339</v>
      </c>
      <c r="Q264" s="6" t="s">
        <v>5803</v>
      </c>
      <c r="R2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4" s="2" t="str">
        <f>_xlfn.XLOOKUP(Table2[[#This Row],[Adjusted Form '#]],'[2]IN PROGRESS'!$D:$D,'[2]IN PROGRESS'!$M:$M,"Not Found")</f>
        <v>Not Found</v>
      </c>
      <c r="U264" s="2" t="str">
        <f>_xlfn.XLOOKUP(Table2[[#This Row],[Adjusted Form '#]],[1]COMPLETED!$D:$D,[2]COMPLETED!$M:$M,"Not Found")</f>
        <v>Not Found</v>
      </c>
      <c r="V264" s="17" t="str">
        <f>_xlfn.XLOOKUP(Table2[[#This Row],[Adjusted Form '#]],[2]COMPLETED!$D:$D,[2]COMPLETED!$O:$O,"Not Found")</f>
        <v>Not Found</v>
      </c>
      <c r="W264" s="2" t="str">
        <f>_xlfn.XLOOKUP(Table2[[#This Row],[Adjusted Form '#]],[2]BILLED!$D:$D,[2]BILLED!$M:$M,"Not Found")</f>
        <v>9402 1112 0620 7156 6240 32</v>
      </c>
      <c r="X264" s="17" t="e">
        <f>_xlfn.XLOOKUP(Table2[[#This Row],[Adjusted Form '#]],[2]BILLED!$D:$D,[1]BILLED!$O:$O,"Not Found")</f>
        <v>#REF!</v>
      </c>
      <c r="Y264" s="17" t="e">
        <f>_xlfn.XLOOKUP(Table2[[#This Row],[Adjusted Form '#]],'[2]REJECTED ORDERS'!$D:$D,'[2]REJECTED ORDERS'!$E:$E)</f>
        <v>#N/A</v>
      </c>
      <c r="Z264" s="1"/>
      <c r="AA264" s="1"/>
      <c r="AB264" s="8"/>
      <c r="AC264" s="8"/>
      <c r="AD264" s="8"/>
      <c r="AE264" s="8"/>
      <c r="AF264" s="8"/>
      <c r="AG264" s="8"/>
      <c r="AH264" s="8"/>
      <c r="AI264" s="8"/>
      <c r="AJ264" s="8"/>
    </row>
    <row r="265" spans="1:36" ht="15" customHeight="1" x14ac:dyDescent="0.35">
      <c r="A265" s="4" t="s">
        <v>376</v>
      </c>
      <c r="B265" s="1" t="s">
        <v>1010</v>
      </c>
      <c r="C265" s="11">
        <v>44964</v>
      </c>
      <c r="D265" s="11" t="s">
        <v>4253</v>
      </c>
      <c r="E265" s="1" t="s">
        <v>73</v>
      </c>
      <c r="F265" s="1" t="s">
        <v>4259</v>
      </c>
      <c r="G265" s="6">
        <f>COUNTIF(F:F,Table2[[#This Row],[Form '#]])</f>
        <v>1</v>
      </c>
      <c r="H265" s="1" t="s">
        <v>4260</v>
      </c>
      <c r="I265" s="1" t="s">
        <v>3864</v>
      </c>
      <c r="J265" s="1" t="s">
        <v>78</v>
      </c>
      <c r="K265" s="1" t="s">
        <v>3879</v>
      </c>
      <c r="L265" s="1"/>
      <c r="M265" s="6" t="str">
        <f>IF(Table2[[#This Row],[Corrected Form '#
 (If Duplicated)]]="",Table2[[#This Row],[Form '#]],Table2[[#This Row],[Corrected Form '#
 (If Duplicated)]])</f>
        <v>7823-01569</v>
      </c>
      <c r="N265" s="1" t="s">
        <v>49</v>
      </c>
      <c r="O265" s="6" t="str">
        <f>IF(Table2[[#This Row],[POG CONFIRMATION RECEIPT OF ORDER
(DATE &amp; TIME)]]="","No Confirmation","Received Confirmation")</f>
        <v>Received Confirmation</v>
      </c>
      <c r="P265" s="6">
        <f ca="1">TODAY()-Table2[[#This Row],[DATE SENT TO POG]]</f>
        <v>339</v>
      </c>
      <c r="Q265" s="6" t="s">
        <v>5803</v>
      </c>
      <c r="R2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5" s="2" t="str">
        <f>_xlfn.XLOOKUP(Table2[[#This Row],[Adjusted Form '#]],'[2]IN PROGRESS'!$D:$D,'[2]IN PROGRESS'!$M:$M,"Not Found")</f>
        <v>Not Found</v>
      </c>
      <c r="U265" s="2" t="str">
        <f>_xlfn.XLOOKUP(Table2[[#This Row],[Adjusted Form '#]],[1]COMPLETED!$D:$D,[2]COMPLETED!$M:$M,"Not Found")</f>
        <v>Not Found</v>
      </c>
      <c r="V265" s="17" t="str">
        <f>_xlfn.XLOOKUP(Table2[[#This Row],[Adjusted Form '#]],[2]COMPLETED!$D:$D,[2]COMPLETED!$O:$O,"Not Found")</f>
        <v>Not Found</v>
      </c>
      <c r="W265" s="2" t="str">
        <f>_xlfn.XLOOKUP(Table2[[#This Row],[Adjusted Form '#]],[2]BILLED!$D:$D,[2]BILLED!$M:$M,"Not Found")</f>
        <v>1Z5063E0YW42231346</v>
      </c>
      <c r="X265" s="17" t="e">
        <f>_xlfn.XLOOKUP(Table2[[#This Row],[Adjusted Form '#]],[2]BILLED!$D:$D,[1]BILLED!$O:$O,"Not Found")</f>
        <v>#REF!</v>
      </c>
      <c r="Y265" s="17" t="e">
        <f>_xlfn.XLOOKUP(Table2[[#This Row],[Adjusted Form '#]],'[2]REJECTED ORDERS'!$D:$D,'[2]REJECTED ORDERS'!$E:$E)</f>
        <v>#N/A</v>
      </c>
      <c r="Z265" s="1"/>
      <c r="AA265" s="1"/>
      <c r="AB265" s="8"/>
      <c r="AC265" s="8"/>
      <c r="AD265" s="8"/>
      <c r="AE265" s="8"/>
      <c r="AF265" s="8"/>
      <c r="AG265" s="8"/>
      <c r="AH265" s="8"/>
      <c r="AI265" s="8"/>
      <c r="AJ265" s="8"/>
    </row>
    <row r="266" spans="1:36" ht="15" customHeight="1" x14ac:dyDescent="0.35">
      <c r="A266" s="4" t="s">
        <v>377</v>
      </c>
      <c r="B266" s="1" t="s">
        <v>722</v>
      </c>
      <c r="C266" s="11">
        <v>44964</v>
      </c>
      <c r="D266" s="11" t="s">
        <v>4261</v>
      </c>
      <c r="E266" s="1" t="s">
        <v>73</v>
      </c>
      <c r="F266" s="1" t="s">
        <v>4262</v>
      </c>
      <c r="G266" s="6">
        <f>COUNTIF(F:F,Table2[[#This Row],[Form '#]])</f>
        <v>1</v>
      </c>
      <c r="H266" s="1" t="s">
        <v>4263</v>
      </c>
      <c r="I266" s="1" t="s">
        <v>3864</v>
      </c>
      <c r="J266" s="1" t="s">
        <v>78</v>
      </c>
      <c r="K266" s="1" t="s">
        <v>3879</v>
      </c>
      <c r="L266" s="1"/>
      <c r="M266" s="6" t="str">
        <f>IF(Table2[[#This Row],[Corrected Form '#
 (If Duplicated)]]="",Table2[[#This Row],[Form '#]],Table2[[#This Row],[Corrected Form '#
 (If Duplicated)]])</f>
        <v>7823-03326</v>
      </c>
      <c r="N266" s="1" t="s">
        <v>49</v>
      </c>
      <c r="O266" s="6" t="str">
        <f>IF(Table2[[#This Row],[POG CONFIRMATION RECEIPT OF ORDER
(DATE &amp; TIME)]]="","No Confirmation","Received Confirmation")</f>
        <v>Received Confirmation</v>
      </c>
      <c r="P266" s="6">
        <f ca="1">TODAY()-Table2[[#This Row],[DATE SENT TO POG]]</f>
        <v>339</v>
      </c>
      <c r="Q266" s="6" t="s">
        <v>5803</v>
      </c>
      <c r="R2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6" s="2" t="str">
        <f>_xlfn.XLOOKUP(Table2[[#This Row],[Adjusted Form '#]],'[2]IN PROGRESS'!$D:$D,'[2]IN PROGRESS'!$M:$M,"Not Found")</f>
        <v>Not Found</v>
      </c>
      <c r="U266" s="2" t="str">
        <f>_xlfn.XLOOKUP(Table2[[#This Row],[Adjusted Form '#]],[1]COMPLETED!$D:$D,[2]COMPLETED!$M:$M,"Not Found")</f>
        <v>Not Found</v>
      </c>
      <c r="V266" s="17" t="str">
        <f>_xlfn.XLOOKUP(Table2[[#This Row],[Adjusted Form '#]],[2]COMPLETED!$D:$D,[2]COMPLETED!$O:$O,"Not Found")</f>
        <v>Not Found</v>
      </c>
      <c r="W266" s="2" t="str">
        <f>_xlfn.XLOOKUP(Table2[[#This Row],[Adjusted Form '#]],[2]BILLED!$D:$D,[2]BILLED!$M:$M,"Not Found")</f>
        <v>1Z5063E0YW41411591</v>
      </c>
      <c r="X266" s="17" t="e">
        <f>_xlfn.XLOOKUP(Table2[[#This Row],[Adjusted Form '#]],[2]BILLED!$D:$D,[1]BILLED!$O:$O,"Not Found")</f>
        <v>#REF!</v>
      </c>
      <c r="Y266" s="17" t="e">
        <f>_xlfn.XLOOKUP(Table2[[#This Row],[Adjusted Form '#]],'[2]REJECTED ORDERS'!$D:$D,'[2]REJECTED ORDERS'!$E:$E)</f>
        <v>#N/A</v>
      </c>
      <c r="Z266" s="1"/>
      <c r="AA266" s="1"/>
      <c r="AB266" s="8"/>
      <c r="AC266" s="8"/>
      <c r="AD266" s="8"/>
      <c r="AE266" s="8"/>
      <c r="AF266" s="8"/>
      <c r="AG266" s="8"/>
      <c r="AH266" s="8"/>
      <c r="AI266" s="8"/>
      <c r="AJ266" s="8"/>
    </row>
    <row r="267" spans="1:36" ht="15" customHeight="1" x14ac:dyDescent="0.35">
      <c r="A267" s="4" t="s">
        <v>378</v>
      </c>
      <c r="B267" s="1" t="s">
        <v>466</v>
      </c>
      <c r="C267" s="11">
        <v>44964</v>
      </c>
      <c r="D267" s="11" t="s">
        <v>4261</v>
      </c>
      <c r="E267" s="1" t="s">
        <v>73</v>
      </c>
      <c r="F267" s="1" t="s">
        <v>4264</v>
      </c>
      <c r="G267" s="6">
        <f>COUNTIF(F:F,Table2[[#This Row],[Form '#]])</f>
        <v>1</v>
      </c>
      <c r="H267" s="1" t="s">
        <v>4265</v>
      </c>
      <c r="I267" s="1" t="s">
        <v>3864</v>
      </c>
      <c r="J267" s="1" t="s">
        <v>78</v>
      </c>
      <c r="K267" s="1" t="s">
        <v>3879</v>
      </c>
      <c r="L267" s="1"/>
      <c r="M267" s="6" t="str">
        <f>IF(Table2[[#This Row],[Corrected Form '#
 (If Duplicated)]]="",Table2[[#This Row],[Form '#]],Table2[[#This Row],[Corrected Form '#
 (If Duplicated)]])</f>
        <v>7823-03327</v>
      </c>
      <c r="N267" s="1" t="s">
        <v>49</v>
      </c>
      <c r="O267" s="6" t="str">
        <f>IF(Table2[[#This Row],[POG CONFIRMATION RECEIPT OF ORDER
(DATE &amp; TIME)]]="","No Confirmation","Received Confirmation")</f>
        <v>Received Confirmation</v>
      </c>
      <c r="P267" s="6">
        <f ca="1">TODAY()-Table2[[#This Row],[DATE SENT TO POG]]</f>
        <v>339</v>
      </c>
      <c r="Q267" s="6" t="s">
        <v>5803</v>
      </c>
      <c r="R2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7" s="2" t="str">
        <f>_xlfn.XLOOKUP(Table2[[#This Row],[Adjusted Form '#]],'[2]IN PROGRESS'!$D:$D,'[2]IN PROGRESS'!$M:$M,"Not Found")</f>
        <v>Not Found</v>
      </c>
      <c r="U267" s="2" t="str">
        <f>_xlfn.XLOOKUP(Table2[[#This Row],[Adjusted Form '#]],[1]COMPLETED!$D:$D,[2]COMPLETED!$M:$M,"Not Found")</f>
        <v>Not Found</v>
      </c>
      <c r="V267" s="17" t="str">
        <f>_xlfn.XLOOKUP(Table2[[#This Row],[Adjusted Form '#]],[2]COMPLETED!$D:$D,[2]COMPLETED!$O:$O,"Not Found")</f>
        <v>Not Found</v>
      </c>
      <c r="W267" s="2" t="str">
        <f>_xlfn.XLOOKUP(Table2[[#This Row],[Adjusted Form '#]],[2]BILLED!$D:$D,[2]BILLED!$M:$M,"Not Found")</f>
        <v>1Z5063E0YW42246072</v>
      </c>
      <c r="X267" s="17" t="e">
        <f>_xlfn.XLOOKUP(Table2[[#This Row],[Adjusted Form '#]],[2]BILLED!$D:$D,[1]BILLED!$O:$O,"Not Found")</f>
        <v>#REF!</v>
      </c>
      <c r="Y267" s="17" t="e">
        <f>_xlfn.XLOOKUP(Table2[[#This Row],[Adjusted Form '#]],'[2]REJECTED ORDERS'!$D:$D,'[2]REJECTED ORDERS'!$E:$E)</f>
        <v>#N/A</v>
      </c>
      <c r="Z267" s="1"/>
      <c r="AA267" s="1"/>
      <c r="AB267" s="8"/>
      <c r="AC267" s="8"/>
      <c r="AD267" s="8"/>
      <c r="AE267" s="8"/>
      <c r="AF267" s="8"/>
      <c r="AG267" s="8"/>
      <c r="AH267" s="8"/>
      <c r="AI267" s="8"/>
      <c r="AJ267" s="8"/>
    </row>
    <row r="268" spans="1:36" ht="15" customHeight="1" x14ac:dyDescent="0.35">
      <c r="A268" s="4" t="s">
        <v>380</v>
      </c>
      <c r="B268" s="1" t="s">
        <v>653</v>
      </c>
      <c r="C268" s="11">
        <v>44964</v>
      </c>
      <c r="D268" s="11" t="s">
        <v>4261</v>
      </c>
      <c r="E268" s="1" t="s">
        <v>73</v>
      </c>
      <c r="F268" s="1" t="s">
        <v>4266</v>
      </c>
      <c r="G268" s="6">
        <f>COUNTIF(F:F,Table2[[#This Row],[Form '#]])</f>
        <v>1</v>
      </c>
      <c r="H268" s="1" t="s">
        <v>838</v>
      </c>
      <c r="I268" s="1" t="s">
        <v>3852</v>
      </c>
      <c r="J268" s="1" t="s">
        <v>80</v>
      </c>
      <c r="K268" s="1" t="s">
        <v>3853</v>
      </c>
      <c r="L268" s="1"/>
      <c r="M268" s="6" t="str">
        <f>IF(Table2[[#This Row],[Corrected Form '#
 (If Duplicated)]]="",Table2[[#This Row],[Form '#]],Table2[[#This Row],[Corrected Form '#
 (If Duplicated)]])</f>
        <v>7823-03328</v>
      </c>
      <c r="N268" s="1" t="s">
        <v>49</v>
      </c>
      <c r="O268" s="6" t="str">
        <f>IF(Table2[[#This Row],[POG CONFIRMATION RECEIPT OF ORDER
(DATE &amp; TIME)]]="","No Confirmation","Received Confirmation")</f>
        <v>Received Confirmation</v>
      </c>
      <c r="P268" s="6">
        <f ca="1">TODAY()-Table2[[#This Row],[DATE SENT TO POG]]</f>
        <v>339</v>
      </c>
      <c r="Q268" s="6" t="s">
        <v>5803</v>
      </c>
      <c r="R2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8" s="2" t="str">
        <f>_xlfn.XLOOKUP(Table2[[#This Row],[Adjusted Form '#]],'[2]IN PROGRESS'!$D:$D,'[2]IN PROGRESS'!$M:$M,"Not Found")</f>
        <v>Not Found</v>
      </c>
      <c r="U268" s="2" t="str">
        <f>_xlfn.XLOOKUP(Table2[[#This Row],[Adjusted Form '#]],[1]COMPLETED!$D:$D,[2]COMPLETED!$M:$M,"Not Found")</f>
        <v>Not Found</v>
      </c>
      <c r="V268" s="17" t="str">
        <f>_xlfn.XLOOKUP(Table2[[#This Row],[Adjusted Form '#]],[2]COMPLETED!$D:$D,[2]COMPLETED!$O:$O,"Not Found")</f>
        <v>Not Found</v>
      </c>
      <c r="W268" s="2" t="str">
        <f>_xlfn.XLOOKUP(Table2[[#This Row],[Adjusted Form '#]],[2]BILLED!$D:$D,[2]BILLED!$M:$M,"Not Found")</f>
        <v>1Z5063E0YW40777001</v>
      </c>
      <c r="X268" s="17" t="e">
        <f>_xlfn.XLOOKUP(Table2[[#This Row],[Adjusted Form '#]],[2]BILLED!$D:$D,[1]BILLED!$O:$O,"Not Found")</f>
        <v>#REF!</v>
      </c>
      <c r="Y268" s="17" t="e">
        <f>_xlfn.XLOOKUP(Table2[[#This Row],[Adjusted Form '#]],'[2]REJECTED ORDERS'!$D:$D,'[2]REJECTED ORDERS'!$E:$E)</f>
        <v>#N/A</v>
      </c>
      <c r="Z268" s="1"/>
      <c r="AA268" s="1"/>
      <c r="AB268" s="8"/>
      <c r="AC268" s="8"/>
      <c r="AD268" s="8"/>
      <c r="AE268" s="8"/>
      <c r="AF268" s="8"/>
      <c r="AG268" s="8"/>
      <c r="AH268" s="8"/>
      <c r="AI268" s="8"/>
      <c r="AJ268" s="8"/>
    </row>
    <row r="269" spans="1:36" ht="15" customHeight="1" x14ac:dyDescent="0.35">
      <c r="A269" s="4" t="s">
        <v>381</v>
      </c>
      <c r="B269" s="1" t="s">
        <v>3048</v>
      </c>
      <c r="C269" s="11">
        <v>44964</v>
      </c>
      <c r="D269" s="11" t="s">
        <v>4267</v>
      </c>
      <c r="E269" s="1" t="s">
        <v>21</v>
      </c>
      <c r="F269" s="1" t="s">
        <v>4268</v>
      </c>
      <c r="G269" s="6">
        <f>COUNTIF(F:F,Table2[[#This Row],[Form '#]])</f>
        <v>2</v>
      </c>
      <c r="H269" s="1" t="s">
        <v>4269</v>
      </c>
      <c r="I269" s="1" t="s">
        <v>3852</v>
      </c>
      <c r="J269" s="1" t="s">
        <v>80</v>
      </c>
      <c r="K269" s="1" t="s">
        <v>3853</v>
      </c>
      <c r="L269" s="1"/>
      <c r="M269" s="6" t="str">
        <f>IF(Table2[[#This Row],[Corrected Form '#
 (If Duplicated)]]="",Table2[[#This Row],[Form '#]],Table2[[#This Row],[Corrected Form '#
 (If Duplicated)]])</f>
        <v>7818-10969</v>
      </c>
      <c r="N269" s="1" t="s">
        <v>49</v>
      </c>
      <c r="O269" s="6" t="str">
        <f>IF(Table2[[#This Row],[POG CONFIRMATION RECEIPT OF ORDER
(DATE &amp; TIME)]]="","No Confirmation","Received Confirmation")</f>
        <v>Received Confirmation</v>
      </c>
      <c r="P269" s="6">
        <f ca="1">TODAY()-Table2[[#This Row],[DATE SENT TO POG]]</f>
        <v>339</v>
      </c>
      <c r="Q269" s="6" t="s">
        <v>5803</v>
      </c>
      <c r="R2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69" s="2" t="str">
        <f>_xlfn.XLOOKUP(Table2[[#This Row],[Adjusted Form '#]],'[2]IN PROGRESS'!$D:$D,'[2]IN PROGRESS'!$M:$M,"Not Found")</f>
        <v>Not Found</v>
      </c>
      <c r="U269" s="2" t="str">
        <f>_xlfn.XLOOKUP(Table2[[#This Row],[Adjusted Form '#]],[1]COMPLETED!$D:$D,[2]COMPLETED!$M:$M,"Not Found")</f>
        <v>Not Found</v>
      </c>
      <c r="V269" s="17" t="str">
        <f>_xlfn.XLOOKUP(Table2[[#This Row],[Adjusted Form '#]],[2]COMPLETED!$D:$D,[2]COMPLETED!$O:$O,"Not Found")</f>
        <v>Not Found</v>
      </c>
      <c r="W269" s="2" t="str">
        <f>_xlfn.XLOOKUP(Table2[[#This Row],[Adjusted Form '#]],[2]BILLED!$D:$D,[2]BILLED!$M:$M,"Not Found")</f>
        <v>9400 1112 0620 7731 3477 16</v>
      </c>
      <c r="X269" s="17" t="e">
        <f>_xlfn.XLOOKUP(Table2[[#This Row],[Adjusted Form '#]],[2]BILLED!$D:$D,[1]BILLED!$O:$O,"Not Found")</f>
        <v>#REF!</v>
      </c>
      <c r="Y269" s="17" t="e">
        <f>_xlfn.XLOOKUP(Table2[[#This Row],[Adjusted Form '#]],'[2]REJECTED ORDERS'!$D:$D,'[2]REJECTED ORDERS'!$E:$E)</f>
        <v>#N/A</v>
      </c>
      <c r="Z269" s="1"/>
      <c r="AA269" s="1"/>
      <c r="AB269" s="8"/>
      <c r="AC269" s="8"/>
      <c r="AD269" s="8"/>
      <c r="AE269" s="8"/>
      <c r="AF269" s="8"/>
      <c r="AG269" s="8"/>
      <c r="AH269" s="8"/>
      <c r="AI269" s="8"/>
      <c r="AJ269" s="8"/>
    </row>
    <row r="270" spans="1:36" ht="15" customHeight="1" x14ac:dyDescent="0.35">
      <c r="A270" s="4" t="s">
        <v>382</v>
      </c>
      <c r="B270" s="1" t="s">
        <v>3048</v>
      </c>
      <c r="C270" s="11">
        <v>44964</v>
      </c>
      <c r="D270" s="11" t="s">
        <v>4267</v>
      </c>
      <c r="E270" s="1" t="s">
        <v>21</v>
      </c>
      <c r="F270" s="1" t="s">
        <v>4270</v>
      </c>
      <c r="G270" s="6">
        <f>COUNTIF(F:F,Table2[[#This Row],[Form '#]])</f>
        <v>1</v>
      </c>
      <c r="H270" s="1" t="s">
        <v>1339</v>
      </c>
      <c r="I270" s="1" t="s">
        <v>3864</v>
      </c>
      <c r="J270" s="1" t="s">
        <v>78</v>
      </c>
      <c r="K270" s="1" t="s">
        <v>3879</v>
      </c>
      <c r="L270" s="1"/>
      <c r="M270" s="6" t="str">
        <f>IF(Table2[[#This Row],[Corrected Form '#
 (If Duplicated)]]="",Table2[[#This Row],[Form '#]],Table2[[#This Row],[Corrected Form '#
 (If Duplicated)]])</f>
        <v>7818-15719</v>
      </c>
      <c r="N270" s="1" t="s">
        <v>49</v>
      </c>
      <c r="O270" s="6" t="str">
        <f>IF(Table2[[#This Row],[POG CONFIRMATION RECEIPT OF ORDER
(DATE &amp; TIME)]]="","No Confirmation","Received Confirmation")</f>
        <v>Received Confirmation</v>
      </c>
      <c r="P270" s="6">
        <f ca="1">TODAY()-Table2[[#This Row],[DATE SENT TO POG]]</f>
        <v>339</v>
      </c>
      <c r="Q270" s="6" t="s">
        <v>5803</v>
      </c>
      <c r="R2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0" s="2" t="str">
        <f>_xlfn.XLOOKUP(Table2[[#This Row],[Adjusted Form '#]],'[2]IN PROGRESS'!$D:$D,'[2]IN PROGRESS'!$M:$M,"Not Found")</f>
        <v>Not Found</v>
      </c>
      <c r="U270" s="2" t="str">
        <f>_xlfn.XLOOKUP(Table2[[#This Row],[Adjusted Form '#]],[1]COMPLETED!$D:$D,[2]COMPLETED!$M:$M,"Not Found")</f>
        <v>Not Found</v>
      </c>
      <c r="V270" s="17" t="str">
        <f>_xlfn.XLOOKUP(Table2[[#This Row],[Adjusted Form '#]],[2]COMPLETED!$D:$D,[2]COMPLETED!$O:$O,"Not Found")</f>
        <v>Not Found</v>
      </c>
      <c r="W270" s="2" t="str">
        <f>_xlfn.XLOOKUP(Table2[[#This Row],[Adjusted Form '#]],[2]BILLED!$D:$D,[2]BILLED!$M:$M,"Not Found")</f>
        <v>1Z5063E0YW40010801</v>
      </c>
      <c r="X270" s="17" t="e">
        <f>_xlfn.XLOOKUP(Table2[[#This Row],[Adjusted Form '#]],[2]BILLED!$D:$D,[1]BILLED!$O:$O,"Not Found")</f>
        <v>#REF!</v>
      </c>
      <c r="Y270" s="17" t="e">
        <f>_xlfn.XLOOKUP(Table2[[#This Row],[Adjusted Form '#]],'[2]REJECTED ORDERS'!$D:$D,'[2]REJECTED ORDERS'!$E:$E)</f>
        <v>#N/A</v>
      </c>
      <c r="Z270" s="1"/>
      <c r="AA270" s="1"/>
      <c r="AB270" s="8"/>
      <c r="AC270" s="8"/>
      <c r="AD270" s="8"/>
      <c r="AE270" s="8"/>
      <c r="AF270" s="8"/>
      <c r="AG270" s="8"/>
      <c r="AH270" s="8"/>
      <c r="AI270" s="8"/>
      <c r="AJ270" s="8"/>
    </row>
    <row r="271" spans="1:36" ht="15" customHeight="1" x14ac:dyDescent="0.35">
      <c r="A271" s="4" t="s">
        <v>383</v>
      </c>
      <c r="B271" s="1" t="s">
        <v>3048</v>
      </c>
      <c r="C271" s="11">
        <v>44964</v>
      </c>
      <c r="D271" s="11" t="s">
        <v>4267</v>
      </c>
      <c r="E271" s="1" t="s">
        <v>21</v>
      </c>
      <c r="F271" s="1" t="s">
        <v>4271</v>
      </c>
      <c r="G271" s="6">
        <f>COUNTIF(F:F,Table2[[#This Row],[Form '#]])</f>
        <v>1</v>
      </c>
      <c r="H271" s="1" t="s">
        <v>4272</v>
      </c>
      <c r="I271" s="1" t="s">
        <v>3852</v>
      </c>
      <c r="J271" s="1" t="s">
        <v>80</v>
      </c>
      <c r="K271" s="1" t="s">
        <v>3853</v>
      </c>
      <c r="L271" s="1"/>
      <c r="M271" s="6" t="str">
        <f>IF(Table2[[#This Row],[Corrected Form '#
 (If Duplicated)]]="",Table2[[#This Row],[Form '#]],Table2[[#This Row],[Corrected Form '#
 (If Duplicated)]])</f>
        <v>7818-22197</v>
      </c>
      <c r="N271" s="1" t="s">
        <v>49</v>
      </c>
      <c r="O271" s="6" t="str">
        <f>IF(Table2[[#This Row],[POG CONFIRMATION RECEIPT OF ORDER
(DATE &amp; TIME)]]="","No Confirmation","Received Confirmation")</f>
        <v>Received Confirmation</v>
      </c>
      <c r="P271" s="6">
        <f ca="1">TODAY()-Table2[[#This Row],[DATE SENT TO POG]]</f>
        <v>339</v>
      </c>
      <c r="Q271" s="6" t="s">
        <v>5803</v>
      </c>
      <c r="R2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1" s="2" t="str">
        <f>_xlfn.XLOOKUP(Table2[[#This Row],[Adjusted Form '#]],'[2]IN PROGRESS'!$D:$D,'[2]IN PROGRESS'!$M:$M,"Not Found")</f>
        <v>Not Found</v>
      </c>
      <c r="U271" s="2" t="str">
        <f>_xlfn.XLOOKUP(Table2[[#This Row],[Adjusted Form '#]],[1]COMPLETED!$D:$D,[2]COMPLETED!$M:$M,"Not Found")</f>
        <v>Not Found</v>
      </c>
      <c r="V271" s="17" t="str">
        <f>_xlfn.XLOOKUP(Table2[[#This Row],[Adjusted Form '#]],[2]COMPLETED!$D:$D,[2]COMPLETED!$O:$O,"Not Found")</f>
        <v>Not Found</v>
      </c>
      <c r="W271" s="2" t="str">
        <f>_xlfn.XLOOKUP(Table2[[#This Row],[Adjusted Form '#]],[2]BILLED!$D:$D,[2]BILLED!$M:$M,"Not Found")</f>
        <v>1Z5063E0YW41010952</v>
      </c>
      <c r="X271" s="17" t="e">
        <f>_xlfn.XLOOKUP(Table2[[#This Row],[Adjusted Form '#]],[2]BILLED!$D:$D,[1]BILLED!$O:$O,"Not Found")</f>
        <v>#REF!</v>
      </c>
      <c r="Y271" s="17" t="e">
        <f>_xlfn.XLOOKUP(Table2[[#This Row],[Adjusted Form '#]],'[2]REJECTED ORDERS'!$D:$D,'[2]REJECTED ORDERS'!$E:$E)</f>
        <v>#N/A</v>
      </c>
      <c r="Z271" s="1"/>
      <c r="AA271" s="1"/>
      <c r="AB271" s="8"/>
      <c r="AC271" s="8"/>
      <c r="AD271" s="8"/>
      <c r="AE271" s="8"/>
      <c r="AF271" s="8"/>
      <c r="AG271" s="8"/>
      <c r="AH271" s="8"/>
      <c r="AI271" s="8"/>
      <c r="AJ271" s="8"/>
    </row>
    <row r="272" spans="1:36" ht="15" customHeight="1" x14ac:dyDescent="0.35">
      <c r="A272" s="4" t="s">
        <v>384</v>
      </c>
      <c r="B272" s="1" t="s">
        <v>3048</v>
      </c>
      <c r="C272" s="11">
        <v>44964</v>
      </c>
      <c r="D272" s="11" t="s">
        <v>4267</v>
      </c>
      <c r="E272" s="1" t="s">
        <v>21</v>
      </c>
      <c r="F272" s="1" t="s">
        <v>4273</v>
      </c>
      <c r="G272" s="6">
        <f>COUNTIF(F:F,Table2[[#This Row],[Form '#]])</f>
        <v>1</v>
      </c>
      <c r="H272" s="1" t="s">
        <v>3659</v>
      </c>
      <c r="I272" s="1" t="s">
        <v>3852</v>
      </c>
      <c r="J272" s="1" t="s">
        <v>80</v>
      </c>
      <c r="K272" s="1" t="s">
        <v>3853</v>
      </c>
      <c r="L272" s="1"/>
      <c r="M272" s="6" t="str">
        <f>IF(Table2[[#This Row],[Corrected Form '#
 (If Duplicated)]]="",Table2[[#This Row],[Form '#]],Table2[[#This Row],[Corrected Form '#
 (If Duplicated)]])</f>
        <v>7818-22609</v>
      </c>
      <c r="N272" s="1" t="s">
        <v>49</v>
      </c>
      <c r="O272" s="6" t="str">
        <f>IF(Table2[[#This Row],[POG CONFIRMATION RECEIPT OF ORDER
(DATE &amp; TIME)]]="","No Confirmation","Received Confirmation")</f>
        <v>Received Confirmation</v>
      </c>
      <c r="P272" s="6">
        <f ca="1">TODAY()-Table2[[#This Row],[DATE SENT TO POG]]</f>
        <v>339</v>
      </c>
      <c r="Q272" s="6" t="s">
        <v>5803</v>
      </c>
      <c r="R2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2" s="2" t="str">
        <f>_xlfn.XLOOKUP(Table2[[#This Row],[Adjusted Form '#]],'[2]IN PROGRESS'!$D:$D,'[2]IN PROGRESS'!$M:$M,"Not Found")</f>
        <v>Not Found</v>
      </c>
      <c r="U272" s="2" t="str">
        <f>_xlfn.XLOOKUP(Table2[[#This Row],[Adjusted Form '#]],[1]COMPLETED!$D:$D,[2]COMPLETED!$M:$M,"Not Found")</f>
        <v>Not Found</v>
      </c>
      <c r="V272" s="17" t="str">
        <f>_xlfn.XLOOKUP(Table2[[#This Row],[Adjusted Form '#]],[2]COMPLETED!$D:$D,[2]COMPLETED!$O:$O,"Not Found")</f>
        <v>Not Found</v>
      </c>
      <c r="W272" s="2" t="str">
        <f>_xlfn.XLOOKUP(Table2[[#This Row],[Adjusted Form '#]],[2]BILLED!$D:$D,[2]BILLED!$M:$M,"Not Found")</f>
        <v>1Z5063E0YW42999901</v>
      </c>
      <c r="X272" s="17" t="e">
        <f>_xlfn.XLOOKUP(Table2[[#This Row],[Adjusted Form '#]],[2]BILLED!$D:$D,[1]BILLED!$O:$O,"Not Found")</f>
        <v>#REF!</v>
      </c>
      <c r="Y272" s="17" t="e">
        <f>_xlfn.XLOOKUP(Table2[[#This Row],[Adjusted Form '#]],'[2]REJECTED ORDERS'!$D:$D,'[2]REJECTED ORDERS'!$E:$E)</f>
        <v>#N/A</v>
      </c>
      <c r="Z272" s="1"/>
      <c r="AA272" s="1"/>
      <c r="AB272" s="8"/>
      <c r="AC272" s="8"/>
      <c r="AD272" s="8"/>
      <c r="AE272" s="8"/>
      <c r="AF272" s="8"/>
      <c r="AG272" s="8"/>
      <c r="AH272" s="8"/>
      <c r="AI272" s="8"/>
      <c r="AJ272" s="8"/>
    </row>
    <row r="273" spans="1:36" ht="15" customHeight="1" x14ac:dyDescent="0.35">
      <c r="A273" s="4" t="s">
        <v>385</v>
      </c>
      <c r="B273" s="1" t="s">
        <v>4274</v>
      </c>
      <c r="C273" s="11">
        <v>44965</v>
      </c>
      <c r="D273" s="11" t="s">
        <v>4275</v>
      </c>
      <c r="E273" s="1" t="s">
        <v>21</v>
      </c>
      <c r="F273" s="1" t="s">
        <v>4276</v>
      </c>
      <c r="G273" s="6">
        <f>COUNTIF(F:F,Table2[[#This Row],[Form '#]])</f>
        <v>1</v>
      </c>
      <c r="H273" s="1" t="s">
        <v>2568</v>
      </c>
      <c r="I273" s="1" t="s">
        <v>3852</v>
      </c>
      <c r="J273" s="1" t="s">
        <v>75</v>
      </c>
      <c r="K273" s="1" t="s">
        <v>3853</v>
      </c>
      <c r="L273" s="1"/>
      <c r="M273" s="6" t="str">
        <f>IF(Table2[[#This Row],[Corrected Form '#
 (If Duplicated)]]="",Table2[[#This Row],[Form '#]],Table2[[#This Row],[Corrected Form '#
 (If Duplicated)]])</f>
        <v>7818-27107</v>
      </c>
      <c r="N273" s="1" t="s">
        <v>49</v>
      </c>
      <c r="O273" s="6" t="str">
        <f>IF(Table2[[#This Row],[POG CONFIRMATION RECEIPT OF ORDER
(DATE &amp; TIME)]]="","No Confirmation","Received Confirmation")</f>
        <v>Received Confirmation</v>
      </c>
      <c r="P273" s="6">
        <f ca="1">TODAY()-Table2[[#This Row],[DATE SENT TO POG]]</f>
        <v>338</v>
      </c>
      <c r="Q273" s="6" t="s">
        <v>5803</v>
      </c>
      <c r="R2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3" s="2" t="str">
        <f>_xlfn.XLOOKUP(Table2[[#This Row],[Adjusted Form '#]],'[2]IN PROGRESS'!$D:$D,'[2]IN PROGRESS'!$M:$M,"Not Found")</f>
        <v>Not Found</v>
      </c>
      <c r="U273" s="2" t="str">
        <f>_xlfn.XLOOKUP(Table2[[#This Row],[Adjusted Form '#]],[1]COMPLETED!$D:$D,[2]COMPLETED!$M:$M,"Not Found")</f>
        <v>Not Found</v>
      </c>
      <c r="V273" s="17" t="str">
        <f>_xlfn.XLOOKUP(Table2[[#This Row],[Adjusted Form '#]],[2]COMPLETED!$D:$D,[2]COMPLETED!$O:$O,"Not Found")</f>
        <v>Not Found</v>
      </c>
      <c r="W273" s="2" t="str">
        <f>_xlfn.XLOOKUP(Table2[[#This Row],[Adjusted Form '#]],[2]BILLED!$D:$D,[2]BILLED!$M:$M,"Not Found")</f>
        <v>1Z5063E0YW41711810</v>
      </c>
      <c r="X273" s="17" t="e">
        <f>_xlfn.XLOOKUP(Table2[[#This Row],[Adjusted Form '#]],[2]BILLED!$D:$D,[1]BILLED!$O:$O,"Not Found")</f>
        <v>#REF!</v>
      </c>
      <c r="Y273" s="17" t="e">
        <f>_xlfn.XLOOKUP(Table2[[#This Row],[Adjusted Form '#]],'[2]REJECTED ORDERS'!$D:$D,'[2]REJECTED ORDERS'!$E:$E)</f>
        <v>#N/A</v>
      </c>
      <c r="Z273" s="1"/>
      <c r="AA273" s="1"/>
      <c r="AB273" s="8"/>
      <c r="AC273" s="8"/>
      <c r="AD273" s="8"/>
      <c r="AE273" s="8"/>
      <c r="AF273" s="8"/>
      <c r="AG273" s="8"/>
      <c r="AH273" s="8"/>
      <c r="AI273" s="8"/>
      <c r="AJ273" s="8"/>
    </row>
    <row r="274" spans="1:36" ht="15" customHeight="1" x14ac:dyDescent="0.35">
      <c r="A274" s="4" t="s">
        <v>387</v>
      </c>
      <c r="B274" s="1" t="s">
        <v>1341</v>
      </c>
      <c r="C274" s="11">
        <v>44965</v>
      </c>
      <c r="D274" s="11" t="s">
        <v>4275</v>
      </c>
      <c r="E274" s="1" t="s">
        <v>21</v>
      </c>
      <c r="F274" s="1" t="s">
        <v>4277</v>
      </c>
      <c r="G274" s="6">
        <f>COUNTIF(F:F,Table2[[#This Row],[Form '#]])</f>
        <v>1</v>
      </c>
      <c r="H274" s="1" t="s">
        <v>4278</v>
      </c>
      <c r="I274" s="1" t="s">
        <v>127</v>
      </c>
      <c r="J274" s="1" t="s">
        <v>74</v>
      </c>
      <c r="K274" s="1" t="s">
        <v>4011</v>
      </c>
      <c r="L274" s="1"/>
      <c r="M274" s="6" t="str">
        <f>IF(Table2[[#This Row],[Corrected Form '#
 (If Duplicated)]]="",Table2[[#This Row],[Form '#]],Table2[[#This Row],[Corrected Form '#
 (If Duplicated)]])</f>
        <v>7818-15880</v>
      </c>
      <c r="N274" s="1" t="s">
        <v>49</v>
      </c>
      <c r="O274" s="6" t="str">
        <f>IF(Table2[[#This Row],[POG CONFIRMATION RECEIPT OF ORDER
(DATE &amp; TIME)]]="","No Confirmation","Received Confirmation")</f>
        <v>Received Confirmation</v>
      </c>
      <c r="P274" s="6">
        <f ca="1">TODAY()-Table2[[#This Row],[DATE SENT TO POG]]</f>
        <v>338</v>
      </c>
      <c r="Q274" s="6" t="s">
        <v>5803</v>
      </c>
      <c r="R2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4" s="2" t="str">
        <f>_xlfn.XLOOKUP(Table2[[#This Row],[Adjusted Form '#]],'[2]IN PROGRESS'!$D:$D,'[2]IN PROGRESS'!$M:$M,"Not Found")</f>
        <v>Not Found</v>
      </c>
      <c r="U274" s="2" t="str">
        <f>_xlfn.XLOOKUP(Table2[[#This Row],[Adjusted Form '#]],[1]COMPLETED!$D:$D,[2]COMPLETED!$M:$M,"Not Found")</f>
        <v>Not Found</v>
      </c>
      <c r="V274" s="17" t="str">
        <f>_xlfn.XLOOKUP(Table2[[#This Row],[Adjusted Form '#]],[2]COMPLETED!$D:$D,[2]COMPLETED!$O:$O,"Not Found")</f>
        <v>Not Found</v>
      </c>
      <c r="W274" s="2" t="str">
        <f>_xlfn.XLOOKUP(Table2[[#This Row],[Adjusted Form '#]],[2]BILLED!$D:$D,[2]BILLED!$M:$M,"Not Found")</f>
        <v>1Z5063E0YW42167970</v>
      </c>
      <c r="X274" s="17" t="e">
        <f>_xlfn.XLOOKUP(Table2[[#This Row],[Adjusted Form '#]],[2]BILLED!$D:$D,[1]BILLED!$O:$O,"Not Found")</f>
        <v>#REF!</v>
      </c>
      <c r="Y274" s="17" t="e">
        <f>_xlfn.XLOOKUP(Table2[[#This Row],[Adjusted Form '#]],'[2]REJECTED ORDERS'!$D:$D,'[2]REJECTED ORDERS'!$E:$E)</f>
        <v>#N/A</v>
      </c>
      <c r="Z274" s="1"/>
      <c r="AA274" s="1"/>
      <c r="AB274" s="8"/>
      <c r="AC274" s="8"/>
      <c r="AD274" s="8"/>
      <c r="AE274" s="8"/>
      <c r="AF274" s="8"/>
      <c r="AG274" s="8"/>
      <c r="AH274" s="8"/>
      <c r="AI274" s="8"/>
      <c r="AJ274" s="8"/>
    </row>
    <row r="275" spans="1:36" ht="15" customHeight="1" x14ac:dyDescent="0.35">
      <c r="A275" s="4" t="s">
        <v>389</v>
      </c>
      <c r="B275" s="1" t="s">
        <v>1588</v>
      </c>
      <c r="C275" s="11">
        <v>44965</v>
      </c>
      <c r="D275" s="11" t="s">
        <v>4279</v>
      </c>
      <c r="E275" s="1" t="s">
        <v>21</v>
      </c>
      <c r="F275" s="1" t="s">
        <v>4280</v>
      </c>
      <c r="G275" s="6">
        <f>COUNTIF(F:F,Table2[[#This Row],[Form '#]])</f>
        <v>1</v>
      </c>
      <c r="H275" s="1" t="s">
        <v>3014</v>
      </c>
      <c r="I275" s="1" t="s">
        <v>3864</v>
      </c>
      <c r="J275" s="1" t="s">
        <v>78</v>
      </c>
      <c r="K275" s="1" t="s">
        <v>3879</v>
      </c>
      <c r="L275" s="1"/>
      <c r="M275" s="6" t="str">
        <f>IF(Table2[[#This Row],[Corrected Form '#
 (If Duplicated)]]="",Table2[[#This Row],[Form '#]],Table2[[#This Row],[Corrected Form '#
 (If Duplicated)]])</f>
        <v>7818-11672</v>
      </c>
      <c r="N275" s="1" t="s">
        <v>49</v>
      </c>
      <c r="O275" s="6" t="str">
        <f>IF(Table2[[#This Row],[POG CONFIRMATION RECEIPT OF ORDER
(DATE &amp; TIME)]]="","No Confirmation","Received Confirmation")</f>
        <v>Received Confirmation</v>
      </c>
      <c r="P275" s="6">
        <f ca="1">TODAY()-Table2[[#This Row],[DATE SENT TO POG]]</f>
        <v>338</v>
      </c>
      <c r="Q275" s="6" t="s">
        <v>5803</v>
      </c>
      <c r="R2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5" s="2" t="str">
        <f>_xlfn.XLOOKUP(Table2[[#This Row],[Adjusted Form '#]],'[2]IN PROGRESS'!$D:$D,'[2]IN PROGRESS'!$M:$M,"Not Found")</f>
        <v>Not Found</v>
      </c>
      <c r="U275" s="2" t="str">
        <f>_xlfn.XLOOKUP(Table2[[#This Row],[Adjusted Form '#]],[1]COMPLETED!$D:$D,[2]COMPLETED!$M:$M,"Not Found")</f>
        <v>Not Found</v>
      </c>
      <c r="V275" s="17" t="str">
        <f>_xlfn.XLOOKUP(Table2[[#This Row],[Adjusted Form '#]],[2]COMPLETED!$D:$D,[2]COMPLETED!$O:$O,"Not Found")</f>
        <v>Not Found</v>
      </c>
      <c r="W275" s="2" t="str">
        <f>_xlfn.XLOOKUP(Table2[[#This Row],[Adjusted Form '#]],[2]BILLED!$D:$D,[2]BILLED!$M:$M,"Not Found")</f>
        <v>1Z5063E0YW41478501</v>
      </c>
      <c r="X275" s="17" t="e">
        <f>_xlfn.XLOOKUP(Table2[[#This Row],[Adjusted Form '#]],[2]BILLED!$D:$D,[1]BILLED!$O:$O,"Not Found")</f>
        <v>#REF!</v>
      </c>
      <c r="Y275" s="17" t="e">
        <f>_xlfn.XLOOKUP(Table2[[#This Row],[Adjusted Form '#]],'[2]REJECTED ORDERS'!$D:$D,'[2]REJECTED ORDERS'!$E:$E)</f>
        <v>#N/A</v>
      </c>
      <c r="Z275" s="1"/>
      <c r="AA275" s="1"/>
      <c r="AB275" s="8"/>
      <c r="AC275" s="8"/>
      <c r="AD275" s="8"/>
      <c r="AE275" s="8"/>
      <c r="AF275" s="8"/>
      <c r="AG275" s="8"/>
      <c r="AH275" s="8"/>
      <c r="AI275" s="8"/>
      <c r="AJ275" s="8"/>
    </row>
    <row r="276" spans="1:36" ht="15" customHeight="1" x14ac:dyDescent="0.35">
      <c r="A276" s="4" t="s">
        <v>392</v>
      </c>
      <c r="B276" s="1" t="s">
        <v>2174</v>
      </c>
      <c r="C276" s="11">
        <v>44964</v>
      </c>
      <c r="E276" s="1" t="s">
        <v>73</v>
      </c>
      <c r="F276" s="1" t="s">
        <v>4281</v>
      </c>
      <c r="G276" s="6">
        <f>COUNTIF(F:F,Table2[[#This Row],[Form '#]])</f>
        <v>1</v>
      </c>
      <c r="H276" s="1" t="s">
        <v>4258</v>
      </c>
      <c r="I276" s="1" t="s">
        <v>3852</v>
      </c>
      <c r="J276" s="1" t="s">
        <v>80</v>
      </c>
      <c r="K276" s="1" t="s">
        <v>3853</v>
      </c>
      <c r="L276" s="1"/>
      <c r="M276" s="6" t="str">
        <f>IF(Table2[[#This Row],[Corrected Form '#
 (If Duplicated)]]="",Table2[[#This Row],[Form '#]],Table2[[#This Row],[Corrected Form '#
 (If Duplicated)]])</f>
        <v>7823-0168</v>
      </c>
      <c r="N276" s="1" t="s">
        <v>49</v>
      </c>
      <c r="O276" s="6" t="str">
        <f>IF(Table2[[#This Row],[POG CONFIRMATION RECEIPT OF ORDER
(DATE &amp; TIME)]]="","No Confirmation","Received Confirmation")</f>
        <v>No Confirmation</v>
      </c>
      <c r="P276" s="6">
        <f ca="1">TODAY()-Table2[[#This Row],[DATE SENT TO POG]]</f>
        <v>339</v>
      </c>
      <c r="Q276" s="6" t="s">
        <v>5802</v>
      </c>
      <c r="R2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7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76" s="2" t="str">
        <f>_xlfn.XLOOKUP(Table2[[#This Row],[Adjusted Form '#]],'[2]IN PROGRESS'!$D:$D,'[2]IN PROGRESS'!$M:$M,"Not Found")</f>
        <v>Not Found</v>
      </c>
      <c r="U276" s="2" t="str">
        <f>_xlfn.XLOOKUP(Table2[[#This Row],[Adjusted Form '#]],[1]COMPLETED!$D:$D,[2]COMPLETED!$M:$M,"Not Found")</f>
        <v>Not Found</v>
      </c>
      <c r="V276" s="17" t="str">
        <f>_xlfn.XLOOKUP(Table2[[#This Row],[Adjusted Form '#]],[2]COMPLETED!$D:$D,[2]COMPLETED!$O:$O,"Not Found")</f>
        <v>Not Found</v>
      </c>
      <c r="W276" s="2" t="str">
        <f>_xlfn.XLOOKUP(Table2[[#This Row],[Adjusted Form '#]],[2]BILLED!$D:$D,[2]BILLED!$M:$M,"Not Found")</f>
        <v>Not Found</v>
      </c>
      <c r="X276" s="17" t="str">
        <f>_xlfn.XLOOKUP(Table2[[#This Row],[Adjusted Form '#]],[2]BILLED!$D:$D,[1]BILLED!$O:$O,"Not Found")</f>
        <v>Not Found</v>
      </c>
      <c r="Y276" s="17" t="e">
        <f>_xlfn.XLOOKUP(Table2[[#This Row],[Adjusted Form '#]],'[2]REJECTED ORDERS'!$D:$D,'[2]REJECTED ORDERS'!$E:$E)</f>
        <v>#N/A</v>
      </c>
      <c r="Z276" s="1"/>
      <c r="AA276" s="1"/>
      <c r="AB276" s="8"/>
      <c r="AC276" s="8"/>
      <c r="AD276" s="8"/>
      <c r="AE276" s="8"/>
      <c r="AF276" s="8"/>
      <c r="AG276" s="8"/>
      <c r="AH276" s="8"/>
      <c r="AI276" s="8"/>
      <c r="AJ276" s="8"/>
    </row>
    <row r="277" spans="1:36" ht="15" customHeight="1" x14ac:dyDescent="0.35">
      <c r="A277" s="4" t="s">
        <v>393</v>
      </c>
      <c r="B277" s="1" t="s">
        <v>2627</v>
      </c>
      <c r="C277" s="11">
        <v>44966</v>
      </c>
      <c r="D277" s="11" t="s">
        <v>4282</v>
      </c>
      <c r="E277" s="1" t="s">
        <v>21</v>
      </c>
      <c r="F277" s="1" t="s">
        <v>4283</v>
      </c>
      <c r="G277" s="6">
        <f>COUNTIF(F:F,Table2[[#This Row],[Form '#]])</f>
        <v>1</v>
      </c>
      <c r="H277" s="1" t="s">
        <v>610</v>
      </c>
      <c r="I277" s="1" t="s">
        <v>127</v>
      </c>
      <c r="J277" s="1" t="s">
        <v>76</v>
      </c>
      <c r="K277" s="1" t="s">
        <v>4284</v>
      </c>
      <c r="L277" s="1"/>
      <c r="M277" s="6" t="str">
        <f>IF(Table2[[#This Row],[Corrected Form '#
 (If Duplicated)]]="",Table2[[#This Row],[Form '#]],Table2[[#This Row],[Corrected Form '#
 (If Duplicated)]])</f>
        <v>7818-09023</v>
      </c>
      <c r="N277" s="1" t="s">
        <v>49</v>
      </c>
      <c r="O277" s="6" t="str">
        <f>IF(Table2[[#This Row],[POG CONFIRMATION RECEIPT OF ORDER
(DATE &amp; TIME)]]="","No Confirmation","Received Confirmation")</f>
        <v>Received Confirmation</v>
      </c>
      <c r="P277" s="6">
        <f ca="1">TODAY()-Table2[[#This Row],[DATE SENT TO POG]]</f>
        <v>337</v>
      </c>
      <c r="Q277" s="6" t="s">
        <v>5803</v>
      </c>
      <c r="R2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7" s="2" t="str">
        <f>_xlfn.XLOOKUP(Table2[[#This Row],[Adjusted Form '#]],'[2]IN PROGRESS'!$D:$D,'[2]IN PROGRESS'!$M:$M,"Not Found")</f>
        <v>Not Found</v>
      </c>
      <c r="U277" s="2" t="str">
        <f>_xlfn.XLOOKUP(Table2[[#This Row],[Adjusted Form '#]],[1]COMPLETED!$D:$D,[2]COMPLETED!$M:$M,"Not Found")</f>
        <v>Not Found</v>
      </c>
      <c r="V277" s="17" t="str">
        <f>_xlfn.XLOOKUP(Table2[[#This Row],[Adjusted Form '#]],[2]COMPLETED!$D:$D,[2]COMPLETED!$O:$O,"Not Found")</f>
        <v>Not Found</v>
      </c>
      <c r="W277" s="2" t="str">
        <f>_xlfn.XLOOKUP(Table2[[#This Row],[Adjusted Form '#]],[2]BILLED!$D:$D,[2]BILLED!$M:$M,"Not Found")</f>
        <v>1Z5063E0YW40281635</v>
      </c>
      <c r="X277" s="17" t="e">
        <f>_xlfn.XLOOKUP(Table2[[#This Row],[Adjusted Form '#]],[2]BILLED!$D:$D,[1]BILLED!$O:$O,"Not Found")</f>
        <v>#REF!</v>
      </c>
      <c r="Y277" s="17" t="e">
        <f>_xlfn.XLOOKUP(Table2[[#This Row],[Adjusted Form '#]],'[2]REJECTED ORDERS'!$D:$D,'[2]REJECTED ORDERS'!$E:$E)</f>
        <v>#N/A</v>
      </c>
      <c r="Z277" s="1"/>
      <c r="AA277" s="1"/>
      <c r="AB277" s="8"/>
      <c r="AC277" s="8"/>
      <c r="AD277" s="8"/>
      <c r="AE277" s="8"/>
      <c r="AF277" s="8"/>
      <c r="AG277" s="8"/>
      <c r="AH277" s="8"/>
      <c r="AI277" s="8"/>
      <c r="AJ277" s="8"/>
    </row>
    <row r="278" spans="1:36" ht="15" customHeight="1" x14ac:dyDescent="0.35">
      <c r="A278" s="4" t="s">
        <v>395</v>
      </c>
      <c r="B278" s="1" t="s">
        <v>2627</v>
      </c>
      <c r="C278" s="11">
        <v>44966</v>
      </c>
      <c r="D278" s="11" t="s">
        <v>4282</v>
      </c>
      <c r="E278" s="1" t="s">
        <v>21</v>
      </c>
      <c r="F278" s="1" t="s">
        <v>4285</v>
      </c>
      <c r="G278" s="6">
        <f>COUNTIF(F:F,Table2[[#This Row],[Form '#]])</f>
        <v>1</v>
      </c>
      <c r="H278" s="1" t="s">
        <v>4286</v>
      </c>
      <c r="I278" s="1" t="s">
        <v>3852</v>
      </c>
      <c r="J278" s="1" t="s">
        <v>76</v>
      </c>
      <c r="K278" s="1" t="s">
        <v>3853</v>
      </c>
      <c r="L278" s="1"/>
      <c r="M278" s="6" t="str">
        <f>IF(Table2[[#This Row],[Corrected Form '#
 (If Duplicated)]]="",Table2[[#This Row],[Form '#]],Table2[[#This Row],[Corrected Form '#
 (If Duplicated)]])</f>
        <v>7818-21341</v>
      </c>
      <c r="N278" s="1" t="s">
        <v>49</v>
      </c>
      <c r="O278" s="6" t="str">
        <f>IF(Table2[[#This Row],[POG CONFIRMATION RECEIPT OF ORDER
(DATE &amp; TIME)]]="","No Confirmation","Received Confirmation")</f>
        <v>Received Confirmation</v>
      </c>
      <c r="P278" s="6">
        <f ca="1">TODAY()-Table2[[#This Row],[DATE SENT TO POG]]</f>
        <v>337</v>
      </c>
      <c r="Q278" s="6" t="s">
        <v>5803</v>
      </c>
      <c r="R2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8" s="2" t="str">
        <f>_xlfn.XLOOKUP(Table2[[#This Row],[Adjusted Form '#]],'[2]IN PROGRESS'!$D:$D,'[2]IN PROGRESS'!$M:$M,"Not Found")</f>
        <v>Not Found</v>
      </c>
      <c r="U278" s="2" t="str">
        <f>_xlfn.XLOOKUP(Table2[[#This Row],[Adjusted Form '#]],[1]COMPLETED!$D:$D,[2]COMPLETED!$M:$M,"Not Found")</f>
        <v>Not Found</v>
      </c>
      <c r="V278" s="17" t="str">
        <f>_xlfn.XLOOKUP(Table2[[#This Row],[Adjusted Form '#]],[2]COMPLETED!$D:$D,[2]COMPLETED!$O:$O,"Not Found")</f>
        <v>Not Found</v>
      </c>
      <c r="W278" s="2" t="str">
        <f>_xlfn.XLOOKUP(Table2[[#This Row],[Adjusted Form '#]],[2]BILLED!$D:$D,[2]BILLED!$M:$M,"Not Found")</f>
        <v>1Z5063E0YW40373465</v>
      </c>
      <c r="X278" s="17" t="e">
        <f>_xlfn.XLOOKUP(Table2[[#This Row],[Adjusted Form '#]],[2]BILLED!$D:$D,[1]BILLED!$O:$O,"Not Found")</f>
        <v>#REF!</v>
      </c>
      <c r="Y278" s="17" t="e">
        <f>_xlfn.XLOOKUP(Table2[[#This Row],[Adjusted Form '#]],'[2]REJECTED ORDERS'!$D:$D,'[2]REJECTED ORDERS'!$E:$E)</f>
        <v>#N/A</v>
      </c>
      <c r="Z278" s="1"/>
      <c r="AA278" s="1"/>
      <c r="AB278" s="8"/>
      <c r="AC278" s="8"/>
      <c r="AD278" s="8"/>
      <c r="AE278" s="8"/>
      <c r="AF278" s="8"/>
      <c r="AG278" s="8"/>
      <c r="AH278" s="8"/>
      <c r="AI278" s="8"/>
      <c r="AJ278" s="8"/>
    </row>
    <row r="279" spans="1:36" ht="15" customHeight="1" x14ac:dyDescent="0.35">
      <c r="A279" s="4" t="s">
        <v>397</v>
      </c>
      <c r="B279" s="1" t="s">
        <v>4287</v>
      </c>
      <c r="C279" s="11">
        <v>44966</v>
      </c>
      <c r="D279" s="11" t="s">
        <v>4282</v>
      </c>
      <c r="E279" s="1" t="s">
        <v>73</v>
      </c>
      <c r="F279" s="1" t="s">
        <v>4288</v>
      </c>
      <c r="G279" s="6">
        <f>COUNTIF(F:F,Table2[[#This Row],[Form '#]])</f>
        <v>2</v>
      </c>
      <c r="H279" s="1" t="s">
        <v>4289</v>
      </c>
      <c r="I279" s="1" t="s">
        <v>177</v>
      </c>
      <c r="J279" s="1" t="s">
        <v>75</v>
      </c>
      <c r="K279" s="1" t="s">
        <v>3853</v>
      </c>
      <c r="L279" s="1"/>
      <c r="M279" s="6" t="str">
        <f>IF(Table2[[#This Row],[Corrected Form '#
 (If Duplicated)]]="",Table2[[#This Row],[Form '#]],Table2[[#This Row],[Corrected Form '#
 (If Duplicated)]])</f>
        <v>7823-03365</v>
      </c>
      <c r="N279" s="1" t="s">
        <v>49</v>
      </c>
      <c r="O279" s="6" t="str">
        <f>IF(Table2[[#This Row],[POG CONFIRMATION RECEIPT OF ORDER
(DATE &amp; TIME)]]="","No Confirmation","Received Confirmation")</f>
        <v>Received Confirmation</v>
      </c>
      <c r="P279" s="6">
        <f ca="1">TODAY()-Table2[[#This Row],[DATE SENT TO POG]]</f>
        <v>337</v>
      </c>
      <c r="Q279" s="6" t="s">
        <v>5803</v>
      </c>
      <c r="R2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79" s="2" t="str">
        <f>_xlfn.XLOOKUP(Table2[[#This Row],[Adjusted Form '#]],'[2]IN PROGRESS'!$D:$D,'[2]IN PROGRESS'!$M:$M,"Not Found")</f>
        <v>Not Found</v>
      </c>
      <c r="U279" s="2" t="str">
        <f>_xlfn.XLOOKUP(Table2[[#This Row],[Adjusted Form '#]],[1]COMPLETED!$D:$D,[2]COMPLETED!$M:$M,"Not Found")</f>
        <v>Not Found</v>
      </c>
      <c r="V279" s="17" t="str">
        <f>_xlfn.XLOOKUP(Table2[[#This Row],[Adjusted Form '#]],[2]COMPLETED!$D:$D,[2]COMPLETED!$O:$O,"Not Found")</f>
        <v>Not Found</v>
      </c>
      <c r="W279" s="2" t="str">
        <f>_xlfn.XLOOKUP(Table2[[#This Row],[Adjusted Form '#]],[2]BILLED!$D:$D,[2]BILLED!$M:$M,"Not Found")</f>
        <v>1Z5063E0YW41092150</v>
      </c>
      <c r="X279" s="17" t="e">
        <f>_xlfn.XLOOKUP(Table2[[#This Row],[Adjusted Form '#]],[2]BILLED!$D:$D,[1]BILLED!$O:$O,"Not Found")</f>
        <v>#REF!</v>
      </c>
      <c r="Y279" s="17" t="e">
        <f>_xlfn.XLOOKUP(Table2[[#This Row],[Adjusted Form '#]],'[2]REJECTED ORDERS'!$D:$D,'[2]REJECTED ORDERS'!$E:$E)</f>
        <v>#N/A</v>
      </c>
      <c r="Z279" s="1"/>
      <c r="AA279" s="1"/>
      <c r="AB279" s="8"/>
      <c r="AC279" s="8"/>
      <c r="AD279" s="8"/>
      <c r="AE279" s="8"/>
      <c r="AF279" s="8"/>
      <c r="AG279" s="8"/>
      <c r="AH279" s="8"/>
      <c r="AI279" s="8"/>
      <c r="AJ279" s="8"/>
    </row>
    <row r="280" spans="1:36" ht="15" customHeight="1" x14ac:dyDescent="0.35">
      <c r="A280" s="4" t="s">
        <v>398</v>
      </c>
      <c r="B280" s="1" t="s">
        <v>4287</v>
      </c>
      <c r="C280" s="11">
        <v>44966</v>
      </c>
      <c r="D280" s="11" t="s">
        <v>4282</v>
      </c>
      <c r="E280" s="1" t="s">
        <v>73</v>
      </c>
      <c r="F280" s="1" t="s">
        <v>4290</v>
      </c>
      <c r="G280" s="6">
        <f>COUNTIF(F:F,Table2[[#This Row],[Form '#]])</f>
        <v>2</v>
      </c>
      <c r="H280" s="1" t="s">
        <v>4291</v>
      </c>
      <c r="I280" s="1" t="s">
        <v>3864</v>
      </c>
      <c r="J280" s="1" t="s">
        <v>78</v>
      </c>
      <c r="K280" s="1" t="s">
        <v>3879</v>
      </c>
      <c r="L280" s="1"/>
      <c r="M280" s="6" t="str">
        <f>IF(Table2[[#This Row],[Corrected Form '#
 (If Duplicated)]]="",Table2[[#This Row],[Form '#]],Table2[[#This Row],[Corrected Form '#
 (If Duplicated)]])</f>
        <v>7823-03361</v>
      </c>
      <c r="N280" s="1" t="s">
        <v>49</v>
      </c>
      <c r="O280" s="6" t="str">
        <f>IF(Table2[[#This Row],[POG CONFIRMATION RECEIPT OF ORDER
(DATE &amp; TIME)]]="","No Confirmation","Received Confirmation")</f>
        <v>Received Confirmation</v>
      </c>
      <c r="P280" s="6">
        <f ca="1">TODAY()-Table2[[#This Row],[DATE SENT TO POG]]</f>
        <v>337</v>
      </c>
      <c r="Q280" s="6" t="s">
        <v>5803</v>
      </c>
      <c r="R2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0" s="2" t="str">
        <f>_xlfn.XLOOKUP(Table2[[#This Row],[Adjusted Form '#]],'[2]IN PROGRESS'!$D:$D,'[2]IN PROGRESS'!$M:$M,"Not Found")</f>
        <v>Not Found</v>
      </c>
      <c r="U280" s="2" t="str">
        <f>_xlfn.XLOOKUP(Table2[[#This Row],[Adjusted Form '#]],[1]COMPLETED!$D:$D,[2]COMPLETED!$M:$M,"Not Found")</f>
        <v>Not Found</v>
      </c>
      <c r="V280" s="17" t="str">
        <f>_xlfn.XLOOKUP(Table2[[#This Row],[Adjusted Form '#]],[2]COMPLETED!$D:$D,[2]COMPLETED!$O:$O,"Not Found")</f>
        <v>Not Found</v>
      </c>
      <c r="W280" s="2" t="str">
        <f>_xlfn.XLOOKUP(Table2[[#This Row],[Adjusted Form '#]],[2]BILLED!$D:$D,[2]BILLED!$M:$M,"Not Found")</f>
        <v>1Z5063E0YW42933203</v>
      </c>
      <c r="X280" s="17" t="e">
        <f>_xlfn.XLOOKUP(Table2[[#This Row],[Adjusted Form '#]],[2]BILLED!$D:$D,[1]BILLED!$O:$O,"Not Found")</f>
        <v>#REF!</v>
      </c>
      <c r="Y280" s="17" t="e">
        <f>_xlfn.XLOOKUP(Table2[[#This Row],[Adjusted Form '#]],'[2]REJECTED ORDERS'!$D:$D,'[2]REJECTED ORDERS'!$E:$E)</f>
        <v>#N/A</v>
      </c>
      <c r="Z280" s="1"/>
      <c r="AA280" s="1"/>
      <c r="AB280" s="8"/>
      <c r="AC280" s="8"/>
      <c r="AD280" s="8"/>
      <c r="AE280" s="8"/>
      <c r="AF280" s="8"/>
      <c r="AG280" s="8"/>
      <c r="AH280" s="8"/>
      <c r="AI280" s="8"/>
      <c r="AJ280" s="8"/>
    </row>
    <row r="281" spans="1:36" ht="15" customHeight="1" x14ac:dyDescent="0.35">
      <c r="A281" s="4" t="s">
        <v>399</v>
      </c>
      <c r="B281" s="1" t="s">
        <v>1422</v>
      </c>
      <c r="C281" s="11">
        <v>44966</v>
      </c>
      <c r="E281" s="1" t="s">
        <v>73</v>
      </c>
      <c r="F281" s="1" t="s">
        <v>4292</v>
      </c>
      <c r="G281" s="6">
        <f>COUNTIF(F:F,Table2[[#This Row],[Form '#]])</f>
        <v>1</v>
      </c>
      <c r="H281" s="1" t="s">
        <v>3589</v>
      </c>
      <c r="I281" s="1" t="s">
        <v>3852</v>
      </c>
      <c r="J281" s="1" t="s">
        <v>80</v>
      </c>
      <c r="K281" s="1" t="s">
        <v>3853</v>
      </c>
      <c r="L281" s="1"/>
      <c r="M281" s="6" t="str">
        <f>IF(Table2[[#This Row],[Corrected Form '#
 (If Duplicated)]]="",Table2[[#This Row],[Form '#]],Table2[[#This Row],[Corrected Form '#
 (If Duplicated)]])</f>
        <v>7823-02155</v>
      </c>
      <c r="N281" s="1" t="s">
        <v>49</v>
      </c>
      <c r="O281" s="6" t="str">
        <f>IF(Table2[[#This Row],[POG CONFIRMATION RECEIPT OF ORDER
(DATE &amp; TIME)]]="","No Confirmation","Received Confirmation")</f>
        <v>No Confirmation</v>
      </c>
      <c r="P281" s="6">
        <f ca="1">TODAY()-Table2[[#This Row],[DATE SENT TO POG]]</f>
        <v>337</v>
      </c>
      <c r="Q281" s="6" t="s">
        <v>5803</v>
      </c>
      <c r="R2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1" s="2" t="str">
        <f>_xlfn.XLOOKUP(Table2[[#This Row],[Adjusted Form '#]],'[2]IN PROGRESS'!$D:$D,'[2]IN PROGRESS'!$M:$M,"Not Found")</f>
        <v>Not Found</v>
      </c>
      <c r="U281" s="2" t="str">
        <f>_xlfn.XLOOKUP(Table2[[#This Row],[Adjusted Form '#]],[1]COMPLETED!$D:$D,[2]COMPLETED!$M:$M,"Not Found")</f>
        <v>Not Found</v>
      </c>
      <c r="V281" s="17" t="str">
        <f>_xlfn.XLOOKUP(Table2[[#This Row],[Adjusted Form '#]],[2]COMPLETED!$D:$D,[2]COMPLETED!$O:$O,"Not Found")</f>
        <v>Not Found</v>
      </c>
      <c r="W281" s="2" t="str">
        <f>_xlfn.XLOOKUP(Table2[[#This Row],[Adjusted Form '#]],[2]BILLED!$D:$D,[2]BILLED!$M:$M,"Not Found")</f>
        <v>9402 1112 0620 7195 2796 06</v>
      </c>
      <c r="X281" s="17" t="e">
        <f>_xlfn.XLOOKUP(Table2[[#This Row],[Adjusted Form '#]],[2]BILLED!$D:$D,[1]BILLED!$O:$O,"Not Found")</f>
        <v>#REF!</v>
      </c>
      <c r="Y281" s="17" t="e">
        <f>_xlfn.XLOOKUP(Table2[[#This Row],[Adjusted Form '#]],'[2]REJECTED ORDERS'!$D:$D,'[2]REJECTED ORDERS'!$E:$E)</f>
        <v>#N/A</v>
      </c>
      <c r="Z281" s="1"/>
      <c r="AA281" s="1"/>
      <c r="AB281" s="8"/>
      <c r="AC281" s="8"/>
      <c r="AD281" s="8"/>
      <c r="AE281" s="8"/>
      <c r="AF281" s="8"/>
      <c r="AG281" s="8"/>
      <c r="AH281" s="8"/>
      <c r="AI281" s="8"/>
      <c r="AJ281" s="8"/>
    </row>
    <row r="282" spans="1:36" ht="15" customHeight="1" x14ac:dyDescent="0.35">
      <c r="A282" s="4" t="s">
        <v>402</v>
      </c>
      <c r="B282" s="1" t="s">
        <v>935</v>
      </c>
      <c r="C282" s="11">
        <v>44966</v>
      </c>
      <c r="D282" s="11" t="s">
        <v>4282</v>
      </c>
      <c r="E282" s="1" t="s">
        <v>21</v>
      </c>
      <c r="F282" s="1" t="s">
        <v>4293</v>
      </c>
      <c r="G282" s="6">
        <f>COUNTIF(F:F,Table2[[#This Row],[Form '#]])</f>
        <v>1</v>
      </c>
      <c r="H282" s="1" t="s">
        <v>535</v>
      </c>
      <c r="I282" s="1" t="s">
        <v>3864</v>
      </c>
      <c r="J282" s="1" t="s">
        <v>78</v>
      </c>
      <c r="K282" s="1" t="s">
        <v>3879</v>
      </c>
      <c r="L282" s="1"/>
      <c r="M282" s="6" t="str">
        <f>IF(Table2[[#This Row],[Corrected Form '#
 (If Duplicated)]]="",Table2[[#This Row],[Form '#]],Table2[[#This Row],[Corrected Form '#
 (If Duplicated)]])</f>
        <v>7818-17611</v>
      </c>
      <c r="N282" s="1" t="s">
        <v>49</v>
      </c>
      <c r="O282" s="6" t="str">
        <f>IF(Table2[[#This Row],[POG CONFIRMATION RECEIPT OF ORDER
(DATE &amp; TIME)]]="","No Confirmation","Received Confirmation")</f>
        <v>Received Confirmation</v>
      </c>
      <c r="P282" s="6">
        <f ca="1">TODAY()-Table2[[#This Row],[DATE SENT TO POG]]</f>
        <v>337</v>
      </c>
      <c r="Q282" s="6" t="s">
        <v>5803</v>
      </c>
      <c r="R2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2" s="2" t="str">
        <f>_xlfn.XLOOKUP(Table2[[#This Row],[Adjusted Form '#]],'[2]IN PROGRESS'!$D:$D,'[2]IN PROGRESS'!$M:$M,"Not Found")</f>
        <v>Not Found</v>
      </c>
      <c r="U282" s="2" t="str">
        <f>_xlfn.XLOOKUP(Table2[[#This Row],[Adjusted Form '#]],[1]COMPLETED!$D:$D,[2]COMPLETED!$M:$M,"Not Found")</f>
        <v>Not Found</v>
      </c>
      <c r="V282" s="17" t="str">
        <f>_xlfn.XLOOKUP(Table2[[#This Row],[Adjusted Form '#]],[2]COMPLETED!$D:$D,[2]COMPLETED!$O:$O,"Not Found")</f>
        <v>Not Found</v>
      </c>
      <c r="W282" s="2" t="str">
        <f>_xlfn.XLOOKUP(Table2[[#This Row],[Adjusted Form '#]],[2]BILLED!$D:$D,[2]BILLED!$M:$M,"Not Found")</f>
        <v>1Z5063E0YW42982464</v>
      </c>
      <c r="X282" s="17" t="e">
        <f>_xlfn.XLOOKUP(Table2[[#This Row],[Adjusted Form '#]],[2]BILLED!$D:$D,[1]BILLED!$O:$O,"Not Found")</f>
        <v>#REF!</v>
      </c>
      <c r="Y282" s="17" t="e">
        <f>_xlfn.XLOOKUP(Table2[[#This Row],[Adjusted Form '#]],'[2]REJECTED ORDERS'!$D:$D,'[2]REJECTED ORDERS'!$E:$E)</f>
        <v>#N/A</v>
      </c>
      <c r="Z282" s="1"/>
      <c r="AA282" s="1"/>
      <c r="AB282" s="8"/>
      <c r="AC282" s="8"/>
      <c r="AD282" s="8"/>
      <c r="AE282" s="8"/>
      <c r="AF282" s="8"/>
      <c r="AG282" s="8"/>
      <c r="AH282" s="8"/>
      <c r="AI282" s="8"/>
      <c r="AJ282" s="8"/>
    </row>
    <row r="283" spans="1:36" ht="15" customHeight="1" x14ac:dyDescent="0.35">
      <c r="A283" s="4" t="s">
        <v>404</v>
      </c>
      <c r="B283" s="1" t="s">
        <v>1226</v>
      </c>
      <c r="C283" s="11">
        <v>44966</v>
      </c>
      <c r="D283" s="11" t="s">
        <v>4282</v>
      </c>
      <c r="E283" s="1" t="s">
        <v>21</v>
      </c>
      <c r="F283" s="1" t="s">
        <v>4294</v>
      </c>
      <c r="G283" s="6">
        <f>COUNTIF(F:F,Table2[[#This Row],[Form '#]])</f>
        <v>1</v>
      </c>
      <c r="H283" s="1" t="s">
        <v>590</v>
      </c>
      <c r="I283" s="1" t="s">
        <v>127</v>
      </c>
      <c r="J283" s="1" t="s">
        <v>74</v>
      </c>
      <c r="K283" s="1" t="s">
        <v>4011</v>
      </c>
      <c r="L283" s="1"/>
      <c r="M283" s="6" t="str">
        <f>IF(Table2[[#This Row],[Corrected Form '#
 (If Duplicated)]]="",Table2[[#This Row],[Form '#]],Table2[[#This Row],[Corrected Form '#
 (If Duplicated)]])</f>
        <v>7818-16144</v>
      </c>
      <c r="N283" s="1" t="s">
        <v>49</v>
      </c>
      <c r="O283" s="6" t="str">
        <f>IF(Table2[[#This Row],[POG CONFIRMATION RECEIPT OF ORDER
(DATE &amp; TIME)]]="","No Confirmation","Received Confirmation")</f>
        <v>Received Confirmation</v>
      </c>
      <c r="P283" s="6">
        <f ca="1">TODAY()-Table2[[#This Row],[DATE SENT TO POG]]</f>
        <v>337</v>
      </c>
      <c r="Q283" s="6" t="s">
        <v>5803</v>
      </c>
      <c r="R2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3" s="2" t="str">
        <f>_xlfn.XLOOKUP(Table2[[#This Row],[Adjusted Form '#]],'[2]IN PROGRESS'!$D:$D,'[2]IN PROGRESS'!$M:$M,"Not Found")</f>
        <v>Not Found</v>
      </c>
      <c r="U283" s="2" t="str">
        <f>_xlfn.XLOOKUP(Table2[[#This Row],[Adjusted Form '#]],[1]COMPLETED!$D:$D,[2]COMPLETED!$M:$M,"Not Found")</f>
        <v>Not Found</v>
      </c>
      <c r="V283" s="17" t="str">
        <f>_xlfn.XLOOKUP(Table2[[#This Row],[Adjusted Form '#]],[2]COMPLETED!$D:$D,[2]COMPLETED!$O:$O,"Not Found")</f>
        <v>Not Found</v>
      </c>
      <c r="W283" s="2" t="str">
        <f>_xlfn.XLOOKUP(Table2[[#This Row],[Adjusted Form '#]],[2]BILLED!$D:$D,[2]BILLED!$M:$M,"Not Found")</f>
        <v>1Z5063E0YW41834769</v>
      </c>
      <c r="X283" s="17" t="e">
        <f>_xlfn.XLOOKUP(Table2[[#This Row],[Adjusted Form '#]],[2]BILLED!$D:$D,[1]BILLED!$O:$O,"Not Found")</f>
        <v>#REF!</v>
      </c>
      <c r="Y283" s="17" t="e">
        <f>_xlfn.XLOOKUP(Table2[[#This Row],[Adjusted Form '#]],'[2]REJECTED ORDERS'!$D:$D,'[2]REJECTED ORDERS'!$E:$E)</f>
        <v>#N/A</v>
      </c>
      <c r="Z283" s="1"/>
      <c r="AA283" s="1"/>
      <c r="AB283" s="8"/>
      <c r="AC283" s="8"/>
      <c r="AD283" s="8"/>
      <c r="AE283" s="8"/>
      <c r="AF283" s="8"/>
      <c r="AG283" s="8"/>
      <c r="AH283" s="8"/>
      <c r="AI283" s="8"/>
      <c r="AJ283" s="8"/>
    </row>
    <row r="284" spans="1:36" ht="15" customHeight="1" x14ac:dyDescent="0.35">
      <c r="A284" s="4" t="s">
        <v>405</v>
      </c>
      <c r="B284" s="1" t="s">
        <v>2777</v>
      </c>
      <c r="C284" s="11">
        <v>44966</v>
      </c>
      <c r="D284" s="11" t="s">
        <v>4295</v>
      </c>
      <c r="E284" s="1" t="s">
        <v>21</v>
      </c>
      <c r="F284" s="1" t="s">
        <v>4296</v>
      </c>
      <c r="G284" s="6">
        <f>COUNTIF(F:F,Table2[[#This Row],[Form '#]])</f>
        <v>1</v>
      </c>
      <c r="H284" s="1" t="s">
        <v>4297</v>
      </c>
      <c r="I284" s="1" t="s">
        <v>3864</v>
      </c>
      <c r="J284" s="1" t="s">
        <v>78</v>
      </c>
      <c r="K284" s="1" t="s">
        <v>3879</v>
      </c>
      <c r="L284" s="1"/>
      <c r="M284" s="6" t="str">
        <f>IF(Table2[[#This Row],[Corrected Form '#
 (If Duplicated)]]="",Table2[[#This Row],[Form '#]],Table2[[#This Row],[Corrected Form '#
 (If Duplicated)]])</f>
        <v>7818-15029</v>
      </c>
      <c r="N284" s="1" t="s">
        <v>49</v>
      </c>
      <c r="O284" s="6" t="str">
        <f>IF(Table2[[#This Row],[POG CONFIRMATION RECEIPT OF ORDER
(DATE &amp; TIME)]]="","No Confirmation","Received Confirmation")</f>
        <v>Received Confirmation</v>
      </c>
      <c r="P284" s="6">
        <f ca="1">TODAY()-Table2[[#This Row],[DATE SENT TO POG]]</f>
        <v>337</v>
      </c>
      <c r="Q284" s="6" t="s">
        <v>5803</v>
      </c>
      <c r="R2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4" s="2" t="str">
        <f>_xlfn.XLOOKUP(Table2[[#This Row],[Adjusted Form '#]],'[2]IN PROGRESS'!$D:$D,'[2]IN PROGRESS'!$M:$M,"Not Found")</f>
        <v>Not Found</v>
      </c>
      <c r="U284" s="2" t="str">
        <f>_xlfn.XLOOKUP(Table2[[#This Row],[Adjusted Form '#]],[1]COMPLETED!$D:$D,[2]COMPLETED!$M:$M,"Not Found")</f>
        <v>Not Found</v>
      </c>
      <c r="V284" s="17" t="str">
        <f>_xlfn.XLOOKUP(Table2[[#This Row],[Adjusted Form '#]],[2]COMPLETED!$D:$D,[2]COMPLETED!$O:$O,"Not Found")</f>
        <v>Not Found</v>
      </c>
      <c r="W284" s="2" t="str">
        <f>_xlfn.XLOOKUP(Table2[[#This Row],[Adjusted Form '#]],[2]BILLED!$D:$D,[2]BILLED!$M:$M,"Not Found")</f>
        <v>1Z5063E0YW42934613</v>
      </c>
      <c r="X284" s="17" t="e">
        <f>_xlfn.XLOOKUP(Table2[[#This Row],[Adjusted Form '#]],[2]BILLED!$D:$D,[1]BILLED!$O:$O,"Not Found")</f>
        <v>#REF!</v>
      </c>
      <c r="Y284" s="17" t="e">
        <f>_xlfn.XLOOKUP(Table2[[#This Row],[Adjusted Form '#]],'[2]REJECTED ORDERS'!$D:$D,'[2]REJECTED ORDERS'!$E:$E)</f>
        <v>#N/A</v>
      </c>
      <c r="Z284" s="1"/>
      <c r="AA284" s="1"/>
      <c r="AB284" s="8"/>
      <c r="AC284" s="8"/>
      <c r="AD284" s="8"/>
      <c r="AE284" s="8"/>
      <c r="AF284" s="8"/>
      <c r="AG284" s="8"/>
      <c r="AH284" s="8"/>
      <c r="AI284" s="8"/>
      <c r="AJ284" s="8"/>
    </row>
    <row r="285" spans="1:36" ht="15" customHeight="1" x14ac:dyDescent="0.35">
      <c r="A285" s="4" t="s">
        <v>406</v>
      </c>
      <c r="B285" s="1" t="s">
        <v>1268</v>
      </c>
      <c r="C285" s="11">
        <v>44966</v>
      </c>
      <c r="D285" s="11" t="s">
        <v>4295</v>
      </c>
      <c r="E285" s="1" t="s">
        <v>191</v>
      </c>
      <c r="F285" s="1" t="s">
        <v>4298</v>
      </c>
      <c r="G285" s="6">
        <f>COUNTIF(F:F,Table2[[#This Row],[Form '#]])</f>
        <v>1</v>
      </c>
      <c r="H285" s="1" t="s">
        <v>2839</v>
      </c>
      <c r="I285" s="1" t="s">
        <v>127</v>
      </c>
      <c r="J285" s="1" t="s">
        <v>76</v>
      </c>
      <c r="K285" s="1" t="s">
        <v>4011</v>
      </c>
      <c r="L285" s="1"/>
      <c r="M285" s="6" t="str">
        <f>IF(Table2[[#This Row],[Corrected Form '#
 (If Duplicated)]]="",Table2[[#This Row],[Form '#]],Table2[[#This Row],[Corrected Form '#
 (If Duplicated)]])</f>
        <v>7812-02073</v>
      </c>
      <c r="N285" s="1" t="s">
        <v>49</v>
      </c>
      <c r="O285" s="6" t="str">
        <f>IF(Table2[[#This Row],[POG CONFIRMATION RECEIPT OF ORDER
(DATE &amp; TIME)]]="","No Confirmation","Received Confirmation")</f>
        <v>Received Confirmation</v>
      </c>
      <c r="P285" s="6">
        <f ca="1">TODAY()-Table2[[#This Row],[DATE SENT TO POG]]</f>
        <v>337</v>
      </c>
      <c r="Q285" s="6" t="s">
        <v>5803</v>
      </c>
      <c r="R2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5" s="2" t="str">
        <f>_xlfn.XLOOKUP(Table2[[#This Row],[Adjusted Form '#]],'[2]IN PROGRESS'!$D:$D,'[2]IN PROGRESS'!$M:$M,"Not Found")</f>
        <v>Not Found</v>
      </c>
      <c r="U285" s="2" t="str">
        <f>_xlfn.XLOOKUP(Table2[[#This Row],[Adjusted Form '#]],[1]COMPLETED!$D:$D,[2]COMPLETED!$M:$M,"Not Found")</f>
        <v>Not Found</v>
      </c>
      <c r="V285" s="17" t="str">
        <f>_xlfn.XLOOKUP(Table2[[#This Row],[Adjusted Form '#]],[2]COMPLETED!$D:$D,[2]COMPLETED!$O:$O,"Not Found")</f>
        <v>Not Found</v>
      </c>
      <c r="W285" s="2" t="str">
        <f>_xlfn.XLOOKUP(Table2[[#This Row],[Adjusted Form '#]],[2]BILLED!$D:$D,[2]BILLED!$M:$M,"Not Found")</f>
        <v>1Z5063E0YW41789425</v>
      </c>
      <c r="X285" s="17" t="e">
        <f>_xlfn.XLOOKUP(Table2[[#This Row],[Adjusted Form '#]],[2]BILLED!$D:$D,[1]BILLED!$O:$O,"Not Found")</f>
        <v>#REF!</v>
      </c>
      <c r="Y285" s="17" t="e">
        <f>_xlfn.XLOOKUP(Table2[[#This Row],[Adjusted Form '#]],'[2]REJECTED ORDERS'!$D:$D,'[2]REJECTED ORDERS'!$E:$E)</f>
        <v>#N/A</v>
      </c>
      <c r="Z285" s="1"/>
      <c r="AA285" s="1"/>
      <c r="AB285" s="8"/>
      <c r="AC285" s="8"/>
      <c r="AD285" s="8"/>
      <c r="AE285" s="8"/>
      <c r="AF285" s="8"/>
      <c r="AG285" s="8"/>
      <c r="AH285" s="8"/>
      <c r="AI285" s="8"/>
      <c r="AJ285" s="8"/>
    </row>
    <row r="286" spans="1:36" ht="15" customHeight="1" x14ac:dyDescent="0.35">
      <c r="A286" s="4" t="s">
        <v>408</v>
      </c>
      <c r="B286" s="1" t="s">
        <v>2335</v>
      </c>
      <c r="C286" s="11">
        <v>44966</v>
      </c>
      <c r="D286" s="11" t="s">
        <v>4295</v>
      </c>
      <c r="E286" s="1" t="s">
        <v>73</v>
      </c>
      <c r="F286" s="1" t="s">
        <v>4290</v>
      </c>
      <c r="G286" s="6">
        <f>COUNTIF(F:F,Table2[[#This Row],[Form '#]])</f>
        <v>2</v>
      </c>
      <c r="H286" s="1" t="s">
        <v>4291</v>
      </c>
      <c r="I286" s="1" t="s">
        <v>3864</v>
      </c>
      <c r="J286" s="1" t="s">
        <v>78</v>
      </c>
      <c r="K286" s="1" t="s">
        <v>3879</v>
      </c>
      <c r="L286" s="1"/>
      <c r="M286" s="6" t="str">
        <f>IF(Table2[[#This Row],[Corrected Form '#
 (If Duplicated)]]="",Table2[[#This Row],[Form '#]],Table2[[#This Row],[Corrected Form '#
 (If Duplicated)]])</f>
        <v>7823-03361</v>
      </c>
      <c r="N286" s="1" t="s">
        <v>49</v>
      </c>
      <c r="O286" s="6" t="str">
        <f>IF(Table2[[#This Row],[POG CONFIRMATION RECEIPT OF ORDER
(DATE &amp; TIME)]]="","No Confirmation","Received Confirmation")</f>
        <v>Received Confirmation</v>
      </c>
      <c r="P286" s="6">
        <f ca="1">TODAY()-Table2[[#This Row],[DATE SENT TO POG]]</f>
        <v>337</v>
      </c>
      <c r="Q286" s="6" t="s">
        <v>5803</v>
      </c>
      <c r="R2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6" s="2" t="str">
        <f>_xlfn.XLOOKUP(Table2[[#This Row],[Adjusted Form '#]],'[2]IN PROGRESS'!$D:$D,'[2]IN PROGRESS'!$M:$M,"Not Found")</f>
        <v>Not Found</v>
      </c>
      <c r="U286" s="2" t="str">
        <f>_xlfn.XLOOKUP(Table2[[#This Row],[Adjusted Form '#]],[1]COMPLETED!$D:$D,[2]COMPLETED!$M:$M,"Not Found")</f>
        <v>Not Found</v>
      </c>
      <c r="V286" s="17" t="str">
        <f>_xlfn.XLOOKUP(Table2[[#This Row],[Adjusted Form '#]],[2]COMPLETED!$D:$D,[2]COMPLETED!$O:$O,"Not Found")</f>
        <v>Not Found</v>
      </c>
      <c r="W286" s="2" t="str">
        <f>_xlfn.XLOOKUP(Table2[[#This Row],[Adjusted Form '#]],[2]BILLED!$D:$D,[2]BILLED!$M:$M,"Not Found")</f>
        <v>1Z5063E0YW42933203</v>
      </c>
      <c r="X286" s="17" t="e">
        <f>_xlfn.XLOOKUP(Table2[[#This Row],[Adjusted Form '#]],[2]BILLED!$D:$D,[1]BILLED!$O:$O,"Not Found")</f>
        <v>#REF!</v>
      </c>
      <c r="Y286" s="17" t="e">
        <f>_xlfn.XLOOKUP(Table2[[#This Row],[Adjusted Form '#]],'[2]REJECTED ORDERS'!$D:$D,'[2]REJECTED ORDERS'!$E:$E)</f>
        <v>#N/A</v>
      </c>
      <c r="Z286" s="1"/>
      <c r="AA286" s="1"/>
      <c r="AB286" s="8"/>
      <c r="AC286" s="8"/>
      <c r="AD286" s="8"/>
      <c r="AE286" s="8"/>
      <c r="AF286" s="8"/>
      <c r="AG286" s="8"/>
      <c r="AH286" s="8"/>
      <c r="AI286" s="8"/>
      <c r="AJ286" s="8"/>
    </row>
    <row r="287" spans="1:36" ht="15" customHeight="1" x14ac:dyDescent="0.35">
      <c r="A287" s="4" t="s">
        <v>411</v>
      </c>
      <c r="B287" s="1" t="s">
        <v>2335</v>
      </c>
      <c r="C287" s="11">
        <v>44966</v>
      </c>
      <c r="D287" s="11" t="s">
        <v>4295</v>
      </c>
      <c r="E287" s="1" t="s">
        <v>73</v>
      </c>
      <c r="F287" s="1" t="s">
        <v>4288</v>
      </c>
      <c r="G287" s="6">
        <f>COUNTIF(F:F,Table2[[#This Row],[Form '#]])</f>
        <v>2</v>
      </c>
      <c r="H287" s="1" t="s">
        <v>4289</v>
      </c>
      <c r="I287" s="1" t="s">
        <v>177</v>
      </c>
      <c r="J287" s="1" t="s">
        <v>75</v>
      </c>
      <c r="K287" s="1" t="s">
        <v>3853</v>
      </c>
      <c r="L287" s="1"/>
      <c r="M287" s="6" t="str">
        <f>IF(Table2[[#This Row],[Corrected Form '#
 (If Duplicated)]]="",Table2[[#This Row],[Form '#]],Table2[[#This Row],[Corrected Form '#
 (If Duplicated)]])</f>
        <v>7823-03365</v>
      </c>
      <c r="N287" s="1" t="s">
        <v>49</v>
      </c>
      <c r="O287" s="6" t="str">
        <f>IF(Table2[[#This Row],[POG CONFIRMATION RECEIPT OF ORDER
(DATE &amp; TIME)]]="","No Confirmation","Received Confirmation")</f>
        <v>Received Confirmation</v>
      </c>
      <c r="P287" s="6">
        <f ca="1">TODAY()-Table2[[#This Row],[DATE SENT TO POG]]</f>
        <v>337</v>
      </c>
      <c r="Q287" s="6" t="s">
        <v>5803</v>
      </c>
      <c r="R2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7" s="2" t="str">
        <f>_xlfn.XLOOKUP(Table2[[#This Row],[Adjusted Form '#]],'[2]IN PROGRESS'!$D:$D,'[2]IN PROGRESS'!$M:$M,"Not Found")</f>
        <v>Not Found</v>
      </c>
      <c r="U287" s="2" t="str">
        <f>_xlfn.XLOOKUP(Table2[[#This Row],[Adjusted Form '#]],[1]COMPLETED!$D:$D,[2]COMPLETED!$M:$M,"Not Found")</f>
        <v>Not Found</v>
      </c>
      <c r="V287" s="17" t="str">
        <f>_xlfn.XLOOKUP(Table2[[#This Row],[Adjusted Form '#]],[2]COMPLETED!$D:$D,[2]COMPLETED!$O:$O,"Not Found")</f>
        <v>Not Found</v>
      </c>
      <c r="W287" s="2" t="str">
        <f>_xlfn.XLOOKUP(Table2[[#This Row],[Adjusted Form '#]],[2]BILLED!$D:$D,[2]BILLED!$M:$M,"Not Found")</f>
        <v>1Z5063E0YW41092150</v>
      </c>
      <c r="X287" s="17" t="e">
        <f>_xlfn.XLOOKUP(Table2[[#This Row],[Adjusted Form '#]],[2]BILLED!$D:$D,[1]BILLED!$O:$O,"Not Found")</f>
        <v>#REF!</v>
      </c>
      <c r="Y287" s="17" t="e">
        <f>_xlfn.XLOOKUP(Table2[[#This Row],[Adjusted Form '#]],'[2]REJECTED ORDERS'!$D:$D,'[2]REJECTED ORDERS'!$E:$E)</f>
        <v>#N/A</v>
      </c>
      <c r="Z287" s="1"/>
      <c r="AA287" s="1"/>
      <c r="AB287" s="8"/>
      <c r="AC287" s="8"/>
      <c r="AD287" s="8"/>
      <c r="AE287" s="8"/>
      <c r="AF287" s="8"/>
      <c r="AG287" s="8"/>
      <c r="AH287" s="8"/>
      <c r="AI287" s="8"/>
      <c r="AJ287" s="8"/>
    </row>
    <row r="288" spans="1:36" ht="15" customHeight="1" x14ac:dyDescent="0.35">
      <c r="A288" s="4" t="s">
        <v>412</v>
      </c>
      <c r="B288" s="1" t="s">
        <v>1951</v>
      </c>
      <c r="C288" s="11">
        <v>44966</v>
      </c>
      <c r="D288" s="11" t="s">
        <v>4299</v>
      </c>
      <c r="E288" s="1" t="s">
        <v>21</v>
      </c>
      <c r="F288" s="1" t="s">
        <v>4300</v>
      </c>
      <c r="G288" s="6">
        <f>COUNTIF(F:F,Table2[[#This Row],[Form '#]])</f>
        <v>1</v>
      </c>
      <c r="H288" s="1" t="s">
        <v>4301</v>
      </c>
      <c r="I288" s="1" t="s">
        <v>127</v>
      </c>
      <c r="J288" s="1" t="s">
        <v>76</v>
      </c>
      <c r="K288" s="1" t="s">
        <v>3919</v>
      </c>
      <c r="L288" s="1"/>
      <c r="M288" s="6" t="str">
        <f>IF(Table2[[#This Row],[Corrected Form '#
 (If Duplicated)]]="",Table2[[#This Row],[Form '#]],Table2[[#This Row],[Corrected Form '#
 (If Duplicated)]])</f>
        <v>7818-25168</v>
      </c>
      <c r="N288" s="1" t="s">
        <v>49</v>
      </c>
      <c r="O288" s="6" t="str">
        <f>IF(Table2[[#This Row],[POG CONFIRMATION RECEIPT OF ORDER
(DATE &amp; TIME)]]="","No Confirmation","Received Confirmation")</f>
        <v>Received Confirmation</v>
      </c>
      <c r="P288" s="6">
        <f ca="1">TODAY()-Table2[[#This Row],[DATE SENT TO POG]]</f>
        <v>337</v>
      </c>
      <c r="Q288" s="6" t="s">
        <v>5803</v>
      </c>
      <c r="R2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8" s="2" t="str">
        <f>_xlfn.XLOOKUP(Table2[[#This Row],[Adjusted Form '#]],'[2]IN PROGRESS'!$D:$D,'[2]IN PROGRESS'!$M:$M,"Not Found")</f>
        <v>Not Found</v>
      </c>
      <c r="U288" s="2" t="str">
        <f>_xlfn.XLOOKUP(Table2[[#This Row],[Adjusted Form '#]],[1]COMPLETED!$D:$D,[2]COMPLETED!$M:$M,"Not Found")</f>
        <v>Not Found</v>
      </c>
      <c r="V288" s="17" t="str">
        <f>_xlfn.XLOOKUP(Table2[[#This Row],[Adjusted Form '#]],[2]COMPLETED!$D:$D,[2]COMPLETED!$O:$O,"Not Found")</f>
        <v>Not Found</v>
      </c>
      <c r="W288" s="2" t="str">
        <f>_xlfn.XLOOKUP(Table2[[#This Row],[Adjusted Form '#]],[2]BILLED!$D:$D,[2]BILLED!$M:$M,"Not Found")</f>
        <v>1Z5063E0YW40932379</v>
      </c>
      <c r="X288" s="17" t="e">
        <f>_xlfn.XLOOKUP(Table2[[#This Row],[Adjusted Form '#]],[2]BILLED!$D:$D,[1]BILLED!$O:$O,"Not Found")</f>
        <v>#REF!</v>
      </c>
      <c r="Y288" s="17" t="str">
        <f>_xlfn.XLOOKUP(Table2[[#This Row],[Adjusted Form '#]],'[2]REJECTED ORDERS'!$D:$D,'[2]REJECTED ORDERS'!$E:$E)</f>
        <v>FORM NOT SIGNED</v>
      </c>
      <c r="Z288" s="1"/>
      <c r="AA288" s="1"/>
      <c r="AB288" s="8"/>
      <c r="AC288" s="8"/>
      <c r="AD288" s="8"/>
      <c r="AE288" s="8"/>
      <c r="AF288" s="8"/>
      <c r="AG288" s="8"/>
      <c r="AH288" s="8"/>
      <c r="AI288" s="8"/>
      <c r="AJ288" s="8"/>
    </row>
    <row r="289" spans="1:36" ht="15" customHeight="1" x14ac:dyDescent="0.35">
      <c r="A289" s="4" t="s">
        <v>414</v>
      </c>
      <c r="B289" s="1" t="s">
        <v>2152</v>
      </c>
      <c r="C289" s="11">
        <v>44967</v>
      </c>
      <c r="D289" s="11" t="s">
        <v>4299</v>
      </c>
      <c r="E289" s="1" t="s">
        <v>21</v>
      </c>
      <c r="F289" s="1" t="s">
        <v>4302</v>
      </c>
      <c r="G289" s="6">
        <f>COUNTIF(F:F,Table2[[#This Row],[Form '#]])</f>
        <v>1</v>
      </c>
      <c r="H289" s="1" t="s">
        <v>4303</v>
      </c>
      <c r="I289" s="1" t="s">
        <v>127</v>
      </c>
      <c r="J289" s="1" t="s">
        <v>76</v>
      </c>
      <c r="K289" s="1" t="s">
        <v>4163</v>
      </c>
      <c r="L289" s="1"/>
      <c r="M289" s="6" t="str">
        <f>IF(Table2[[#This Row],[Corrected Form '#
 (If Duplicated)]]="",Table2[[#This Row],[Form '#]],Table2[[#This Row],[Corrected Form '#
 (If Duplicated)]])</f>
        <v>7818-25187</v>
      </c>
      <c r="N289" s="1" t="s">
        <v>49</v>
      </c>
      <c r="O289" s="6" t="str">
        <f>IF(Table2[[#This Row],[POG CONFIRMATION RECEIPT OF ORDER
(DATE &amp; TIME)]]="","No Confirmation","Received Confirmation")</f>
        <v>Received Confirmation</v>
      </c>
      <c r="P289" s="6">
        <f ca="1">TODAY()-Table2[[#This Row],[DATE SENT TO POG]]</f>
        <v>336</v>
      </c>
      <c r="Q289" s="6" t="s">
        <v>5803</v>
      </c>
      <c r="R2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89" s="2" t="str">
        <f>_xlfn.XLOOKUP(Table2[[#This Row],[Adjusted Form '#]],'[2]IN PROGRESS'!$D:$D,'[2]IN PROGRESS'!$M:$M,"Not Found")</f>
        <v>Not Found</v>
      </c>
      <c r="U289" s="2" t="str">
        <f>_xlfn.XLOOKUP(Table2[[#This Row],[Adjusted Form '#]],[1]COMPLETED!$D:$D,[2]COMPLETED!$M:$M,"Not Found")</f>
        <v>Not Found</v>
      </c>
      <c r="V289" s="17" t="str">
        <f>_xlfn.XLOOKUP(Table2[[#This Row],[Adjusted Form '#]],[2]COMPLETED!$D:$D,[2]COMPLETED!$O:$O,"Not Found")</f>
        <v>Not Found</v>
      </c>
      <c r="W289" s="2" t="str">
        <f>_xlfn.XLOOKUP(Table2[[#This Row],[Adjusted Form '#]],[2]BILLED!$D:$D,[2]BILLED!$M:$M,"Not Found")</f>
        <v>1Z5063E0YW40205771</v>
      </c>
      <c r="X289" s="17" t="e">
        <f>_xlfn.XLOOKUP(Table2[[#This Row],[Adjusted Form '#]],[2]BILLED!$D:$D,[1]BILLED!$O:$O,"Not Found")</f>
        <v>#REF!</v>
      </c>
      <c r="Y289" s="17" t="e">
        <f>_xlfn.XLOOKUP(Table2[[#This Row],[Adjusted Form '#]],'[2]REJECTED ORDERS'!$D:$D,'[2]REJECTED ORDERS'!$E:$E)</f>
        <v>#N/A</v>
      </c>
      <c r="Z289" s="1"/>
      <c r="AA289" s="1"/>
      <c r="AB289" s="8"/>
      <c r="AC289" s="8"/>
      <c r="AD289" s="8"/>
      <c r="AE289" s="8"/>
      <c r="AF289" s="8"/>
      <c r="AG289" s="8"/>
      <c r="AH289" s="8"/>
      <c r="AI289" s="8"/>
      <c r="AJ289" s="8"/>
    </row>
    <row r="290" spans="1:36" ht="15" customHeight="1" x14ac:dyDescent="0.35">
      <c r="A290" s="4" t="s">
        <v>416</v>
      </c>
      <c r="B290" s="1" t="s">
        <v>374</v>
      </c>
      <c r="C290" s="11">
        <v>44967</v>
      </c>
      <c r="D290" s="11" t="s">
        <v>4304</v>
      </c>
      <c r="E290" s="1" t="s">
        <v>21</v>
      </c>
      <c r="F290" s="1" t="s">
        <v>4305</v>
      </c>
      <c r="G290" s="6">
        <f>COUNTIF(F:F,Table2[[#This Row],[Form '#]])</f>
        <v>1</v>
      </c>
      <c r="H290" s="1" t="s">
        <v>1236</v>
      </c>
      <c r="I290" s="1" t="s">
        <v>127</v>
      </c>
      <c r="J290" s="1" t="s">
        <v>76</v>
      </c>
      <c r="K290" s="1" t="s">
        <v>3883</v>
      </c>
      <c r="L290" s="1"/>
      <c r="M290" s="6" t="str">
        <f>IF(Table2[[#This Row],[Corrected Form '#
 (If Duplicated)]]="",Table2[[#This Row],[Form '#]],Table2[[#This Row],[Corrected Form '#
 (If Duplicated)]])</f>
        <v>7818-19807</v>
      </c>
      <c r="N290" s="1" t="s">
        <v>49</v>
      </c>
      <c r="O290" s="6" t="str">
        <f>IF(Table2[[#This Row],[POG CONFIRMATION RECEIPT OF ORDER
(DATE &amp; TIME)]]="","No Confirmation","Received Confirmation")</f>
        <v>Received Confirmation</v>
      </c>
      <c r="P290" s="6">
        <f ca="1">TODAY()-Table2[[#This Row],[DATE SENT TO POG]]</f>
        <v>336</v>
      </c>
      <c r="Q290" s="6" t="s">
        <v>5803</v>
      </c>
      <c r="R2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0" s="2" t="str">
        <f>_xlfn.XLOOKUP(Table2[[#This Row],[Adjusted Form '#]],'[2]IN PROGRESS'!$D:$D,'[2]IN PROGRESS'!$M:$M,"Not Found")</f>
        <v>Not Found</v>
      </c>
      <c r="U290" s="2" t="str">
        <f>_xlfn.XLOOKUP(Table2[[#This Row],[Adjusted Form '#]],[1]COMPLETED!$D:$D,[2]COMPLETED!$M:$M,"Not Found")</f>
        <v>Not Found</v>
      </c>
      <c r="V290" s="17" t="str">
        <f>_xlfn.XLOOKUP(Table2[[#This Row],[Adjusted Form '#]],[2]COMPLETED!$D:$D,[2]COMPLETED!$O:$O,"Not Found")</f>
        <v>Not Found</v>
      </c>
      <c r="W290" s="2" t="str">
        <f>_xlfn.XLOOKUP(Table2[[#This Row],[Adjusted Form '#]],[2]BILLED!$D:$D,[2]BILLED!$M:$M,"Not Found")</f>
        <v>9402 1112 0620 7195 2762 09</v>
      </c>
      <c r="X290" s="17" t="e">
        <f>_xlfn.XLOOKUP(Table2[[#This Row],[Adjusted Form '#]],[2]BILLED!$D:$D,[1]BILLED!$O:$O,"Not Found")</f>
        <v>#REF!</v>
      </c>
      <c r="Y290" s="17" t="e">
        <f>_xlfn.XLOOKUP(Table2[[#This Row],[Adjusted Form '#]],'[2]REJECTED ORDERS'!$D:$D,'[2]REJECTED ORDERS'!$E:$E)</f>
        <v>#N/A</v>
      </c>
      <c r="Z290" s="1"/>
      <c r="AA290" s="1"/>
      <c r="AB290" s="8"/>
      <c r="AC290" s="8"/>
      <c r="AD290" s="8"/>
      <c r="AE290" s="8"/>
      <c r="AF290" s="8"/>
      <c r="AG290" s="8"/>
      <c r="AH290" s="8"/>
      <c r="AI290" s="8"/>
      <c r="AJ290" s="8"/>
    </row>
    <row r="291" spans="1:36" ht="15" customHeight="1" x14ac:dyDescent="0.35">
      <c r="A291" s="4" t="s">
        <v>417</v>
      </c>
      <c r="B291" s="1" t="s">
        <v>3531</v>
      </c>
      <c r="C291" s="11">
        <v>44967</v>
      </c>
      <c r="D291" s="11" t="s">
        <v>4304</v>
      </c>
      <c r="E291" s="1" t="s">
        <v>21</v>
      </c>
      <c r="F291" s="1" t="s">
        <v>4306</v>
      </c>
      <c r="G291" s="6">
        <f>COUNTIF(F:F,Table2[[#This Row],[Form '#]])</f>
        <v>1</v>
      </c>
      <c r="H291" s="1" t="s">
        <v>4307</v>
      </c>
      <c r="I291" s="1" t="s">
        <v>3852</v>
      </c>
      <c r="J291" s="1" t="s">
        <v>75</v>
      </c>
      <c r="K291" s="1" t="s">
        <v>4011</v>
      </c>
      <c r="L291" s="1"/>
      <c r="M291" s="6" t="str">
        <f>IF(Table2[[#This Row],[Corrected Form '#
 (If Duplicated)]]="",Table2[[#This Row],[Form '#]],Table2[[#This Row],[Corrected Form '#
 (If Duplicated)]])</f>
        <v>7818-19827</v>
      </c>
      <c r="N291" s="1" t="s">
        <v>49</v>
      </c>
      <c r="O291" s="6" t="str">
        <f>IF(Table2[[#This Row],[POG CONFIRMATION RECEIPT OF ORDER
(DATE &amp; TIME)]]="","No Confirmation","Received Confirmation")</f>
        <v>Received Confirmation</v>
      </c>
      <c r="P291" s="6">
        <f ca="1">TODAY()-Table2[[#This Row],[DATE SENT TO POG]]</f>
        <v>336</v>
      </c>
      <c r="Q291" s="6" t="s">
        <v>5803</v>
      </c>
      <c r="R2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1" s="2" t="str">
        <f>_xlfn.XLOOKUP(Table2[[#This Row],[Adjusted Form '#]],'[2]IN PROGRESS'!$D:$D,'[2]IN PROGRESS'!$M:$M,"Not Found")</f>
        <v>Not Found</v>
      </c>
      <c r="U291" s="2" t="str">
        <f>_xlfn.XLOOKUP(Table2[[#This Row],[Adjusted Form '#]],[1]COMPLETED!$D:$D,[2]COMPLETED!$M:$M,"Not Found")</f>
        <v>Not Found</v>
      </c>
      <c r="V291" s="17" t="str">
        <f>_xlfn.XLOOKUP(Table2[[#This Row],[Adjusted Form '#]],[2]COMPLETED!$D:$D,[2]COMPLETED!$O:$O,"Not Found")</f>
        <v>Not Found</v>
      </c>
      <c r="W291" s="2" t="str">
        <f>_xlfn.XLOOKUP(Table2[[#This Row],[Adjusted Form '#]],[2]BILLED!$D:$D,[2]BILLED!$M:$M,"Not Found")</f>
        <v>1Z5063E0YW42741689</v>
      </c>
      <c r="X291" s="17" t="e">
        <f>_xlfn.XLOOKUP(Table2[[#This Row],[Adjusted Form '#]],[2]BILLED!$D:$D,[1]BILLED!$O:$O,"Not Found")</f>
        <v>#REF!</v>
      </c>
      <c r="Y291" s="17" t="e">
        <f>_xlfn.XLOOKUP(Table2[[#This Row],[Adjusted Form '#]],'[2]REJECTED ORDERS'!$D:$D,'[2]REJECTED ORDERS'!$E:$E)</f>
        <v>#N/A</v>
      </c>
      <c r="Z291" s="1"/>
      <c r="AA291" s="1"/>
      <c r="AB291" s="8"/>
      <c r="AC291" s="8"/>
      <c r="AD291" s="8"/>
      <c r="AE291" s="8"/>
      <c r="AF291" s="8"/>
      <c r="AG291" s="8"/>
      <c r="AH291" s="8"/>
      <c r="AI291" s="8"/>
      <c r="AJ291" s="8"/>
    </row>
    <row r="292" spans="1:36" ht="15" customHeight="1" x14ac:dyDescent="0.35">
      <c r="A292" s="4" t="s">
        <v>418</v>
      </c>
      <c r="B292" s="1" t="s">
        <v>4308</v>
      </c>
      <c r="C292" s="11">
        <v>44967</v>
      </c>
      <c r="E292" s="1" t="s">
        <v>21</v>
      </c>
      <c r="F292" s="1" t="s">
        <v>3699</v>
      </c>
      <c r="G292" s="6">
        <f>COUNTIF(F:F,Table2[[#This Row],[Form '#]])</f>
        <v>1</v>
      </c>
      <c r="H292" s="1" t="s">
        <v>3701</v>
      </c>
      <c r="I292" s="1" t="s">
        <v>3852</v>
      </c>
      <c r="J292" s="1" t="s">
        <v>75</v>
      </c>
      <c r="K292" s="1" t="s">
        <v>3853</v>
      </c>
      <c r="L292" s="1"/>
      <c r="M292" s="6" t="str">
        <f>IF(Table2[[#This Row],[Corrected Form '#
 (If Duplicated)]]="",Table2[[#This Row],[Form '#]],Table2[[#This Row],[Corrected Form '#
 (If Duplicated)]])</f>
        <v>7818-21948</v>
      </c>
      <c r="N292" s="1" t="s">
        <v>49</v>
      </c>
      <c r="O292" s="6" t="str">
        <f>IF(Table2[[#This Row],[POG CONFIRMATION RECEIPT OF ORDER
(DATE &amp; TIME)]]="","No Confirmation","Received Confirmation")</f>
        <v>No Confirmation</v>
      </c>
      <c r="P292" s="6">
        <f ca="1">TODAY()-Table2[[#This Row],[DATE SENT TO POG]]</f>
        <v>336</v>
      </c>
      <c r="Q292" s="6" t="s">
        <v>5803</v>
      </c>
      <c r="R2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2" s="2" t="str">
        <f>_xlfn.XLOOKUP(Table2[[#This Row],[Adjusted Form '#]],'[2]IN PROGRESS'!$D:$D,'[2]IN PROGRESS'!$M:$M,"Not Found")</f>
        <v>Not Found</v>
      </c>
      <c r="U292" s="2" t="str">
        <f>_xlfn.XLOOKUP(Table2[[#This Row],[Adjusted Form '#]],[1]COMPLETED!$D:$D,[2]COMPLETED!$M:$M,"Not Found")</f>
        <v>Not Found</v>
      </c>
      <c r="V292" s="17" t="str">
        <f>_xlfn.XLOOKUP(Table2[[#This Row],[Adjusted Form '#]],[2]COMPLETED!$D:$D,[2]COMPLETED!$O:$O,"Not Found")</f>
        <v>Not Found</v>
      </c>
      <c r="W292" s="2" t="str">
        <f>_xlfn.XLOOKUP(Table2[[#This Row],[Adjusted Form '#]],[2]BILLED!$D:$D,[2]BILLED!$M:$M,"Not Found")</f>
        <v>1Z5063E0YW42391209</v>
      </c>
      <c r="X292" s="17" t="e">
        <f>_xlfn.XLOOKUP(Table2[[#This Row],[Adjusted Form '#]],[2]BILLED!$D:$D,[1]BILLED!$O:$O,"Not Found")</f>
        <v>#REF!</v>
      </c>
      <c r="Y292" s="17" t="str">
        <f>_xlfn.XLOOKUP(Table2[[#This Row],[Adjusted Form '#]],'[2]REJECTED ORDERS'!$D:$D,'[2]REJECTED ORDERS'!$E:$E)</f>
        <v>FORM NOT SIGNED</v>
      </c>
      <c r="Z292" s="1"/>
      <c r="AA292" s="1"/>
      <c r="AB292" s="8"/>
      <c r="AC292" s="8"/>
      <c r="AD292" s="8"/>
      <c r="AE292" s="8"/>
      <c r="AF292" s="8"/>
      <c r="AG292" s="8"/>
      <c r="AH292" s="8"/>
      <c r="AI292" s="8"/>
      <c r="AJ292" s="8"/>
    </row>
    <row r="293" spans="1:36" ht="15" customHeight="1" x14ac:dyDescent="0.35">
      <c r="A293" s="4" t="s">
        <v>419</v>
      </c>
      <c r="B293" s="1" t="s">
        <v>1422</v>
      </c>
      <c r="C293" s="11">
        <v>44970</v>
      </c>
      <c r="D293" s="11" t="s">
        <v>4309</v>
      </c>
      <c r="E293" s="1" t="s">
        <v>21</v>
      </c>
      <c r="F293" s="1" t="s">
        <v>4310</v>
      </c>
      <c r="G293" s="6">
        <f>COUNTIF(F:F,Table2[[#This Row],[Form '#]])</f>
        <v>1</v>
      </c>
      <c r="H293" s="1" t="s">
        <v>2592</v>
      </c>
      <c r="I293" s="1" t="s">
        <v>3852</v>
      </c>
      <c r="J293" s="1" t="s">
        <v>80</v>
      </c>
      <c r="K293" s="1" t="s">
        <v>4011</v>
      </c>
      <c r="L293" s="1"/>
      <c r="M293" s="6" t="str">
        <f>IF(Table2[[#This Row],[Corrected Form '#
 (If Duplicated)]]="",Table2[[#This Row],[Form '#]],Table2[[#This Row],[Corrected Form '#
 (If Duplicated)]])</f>
        <v>7818-20476</v>
      </c>
      <c r="N293" s="1" t="s">
        <v>4011</v>
      </c>
      <c r="O293" s="6" t="str">
        <f>IF(Table2[[#This Row],[POG CONFIRMATION RECEIPT OF ORDER
(DATE &amp; TIME)]]="","No Confirmation","Received Confirmation")</f>
        <v>Received Confirmation</v>
      </c>
      <c r="P293" s="6">
        <f ca="1">TODAY()-Table2[[#This Row],[DATE SENT TO POG]]</f>
        <v>333</v>
      </c>
      <c r="Q293" s="6" t="s">
        <v>5803</v>
      </c>
      <c r="R2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3" s="2" t="str">
        <f>_xlfn.XLOOKUP(Table2[[#This Row],[Adjusted Form '#]],'[2]IN PROGRESS'!$D:$D,'[2]IN PROGRESS'!$M:$M,"Not Found")</f>
        <v>Not Found</v>
      </c>
      <c r="U293" s="2" t="str">
        <f>_xlfn.XLOOKUP(Table2[[#This Row],[Adjusted Form '#]],[1]COMPLETED!$D:$D,[2]COMPLETED!$M:$M,"Not Found")</f>
        <v>Not Found</v>
      </c>
      <c r="V293" s="17" t="str">
        <f>_xlfn.XLOOKUP(Table2[[#This Row],[Adjusted Form '#]],[2]COMPLETED!$D:$D,[2]COMPLETED!$O:$O,"Not Found")</f>
        <v>Not Found</v>
      </c>
      <c r="W293" s="2" t="str">
        <f>_xlfn.XLOOKUP(Table2[[#This Row],[Adjusted Form '#]],[2]BILLED!$D:$D,[2]BILLED!$M:$M,"Not Found")</f>
        <v>1Z5063E0YW42656521</v>
      </c>
      <c r="X293" s="17" t="e">
        <f>_xlfn.XLOOKUP(Table2[[#This Row],[Adjusted Form '#]],[2]BILLED!$D:$D,[1]BILLED!$O:$O,"Not Found")</f>
        <v>#REF!</v>
      </c>
      <c r="Y293" s="17" t="str">
        <f>_xlfn.XLOOKUP(Table2[[#This Row],[Adjusted Form '#]],'[2]REJECTED ORDERS'!$D:$D,'[2]REJECTED ORDERS'!$E:$E)</f>
        <v>FORM NOT SIGNED</v>
      </c>
      <c r="Z293" s="1"/>
      <c r="AA293" s="1"/>
      <c r="AB293" s="8"/>
      <c r="AC293" s="8"/>
      <c r="AD293" s="8"/>
      <c r="AE293" s="8"/>
      <c r="AF293" s="8"/>
      <c r="AG293" s="8"/>
      <c r="AH293" s="8"/>
      <c r="AI293" s="8"/>
      <c r="AJ293" s="8"/>
    </row>
    <row r="294" spans="1:36" ht="15" customHeight="1" x14ac:dyDescent="0.35">
      <c r="A294" s="4" t="s">
        <v>420</v>
      </c>
      <c r="B294" s="1" t="s">
        <v>1422</v>
      </c>
      <c r="C294" s="11">
        <v>44970</v>
      </c>
      <c r="D294" s="11" t="s">
        <v>4309</v>
      </c>
      <c r="E294" s="1" t="s">
        <v>21</v>
      </c>
      <c r="F294" s="1" t="s">
        <v>4311</v>
      </c>
      <c r="G294" s="6">
        <f>COUNTIF(F:F,Table2[[#This Row],[Form '#]])</f>
        <v>1</v>
      </c>
      <c r="H294" s="1" t="s">
        <v>4312</v>
      </c>
      <c r="I294" s="1" t="s">
        <v>127</v>
      </c>
      <c r="J294" s="1" t="s">
        <v>71</v>
      </c>
      <c r="K294" s="1" t="s">
        <v>4011</v>
      </c>
      <c r="L294" s="1"/>
      <c r="M294" s="6" t="str">
        <f>IF(Table2[[#This Row],[Corrected Form '#
 (If Duplicated)]]="",Table2[[#This Row],[Form '#]],Table2[[#This Row],[Corrected Form '#
 (If Duplicated)]])</f>
        <v>7818-23724</v>
      </c>
      <c r="N294" s="1" t="s">
        <v>49</v>
      </c>
      <c r="O294" s="6" t="str">
        <f>IF(Table2[[#This Row],[POG CONFIRMATION RECEIPT OF ORDER
(DATE &amp; TIME)]]="","No Confirmation","Received Confirmation")</f>
        <v>Received Confirmation</v>
      </c>
      <c r="P294" s="6">
        <f ca="1">TODAY()-Table2[[#This Row],[DATE SENT TO POG]]</f>
        <v>333</v>
      </c>
      <c r="Q294" s="6" t="s">
        <v>5803</v>
      </c>
      <c r="R2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4" s="2" t="str">
        <f>_xlfn.XLOOKUP(Table2[[#This Row],[Adjusted Form '#]],'[2]IN PROGRESS'!$D:$D,'[2]IN PROGRESS'!$M:$M,"Not Found")</f>
        <v>Not Found</v>
      </c>
      <c r="U294" s="2" t="str">
        <f>_xlfn.XLOOKUP(Table2[[#This Row],[Adjusted Form '#]],[1]COMPLETED!$D:$D,[2]COMPLETED!$M:$M,"Not Found")</f>
        <v>Not Found</v>
      </c>
      <c r="V294" s="17" t="str">
        <f>_xlfn.XLOOKUP(Table2[[#This Row],[Adjusted Form '#]],[2]COMPLETED!$D:$D,[2]COMPLETED!$O:$O,"Not Found")</f>
        <v>Not Found</v>
      </c>
      <c r="W294" s="2" t="str">
        <f>_xlfn.XLOOKUP(Table2[[#This Row],[Adjusted Form '#]],[2]BILLED!$D:$D,[2]BILLED!$M:$M,"Not Found")</f>
        <v>1Z5063E0YW42201888</v>
      </c>
      <c r="X294" s="17" t="e">
        <f>_xlfn.XLOOKUP(Table2[[#This Row],[Adjusted Form '#]],[2]BILLED!$D:$D,[1]BILLED!$O:$O,"Not Found")</f>
        <v>#REF!</v>
      </c>
      <c r="Y294" s="17" t="e">
        <f>_xlfn.XLOOKUP(Table2[[#This Row],[Adjusted Form '#]],'[2]REJECTED ORDERS'!$D:$D,'[2]REJECTED ORDERS'!$E:$E)</f>
        <v>#N/A</v>
      </c>
      <c r="Z294" s="1"/>
      <c r="AA294" s="1"/>
      <c r="AB294" s="8"/>
      <c r="AC294" s="8"/>
      <c r="AD294" s="8"/>
      <c r="AE294" s="8"/>
      <c r="AF294" s="8"/>
      <c r="AG294" s="8"/>
      <c r="AH294" s="8"/>
      <c r="AI294" s="8"/>
      <c r="AJ294" s="8"/>
    </row>
    <row r="295" spans="1:36" ht="15" customHeight="1" x14ac:dyDescent="0.35">
      <c r="A295" s="4" t="s">
        <v>421</v>
      </c>
      <c r="B295" s="1" t="s">
        <v>1422</v>
      </c>
      <c r="C295" s="11">
        <v>44970</v>
      </c>
      <c r="D295" s="11" t="s">
        <v>4309</v>
      </c>
      <c r="E295" s="1" t="s">
        <v>21</v>
      </c>
      <c r="F295" s="1" t="s">
        <v>4313</v>
      </c>
      <c r="G295" s="6">
        <f>COUNTIF(F:F,Table2[[#This Row],[Form '#]])</f>
        <v>1</v>
      </c>
      <c r="H295" s="1" t="s">
        <v>1394</v>
      </c>
      <c r="I295" s="1" t="s">
        <v>28</v>
      </c>
      <c r="J295" s="1" t="s">
        <v>69</v>
      </c>
      <c r="K295" s="1" t="s">
        <v>4011</v>
      </c>
      <c r="L295" s="1"/>
      <c r="M295" s="6" t="str">
        <f>IF(Table2[[#This Row],[Corrected Form '#
 (If Duplicated)]]="",Table2[[#This Row],[Form '#]],Table2[[#This Row],[Corrected Form '#
 (If Duplicated)]])</f>
        <v>7818-17789</v>
      </c>
      <c r="N295" s="1" t="s">
        <v>49</v>
      </c>
      <c r="O295" s="6" t="str">
        <f>IF(Table2[[#This Row],[POG CONFIRMATION RECEIPT OF ORDER
(DATE &amp; TIME)]]="","No Confirmation","Received Confirmation")</f>
        <v>Received Confirmation</v>
      </c>
      <c r="P295" s="6">
        <f ca="1">TODAY()-Table2[[#This Row],[DATE SENT TO POG]]</f>
        <v>333</v>
      </c>
      <c r="Q295" s="6" t="s">
        <v>5803</v>
      </c>
      <c r="R2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5" s="2" t="str">
        <f>_xlfn.XLOOKUP(Table2[[#This Row],[Adjusted Form '#]],'[2]IN PROGRESS'!$D:$D,'[2]IN PROGRESS'!$M:$M,"Not Found")</f>
        <v>Not Found</v>
      </c>
      <c r="U295" s="2" t="str">
        <f>_xlfn.XLOOKUP(Table2[[#This Row],[Adjusted Form '#]],[1]COMPLETED!$D:$D,[2]COMPLETED!$M:$M,"Not Found")</f>
        <v>Not Found</v>
      </c>
      <c r="V295" s="17" t="str">
        <f>_xlfn.XLOOKUP(Table2[[#This Row],[Adjusted Form '#]],[2]COMPLETED!$D:$D,[2]COMPLETED!$O:$O,"Not Found")</f>
        <v>Not Found</v>
      </c>
      <c r="W295" s="2" t="str">
        <f>_xlfn.XLOOKUP(Table2[[#This Row],[Adjusted Form '#]],[2]BILLED!$D:$D,[2]BILLED!$M:$M,"Not Found")</f>
        <v>1Z5063E0YW41136193</v>
      </c>
      <c r="X295" s="17" t="e">
        <f>_xlfn.XLOOKUP(Table2[[#This Row],[Adjusted Form '#]],[2]BILLED!$D:$D,[1]BILLED!$O:$O,"Not Found")</f>
        <v>#REF!</v>
      </c>
      <c r="Y295" s="17" t="e">
        <f>_xlfn.XLOOKUP(Table2[[#This Row],[Adjusted Form '#]],'[2]REJECTED ORDERS'!$D:$D,'[2]REJECTED ORDERS'!$E:$E)</f>
        <v>#N/A</v>
      </c>
      <c r="Z295" s="1"/>
      <c r="AA295" s="1"/>
      <c r="AB295" s="8"/>
      <c r="AC295" s="8"/>
      <c r="AD295" s="8"/>
      <c r="AE295" s="8"/>
      <c r="AF295" s="8"/>
      <c r="AG295" s="8"/>
      <c r="AH295" s="8"/>
      <c r="AI295" s="8"/>
      <c r="AJ295" s="8"/>
    </row>
    <row r="296" spans="1:36" ht="15" customHeight="1" x14ac:dyDescent="0.35">
      <c r="A296" s="4" t="s">
        <v>422</v>
      </c>
      <c r="B296" s="1" t="s">
        <v>1422</v>
      </c>
      <c r="C296" s="11">
        <v>44970</v>
      </c>
      <c r="D296" s="11" t="s">
        <v>4309</v>
      </c>
      <c r="E296" s="1" t="s">
        <v>21</v>
      </c>
      <c r="F296" s="1" t="s">
        <v>4268</v>
      </c>
      <c r="G296" s="6">
        <f>COUNTIF(F:F,Table2[[#This Row],[Form '#]])</f>
        <v>2</v>
      </c>
      <c r="H296" s="1" t="s">
        <v>4269</v>
      </c>
      <c r="I296" s="1" t="s">
        <v>3852</v>
      </c>
      <c r="J296" s="1" t="s">
        <v>80</v>
      </c>
      <c r="K296" s="1" t="s">
        <v>3853</v>
      </c>
      <c r="L296" s="1"/>
      <c r="M296" s="6" t="str">
        <f>IF(Table2[[#This Row],[Corrected Form '#
 (If Duplicated)]]="",Table2[[#This Row],[Form '#]],Table2[[#This Row],[Corrected Form '#
 (If Duplicated)]])</f>
        <v>7818-10969</v>
      </c>
      <c r="N296" s="1" t="s">
        <v>49</v>
      </c>
      <c r="O296" s="6" t="str">
        <f>IF(Table2[[#This Row],[POG CONFIRMATION RECEIPT OF ORDER
(DATE &amp; TIME)]]="","No Confirmation","Received Confirmation")</f>
        <v>Received Confirmation</v>
      </c>
      <c r="P296" s="6">
        <f ca="1">TODAY()-Table2[[#This Row],[DATE SENT TO POG]]</f>
        <v>333</v>
      </c>
      <c r="Q296" s="6" t="s">
        <v>5803</v>
      </c>
      <c r="R2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6" s="2" t="str">
        <f>_xlfn.XLOOKUP(Table2[[#This Row],[Adjusted Form '#]],'[2]IN PROGRESS'!$D:$D,'[2]IN PROGRESS'!$M:$M,"Not Found")</f>
        <v>Not Found</v>
      </c>
      <c r="U296" s="2" t="str">
        <f>_xlfn.XLOOKUP(Table2[[#This Row],[Adjusted Form '#]],[1]COMPLETED!$D:$D,[2]COMPLETED!$M:$M,"Not Found")</f>
        <v>Not Found</v>
      </c>
      <c r="V296" s="17" t="str">
        <f>_xlfn.XLOOKUP(Table2[[#This Row],[Adjusted Form '#]],[2]COMPLETED!$D:$D,[2]COMPLETED!$O:$O,"Not Found")</f>
        <v>Not Found</v>
      </c>
      <c r="W296" s="2" t="str">
        <f>_xlfn.XLOOKUP(Table2[[#This Row],[Adjusted Form '#]],[2]BILLED!$D:$D,[2]BILLED!$M:$M,"Not Found")</f>
        <v>9400 1112 0620 7731 3477 16</v>
      </c>
      <c r="X296" s="17" t="e">
        <f>_xlfn.XLOOKUP(Table2[[#This Row],[Adjusted Form '#]],[2]BILLED!$D:$D,[1]BILLED!$O:$O,"Not Found")</f>
        <v>#REF!</v>
      </c>
      <c r="Y296" s="17" t="e">
        <f>_xlfn.XLOOKUP(Table2[[#This Row],[Adjusted Form '#]],'[2]REJECTED ORDERS'!$D:$D,'[2]REJECTED ORDERS'!$E:$E)</f>
        <v>#N/A</v>
      </c>
      <c r="Z296" s="1"/>
      <c r="AA296" s="1"/>
      <c r="AB296" s="8"/>
      <c r="AC296" s="8"/>
      <c r="AD296" s="8"/>
      <c r="AE296" s="8"/>
      <c r="AF296" s="8"/>
      <c r="AG296" s="8"/>
      <c r="AH296" s="8"/>
      <c r="AI296" s="8"/>
      <c r="AJ296" s="8"/>
    </row>
    <row r="297" spans="1:36" ht="15" customHeight="1" x14ac:dyDescent="0.35">
      <c r="A297" s="4" t="s">
        <v>423</v>
      </c>
      <c r="B297" s="1" t="s">
        <v>1422</v>
      </c>
      <c r="C297" s="11">
        <v>44970</v>
      </c>
      <c r="D297" s="11" t="s">
        <v>4309</v>
      </c>
      <c r="E297" s="1" t="s">
        <v>21</v>
      </c>
      <c r="F297" s="1" t="s">
        <v>4314</v>
      </c>
      <c r="G297" s="6">
        <f>COUNTIF(F:F,Table2[[#This Row],[Form '#]])</f>
        <v>1</v>
      </c>
      <c r="H297" s="1" t="s">
        <v>1130</v>
      </c>
      <c r="I297" s="1" t="s">
        <v>3852</v>
      </c>
      <c r="J297" s="1" t="s">
        <v>80</v>
      </c>
      <c r="K297" s="1" t="s">
        <v>3853</v>
      </c>
      <c r="L297" s="1"/>
      <c r="M297" s="6" t="str">
        <f>IF(Table2[[#This Row],[Corrected Form '#
 (If Duplicated)]]="",Table2[[#This Row],[Form '#]],Table2[[#This Row],[Corrected Form '#
 (If Duplicated)]])</f>
        <v>7818-10970</v>
      </c>
      <c r="N297" s="1" t="s">
        <v>49</v>
      </c>
      <c r="O297" s="6" t="str">
        <f>IF(Table2[[#This Row],[POG CONFIRMATION RECEIPT OF ORDER
(DATE &amp; TIME)]]="","No Confirmation","Received Confirmation")</f>
        <v>Received Confirmation</v>
      </c>
      <c r="P297" s="6">
        <f ca="1">TODAY()-Table2[[#This Row],[DATE SENT TO POG]]</f>
        <v>333</v>
      </c>
      <c r="Q297" s="6" t="s">
        <v>5803</v>
      </c>
      <c r="R2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7" s="2" t="str">
        <f>_xlfn.XLOOKUP(Table2[[#This Row],[Adjusted Form '#]],'[2]IN PROGRESS'!$D:$D,'[2]IN PROGRESS'!$M:$M,"Not Found")</f>
        <v>Not Found</v>
      </c>
      <c r="U297" s="2" t="str">
        <f>_xlfn.XLOOKUP(Table2[[#This Row],[Adjusted Form '#]],[1]COMPLETED!$D:$D,[2]COMPLETED!$M:$M,"Not Found")</f>
        <v>Not Found</v>
      </c>
      <c r="V297" s="17" t="str">
        <f>_xlfn.XLOOKUP(Table2[[#This Row],[Adjusted Form '#]],[2]COMPLETED!$D:$D,[2]COMPLETED!$O:$O,"Not Found")</f>
        <v>Not Found</v>
      </c>
      <c r="W297" s="2" t="str">
        <f>_xlfn.XLOOKUP(Table2[[#This Row],[Adjusted Form '#]],[2]BILLED!$D:$D,[2]BILLED!$M:$M,"Not Found")</f>
        <v>1Z5063E0YW41259640</v>
      </c>
      <c r="X297" s="17" t="e">
        <f>_xlfn.XLOOKUP(Table2[[#This Row],[Adjusted Form '#]],[2]BILLED!$D:$D,[1]BILLED!$O:$O,"Not Found")</f>
        <v>#REF!</v>
      </c>
      <c r="Y297" s="17" t="e">
        <f>_xlfn.XLOOKUP(Table2[[#This Row],[Adjusted Form '#]],'[2]REJECTED ORDERS'!$D:$D,'[2]REJECTED ORDERS'!$E:$E)</f>
        <v>#N/A</v>
      </c>
      <c r="Z297" s="1"/>
      <c r="AA297" s="1"/>
      <c r="AB297" s="8"/>
      <c r="AC297" s="8"/>
      <c r="AD297" s="8"/>
      <c r="AE297" s="8"/>
      <c r="AF297" s="8"/>
      <c r="AG297" s="8"/>
      <c r="AH297" s="8"/>
      <c r="AI297" s="8"/>
      <c r="AJ297" s="8"/>
    </row>
    <row r="298" spans="1:36" ht="15" customHeight="1" x14ac:dyDescent="0.35">
      <c r="A298" s="4" t="s">
        <v>424</v>
      </c>
      <c r="B298" s="1" t="s">
        <v>1422</v>
      </c>
      <c r="C298" s="11">
        <v>44970</v>
      </c>
      <c r="D298" s="11" t="s">
        <v>4309</v>
      </c>
      <c r="E298" s="1" t="s">
        <v>21</v>
      </c>
      <c r="F298" s="1" t="s">
        <v>4315</v>
      </c>
      <c r="G298" s="6">
        <f>COUNTIF(F:F,Table2[[#This Row],[Form '#]])</f>
        <v>1</v>
      </c>
      <c r="H298" s="1" t="s">
        <v>146</v>
      </c>
      <c r="I298" s="1" t="s">
        <v>3864</v>
      </c>
      <c r="J298" s="1" t="s">
        <v>78</v>
      </c>
      <c r="K298" s="1" t="s">
        <v>3879</v>
      </c>
      <c r="L298" s="1"/>
      <c r="M298" s="6" t="str">
        <f>IF(Table2[[#This Row],[Corrected Form '#
 (If Duplicated)]]="",Table2[[#This Row],[Form '#]],Table2[[#This Row],[Corrected Form '#
 (If Duplicated)]])</f>
        <v>7818-25936</v>
      </c>
      <c r="N298" s="1" t="s">
        <v>49</v>
      </c>
      <c r="O298" s="6" t="str">
        <f>IF(Table2[[#This Row],[POG CONFIRMATION RECEIPT OF ORDER
(DATE &amp; TIME)]]="","No Confirmation","Received Confirmation")</f>
        <v>Received Confirmation</v>
      </c>
      <c r="P298" s="6">
        <f ca="1">TODAY()-Table2[[#This Row],[DATE SENT TO POG]]</f>
        <v>333</v>
      </c>
      <c r="Q298" s="6" t="s">
        <v>5802</v>
      </c>
      <c r="R2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9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98" s="2" t="str">
        <f>_xlfn.XLOOKUP(Table2[[#This Row],[Adjusted Form '#]],'[2]IN PROGRESS'!$D:$D,'[2]IN PROGRESS'!$M:$M,"Not Found")</f>
        <v>Not Found</v>
      </c>
      <c r="U298" s="2" t="str">
        <f>_xlfn.XLOOKUP(Table2[[#This Row],[Adjusted Form '#]],[1]COMPLETED!$D:$D,[2]COMPLETED!$M:$M,"Not Found")</f>
        <v>Not Found</v>
      </c>
      <c r="V298" s="17" t="str">
        <f>_xlfn.XLOOKUP(Table2[[#This Row],[Adjusted Form '#]],[2]COMPLETED!$D:$D,[2]COMPLETED!$O:$O,"Not Found")</f>
        <v>Not Found</v>
      </c>
      <c r="W298" s="2" t="str">
        <f>_xlfn.XLOOKUP(Table2[[#This Row],[Adjusted Form '#]],[2]BILLED!$D:$D,[2]BILLED!$M:$M,"Not Found")</f>
        <v>Not Found</v>
      </c>
      <c r="X298" s="17" t="str">
        <f>_xlfn.XLOOKUP(Table2[[#This Row],[Adjusted Form '#]],[2]BILLED!$D:$D,[1]BILLED!$O:$O,"Not Found")</f>
        <v>Not Found</v>
      </c>
      <c r="Y298" s="17" t="e">
        <f>_xlfn.XLOOKUP(Table2[[#This Row],[Adjusted Form '#]],'[2]REJECTED ORDERS'!$D:$D,'[2]REJECTED ORDERS'!$E:$E)</f>
        <v>#N/A</v>
      </c>
      <c r="Z298" s="1"/>
      <c r="AA298" s="1"/>
      <c r="AB298" s="8"/>
      <c r="AC298" s="8"/>
      <c r="AD298" s="8"/>
      <c r="AE298" s="8"/>
      <c r="AF298" s="8"/>
      <c r="AG298" s="8"/>
      <c r="AH298" s="8"/>
      <c r="AI298" s="8"/>
      <c r="AJ298" s="8"/>
    </row>
    <row r="299" spans="1:36" ht="15" customHeight="1" x14ac:dyDescent="0.35">
      <c r="A299" s="4" t="s">
        <v>425</v>
      </c>
      <c r="B299" s="1" t="s">
        <v>2866</v>
      </c>
      <c r="C299" s="11">
        <v>44970</v>
      </c>
      <c r="D299" s="11" t="s">
        <v>4316</v>
      </c>
      <c r="E299" s="1" t="s">
        <v>21</v>
      </c>
      <c r="F299" s="1" t="s">
        <v>3754</v>
      </c>
      <c r="G299" s="6">
        <f>COUNTIF(F:F,Table2[[#This Row],[Form '#]])</f>
        <v>1</v>
      </c>
      <c r="H299" s="1" t="s">
        <v>3755</v>
      </c>
      <c r="I299" s="1" t="s">
        <v>127</v>
      </c>
      <c r="J299" s="1" t="s">
        <v>76</v>
      </c>
      <c r="K299" s="1" t="s">
        <v>4011</v>
      </c>
      <c r="L299" s="1"/>
      <c r="M299" s="6" t="str">
        <f>IF(Table2[[#This Row],[Corrected Form '#
 (If Duplicated)]]="",Table2[[#This Row],[Form '#]],Table2[[#This Row],[Corrected Form '#
 (If Duplicated)]])</f>
        <v>7818-19559</v>
      </c>
      <c r="N299" s="1" t="s">
        <v>49</v>
      </c>
      <c r="O299" s="6" t="str">
        <f>IF(Table2[[#This Row],[POG CONFIRMATION RECEIPT OF ORDER
(DATE &amp; TIME)]]="","No Confirmation","Received Confirmation")</f>
        <v>Received Confirmation</v>
      </c>
      <c r="P299" s="6">
        <f ca="1">TODAY()-Table2[[#This Row],[DATE SENT TO POG]]</f>
        <v>333</v>
      </c>
      <c r="Q299" s="6" t="s">
        <v>5803</v>
      </c>
      <c r="R2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99" s="2" t="str">
        <f>_xlfn.XLOOKUP(Table2[[#This Row],[Adjusted Form '#]],'[2]IN PROGRESS'!$D:$D,'[2]IN PROGRESS'!$M:$M,"Not Found")</f>
        <v>Not Found</v>
      </c>
      <c r="U299" s="2" t="str">
        <f>_xlfn.XLOOKUP(Table2[[#This Row],[Adjusted Form '#]],[1]COMPLETED!$D:$D,[2]COMPLETED!$M:$M,"Not Found")</f>
        <v>Not Found</v>
      </c>
      <c r="V299" s="17" t="str">
        <f>_xlfn.XLOOKUP(Table2[[#This Row],[Adjusted Form '#]],[2]COMPLETED!$D:$D,[2]COMPLETED!$O:$O,"Not Found")</f>
        <v>Not Found</v>
      </c>
      <c r="W299" s="2" t="str">
        <f>_xlfn.XLOOKUP(Table2[[#This Row],[Adjusted Form '#]],[2]BILLED!$D:$D,[2]BILLED!$M:$M,"Not Found")</f>
        <v>1Z5063E0YW40236550</v>
      </c>
      <c r="X299" s="17" t="e">
        <f>_xlfn.XLOOKUP(Table2[[#This Row],[Adjusted Form '#]],[2]BILLED!$D:$D,[1]BILLED!$O:$O,"Not Found")</f>
        <v>#REF!</v>
      </c>
      <c r="Y299" s="17" t="e">
        <f>_xlfn.XLOOKUP(Table2[[#This Row],[Adjusted Form '#]],'[2]REJECTED ORDERS'!$D:$D,'[2]REJECTED ORDERS'!$E:$E)</f>
        <v>#N/A</v>
      </c>
      <c r="Z299" s="1"/>
      <c r="AA299" s="1"/>
      <c r="AB299" s="8"/>
      <c r="AC299" s="8"/>
      <c r="AD299" s="8"/>
      <c r="AE299" s="8"/>
      <c r="AF299" s="8"/>
      <c r="AG299" s="8"/>
      <c r="AH299" s="8"/>
      <c r="AI299" s="8"/>
      <c r="AJ299" s="8"/>
    </row>
    <row r="300" spans="1:36" ht="15" customHeight="1" x14ac:dyDescent="0.35">
      <c r="A300" s="4" t="s">
        <v>426</v>
      </c>
      <c r="B300" s="1" t="s">
        <v>4317</v>
      </c>
      <c r="C300" s="11">
        <v>44970</v>
      </c>
      <c r="D300" s="11" t="s">
        <v>4316</v>
      </c>
      <c r="E300" s="1" t="s">
        <v>21</v>
      </c>
      <c r="F300" s="1" t="s">
        <v>4318</v>
      </c>
      <c r="G300" s="6">
        <f>COUNTIF(F:F,Table2[[#This Row],[Form '#]])</f>
        <v>1</v>
      </c>
      <c r="H300" s="1" t="s">
        <v>1315</v>
      </c>
      <c r="I300" s="1" t="s">
        <v>127</v>
      </c>
      <c r="J300" s="1" t="s">
        <v>76</v>
      </c>
      <c r="K300" s="1" t="s">
        <v>4011</v>
      </c>
      <c r="L300" s="1"/>
      <c r="M300" s="6" t="str">
        <f>IF(Table2[[#This Row],[Corrected Form '#
 (If Duplicated)]]="",Table2[[#This Row],[Form '#]],Table2[[#This Row],[Corrected Form '#
 (If Duplicated)]])</f>
        <v>7818-13122</v>
      </c>
      <c r="N300" s="1" t="s">
        <v>49</v>
      </c>
      <c r="O300" s="6" t="str">
        <f>IF(Table2[[#This Row],[POG CONFIRMATION RECEIPT OF ORDER
(DATE &amp; TIME)]]="","No Confirmation","Received Confirmation")</f>
        <v>Received Confirmation</v>
      </c>
      <c r="P300" s="6">
        <f ca="1">TODAY()-Table2[[#This Row],[DATE SENT TO POG]]</f>
        <v>333</v>
      </c>
      <c r="Q300" s="6" t="s">
        <v>5803</v>
      </c>
      <c r="R3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0" s="2" t="str">
        <f>_xlfn.XLOOKUP(Table2[[#This Row],[Adjusted Form '#]],'[2]IN PROGRESS'!$D:$D,'[2]IN PROGRESS'!$M:$M,"Not Found")</f>
        <v>Not Found</v>
      </c>
      <c r="U300" s="2" t="str">
        <f>_xlfn.XLOOKUP(Table2[[#This Row],[Adjusted Form '#]],[1]COMPLETED!$D:$D,[2]COMPLETED!$M:$M,"Not Found")</f>
        <v>Not Found</v>
      </c>
      <c r="V300" s="17" t="str">
        <f>_xlfn.XLOOKUP(Table2[[#This Row],[Adjusted Form '#]],[2]COMPLETED!$D:$D,[2]COMPLETED!$O:$O,"Not Found")</f>
        <v>Not Found</v>
      </c>
      <c r="W300" s="2" t="str">
        <f>_xlfn.XLOOKUP(Table2[[#This Row],[Adjusted Form '#]],[2]BILLED!$D:$D,[2]BILLED!$M:$M,"Not Found")</f>
        <v>1Z5063E0YW41164000</v>
      </c>
      <c r="X300" s="17" t="e">
        <f>_xlfn.XLOOKUP(Table2[[#This Row],[Adjusted Form '#]],[2]BILLED!$D:$D,[1]BILLED!$O:$O,"Not Found")</f>
        <v>#REF!</v>
      </c>
      <c r="Y300" s="17" t="e">
        <f>_xlfn.XLOOKUP(Table2[[#This Row],[Adjusted Form '#]],'[2]REJECTED ORDERS'!$D:$D,'[2]REJECTED ORDERS'!$E:$E)</f>
        <v>#N/A</v>
      </c>
      <c r="Z300" s="1"/>
      <c r="AA300" s="1"/>
      <c r="AB300" s="8"/>
      <c r="AC300" s="8"/>
      <c r="AD300" s="8"/>
      <c r="AE300" s="8"/>
      <c r="AF300" s="8"/>
      <c r="AG300" s="8"/>
      <c r="AH300" s="8"/>
      <c r="AI300" s="8"/>
      <c r="AJ300" s="8"/>
    </row>
    <row r="301" spans="1:36" ht="15" customHeight="1" x14ac:dyDescent="0.35">
      <c r="A301" s="4" t="s">
        <v>428</v>
      </c>
      <c r="B301" s="1" t="s">
        <v>4317</v>
      </c>
      <c r="C301" s="11">
        <v>44970</v>
      </c>
      <c r="D301" s="11" t="s">
        <v>4316</v>
      </c>
      <c r="E301" s="1" t="s">
        <v>21</v>
      </c>
      <c r="F301" s="1" t="s">
        <v>4319</v>
      </c>
      <c r="G301" s="6">
        <f>COUNTIF(F:F,Table2[[#This Row],[Form '#]])</f>
        <v>1</v>
      </c>
      <c r="H301" s="1" t="s">
        <v>4320</v>
      </c>
      <c r="I301" s="1" t="s">
        <v>3864</v>
      </c>
      <c r="J301" s="1" t="s">
        <v>78</v>
      </c>
      <c r="K301" s="1" t="s">
        <v>3879</v>
      </c>
      <c r="L301" s="1"/>
      <c r="M301" s="6" t="str">
        <f>IF(Table2[[#This Row],[Corrected Form '#
 (If Duplicated)]]="",Table2[[#This Row],[Form '#]],Table2[[#This Row],[Corrected Form '#
 (If Duplicated)]])</f>
        <v>7818-04389</v>
      </c>
      <c r="N301" s="1" t="s">
        <v>49</v>
      </c>
      <c r="O301" s="6" t="str">
        <f>IF(Table2[[#This Row],[POG CONFIRMATION RECEIPT OF ORDER
(DATE &amp; TIME)]]="","No Confirmation","Received Confirmation")</f>
        <v>Received Confirmation</v>
      </c>
      <c r="P301" s="6">
        <f ca="1">TODAY()-Table2[[#This Row],[DATE SENT TO POG]]</f>
        <v>333</v>
      </c>
      <c r="Q301" s="6" t="s">
        <v>5803</v>
      </c>
      <c r="R3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1" s="2" t="str">
        <f>_xlfn.XLOOKUP(Table2[[#This Row],[Adjusted Form '#]],'[2]IN PROGRESS'!$D:$D,'[2]IN PROGRESS'!$M:$M,"Not Found")</f>
        <v>Not Found</v>
      </c>
      <c r="U301" s="2" t="str">
        <f>_xlfn.XLOOKUP(Table2[[#This Row],[Adjusted Form '#]],[1]COMPLETED!$D:$D,[2]COMPLETED!$M:$M,"Not Found")</f>
        <v>Not Found</v>
      </c>
      <c r="V301" s="17" t="str">
        <f>_xlfn.XLOOKUP(Table2[[#This Row],[Adjusted Form '#]],[2]COMPLETED!$D:$D,[2]COMPLETED!$O:$O,"Not Found")</f>
        <v>Not Found</v>
      </c>
      <c r="W301" s="2" t="str">
        <f>_xlfn.XLOOKUP(Table2[[#This Row],[Adjusted Form '#]],[2]BILLED!$D:$D,[2]BILLED!$M:$M,"Not Found")</f>
        <v>1Z5063E0YW42750937</v>
      </c>
      <c r="X301" s="17" t="e">
        <f>_xlfn.XLOOKUP(Table2[[#This Row],[Adjusted Form '#]],[2]BILLED!$D:$D,[1]BILLED!$O:$O,"Not Found")</f>
        <v>#REF!</v>
      </c>
      <c r="Y301" s="17" t="e">
        <f>_xlfn.XLOOKUP(Table2[[#This Row],[Adjusted Form '#]],'[2]REJECTED ORDERS'!$D:$D,'[2]REJECTED ORDERS'!$E:$E)</f>
        <v>#N/A</v>
      </c>
      <c r="Z301" s="1"/>
      <c r="AA301" s="1"/>
      <c r="AB301" s="8"/>
      <c r="AC301" s="8"/>
      <c r="AD301" s="8"/>
      <c r="AE301" s="8"/>
      <c r="AF301" s="8"/>
      <c r="AG301" s="8"/>
      <c r="AH301" s="8"/>
      <c r="AI301" s="8"/>
      <c r="AJ301" s="8"/>
    </row>
    <row r="302" spans="1:36" ht="15" customHeight="1" x14ac:dyDescent="0.35">
      <c r="A302" s="4" t="s">
        <v>430</v>
      </c>
      <c r="B302" s="1" t="s">
        <v>4317</v>
      </c>
      <c r="C302" s="11">
        <v>44970</v>
      </c>
      <c r="D302" s="11" t="s">
        <v>4316</v>
      </c>
      <c r="E302" s="1" t="s">
        <v>21</v>
      </c>
      <c r="F302" s="1" t="s">
        <v>4321</v>
      </c>
      <c r="G302" s="6">
        <f>COUNTIF(F:F,Table2[[#This Row],[Form '#]])</f>
        <v>1</v>
      </c>
      <c r="H302" s="1" t="s">
        <v>3324</v>
      </c>
      <c r="I302" s="1" t="s">
        <v>3852</v>
      </c>
      <c r="J302" s="1" t="s">
        <v>75</v>
      </c>
      <c r="K302" s="1" t="s">
        <v>3853</v>
      </c>
      <c r="L302" s="1"/>
      <c r="M302" s="6" t="str">
        <f>IF(Table2[[#This Row],[Corrected Form '#
 (If Duplicated)]]="",Table2[[#This Row],[Form '#]],Table2[[#This Row],[Corrected Form '#
 (If Duplicated)]])</f>
        <v>7818-10166</v>
      </c>
      <c r="N302" s="1" t="s">
        <v>49</v>
      </c>
      <c r="O302" s="6" t="str">
        <f>IF(Table2[[#This Row],[POG CONFIRMATION RECEIPT OF ORDER
(DATE &amp; TIME)]]="","No Confirmation","Received Confirmation")</f>
        <v>Received Confirmation</v>
      </c>
      <c r="P302" s="6">
        <f ca="1">TODAY()-Table2[[#This Row],[DATE SENT TO POG]]</f>
        <v>333</v>
      </c>
      <c r="Q302" s="6" t="s">
        <v>5803</v>
      </c>
      <c r="R3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2" s="2" t="str">
        <f>_xlfn.XLOOKUP(Table2[[#This Row],[Adjusted Form '#]],'[2]IN PROGRESS'!$D:$D,'[2]IN PROGRESS'!$M:$M,"Not Found")</f>
        <v>Not Found</v>
      </c>
      <c r="U302" s="2" t="str">
        <f>_xlfn.XLOOKUP(Table2[[#This Row],[Adjusted Form '#]],[1]COMPLETED!$D:$D,[2]COMPLETED!$M:$M,"Not Found")</f>
        <v>Not Found</v>
      </c>
      <c r="V302" s="17" t="str">
        <f>_xlfn.XLOOKUP(Table2[[#This Row],[Adjusted Form '#]],[2]COMPLETED!$D:$D,[2]COMPLETED!$O:$O,"Not Found")</f>
        <v>Not Found</v>
      </c>
      <c r="W302" s="2" t="str">
        <f>_xlfn.XLOOKUP(Table2[[#This Row],[Adjusted Form '#]],[2]BILLED!$D:$D,[2]BILLED!$M:$M,"Not Found")</f>
        <v>1Z5063E0YW41984811</v>
      </c>
      <c r="X302" s="17" t="e">
        <f>_xlfn.XLOOKUP(Table2[[#This Row],[Adjusted Form '#]],[2]BILLED!$D:$D,[1]BILLED!$O:$O,"Not Found")</f>
        <v>#REF!</v>
      </c>
      <c r="Y302" s="17" t="e">
        <f>_xlfn.XLOOKUP(Table2[[#This Row],[Adjusted Form '#]],'[2]REJECTED ORDERS'!$D:$D,'[2]REJECTED ORDERS'!$E:$E)</f>
        <v>#N/A</v>
      </c>
      <c r="Z302" s="1"/>
      <c r="AA302" s="1"/>
      <c r="AB302" s="8"/>
      <c r="AC302" s="8"/>
      <c r="AD302" s="8"/>
      <c r="AE302" s="8"/>
      <c r="AF302" s="8"/>
      <c r="AG302" s="8"/>
      <c r="AH302" s="8"/>
      <c r="AI302" s="8"/>
      <c r="AJ302" s="8"/>
    </row>
    <row r="303" spans="1:36" ht="15" customHeight="1" x14ac:dyDescent="0.35">
      <c r="A303" s="4" t="s">
        <v>432</v>
      </c>
      <c r="B303" s="1" t="s">
        <v>431</v>
      </c>
      <c r="C303" s="11">
        <v>44970</v>
      </c>
      <c r="D303" s="11" t="s">
        <v>4322</v>
      </c>
      <c r="E303" s="1" t="s">
        <v>21</v>
      </c>
      <c r="F303" s="1" t="s">
        <v>4323</v>
      </c>
      <c r="G303" s="6">
        <f>COUNTIF(F:F,Table2[[#This Row],[Form '#]])</f>
        <v>1</v>
      </c>
      <c r="H303" s="1" t="s">
        <v>285</v>
      </c>
      <c r="I303" s="1" t="s">
        <v>127</v>
      </c>
      <c r="J303" s="1" t="s">
        <v>74</v>
      </c>
      <c r="K303" s="1" t="s">
        <v>4011</v>
      </c>
      <c r="L303" s="1"/>
      <c r="M303" s="6" t="str">
        <f>IF(Table2[[#This Row],[Corrected Form '#
 (If Duplicated)]]="",Table2[[#This Row],[Form '#]],Table2[[#This Row],[Corrected Form '#
 (If Duplicated)]])</f>
        <v>7818-08115</v>
      </c>
      <c r="N303" s="1" t="s">
        <v>49</v>
      </c>
      <c r="O303" s="6" t="str">
        <f>IF(Table2[[#This Row],[POG CONFIRMATION RECEIPT OF ORDER
(DATE &amp; TIME)]]="","No Confirmation","Received Confirmation")</f>
        <v>Received Confirmation</v>
      </c>
      <c r="P303" s="6">
        <f ca="1">TODAY()-Table2[[#This Row],[DATE SENT TO POG]]</f>
        <v>333</v>
      </c>
      <c r="Q303" s="6" t="s">
        <v>5803</v>
      </c>
      <c r="R3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3" s="2" t="str">
        <f>_xlfn.XLOOKUP(Table2[[#This Row],[Adjusted Form '#]],'[2]IN PROGRESS'!$D:$D,'[2]IN PROGRESS'!$M:$M,"Not Found")</f>
        <v>Not Found</v>
      </c>
      <c r="U303" s="2" t="str">
        <f>_xlfn.XLOOKUP(Table2[[#This Row],[Adjusted Form '#]],[1]COMPLETED!$D:$D,[2]COMPLETED!$M:$M,"Not Found")</f>
        <v>Not Found</v>
      </c>
      <c r="V303" s="17" t="str">
        <f>_xlfn.XLOOKUP(Table2[[#This Row],[Adjusted Form '#]],[2]COMPLETED!$D:$D,[2]COMPLETED!$O:$O,"Not Found")</f>
        <v>Not Found</v>
      </c>
      <c r="W303" s="2" t="str">
        <f>_xlfn.XLOOKUP(Table2[[#This Row],[Adjusted Form '#]],[2]BILLED!$D:$D,[2]BILLED!$M:$M,"Not Found")</f>
        <v>1Z5063E0YW42319252</v>
      </c>
      <c r="X303" s="17" t="e">
        <f>_xlfn.XLOOKUP(Table2[[#This Row],[Adjusted Form '#]],[2]BILLED!$D:$D,[1]BILLED!$O:$O,"Not Found")</f>
        <v>#REF!</v>
      </c>
      <c r="Y303" s="17" t="e">
        <f>_xlfn.XLOOKUP(Table2[[#This Row],[Adjusted Form '#]],'[2]REJECTED ORDERS'!$D:$D,'[2]REJECTED ORDERS'!$E:$E)</f>
        <v>#N/A</v>
      </c>
      <c r="Z303" s="1"/>
      <c r="AA303" s="1"/>
      <c r="AB303" s="8"/>
      <c r="AC303" s="8"/>
      <c r="AD303" s="8"/>
      <c r="AE303" s="8"/>
      <c r="AF303" s="8"/>
      <c r="AG303" s="8"/>
      <c r="AH303" s="8"/>
      <c r="AI303" s="8"/>
      <c r="AJ303" s="8"/>
    </row>
    <row r="304" spans="1:36" ht="15" customHeight="1" x14ac:dyDescent="0.35">
      <c r="A304" s="4" t="s">
        <v>433</v>
      </c>
      <c r="B304" s="1" t="s">
        <v>431</v>
      </c>
      <c r="C304" s="11">
        <v>44970</v>
      </c>
      <c r="D304" s="11" t="s">
        <v>4322</v>
      </c>
      <c r="E304" s="1" t="s">
        <v>21</v>
      </c>
      <c r="F304" s="1" t="s">
        <v>4324</v>
      </c>
      <c r="G304" s="6">
        <f>COUNTIF(F:F,Table2[[#This Row],[Form '#]])</f>
        <v>1</v>
      </c>
      <c r="H304" s="1" t="s">
        <v>4325</v>
      </c>
      <c r="I304" s="1" t="s">
        <v>3864</v>
      </c>
      <c r="J304" s="1" t="s">
        <v>3891</v>
      </c>
      <c r="K304" s="1" t="s">
        <v>3891</v>
      </c>
      <c r="L304" s="1"/>
      <c r="M304" s="6" t="str">
        <f>IF(Table2[[#This Row],[Corrected Form '#
 (If Duplicated)]]="",Table2[[#This Row],[Form '#]],Table2[[#This Row],[Corrected Form '#
 (If Duplicated)]])</f>
        <v>7818-10972</v>
      </c>
      <c r="N304" s="1" t="s">
        <v>49</v>
      </c>
      <c r="O304" s="6" t="str">
        <f>IF(Table2[[#This Row],[POG CONFIRMATION RECEIPT OF ORDER
(DATE &amp; TIME)]]="","No Confirmation","Received Confirmation")</f>
        <v>Received Confirmation</v>
      </c>
      <c r="P304" s="6">
        <f ca="1">TODAY()-Table2[[#This Row],[DATE SENT TO POG]]</f>
        <v>333</v>
      </c>
      <c r="Q304" s="6" t="s">
        <v>5803</v>
      </c>
      <c r="R3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4" s="2" t="str">
        <f>_xlfn.XLOOKUP(Table2[[#This Row],[Adjusted Form '#]],'[2]IN PROGRESS'!$D:$D,'[2]IN PROGRESS'!$M:$M,"Not Found")</f>
        <v>Not Found</v>
      </c>
      <c r="U304" s="2" t="str">
        <f>_xlfn.XLOOKUP(Table2[[#This Row],[Adjusted Form '#]],[1]COMPLETED!$D:$D,[2]COMPLETED!$M:$M,"Not Found")</f>
        <v>Not Found</v>
      </c>
      <c r="V304" s="17" t="str">
        <f>_xlfn.XLOOKUP(Table2[[#This Row],[Adjusted Form '#]],[2]COMPLETED!$D:$D,[2]COMPLETED!$O:$O,"Not Found")</f>
        <v>Not Found</v>
      </c>
      <c r="W304" s="2" t="str">
        <f>_xlfn.XLOOKUP(Table2[[#This Row],[Adjusted Form '#]],[2]BILLED!$D:$D,[2]BILLED!$M:$M,"Not Found")</f>
        <v>1Z5063E0YW40831568</v>
      </c>
      <c r="X304" s="17" t="e">
        <f>_xlfn.XLOOKUP(Table2[[#This Row],[Adjusted Form '#]],[2]BILLED!$D:$D,[1]BILLED!$O:$O,"Not Found")</f>
        <v>#REF!</v>
      </c>
      <c r="Y304" s="17" t="e">
        <f>_xlfn.XLOOKUP(Table2[[#This Row],[Adjusted Form '#]],'[2]REJECTED ORDERS'!$D:$D,'[2]REJECTED ORDERS'!$E:$E)</f>
        <v>#N/A</v>
      </c>
      <c r="Z304" s="1"/>
      <c r="AA304" s="1"/>
      <c r="AB304" s="8"/>
      <c r="AC304" s="8"/>
      <c r="AD304" s="8"/>
      <c r="AE304" s="8"/>
      <c r="AF304" s="8"/>
      <c r="AG304" s="8"/>
      <c r="AH304" s="8"/>
      <c r="AI304" s="8"/>
      <c r="AJ304" s="8"/>
    </row>
    <row r="305" spans="1:36" ht="15" customHeight="1" x14ac:dyDescent="0.35">
      <c r="A305" s="4" t="s">
        <v>434</v>
      </c>
      <c r="B305" s="1" t="s">
        <v>431</v>
      </c>
      <c r="C305" s="11">
        <v>44970</v>
      </c>
      <c r="D305" s="11" t="s">
        <v>4322</v>
      </c>
      <c r="E305" s="1" t="s">
        <v>21</v>
      </c>
      <c r="F305" s="1" t="s">
        <v>4326</v>
      </c>
      <c r="G305" s="6">
        <f>COUNTIF(F:F,Table2[[#This Row],[Form '#]])</f>
        <v>1</v>
      </c>
      <c r="H305" s="1" t="s">
        <v>4327</v>
      </c>
      <c r="I305" s="1" t="s">
        <v>3864</v>
      </c>
      <c r="J305" s="1" t="s">
        <v>78</v>
      </c>
      <c r="K305" s="1" t="s">
        <v>3879</v>
      </c>
      <c r="L305" s="1"/>
      <c r="M305" s="6" t="str">
        <f>IF(Table2[[#This Row],[Corrected Form '#
 (If Duplicated)]]="",Table2[[#This Row],[Form '#]],Table2[[#This Row],[Corrected Form '#
 (If Duplicated)]])</f>
        <v>7818-23321</v>
      </c>
      <c r="N305" s="1" t="s">
        <v>49</v>
      </c>
      <c r="O305" s="6" t="str">
        <f>IF(Table2[[#This Row],[POG CONFIRMATION RECEIPT OF ORDER
(DATE &amp; TIME)]]="","No Confirmation","Received Confirmation")</f>
        <v>Received Confirmation</v>
      </c>
      <c r="P305" s="6">
        <f ca="1">TODAY()-Table2[[#This Row],[DATE SENT TO POG]]</f>
        <v>333</v>
      </c>
      <c r="Q305" s="6" t="s">
        <v>5803</v>
      </c>
      <c r="R3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5" s="2" t="str">
        <f>_xlfn.XLOOKUP(Table2[[#This Row],[Adjusted Form '#]],'[2]IN PROGRESS'!$D:$D,'[2]IN PROGRESS'!$M:$M,"Not Found")</f>
        <v>Not Found</v>
      </c>
      <c r="U305" s="2" t="str">
        <f>_xlfn.XLOOKUP(Table2[[#This Row],[Adjusted Form '#]],[1]COMPLETED!$D:$D,[2]COMPLETED!$M:$M,"Not Found")</f>
        <v>Not Found</v>
      </c>
      <c r="V305" s="17" t="str">
        <f>_xlfn.XLOOKUP(Table2[[#This Row],[Adjusted Form '#]],[2]COMPLETED!$D:$D,[2]COMPLETED!$O:$O,"Not Found")</f>
        <v>Not Found</v>
      </c>
      <c r="W305" s="2" t="str">
        <f>_xlfn.XLOOKUP(Table2[[#This Row],[Adjusted Form '#]],[2]BILLED!$D:$D,[2]BILLED!$M:$M,"Not Found")</f>
        <v>1Z5063E0YW41111656</v>
      </c>
      <c r="X305" s="17" t="e">
        <f>_xlfn.XLOOKUP(Table2[[#This Row],[Adjusted Form '#]],[2]BILLED!$D:$D,[1]BILLED!$O:$O,"Not Found")</f>
        <v>#REF!</v>
      </c>
      <c r="Y305" s="17" t="e">
        <f>_xlfn.XLOOKUP(Table2[[#This Row],[Adjusted Form '#]],'[2]REJECTED ORDERS'!$D:$D,'[2]REJECTED ORDERS'!$E:$E)</f>
        <v>#N/A</v>
      </c>
      <c r="Z305" s="1"/>
      <c r="AA305" s="1"/>
      <c r="AB305" s="8"/>
      <c r="AC305" s="8"/>
      <c r="AD305" s="8"/>
      <c r="AE305" s="8"/>
      <c r="AF305" s="8"/>
      <c r="AG305" s="8"/>
      <c r="AH305" s="8"/>
      <c r="AI305" s="8"/>
      <c r="AJ305" s="8"/>
    </row>
    <row r="306" spans="1:36" ht="15" customHeight="1" x14ac:dyDescent="0.35">
      <c r="A306" s="4" t="s">
        <v>435</v>
      </c>
      <c r="B306" s="1" t="s">
        <v>431</v>
      </c>
      <c r="C306" s="11">
        <v>44970</v>
      </c>
      <c r="D306" s="11" t="s">
        <v>4322</v>
      </c>
      <c r="E306" s="1" t="s">
        <v>21</v>
      </c>
      <c r="F306" s="1" t="s">
        <v>4328</v>
      </c>
      <c r="G306" s="6">
        <f>COUNTIF(F:F,Table2[[#This Row],[Form '#]])</f>
        <v>1</v>
      </c>
      <c r="H306" s="1" t="s">
        <v>1213</v>
      </c>
      <c r="I306" s="1" t="s">
        <v>3864</v>
      </c>
      <c r="J306" s="1" t="s">
        <v>78</v>
      </c>
      <c r="K306" s="1" t="s">
        <v>3879</v>
      </c>
      <c r="L306" s="1"/>
      <c r="M306" s="6" t="str">
        <f>IF(Table2[[#This Row],[Corrected Form '#
 (If Duplicated)]]="",Table2[[#This Row],[Form '#]],Table2[[#This Row],[Corrected Form '#
 (If Duplicated)]])</f>
        <v>7818-25266</v>
      </c>
      <c r="N306" s="1" t="s">
        <v>49</v>
      </c>
      <c r="O306" s="6" t="str">
        <f>IF(Table2[[#This Row],[POG CONFIRMATION RECEIPT OF ORDER
(DATE &amp; TIME)]]="","No Confirmation","Received Confirmation")</f>
        <v>Received Confirmation</v>
      </c>
      <c r="P306" s="6">
        <f ca="1">TODAY()-Table2[[#This Row],[DATE SENT TO POG]]</f>
        <v>333</v>
      </c>
      <c r="Q306" s="6" t="s">
        <v>5803</v>
      </c>
      <c r="R3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6" s="2" t="str">
        <f>_xlfn.XLOOKUP(Table2[[#This Row],[Adjusted Form '#]],'[2]IN PROGRESS'!$D:$D,'[2]IN PROGRESS'!$M:$M,"Not Found")</f>
        <v>Not Found</v>
      </c>
      <c r="U306" s="2" t="str">
        <f>_xlfn.XLOOKUP(Table2[[#This Row],[Adjusted Form '#]],[1]COMPLETED!$D:$D,[2]COMPLETED!$M:$M,"Not Found")</f>
        <v>Not Found</v>
      </c>
      <c r="V306" s="17" t="str">
        <f>_xlfn.XLOOKUP(Table2[[#This Row],[Adjusted Form '#]],[2]COMPLETED!$D:$D,[2]COMPLETED!$O:$O,"Not Found")</f>
        <v>Not Found</v>
      </c>
      <c r="W306" s="2" t="str">
        <f>_xlfn.XLOOKUP(Table2[[#This Row],[Adjusted Form '#]],[2]BILLED!$D:$D,[2]BILLED!$M:$M,"Not Found")</f>
        <v>1Z5063E0YW41297199</v>
      </c>
      <c r="X306" s="17" t="e">
        <f>_xlfn.XLOOKUP(Table2[[#This Row],[Adjusted Form '#]],[2]BILLED!$D:$D,[1]BILLED!$O:$O,"Not Found")</f>
        <v>#REF!</v>
      </c>
      <c r="Y306" s="17" t="e">
        <f>_xlfn.XLOOKUP(Table2[[#This Row],[Adjusted Form '#]],'[2]REJECTED ORDERS'!$D:$D,'[2]REJECTED ORDERS'!$E:$E)</f>
        <v>#N/A</v>
      </c>
      <c r="Z306" s="1"/>
      <c r="AA306" s="1"/>
      <c r="AB306" s="8"/>
      <c r="AC306" s="8"/>
      <c r="AD306" s="8"/>
      <c r="AE306" s="8"/>
      <c r="AF306" s="8"/>
      <c r="AG306" s="8"/>
      <c r="AH306" s="8"/>
      <c r="AI306" s="8"/>
      <c r="AJ306" s="8"/>
    </row>
    <row r="307" spans="1:36" ht="15" customHeight="1" x14ac:dyDescent="0.35">
      <c r="A307" s="4" t="s">
        <v>436</v>
      </c>
      <c r="B307" s="1" t="s">
        <v>431</v>
      </c>
      <c r="C307" s="11">
        <v>44970</v>
      </c>
      <c r="D307" s="11" t="s">
        <v>4322</v>
      </c>
      <c r="E307" s="1" t="s">
        <v>21</v>
      </c>
      <c r="F307" s="1" t="s">
        <v>4329</v>
      </c>
      <c r="G307" s="6">
        <f>COUNTIF(F:F,Table2[[#This Row],[Form '#]])</f>
        <v>1</v>
      </c>
      <c r="H307" s="1" t="s">
        <v>4331</v>
      </c>
      <c r="I307" s="1" t="s">
        <v>4330</v>
      </c>
      <c r="J307" s="1" t="s">
        <v>80</v>
      </c>
      <c r="K307" s="1" t="s">
        <v>3853</v>
      </c>
      <c r="L307" s="1"/>
      <c r="M307" s="6" t="str">
        <f>IF(Table2[[#This Row],[Corrected Form '#
 (If Duplicated)]]="",Table2[[#This Row],[Form '#]],Table2[[#This Row],[Corrected Form '#
 (If Duplicated)]])</f>
        <v>7818-10379</v>
      </c>
      <c r="N307" s="1" t="s">
        <v>49</v>
      </c>
      <c r="O307" s="6" t="str">
        <f>IF(Table2[[#This Row],[POG CONFIRMATION RECEIPT OF ORDER
(DATE &amp; TIME)]]="","No Confirmation","Received Confirmation")</f>
        <v>Received Confirmation</v>
      </c>
      <c r="P307" s="6">
        <f ca="1">TODAY()-Table2[[#This Row],[DATE SENT TO POG]]</f>
        <v>333</v>
      </c>
      <c r="Q307" s="6" t="s">
        <v>5803</v>
      </c>
      <c r="R3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7" s="2" t="str">
        <f>_xlfn.XLOOKUP(Table2[[#This Row],[Adjusted Form '#]],'[2]IN PROGRESS'!$D:$D,'[2]IN PROGRESS'!$M:$M,"Not Found")</f>
        <v>Not Found</v>
      </c>
      <c r="U307" s="2" t="str">
        <f>_xlfn.XLOOKUP(Table2[[#This Row],[Adjusted Form '#]],[1]COMPLETED!$D:$D,[2]COMPLETED!$M:$M,"Not Found")</f>
        <v>Not Found</v>
      </c>
      <c r="V307" s="17" t="str">
        <f>_xlfn.XLOOKUP(Table2[[#This Row],[Adjusted Form '#]],[2]COMPLETED!$D:$D,[2]COMPLETED!$O:$O,"Not Found")</f>
        <v>Not Found</v>
      </c>
      <c r="W307" s="2" t="str">
        <f>_xlfn.XLOOKUP(Table2[[#This Row],[Adjusted Form '#]],[2]BILLED!$D:$D,[2]BILLED!$M:$M,"Not Found")</f>
        <v>1Z5063E0YW41593234</v>
      </c>
      <c r="X307" s="17" t="e">
        <f>_xlfn.XLOOKUP(Table2[[#This Row],[Adjusted Form '#]],[2]BILLED!$D:$D,[1]BILLED!$O:$O,"Not Found")</f>
        <v>#REF!</v>
      </c>
      <c r="Y307" s="17" t="e">
        <f>_xlfn.XLOOKUP(Table2[[#This Row],[Adjusted Form '#]],'[2]REJECTED ORDERS'!$D:$D,'[2]REJECTED ORDERS'!$E:$E)</f>
        <v>#N/A</v>
      </c>
      <c r="Z307" s="1"/>
      <c r="AA307" s="1"/>
      <c r="AB307" s="8"/>
      <c r="AC307" s="8"/>
      <c r="AD307" s="8"/>
      <c r="AE307" s="8"/>
      <c r="AF307" s="8"/>
      <c r="AG307" s="8"/>
      <c r="AH307" s="8"/>
      <c r="AI307" s="8"/>
      <c r="AJ307" s="8"/>
    </row>
    <row r="308" spans="1:36" ht="15" customHeight="1" x14ac:dyDescent="0.35">
      <c r="A308" s="4" t="s">
        <v>438</v>
      </c>
      <c r="B308" s="1" t="s">
        <v>3056</v>
      </c>
      <c r="C308" s="11">
        <v>44971</v>
      </c>
      <c r="D308" s="11" t="s">
        <v>4332</v>
      </c>
      <c r="E308" s="1" t="s">
        <v>14</v>
      </c>
      <c r="F308" s="1" t="s">
        <v>4333</v>
      </c>
      <c r="G308" s="6">
        <f>COUNTIF(F:F,Table2[[#This Row],[Form '#]])</f>
        <v>1</v>
      </c>
      <c r="H308" s="1" t="s">
        <v>4334</v>
      </c>
      <c r="I308" s="1" t="s">
        <v>3864</v>
      </c>
      <c r="J308" s="1" t="s">
        <v>3891</v>
      </c>
      <c r="K308" s="1" t="s">
        <v>3891</v>
      </c>
      <c r="L308" s="1"/>
      <c r="M308" s="6" t="str">
        <f>IF(Table2[[#This Row],[Corrected Form '#
 (If Duplicated)]]="",Table2[[#This Row],[Form '#]],Table2[[#This Row],[Corrected Form '#
 (If Duplicated)]])</f>
        <v>7810-00088</v>
      </c>
      <c r="N308" s="1" t="s">
        <v>49</v>
      </c>
      <c r="O308" s="6" t="str">
        <f>IF(Table2[[#This Row],[POG CONFIRMATION RECEIPT OF ORDER
(DATE &amp; TIME)]]="","No Confirmation","Received Confirmation")</f>
        <v>Received Confirmation</v>
      </c>
      <c r="P308" s="6">
        <f ca="1">TODAY()-Table2[[#This Row],[DATE SENT TO POG]]</f>
        <v>332</v>
      </c>
      <c r="Q308" s="6" t="s">
        <v>5802</v>
      </c>
      <c r="R3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0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08" s="2" t="str">
        <f>_xlfn.XLOOKUP(Table2[[#This Row],[Adjusted Form '#]],'[2]IN PROGRESS'!$D:$D,'[2]IN PROGRESS'!$M:$M,"Not Found")</f>
        <v>Not Found</v>
      </c>
      <c r="U308" s="2" t="str">
        <f>_xlfn.XLOOKUP(Table2[[#This Row],[Adjusted Form '#]],[1]COMPLETED!$D:$D,[2]COMPLETED!$M:$M,"Not Found")</f>
        <v>Not Found</v>
      </c>
      <c r="V308" s="17" t="str">
        <f>_xlfn.XLOOKUP(Table2[[#This Row],[Adjusted Form '#]],[2]COMPLETED!$D:$D,[2]COMPLETED!$O:$O,"Not Found")</f>
        <v>Not Found</v>
      </c>
      <c r="W308" s="2" t="str">
        <f>_xlfn.XLOOKUP(Table2[[#This Row],[Adjusted Form '#]],[2]BILLED!$D:$D,[2]BILLED!$M:$M,"Not Found")</f>
        <v>Not Found</v>
      </c>
      <c r="X308" s="17" t="str">
        <f>_xlfn.XLOOKUP(Table2[[#This Row],[Adjusted Form '#]],[2]BILLED!$D:$D,[1]BILLED!$O:$O,"Not Found")</f>
        <v>Not Found</v>
      </c>
      <c r="Y308" s="17" t="e">
        <f>_xlfn.XLOOKUP(Table2[[#This Row],[Adjusted Form '#]],'[2]REJECTED ORDERS'!$D:$D,'[2]REJECTED ORDERS'!$E:$E)</f>
        <v>#N/A</v>
      </c>
      <c r="Z308" s="1"/>
      <c r="AA308" s="1"/>
      <c r="AB308" s="8"/>
      <c r="AC308" s="8"/>
      <c r="AD308" s="8"/>
      <c r="AE308" s="8"/>
      <c r="AF308" s="8"/>
      <c r="AG308" s="8"/>
      <c r="AH308" s="8"/>
      <c r="AI308" s="8"/>
      <c r="AJ308" s="8"/>
    </row>
    <row r="309" spans="1:36" ht="15" customHeight="1" x14ac:dyDescent="0.35">
      <c r="A309" s="4" t="s">
        <v>439</v>
      </c>
      <c r="B309" s="1" t="s">
        <v>2941</v>
      </c>
      <c r="C309" s="11">
        <v>44971</v>
      </c>
      <c r="D309" s="11" t="s">
        <v>4332</v>
      </c>
      <c r="E309" s="1" t="s">
        <v>21</v>
      </c>
      <c r="F309" s="1" t="s">
        <v>4247</v>
      </c>
      <c r="G309" s="6">
        <f>COUNTIF(F:F,Table2[[#This Row],[Form '#]])</f>
        <v>2</v>
      </c>
      <c r="H309" s="1" t="s">
        <v>505</v>
      </c>
      <c r="I309" s="1" t="s">
        <v>3864</v>
      </c>
      <c r="J309" s="1" t="s">
        <v>78</v>
      </c>
      <c r="K309" s="1" t="s">
        <v>3879</v>
      </c>
      <c r="L309" s="1"/>
      <c r="M309" s="6" t="str">
        <f>IF(Table2[[#This Row],[Corrected Form '#
 (If Duplicated)]]="",Table2[[#This Row],[Form '#]],Table2[[#This Row],[Corrected Form '#
 (If Duplicated)]])</f>
        <v>7818-15030</v>
      </c>
      <c r="N309" s="1" t="s">
        <v>49</v>
      </c>
      <c r="O309" s="6" t="str">
        <f>IF(Table2[[#This Row],[POG CONFIRMATION RECEIPT OF ORDER
(DATE &amp; TIME)]]="","No Confirmation","Received Confirmation")</f>
        <v>Received Confirmation</v>
      </c>
      <c r="P309" s="6">
        <f ca="1">TODAY()-Table2[[#This Row],[DATE SENT TO POG]]</f>
        <v>332</v>
      </c>
      <c r="Q309" s="6" t="s">
        <v>5803</v>
      </c>
      <c r="R3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09" s="2" t="str">
        <f>_xlfn.XLOOKUP(Table2[[#This Row],[Adjusted Form '#]],'[2]IN PROGRESS'!$D:$D,'[2]IN PROGRESS'!$M:$M,"Not Found")</f>
        <v>Not Found</v>
      </c>
      <c r="U309" s="2" t="str">
        <f>_xlfn.XLOOKUP(Table2[[#This Row],[Adjusted Form '#]],[1]COMPLETED!$D:$D,[2]COMPLETED!$M:$M,"Not Found")</f>
        <v>Not Found</v>
      </c>
      <c r="V309" s="17" t="str">
        <f>_xlfn.XLOOKUP(Table2[[#This Row],[Adjusted Form '#]],[2]COMPLETED!$D:$D,[2]COMPLETED!$O:$O,"Not Found")</f>
        <v>Not Found</v>
      </c>
      <c r="W309" s="2" t="str">
        <f>_xlfn.XLOOKUP(Table2[[#This Row],[Adjusted Form '#]],[2]BILLED!$D:$D,[2]BILLED!$M:$M,"Not Found")</f>
        <v>1Z5063E0YW42844578</v>
      </c>
      <c r="X309" s="17" t="e">
        <f>_xlfn.XLOOKUP(Table2[[#This Row],[Adjusted Form '#]],[2]BILLED!$D:$D,[1]BILLED!$O:$O,"Not Found")</f>
        <v>#REF!</v>
      </c>
      <c r="Y309" s="17" t="e">
        <f>_xlfn.XLOOKUP(Table2[[#This Row],[Adjusted Form '#]],'[2]REJECTED ORDERS'!$D:$D,'[2]REJECTED ORDERS'!$E:$E)</f>
        <v>#N/A</v>
      </c>
      <c r="Z309" s="1"/>
      <c r="AA309" s="1"/>
      <c r="AB309" s="8"/>
      <c r="AC309" s="8"/>
      <c r="AD309" s="8"/>
      <c r="AE309" s="8"/>
      <c r="AF309" s="8"/>
      <c r="AG309" s="8"/>
      <c r="AH309" s="8"/>
      <c r="AI309" s="8"/>
      <c r="AJ309" s="8"/>
    </row>
    <row r="310" spans="1:36" ht="15" customHeight="1" x14ac:dyDescent="0.35">
      <c r="A310" s="4" t="s">
        <v>441</v>
      </c>
      <c r="B310" s="1" t="s">
        <v>2941</v>
      </c>
      <c r="C310" s="11">
        <v>44971</v>
      </c>
      <c r="D310" s="11" t="s">
        <v>4332</v>
      </c>
      <c r="E310" s="1" t="s">
        <v>21</v>
      </c>
      <c r="F310" s="1" t="s">
        <v>4335</v>
      </c>
      <c r="G310" s="6">
        <f>COUNTIF(F:F,Table2[[#This Row],[Form '#]])</f>
        <v>1</v>
      </c>
      <c r="H310" s="1" t="s">
        <v>4249</v>
      </c>
      <c r="I310" s="1" t="s">
        <v>127</v>
      </c>
      <c r="J310" s="1" t="s">
        <v>69</v>
      </c>
      <c r="K310" s="1" t="s">
        <v>4011</v>
      </c>
      <c r="L310" s="1"/>
      <c r="M310" s="6" t="str">
        <f>IF(Table2[[#This Row],[Corrected Form '#
 (If Duplicated)]]="",Table2[[#This Row],[Form '#]],Table2[[#This Row],[Corrected Form '#
 (If Duplicated)]])</f>
        <v>7818-15752</v>
      </c>
      <c r="N310" s="1" t="s">
        <v>49</v>
      </c>
      <c r="O310" s="6" t="str">
        <f>IF(Table2[[#This Row],[POG CONFIRMATION RECEIPT OF ORDER
(DATE &amp; TIME)]]="","No Confirmation","Received Confirmation")</f>
        <v>Received Confirmation</v>
      </c>
      <c r="P310" s="6">
        <f ca="1">TODAY()-Table2[[#This Row],[DATE SENT TO POG]]</f>
        <v>332</v>
      </c>
      <c r="Q310" s="6" t="s">
        <v>5803</v>
      </c>
      <c r="R3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1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10" s="2" t="str">
        <f>_xlfn.XLOOKUP(Table2[[#This Row],[Adjusted Form '#]],'[2]IN PROGRESS'!$D:$D,'[2]IN PROGRESS'!$M:$M,"Not Found")</f>
        <v>Not Found</v>
      </c>
      <c r="U310" s="2" t="str">
        <f>_xlfn.XLOOKUP(Table2[[#This Row],[Adjusted Form '#]],[1]COMPLETED!$D:$D,[2]COMPLETED!$M:$M,"Not Found")</f>
        <v>Not Found</v>
      </c>
      <c r="V310" s="17">
        <f>_xlfn.XLOOKUP(Table2[[#This Row],[Adjusted Form '#]],[2]COMPLETED!$D:$D,[2]COMPLETED!$O:$O,"Not Found")</f>
        <v>0</v>
      </c>
      <c r="W310" s="2" t="str">
        <f>_xlfn.XLOOKUP(Table2[[#This Row],[Adjusted Form '#]],[2]BILLED!$D:$D,[2]BILLED!$M:$M,"Not Found")</f>
        <v>Not Found</v>
      </c>
      <c r="X310" s="17" t="str">
        <f>_xlfn.XLOOKUP(Table2[[#This Row],[Adjusted Form '#]],[2]BILLED!$D:$D,[1]BILLED!$O:$O,"Not Found")</f>
        <v>Not Found</v>
      </c>
      <c r="Y310" s="17" t="str">
        <f>_xlfn.XLOOKUP(Table2[[#This Row],[Adjusted Form '#]],'[2]REJECTED ORDERS'!$D:$D,'[2]REJECTED ORDERS'!$E:$E)</f>
        <v>FORM NOT SIGNED</v>
      </c>
      <c r="Z310" s="1"/>
      <c r="AA310" s="1"/>
      <c r="AB310" s="8"/>
      <c r="AC310" s="8"/>
      <c r="AD310" s="8"/>
      <c r="AE310" s="8"/>
      <c r="AF310" s="8"/>
      <c r="AG310" s="8"/>
      <c r="AH310" s="8"/>
      <c r="AI310" s="8"/>
      <c r="AJ310" s="8"/>
    </row>
    <row r="311" spans="1:36" ht="15" customHeight="1" x14ac:dyDescent="0.35">
      <c r="A311" s="4" t="s">
        <v>442</v>
      </c>
      <c r="B311" s="1" t="s">
        <v>2941</v>
      </c>
      <c r="C311" s="11">
        <v>44971</v>
      </c>
      <c r="D311" s="11" t="s">
        <v>4332</v>
      </c>
      <c r="E311" s="1" t="s">
        <v>21</v>
      </c>
      <c r="F311" s="1" t="s">
        <v>4250</v>
      </c>
      <c r="G311" s="6">
        <f>COUNTIF(F:F,Table2[[#This Row],[Form '#]])</f>
        <v>2</v>
      </c>
      <c r="H311" s="1" t="s">
        <v>4251</v>
      </c>
      <c r="I311" s="1" t="s">
        <v>127</v>
      </c>
      <c r="J311" s="1" t="s">
        <v>71</v>
      </c>
      <c r="K311" s="1" t="s">
        <v>3891</v>
      </c>
      <c r="L311" s="1"/>
      <c r="M311" s="6" t="str">
        <f>IF(Table2[[#This Row],[Corrected Form '#
 (If Duplicated)]]="",Table2[[#This Row],[Form '#]],Table2[[#This Row],[Corrected Form '#
 (If Duplicated)]])</f>
        <v>7818-13882</v>
      </c>
      <c r="N311" s="1" t="s">
        <v>49</v>
      </c>
      <c r="O311" s="6" t="str">
        <f>IF(Table2[[#This Row],[POG CONFIRMATION RECEIPT OF ORDER
(DATE &amp; TIME)]]="","No Confirmation","Received Confirmation")</f>
        <v>Received Confirmation</v>
      </c>
      <c r="P311" s="6">
        <f ca="1">TODAY()-Table2[[#This Row],[DATE SENT TO POG]]</f>
        <v>332</v>
      </c>
      <c r="Q311" s="6" t="s">
        <v>5803</v>
      </c>
      <c r="R3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1" s="2" t="str">
        <f>_xlfn.XLOOKUP(Table2[[#This Row],[Adjusted Form '#]],'[2]IN PROGRESS'!$D:$D,'[2]IN PROGRESS'!$M:$M,"Not Found")</f>
        <v>Not Found</v>
      </c>
      <c r="U311" s="2" t="str">
        <f>_xlfn.XLOOKUP(Table2[[#This Row],[Adjusted Form '#]],[1]COMPLETED!$D:$D,[2]COMPLETED!$M:$M,"Not Found")</f>
        <v>Not Found</v>
      </c>
      <c r="V311" s="17" t="str">
        <f>_xlfn.XLOOKUP(Table2[[#This Row],[Adjusted Form '#]],[2]COMPLETED!$D:$D,[2]COMPLETED!$O:$O,"Not Found")</f>
        <v>Not Found</v>
      </c>
      <c r="W311" s="2" t="str">
        <f>_xlfn.XLOOKUP(Table2[[#This Row],[Adjusted Form '#]],[2]BILLED!$D:$D,[2]BILLED!$M:$M,"Not Found")</f>
        <v>1Z5063E0YW41954675</v>
      </c>
      <c r="X311" s="17" t="e">
        <f>_xlfn.XLOOKUP(Table2[[#This Row],[Adjusted Form '#]],[2]BILLED!$D:$D,[1]BILLED!$O:$O,"Not Found")</f>
        <v>#REF!</v>
      </c>
      <c r="Y311" s="17" t="e">
        <f>_xlfn.XLOOKUP(Table2[[#This Row],[Adjusted Form '#]],'[2]REJECTED ORDERS'!$D:$D,'[2]REJECTED ORDERS'!$E:$E)</f>
        <v>#N/A</v>
      </c>
      <c r="Z311" s="1"/>
      <c r="AA311" s="1"/>
      <c r="AB311" s="8"/>
      <c r="AC311" s="8"/>
      <c r="AD311" s="8"/>
      <c r="AE311" s="8"/>
      <c r="AF311" s="8"/>
      <c r="AG311" s="8"/>
      <c r="AH311" s="8"/>
      <c r="AI311" s="8"/>
      <c r="AJ311" s="8"/>
    </row>
    <row r="312" spans="1:36" ht="15" customHeight="1" x14ac:dyDescent="0.35">
      <c r="A312" s="4" t="s">
        <v>444</v>
      </c>
      <c r="B312" s="1" t="s">
        <v>2941</v>
      </c>
      <c r="C312" s="11">
        <v>44971</v>
      </c>
      <c r="D312" s="11" t="s">
        <v>4332</v>
      </c>
      <c r="E312" s="1" t="s">
        <v>21</v>
      </c>
      <c r="F312" s="1" t="s">
        <v>4252</v>
      </c>
      <c r="G312" s="6">
        <f>COUNTIF(F:F,Table2[[#This Row],[Form '#]])</f>
        <v>2</v>
      </c>
      <c r="H312" s="1" t="s">
        <v>873</v>
      </c>
      <c r="I312" s="1" t="s">
        <v>3852</v>
      </c>
      <c r="J312" s="1" t="s">
        <v>80</v>
      </c>
      <c r="K312" s="1" t="s">
        <v>3853</v>
      </c>
      <c r="L312" s="1"/>
      <c r="M312" s="6" t="str">
        <f>IF(Table2[[#This Row],[Corrected Form '#
 (If Duplicated)]]="",Table2[[#This Row],[Form '#]],Table2[[#This Row],[Corrected Form '#
 (If Duplicated)]])</f>
        <v>7818-16213</v>
      </c>
      <c r="N312" s="1" t="s">
        <v>49</v>
      </c>
      <c r="O312" s="6" t="str">
        <f>IF(Table2[[#This Row],[POG CONFIRMATION RECEIPT OF ORDER
(DATE &amp; TIME)]]="","No Confirmation","Received Confirmation")</f>
        <v>Received Confirmation</v>
      </c>
      <c r="P312" s="6">
        <f ca="1">TODAY()-Table2[[#This Row],[DATE SENT TO POG]]</f>
        <v>332</v>
      </c>
      <c r="Q312" s="6" t="s">
        <v>5803</v>
      </c>
      <c r="R3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2" s="2" t="str">
        <f>_xlfn.XLOOKUP(Table2[[#This Row],[Adjusted Form '#]],'[2]IN PROGRESS'!$D:$D,'[2]IN PROGRESS'!$M:$M,"Not Found")</f>
        <v>Not Found</v>
      </c>
      <c r="U312" s="2" t="str">
        <f>_xlfn.XLOOKUP(Table2[[#This Row],[Adjusted Form '#]],[1]COMPLETED!$D:$D,[2]COMPLETED!$M:$M,"Not Found")</f>
        <v>Not Found</v>
      </c>
      <c r="V312" s="17" t="str">
        <f>_xlfn.XLOOKUP(Table2[[#This Row],[Adjusted Form '#]],[2]COMPLETED!$D:$D,[2]COMPLETED!$O:$O,"Not Found")</f>
        <v>Not Found</v>
      </c>
      <c r="W312" s="2" t="str">
        <f>_xlfn.XLOOKUP(Table2[[#This Row],[Adjusted Form '#]],[2]BILLED!$D:$D,[2]BILLED!$M:$M,"Not Found")</f>
        <v>1Z5063E0YW41343932</v>
      </c>
      <c r="X312" s="17" t="e">
        <f>_xlfn.XLOOKUP(Table2[[#This Row],[Adjusted Form '#]],[2]BILLED!$D:$D,[1]BILLED!$O:$O,"Not Found")</f>
        <v>#REF!</v>
      </c>
      <c r="Y312" s="17" t="str">
        <f>_xlfn.XLOOKUP(Table2[[#This Row],[Adjusted Form '#]],'[2]REJECTED ORDERS'!$D:$D,'[2]REJECTED ORDERS'!$E:$E)</f>
        <v>FORM NOT SIGNED</v>
      </c>
      <c r="Z312" s="1"/>
      <c r="AA312" s="1"/>
      <c r="AB312" s="8"/>
      <c r="AC312" s="8"/>
      <c r="AD312" s="8"/>
      <c r="AE312" s="8"/>
      <c r="AF312" s="8"/>
      <c r="AG312" s="8"/>
      <c r="AH312" s="8"/>
      <c r="AI312" s="8"/>
      <c r="AJ312" s="8"/>
    </row>
    <row r="313" spans="1:36" ht="15" customHeight="1" x14ac:dyDescent="0.35">
      <c r="A313" s="4" t="s">
        <v>446</v>
      </c>
      <c r="B313" s="1" t="s">
        <v>1767</v>
      </c>
      <c r="C313" s="11">
        <v>44971</v>
      </c>
      <c r="D313" s="11" t="s">
        <v>4332</v>
      </c>
      <c r="E313" s="1" t="s">
        <v>21</v>
      </c>
      <c r="F313" s="1" t="s">
        <v>4336</v>
      </c>
      <c r="G313" s="6">
        <f>COUNTIF(F:F,Table2[[#This Row],[Form '#]])</f>
        <v>1</v>
      </c>
      <c r="H313" s="1" t="s">
        <v>4337</v>
      </c>
      <c r="I313" s="1" t="s">
        <v>3864</v>
      </c>
      <c r="J313" s="1" t="s">
        <v>78</v>
      </c>
      <c r="K313" s="1" t="s">
        <v>3879</v>
      </c>
      <c r="L313" s="1"/>
      <c r="M313" s="6" t="str">
        <f>IF(Table2[[#This Row],[Corrected Form '#
 (If Duplicated)]]="",Table2[[#This Row],[Form '#]],Table2[[#This Row],[Corrected Form '#
 (If Duplicated)]])</f>
        <v>7818-16691</v>
      </c>
      <c r="N313" s="1" t="s">
        <v>49</v>
      </c>
      <c r="O313" s="6" t="str">
        <f>IF(Table2[[#This Row],[POG CONFIRMATION RECEIPT OF ORDER
(DATE &amp; TIME)]]="","No Confirmation","Received Confirmation")</f>
        <v>Received Confirmation</v>
      </c>
      <c r="P313" s="6">
        <f ca="1">TODAY()-Table2[[#This Row],[DATE SENT TO POG]]</f>
        <v>332</v>
      </c>
      <c r="Q313" s="6" t="s">
        <v>5803</v>
      </c>
      <c r="R3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3" s="2" t="str">
        <f>_xlfn.XLOOKUP(Table2[[#This Row],[Adjusted Form '#]],'[2]IN PROGRESS'!$D:$D,'[2]IN PROGRESS'!$M:$M,"Not Found")</f>
        <v>Not Found</v>
      </c>
      <c r="U313" s="2" t="str">
        <f>_xlfn.XLOOKUP(Table2[[#This Row],[Adjusted Form '#]],[1]COMPLETED!$D:$D,[2]COMPLETED!$M:$M,"Not Found")</f>
        <v>Not Found</v>
      </c>
      <c r="V313" s="17" t="str">
        <f>_xlfn.XLOOKUP(Table2[[#This Row],[Adjusted Form '#]],[2]COMPLETED!$D:$D,[2]COMPLETED!$O:$O,"Not Found")</f>
        <v>Not Found</v>
      </c>
      <c r="W313" s="2" t="str">
        <f>_xlfn.XLOOKUP(Table2[[#This Row],[Adjusted Form '#]],[2]BILLED!$D:$D,[2]BILLED!$M:$M,"Not Found")</f>
        <v>1Z5063E0YW42812718</v>
      </c>
      <c r="X313" s="17" t="e">
        <f>_xlfn.XLOOKUP(Table2[[#This Row],[Adjusted Form '#]],[2]BILLED!$D:$D,[1]BILLED!$O:$O,"Not Found")</f>
        <v>#REF!</v>
      </c>
      <c r="Y313" s="17" t="e">
        <f>_xlfn.XLOOKUP(Table2[[#This Row],[Adjusted Form '#]],'[2]REJECTED ORDERS'!$D:$D,'[2]REJECTED ORDERS'!$E:$E)</f>
        <v>#N/A</v>
      </c>
      <c r="Z313" s="1"/>
      <c r="AA313" s="1"/>
      <c r="AB313" s="8"/>
      <c r="AC313" s="8"/>
      <c r="AD313" s="8"/>
      <c r="AE313" s="8"/>
      <c r="AF313" s="8"/>
      <c r="AG313" s="8"/>
      <c r="AH313" s="8"/>
      <c r="AI313" s="8"/>
      <c r="AJ313" s="8"/>
    </row>
    <row r="314" spans="1:36" ht="15" customHeight="1" x14ac:dyDescent="0.35">
      <c r="A314" s="4" t="s">
        <v>447</v>
      </c>
      <c r="B314" s="1" t="s">
        <v>1767</v>
      </c>
      <c r="C314" s="11">
        <v>44971</v>
      </c>
      <c r="D314" s="11" t="s">
        <v>4332</v>
      </c>
      <c r="E314" s="1" t="s">
        <v>21</v>
      </c>
      <c r="F314" s="1" t="s">
        <v>4338</v>
      </c>
      <c r="G314" s="6">
        <f>COUNTIF(F:F,Table2[[#This Row],[Form '#]])</f>
        <v>1</v>
      </c>
      <c r="H314" s="1" t="s">
        <v>4339</v>
      </c>
      <c r="I314" s="1" t="s">
        <v>3852</v>
      </c>
      <c r="J314" s="1" t="s">
        <v>80</v>
      </c>
      <c r="K314" s="1" t="s">
        <v>3853</v>
      </c>
      <c r="L314" s="1"/>
      <c r="M314" s="6" t="str">
        <f>IF(Table2[[#This Row],[Corrected Form '#
 (If Duplicated)]]="",Table2[[#This Row],[Form '#]],Table2[[#This Row],[Corrected Form '#
 (If Duplicated)]])</f>
        <v>7818-23120</v>
      </c>
      <c r="N314" s="1" t="s">
        <v>49</v>
      </c>
      <c r="O314" s="6" t="str">
        <f>IF(Table2[[#This Row],[POG CONFIRMATION RECEIPT OF ORDER
(DATE &amp; TIME)]]="","No Confirmation","Received Confirmation")</f>
        <v>Received Confirmation</v>
      </c>
      <c r="P314" s="6">
        <f ca="1">TODAY()-Table2[[#This Row],[DATE SENT TO POG]]</f>
        <v>332</v>
      </c>
      <c r="Q314" s="6" t="s">
        <v>5803</v>
      </c>
      <c r="R3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4" s="2" t="str">
        <f>_xlfn.XLOOKUP(Table2[[#This Row],[Adjusted Form '#]],'[2]IN PROGRESS'!$D:$D,'[2]IN PROGRESS'!$M:$M,"Not Found")</f>
        <v>Not Found</v>
      </c>
      <c r="U314" s="2" t="str">
        <f>_xlfn.XLOOKUP(Table2[[#This Row],[Adjusted Form '#]],[1]COMPLETED!$D:$D,[2]COMPLETED!$M:$M,"Not Found")</f>
        <v>Not Found</v>
      </c>
      <c r="V314" s="17" t="str">
        <f>_xlfn.XLOOKUP(Table2[[#This Row],[Adjusted Form '#]],[2]COMPLETED!$D:$D,[2]COMPLETED!$O:$O,"Not Found")</f>
        <v>Not Found</v>
      </c>
      <c r="W314" s="2" t="str">
        <f>_xlfn.XLOOKUP(Table2[[#This Row],[Adjusted Form '#]],[2]BILLED!$D:$D,[2]BILLED!$M:$M,"Not Found")</f>
        <v>9400 1112 0620 7798 5081 36</v>
      </c>
      <c r="X314" s="17" t="e">
        <f>_xlfn.XLOOKUP(Table2[[#This Row],[Adjusted Form '#]],[2]BILLED!$D:$D,[1]BILLED!$O:$O,"Not Found")</f>
        <v>#REF!</v>
      </c>
      <c r="Y314" s="17" t="e">
        <f>_xlfn.XLOOKUP(Table2[[#This Row],[Adjusted Form '#]],'[2]REJECTED ORDERS'!$D:$D,'[2]REJECTED ORDERS'!$E:$E)</f>
        <v>#N/A</v>
      </c>
      <c r="Z314" s="1"/>
      <c r="AA314" s="1"/>
      <c r="AB314" s="8"/>
      <c r="AC314" s="8"/>
      <c r="AD314" s="8"/>
      <c r="AE314" s="8"/>
      <c r="AF314" s="8"/>
      <c r="AG314" s="8"/>
      <c r="AH314" s="8"/>
      <c r="AI314" s="8"/>
      <c r="AJ314" s="8"/>
    </row>
    <row r="315" spans="1:36" ht="15" customHeight="1" x14ac:dyDescent="0.35">
      <c r="A315" s="4" t="s">
        <v>448</v>
      </c>
      <c r="B315" s="1" t="s">
        <v>1767</v>
      </c>
      <c r="C315" s="11">
        <v>44971</v>
      </c>
      <c r="D315" s="11" t="s">
        <v>4332</v>
      </c>
      <c r="E315" s="1" t="s">
        <v>21</v>
      </c>
      <c r="F315" s="1" t="s">
        <v>4340</v>
      </c>
      <c r="G315" s="6">
        <f>COUNTIF(F:F,Table2[[#This Row],[Form '#]])</f>
        <v>1</v>
      </c>
      <c r="H315" s="1" t="s">
        <v>2923</v>
      </c>
      <c r="I315" s="1" t="s">
        <v>3852</v>
      </c>
      <c r="J315" s="1" t="s">
        <v>80</v>
      </c>
      <c r="K315" s="1" t="s">
        <v>3853</v>
      </c>
      <c r="L315" s="1"/>
      <c r="M315" s="6" t="str">
        <f>IF(Table2[[#This Row],[Corrected Form '#
 (If Duplicated)]]="",Table2[[#This Row],[Form '#]],Table2[[#This Row],[Corrected Form '#
 (If Duplicated)]])</f>
        <v>7818-27201</v>
      </c>
      <c r="N315" s="1" t="s">
        <v>49</v>
      </c>
      <c r="O315" s="6" t="str">
        <f>IF(Table2[[#This Row],[POG CONFIRMATION RECEIPT OF ORDER
(DATE &amp; TIME)]]="","No Confirmation","Received Confirmation")</f>
        <v>Received Confirmation</v>
      </c>
      <c r="P315" s="6">
        <f ca="1">TODAY()-Table2[[#This Row],[DATE SENT TO POG]]</f>
        <v>332</v>
      </c>
      <c r="Q315" s="6" t="s">
        <v>5803</v>
      </c>
      <c r="R3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5" s="2" t="str">
        <f>_xlfn.XLOOKUP(Table2[[#This Row],[Adjusted Form '#]],'[2]IN PROGRESS'!$D:$D,'[2]IN PROGRESS'!$M:$M,"Not Found")</f>
        <v>Not Found</v>
      </c>
      <c r="U315" s="2" t="str">
        <f>_xlfn.XLOOKUP(Table2[[#This Row],[Adjusted Form '#]],[1]COMPLETED!$D:$D,[2]COMPLETED!$M:$M,"Not Found")</f>
        <v>Not Found</v>
      </c>
      <c r="V315" s="17" t="str">
        <f>_xlfn.XLOOKUP(Table2[[#This Row],[Adjusted Form '#]],[2]COMPLETED!$D:$D,[2]COMPLETED!$O:$O,"Not Found")</f>
        <v>Not Found</v>
      </c>
      <c r="W315" s="2" t="str">
        <f>_xlfn.XLOOKUP(Table2[[#This Row],[Adjusted Form '#]],[2]BILLED!$D:$D,[2]BILLED!$M:$M,"Not Found")</f>
        <v>9402 1112 0620 7156 6355 33</v>
      </c>
      <c r="X315" s="17" t="e">
        <f>_xlfn.XLOOKUP(Table2[[#This Row],[Adjusted Form '#]],[2]BILLED!$D:$D,[1]BILLED!$O:$O,"Not Found")</f>
        <v>#REF!</v>
      </c>
      <c r="Y315" s="17" t="e">
        <f>_xlfn.XLOOKUP(Table2[[#This Row],[Adjusted Form '#]],'[2]REJECTED ORDERS'!$D:$D,'[2]REJECTED ORDERS'!$E:$E)</f>
        <v>#N/A</v>
      </c>
      <c r="Z315" s="1"/>
      <c r="AA315" s="1"/>
      <c r="AB315" s="8"/>
      <c r="AC315" s="8"/>
      <c r="AD315" s="8"/>
      <c r="AE315" s="8"/>
      <c r="AF315" s="8"/>
      <c r="AG315" s="8"/>
      <c r="AH315" s="8"/>
      <c r="AI315" s="8"/>
      <c r="AJ315" s="8"/>
    </row>
    <row r="316" spans="1:36" ht="15" customHeight="1" x14ac:dyDescent="0.35">
      <c r="A316" s="4" t="s">
        <v>450</v>
      </c>
      <c r="B316" s="1" t="s">
        <v>1767</v>
      </c>
      <c r="C316" s="11">
        <v>44971</v>
      </c>
      <c r="D316" s="11" t="s">
        <v>4332</v>
      </c>
      <c r="E316" s="1" t="s">
        <v>21</v>
      </c>
      <c r="F316" s="1" t="s">
        <v>4341</v>
      </c>
      <c r="G316" s="6">
        <f>COUNTIF(F:F,Table2[[#This Row],[Form '#]])</f>
        <v>1</v>
      </c>
      <c r="H316" s="1" t="s">
        <v>1653</v>
      </c>
      <c r="I316" s="1" t="s">
        <v>3852</v>
      </c>
      <c r="J316" s="1" t="s">
        <v>75</v>
      </c>
      <c r="K316" s="1" t="s">
        <v>3853</v>
      </c>
      <c r="L316" s="1"/>
      <c r="M316" s="6" t="str">
        <f>IF(Table2[[#This Row],[Corrected Form '#
 (If Duplicated)]]="",Table2[[#This Row],[Form '#]],Table2[[#This Row],[Corrected Form '#
 (If Duplicated)]])</f>
        <v>7818-09445</v>
      </c>
      <c r="N316" s="1" t="s">
        <v>49</v>
      </c>
      <c r="O316" s="6" t="str">
        <f>IF(Table2[[#This Row],[POG CONFIRMATION RECEIPT OF ORDER
(DATE &amp; TIME)]]="","No Confirmation","Received Confirmation")</f>
        <v>Received Confirmation</v>
      </c>
      <c r="P316" s="6">
        <f ca="1">TODAY()-Table2[[#This Row],[DATE SENT TO POG]]</f>
        <v>332</v>
      </c>
      <c r="Q316" s="6" t="s">
        <v>5803</v>
      </c>
      <c r="R3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6" s="2" t="str">
        <f>_xlfn.XLOOKUP(Table2[[#This Row],[Adjusted Form '#]],'[2]IN PROGRESS'!$D:$D,'[2]IN PROGRESS'!$M:$M,"Not Found")</f>
        <v>Not Found</v>
      </c>
      <c r="U316" s="2" t="str">
        <f>_xlfn.XLOOKUP(Table2[[#This Row],[Adjusted Form '#]],[1]COMPLETED!$D:$D,[2]COMPLETED!$M:$M,"Not Found")</f>
        <v>Not Found</v>
      </c>
      <c r="V316" s="17" t="str">
        <f>_xlfn.XLOOKUP(Table2[[#This Row],[Adjusted Form '#]],[2]COMPLETED!$D:$D,[2]COMPLETED!$O:$O,"Not Found")</f>
        <v>Not Found</v>
      </c>
      <c r="W316" s="2" t="str">
        <f>_xlfn.XLOOKUP(Table2[[#This Row],[Adjusted Form '#]],[2]BILLED!$D:$D,[2]BILLED!$M:$M,"Not Found")</f>
        <v>1Z5063E0YW40220512</v>
      </c>
      <c r="X316" s="17" t="e">
        <f>_xlfn.XLOOKUP(Table2[[#This Row],[Adjusted Form '#]],[2]BILLED!$D:$D,[1]BILLED!$O:$O,"Not Found")</f>
        <v>#REF!</v>
      </c>
      <c r="Y316" s="17" t="e">
        <f>_xlfn.XLOOKUP(Table2[[#This Row],[Adjusted Form '#]],'[2]REJECTED ORDERS'!$D:$D,'[2]REJECTED ORDERS'!$E:$E)</f>
        <v>#N/A</v>
      </c>
      <c r="Z316" s="1"/>
      <c r="AA316" s="1"/>
      <c r="AB316" s="8"/>
      <c r="AC316" s="8"/>
      <c r="AD316" s="8"/>
      <c r="AE316" s="8"/>
      <c r="AF316" s="8"/>
      <c r="AG316" s="8"/>
      <c r="AH316" s="8"/>
      <c r="AI316" s="8"/>
      <c r="AJ316" s="8"/>
    </row>
    <row r="317" spans="1:36" ht="15" customHeight="1" x14ac:dyDescent="0.35">
      <c r="A317" s="4" t="s">
        <v>452</v>
      </c>
      <c r="B317" s="1" t="s">
        <v>1767</v>
      </c>
      <c r="C317" s="11">
        <v>44971</v>
      </c>
      <c r="D317" s="11" t="s">
        <v>4332</v>
      </c>
      <c r="E317" s="1" t="s">
        <v>21</v>
      </c>
      <c r="F317" s="1" t="s">
        <v>4342</v>
      </c>
      <c r="G317" s="6">
        <f>COUNTIF(F:F,Table2[[#This Row],[Form '#]])</f>
        <v>1</v>
      </c>
      <c r="H317" s="1" t="s">
        <v>4331</v>
      </c>
      <c r="I317" s="1" t="s">
        <v>3852</v>
      </c>
      <c r="J317" s="1" t="s">
        <v>80</v>
      </c>
      <c r="K317" s="1" t="s">
        <v>3853</v>
      </c>
      <c r="L317" s="1"/>
      <c r="M317" s="6" t="str">
        <f>IF(Table2[[#This Row],[Corrected Form '#
 (If Duplicated)]]="",Table2[[#This Row],[Form '#]],Table2[[#This Row],[Corrected Form '#
 (If Duplicated)]])</f>
        <v>7818-21687</v>
      </c>
      <c r="N317" s="1" t="s">
        <v>49</v>
      </c>
      <c r="O317" s="6" t="str">
        <f>IF(Table2[[#This Row],[POG CONFIRMATION RECEIPT OF ORDER
(DATE &amp; TIME)]]="","No Confirmation","Received Confirmation")</f>
        <v>Received Confirmation</v>
      </c>
      <c r="P317" s="6">
        <f ca="1">TODAY()-Table2[[#This Row],[DATE SENT TO POG]]</f>
        <v>332</v>
      </c>
      <c r="Q317" s="6" t="s">
        <v>5803</v>
      </c>
      <c r="R3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7" s="2" t="str">
        <f>_xlfn.XLOOKUP(Table2[[#This Row],[Adjusted Form '#]],'[2]IN PROGRESS'!$D:$D,'[2]IN PROGRESS'!$M:$M,"Not Found")</f>
        <v>Not Found</v>
      </c>
      <c r="U317" s="2" t="str">
        <f>_xlfn.XLOOKUP(Table2[[#This Row],[Adjusted Form '#]],[1]COMPLETED!$D:$D,[2]COMPLETED!$M:$M,"Not Found")</f>
        <v>Not Found</v>
      </c>
      <c r="V317" s="17" t="str">
        <f>_xlfn.XLOOKUP(Table2[[#This Row],[Adjusted Form '#]],[2]COMPLETED!$D:$D,[2]COMPLETED!$O:$O,"Not Found")</f>
        <v>Not Found</v>
      </c>
      <c r="W317" s="2" t="str">
        <f>_xlfn.XLOOKUP(Table2[[#This Row],[Adjusted Form '#]],[2]BILLED!$D:$D,[2]BILLED!$M:$M,"Not Found")</f>
        <v>1Z5063E0YW40432258</v>
      </c>
      <c r="X317" s="17" t="e">
        <f>_xlfn.XLOOKUP(Table2[[#This Row],[Adjusted Form '#]],[2]BILLED!$D:$D,[1]BILLED!$O:$O,"Not Found")</f>
        <v>#REF!</v>
      </c>
      <c r="Y317" s="17" t="e">
        <f>_xlfn.XLOOKUP(Table2[[#This Row],[Adjusted Form '#]],'[2]REJECTED ORDERS'!$D:$D,'[2]REJECTED ORDERS'!$E:$E)</f>
        <v>#N/A</v>
      </c>
      <c r="Z317" s="1"/>
      <c r="AA317" s="1"/>
      <c r="AB317" s="8"/>
      <c r="AC317" s="8"/>
      <c r="AD317" s="8"/>
      <c r="AE317" s="8"/>
      <c r="AF317" s="8"/>
      <c r="AG317" s="8"/>
      <c r="AH317" s="8"/>
      <c r="AI317" s="8"/>
      <c r="AJ317" s="8"/>
    </row>
    <row r="318" spans="1:36" ht="15" customHeight="1" x14ac:dyDescent="0.35">
      <c r="A318" s="4" t="s">
        <v>453</v>
      </c>
      <c r="B318" s="1" t="s">
        <v>1767</v>
      </c>
      <c r="C318" s="11">
        <v>44971</v>
      </c>
      <c r="D318" s="11" t="s">
        <v>4332</v>
      </c>
      <c r="E318" s="1" t="s">
        <v>21</v>
      </c>
      <c r="F318" s="1" t="s">
        <v>4343</v>
      </c>
      <c r="G318" s="6">
        <f>COUNTIF(F:F,Table2[[#This Row],[Form '#]])</f>
        <v>1</v>
      </c>
      <c r="H318" s="1" t="s">
        <v>4344</v>
      </c>
      <c r="I318" s="1" t="s">
        <v>3852</v>
      </c>
      <c r="J318" s="1" t="s">
        <v>75</v>
      </c>
      <c r="K318" s="1" t="s">
        <v>4011</v>
      </c>
      <c r="L318" s="1"/>
      <c r="M318" s="6" t="str">
        <f>IF(Table2[[#This Row],[Corrected Form '#
 (If Duplicated)]]="",Table2[[#This Row],[Form '#]],Table2[[#This Row],[Corrected Form '#
 (If Duplicated)]])</f>
        <v>7818-14646</v>
      </c>
      <c r="N318" s="1" t="s">
        <v>49</v>
      </c>
      <c r="O318" s="6" t="str">
        <f>IF(Table2[[#This Row],[POG CONFIRMATION RECEIPT OF ORDER
(DATE &amp; TIME)]]="","No Confirmation","Received Confirmation")</f>
        <v>Received Confirmation</v>
      </c>
      <c r="P318" s="6">
        <f ca="1">TODAY()-Table2[[#This Row],[DATE SENT TO POG]]</f>
        <v>332</v>
      </c>
      <c r="Q318" s="6" t="s">
        <v>5803</v>
      </c>
      <c r="R3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8" s="2" t="str">
        <f>_xlfn.XLOOKUP(Table2[[#This Row],[Adjusted Form '#]],'[2]IN PROGRESS'!$D:$D,'[2]IN PROGRESS'!$M:$M,"Not Found")</f>
        <v>Not Found</v>
      </c>
      <c r="U318" s="2" t="str">
        <f>_xlfn.XLOOKUP(Table2[[#This Row],[Adjusted Form '#]],[1]COMPLETED!$D:$D,[2]COMPLETED!$M:$M,"Not Found")</f>
        <v>Not Found</v>
      </c>
      <c r="V318" s="17" t="str">
        <f>_xlfn.XLOOKUP(Table2[[#This Row],[Adjusted Form '#]],[2]COMPLETED!$D:$D,[2]COMPLETED!$O:$O,"Not Found")</f>
        <v>Not Found</v>
      </c>
      <c r="W318" s="2" t="str">
        <f>_xlfn.XLOOKUP(Table2[[#This Row],[Adjusted Form '#]],[2]BILLED!$D:$D,[2]BILLED!$M:$M,"Not Found")</f>
        <v>1Z5063E0YW42861540</v>
      </c>
      <c r="X318" s="17" t="e">
        <f>_xlfn.XLOOKUP(Table2[[#This Row],[Adjusted Form '#]],[2]BILLED!$D:$D,[1]BILLED!$O:$O,"Not Found")</f>
        <v>#REF!</v>
      </c>
      <c r="Y318" s="17" t="e">
        <f>_xlfn.XLOOKUP(Table2[[#This Row],[Adjusted Form '#]],'[2]REJECTED ORDERS'!$D:$D,'[2]REJECTED ORDERS'!$E:$E)</f>
        <v>#N/A</v>
      </c>
      <c r="Z318" s="1"/>
      <c r="AA318" s="1"/>
      <c r="AB318" s="8"/>
      <c r="AC318" s="8"/>
      <c r="AD318" s="8"/>
      <c r="AE318" s="8"/>
      <c r="AF318" s="8"/>
      <c r="AG318" s="8"/>
      <c r="AH318" s="8"/>
      <c r="AI318" s="8"/>
      <c r="AJ318" s="8"/>
    </row>
    <row r="319" spans="1:36" ht="15" customHeight="1" x14ac:dyDescent="0.35">
      <c r="A319" s="4" t="s">
        <v>456</v>
      </c>
      <c r="B319" s="1" t="s">
        <v>1767</v>
      </c>
      <c r="C319" s="11">
        <v>44971</v>
      </c>
      <c r="D319" s="11" t="s">
        <v>4332</v>
      </c>
      <c r="E319" s="1" t="s">
        <v>21</v>
      </c>
      <c r="F319" s="1" t="s">
        <v>4345</v>
      </c>
      <c r="G319" s="6">
        <f>COUNTIF(F:F,Table2[[#This Row],[Form '#]])</f>
        <v>1</v>
      </c>
      <c r="H319" s="1" t="s">
        <v>2124</v>
      </c>
      <c r="I319" s="1" t="s">
        <v>127</v>
      </c>
      <c r="J319" s="1" t="s">
        <v>76</v>
      </c>
      <c r="K319" s="1" t="s">
        <v>4011</v>
      </c>
      <c r="L319" s="1"/>
      <c r="M319" s="6" t="str">
        <f>IF(Table2[[#This Row],[Corrected Form '#
 (If Duplicated)]]="",Table2[[#This Row],[Form '#]],Table2[[#This Row],[Corrected Form '#
 (If Duplicated)]])</f>
        <v>7818-23051</v>
      </c>
      <c r="N319" s="1" t="s">
        <v>49</v>
      </c>
      <c r="O319" s="6" t="str">
        <f>IF(Table2[[#This Row],[POG CONFIRMATION RECEIPT OF ORDER
(DATE &amp; TIME)]]="","No Confirmation","Received Confirmation")</f>
        <v>Received Confirmation</v>
      </c>
      <c r="P319" s="6">
        <f ca="1">TODAY()-Table2[[#This Row],[DATE SENT TO POG]]</f>
        <v>332</v>
      </c>
      <c r="Q319" s="6" t="s">
        <v>5803</v>
      </c>
      <c r="R3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19" s="2" t="str">
        <f>_xlfn.XLOOKUP(Table2[[#This Row],[Adjusted Form '#]],'[2]IN PROGRESS'!$D:$D,'[2]IN PROGRESS'!$M:$M,"Not Found")</f>
        <v>Not Found</v>
      </c>
      <c r="U319" s="2" t="str">
        <f>_xlfn.XLOOKUP(Table2[[#This Row],[Adjusted Form '#]],[1]COMPLETED!$D:$D,[2]COMPLETED!$M:$M,"Not Found")</f>
        <v>Not Found</v>
      </c>
      <c r="V319" s="17" t="str">
        <f>_xlfn.XLOOKUP(Table2[[#This Row],[Adjusted Form '#]],[2]COMPLETED!$D:$D,[2]COMPLETED!$O:$O,"Not Found")</f>
        <v>Not Found</v>
      </c>
      <c r="W319" s="2" t="str">
        <f>_xlfn.XLOOKUP(Table2[[#This Row],[Adjusted Form '#]],[2]BILLED!$D:$D,[2]BILLED!$M:$M,"Not Found")</f>
        <v>1Z5063E0YW41562580</v>
      </c>
      <c r="X319" s="17" t="e">
        <f>_xlfn.XLOOKUP(Table2[[#This Row],[Adjusted Form '#]],[2]BILLED!$D:$D,[1]BILLED!$O:$O,"Not Found")</f>
        <v>#REF!</v>
      </c>
      <c r="Y319" s="17" t="e">
        <f>_xlfn.XLOOKUP(Table2[[#This Row],[Adjusted Form '#]],'[2]REJECTED ORDERS'!$D:$D,'[2]REJECTED ORDERS'!$E:$E)</f>
        <v>#N/A</v>
      </c>
      <c r="Z319" s="1"/>
      <c r="AA319" s="1"/>
      <c r="AB319" s="8"/>
      <c r="AC319" s="8"/>
      <c r="AD319" s="8"/>
      <c r="AE319" s="8"/>
      <c r="AF319" s="8"/>
      <c r="AG319" s="8"/>
      <c r="AH319" s="8"/>
      <c r="AI319" s="8"/>
      <c r="AJ319" s="8"/>
    </row>
    <row r="320" spans="1:36" ht="15" customHeight="1" x14ac:dyDescent="0.35">
      <c r="A320" s="4" t="s">
        <v>459</v>
      </c>
      <c r="B320" s="1" t="s">
        <v>1767</v>
      </c>
      <c r="C320" s="11">
        <v>44971</v>
      </c>
      <c r="D320" s="11" t="s">
        <v>4332</v>
      </c>
      <c r="E320" s="1" t="s">
        <v>21</v>
      </c>
      <c r="F320" s="1" t="s">
        <v>4346</v>
      </c>
      <c r="G320" s="6">
        <f>COUNTIF(F:F,Table2[[#This Row],[Form '#]])</f>
        <v>1</v>
      </c>
      <c r="H320" s="1" t="s">
        <v>4347</v>
      </c>
      <c r="I320" s="1" t="s">
        <v>127</v>
      </c>
      <c r="J320" s="1" t="s">
        <v>76</v>
      </c>
      <c r="K320" s="1" t="s">
        <v>4011</v>
      </c>
      <c r="L320" s="1"/>
      <c r="M320" s="6" t="str">
        <f>IF(Table2[[#This Row],[Corrected Form '#
 (If Duplicated)]]="",Table2[[#This Row],[Form '#]],Table2[[#This Row],[Corrected Form '#
 (If Duplicated)]])</f>
        <v>7818-27523</v>
      </c>
      <c r="N320" s="1" t="s">
        <v>49</v>
      </c>
      <c r="O320" s="6" t="str">
        <f>IF(Table2[[#This Row],[POG CONFIRMATION RECEIPT OF ORDER
(DATE &amp; TIME)]]="","No Confirmation","Received Confirmation")</f>
        <v>Received Confirmation</v>
      </c>
      <c r="P320" s="6">
        <f ca="1">TODAY()-Table2[[#This Row],[DATE SENT TO POG]]</f>
        <v>332</v>
      </c>
      <c r="Q320" s="6" t="s">
        <v>5803</v>
      </c>
      <c r="R3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0" s="2" t="str">
        <f>_xlfn.XLOOKUP(Table2[[#This Row],[Adjusted Form '#]],'[2]IN PROGRESS'!$D:$D,'[2]IN PROGRESS'!$M:$M,"Not Found")</f>
        <v>Not Found</v>
      </c>
      <c r="U320" s="2" t="str">
        <f>_xlfn.XLOOKUP(Table2[[#This Row],[Adjusted Form '#]],[1]COMPLETED!$D:$D,[2]COMPLETED!$M:$M,"Not Found")</f>
        <v>Not Found</v>
      </c>
      <c r="V320" s="17" t="str">
        <f>_xlfn.XLOOKUP(Table2[[#This Row],[Adjusted Form '#]],[2]COMPLETED!$D:$D,[2]COMPLETED!$O:$O,"Not Found")</f>
        <v>Not Found</v>
      </c>
      <c r="W320" s="2" t="str">
        <f>_xlfn.XLOOKUP(Table2[[#This Row],[Adjusted Form '#]],[2]BILLED!$D:$D,[2]BILLED!$M:$M,"Not Found")</f>
        <v>1Z5063E0YW42906395</v>
      </c>
      <c r="X320" s="17" t="e">
        <f>_xlfn.XLOOKUP(Table2[[#This Row],[Adjusted Form '#]],[2]BILLED!$D:$D,[1]BILLED!$O:$O,"Not Found")</f>
        <v>#REF!</v>
      </c>
      <c r="Y320" s="17" t="e">
        <f>_xlfn.XLOOKUP(Table2[[#This Row],[Adjusted Form '#]],'[2]REJECTED ORDERS'!$D:$D,'[2]REJECTED ORDERS'!$E:$E)</f>
        <v>#N/A</v>
      </c>
      <c r="Z320" s="1"/>
      <c r="AA320" s="1"/>
      <c r="AB320" s="8"/>
      <c r="AC320" s="8"/>
      <c r="AD320" s="8"/>
      <c r="AE320" s="8"/>
      <c r="AF320" s="8"/>
      <c r="AG320" s="8"/>
      <c r="AH320" s="8"/>
      <c r="AI320" s="8"/>
      <c r="AJ320" s="8"/>
    </row>
    <row r="321" spans="1:36" ht="15" customHeight="1" x14ac:dyDescent="0.35">
      <c r="A321" s="4" t="s">
        <v>460</v>
      </c>
      <c r="B321" s="1" t="s">
        <v>1767</v>
      </c>
      <c r="C321" s="11">
        <v>44971</v>
      </c>
      <c r="D321" s="11" t="s">
        <v>4332</v>
      </c>
      <c r="E321" s="1" t="s">
        <v>21</v>
      </c>
      <c r="F321" s="1" t="s">
        <v>3971</v>
      </c>
      <c r="G321" s="6">
        <f>COUNTIF(F:F,Table2[[#This Row],[Form '#]])</f>
        <v>2</v>
      </c>
      <c r="H321" s="1" t="s">
        <v>3972</v>
      </c>
      <c r="I321" s="1" t="s">
        <v>3852</v>
      </c>
      <c r="J321" s="1" t="s">
        <v>80</v>
      </c>
      <c r="K321" s="1" t="s">
        <v>3853</v>
      </c>
      <c r="L321" s="1"/>
      <c r="M321" s="6" t="str">
        <f>IF(Table2[[#This Row],[Corrected Form '#
 (If Duplicated)]]="",Table2[[#This Row],[Form '#]],Table2[[#This Row],[Corrected Form '#
 (If Duplicated)]])</f>
        <v>7818-16786</v>
      </c>
      <c r="N321" s="1" t="s">
        <v>49</v>
      </c>
      <c r="O321" s="6" t="str">
        <f>IF(Table2[[#This Row],[POG CONFIRMATION RECEIPT OF ORDER
(DATE &amp; TIME)]]="","No Confirmation","Received Confirmation")</f>
        <v>Received Confirmation</v>
      </c>
      <c r="P321" s="6">
        <f ca="1">TODAY()-Table2[[#This Row],[DATE SENT TO POG]]</f>
        <v>332</v>
      </c>
      <c r="Q321" s="6" t="s">
        <v>5803</v>
      </c>
      <c r="R3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1" s="2" t="str">
        <f>_xlfn.XLOOKUP(Table2[[#This Row],[Adjusted Form '#]],'[2]IN PROGRESS'!$D:$D,'[2]IN PROGRESS'!$M:$M,"Not Found")</f>
        <v>Not Found</v>
      </c>
      <c r="U321" s="2" t="str">
        <f>_xlfn.XLOOKUP(Table2[[#This Row],[Adjusted Form '#]],[1]COMPLETED!$D:$D,[2]COMPLETED!$M:$M,"Not Found")</f>
        <v>Not Found</v>
      </c>
      <c r="V321" s="17" t="str">
        <f>_xlfn.XLOOKUP(Table2[[#This Row],[Adjusted Form '#]],[2]COMPLETED!$D:$D,[2]COMPLETED!$O:$O,"Not Found")</f>
        <v>Not Found</v>
      </c>
      <c r="W321" s="2" t="str">
        <f>_xlfn.XLOOKUP(Table2[[#This Row],[Adjusted Form '#]],[2]BILLED!$D:$D,[2]BILLED!$M:$M,"Not Found")</f>
        <v>1Z5063E0YW40184884</v>
      </c>
      <c r="X321" s="17" t="e">
        <f>_xlfn.XLOOKUP(Table2[[#This Row],[Adjusted Form '#]],[2]BILLED!$D:$D,[1]BILLED!$O:$O,"Not Found")</f>
        <v>#REF!</v>
      </c>
      <c r="Y321" s="17" t="str">
        <f>_xlfn.XLOOKUP(Table2[[#This Row],[Adjusted Form '#]],'[2]REJECTED ORDERS'!$D:$D,'[2]REJECTED ORDERS'!$E:$E)</f>
        <v>FORM NUMBER ALREADY USED</v>
      </c>
      <c r="Z321" s="1"/>
      <c r="AA321" s="1"/>
      <c r="AB321" s="8"/>
      <c r="AC321" s="8"/>
      <c r="AD321" s="8"/>
      <c r="AE321" s="8"/>
      <c r="AF321" s="8"/>
      <c r="AG321" s="8"/>
      <c r="AH321" s="8"/>
      <c r="AI321" s="8"/>
      <c r="AJ321" s="8"/>
    </row>
    <row r="322" spans="1:36" ht="15" customHeight="1" x14ac:dyDescent="0.35">
      <c r="A322" s="4" t="s">
        <v>463</v>
      </c>
      <c r="B322" s="1" t="s">
        <v>1767</v>
      </c>
      <c r="C322" s="11">
        <v>44971</v>
      </c>
      <c r="D322" s="11" t="s">
        <v>4332</v>
      </c>
      <c r="E322" s="1" t="s">
        <v>21</v>
      </c>
      <c r="F322" s="1" t="s">
        <v>4348</v>
      </c>
      <c r="G322" s="6">
        <f>COUNTIF(F:F,Table2[[#This Row],[Form '#]])</f>
        <v>1</v>
      </c>
      <c r="H322" s="1" t="s">
        <v>1552</v>
      </c>
      <c r="I322" s="1" t="s">
        <v>28</v>
      </c>
      <c r="J322" s="1" t="s">
        <v>69</v>
      </c>
      <c r="K322" s="1" t="s">
        <v>3898</v>
      </c>
      <c r="L322" s="1"/>
      <c r="M322" s="6" t="str">
        <f>IF(Table2[[#This Row],[Corrected Form '#
 (If Duplicated)]]="",Table2[[#This Row],[Form '#]],Table2[[#This Row],[Corrected Form '#
 (If Duplicated)]])</f>
        <v>7818-22373</v>
      </c>
      <c r="N322" s="1" t="s">
        <v>49</v>
      </c>
      <c r="O322" s="6" t="str">
        <f>IF(Table2[[#This Row],[POG CONFIRMATION RECEIPT OF ORDER
(DATE &amp; TIME)]]="","No Confirmation","Received Confirmation")</f>
        <v>Received Confirmation</v>
      </c>
      <c r="P322" s="6">
        <f ca="1">TODAY()-Table2[[#This Row],[DATE SENT TO POG]]</f>
        <v>332</v>
      </c>
      <c r="Q322" s="6" t="s">
        <v>5803</v>
      </c>
      <c r="R3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2" s="2" t="str">
        <f>_xlfn.XLOOKUP(Table2[[#This Row],[Adjusted Form '#]],'[2]IN PROGRESS'!$D:$D,'[2]IN PROGRESS'!$M:$M,"Not Found")</f>
        <v>Not Found</v>
      </c>
      <c r="U322" s="2" t="str">
        <f>_xlfn.XLOOKUP(Table2[[#This Row],[Adjusted Form '#]],[1]COMPLETED!$D:$D,[2]COMPLETED!$M:$M,"Not Found")</f>
        <v>Not Found</v>
      </c>
      <c r="V322" s="17" t="str">
        <f>_xlfn.XLOOKUP(Table2[[#This Row],[Adjusted Form '#]],[2]COMPLETED!$D:$D,[2]COMPLETED!$O:$O,"Not Found")</f>
        <v>Not Found</v>
      </c>
      <c r="W322" s="2" t="str">
        <f>_xlfn.XLOOKUP(Table2[[#This Row],[Adjusted Form '#]],[2]BILLED!$D:$D,[2]BILLED!$M:$M,"Not Found")</f>
        <v>1Z5063E0YW40854981</v>
      </c>
      <c r="X322" s="17" t="e">
        <f>_xlfn.XLOOKUP(Table2[[#This Row],[Adjusted Form '#]],[2]BILLED!$D:$D,[1]BILLED!$O:$O,"Not Found")</f>
        <v>#REF!</v>
      </c>
      <c r="Y322" s="17" t="e">
        <f>_xlfn.XLOOKUP(Table2[[#This Row],[Adjusted Form '#]],'[2]REJECTED ORDERS'!$D:$D,'[2]REJECTED ORDERS'!$E:$E)</f>
        <v>#N/A</v>
      </c>
      <c r="Z322" s="1"/>
      <c r="AA322" s="1"/>
      <c r="AB322" s="8"/>
      <c r="AC322" s="8"/>
      <c r="AD322" s="8"/>
      <c r="AE322" s="8"/>
      <c r="AF322" s="8"/>
      <c r="AG322" s="8"/>
      <c r="AH322" s="8"/>
      <c r="AI322" s="8"/>
      <c r="AJ322" s="8"/>
    </row>
    <row r="323" spans="1:36" ht="15" customHeight="1" x14ac:dyDescent="0.35">
      <c r="A323" s="4" t="s">
        <v>465</v>
      </c>
      <c r="B323" s="1" t="s">
        <v>1767</v>
      </c>
      <c r="C323" s="11">
        <v>44971</v>
      </c>
      <c r="D323" s="11" t="s">
        <v>4332</v>
      </c>
      <c r="E323" s="1" t="s">
        <v>21</v>
      </c>
      <c r="F323" s="1" t="s">
        <v>4349</v>
      </c>
      <c r="G323" s="6">
        <f>COUNTIF(F:F,Table2[[#This Row],[Form '#]])</f>
        <v>1</v>
      </c>
      <c r="H323" s="1" t="s">
        <v>4350</v>
      </c>
      <c r="I323" s="1" t="s">
        <v>3852</v>
      </c>
      <c r="J323" s="1" t="s">
        <v>80</v>
      </c>
      <c r="K323" s="1" t="s">
        <v>3853</v>
      </c>
      <c r="L323" s="1"/>
      <c r="M323" s="6" t="str">
        <f>IF(Table2[[#This Row],[Corrected Form '#
 (If Duplicated)]]="",Table2[[#This Row],[Form '#]],Table2[[#This Row],[Corrected Form '#
 (If Duplicated)]])</f>
        <v>7818-21940</v>
      </c>
      <c r="N323" s="1" t="s">
        <v>49</v>
      </c>
      <c r="O323" s="6" t="str">
        <f>IF(Table2[[#This Row],[POG CONFIRMATION RECEIPT OF ORDER
(DATE &amp; TIME)]]="","No Confirmation","Received Confirmation")</f>
        <v>Received Confirmation</v>
      </c>
      <c r="P323" s="6">
        <f ca="1">TODAY()-Table2[[#This Row],[DATE SENT TO POG]]</f>
        <v>332</v>
      </c>
      <c r="Q323" s="6" t="s">
        <v>5803</v>
      </c>
      <c r="R3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3" s="2" t="str">
        <f>_xlfn.XLOOKUP(Table2[[#This Row],[Adjusted Form '#]],'[2]IN PROGRESS'!$D:$D,'[2]IN PROGRESS'!$M:$M,"Not Found")</f>
        <v>Not Found</v>
      </c>
      <c r="U323" s="2" t="str">
        <f>_xlfn.XLOOKUP(Table2[[#This Row],[Adjusted Form '#]],[1]COMPLETED!$D:$D,[2]COMPLETED!$M:$M,"Not Found")</f>
        <v>Not Found</v>
      </c>
      <c r="V323" s="17" t="str">
        <f>_xlfn.XLOOKUP(Table2[[#This Row],[Adjusted Form '#]],[2]COMPLETED!$D:$D,[2]COMPLETED!$O:$O,"Not Found")</f>
        <v>Not Found</v>
      </c>
      <c r="W323" s="2" t="str">
        <f>_xlfn.XLOOKUP(Table2[[#This Row],[Adjusted Form '#]],[2]BILLED!$D:$D,[2]BILLED!$M:$M,"Not Found")</f>
        <v>1Z5063E0YW41545527</v>
      </c>
      <c r="X323" s="17" t="e">
        <f>_xlfn.XLOOKUP(Table2[[#This Row],[Adjusted Form '#]],[2]BILLED!$D:$D,[1]BILLED!$O:$O,"Not Found")</f>
        <v>#REF!</v>
      </c>
      <c r="Y323" s="17" t="e">
        <f>_xlfn.XLOOKUP(Table2[[#This Row],[Adjusted Form '#]],'[2]REJECTED ORDERS'!$D:$D,'[2]REJECTED ORDERS'!$E:$E)</f>
        <v>#N/A</v>
      </c>
      <c r="Z323" s="1"/>
      <c r="AA323" s="1"/>
      <c r="AB323" s="8"/>
      <c r="AC323" s="8"/>
      <c r="AD323" s="8"/>
      <c r="AE323" s="8"/>
      <c r="AF323" s="8"/>
      <c r="AG323" s="8"/>
      <c r="AH323" s="8"/>
      <c r="AI323" s="8"/>
      <c r="AJ323" s="8"/>
    </row>
    <row r="324" spans="1:36" ht="15" customHeight="1" x14ac:dyDescent="0.35">
      <c r="A324" s="4" t="s">
        <v>467</v>
      </c>
      <c r="B324" s="1" t="s">
        <v>1767</v>
      </c>
      <c r="C324" s="11">
        <v>44971</v>
      </c>
      <c r="D324" s="11" t="s">
        <v>4332</v>
      </c>
      <c r="E324" s="1" t="s">
        <v>21</v>
      </c>
      <c r="F324" s="1" t="s">
        <v>4351</v>
      </c>
      <c r="G324" s="6">
        <f>COUNTIF(F:F,Table2[[#This Row],[Form '#]])</f>
        <v>1</v>
      </c>
      <c r="H324" s="1" t="s">
        <v>4352</v>
      </c>
      <c r="I324" s="1" t="s">
        <v>3852</v>
      </c>
      <c r="J324" s="1" t="s">
        <v>3891</v>
      </c>
      <c r="K324" s="1" t="s">
        <v>3853</v>
      </c>
      <c r="L324" s="1"/>
      <c r="M324" s="6" t="str">
        <f>IF(Table2[[#This Row],[Corrected Form '#
 (If Duplicated)]]="",Table2[[#This Row],[Form '#]],Table2[[#This Row],[Corrected Form '#
 (If Duplicated)]])</f>
        <v>7818-14647</v>
      </c>
      <c r="N324" s="1" t="s">
        <v>49</v>
      </c>
      <c r="O324" s="6" t="str">
        <f>IF(Table2[[#This Row],[POG CONFIRMATION RECEIPT OF ORDER
(DATE &amp; TIME)]]="","No Confirmation","Received Confirmation")</f>
        <v>Received Confirmation</v>
      </c>
      <c r="P324" s="6">
        <f ca="1">TODAY()-Table2[[#This Row],[DATE SENT TO POG]]</f>
        <v>332</v>
      </c>
      <c r="Q324" s="6" t="s">
        <v>5803</v>
      </c>
      <c r="R3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4" s="2" t="str">
        <f>_xlfn.XLOOKUP(Table2[[#This Row],[Adjusted Form '#]],'[2]IN PROGRESS'!$D:$D,'[2]IN PROGRESS'!$M:$M,"Not Found")</f>
        <v>Not Found</v>
      </c>
      <c r="U324" s="2" t="str">
        <f>_xlfn.XLOOKUP(Table2[[#This Row],[Adjusted Form '#]],[1]COMPLETED!$D:$D,[2]COMPLETED!$M:$M,"Not Found")</f>
        <v>Not Found</v>
      </c>
      <c r="V324" s="17" t="str">
        <f>_xlfn.XLOOKUP(Table2[[#This Row],[Adjusted Form '#]],[2]COMPLETED!$D:$D,[2]COMPLETED!$O:$O,"Not Found")</f>
        <v>Not Found</v>
      </c>
      <c r="W324" s="2" t="str">
        <f>_xlfn.XLOOKUP(Table2[[#This Row],[Adjusted Form '#]],[2]BILLED!$D:$D,[2]BILLED!$M:$M,"Not Found")</f>
        <v>1Z5063E0YW41978471</v>
      </c>
      <c r="X324" s="17" t="e">
        <f>_xlfn.XLOOKUP(Table2[[#This Row],[Adjusted Form '#]],[2]BILLED!$D:$D,[1]BILLED!$O:$O,"Not Found")</f>
        <v>#REF!</v>
      </c>
      <c r="Y324" s="17" t="e">
        <f>_xlfn.XLOOKUP(Table2[[#This Row],[Adjusted Form '#]],'[2]REJECTED ORDERS'!$D:$D,'[2]REJECTED ORDERS'!$E:$E)</f>
        <v>#N/A</v>
      </c>
      <c r="Z324" s="1"/>
      <c r="AA324" s="1"/>
      <c r="AB324" s="8"/>
      <c r="AC324" s="8"/>
      <c r="AD324" s="8"/>
      <c r="AE324" s="8"/>
      <c r="AF324" s="8"/>
      <c r="AG324" s="8"/>
      <c r="AH324" s="8"/>
      <c r="AI324" s="8"/>
      <c r="AJ324" s="8"/>
    </row>
    <row r="325" spans="1:36" ht="15" customHeight="1" x14ac:dyDescent="0.35">
      <c r="A325" s="4" t="s">
        <v>468</v>
      </c>
      <c r="B325" s="1" t="s">
        <v>2431</v>
      </c>
      <c r="C325" s="11">
        <v>44971</v>
      </c>
      <c r="D325" s="11" t="s">
        <v>4332</v>
      </c>
      <c r="E325" s="1" t="s">
        <v>21</v>
      </c>
      <c r="F325" s="1" t="s">
        <v>4133</v>
      </c>
      <c r="G325" s="6">
        <f>COUNTIF(F:F,Table2[[#This Row],[Form '#]])</f>
        <v>2</v>
      </c>
      <c r="H325" s="1" t="s">
        <v>3621</v>
      </c>
      <c r="I325" s="1" t="s">
        <v>3891</v>
      </c>
      <c r="J325" s="1" t="s">
        <v>3891</v>
      </c>
      <c r="K325" s="1" t="s">
        <v>3898</v>
      </c>
      <c r="L325" s="1"/>
      <c r="M325" s="6" t="str">
        <f>IF(Table2[[#This Row],[Corrected Form '#
 (If Duplicated)]]="",Table2[[#This Row],[Form '#]],Table2[[#This Row],[Corrected Form '#
 (If Duplicated)]])</f>
        <v>7818-23130</v>
      </c>
      <c r="N325" s="1" t="s">
        <v>49</v>
      </c>
      <c r="O325" s="6" t="str">
        <f>IF(Table2[[#This Row],[POG CONFIRMATION RECEIPT OF ORDER
(DATE &amp; TIME)]]="","No Confirmation","Received Confirmation")</f>
        <v>Received Confirmation</v>
      </c>
      <c r="P325" s="6">
        <f ca="1">TODAY()-Table2[[#This Row],[DATE SENT TO POG]]</f>
        <v>332</v>
      </c>
      <c r="Q325" s="6" t="s">
        <v>5803</v>
      </c>
      <c r="R3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5" s="2" t="str">
        <f>_xlfn.XLOOKUP(Table2[[#This Row],[Adjusted Form '#]],'[2]IN PROGRESS'!$D:$D,'[2]IN PROGRESS'!$M:$M,"Not Found")</f>
        <v>Not Found</v>
      </c>
      <c r="U325" s="2" t="str">
        <f>_xlfn.XLOOKUP(Table2[[#This Row],[Adjusted Form '#]],[1]COMPLETED!$D:$D,[2]COMPLETED!$M:$M,"Not Found")</f>
        <v>Not Found</v>
      </c>
      <c r="V325" s="17" t="str">
        <f>_xlfn.XLOOKUP(Table2[[#This Row],[Adjusted Form '#]],[2]COMPLETED!$D:$D,[2]COMPLETED!$O:$O,"Not Found")</f>
        <v>Not Found</v>
      </c>
      <c r="W325" s="2" t="str">
        <f>_xlfn.XLOOKUP(Table2[[#This Row],[Adjusted Form '#]],[2]BILLED!$D:$D,[2]BILLED!$M:$M,"Not Found")</f>
        <v>1Z5063E0YW42361107</v>
      </c>
      <c r="X325" s="17" t="e">
        <f>_xlfn.XLOOKUP(Table2[[#This Row],[Adjusted Form '#]],[2]BILLED!$D:$D,[1]BILLED!$O:$O,"Not Found")</f>
        <v>#REF!</v>
      </c>
      <c r="Y325" s="17" t="e">
        <f>_xlfn.XLOOKUP(Table2[[#This Row],[Adjusted Form '#]],'[2]REJECTED ORDERS'!$D:$D,'[2]REJECTED ORDERS'!$E:$E)</f>
        <v>#N/A</v>
      </c>
      <c r="Z325" s="1"/>
      <c r="AA325" s="1"/>
      <c r="AB325" s="8"/>
      <c r="AC325" s="8"/>
      <c r="AD325" s="8"/>
      <c r="AE325" s="8"/>
      <c r="AF325" s="8"/>
      <c r="AG325" s="8"/>
      <c r="AH325" s="8"/>
      <c r="AI325" s="8"/>
      <c r="AJ325" s="8"/>
    </row>
    <row r="326" spans="1:36" ht="15" customHeight="1" x14ac:dyDescent="0.35">
      <c r="A326" s="4" t="s">
        <v>469</v>
      </c>
      <c r="B326" s="1" t="s">
        <v>1319</v>
      </c>
      <c r="C326" s="11">
        <v>44971</v>
      </c>
      <c r="D326" s="11" t="s">
        <v>4353</v>
      </c>
      <c r="E326" s="1" t="s">
        <v>191</v>
      </c>
      <c r="F326" s="1" t="s">
        <v>4354</v>
      </c>
      <c r="G326" s="6">
        <f>COUNTIF(F:F,Table2[[#This Row],[Form '#]])</f>
        <v>1</v>
      </c>
      <c r="H326" s="1" t="s">
        <v>4356</v>
      </c>
      <c r="I326" s="1" t="s">
        <v>3864</v>
      </c>
      <c r="J326" s="1" t="s">
        <v>4355</v>
      </c>
      <c r="K326" s="1" t="s">
        <v>3879</v>
      </c>
      <c r="L326" s="1"/>
      <c r="M326" s="6" t="str">
        <f>IF(Table2[[#This Row],[Corrected Form '#
 (If Duplicated)]]="",Table2[[#This Row],[Form '#]],Table2[[#This Row],[Corrected Form '#
 (If Duplicated)]])</f>
        <v>7812-03177</v>
      </c>
      <c r="N326" s="1" t="s">
        <v>49</v>
      </c>
      <c r="O326" s="6" t="str">
        <f>IF(Table2[[#This Row],[POG CONFIRMATION RECEIPT OF ORDER
(DATE &amp; TIME)]]="","No Confirmation","Received Confirmation")</f>
        <v>Received Confirmation</v>
      </c>
      <c r="P326" s="6">
        <f ca="1">TODAY()-Table2[[#This Row],[DATE SENT TO POG]]</f>
        <v>332</v>
      </c>
      <c r="Q326" s="6" t="s">
        <v>5803</v>
      </c>
      <c r="R3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6" s="2" t="str">
        <f>_xlfn.XLOOKUP(Table2[[#This Row],[Adjusted Form '#]],'[2]IN PROGRESS'!$D:$D,'[2]IN PROGRESS'!$M:$M,"Not Found")</f>
        <v>Not Found</v>
      </c>
      <c r="U326" s="2" t="str">
        <f>_xlfn.XLOOKUP(Table2[[#This Row],[Adjusted Form '#]],[1]COMPLETED!$D:$D,[2]COMPLETED!$M:$M,"Not Found")</f>
        <v>Not Found</v>
      </c>
      <c r="V326" s="17" t="str">
        <f>_xlfn.XLOOKUP(Table2[[#This Row],[Adjusted Form '#]],[2]COMPLETED!$D:$D,[2]COMPLETED!$O:$O,"Not Found")</f>
        <v>Not Found</v>
      </c>
      <c r="W326" s="2" t="str">
        <f>_xlfn.XLOOKUP(Table2[[#This Row],[Adjusted Form '#]],[2]BILLED!$D:$D,[2]BILLED!$M:$M,"Not Found")</f>
        <v>1Z5063E0YW42789487</v>
      </c>
      <c r="X326" s="17" t="e">
        <f>_xlfn.XLOOKUP(Table2[[#This Row],[Adjusted Form '#]],[2]BILLED!$D:$D,[1]BILLED!$O:$O,"Not Found")</f>
        <v>#REF!</v>
      </c>
      <c r="Y326" s="17" t="e">
        <f>_xlfn.XLOOKUP(Table2[[#This Row],[Adjusted Form '#]],'[2]REJECTED ORDERS'!$D:$D,'[2]REJECTED ORDERS'!$E:$E)</f>
        <v>#N/A</v>
      </c>
      <c r="Z326" s="1"/>
      <c r="AA326" s="1"/>
      <c r="AB326" s="8"/>
      <c r="AC326" s="8"/>
      <c r="AD326" s="8"/>
      <c r="AE326" s="8"/>
      <c r="AF326" s="8"/>
      <c r="AG326" s="8"/>
      <c r="AH326" s="8"/>
      <c r="AI326" s="8"/>
      <c r="AJ326" s="8"/>
    </row>
    <row r="327" spans="1:36" ht="15" customHeight="1" x14ac:dyDescent="0.35">
      <c r="A327" s="4" t="s">
        <v>471</v>
      </c>
      <c r="B327" s="1" t="s">
        <v>1319</v>
      </c>
      <c r="C327" s="11">
        <v>44971</v>
      </c>
      <c r="D327" s="11" t="s">
        <v>4353</v>
      </c>
      <c r="E327" s="1" t="s">
        <v>191</v>
      </c>
      <c r="F327" s="1" t="s">
        <v>3729</v>
      </c>
      <c r="G327" s="6">
        <f>COUNTIF(F:F,Table2[[#This Row],[Form '#]])</f>
        <v>1</v>
      </c>
      <c r="H327" s="1" t="s">
        <v>3730</v>
      </c>
      <c r="I327" s="1" t="s">
        <v>758</v>
      </c>
      <c r="J327" s="1" t="s">
        <v>78</v>
      </c>
      <c r="K327" s="1" t="s">
        <v>3853</v>
      </c>
      <c r="L327" s="1"/>
      <c r="M327" s="6" t="str">
        <f>IF(Table2[[#This Row],[Corrected Form '#
 (If Duplicated)]]="",Table2[[#This Row],[Form '#]],Table2[[#This Row],[Corrected Form '#
 (If Duplicated)]])</f>
        <v>7812-02920</v>
      </c>
      <c r="N327" s="1" t="s">
        <v>49</v>
      </c>
      <c r="O327" s="6" t="str">
        <f>IF(Table2[[#This Row],[POG CONFIRMATION RECEIPT OF ORDER
(DATE &amp; TIME)]]="","No Confirmation","Received Confirmation")</f>
        <v>Received Confirmation</v>
      </c>
      <c r="P327" s="6">
        <f ca="1">TODAY()-Table2[[#This Row],[DATE SENT TO POG]]</f>
        <v>332</v>
      </c>
      <c r="Q327" s="6" t="s">
        <v>5803</v>
      </c>
      <c r="R3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7" s="2" t="str">
        <f>_xlfn.XLOOKUP(Table2[[#This Row],[Adjusted Form '#]],'[2]IN PROGRESS'!$D:$D,'[2]IN PROGRESS'!$M:$M,"Not Found")</f>
        <v>Not Found</v>
      </c>
      <c r="U327" s="2" t="str">
        <f>_xlfn.XLOOKUP(Table2[[#This Row],[Adjusted Form '#]],[1]COMPLETED!$D:$D,[2]COMPLETED!$M:$M,"Not Found")</f>
        <v>Not Found</v>
      </c>
      <c r="V327" s="17" t="str">
        <f>_xlfn.XLOOKUP(Table2[[#This Row],[Adjusted Form '#]],[2]COMPLETED!$D:$D,[2]COMPLETED!$O:$O,"Not Found")</f>
        <v>Not Found</v>
      </c>
      <c r="W327" s="2" t="str">
        <f>_xlfn.XLOOKUP(Table2[[#This Row],[Adjusted Form '#]],[2]BILLED!$D:$D,[2]BILLED!$M:$M,"Not Found")</f>
        <v>1Z5063E0YW42749645</v>
      </c>
      <c r="X327" s="17" t="e">
        <f>_xlfn.XLOOKUP(Table2[[#This Row],[Adjusted Form '#]],[2]BILLED!$D:$D,[1]BILLED!$O:$O,"Not Found")</f>
        <v>#REF!</v>
      </c>
      <c r="Y327" s="17" t="str">
        <f>_xlfn.XLOOKUP(Table2[[#This Row],[Adjusted Form '#]],'[2]REJECTED ORDERS'!$D:$D,'[2]REJECTED ORDERS'!$E:$E)</f>
        <v>FORM NUMBER ALREADY USED</v>
      </c>
      <c r="Z327" s="1"/>
      <c r="AA327" s="1"/>
      <c r="AB327" s="8"/>
      <c r="AC327" s="8"/>
      <c r="AD327" s="8"/>
      <c r="AE327" s="8"/>
      <c r="AF327" s="8"/>
      <c r="AG327" s="8"/>
      <c r="AH327" s="8"/>
      <c r="AI327" s="8"/>
      <c r="AJ327" s="8"/>
    </row>
    <row r="328" spans="1:36" ht="15" customHeight="1" x14ac:dyDescent="0.35">
      <c r="A328" s="4" t="s">
        <v>472</v>
      </c>
      <c r="B328" s="1" t="s">
        <v>3462</v>
      </c>
      <c r="C328" s="11">
        <v>44971</v>
      </c>
      <c r="D328" s="11" t="s">
        <v>4353</v>
      </c>
      <c r="E328" s="1" t="s">
        <v>73</v>
      </c>
      <c r="F328" s="1" t="s">
        <v>4357</v>
      </c>
      <c r="G328" s="6">
        <f>COUNTIF(F:F,Table2[[#This Row],[Form '#]])</f>
        <v>1</v>
      </c>
      <c r="H328" s="1" t="s">
        <v>4358</v>
      </c>
      <c r="I328" s="1" t="s">
        <v>177</v>
      </c>
      <c r="J328" s="1" t="s">
        <v>3891</v>
      </c>
      <c r="K328" s="1" t="s">
        <v>3853</v>
      </c>
      <c r="L328" s="1"/>
      <c r="M328" s="6" t="str">
        <f>IF(Table2[[#This Row],[Corrected Form '#
 (If Duplicated)]]="",Table2[[#This Row],[Form '#]],Table2[[#This Row],[Corrected Form '#
 (If Duplicated)]])</f>
        <v>7823-02669</v>
      </c>
      <c r="N328" s="1" t="s">
        <v>49</v>
      </c>
      <c r="O328" s="6" t="str">
        <f>IF(Table2[[#This Row],[POG CONFIRMATION RECEIPT OF ORDER
(DATE &amp; TIME)]]="","No Confirmation","Received Confirmation")</f>
        <v>Received Confirmation</v>
      </c>
      <c r="P328" s="6">
        <f ca="1">TODAY()-Table2[[#This Row],[DATE SENT TO POG]]</f>
        <v>332</v>
      </c>
      <c r="Q328" s="6" t="s">
        <v>5803</v>
      </c>
      <c r="R3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2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28" s="2" t="str">
        <f>_xlfn.XLOOKUP(Table2[[#This Row],[Adjusted Form '#]],'[2]IN PROGRESS'!$D:$D,'[2]IN PROGRESS'!$M:$M,"Not Found")</f>
        <v>Not Found</v>
      </c>
      <c r="U328" s="2" t="str">
        <f>_xlfn.XLOOKUP(Table2[[#This Row],[Adjusted Form '#]],[1]COMPLETED!$D:$D,[2]COMPLETED!$M:$M,"Not Found")</f>
        <v>Not Found</v>
      </c>
      <c r="V328" s="17">
        <f>_xlfn.XLOOKUP(Table2[[#This Row],[Adjusted Form '#]],[2]COMPLETED!$D:$D,[2]COMPLETED!$O:$O,"Not Found")</f>
        <v>0</v>
      </c>
      <c r="W328" s="2" t="str">
        <f>_xlfn.XLOOKUP(Table2[[#This Row],[Adjusted Form '#]],[2]BILLED!$D:$D,[2]BILLED!$M:$M,"Not Found")</f>
        <v>Not Found</v>
      </c>
      <c r="X328" s="17" t="str">
        <f>_xlfn.XLOOKUP(Table2[[#This Row],[Adjusted Form '#]],[2]BILLED!$D:$D,[1]BILLED!$O:$O,"Not Found")</f>
        <v>Not Found</v>
      </c>
      <c r="Y328" s="17" t="e">
        <f>_xlfn.XLOOKUP(Table2[[#This Row],[Adjusted Form '#]],'[2]REJECTED ORDERS'!$D:$D,'[2]REJECTED ORDERS'!$E:$E)</f>
        <v>#N/A</v>
      </c>
      <c r="Z328" s="1"/>
      <c r="AA328" s="1"/>
      <c r="AB328" s="8"/>
      <c r="AC328" s="8"/>
      <c r="AD328" s="8"/>
      <c r="AE328" s="8"/>
      <c r="AF328" s="8"/>
      <c r="AG328" s="8"/>
      <c r="AH328" s="8"/>
      <c r="AI328" s="8"/>
      <c r="AJ328" s="8"/>
    </row>
    <row r="329" spans="1:36" ht="15" customHeight="1" x14ac:dyDescent="0.35">
      <c r="A329" s="4" t="s">
        <v>473</v>
      </c>
      <c r="B329" s="1" t="s">
        <v>3462</v>
      </c>
      <c r="C329" s="11">
        <v>44971</v>
      </c>
      <c r="D329" s="11" t="s">
        <v>4353</v>
      </c>
      <c r="E329" s="1" t="s">
        <v>73</v>
      </c>
      <c r="F329" s="1" t="s">
        <v>4359</v>
      </c>
      <c r="G329" s="6">
        <f>COUNTIF(F:F,Table2[[#This Row],[Form '#]])</f>
        <v>1</v>
      </c>
      <c r="H329" s="1" t="s">
        <v>2298</v>
      </c>
      <c r="I329" s="1" t="s">
        <v>3852</v>
      </c>
      <c r="J329" s="1" t="s">
        <v>75</v>
      </c>
      <c r="K329" s="1" t="s">
        <v>4011</v>
      </c>
      <c r="L329" s="1"/>
      <c r="M329" s="6" t="str">
        <f>IF(Table2[[#This Row],[Corrected Form '#
 (If Duplicated)]]="",Table2[[#This Row],[Form '#]],Table2[[#This Row],[Corrected Form '#
 (If Duplicated)]])</f>
        <v>7823-02667</v>
      </c>
      <c r="N329" s="1" t="s">
        <v>49</v>
      </c>
      <c r="O329" s="6" t="str">
        <f>IF(Table2[[#This Row],[POG CONFIRMATION RECEIPT OF ORDER
(DATE &amp; TIME)]]="","No Confirmation","Received Confirmation")</f>
        <v>Received Confirmation</v>
      </c>
      <c r="P329" s="6">
        <f ca="1">TODAY()-Table2[[#This Row],[DATE SENT TO POG]]</f>
        <v>332</v>
      </c>
      <c r="Q329" s="6" t="s">
        <v>5803</v>
      </c>
      <c r="R3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29" s="2" t="str">
        <f>_xlfn.XLOOKUP(Table2[[#This Row],[Adjusted Form '#]],'[2]IN PROGRESS'!$D:$D,'[2]IN PROGRESS'!$M:$M,"Not Found")</f>
        <v>Not Found</v>
      </c>
      <c r="U329" s="2" t="str">
        <f>_xlfn.XLOOKUP(Table2[[#This Row],[Adjusted Form '#]],[1]COMPLETED!$D:$D,[2]COMPLETED!$M:$M,"Not Found")</f>
        <v>Not Found</v>
      </c>
      <c r="V329" s="17" t="str">
        <f>_xlfn.XLOOKUP(Table2[[#This Row],[Adjusted Form '#]],[2]COMPLETED!$D:$D,[2]COMPLETED!$O:$O,"Not Found")</f>
        <v>Not Found</v>
      </c>
      <c r="W329" s="2" t="str">
        <f>_xlfn.XLOOKUP(Table2[[#This Row],[Adjusted Form '#]],[2]BILLED!$D:$D,[2]BILLED!$M:$M,"Not Found")</f>
        <v>1Z5063E0YW40494889</v>
      </c>
      <c r="X329" s="17" t="e">
        <f>_xlfn.XLOOKUP(Table2[[#This Row],[Adjusted Form '#]],[2]BILLED!$D:$D,[1]BILLED!$O:$O,"Not Found")</f>
        <v>#REF!</v>
      </c>
      <c r="Y329" s="17" t="e">
        <f>_xlfn.XLOOKUP(Table2[[#This Row],[Adjusted Form '#]],'[2]REJECTED ORDERS'!$D:$D,'[2]REJECTED ORDERS'!$E:$E)</f>
        <v>#N/A</v>
      </c>
      <c r="Z329" s="1"/>
      <c r="AA329" s="1"/>
      <c r="AB329" s="8"/>
      <c r="AC329" s="8"/>
      <c r="AD329" s="8"/>
      <c r="AE329" s="8"/>
      <c r="AF329" s="8"/>
      <c r="AG329" s="8"/>
      <c r="AH329" s="8"/>
      <c r="AI329" s="8"/>
      <c r="AJ329" s="8"/>
    </row>
    <row r="330" spans="1:36" ht="15" customHeight="1" x14ac:dyDescent="0.35">
      <c r="A330" s="4" t="s">
        <v>475</v>
      </c>
      <c r="B330" s="1" t="s">
        <v>1224</v>
      </c>
      <c r="C330" s="11">
        <v>44971</v>
      </c>
      <c r="D330" s="11" t="s">
        <v>4353</v>
      </c>
      <c r="E330" s="1" t="s">
        <v>21</v>
      </c>
      <c r="F330" s="1" t="s">
        <v>4360</v>
      </c>
      <c r="G330" s="6">
        <f>COUNTIF(F:F,Table2[[#This Row],[Form '#]])</f>
        <v>1</v>
      </c>
      <c r="H330" s="1" t="s">
        <v>3562</v>
      </c>
      <c r="I330" s="1" t="s">
        <v>3852</v>
      </c>
      <c r="J330" s="1" t="s">
        <v>80</v>
      </c>
      <c r="K330" s="1" t="s">
        <v>3853</v>
      </c>
      <c r="L330" s="1"/>
      <c r="M330" s="6" t="str">
        <f>IF(Table2[[#This Row],[Corrected Form '#
 (If Duplicated)]]="",Table2[[#This Row],[Form '#]],Table2[[#This Row],[Corrected Form '#
 (If Duplicated)]])</f>
        <v>7818-23644</v>
      </c>
      <c r="N330" s="1" t="s">
        <v>49</v>
      </c>
      <c r="O330" s="6" t="str">
        <f>IF(Table2[[#This Row],[POG CONFIRMATION RECEIPT OF ORDER
(DATE &amp; TIME)]]="","No Confirmation","Received Confirmation")</f>
        <v>Received Confirmation</v>
      </c>
      <c r="P330" s="6">
        <f ca="1">TODAY()-Table2[[#This Row],[DATE SENT TO POG]]</f>
        <v>332</v>
      </c>
      <c r="Q330" s="6" t="s">
        <v>5803</v>
      </c>
      <c r="R3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0" s="2" t="str">
        <f>_xlfn.XLOOKUP(Table2[[#This Row],[Adjusted Form '#]],'[2]IN PROGRESS'!$D:$D,'[2]IN PROGRESS'!$M:$M,"Not Found")</f>
        <v>Not Found</v>
      </c>
      <c r="U330" s="2" t="str">
        <f>_xlfn.XLOOKUP(Table2[[#This Row],[Adjusted Form '#]],[1]COMPLETED!$D:$D,[2]COMPLETED!$M:$M,"Not Found")</f>
        <v>Not Found</v>
      </c>
      <c r="V330" s="17" t="str">
        <f>_xlfn.XLOOKUP(Table2[[#This Row],[Adjusted Form '#]],[2]COMPLETED!$D:$D,[2]COMPLETED!$O:$O,"Not Found")</f>
        <v>Not Found</v>
      </c>
      <c r="W330" s="2" t="str">
        <f>_xlfn.XLOOKUP(Table2[[#This Row],[Adjusted Form '#]],[2]BILLED!$D:$D,[2]BILLED!$M:$M,"Not Found")</f>
        <v>1Z5063E0YW41098403</v>
      </c>
      <c r="X330" s="17" t="e">
        <f>_xlfn.XLOOKUP(Table2[[#This Row],[Adjusted Form '#]],[2]BILLED!$D:$D,[1]BILLED!$O:$O,"Not Found")</f>
        <v>#REF!</v>
      </c>
      <c r="Y330" s="17" t="e">
        <f>_xlfn.XLOOKUP(Table2[[#This Row],[Adjusted Form '#]],'[2]REJECTED ORDERS'!$D:$D,'[2]REJECTED ORDERS'!$E:$E)</f>
        <v>#N/A</v>
      </c>
      <c r="Z330" s="1"/>
      <c r="AA330" s="1"/>
      <c r="AB330" s="8"/>
      <c r="AC330" s="8"/>
      <c r="AD330" s="8"/>
      <c r="AE330" s="8"/>
      <c r="AF330" s="8"/>
      <c r="AG330" s="8"/>
      <c r="AH330" s="8"/>
      <c r="AI330" s="8"/>
      <c r="AJ330" s="8"/>
    </row>
    <row r="331" spans="1:36" ht="15" customHeight="1" x14ac:dyDescent="0.35">
      <c r="A331" s="4" t="s">
        <v>476</v>
      </c>
      <c r="B331" s="1" t="s">
        <v>970</v>
      </c>
      <c r="C331" s="11">
        <v>44971</v>
      </c>
      <c r="D331" s="11" t="s">
        <v>4361</v>
      </c>
      <c r="E331" s="1" t="s">
        <v>73</v>
      </c>
      <c r="F331" s="1" t="s">
        <v>4362</v>
      </c>
      <c r="G331" s="6">
        <f>COUNTIF(F:F,Table2[[#This Row],[Form '#]])</f>
        <v>1</v>
      </c>
      <c r="H331" s="1" t="s">
        <v>4363</v>
      </c>
      <c r="I331" s="1" t="s">
        <v>3852</v>
      </c>
      <c r="J331" s="1" t="s">
        <v>75</v>
      </c>
      <c r="K331" s="1" t="s">
        <v>4011</v>
      </c>
      <c r="L331" s="1"/>
      <c r="M331" s="6" t="str">
        <f>IF(Table2[[#This Row],[Corrected Form '#
 (If Duplicated)]]="",Table2[[#This Row],[Form '#]],Table2[[#This Row],[Corrected Form '#
 (If Duplicated)]])</f>
        <v>7823-02124</v>
      </c>
      <c r="N331" s="1" t="s">
        <v>49</v>
      </c>
      <c r="O331" s="6" t="str">
        <f>IF(Table2[[#This Row],[POG CONFIRMATION RECEIPT OF ORDER
(DATE &amp; TIME)]]="","No Confirmation","Received Confirmation")</f>
        <v>Received Confirmation</v>
      </c>
      <c r="P331" s="6">
        <f ca="1">TODAY()-Table2[[#This Row],[DATE SENT TO POG]]</f>
        <v>332</v>
      </c>
      <c r="Q331" s="6" t="s">
        <v>5803</v>
      </c>
      <c r="R3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1" s="2" t="str">
        <f>_xlfn.XLOOKUP(Table2[[#This Row],[Adjusted Form '#]],'[2]IN PROGRESS'!$D:$D,'[2]IN PROGRESS'!$M:$M,"Not Found")</f>
        <v>Not Found</v>
      </c>
      <c r="U331" s="2" t="str">
        <f>_xlfn.XLOOKUP(Table2[[#This Row],[Adjusted Form '#]],[1]COMPLETED!$D:$D,[2]COMPLETED!$M:$M,"Not Found")</f>
        <v>Not Found</v>
      </c>
      <c r="V331" s="17" t="str">
        <f>_xlfn.XLOOKUP(Table2[[#This Row],[Adjusted Form '#]],[2]COMPLETED!$D:$D,[2]COMPLETED!$O:$O,"Not Found")</f>
        <v>Not Found</v>
      </c>
      <c r="W331" s="2" t="str">
        <f>_xlfn.XLOOKUP(Table2[[#This Row],[Adjusted Form '#]],[2]BILLED!$D:$D,[2]BILLED!$M:$M,"Not Found")</f>
        <v>1Z5063E0YW42912646</v>
      </c>
      <c r="X331" s="17" t="e">
        <f>_xlfn.XLOOKUP(Table2[[#This Row],[Adjusted Form '#]],[2]BILLED!$D:$D,[1]BILLED!$O:$O,"Not Found")</f>
        <v>#REF!</v>
      </c>
      <c r="Y331" s="17" t="e">
        <f>_xlfn.XLOOKUP(Table2[[#This Row],[Adjusted Form '#]],'[2]REJECTED ORDERS'!$D:$D,'[2]REJECTED ORDERS'!$E:$E)</f>
        <v>#N/A</v>
      </c>
      <c r="Z331" s="1"/>
      <c r="AA331" s="1"/>
      <c r="AB331" s="8"/>
      <c r="AC331" s="8"/>
      <c r="AD331" s="8"/>
      <c r="AE331" s="8"/>
      <c r="AF331" s="8"/>
      <c r="AG331" s="8"/>
      <c r="AH331" s="8"/>
      <c r="AI331" s="8"/>
      <c r="AJ331" s="8"/>
    </row>
    <row r="332" spans="1:36" ht="15" customHeight="1" x14ac:dyDescent="0.35">
      <c r="A332" s="4" t="s">
        <v>477</v>
      </c>
      <c r="B332" s="1" t="s">
        <v>909</v>
      </c>
      <c r="C332" s="11">
        <v>44972</v>
      </c>
      <c r="D332" s="11" t="s">
        <v>4364</v>
      </c>
      <c r="E332" s="1" t="s">
        <v>73</v>
      </c>
      <c r="F332" s="1" t="s">
        <v>4365</v>
      </c>
      <c r="G332" s="6">
        <f>COUNTIF(F:F,Table2[[#This Row],[Form '#]])</f>
        <v>1</v>
      </c>
      <c r="H332" s="1" t="s">
        <v>4366</v>
      </c>
      <c r="I332" s="1" t="s">
        <v>3864</v>
      </c>
      <c r="J332" s="1" t="s">
        <v>3891</v>
      </c>
      <c r="K332" s="1" t="s">
        <v>3891</v>
      </c>
      <c r="L332" s="1"/>
      <c r="M332" s="6" t="str">
        <f>IF(Table2[[#This Row],[Corrected Form '#
 (If Duplicated)]]="",Table2[[#This Row],[Form '#]],Table2[[#This Row],[Corrected Form '#
 (If Duplicated)]])</f>
        <v>7823-03325</v>
      </c>
      <c r="N332" s="1" t="s">
        <v>49</v>
      </c>
      <c r="O332" s="6" t="str">
        <f>IF(Table2[[#This Row],[POG CONFIRMATION RECEIPT OF ORDER
(DATE &amp; TIME)]]="","No Confirmation","Received Confirmation")</f>
        <v>Received Confirmation</v>
      </c>
      <c r="P332" s="6">
        <f ca="1">TODAY()-Table2[[#This Row],[DATE SENT TO POG]]</f>
        <v>331</v>
      </c>
      <c r="Q332" s="6" t="s">
        <v>5803</v>
      </c>
      <c r="R3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2" s="2" t="str">
        <f>_xlfn.XLOOKUP(Table2[[#This Row],[Adjusted Form '#]],'[2]IN PROGRESS'!$D:$D,'[2]IN PROGRESS'!$M:$M,"Not Found")</f>
        <v>Not Found</v>
      </c>
      <c r="U332" s="2" t="str">
        <f>_xlfn.XLOOKUP(Table2[[#This Row],[Adjusted Form '#]],[1]COMPLETED!$D:$D,[2]COMPLETED!$M:$M,"Not Found")</f>
        <v>Not Found</v>
      </c>
      <c r="V332" s="17" t="str">
        <f>_xlfn.XLOOKUP(Table2[[#This Row],[Adjusted Form '#]],[2]COMPLETED!$D:$D,[2]COMPLETED!$O:$O,"Not Found")</f>
        <v>Not Found</v>
      </c>
      <c r="W332" s="2" t="str">
        <f>_xlfn.XLOOKUP(Table2[[#This Row],[Adjusted Form '#]],[2]BILLED!$D:$D,[2]BILLED!$M:$M,"Not Found")</f>
        <v>1Z5063E0YW42845997</v>
      </c>
      <c r="X332" s="17" t="e">
        <f>_xlfn.XLOOKUP(Table2[[#This Row],[Adjusted Form '#]],[2]BILLED!$D:$D,[1]BILLED!$O:$O,"Not Found")</f>
        <v>#REF!</v>
      </c>
      <c r="Y332" s="17" t="e">
        <f>_xlfn.XLOOKUP(Table2[[#This Row],[Adjusted Form '#]],'[2]REJECTED ORDERS'!$D:$D,'[2]REJECTED ORDERS'!$E:$E)</f>
        <v>#N/A</v>
      </c>
      <c r="Z332" s="1"/>
      <c r="AA332" s="1"/>
      <c r="AB332" s="8"/>
      <c r="AC332" s="8"/>
      <c r="AD332" s="8"/>
      <c r="AE332" s="8"/>
      <c r="AF332" s="8"/>
      <c r="AG332" s="8"/>
      <c r="AH332" s="8"/>
      <c r="AI332" s="8"/>
      <c r="AJ332" s="8"/>
    </row>
    <row r="333" spans="1:36" ht="15" customHeight="1" x14ac:dyDescent="0.35">
      <c r="A333" s="4" t="s">
        <v>478</v>
      </c>
      <c r="B333" s="1" t="s">
        <v>1951</v>
      </c>
      <c r="C333" s="11">
        <v>44972</v>
      </c>
      <c r="D333" s="11" t="s">
        <v>4364</v>
      </c>
      <c r="E333" s="1" t="s">
        <v>21</v>
      </c>
      <c r="F333" s="1" t="s">
        <v>4367</v>
      </c>
      <c r="G333" s="6">
        <f>COUNTIF(F:F,Table2[[#This Row],[Form '#]])</f>
        <v>1</v>
      </c>
      <c r="H333" s="1" t="s">
        <v>4368</v>
      </c>
      <c r="I333" s="1" t="s">
        <v>3864</v>
      </c>
      <c r="J333" s="1" t="s">
        <v>78</v>
      </c>
      <c r="K333" s="1" t="s">
        <v>3879</v>
      </c>
      <c r="L333" s="1"/>
      <c r="M333" s="6" t="str">
        <f>IF(Table2[[#This Row],[Corrected Form '#
 (If Duplicated)]]="",Table2[[#This Row],[Form '#]],Table2[[#This Row],[Corrected Form '#
 (If Duplicated)]])</f>
        <v>7818-17122</v>
      </c>
      <c r="N333" s="1" t="s">
        <v>49</v>
      </c>
      <c r="O333" s="6" t="str">
        <f>IF(Table2[[#This Row],[POG CONFIRMATION RECEIPT OF ORDER
(DATE &amp; TIME)]]="","No Confirmation","Received Confirmation")</f>
        <v>Received Confirmation</v>
      </c>
      <c r="P333" s="6">
        <f ca="1">TODAY()-Table2[[#This Row],[DATE SENT TO POG]]</f>
        <v>331</v>
      </c>
      <c r="Q333" s="6" t="s">
        <v>5803</v>
      </c>
      <c r="R3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3" s="2" t="str">
        <f>_xlfn.XLOOKUP(Table2[[#This Row],[Adjusted Form '#]],'[2]IN PROGRESS'!$D:$D,'[2]IN PROGRESS'!$M:$M,"Not Found")</f>
        <v>Not Found</v>
      </c>
      <c r="U333" s="2" t="str">
        <f>_xlfn.XLOOKUP(Table2[[#This Row],[Adjusted Form '#]],[1]COMPLETED!$D:$D,[2]COMPLETED!$M:$M,"Not Found")</f>
        <v>Not Found</v>
      </c>
      <c r="V333" s="17" t="str">
        <f>_xlfn.XLOOKUP(Table2[[#This Row],[Adjusted Form '#]],[2]COMPLETED!$D:$D,[2]COMPLETED!$O:$O,"Not Found")</f>
        <v>Not Found</v>
      </c>
      <c r="W333" s="2" t="str">
        <f>_xlfn.XLOOKUP(Table2[[#This Row],[Adjusted Form '#]],[2]BILLED!$D:$D,[2]BILLED!$M:$M,"Not Found")</f>
        <v>1Z5063E0YW42416316</v>
      </c>
      <c r="X333" s="17" t="e">
        <f>_xlfn.XLOOKUP(Table2[[#This Row],[Adjusted Form '#]],[2]BILLED!$D:$D,[1]BILLED!$O:$O,"Not Found")</f>
        <v>#REF!</v>
      </c>
      <c r="Y333" s="17" t="e">
        <f>_xlfn.XLOOKUP(Table2[[#This Row],[Adjusted Form '#]],'[2]REJECTED ORDERS'!$D:$D,'[2]REJECTED ORDERS'!$E:$E)</f>
        <v>#N/A</v>
      </c>
      <c r="Z333" s="1"/>
      <c r="AA333" s="1"/>
      <c r="AB333" s="8"/>
      <c r="AC333" s="8"/>
      <c r="AD333" s="8"/>
      <c r="AE333" s="8"/>
      <c r="AF333" s="8"/>
      <c r="AG333" s="8"/>
      <c r="AH333" s="8"/>
      <c r="AI333" s="8"/>
      <c r="AJ333" s="8"/>
    </row>
    <row r="334" spans="1:36" ht="15" customHeight="1" x14ac:dyDescent="0.35">
      <c r="A334" s="4" t="s">
        <v>480</v>
      </c>
      <c r="B334" s="1" t="s">
        <v>1951</v>
      </c>
      <c r="C334" s="11">
        <v>44972</v>
      </c>
      <c r="D334" s="11" t="s">
        <v>4364</v>
      </c>
      <c r="E334" s="1" t="s">
        <v>21</v>
      </c>
      <c r="F334" s="1" t="s">
        <v>4369</v>
      </c>
      <c r="G334" s="6">
        <f>COUNTIF(F:F,Table2[[#This Row],[Form '#]])</f>
        <v>1</v>
      </c>
      <c r="H334" s="1" t="s">
        <v>1548</v>
      </c>
      <c r="I334" s="1" t="s">
        <v>3864</v>
      </c>
      <c r="J334" s="1" t="s">
        <v>78</v>
      </c>
      <c r="K334" s="1" t="s">
        <v>3879</v>
      </c>
      <c r="L334" s="1"/>
      <c r="M334" s="6" t="str">
        <f>IF(Table2[[#This Row],[Corrected Form '#
 (If Duplicated)]]="",Table2[[#This Row],[Form '#]],Table2[[#This Row],[Corrected Form '#
 (If Duplicated)]])</f>
        <v>7818-26594</v>
      </c>
      <c r="N334" s="1" t="s">
        <v>49</v>
      </c>
      <c r="O334" s="6" t="str">
        <f>IF(Table2[[#This Row],[POG CONFIRMATION RECEIPT OF ORDER
(DATE &amp; TIME)]]="","No Confirmation","Received Confirmation")</f>
        <v>Received Confirmation</v>
      </c>
      <c r="P334" s="6">
        <f ca="1">TODAY()-Table2[[#This Row],[DATE SENT TO POG]]</f>
        <v>331</v>
      </c>
      <c r="Q334" s="6" t="s">
        <v>5803</v>
      </c>
      <c r="R3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4" s="2" t="str">
        <f>_xlfn.XLOOKUP(Table2[[#This Row],[Adjusted Form '#]],'[2]IN PROGRESS'!$D:$D,'[2]IN PROGRESS'!$M:$M,"Not Found")</f>
        <v>Not Found</v>
      </c>
      <c r="U334" s="2" t="str">
        <f>_xlfn.XLOOKUP(Table2[[#This Row],[Adjusted Form '#]],[1]COMPLETED!$D:$D,[2]COMPLETED!$M:$M,"Not Found")</f>
        <v>Not Found</v>
      </c>
      <c r="V334" s="17" t="str">
        <f>_xlfn.XLOOKUP(Table2[[#This Row],[Adjusted Form '#]],[2]COMPLETED!$D:$D,[2]COMPLETED!$O:$O,"Not Found")</f>
        <v>Not Found</v>
      </c>
      <c r="W334" s="2" t="str">
        <f>_xlfn.XLOOKUP(Table2[[#This Row],[Adjusted Form '#]],[2]BILLED!$D:$D,[2]BILLED!$M:$M,"Not Found")</f>
        <v>1Z5063E0YW41976188</v>
      </c>
      <c r="X334" s="17" t="e">
        <f>_xlfn.XLOOKUP(Table2[[#This Row],[Adjusted Form '#]],[2]BILLED!$D:$D,[1]BILLED!$O:$O,"Not Found")</f>
        <v>#REF!</v>
      </c>
      <c r="Y334" s="17" t="e">
        <f>_xlfn.XLOOKUP(Table2[[#This Row],[Adjusted Form '#]],'[2]REJECTED ORDERS'!$D:$D,'[2]REJECTED ORDERS'!$E:$E)</f>
        <v>#N/A</v>
      </c>
      <c r="Z334" s="1"/>
      <c r="AA334" s="1"/>
      <c r="AB334" s="8"/>
      <c r="AC334" s="8"/>
      <c r="AD334" s="8"/>
      <c r="AE334" s="8"/>
      <c r="AF334" s="8"/>
      <c r="AG334" s="8"/>
      <c r="AH334" s="8"/>
      <c r="AI334" s="8"/>
      <c r="AJ334" s="8"/>
    </row>
    <row r="335" spans="1:36" ht="15" customHeight="1" x14ac:dyDescent="0.35">
      <c r="A335" s="4" t="s">
        <v>481</v>
      </c>
      <c r="B335" s="1" t="s">
        <v>1951</v>
      </c>
      <c r="C335" s="11">
        <v>44972</v>
      </c>
      <c r="D335" s="11" t="s">
        <v>4364</v>
      </c>
      <c r="E335" s="1" t="s">
        <v>21</v>
      </c>
      <c r="F335" s="1" t="s">
        <v>4370</v>
      </c>
      <c r="G335" s="6">
        <f>COUNTIF(F:F,Table2[[#This Row],[Form '#]])</f>
        <v>1</v>
      </c>
      <c r="H335" s="1" t="s">
        <v>4371</v>
      </c>
      <c r="I335" s="1" t="s">
        <v>28</v>
      </c>
      <c r="J335" s="1" t="s">
        <v>69</v>
      </c>
      <c r="K335" s="1" t="s">
        <v>4011</v>
      </c>
      <c r="L335" s="1"/>
      <c r="M335" s="6" t="str">
        <f>IF(Table2[[#This Row],[Corrected Form '#
 (If Duplicated)]]="",Table2[[#This Row],[Form '#]],Table2[[#This Row],[Corrected Form '#
 (If Duplicated)]])</f>
        <v>7818-27171</v>
      </c>
      <c r="N335" s="1" t="s">
        <v>49</v>
      </c>
      <c r="O335" s="6" t="str">
        <f>IF(Table2[[#This Row],[POG CONFIRMATION RECEIPT OF ORDER
(DATE &amp; TIME)]]="","No Confirmation","Received Confirmation")</f>
        <v>Received Confirmation</v>
      </c>
      <c r="P335" s="6">
        <f ca="1">TODAY()-Table2[[#This Row],[DATE SENT TO POG]]</f>
        <v>331</v>
      </c>
      <c r="Q335" s="6" t="s">
        <v>5803</v>
      </c>
      <c r="R3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5" s="2" t="str">
        <f>_xlfn.XLOOKUP(Table2[[#This Row],[Adjusted Form '#]],'[2]IN PROGRESS'!$D:$D,'[2]IN PROGRESS'!$M:$M,"Not Found")</f>
        <v>Not Found</v>
      </c>
      <c r="U335" s="2" t="str">
        <f>_xlfn.XLOOKUP(Table2[[#This Row],[Adjusted Form '#]],[1]COMPLETED!$D:$D,[2]COMPLETED!$M:$M,"Not Found")</f>
        <v>Not Found</v>
      </c>
      <c r="V335" s="17" t="str">
        <f>_xlfn.XLOOKUP(Table2[[#This Row],[Adjusted Form '#]],[2]COMPLETED!$D:$D,[2]COMPLETED!$O:$O,"Not Found")</f>
        <v>Not Found</v>
      </c>
      <c r="W335" s="2" t="str">
        <f>_xlfn.XLOOKUP(Table2[[#This Row],[Adjusted Form '#]],[2]BILLED!$D:$D,[2]BILLED!$M:$M,"Not Found")</f>
        <v>1Z5063E0YW40383758</v>
      </c>
      <c r="X335" s="17" t="e">
        <f>_xlfn.XLOOKUP(Table2[[#This Row],[Adjusted Form '#]],[2]BILLED!$D:$D,[1]BILLED!$O:$O,"Not Found")</f>
        <v>#REF!</v>
      </c>
      <c r="Y335" s="17" t="e">
        <f>_xlfn.XLOOKUP(Table2[[#This Row],[Adjusted Form '#]],'[2]REJECTED ORDERS'!$D:$D,'[2]REJECTED ORDERS'!$E:$E)</f>
        <v>#N/A</v>
      </c>
      <c r="Z335" s="1"/>
      <c r="AA335" s="1"/>
      <c r="AB335" s="8"/>
      <c r="AC335" s="8"/>
      <c r="AD335" s="8"/>
      <c r="AE335" s="8"/>
      <c r="AF335" s="8"/>
      <c r="AG335" s="8"/>
      <c r="AH335" s="8"/>
      <c r="AI335" s="8"/>
      <c r="AJ335" s="8"/>
    </row>
    <row r="336" spans="1:36" ht="15" customHeight="1" x14ac:dyDescent="0.35">
      <c r="A336" s="4" t="s">
        <v>483</v>
      </c>
      <c r="B336" s="1" t="s">
        <v>1951</v>
      </c>
      <c r="C336" s="11">
        <v>44972</v>
      </c>
      <c r="D336" s="11" t="s">
        <v>4364</v>
      </c>
      <c r="E336" s="1" t="s">
        <v>21</v>
      </c>
      <c r="F336" s="1" t="s">
        <v>4372</v>
      </c>
      <c r="G336" s="6">
        <f>COUNTIF(F:F,Table2[[#This Row],[Form '#]])</f>
        <v>1</v>
      </c>
      <c r="H336" s="1" t="s">
        <v>4373</v>
      </c>
      <c r="I336" s="1" t="s">
        <v>127</v>
      </c>
      <c r="J336" s="1" t="s">
        <v>76</v>
      </c>
      <c r="K336" s="1" t="s">
        <v>4011</v>
      </c>
      <c r="L336" s="1"/>
      <c r="M336" s="6" t="str">
        <f>IF(Table2[[#This Row],[Corrected Form '#
 (If Duplicated)]]="",Table2[[#This Row],[Form '#]],Table2[[#This Row],[Corrected Form '#
 (If Duplicated)]])</f>
        <v>7818-17546</v>
      </c>
      <c r="N336" s="1" t="s">
        <v>49</v>
      </c>
      <c r="O336" s="6" t="str">
        <f>IF(Table2[[#This Row],[POG CONFIRMATION RECEIPT OF ORDER
(DATE &amp; TIME)]]="","No Confirmation","Received Confirmation")</f>
        <v>Received Confirmation</v>
      </c>
      <c r="P336" s="6">
        <f ca="1">TODAY()-Table2[[#This Row],[DATE SENT TO POG]]</f>
        <v>331</v>
      </c>
      <c r="Q336" s="6" t="s">
        <v>5803</v>
      </c>
      <c r="R3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6" s="2" t="str">
        <f>_xlfn.XLOOKUP(Table2[[#This Row],[Adjusted Form '#]],'[2]IN PROGRESS'!$D:$D,'[2]IN PROGRESS'!$M:$M,"Not Found")</f>
        <v>Not Found</v>
      </c>
      <c r="U336" s="2" t="str">
        <f>_xlfn.XLOOKUP(Table2[[#This Row],[Adjusted Form '#]],[1]COMPLETED!$D:$D,[2]COMPLETED!$M:$M,"Not Found")</f>
        <v>Not Found</v>
      </c>
      <c r="V336" s="17" t="str">
        <f>_xlfn.XLOOKUP(Table2[[#This Row],[Adjusted Form '#]],[2]COMPLETED!$D:$D,[2]COMPLETED!$O:$O,"Not Found")</f>
        <v>Not Found</v>
      </c>
      <c r="W336" s="2" t="str">
        <f>_xlfn.XLOOKUP(Table2[[#This Row],[Adjusted Form '#]],[2]BILLED!$D:$D,[2]BILLED!$M:$M,"Not Found")</f>
        <v>1Z5063E0YW40885055</v>
      </c>
      <c r="X336" s="17" t="e">
        <f>_xlfn.XLOOKUP(Table2[[#This Row],[Adjusted Form '#]],[2]BILLED!$D:$D,[1]BILLED!$O:$O,"Not Found")</f>
        <v>#REF!</v>
      </c>
      <c r="Y336" s="17" t="e">
        <f>_xlfn.XLOOKUP(Table2[[#This Row],[Adjusted Form '#]],'[2]REJECTED ORDERS'!$D:$D,'[2]REJECTED ORDERS'!$E:$E)</f>
        <v>#N/A</v>
      </c>
      <c r="Z336" s="1"/>
      <c r="AA336" s="1"/>
      <c r="AB336" s="8"/>
      <c r="AC336" s="8"/>
      <c r="AD336" s="8"/>
      <c r="AE336" s="8"/>
      <c r="AF336" s="8"/>
      <c r="AG336" s="8"/>
      <c r="AH336" s="8"/>
      <c r="AI336" s="8"/>
      <c r="AJ336" s="8"/>
    </row>
    <row r="337" spans="1:36" ht="15" customHeight="1" x14ac:dyDescent="0.35">
      <c r="A337" s="4" t="s">
        <v>485</v>
      </c>
      <c r="B337" s="1" t="s">
        <v>1951</v>
      </c>
      <c r="C337" s="11">
        <v>44972</v>
      </c>
      <c r="D337" s="11" t="s">
        <v>4364</v>
      </c>
      <c r="E337" s="1" t="s">
        <v>21</v>
      </c>
      <c r="F337" s="1" t="s">
        <v>4374</v>
      </c>
      <c r="G337" s="6">
        <f>COUNTIF(F:F,Table2[[#This Row],[Form '#]])</f>
        <v>1</v>
      </c>
      <c r="H337" s="1" t="s">
        <v>4375</v>
      </c>
      <c r="I337" s="1" t="s">
        <v>3852</v>
      </c>
      <c r="J337" s="1" t="s">
        <v>75</v>
      </c>
      <c r="K337" s="1" t="s">
        <v>3853</v>
      </c>
      <c r="L337" s="1"/>
      <c r="M337" s="6" t="str">
        <f>IF(Table2[[#This Row],[Corrected Form '#
 (If Duplicated)]]="",Table2[[#This Row],[Form '#]],Table2[[#This Row],[Corrected Form '#
 (If Duplicated)]])</f>
        <v>7818-18187</v>
      </c>
      <c r="N337" s="1" t="s">
        <v>49</v>
      </c>
      <c r="O337" s="6" t="str">
        <f>IF(Table2[[#This Row],[POG CONFIRMATION RECEIPT OF ORDER
(DATE &amp; TIME)]]="","No Confirmation","Received Confirmation")</f>
        <v>Received Confirmation</v>
      </c>
      <c r="P337" s="6">
        <f ca="1">TODAY()-Table2[[#This Row],[DATE SENT TO POG]]</f>
        <v>331</v>
      </c>
      <c r="Q337" s="6" t="s">
        <v>5803</v>
      </c>
      <c r="R3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7" s="2" t="str">
        <f>_xlfn.XLOOKUP(Table2[[#This Row],[Adjusted Form '#]],'[2]IN PROGRESS'!$D:$D,'[2]IN PROGRESS'!$M:$M,"Not Found")</f>
        <v>Not Found</v>
      </c>
      <c r="U337" s="2" t="str">
        <f>_xlfn.XLOOKUP(Table2[[#This Row],[Adjusted Form '#]],[1]COMPLETED!$D:$D,[2]COMPLETED!$M:$M,"Not Found")</f>
        <v>Not Found</v>
      </c>
      <c r="V337" s="17" t="str">
        <f>_xlfn.XLOOKUP(Table2[[#This Row],[Adjusted Form '#]],[2]COMPLETED!$D:$D,[2]COMPLETED!$O:$O,"Not Found")</f>
        <v>Not Found</v>
      </c>
      <c r="W337" s="2" t="str">
        <f>_xlfn.XLOOKUP(Table2[[#This Row],[Adjusted Form '#]],[2]BILLED!$D:$D,[2]BILLED!$M:$M,"Not Found")</f>
        <v>1Z5063E0YW40629028</v>
      </c>
      <c r="X337" s="17" t="e">
        <f>_xlfn.XLOOKUP(Table2[[#This Row],[Adjusted Form '#]],[2]BILLED!$D:$D,[1]BILLED!$O:$O,"Not Found")</f>
        <v>#REF!</v>
      </c>
      <c r="Y337" s="17" t="e">
        <f>_xlfn.XLOOKUP(Table2[[#This Row],[Adjusted Form '#]],'[2]REJECTED ORDERS'!$D:$D,'[2]REJECTED ORDERS'!$E:$E)</f>
        <v>#N/A</v>
      </c>
      <c r="Z337" s="1"/>
      <c r="AA337" s="1"/>
      <c r="AB337" s="8"/>
      <c r="AC337" s="8"/>
      <c r="AD337" s="8"/>
      <c r="AE337" s="8"/>
      <c r="AF337" s="8"/>
      <c r="AG337" s="8"/>
      <c r="AH337" s="8"/>
      <c r="AI337" s="8"/>
      <c r="AJ337" s="8"/>
    </row>
    <row r="338" spans="1:36" ht="15" customHeight="1" x14ac:dyDescent="0.35">
      <c r="A338" s="4" t="s">
        <v>487</v>
      </c>
      <c r="B338" s="1" t="s">
        <v>1951</v>
      </c>
      <c r="C338" s="11">
        <v>44972</v>
      </c>
      <c r="D338" s="11" t="s">
        <v>4364</v>
      </c>
      <c r="E338" s="1" t="s">
        <v>21</v>
      </c>
      <c r="F338" s="1" t="s">
        <v>4376</v>
      </c>
      <c r="G338" s="6">
        <f>COUNTIF(F:F,Table2[[#This Row],[Form '#]])</f>
        <v>1</v>
      </c>
      <c r="H338" s="1" t="s">
        <v>1616</v>
      </c>
      <c r="I338" s="1" t="s">
        <v>3852</v>
      </c>
      <c r="J338" s="1" t="s">
        <v>80</v>
      </c>
      <c r="K338" s="1" t="s">
        <v>3853</v>
      </c>
      <c r="L338" s="1"/>
      <c r="M338" s="6" t="str">
        <f>IF(Table2[[#This Row],[Corrected Form '#
 (If Duplicated)]]="",Table2[[#This Row],[Form '#]],Table2[[#This Row],[Corrected Form '#
 (If Duplicated)]])</f>
        <v>7818-18617</v>
      </c>
      <c r="N338" s="1" t="s">
        <v>49</v>
      </c>
      <c r="O338" s="6" t="str">
        <f>IF(Table2[[#This Row],[POG CONFIRMATION RECEIPT OF ORDER
(DATE &amp; TIME)]]="","No Confirmation","Received Confirmation")</f>
        <v>Received Confirmation</v>
      </c>
      <c r="P338" s="6">
        <f ca="1">TODAY()-Table2[[#This Row],[DATE SENT TO POG]]</f>
        <v>331</v>
      </c>
      <c r="Q338" s="6" t="s">
        <v>5803</v>
      </c>
      <c r="R3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8" s="2" t="str">
        <f>_xlfn.XLOOKUP(Table2[[#This Row],[Adjusted Form '#]],'[2]IN PROGRESS'!$D:$D,'[2]IN PROGRESS'!$M:$M,"Not Found")</f>
        <v>Not Found</v>
      </c>
      <c r="U338" s="2" t="str">
        <f>_xlfn.XLOOKUP(Table2[[#This Row],[Adjusted Form '#]],[1]COMPLETED!$D:$D,[2]COMPLETED!$M:$M,"Not Found")</f>
        <v>Not Found</v>
      </c>
      <c r="V338" s="17" t="str">
        <f>_xlfn.XLOOKUP(Table2[[#This Row],[Adjusted Form '#]],[2]COMPLETED!$D:$D,[2]COMPLETED!$O:$O,"Not Found")</f>
        <v>Not Found</v>
      </c>
      <c r="W338" s="2" t="str">
        <f>_xlfn.XLOOKUP(Table2[[#This Row],[Adjusted Form '#]],[2]BILLED!$D:$D,[2]BILLED!$M:$M,"Not Found")</f>
        <v>1Z5063E0YW41670730</v>
      </c>
      <c r="X338" s="17" t="e">
        <f>_xlfn.XLOOKUP(Table2[[#This Row],[Adjusted Form '#]],[2]BILLED!$D:$D,[1]BILLED!$O:$O,"Not Found")</f>
        <v>#REF!</v>
      </c>
      <c r="Y338" s="17" t="e">
        <f>_xlfn.XLOOKUP(Table2[[#This Row],[Adjusted Form '#]],'[2]REJECTED ORDERS'!$D:$D,'[2]REJECTED ORDERS'!$E:$E)</f>
        <v>#N/A</v>
      </c>
      <c r="Z338" s="1"/>
      <c r="AA338" s="1"/>
      <c r="AB338" s="8"/>
      <c r="AC338" s="8"/>
      <c r="AD338" s="8"/>
      <c r="AE338" s="8"/>
      <c r="AF338" s="8"/>
      <c r="AG338" s="8"/>
      <c r="AH338" s="8"/>
      <c r="AI338" s="8"/>
      <c r="AJ338" s="8"/>
    </row>
    <row r="339" spans="1:36" ht="15" customHeight="1" x14ac:dyDescent="0.35">
      <c r="A339" s="4" t="s">
        <v>488</v>
      </c>
      <c r="B339" s="1" t="s">
        <v>1951</v>
      </c>
      <c r="C339" s="11">
        <v>44972</v>
      </c>
      <c r="D339" s="11" t="s">
        <v>4364</v>
      </c>
      <c r="E339" s="1" t="s">
        <v>21</v>
      </c>
      <c r="F339" s="1" t="s">
        <v>4377</v>
      </c>
      <c r="G339" s="6">
        <f>COUNTIF(F:F,Table2[[#This Row],[Form '#]])</f>
        <v>1</v>
      </c>
      <c r="H339" s="1" t="s">
        <v>464</v>
      </c>
      <c r="I339" s="1" t="s">
        <v>127</v>
      </c>
      <c r="J339" s="1" t="s">
        <v>71</v>
      </c>
      <c r="K339" s="1" t="s">
        <v>4011</v>
      </c>
      <c r="L339" s="1"/>
      <c r="M339" s="6" t="str">
        <f>IF(Table2[[#This Row],[Corrected Form '#
 (If Duplicated)]]="",Table2[[#This Row],[Form '#]],Table2[[#This Row],[Corrected Form '#
 (If Duplicated)]])</f>
        <v>7818-26153</v>
      </c>
      <c r="N339" s="1" t="s">
        <v>49</v>
      </c>
      <c r="O339" s="6" t="str">
        <f>IF(Table2[[#This Row],[POG CONFIRMATION RECEIPT OF ORDER
(DATE &amp; TIME)]]="","No Confirmation","Received Confirmation")</f>
        <v>Received Confirmation</v>
      </c>
      <c r="P339" s="6">
        <f ca="1">TODAY()-Table2[[#This Row],[DATE SENT TO POG]]</f>
        <v>331</v>
      </c>
      <c r="Q339" s="6" t="s">
        <v>5803</v>
      </c>
      <c r="R3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39" s="2" t="str">
        <f>_xlfn.XLOOKUP(Table2[[#This Row],[Adjusted Form '#]],'[2]IN PROGRESS'!$D:$D,'[2]IN PROGRESS'!$M:$M,"Not Found")</f>
        <v>Not Found</v>
      </c>
      <c r="U339" s="2" t="str">
        <f>_xlfn.XLOOKUP(Table2[[#This Row],[Adjusted Form '#]],[1]COMPLETED!$D:$D,[2]COMPLETED!$M:$M,"Not Found")</f>
        <v>Not Found</v>
      </c>
      <c r="V339" s="17" t="str">
        <f>_xlfn.XLOOKUP(Table2[[#This Row],[Adjusted Form '#]],[2]COMPLETED!$D:$D,[2]COMPLETED!$O:$O,"Not Found")</f>
        <v>Not Found</v>
      </c>
      <c r="W339" s="2" t="str">
        <f>_xlfn.XLOOKUP(Table2[[#This Row],[Adjusted Form '#]],[2]BILLED!$D:$D,[2]BILLED!$M:$M,"Not Found")</f>
        <v>1Z5063E0YW40943867</v>
      </c>
      <c r="X339" s="17" t="e">
        <f>_xlfn.XLOOKUP(Table2[[#This Row],[Adjusted Form '#]],[2]BILLED!$D:$D,[1]BILLED!$O:$O,"Not Found")</f>
        <v>#REF!</v>
      </c>
      <c r="Y339" s="17" t="e">
        <f>_xlfn.XLOOKUP(Table2[[#This Row],[Adjusted Form '#]],'[2]REJECTED ORDERS'!$D:$D,'[2]REJECTED ORDERS'!$E:$E)</f>
        <v>#N/A</v>
      </c>
      <c r="Z339" s="1"/>
      <c r="AA339" s="1"/>
      <c r="AB339" s="8"/>
      <c r="AC339" s="8"/>
      <c r="AD339" s="8"/>
      <c r="AE339" s="8"/>
      <c r="AF339" s="8"/>
      <c r="AG339" s="8"/>
      <c r="AH339" s="8"/>
      <c r="AI339" s="8"/>
      <c r="AJ339" s="8"/>
    </row>
    <row r="340" spans="1:36" ht="15" customHeight="1" x14ac:dyDescent="0.35">
      <c r="A340" s="4" t="s">
        <v>490</v>
      </c>
      <c r="B340" s="1" t="s">
        <v>1951</v>
      </c>
      <c r="C340" s="11">
        <v>44972</v>
      </c>
      <c r="D340" s="11" t="s">
        <v>4364</v>
      </c>
      <c r="E340" s="1" t="s">
        <v>21</v>
      </c>
      <c r="F340" s="1" t="s">
        <v>4378</v>
      </c>
      <c r="G340" s="6">
        <f>COUNTIF(F:F,Table2[[#This Row],[Form '#]])</f>
        <v>1</v>
      </c>
      <c r="H340" s="1" t="s">
        <v>3322</v>
      </c>
      <c r="I340" s="1" t="s">
        <v>3852</v>
      </c>
      <c r="J340" s="1" t="s">
        <v>80</v>
      </c>
      <c r="K340" s="1" t="s">
        <v>4011</v>
      </c>
      <c r="L340" s="1"/>
      <c r="M340" s="6" t="str">
        <f>IF(Table2[[#This Row],[Corrected Form '#
 (If Duplicated)]]="",Table2[[#This Row],[Form '#]],Table2[[#This Row],[Corrected Form '#
 (If Duplicated)]])</f>
        <v>7818-02074</v>
      </c>
      <c r="N340" s="1" t="s">
        <v>49</v>
      </c>
      <c r="O340" s="6" t="str">
        <f>IF(Table2[[#This Row],[POG CONFIRMATION RECEIPT OF ORDER
(DATE &amp; TIME)]]="","No Confirmation","Received Confirmation")</f>
        <v>Received Confirmation</v>
      </c>
      <c r="P340" s="6">
        <f ca="1">TODAY()-Table2[[#This Row],[DATE SENT TO POG]]</f>
        <v>331</v>
      </c>
      <c r="Q340" s="6" t="s">
        <v>5802</v>
      </c>
      <c r="R3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4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40" s="2" t="str">
        <f>_xlfn.XLOOKUP(Table2[[#This Row],[Adjusted Form '#]],'[2]IN PROGRESS'!$D:$D,'[2]IN PROGRESS'!$M:$M,"Not Found")</f>
        <v>Not Found</v>
      </c>
      <c r="U340" s="2" t="str">
        <f>_xlfn.XLOOKUP(Table2[[#This Row],[Adjusted Form '#]],[1]COMPLETED!$D:$D,[2]COMPLETED!$M:$M,"Not Found")</f>
        <v>Not Found</v>
      </c>
      <c r="V340" s="17" t="str">
        <f>_xlfn.XLOOKUP(Table2[[#This Row],[Adjusted Form '#]],[2]COMPLETED!$D:$D,[2]COMPLETED!$O:$O,"Not Found")</f>
        <v>Not Found</v>
      </c>
      <c r="W340" s="2" t="str">
        <f>_xlfn.XLOOKUP(Table2[[#This Row],[Adjusted Form '#]],[2]BILLED!$D:$D,[2]BILLED!$M:$M,"Not Found")</f>
        <v>Not Found</v>
      </c>
      <c r="X340" s="17" t="str">
        <f>_xlfn.XLOOKUP(Table2[[#This Row],[Adjusted Form '#]],[2]BILLED!$D:$D,[1]BILLED!$O:$O,"Not Found")</f>
        <v>Not Found</v>
      </c>
      <c r="Y340" s="17" t="e">
        <f>_xlfn.XLOOKUP(Table2[[#This Row],[Adjusted Form '#]],'[2]REJECTED ORDERS'!$D:$D,'[2]REJECTED ORDERS'!$E:$E)</f>
        <v>#N/A</v>
      </c>
      <c r="Z340" s="1"/>
      <c r="AA340" s="1"/>
      <c r="AB340" s="8"/>
      <c r="AC340" s="8"/>
      <c r="AD340" s="8"/>
      <c r="AE340" s="8"/>
      <c r="AF340" s="8"/>
      <c r="AG340" s="8"/>
      <c r="AH340" s="8"/>
      <c r="AI340" s="8"/>
      <c r="AJ340" s="8"/>
    </row>
    <row r="341" spans="1:36" ht="15" customHeight="1" x14ac:dyDescent="0.35">
      <c r="A341" s="4" t="s">
        <v>491</v>
      </c>
      <c r="B341" s="1" t="s">
        <v>1951</v>
      </c>
      <c r="C341" s="11">
        <v>44972</v>
      </c>
      <c r="D341" s="11" t="s">
        <v>4364</v>
      </c>
      <c r="E341" s="1" t="s">
        <v>21</v>
      </c>
      <c r="F341" s="1" t="s">
        <v>4379</v>
      </c>
      <c r="G341" s="6">
        <f>COUNTIF(F:F,Table2[[#This Row],[Form '#]])</f>
        <v>1</v>
      </c>
      <c r="H341" s="1" t="s">
        <v>4380</v>
      </c>
      <c r="I341" s="1" t="s">
        <v>3864</v>
      </c>
      <c r="J341" s="1" t="s">
        <v>78</v>
      </c>
      <c r="K341" s="1" t="s">
        <v>3879</v>
      </c>
      <c r="L341" s="1"/>
      <c r="M341" s="6" t="str">
        <f>IF(Table2[[#This Row],[Corrected Form '#
 (If Duplicated)]]="",Table2[[#This Row],[Form '#]],Table2[[#This Row],[Corrected Form '#
 (If Duplicated)]])</f>
        <v>7818-19658</v>
      </c>
      <c r="N341" s="1" t="s">
        <v>49</v>
      </c>
      <c r="O341" s="6" t="str">
        <f>IF(Table2[[#This Row],[POG CONFIRMATION RECEIPT OF ORDER
(DATE &amp; TIME)]]="","No Confirmation","Received Confirmation")</f>
        <v>Received Confirmation</v>
      </c>
      <c r="P341" s="6">
        <f ca="1">TODAY()-Table2[[#This Row],[DATE SENT TO POG]]</f>
        <v>331</v>
      </c>
      <c r="Q341" s="6" t="s">
        <v>5803</v>
      </c>
      <c r="R3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1" s="2" t="str">
        <f>_xlfn.XLOOKUP(Table2[[#This Row],[Adjusted Form '#]],'[2]IN PROGRESS'!$D:$D,'[2]IN PROGRESS'!$M:$M,"Not Found")</f>
        <v>Not Found</v>
      </c>
      <c r="U341" s="2" t="str">
        <f>_xlfn.XLOOKUP(Table2[[#This Row],[Adjusted Form '#]],[1]COMPLETED!$D:$D,[2]COMPLETED!$M:$M,"Not Found")</f>
        <v>Not Found</v>
      </c>
      <c r="V341" s="17" t="str">
        <f>_xlfn.XLOOKUP(Table2[[#This Row],[Adjusted Form '#]],[2]COMPLETED!$D:$D,[2]COMPLETED!$O:$O,"Not Found")</f>
        <v>Not Found</v>
      </c>
      <c r="W341" s="2" t="str">
        <f>_xlfn.XLOOKUP(Table2[[#This Row],[Adjusted Form '#]],[2]BILLED!$D:$D,[2]BILLED!$M:$M,"Not Found")</f>
        <v>1Z5063E0YW42191041</v>
      </c>
      <c r="X341" s="17" t="e">
        <f>_xlfn.XLOOKUP(Table2[[#This Row],[Adjusted Form '#]],[2]BILLED!$D:$D,[1]BILLED!$O:$O,"Not Found")</f>
        <v>#REF!</v>
      </c>
      <c r="Y341" s="17" t="e">
        <f>_xlfn.XLOOKUP(Table2[[#This Row],[Adjusted Form '#]],'[2]REJECTED ORDERS'!$D:$D,'[2]REJECTED ORDERS'!$E:$E)</f>
        <v>#N/A</v>
      </c>
      <c r="Z341" s="1"/>
      <c r="AA341" s="1"/>
      <c r="AB341" s="8"/>
      <c r="AC341" s="8"/>
      <c r="AD341" s="8"/>
      <c r="AE341" s="8"/>
      <c r="AF341" s="8"/>
      <c r="AG341" s="8"/>
      <c r="AH341" s="8"/>
      <c r="AI341" s="8"/>
      <c r="AJ341" s="8"/>
    </row>
    <row r="342" spans="1:36" ht="15" customHeight="1" x14ac:dyDescent="0.35">
      <c r="A342" s="4" t="s">
        <v>493</v>
      </c>
      <c r="B342" s="1" t="s">
        <v>1951</v>
      </c>
      <c r="C342" s="11">
        <v>44972</v>
      </c>
      <c r="D342" s="11" t="s">
        <v>4364</v>
      </c>
      <c r="E342" s="1" t="s">
        <v>21</v>
      </c>
      <c r="F342" s="1" t="s">
        <v>4381</v>
      </c>
      <c r="G342" s="6">
        <f>COUNTIF(F:F,Table2[[#This Row],[Form '#]])</f>
        <v>1</v>
      </c>
      <c r="H342" s="1" t="s">
        <v>4382</v>
      </c>
      <c r="I342" s="1" t="s">
        <v>127</v>
      </c>
      <c r="J342" s="1" t="s">
        <v>69</v>
      </c>
      <c r="K342" s="1" t="s">
        <v>4011</v>
      </c>
      <c r="L342" s="1"/>
      <c r="M342" s="6" t="str">
        <f>IF(Table2[[#This Row],[Corrected Form '#
 (If Duplicated)]]="",Table2[[#This Row],[Form '#]],Table2[[#This Row],[Corrected Form '#
 (If Duplicated)]])</f>
        <v>7818-24443</v>
      </c>
      <c r="N342" s="1" t="s">
        <v>49</v>
      </c>
      <c r="O342" s="6" t="str">
        <f>IF(Table2[[#This Row],[POG CONFIRMATION RECEIPT OF ORDER
(DATE &amp; TIME)]]="","No Confirmation","Received Confirmation")</f>
        <v>Received Confirmation</v>
      </c>
      <c r="P342" s="6">
        <f ca="1">TODAY()-Table2[[#This Row],[DATE SENT TO POG]]</f>
        <v>331</v>
      </c>
      <c r="Q342" s="6" t="s">
        <v>5803</v>
      </c>
      <c r="R3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2" s="2" t="str">
        <f>_xlfn.XLOOKUP(Table2[[#This Row],[Adjusted Form '#]],'[2]IN PROGRESS'!$D:$D,'[2]IN PROGRESS'!$M:$M,"Not Found")</f>
        <v>Not Found</v>
      </c>
      <c r="U342" s="2" t="str">
        <f>_xlfn.XLOOKUP(Table2[[#This Row],[Adjusted Form '#]],[1]COMPLETED!$D:$D,[2]COMPLETED!$M:$M,"Not Found")</f>
        <v>Not Found</v>
      </c>
      <c r="V342" s="17" t="str">
        <f>_xlfn.XLOOKUP(Table2[[#This Row],[Adjusted Form '#]],[2]COMPLETED!$D:$D,[2]COMPLETED!$O:$O,"Not Found")</f>
        <v>Not Found</v>
      </c>
      <c r="W342" s="2" t="str">
        <f>_xlfn.XLOOKUP(Table2[[#This Row],[Adjusted Form '#]],[2]BILLED!$D:$D,[2]BILLED!$M:$M,"Not Found")</f>
        <v>1Z5063E0YW41728080</v>
      </c>
      <c r="X342" s="17" t="e">
        <f>_xlfn.XLOOKUP(Table2[[#This Row],[Adjusted Form '#]],[2]BILLED!$D:$D,[1]BILLED!$O:$O,"Not Found")</f>
        <v>#REF!</v>
      </c>
      <c r="Y342" s="17" t="e">
        <f>_xlfn.XLOOKUP(Table2[[#This Row],[Adjusted Form '#]],'[2]REJECTED ORDERS'!$D:$D,'[2]REJECTED ORDERS'!$E:$E)</f>
        <v>#N/A</v>
      </c>
      <c r="Z342" s="1"/>
      <c r="AA342" s="1"/>
      <c r="AB342" s="8"/>
      <c r="AC342" s="8"/>
      <c r="AD342" s="8"/>
      <c r="AE342" s="8"/>
      <c r="AF342" s="8"/>
      <c r="AG342" s="8"/>
      <c r="AH342" s="8"/>
      <c r="AI342" s="8"/>
      <c r="AJ342" s="8"/>
    </row>
    <row r="343" spans="1:36" ht="15" customHeight="1" x14ac:dyDescent="0.35">
      <c r="A343" s="4" t="s">
        <v>494</v>
      </c>
      <c r="B343" s="1" t="s">
        <v>1951</v>
      </c>
      <c r="C343" s="11">
        <v>44972</v>
      </c>
      <c r="D343" s="11" t="s">
        <v>4364</v>
      </c>
      <c r="E343" s="1" t="s">
        <v>21</v>
      </c>
      <c r="F343" s="1" t="s">
        <v>4383</v>
      </c>
      <c r="G343" s="6">
        <f>COUNTIF(F:F,Table2[[#This Row],[Form '#]])</f>
        <v>1</v>
      </c>
      <c r="H343" s="1" t="s">
        <v>4384</v>
      </c>
      <c r="I343" s="1" t="s">
        <v>3864</v>
      </c>
      <c r="J343" s="1" t="s">
        <v>78</v>
      </c>
      <c r="K343" s="1" t="s">
        <v>3879</v>
      </c>
      <c r="L343" s="1"/>
      <c r="M343" s="6" t="str">
        <f>IF(Table2[[#This Row],[Corrected Form '#
 (If Duplicated)]]="",Table2[[#This Row],[Form '#]],Table2[[#This Row],[Corrected Form '#
 (If Duplicated)]])</f>
        <v>7818-18312</v>
      </c>
      <c r="N343" s="1" t="s">
        <v>49</v>
      </c>
      <c r="O343" s="6" t="str">
        <f>IF(Table2[[#This Row],[POG CONFIRMATION RECEIPT OF ORDER
(DATE &amp; TIME)]]="","No Confirmation","Received Confirmation")</f>
        <v>Received Confirmation</v>
      </c>
      <c r="P343" s="6">
        <f ca="1">TODAY()-Table2[[#This Row],[DATE SENT TO POG]]</f>
        <v>331</v>
      </c>
      <c r="Q343" s="6" t="s">
        <v>5803</v>
      </c>
      <c r="R3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3" s="2" t="str">
        <f>_xlfn.XLOOKUP(Table2[[#This Row],[Adjusted Form '#]],'[2]IN PROGRESS'!$D:$D,'[2]IN PROGRESS'!$M:$M,"Not Found")</f>
        <v>Not Found</v>
      </c>
      <c r="U343" s="2" t="str">
        <f>_xlfn.XLOOKUP(Table2[[#This Row],[Adjusted Form '#]],[1]COMPLETED!$D:$D,[2]COMPLETED!$M:$M,"Not Found")</f>
        <v>Not Found</v>
      </c>
      <c r="V343" s="17" t="str">
        <f>_xlfn.XLOOKUP(Table2[[#This Row],[Adjusted Form '#]],[2]COMPLETED!$D:$D,[2]COMPLETED!$O:$O,"Not Found")</f>
        <v>Not Found</v>
      </c>
      <c r="W343" s="2" t="str">
        <f>_xlfn.XLOOKUP(Table2[[#This Row],[Adjusted Form '#]],[2]BILLED!$D:$D,[2]BILLED!$M:$M,"Not Found")</f>
        <v>1Z5063E0YW40432623</v>
      </c>
      <c r="X343" s="17" t="e">
        <f>_xlfn.XLOOKUP(Table2[[#This Row],[Adjusted Form '#]],[2]BILLED!$D:$D,[1]BILLED!$O:$O,"Not Found")</f>
        <v>#REF!</v>
      </c>
      <c r="Y343" s="17" t="e">
        <f>_xlfn.XLOOKUP(Table2[[#This Row],[Adjusted Form '#]],'[2]REJECTED ORDERS'!$D:$D,'[2]REJECTED ORDERS'!$E:$E)</f>
        <v>#N/A</v>
      </c>
      <c r="Z343" s="1"/>
      <c r="AA343" s="1"/>
      <c r="AB343" s="8"/>
      <c r="AC343" s="8"/>
      <c r="AD343" s="8"/>
      <c r="AE343" s="8"/>
      <c r="AF343" s="8"/>
      <c r="AG343" s="8"/>
      <c r="AH343" s="8"/>
      <c r="AI343" s="8"/>
      <c r="AJ343" s="8"/>
    </row>
    <row r="344" spans="1:36" ht="15" customHeight="1" x14ac:dyDescent="0.35">
      <c r="A344" s="4" t="s">
        <v>495</v>
      </c>
      <c r="B344" s="1" t="s">
        <v>1951</v>
      </c>
      <c r="C344" s="11">
        <v>44972</v>
      </c>
      <c r="D344" s="11" t="s">
        <v>4364</v>
      </c>
      <c r="E344" s="1" t="s">
        <v>21</v>
      </c>
      <c r="F344" s="1" t="s">
        <v>4385</v>
      </c>
      <c r="G344" s="6">
        <f>COUNTIF(F:F,Table2[[#This Row],[Form '#]])</f>
        <v>1</v>
      </c>
      <c r="H344" s="1" t="s">
        <v>4386</v>
      </c>
      <c r="I344" s="1" t="s">
        <v>28</v>
      </c>
      <c r="J344" s="1" t="s">
        <v>69</v>
      </c>
      <c r="K344" s="1" t="s">
        <v>4011</v>
      </c>
      <c r="L344" s="1"/>
      <c r="M344" s="6" t="str">
        <f>IF(Table2[[#This Row],[Corrected Form '#
 (If Duplicated)]]="",Table2[[#This Row],[Form '#]],Table2[[#This Row],[Corrected Form '#
 (If Duplicated)]])</f>
        <v>7818-26921</v>
      </c>
      <c r="N344" s="1" t="s">
        <v>49</v>
      </c>
      <c r="O344" s="6" t="str">
        <f>IF(Table2[[#This Row],[POG CONFIRMATION RECEIPT OF ORDER
(DATE &amp; TIME)]]="","No Confirmation","Received Confirmation")</f>
        <v>Received Confirmation</v>
      </c>
      <c r="P344" s="6">
        <f ca="1">TODAY()-Table2[[#This Row],[DATE SENT TO POG]]</f>
        <v>331</v>
      </c>
      <c r="Q344" s="6" t="s">
        <v>5803</v>
      </c>
      <c r="R3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4" s="2" t="str">
        <f>_xlfn.XLOOKUP(Table2[[#This Row],[Adjusted Form '#]],'[2]IN PROGRESS'!$D:$D,'[2]IN PROGRESS'!$M:$M,"Not Found")</f>
        <v>Not Found</v>
      </c>
      <c r="U344" s="2" t="str">
        <f>_xlfn.XLOOKUP(Table2[[#This Row],[Adjusted Form '#]],[1]COMPLETED!$D:$D,[2]COMPLETED!$M:$M,"Not Found")</f>
        <v>Not Found</v>
      </c>
      <c r="V344" s="17" t="str">
        <f>_xlfn.XLOOKUP(Table2[[#This Row],[Adjusted Form '#]],[2]COMPLETED!$D:$D,[2]COMPLETED!$O:$O,"Not Found")</f>
        <v>Not Found</v>
      </c>
      <c r="W344" s="2" t="str">
        <f>_xlfn.XLOOKUP(Table2[[#This Row],[Adjusted Form '#]],[2]BILLED!$D:$D,[2]BILLED!$M:$M,"Not Found")</f>
        <v>1Z5063E0YW42081142</v>
      </c>
      <c r="X344" s="17" t="e">
        <f>_xlfn.XLOOKUP(Table2[[#This Row],[Adjusted Form '#]],[2]BILLED!$D:$D,[1]BILLED!$O:$O,"Not Found")</f>
        <v>#REF!</v>
      </c>
      <c r="Y344" s="17" t="e">
        <f>_xlfn.XLOOKUP(Table2[[#This Row],[Adjusted Form '#]],'[2]REJECTED ORDERS'!$D:$D,'[2]REJECTED ORDERS'!$E:$E)</f>
        <v>#N/A</v>
      </c>
      <c r="Z344" s="1"/>
      <c r="AA344" s="1"/>
      <c r="AB344" s="8"/>
      <c r="AC344" s="8"/>
      <c r="AD344" s="8"/>
      <c r="AE344" s="8"/>
      <c r="AF344" s="8"/>
      <c r="AG344" s="8"/>
      <c r="AH344" s="8"/>
      <c r="AI344" s="8"/>
      <c r="AJ344" s="8"/>
    </row>
    <row r="345" spans="1:36" ht="15" customHeight="1" x14ac:dyDescent="0.35">
      <c r="A345" s="4" t="s">
        <v>497</v>
      </c>
      <c r="B345" s="1" t="s">
        <v>337</v>
      </c>
      <c r="C345" s="11">
        <v>44972</v>
      </c>
      <c r="D345" s="11" t="s">
        <v>4387</v>
      </c>
      <c r="E345" s="1" t="s">
        <v>21</v>
      </c>
      <c r="F345" s="1" t="s">
        <v>3720</v>
      </c>
      <c r="G345" s="6">
        <f>COUNTIF(F:F,Table2[[#This Row],[Form '#]])</f>
        <v>1</v>
      </c>
      <c r="H345" s="1" t="s">
        <v>2253</v>
      </c>
      <c r="I345" s="1" t="s">
        <v>127</v>
      </c>
      <c r="J345" s="1" t="s">
        <v>71</v>
      </c>
      <c r="K345" s="1" t="s">
        <v>4011</v>
      </c>
      <c r="L345" s="1"/>
      <c r="M345" s="6" t="str">
        <f>IF(Table2[[#This Row],[Corrected Form '#
 (If Duplicated)]]="",Table2[[#This Row],[Form '#]],Table2[[#This Row],[Corrected Form '#
 (If Duplicated)]])</f>
        <v>7818-02518</v>
      </c>
      <c r="N345" s="1" t="s">
        <v>49</v>
      </c>
      <c r="O345" s="6" t="str">
        <f>IF(Table2[[#This Row],[POG CONFIRMATION RECEIPT OF ORDER
(DATE &amp; TIME)]]="","No Confirmation","Received Confirmation")</f>
        <v>Received Confirmation</v>
      </c>
      <c r="P345" s="6">
        <f ca="1">TODAY()-Table2[[#This Row],[DATE SENT TO POG]]</f>
        <v>331</v>
      </c>
      <c r="Q345" s="6" t="s">
        <v>5803</v>
      </c>
      <c r="R3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5" s="2" t="str">
        <f>_xlfn.XLOOKUP(Table2[[#This Row],[Adjusted Form '#]],'[2]IN PROGRESS'!$D:$D,'[2]IN PROGRESS'!$M:$M,"Not Found")</f>
        <v>Not Found</v>
      </c>
      <c r="U345" s="2" t="str">
        <f>_xlfn.XLOOKUP(Table2[[#This Row],[Adjusted Form '#]],[1]COMPLETED!$D:$D,[2]COMPLETED!$M:$M,"Not Found")</f>
        <v>Not Found</v>
      </c>
      <c r="V345" s="17" t="str">
        <f>_xlfn.XLOOKUP(Table2[[#This Row],[Adjusted Form '#]],[2]COMPLETED!$D:$D,[2]COMPLETED!$O:$O,"Not Found")</f>
        <v>Not Found</v>
      </c>
      <c r="W345" s="2" t="str">
        <f>_xlfn.XLOOKUP(Table2[[#This Row],[Adjusted Form '#]],[2]BILLED!$D:$D,[2]BILLED!$M:$M,"Not Found")</f>
        <v>1Z5063E0YW42052834</v>
      </c>
      <c r="X345" s="17" t="e">
        <f>_xlfn.XLOOKUP(Table2[[#This Row],[Adjusted Form '#]],[2]BILLED!$D:$D,[1]BILLED!$O:$O,"Not Found")</f>
        <v>#REF!</v>
      </c>
      <c r="Y345" s="17" t="e">
        <f>_xlfn.XLOOKUP(Table2[[#This Row],[Adjusted Form '#]],'[2]REJECTED ORDERS'!$D:$D,'[2]REJECTED ORDERS'!$E:$E)</f>
        <v>#N/A</v>
      </c>
      <c r="Z345" s="1"/>
      <c r="AA345" s="1"/>
      <c r="AB345" s="8"/>
      <c r="AC345" s="8"/>
      <c r="AD345" s="8"/>
      <c r="AE345" s="8"/>
      <c r="AF345" s="8"/>
      <c r="AG345" s="8"/>
      <c r="AH345" s="8"/>
      <c r="AI345" s="8"/>
      <c r="AJ345" s="8"/>
    </row>
    <row r="346" spans="1:36" ht="15" customHeight="1" x14ac:dyDescent="0.35">
      <c r="A346" s="4" t="s">
        <v>500</v>
      </c>
      <c r="B346" s="1" t="s">
        <v>1422</v>
      </c>
      <c r="C346" s="11">
        <v>44973</v>
      </c>
      <c r="D346" s="11" t="s">
        <v>4387</v>
      </c>
      <c r="E346" s="1" t="s">
        <v>21</v>
      </c>
      <c r="F346" s="1" t="s">
        <v>3772</v>
      </c>
      <c r="G346" s="6">
        <f>COUNTIF(F:F,Table2[[#This Row],[Form '#]])</f>
        <v>1</v>
      </c>
      <c r="H346" s="1" t="s">
        <v>3773</v>
      </c>
      <c r="I346" s="1" t="s">
        <v>127</v>
      </c>
      <c r="J346" s="1" t="s">
        <v>74</v>
      </c>
      <c r="K346" s="1" t="s">
        <v>4011</v>
      </c>
      <c r="L346" s="1"/>
      <c r="M346" s="6" t="str">
        <f>IF(Table2[[#This Row],[Corrected Form '#
 (If Duplicated)]]="",Table2[[#This Row],[Form '#]],Table2[[#This Row],[Corrected Form '#
 (If Duplicated)]])</f>
        <v>7818-20298</v>
      </c>
      <c r="N346" s="1" t="s">
        <v>49</v>
      </c>
      <c r="O346" s="6" t="str">
        <f>IF(Table2[[#This Row],[POG CONFIRMATION RECEIPT OF ORDER
(DATE &amp; TIME)]]="","No Confirmation","Received Confirmation")</f>
        <v>Received Confirmation</v>
      </c>
      <c r="P346" s="6">
        <f ca="1">TODAY()-Table2[[#This Row],[DATE SENT TO POG]]</f>
        <v>330</v>
      </c>
      <c r="Q346" s="6" t="s">
        <v>5803</v>
      </c>
      <c r="R3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6" s="2" t="str">
        <f>_xlfn.XLOOKUP(Table2[[#This Row],[Adjusted Form '#]],'[2]IN PROGRESS'!$D:$D,'[2]IN PROGRESS'!$M:$M,"Not Found")</f>
        <v>Not Found</v>
      </c>
      <c r="U346" s="2" t="str">
        <f>_xlfn.XLOOKUP(Table2[[#This Row],[Adjusted Form '#]],[1]COMPLETED!$D:$D,[2]COMPLETED!$M:$M,"Not Found")</f>
        <v>Not Found</v>
      </c>
      <c r="V346" s="17" t="str">
        <f>_xlfn.XLOOKUP(Table2[[#This Row],[Adjusted Form '#]],[2]COMPLETED!$D:$D,[2]COMPLETED!$O:$O,"Not Found")</f>
        <v>Not Found</v>
      </c>
      <c r="W346" s="2" t="str">
        <f>_xlfn.XLOOKUP(Table2[[#This Row],[Adjusted Form '#]],[2]BILLED!$D:$D,[2]BILLED!$M:$M,"Not Found")</f>
        <v>1Z5063E0YW42463462</v>
      </c>
      <c r="X346" s="17" t="e">
        <f>_xlfn.XLOOKUP(Table2[[#This Row],[Adjusted Form '#]],[2]BILLED!$D:$D,[1]BILLED!$O:$O,"Not Found")</f>
        <v>#REF!</v>
      </c>
      <c r="Y346" s="17" t="str">
        <f>_xlfn.XLOOKUP(Table2[[#This Row],[Adjusted Form '#]],'[2]REJECTED ORDERS'!$D:$D,'[2]REJECTED ORDERS'!$E:$E)</f>
        <v>FORM NOT SIGNED</v>
      </c>
      <c r="Z346" s="1"/>
      <c r="AA346" s="1"/>
      <c r="AB346" s="8"/>
      <c r="AC346" s="8"/>
      <c r="AD346" s="8"/>
      <c r="AE346" s="8"/>
      <c r="AF346" s="8"/>
      <c r="AG346" s="8"/>
      <c r="AH346" s="8"/>
      <c r="AI346" s="8"/>
      <c r="AJ346" s="8"/>
    </row>
    <row r="347" spans="1:36" ht="15" customHeight="1" x14ac:dyDescent="0.35">
      <c r="A347" s="4" t="s">
        <v>501</v>
      </c>
      <c r="B347" s="1" t="s">
        <v>2102</v>
      </c>
      <c r="C347" s="11">
        <v>44973</v>
      </c>
      <c r="D347" s="11" t="s">
        <v>4387</v>
      </c>
      <c r="E347" s="1" t="s">
        <v>21</v>
      </c>
      <c r="F347" s="1" t="s">
        <v>4388</v>
      </c>
      <c r="G347" s="6">
        <f>COUNTIF(F:F,Table2[[#This Row],[Form '#]])</f>
        <v>1</v>
      </c>
      <c r="H347" s="1" t="s">
        <v>4389</v>
      </c>
      <c r="I347" s="1" t="s">
        <v>3852</v>
      </c>
      <c r="J347" s="1" t="s">
        <v>80</v>
      </c>
      <c r="K347" s="1" t="s">
        <v>3853</v>
      </c>
      <c r="L347" s="1"/>
      <c r="M347" s="6" t="str">
        <f>IF(Table2[[#This Row],[Corrected Form '#
 (If Duplicated)]]="",Table2[[#This Row],[Form '#]],Table2[[#This Row],[Corrected Form '#
 (If Duplicated)]])</f>
        <v>7818-18569</v>
      </c>
      <c r="N347" s="1" t="s">
        <v>49</v>
      </c>
      <c r="O347" s="6" t="str">
        <f>IF(Table2[[#This Row],[POG CONFIRMATION RECEIPT OF ORDER
(DATE &amp; TIME)]]="","No Confirmation","Received Confirmation")</f>
        <v>Received Confirmation</v>
      </c>
      <c r="P347" s="6">
        <f ca="1">TODAY()-Table2[[#This Row],[DATE SENT TO POG]]</f>
        <v>330</v>
      </c>
      <c r="Q347" s="6" t="s">
        <v>5803</v>
      </c>
      <c r="R3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7" s="2" t="str">
        <f>_xlfn.XLOOKUP(Table2[[#This Row],[Adjusted Form '#]],'[2]IN PROGRESS'!$D:$D,'[2]IN PROGRESS'!$M:$M,"Not Found")</f>
        <v>Not Found</v>
      </c>
      <c r="U347" s="2" t="str">
        <f>_xlfn.XLOOKUP(Table2[[#This Row],[Adjusted Form '#]],[1]COMPLETED!$D:$D,[2]COMPLETED!$M:$M,"Not Found")</f>
        <v>Not Found</v>
      </c>
      <c r="V347" s="17" t="str">
        <f>_xlfn.XLOOKUP(Table2[[#This Row],[Adjusted Form '#]],[2]COMPLETED!$D:$D,[2]COMPLETED!$O:$O,"Not Found")</f>
        <v>Not Found</v>
      </c>
      <c r="W347" s="2" t="str">
        <f>_xlfn.XLOOKUP(Table2[[#This Row],[Adjusted Form '#]],[2]BILLED!$D:$D,[2]BILLED!$M:$M,"Not Found")</f>
        <v>1Z5063E0YW41992357</v>
      </c>
      <c r="X347" s="17" t="e">
        <f>_xlfn.XLOOKUP(Table2[[#This Row],[Adjusted Form '#]],[2]BILLED!$D:$D,[1]BILLED!$O:$O,"Not Found")</f>
        <v>#REF!</v>
      </c>
      <c r="Y347" s="17" t="e">
        <f>_xlfn.XLOOKUP(Table2[[#This Row],[Adjusted Form '#]],'[2]REJECTED ORDERS'!$D:$D,'[2]REJECTED ORDERS'!$E:$E)</f>
        <v>#N/A</v>
      </c>
      <c r="Z347" s="1"/>
      <c r="AA347" s="1"/>
      <c r="AB347" s="8"/>
      <c r="AC347" s="8"/>
      <c r="AD347" s="8"/>
      <c r="AE347" s="8"/>
      <c r="AF347" s="8"/>
      <c r="AG347" s="8"/>
      <c r="AH347" s="8"/>
      <c r="AI347" s="8"/>
      <c r="AJ347" s="8"/>
    </row>
    <row r="348" spans="1:36" ht="15" customHeight="1" x14ac:dyDescent="0.35">
      <c r="A348" s="4" t="s">
        <v>503</v>
      </c>
      <c r="B348" s="1" t="s">
        <v>2102</v>
      </c>
      <c r="C348" s="11">
        <v>44973</v>
      </c>
      <c r="D348" s="11" t="s">
        <v>4387</v>
      </c>
      <c r="E348" s="1" t="s">
        <v>21</v>
      </c>
      <c r="F348" s="1" t="s">
        <v>4390</v>
      </c>
      <c r="G348" s="6">
        <f>COUNTIF(F:F,Table2[[#This Row],[Form '#]])</f>
        <v>1</v>
      </c>
      <c r="H348" s="1" t="s">
        <v>4391</v>
      </c>
      <c r="I348" s="1" t="s">
        <v>3852</v>
      </c>
      <c r="J348" s="1" t="s">
        <v>75</v>
      </c>
      <c r="K348" s="1" t="s">
        <v>3853</v>
      </c>
      <c r="L348" s="1"/>
      <c r="M348" s="6" t="str">
        <f>IF(Table2[[#This Row],[Corrected Form '#
 (If Duplicated)]]="",Table2[[#This Row],[Form '#]],Table2[[#This Row],[Corrected Form '#
 (If Duplicated)]])</f>
        <v>7818-10380</v>
      </c>
      <c r="N348" s="1" t="s">
        <v>49</v>
      </c>
      <c r="O348" s="6" t="str">
        <f>IF(Table2[[#This Row],[POG CONFIRMATION RECEIPT OF ORDER
(DATE &amp; TIME)]]="","No Confirmation","Received Confirmation")</f>
        <v>Received Confirmation</v>
      </c>
      <c r="P348" s="6">
        <f ca="1">TODAY()-Table2[[#This Row],[DATE SENT TO POG]]</f>
        <v>330</v>
      </c>
      <c r="Q348" s="6" t="s">
        <v>5803</v>
      </c>
      <c r="R3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8" s="2" t="str">
        <f>_xlfn.XLOOKUP(Table2[[#This Row],[Adjusted Form '#]],'[2]IN PROGRESS'!$D:$D,'[2]IN PROGRESS'!$M:$M,"Not Found")</f>
        <v>Not Found</v>
      </c>
      <c r="U348" s="2" t="str">
        <f>_xlfn.XLOOKUP(Table2[[#This Row],[Adjusted Form '#]],[1]COMPLETED!$D:$D,[2]COMPLETED!$M:$M,"Not Found")</f>
        <v>Not Found</v>
      </c>
      <c r="V348" s="17" t="str">
        <f>_xlfn.XLOOKUP(Table2[[#This Row],[Adjusted Form '#]],[2]COMPLETED!$D:$D,[2]COMPLETED!$O:$O,"Not Found")</f>
        <v>Not Found</v>
      </c>
      <c r="W348" s="2" t="str">
        <f>_xlfn.XLOOKUP(Table2[[#This Row],[Adjusted Form '#]],[2]BILLED!$D:$D,[2]BILLED!$M:$M,"Not Found")</f>
        <v>1Z5063E0YW41200238</v>
      </c>
      <c r="X348" s="17" t="e">
        <f>_xlfn.XLOOKUP(Table2[[#This Row],[Adjusted Form '#]],[2]BILLED!$D:$D,[1]BILLED!$O:$O,"Not Found")</f>
        <v>#REF!</v>
      </c>
      <c r="Y348" s="17" t="e">
        <f>_xlfn.XLOOKUP(Table2[[#This Row],[Adjusted Form '#]],'[2]REJECTED ORDERS'!$D:$D,'[2]REJECTED ORDERS'!$E:$E)</f>
        <v>#N/A</v>
      </c>
      <c r="Z348" s="1"/>
      <c r="AA348" s="1"/>
      <c r="AB348" s="8"/>
      <c r="AC348" s="8"/>
      <c r="AD348" s="8"/>
      <c r="AE348" s="8"/>
      <c r="AF348" s="8"/>
      <c r="AG348" s="8"/>
      <c r="AH348" s="8"/>
      <c r="AI348" s="8"/>
      <c r="AJ348" s="8"/>
    </row>
    <row r="349" spans="1:36" ht="15" customHeight="1" x14ac:dyDescent="0.35">
      <c r="A349" s="4" t="s">
        <v>506</v>
      </c>
      <c r="B349" s="1" t="s">
        <v>2102</v>
      </c>
      <c r="C349" s="11">
        <v>44973</v>
      </c>
      <c r="D349" s="11" t="s">
        <v>4387</v>
      </c>
      <c r="E349" s="1" t="s">
        <v>21</v>
      </c>
      <c r="F349" s="1" t="s">
        <v>4392</v>
      </c>
      <c r="G349" s="6">
        <f>COUNTIF(F:F,Table2[[#This Row],[Form '#]])</f>
        <v>1</v>
      </c>
      <c r="H349" s="1" t="s">
        <v>4393</v>
      </c>
      <c r="I349" s="1" t="s">
        <v>3864</v>
      </c>
      <c r="J349" s="1" t="s">
        <v>78</v>
      </c>
      <c r="K349" s="1" t="s">
        <v>3879</v>
      </c>
      <c r="L349" s="1"/>
      <c r="M349" s="6" t="str">
        <f>IF(Table2[[#This Row],[Corrected Form '#
 (If Duplicated)]]="",Table2[[#This Row],[Form '#]],Table2[[#This Row],[Corrected Form '#
 (If Duplicated)]])</f>
        <v>7818-25158</v>
      </c>
      <c r="N349" s="1" t="s">
        <v>49</v>
      </c>
      <c r="O349" s="6" t="str">
        <f>IF(Table2[[#This Row],[POG CONFIRMATION RECEIPT OF ORDER
(DATE &amp; TIME)]]="","No Confirmation","Received Confirmation")</f>
        <v>Received Confirmation</v>
      </c>
      <c r="P349" s="6">
        <f ca="1">TODAY()-Table2[[#This Row],[DATE SENT TO POG]]</f>
        <v>330</v>
      </c>
      <c r="Q349" s="6" t="s">
        <v>5803</v>
      </c>
      <c r="R3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49" s="2" t="str">
        <f>_xlfn.XLOOKUP(Table2[[#This Row],[Adjusted Form '#]],'[2]IN PROGRESS'!$D:$D,'[2]IN PROGRESS'!$M:$M,"Not Found")</f>
        <v>Not Found</v>
      </c>
      <c r="U349" s="2" t="str">
        <f>_xlfn.XLOOKUP(Table2[[#This Row],[Adjusted Form '#]],[1]COMPLETED!$D:$D,[2]COMPLETED!$M:$M,"Not Found")</f>
        <v>Not Found</v>
      </c>
      <c r="V349" s="17" t="str">
        <f>_xlfn.XLOOKUP(Table2[[#This Row],[Adjusted Form '#]],[2]COMPLETED!$D:$D,[2]COMPLETED!$O:$O,"Not Found")</f>
        <v>Not Found</v>
      </c>
      <c r="W349" s="2" t="str">
        <f>_xlfn.XLOOKUP(Table2[[#This Row],[Adjusted Form '#]],[2]BILLED!$D:$D,[2]BILLED!$M:$M,"Not Found")</f>
        <v>1Z5063E0YW41630890</v>
      </c>
      <c r="X349" s="17" t="e">
        <f>_xlfn.XLOOKUP(Table2[[#This Row],[Adjusted Form '#]],[2]BILLED!$D:$D,[1]BILLED!$O:$O,"Not Found")</f>
        <v>#REF!</v>
      </c>
      <c r="Y349" s="17" t="e">
        <f>_xlfn.XLOOKUP(Table2[[#This Row],[Adjusted Form '#]],'[2]REJECTED ORDERS'!$D:$D,'[2]REJECTED ORDERS'!$E:$E)</f>
        <v>#N/A</v>
      </c>
      <c r="Z349" s="1"/>
      <c r="AA349" s="1"/>
      <c r="AB349" s="8"/>
      <c r="AC349" s="8"/>
      <c r="AD349" s="8"/>
      <c r="AE349" s="8"/>
      <c r="AF349" s="8"/>
      <c r="AG349" s="8"/>
      <c r="AH349" s="8"/>
      <c r="AI349" s="8"/>
      <c r="AJ349" s="8"/>
    </row>
    <row r="350" spans="1:36" ht="15" customHeight="1" x14ac:dyDescent="0.35">
      <c r="A350" s="4" t="s">
        <v>509</v>
      </c>
      <c r="B350" s="1" t="s">
        <v>950</v>
      </c>
      <c r="C350" s="11">
        <v>44973</v>
      </c>
      <c r="D350" s="11" t="s">
        <v>4387</v>
      </c>
      <c r="E350" s="1" t="s">
        <v>21</v>
      </c>
      <c r="F350" s="1" t="s">
        <v>4394</v>
      </c>
      <c r="G350" s="6">
        <f>COUNTIF(F:F,Table2[[#This Row],[Form '#]])</f>
        <v>1</v>
      </c>
      <c r="H350" s="1" t="s">
        <v>458</v>
      </c>
      <c r="I350" s="1" t="s">
        <v>127</v>
      </c>
      <c r="J350" s="1" t="s">
        <v>74</v>
      </c>
      <c r="K350" s="1" t="s">
        <v>4011</v>
      </c>
      <c r="L350" s="1"/>
      <c r="M350" s="6" t="str">
        <f>IF(Table2[[#This Row],[Corrected Form '#
 (If Duplicated)]]="",Table2[[#This Row],[Form '#]],Table2[[#This Row],[Corrected Form '#
 (If Duplicated)]])</f>
        <v>7818-15751</v>
      </c>
      <c r="N350" s="1" t="s">
        <v>49</v>
      </c>
      <c r="O350" s="6" t="str">
        <f>IF(Table2[[#This Row],[POG CONFIRMATION RECEIPT OF ORDER
(DATE &amp; TIME)]]="","No Confirmation","Received Confirmation")</f>
        <v>Received Confirmation</v>
      </c>
      <c r="P350" s="6">
        <f ca="1">TODAY()-Table2[[#This Row],[DATE SENT TO POG]]</f>
        <v>330</v>
      </c>
      <c r="Q350" s="6" t="s">
        <v>5803</v>
      </c>
      <c r="R3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0" s="2" t="str">
        <f>_xlfn.XLOOKUP(Table2[[#This Row],[Adjusted Form '#]],'[2]IN PROGRESS'!$D:$D,'[2]IN PROGRESS'!$M:$M,"Not Found")</f>
        <v>Not Found</v>
      </c>
      <c r="U350" s="2" t="str">
        <f>_xlfn.XLOOKUP(Table2[[#This Row],[Adjusted Form '#]],[1]COMPLETED!$D:$D,[2]COMPLETED!$M:$M,"Not Found")</f>
        <v>Not Found</v>
      </c>
      <c r="V350" s="17" t="str">
        <f>_xlfn.XLOOKUP(Table2[[#This Row],[Adjusted Form '#]],[2]COMPLETED!$D:$D,[2]COMPLETED!$O:$O,"Not Found")</f>
        <v>Not Found</v>
      </c>
      <c r="W350" s="2" t="str">
        <f>_xlfn.XLOOKUP(Table2[[#This Row],[Adjusted Form '#]],[2]BILLED!$D:$D,[2]BILLED!$M:$M,"Not Found")</f>
        <v>1Z5063E0YW40120559</v>
      </c>
      <c r="X350" s="17" t="e">
        <f>_xlfn.XLOOKUP(Table2[[#This Row],[Adjusted Form '#]],[2]BILLED!$D:$D,[1]BILLED!$O:$O,"Not Found")</f>
        <v>#REF!</v>
      </c>
      <c r="Y350" s="17" t="e">
        <f>_xlfn.XLOOKUP(Table2[[#This Row],[Adjusted Form '#]],'[2]REJECTED ORDERS'!$D:$D,'[2]REJECTED ORDERS'!$E:$E)</f>
        <v>#N/A</v>
      </c>
      <c r="Z350" s="1"/>
      <c r="AA350" s="1"/>
      <c r="AB350" s="8"/>
      <c r="AC350" s="8"/>
      <c r="AD350" s="8"/>
      <c r="AE350" s="8"/>
      <c r="AF350" s="8"/>
      <c r="AG350" s="8"/>
      <c r="AH350" s="8"/>
      <c r="AI350" s="8"/>
      <c r="AJ350" s="8"/>
    </row>
    <row r="351" spans="1:36" ht="15" customHeight="1" x14ac:dyDescent="0.35">
      <c r="A351" s="4" t="s">
        <v>511</v>
      </c>
      <c r="B351" s="1" t="s">
        <v>2489</v>
      </c>
      <c r="C351" s="11">
        <v>44973</v>
      </c>
      <c r="D351" s="11" t="s">
        <v>4395</v>
      </c>
      <c r="E351" s="1" t="s">
        <v>21</v>
      </c>
      <c r="F351" s="1" t="s">
        <v>4396</v>
      </c>
      <c r="G351" s="6">
        <f>COUNTIF(F:F,Table2[[#This Row],[Form '#]])</f>
        <v>1</v>
      </c>
      <c r="H351" s="1" t="s">
        <v>299</v>
      </c>
      <c r="I351" s="1" t="s">
        <v>3852</v>
      </c>
      <c r="J351" s="1" t="s">
        <v>75</v>
      </c>
      <c r="K351" s="1" t="s">
        <v>4011</v>
      </c>
      <c r="L351" s="1"/>
      <c r="M351" s="6" t="str">
        <f>IF(Table2[[#This Row],[Corrected Form '#
 (If Duplicated)]]="",Table2[[#This Row],[Form '#]],Table2[[#This Row],[Corrected Form '#
 (If Duplicated)]])</f>
        <v>7818-10062</v>
      </c>
      <c r="N351" s="1" t="s">
        <v>49</v>
      </c>
      <c r="O351" s="6" t="str">
        <f>IF(Table2[[#This Row],[POG CONFIRMATION RECEIPT OF ORDER
(DATE &amp; TIME)]]="","No Confirmation","Received Confirmation")</f>
        <v>Received Confirmation</v>
      </c>
      <c r="P351" s="6">
        <f ca="1">TODAY()-Table2[[#This Row],[DATE SENT TO POG]]</f>
        <v>330</v>
      </c>
      <c r="Q351" s="6" t="s">
        <v>5803</v>
      </c>
      <c r="R3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1" s="2" t="str">
        <f>_xlfn.XLOOKUP(Table2[[#This Row],[Adjusted Form '#]],'[2]IN PROGRESS'!$D:$D,'[2]IN PROGRESS'!$M:$M,"Not Found")</f>
        <v>Not Found</v>
      </c>
      <c r="U351" s="2" t="str">
        <f>_xlfn.XLOOKUP(Table2[[#This Row],[Adjusted Form '#]],[1]COMPLETED!$D:$D,[2]COMPLETED!$M:$M,"Not Found")</f>
        <v>Not Found</v>
      </c>
      <c r="V351" s="17" t="str">
        <f>_xlfn.XLOOKUP(Table2[[#This Row],[Adjusted Form '#]],[2]COMPLETED!$D:$D,[2]COMPLETED!$O:$O,"Not Found")</f>
        <v>Not Found</v>
      </c>
      <c r="W351" s="2" t="str">
        <f>_xlfn.XLOOKUP(Table2[[#This Row],[Adjusted Form '#]],[2]BILLED!$D:$D,[2]BILLED!$M:$M,"Not Found")</f>
        <v>1Z5063E0YW42282658</v>
      </c>
      <c r="X351" s="17" t="e">
        <f>_xlfn.XLOOKUP(Table2[[#This Row],[Adjusted Form '#]],[2]BILLED!$D:$D,[1]BILLED!$O:$O,"Not Found")</f>
        <v>#REF!</v>
      </c>
      <c r="Y351" s="17" t="e">
        <f>_xlfn.XLOOKUP(Table2[[#This Row],[Adjusted Form '#]],'[2]REJECTED ORDERS'!$D:$D,'[2]REJECTED ORDERS'!$E:$E)</f>
        <v>#N/A</v>
      </c>
      <c r="Z351" s="1"/>
      <c r="AA351" s="1"/>
      <c r="AB351" s="8"/>
      <c r="AC351" s="8"/>
      <c r="AD351" s="8"/>
      <c r="AE351" s="8"/>
      <c r="AF351" s="8"/>
      <c r="AG351" s="8"/>
      <c r="AH351" s="8"/>
      <c r="AI351" s="8"/>
      <c r="AJ351" s="8"/>
    </row>
    <row r="352" spans="1:36" ht="15" customHeight="1" x14ac:dyDescent="0.35">
      <c r="A352" s="4" t="s">
        <v>512</v>
      </c>
      <c r="B352" s="1" t="s">
        <v>3760</v>
      </c>
      <c r="C352" s="11">
        <v>44973</v>
      </c>
      <c r="D352" s="11" t="s">
        <v>4395</v>
      </c>
      <c r="E352" s="1" t="s">
        <v>73</v>
      </c>
      <c r="F352" s="1" t="s">
        <v>4397</v>
      </c>
      <c r="G352" s="6">
        <f>COUNTIF(F:F,Table2[[#This Row],[Form '#]])</f>
        <v>2</v>
      </c>
      <c r="H352" s="1" t="s">
        <v>247</v>
      </c>
      <c r="I352" s="1" t="s">
        <v>127</v>
      </c>
      <c r="J352" s="1" t="s">
        <v>76</v>
      </c>
      <c r="K352" s="1" t="s">
        <v>4011</v>
      </c>
      <c r="L352" s="1"/>
      <c r="M352" s="6" t="str">
        <f>IF(Table2[[#This Row],[Corrected Form '#
 (If Duplicated)]]="",Table2[[#This Row],[Form '#]],Table2[[#This Row],[Corrected Form '#
 (If Duplicated)]])</f>
        <v>7823-02181</v>
      </c>
      <c r="N352" s="1" t="s">
        <v>49</v>
      </c>
      <c r="O352" s="6" t="str">
        <f>IF(Table2[[#This Row],[POG CONFIRMATION RECEIPT OF ORDER
(DATE &amp; TIME)]]="","No Confirmation","Received Confirmation")</f>
        <v>Received Confirmation</v>
      </c>
      <c r="P352" s="6">
        <f ca="1">TODAY()-Table2[[#This Row],[DATE SENT TO POG]]</f>
        <v>330</v>
      </c>
      <c r="Q352" s="6" t="s">
        <v>5803</v>
      </c>
      <c r="R3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2" s="2" t="str">
        <f>_xlfn.XLOOKUP(Table2[[#This Row],[Adjusted Form '#]],'[2]IN PROGRESS'!$D:$D,'[2]IN PROGRESS'!$M:$M,"Not Found")</f>
        <v>Not Found</v>
      </c>
      <c r="U352" s="2" t="str">
        <f>_xlfn.XLOOKUP(Table2[[#This Row],[Adjusted Form '#]],[1]COMPLETED!$D:$D,[2]COMPLETED!$M:$M,"Not Found")</f>
        <v>Not Found</v>
      </c>
      <c r="V352" s="17" t="str">
        <f>_xlfn.XLOOKUP(Table2[[#This Row],[Adjusted Form '#]],[2]COMPLETED!$D:$D,[2]COMPLETED!$O:$O,"Not Found")</f>
        <v>Not Found</v>
      </c>
      <c r="W352" s="2" t="str">
        <f>_xlfn.XLOOKUP(Table2[[#This Row],[Adjusted Form '#]],[2]BILLED!$D:$D,[2]BILLED!$M:$M,"Not Found")</f>
        <v>1Z5063E0YW42509047</v>
      </c>
      <c r="X352" s="17" t="e">
        <f>_xlfn.XLOOKUP(Table2[[#This Row],[Adjusted Form '#]],[2]BILLED!$D:$D,[1]BILLED!$O:$O,"Not Found")</f>
        <v>#REF!</v>
      </c>
      <c r="Y352" s="17" t="e">
        <f>_xlfn.XLOOKUP(Table2[[#This Row],[Adjusted Form '#]],'[2]REJECTED ORDERS'!$D:$D,'[2]REJECTED ORDERS'!$E:$E)</f>
        <v>#N/A</v>
      </c>
      <c r="Z352" s="1"/>
      <c r="AA352" s="1"/>
      <c r="AB352" s="8"/>
      <c r="AC352" s="8"/>
      <c r="AD352" s="8"/>
      <c r="AE352" s="8"/>
      <c r="AF352" s="8"/>
      <c r="AG352" s="8"/>
      <c r="AH352" s="8"/>
      <c r="AI352" s="8"/>
      <c r="AJ352" s="8"/>
    </row>
    <row r="353" spans="1:36" ht="15" customHeight="1" x14ac:dyDescent="0.35">
      <c r="A353" s="4" t="s">
        <v>513</v>
      </c>
      <c r="B353" s="1" t="s">
        <v>1376</v>
      </c>
      <c r="C353" s="11">
        <v>44973</v>
      </c>
      <c r="D353" s="11" t="s">
        <v>4395</v>
      </c>
      <c r="E353" s="1" t="s">
        <v>21</v>
      </c>
      <c r="F353" s="1" t="s">
        <v>4398</v>
      </c>
      <c r="G353" s="6">
        <f>COUNTIF(F:F,Table2[[#This Row],[Form '#]])</f>
        <v>2</v>
      </c>
      <c r="H353" s="1" t="s">
        <v>276</v>
      </c>
      <c r="I353" s="1" t="s">
        <v>3852</v>
      </c>
      <c r="J353" s="1" t="s">
        <v>80</v>
      </c>
      <c r="K353" s="1" t="s">
        <v>3853</v>
      </c>
      <c r="L353" s="1"/>
      <c r="M353" s="6" t="str">
        <f>IF(Table2[[#This Row],[Corrected Form '#
 (If Duplicated)]]="",Table2[[#This Row],[Form '#]],Table2[[#This Row],[Corrected Form '#
 (If Duplicated)]])</f>
        <v>7818-15877</v>
      </c>
      <c r="N353" s="1" t="s">
        <v>49</v>
      </c>
      <c r="O353" s="6" t="str">
        <f>IF(Table2[[#This Row],[POG CONFIRMATION RECEIPT OF ORDER
(DATE &amp; TIME)]]="","No Confirmation","Received Confirmation")</f>
        <v>Received Confirmation</v>
      </c>
      <c r="P353" s="6">
        <f ca="1">TODAY()-Table2[[#This Row],[DATE SENT TO POG]]</f>
        <v>330</v>
      </c>
      <c r="Q353" s="6" t="s">
        <v>5803</v>
      </c>
      <c r="R3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3" s="2" t="str">
        <f>_xlfn.XLOOKUP(Table2[[#This Row],[Adjusted Form '#]],'[2]IN PROGRESS'!$D:$D,'[2]IN PROGRESS'!$M:$M,"Not Found")</f>
        <v>Not Found</v>
      </c>
      <c r="U353" s="2" t="str">
        <f>_xlfn.XLOOKUP(Table2[[#This Row],[Adjusted Form '#]],[1]COMPLETED!$D:$D,[2]COMPLETED!$M:$M,"Not Found")</f>
        <v>Not Found</v>
      </c>
      <c r="V353" s="17" t="str">
        <f>_xlfn.XLOOKUP(Table2[[#This Row],[Adjusted Form '#]],[2]COMPLETED!$D:$D,[2]COMPLETED!$O:$O,"Not Found")</f>
        <v>Not Found</v>
      </c>
      <c r="W353" s="2" t="str">
        <f>_xlfn.XLOOKUP(Table2[[#This Row],[Adjusted Form '#]],[2]BILLED!$D:$D,[2]BILLED!$M:$M,"Not Found")</f>
        <v>1Z5063E0YW42318708</v>
      </c>
      <c r="X353" s="17" t="e">
        <f>_xlfn.XLOOKUP(Table2[[#This Row],[Adjusted Form '#]],[2]BILLED!$D:$D,[1]BILLED!$O:$O,"Not Found")</f>
        <v>#REF!</v>
      </c>
      <c r="Y353" s="17" t="e">
        <f>_xlfn.XLOOKUP(Table2[[#This Row],[Adjusted Form '#]],'[2]REJECTED ORDERS'!$D:$D,'[2]REJECTED ORDERS'!$E:$E)</f>
        <v>#N/A</v>
      </c>
      <c r="Z353" s="1"/>
      <c r="AA353" s="1"/>
      <c r="AB353" s="8"/>
      <c r="AC353" s="8"/>
      <c r="AD353" s="8"/>
      <c r="AE353" s="8"/>
      <c r="AF353" s="8"/>
      <c r="AG353" s="8"/>
      <c r="AH353" s="8"/>
      <c r="AI353" s="8"/>
      <c r="AJ353" s="8"/>
    </row>
    <row r="354" spans="1:36" ht="15" customHeight="1" x14ac:dyDescent="0.35">
      <c r="A354" s="4" t="s">
        <v>515</v>
      </c>
      <c r="B354" s="1" t="s">
        <v>1856</v>
      </c>
      <c r="C354" s="11">
        <v>44974</v>
      </c>
      <c r="D354" s="11" t="s">
        <v>4399</v>
      </c>
      <c r="E354" s="1" t="s">
        <v>14</v>
      </c>
      <c r="F354" s="1" t="s">
        <v>4400</v>
      </c>
      <c r="G354" s="6">
        <f>COUNTIF(F:F,Table2[[#This Row],[Form '#]])</f>
        <v>1</v>
      </c>
      <c r="H354" s="1" t="s">
        <v>4401</v>
      </c>
      <c r="I354" s="1" t="s">
        <v>3864</v>
      </c>
      <c r="J354" s="1" t="s">
        <v>3891</v>
      </c>
      <c r="K354" s="1" t="s">
        <v>3891</v>
      </c>
      <c r="L354" s="1"/>
      <c r="M354" s="6" t="str">
        <f>IF(Table2[[#This Row],[Corrected Form '#
 (If Duplicated)]]="",Table2[[#This Row],[Form '#]],Table2[[#This Row],[Corrected Form '#
 (If Duplicated)]])</f>
        <v>7810-01418</v>
      </c>
      <c r="N354" s="1" t="s">
        <v>49</v>
      </c>
      <c r="O354" s="6" t="str">
        <f>IF(Table2[[#This Row],[POG CONFIRMATION RECEIPT OF ORDER
(DATE &amp; TIME)]]="","No Confirmation","Received Confirmation")</f>
        <v>Received Confirmation</v>
      </c>
      <c r="P354" s="6">
        <f ca="1">TODAY()-Table2[[#This Row],[DATE SENT TO POG]]</f>
        <v>329</v>
      </c>
      <c r="Q354" s="6" t="s">
        <v>5803</v>
      </c>
      <c r="R3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4" s="2" t="str">
        <f>_xlfn.XLOOKUP(Table2[[#This Row],[Adjusted Form '#]],'[2]IN PROGRESS'!$D:$D,'[2]IN PROGRESS'!$M:$M,"Not Found")</f>
        <v>Not Found</v>
      </c>
      <c r="U354" s="2" t="str">
        <f>_xlfn.XLOOKUP(Table2[[#This Row],[Adjusted Form '#]],[1]COMPLETED!$D:$D,[2]COMPLETED!$M:$M,"Not Found")</f>
        <v>Not Found</v>
      </c>
      <c r="V354" s="17" t="str">
        <f>_xlfn.XLOOKUP(Table2[[#This Row],[Adjusted Form '#]],[2]COMPLETED!$D:$D,[2]COMPLETED!$O:$O,"Not Found")</f>
        <v>Not Found</v>
      </c>
      <c r="W354" s="2" t="str">
        <f>_xlfn.XLOOKUP(Table2[[#This Row],[Adjusted Form '#]],[2]BILLED!$D:$D,[2]BILLED!$M:$M,"Not Found")</f>
        <v>1Z5063E0YW40986900</v>
      </c>
      <c r="X354" s="17" t="e">
        <f>_xlfn.XLOOKUP(Table2[[#This Row],[Adjusted Form '#]],[2]BILLED!$D:$D,[1]BILLED!$O:$O,"Not Found")</f>
        <v>#REF!</v>
      </c>
      <c r="Y354" s="17" t="e">
        <f>_xlfn.XLOOKUP(Table2[[#This Row],[Adjusted Form '#]],'[2]REJECTED ORDERS'!$D:$D,'[2]REJECTED ORDERS'!$E:$E)</f>
        <v>#N/A</v>
      </c>
      <c r="Z354" s="1"/>
      <c r="AA354" s="1"/>
      <c r="AB354" s="8"/>
      <c r="AC354" s="8"/>
      <c r="AD354" s="8"/>
      <c r="AE354" s="8"/>
      <c r="AF354" s="8"/>
      <c r="AG354" s="8"/>
      <c r="AH354" s="8"/>
      <c r="AI354" s="8"/>
      <c r="AJ354" s="8"/>
    </row>
    <row r="355" spans="1:36" ht="15" customHeight="1" x14ac:dyDescent="0.35">
      <c r="A355" s="4" t="s">
        <v>517</v>
      </c>
      <c r="B355" s="1" t="s">
        <v>3674</v>
      </c>
      <c r="C355" s="11">
        <v>44974</v>
      </c>
      <c r="D355" s="11" t="s">
        <v>4402</v>
      </c>
      <c r="E355" s="1" t="s">
        <v>21</v>
      </c>
      <c r="F355" s="1" t="s">
        <v>4403</v>
      </c>
      <c r="G355" s="6">
        <f>COUNTIF(F:F,Table2[[#This Row],[Form '#]])</f>
        <v>1</v>
      </c>
      <c r="H355" s="1" t="s">
        <v>375</v>
      </c>
      <c r="I355" s="1" t="s">
        <v>177</v>
      </c>
      <c r="J355" s="1" t="s">
        <v>75</v>
      </c>
      <c r="K355" s="1" t="s">
        <v>3853</v>
      </c>
      <c r="L355" s="1"/>
      <c r="M355" s="6" t="str">
        <f>IF(Table2[[#This Row],[Corrected Form '#
 (If Duplicated)]]="",Table2[[#This Row],[Form '#]],Table2[[#This Row],[Corrected Form '#
 (If Duplicated)]])</f>
        <v>7818-15748</v>
      </c>
      <c r="N355" s="1" t="s">
        <v>49</v>
      </c>
      <c r="O355" s="6" t="str">
        <f>IF(Table2[[#This Row],[POG CONFIRMATION RECEIPT OF ORDER
(DATE &amp; TIME)]]="","No Confirmation","Received Confirmation")</f>
        <v>Received Confirmation</v>
      </c>
      <c r="P355" s="6">
        <f ca="1">TODAY()-Table2[[#This Row],[DATE SENT TO POG]]</f>
        <v>329</v>
      </c>
      <c r="Q355" s="6" t="s">
        <v>5803</v>
      </c>
      <c r="R3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5" s="2" t="str">
        <f>_xlfn.XLOOKUP(Table2[[#This Row],[Adjusted Form '#]],'[2]IN PROGRESS'!$D:$D,'[2]IN PROGRESS'!$M:$M,"Not Found")</f>
        <v>Not Found</v>
      </c>
      <c r="U355" s="2" t="str">
        <f>_xlfn.XLOOKUP(Table2[[#This Row],[Adjusted Form '#]],[1]COMPLETED!$D:$D,[2]COMPLETED!$M:$M,"Not Found")</f>
        <v>Not Found</v>
      </c>
      <c r="V355" s="17" t="str">
        <f>_xlfn.XLOOKUP(Table2[[#This Row],[Adjusted Form '#]],[2]COMPLETED!$D:$D,[2]COMPLETED!$O:$O,"Not Found")</f>
        <v>Not Found</v>
      </c>
      <c r="W355" s="2" t="str">
        <f>_xlfn.XLOOKUP(Table2[[#This Row],[Adjusted Form '#]],[2]BILLED!$D:$D,[2]BILLED!$M:$M,"Not Found")</f>
        <v>1Z5063E0YW40472965</v>
      </c>
      <c r="X355" s="17" t="e">
        <f>_xlfn.XLOOKUP(Table2[[#This Row],[Adjusted Form '#]],[2]BILLED!$D:$D,[1]BILLED!$O:$O,"Not Found")</f>
        <v>#REF!</v>
      </c>
      <c r="Y355" s="17" t="e">
        <f>_xlfn.XLOOKUP(Table2[[#This Row],[Adjusted Form '#]],'[2]REJECTED ORDERS'!$D:$D,'[2]REJECTED ORDERS'!$E:$E)</f>
        <v>#N/A</v>
      </c>
      <c r="Z355" s="1"/>
      <c r="AA355" s="1"/>
      <c r="AB355" s="8"/>
      <c r="AC355" s="8"/>
      <c r="AD355" s="8"/>
      <c r="AE355" s="8"/>
      <c r="AF355" s="8"/>
      <c r="AG355" s="8"/>
      <c r="AH355" s="8"/>
      <c r="AI355" s="8"/>
      <c r="AJ355" s="8"/>
    </row>
    <row r="356" spans="1:36" ht="15" customHeight="1" x14ac:dyDescent="0.35">
      <c r="A356" s="4" t="s">
        <v>518</v>
      </c>
      <c r="B356" s="1" t="s">
        <v>3483</v>
      </c>
      <c r="C356" s="11">
        <v>44974</v>
      </c>
      <c r="D356" s="11" t="s">
        <v>4402</v>
      </c>
      <c r="E356" s="1" t="s">
        <v>21</v>
      </c>
      <c r="F356" s="1" t="s">
        <v>4404</v>
      </c>
      <c r="G356" s="6">
        <f>COUNTIF(F:F,Table2[[#This Row],[Form '#]])</f>
        <v>1</v>
      </c>
      <c r="H356" s="1" t="s">
        <v>4405</v>
      </c>
      <c r="I356" s="1" t="s">
        <v>3852</v>
      </c>
      <c r="J356" s="1" t="s">
        <v>80</v>
      </c>
      <c r="K356" s="1" t="s">
        <v>3853</v>
      </c>
      <c r="L356" s="1"/>
      <c r="M356" s="6" t="str">
        <f>IF(Table2[[#This Row],[Corrected Form '#
 (If Duplicated)]]="",Table2[[#This Row],[Form '#]],Table2[[#This Row],[Corrected Form '#
 (If Duplicated)]])</f>
        <v>7818-19894</v>
      </c>
      <c r="N356" s="1" t="s">
        <v>49</v>
      </c>
      <c r="O356" s="6" t="str">
        <f>IF(Table2[[#This Row],[POG CONFIRMATION RECEIPT OF ORDER
(DATE &amp; TIME)]]="","No Confirmation","Received Confirmation")</f>
        <v>Received Confirmation</v>
      </c>
      <c r="P356" s="6">
        <f ca="1">TODAY()-Table2[[#This Row],[DATE SENT TO POG]]</f>
        <v>329</v>
      </c>
      <c r="Q356" s="6" t="s">
        <v>5803</v>
      </c>
      <c r="R3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6" s="2" t="str">
        <f>_xlfn.XLOOKUP(Table2[[#This Row],[Adjusted Form '#]],'[2]IN PROGRESS'!$D:$D,'[2]IN PROGRESS'!$M:$M,"Not Found")</f>
        <v>Not Found</v>
      </c>
      <c r="U356" s="2" t="str">
        <f>_xlfn.XLOOKUP(Table2[[#This Row],[Adjusted Form '#]],[1]COMPLETED!$D:$D,[2]COMPLETED!$M:$M,"Not Found")</f>
        <v>Not Found</v>
      </c>
      <c r="V356" s="17" t="str">
        <f>_xlfn.XLOOKUP(Table2[[#This Row],[Adjusted Form '#]],[2]COMPLETED!$D:$D,[2]COMPLETED!$O:$O,"Not Found")</f>
        <v>Not Found</v>
      </c>
      <c r="W356" s="2" t="str">
        <f>_xlfn.XLOOKUP(Table2[[#This Row],[Adjusted Form '#]],[2]BILLED!$D:$D,[2]BILLED!$M:$M,"Not Found")</f>
        <v>1Z5063E0YW42253386</v>
      </c>
      <c r="X356" s="17" t="e">
        <f>_xlfn.XLOOKUP(Table2[[#This Row],[Adjusted Form '#]],[2]BILLED!$D:$D,[1]BILLED!$O:$O,"Not Found")</f>
        <v>#REF!</v>
      </c>
      <c r="Y356" s="17" t="e">
        <f>_xlfn.XLOOKUP(Table2[[#This Row],[Adjusted Form '#]],'[2]REJECTED ORDERS'!$D:$D,'[2]REJECTED ORDERS'!$E:$E)</f>
        <v>#N/A</v>
      </c>
      <c r="Z356" s="1"/>
      <c r="AA356" s="1"/>
      <c r="AB356" s="8"/>
      <c r="AC356" s="8"/>
      <c r="AD356" s="8"/>
      <c r="AE356" s="8"/>
      <c r="AF356" s="8"/>
      <c r="AG356" s="8"/>
      <c r="AH356" s="8"/>
      <c r="AI356" s="8"/>
      <c r="AJ356" s="8"/>
    </row>
    <row r="357" spans="1:36" ht="15" customHeight="1" x14ac:dyDescent="0.35">
      <c r="A357" s="4" t="s">
        <v>519</v>
      </c>
      <c r="B357" s="1" t="s">
        <v>4406</v>
      </c>
      <c r="C357" s="11">
        <v>44974</v>
      </c>
      <c r="D357" s="11" t="s">
        <v>4402</v>
      </c>
      <c r="E357" s="1" t="s">
        <v>21</v>
      </c>
      <c r="F357" s="1" t="s">
        <v>4407</v>
      </c>
      <c r="G357" s="6">
        <f>COUNTIF(F:F,Table2[[#This Row],[Form '#]])</f>
        <v>1</v>
      </c>
      <c r="H357" s="1" t="s">
        <v>4408</v>
      </c>
      <c r="I357" s="1" t="s">
        <v>127</v>
      </c>
      <c r="J357" s="1" t="s">
        <v>71</v>
      </c>
      <c r="K357" s="1" t="s">
        <v>3883</v>
      </c>
      <c r="L357" s="1"/>
      <c r="M357" s="6" t="str">
        <f>IF(Table2[[#This Row],[Corrected Form '#
 (If Duplicated)]]="",Table2[[#This Row],[Form '#]],Table2[[#This Row],[Corrected Form '#
 (If Duplicated)]])</f>
        <v>7818-21954</v>
      </c>
      <c r="N357" s="1" t="s">
        <v>49</v>
      </c>
      <c r="O357" s="6" t="str">
        <f>IF(Table2[[#This Row],[POG CONFIRMATION RECEIPT OF ORDER
(DATE &amp; TIME)]]="","No Confirmation","Received Confirmation")</f>
        <v>Received Confirmation</v>
      </c>
      <c r="P357" s="6">
        <f ca="1">TODAY()-Table2[[#This Row],[DATE SENT TO POG]]</f>
        <v>329</v>
      </c>
      <c r="Q357" s="6" t="s">
        <v>5803</v>
      </c>
      <c r="R3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7" s="2" t="str">
        <f>_xlfn.XLOOKUP(Table2[[#This Row],[Adjusted Form '#]],'[2]IN PROGRESS'!$D:$D,'[2]IN PROGRESS'!$M:$M,"Not Found")</f>
        <v>Not Found</v>
      </c>
      <c r="U357" s="2" t="str">
        <f>_xlfn.XLOOKUP(Table2[[#This Row],[Adjusted Form '#]],[1]COMPLETED!$D:$D,[2]COMPLETED!$M:$M,"Not Found")</f>
        <v>Not Found</v>
      </c>
      <c r="V357" s="17" t="str">
        <f>_xlfn.XLOOKUP(Table2[[#This Row],[Adjusted Form '#]],[2]COMPLETED!$D:$D,[2]COMPLETED!$O:$O,"Not Found")</f>
        <v>Not Found</v>
      </c>
      <c r="W357" s="2" t="str">
        <f>_xlfn.XLOOKUP(Table2[[#This Row],[Adjusted Form '#]],[2]BILLED!$D:$D,[2]BILLED!$M:$M,"Not Found")</f>
        <v>1Z5063E0YW42768786</v>
      </c>
      <c r="X357" s="17" t="e">
        <f>_xlfn.XLOOKUP(Table2[[#This Row],[Adjusted Form '#]],[2]BILLED!$D:$D,[1]BILLED!$O:$O,"Not Found")</f>
        <v>#REF!</v>
      </c>
      <c r="Y357" s="17" t="e">
        <f>_xlfn.XLOOKUP(Table2[[#This Row],[Adjusted Form '#]],'[2]REJECTED ORDERS'!$D:$D,'[2]REJECTED ORDERS'!$E:$E)</f>
        <v>#N/A</v>
      </c>
      <c r="Z357" s="1"/>
      <c r="AA357" s="1"/>
      <c r="AB357" s="8"/>
      <c r="AC357" s="8"/>
      <c r="AD357" s="8"/>
      <c r="AE357" s="8"/>
      <c r="AF357" s="8"/>
      <c r="AG357" s="8"/>
      <c r="AH357" s="8"/>
      <c r="AI357" s="8"/>
      <c r="AJ357" s="8"/>
    </row>
    <row r="358" spans="1:36" ht="15" customHeight="1" x14ac:dyDescent="0.35">
      <c r="A358" s="4" t="s">
        <v>520</v>
      </c>
      <c r="B358" s="1" t="s">
        <v>4406</v>
      </c>
      <c r="C358" s="11">
        <v>44974</v>
      </c>
      <c r="D358" s="11" t="s">
        <v>4402</v>
      </c>
      <c r="E358" s="1" t="s">
        <v>21</v>
      </c>
      <c r="F358" s="1" t="s">
        <v>4409</v>
      </c>
      <c r="G358" s="6">
        <f>COUNTIF(F:F,Table2[[#This Row],[Form '#]])</f>
        <v>1</v>
      </c>
      <c r="H358" s="1" t="s">
        <v>4410</v>
      </c>
      <c r="I358" s="1" t="s">
        <v>28</v>
      </c>
      <c r="J358" s="1" t="s">
        <v>69</v>
      </c>
      <c r="K358" s="1" t="s">
        <v>3898</v>
      </c>
      <c r="L358" s="1"/>
      <c r="M358" s="6" t="str">
        <f>IF(Table2[[#This Row],[Corrected Form '#
 (If Duplicated)]]="",Table2[[#This Row],[Form '#]],Table2[[#This Row],[Corrected Form '#
 (If Duplicated)]])</f>
        <v>7818-25965</v>
      </c>
      <c r="N358" s="1" t="s">
        <v>49</v>
      </c>
      <c r="O358" s="6" t="str">
        <f>IF(Table2[[#This Row],[POG CONFIRMATION RECEIPT OF ORDER
(DATE &amp; TIME)]]="","No Confirmation","Received Confirmation")</f>
        <v>Received Confirmation</v>
      </c>
      <c r="P358" s="6">
        <f ca="1">TODAY()-Table2[[#This Row],[DATE SENT TO POG]]</f>
        <v>329</v>
      </c>
      <c r="Q358" s="6" t="s">
        <v>5803</v>
      </c>
      <c r="R3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8" s="2" t="str">
        <f>_xlfn.XLOOKUP(Table2[[#This Row],[Adjusted Form '#]],'[2]IN PROGRESS'!$D:$D,'[2]IN PROGRESS'!$M:$M,"Not Found")</f>
        <v>Not Found</v>
      </c>
      <c r="U358" s="2" t="str">
        <f>_xlfn.XLOOKUP(Table2[[#This Row],[Adjusted Form '#]],[1]COMPLETED!$D:$D,[2]COMPLETED!$M:$M,"Not Found")</f>
        <v>Not Found</v>
      </c>
      <c r="V358" s="17" t="str">
        <f>_xlfn.XLOOKUP(Table2[[#This Row],[Adjusted Form '#]],[2]COMPLETED!$D:$D,[2]COMPLETED!$O:$O,"Not Found")</f>
        <v>Not Found</v>
      </c>
      <c r="W358" s="2" t="str">
        <f>_xlfn.XLOOKUP(Table2[[#This Row],[Adjusted Form '#]],[2]BILLED!$D:$D,[2]BILLED!$M:$M,"Not Found")</f>
        <v>1Z5063E0YW41697953</v>
      </c>
      <c r="X358" s="17" t="e">
        <f>_xlfn.XLOOKUP(Table2[[#This Row],[Adjusted Form '#]],[2]BILLED!$D:$D,[1]BILLED!$O:$O,"Not Found")</f>
        <v>#REF!</v>
      </c>
      <c r="Y358" s="17" t="e">
        <f>_xlfn.XLOOKUP(Table2[[#This Row],[Adjusted Form '#]],'[2]REJECTED ORDERS'!$D:$D,'[2]REJECTED ORDERS'!$E:$E)</f>
        <v>#N/A</v>
      </c>
      <c r="Z358" s="1"/>
      <c r="AA358" s="1"/>
      <c r="AB358" s="8"/>
      <c r="AC358" s="8"/>
      <c r="AD358" s="8"/>
      <c r="AE358" s="8"/>
      <c r="AF358" s="8"/>
      <c r="AG358" s="8"/>
      <c r="AH358" s="8"/>
      <c r="AI358" s="8"/>
      <c r="AJ358" s="8"/>
    </row>
    <row r="359" spans="1:36" ht="15" customHeight="1" x14ac:dyDescent="0.35">
      <c r="A359" s="4" t="s">
        <v>521</v>
      </c>
      <c r="B359" s="1" t="s">
        <v>4406</v>
      </c>
      <c r="C359" s="11">
        <v>44974</v>
      </c>
      <c r="D359" s="11" t="s">
        <v>4402</v>
      </c>
      <c r="E359" s="1" t="s">
        <v>21</v>
      </c>
      <c r="F359" s="1" t="s">
        <v>4411</v>
      </c>
      <c r="G359" s="6">
        <f>COUNTIF(F:F,Table2[[#This Row],[Form '#]])</f>
        <v>1</v>
      </c>
      <c r="H359" s="1" t="s">
        <v>4412</v>
      </c>
      <c r="I359" s="1" t="s">
        <v>3852</v>
      </c>
      <c r="J359" s="1" t="s">
        <v>80</v>
      </c>
      <c r="K359" s="1" t="s">
        <v>4011</v>
      </c>
      <c r="L359" s="1"/>
      <c r="M359" s="6" t="str">
        <f>IF(Table2[[#This Row],[Corrected Form '#
 (If Duplicated)]]="",Table2[[#This Row],[Form '#]],Table2[[#This Row],[Corrected Form '#
 (If Duplicated)]])</f>
        <v>7818-24218</v>
      </c>
      <c r="N359" s="1" t="s">
        <v>49</v>
      </c>
      <c r="O359" s="6" t="str">
        <f>IF(Table2[[#This Row],[POG CONFIRMATION RECEIPT OF ORDER
(DATE &amp; TIME)]]="","No Confirmation","Received Confirmation")</f>
        <v>Received Confirmation</v>
      </c>
      <c r="P359" s="6">
        <f ca="1">TODAY()-Table2[[#This Row],[DATE SENT TO POG]]</f>
        <v>329</v>
      </c>
      <c r="Q359" s="6" t="s">
        <v>5803</v>
      </c>
      <c r="R3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59" s="2" t="str">
        <f>_xlfn.XLOOKUP(Table2[[#This Row],[Adjusted Form '#]],'[2]IN PROGRESS'!$D:$D,'[2]IN PROGRESS'!$M:$M,"Not Found")</f>
        <v>Not Found</v>
      </c>
      <c r="U359" s="2" t="str">
        <f>_xlfn.XLOOKUP(Table2[[#This Row],[Adjusted Form '#]],[1]COMPLETED!$D:$D,[2]COMPLETED!$M:$M,"Not Found")</f>
        <v>Not Found</v>
      </c>
      <c r="V359" s="17" t="str">
        <f>_xlfn.XLOOKUP(Table2[[#This Row],[Adjusted Form '#]],[2]COMPLETED!$D:$D,[2]COMPLETED!$O:$O,"Not Found")</f>
        <v>Not Found</v>
      </c>
      <c r="W359" s="2" t="str">
        <f>_xlfn.XLOOKUP(Table2[[#This Row],[Adjusted Form '#]],[2]BILLED!$D:$D,[2]BILLED!$M:$M,"Not Found")</f>
        <v>1Z5063E0YW41545250</v>
      </c>
      <c r="X359" s="17" t="e">
        <f>_xlfn.XLOOKUP(Table2[[#This Row],[Adjusted Form '#]],[2]BILLED!$D:$D,[1]BILLED!$O:$O,"Not Found")</f>
        <v>#REF!</v>
      </c>
      <c r="Y359" s="17" t="e">
        <f>_xlfn.XLOOKUP(Table2[[#This Row],[Adjusted Form '#]],'[2]REJECTED ORDERS'!$D:$D,'[2]REJECTED ORDERS'!$E:$E)</f>
        <v>#N/A</v>
      </c>
      <c r="Z359" s="1"/>
      <c r="AA359" s="1"/>
      <c r="AB359" s="8"/>
      <c r="AC359" s="8"/>
      <c r="AD359" s="8"/>
      <c r="AE359" s="8"/>
      <c r="AF359" s="8"/>
      <c r="AG359" s="8"/>
      <c r="AH359" s="8"/>
      <c r="AI359" s="8"/>
      <c r="AJ359" s="8"/>
    </row>
    <row r="360" spans="1:36" ht="15" customHeight="1" x14ac:dyDescent="0.35">
      <c r="A360" s="4" t="s">
        <v>522</v>
      </c>
      <c r="B360" s="1" t="s">
        <v>772</v>
      </c>
      <c r="C360" s="11">
        <v>44974</v>
      </c>
      <c r="D360" s="11" t="s">
        <v>4402</v>
      </c>
      <c r="E360" s="1" t="s">
        <v>21</v>
      </c>
      <c r="F360" s="1" t="s">
        <v>4413</v>
      </c>
      <c r="G360" s="6">
        <f>COUNTIF(F:F,Table2[[#This Row],[Form '#]])</f>
        <v>1</v>
      </c>
      <c r="H360" s="1" t="s">
        <v>4414</v>
      </c>
      <c r="I360" s="1" t="s">
        <v>3852</v>
      </c>
      <c r="J360" s="1" t="s">
        <v>80</v>
      </c>
      <c r="K360" s="1" t="s">
        <v>3853</v>
      </c>
      <c r="L360" s="1"/>
      <c r="M360" s="6" t="str">
        <f>IF(Table2[[#This Row],[Corrected Form '#
 (If Duplicated)]]="",Table2[[#This Row],[Form '#]],Table2[[#This Row],[Corrected Form '#
 (If Duplicated)]])</f>
        <v>7818-18050</v>
      </c>
      <c r="N360" s="1" t="s">
        <v>49</v>
      </c>
      <c r="O360" s="6" t="str">
        <f>IF(Table2[[#This Row],[POG CONFIRMATION RECEIPT OF ORDER
(DATE &amp; TIME)]]="","No Confirmation","Received Confirmation")</f>
        <v>Received Confirmation</v>
      </c>
      <c r="P360" s="6">
        <f ca="1">TODAY()-Table2[[#This Row],[DATE SENT TO POG]]</f>
        <v>329</v>
      </c>
      <c r="Q360" s="6" t="s">
        <v>5803</v>
      </c>
      <c r="R3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0" s="2" t="str">
        <f>_xlfn.XLOOKUP(Table2[[#This Row],[Adjusted Form '#]],'[2]IN PROGRESS'!$D:$D,'[2]IN PROGRESS'!$M:$M,"Not Found")</f>
        <v>Not Found</v>
      </c>
      <c r="U360" s="2" t="str">
        <f>_xlfn.XLOOKUP(Table2[[#This Row],[Adjusted Form '#]],[1]COMPLETED!$D:$D,[2]COMPLETED!$M:$M,"Not Found")</f>
        <v>Not Found</v>
      </c>
      <c r="V360" s="17" t="str">
        <f>_xlfn.XLOOKUP(Table2[[#This Row],[Adjusted Form '#]],[2]COMPLETED!$D:$D,[2]COMPLETED!$O:$O,"Not Found")</f>
        <v>Not Found</v>
      </c>
      <c r="W360" s="2" t="str">
        <f>_xlfn.XLOOKUP(Table2[[#This Row],[Adjusted Form '#]],[2]BILLED!$D:$D,[2]BILLED!$M:$M,"Not Found")</f>
        <v>1Z5063E0YW42485715</v>
      </c>
      <c r="X360" s="17" t="e">
        <f>_xlfn.XLOOKUP(Table2[[#This Row],[Adjusted Form '#]],[2]BILLED!$D:$D,[1]BILLED!$O:$O,"Not Found")</f>
        <v>#REF!</v>
      </c>
      <c r="Y360" s="17" t="e">
        <f>_xlfn.XLOOKUP(Table2[[#This Row],[Adjusted Form '#]],'[2]REJECTED ORDERS'!$D:$D,'[2]REJECTED ORDERS'!$E:$E)</f>
        <v>#N/A</v>
      </c>
      <c r="Z360" s="1"/>
      <c r="AA360" s="1"/>
      <c r="AB360" s="8"/>
      <c r="AC360" s="8"/>
      <c r="AD360" s="8"/>
      <c r="AE360" s="8"/>
      <c r="AF360" s="8"/>
      <c r="AG360" s="8"/>
      <c r="AH360" s="8"/>
      <c r="AI360" s="8"/>
      <c r="AJ360" s="8"/>
    </row>
    <row r="361" spans="1:36" ht="15" customHeight="1" x14ac:dyDescent="0.35">
      <c r="A361" s="4" t="s">
        <v>524</v>
      </c>
      <c r="B361" s="1" t="s">
        <v>772</v>
      </c>
      <c r="C361" s="11">
        <v>44974</v>
      </c>
      <c r="D361" s="11" t="s">
        <v>4402</v>
      </c>
      <c r="E361" s="1" t="s">
        <v>21</v>
      </c>
      <c r="F361" s="1" t="s">
        <v>4415</v>
      </c>
      <c r="G361" s="6">
        <f>COUNTIF(F:F,Table2[[#This Row],[Form '#]])</f>
        <v>1</v>
      </c>
      <c r="H361" s="1" t="s">
        <v>2496</v>
      </c>
      <c r="I361" s="1" t="s">
        <v>127</v>
      </c>
      <c r="J361" s="1" t="s">
        <v>74</v>
      </c>
      <c r="K361" s="1" t="s">
        <v>3883</v>
      </c>
      <c r="L361" s="1"/>
      <c r="M361" s="6" t="str">
        <f>IF(Table2[[#This Row],[Corrected Form '#
 (If Duplicated)]]="",Table2[[#This Row],[Form '#]],Table2[[#This Row],[Corrected Form '#
 (If Duplicated)]])</f>
        <v>7818-27181</v>
      </c>
      <c r="N361" s="1" t="s">
        <v>49</v>
      </c>
      <c r="O361" s="6" t="str">
        <f>IF(Table2[[#This Row],[POG CONFIRMATION RECEIPT OF ORDER
(DATE &amp; TIME)]]="","No Confirmation","Received Confirmation")</f>
        <v>Received Confirmation</v>
      </c>
      <c r="P361" s="6">
        <f ca="1">TODAY()-Table2[[#This Row],[DATE SENT TO POG]]</f>
        <v>329</v>
      </c>
      <c r="Q361" s="6" t="s">
        <v>5803</v>
      </c>
      <c r="R3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1" s="2" t="str">
        <f>_xlfn.XLOOKUP(Table2[[#This Row],[Adjusted Form '#]],'[2]IN PROGRESS'!$D:$D,'[2]IN PROGRESS'!$M:$M,"Not Found")</f>
        <v>Not Found</v>
      </c>
      <c r="U361" s="2" t="str">
        <f>_xlfn.XLOOKUP(Table2[[#This Row],[Adjusted Form '#]],[1]COMPLETED!$D:$D,[2]COMPLETED!$M:$M,"Not Found")</f>
        <v>Not Found</v>
      </c>
      <c r="V361" s="17" t="str">
        <f>_xlfn.XLOOKUP(Table2[[#This Row],[Adjusted Form '#]],[2]COMPLETED!$D:$D,[2]COMPLETED!$O:$O,"Not Found")</f>
        <v>Not Found</v>
      </c>
      <c r="W361" s="2" t="str">
        <f>_xlfn.XLOOKUP(Table2[[#This Row],[Adjusted Form '#]],[2]BILLED!$D:$D,[2]BILLED!$M:$M,"Not Found")</f>
        <v>1Z5063E0YW41276872</v>
      </c>
      <c r="X361" s="17" t="e">
        <f>_xlfn.XLOOKUP(Table2[[#This Row],[Adjusted Form '#]],[2]BILLED!$D:$D,[1]BILLED!$O:$O,"Not Found")</f>
        <v>#REF!</v>
      </c>
      <c r="Y361" s="17" t="e">
        <f>_xlfn.XLOOKUP(Table2[[#This Row],[Adjusted Form '#]],'[2]REJECTED ORDERS'!$D:$D,'[2]REJECTED ORDERS'!$E:$E)</f>
        <v>#N/A</v>
      </c>
      <c r="Z361" s="1"/>
      <c r="AA361" s="1"/>
      <c r="AB361" s="8"/>
      <c r="AC361" s="8"/>
      <c r="AD361" s="8"/>
      <c r="AE361" s="8"/>
      <c r="AF361" s="8"/>
      <c r="AG361" s="8"/>
      <c r="AH361" s="8"/>
      <c r="AI361" s="8"/>
      <c r="AJ361" s="8"/>
    </row>
    <row r="362" spans="1:36" ht="15" customHeight="1" x14ac:dyDescent="0.35">
      <c r="A362" s="4" t="s">
        <v>525</v>
      </c>
      <c r="B362" s="1" t="s">
        <v>3750</v>
      </c>
      <c r="C362" s="11">
        <v>44978</v>
      </c>
      <c r="D362" s="11" t="s">
        <v>4416</v>
      </c>
      <c r="E362" s="1" t="s">
        <v>21</v>
      </c>
      <c r="F362" s="1" t="s">
        <v>4417</v>
      </c>
      <c r="G362" s="6">
        <f>COUNTIF(F:F,Table2[[#This Row],[Form '#]])</f>
        <v>1</v>
      </c>
      <c r="H362" s="1" t="s">
        <v>4418</v>
      </c>
      <c r="I362" s="1" t="s">
        <v>758</v>
      </c>
      <c r="J362" s="1" t="s">
        <v>78</v>
      </c>
      <c r="K362" s="1" t="s">
        <v>3853</v>
      </c>
      <c r="L362" s="1"/>
      <c r="M362" s="6" t="str">
        <f>IF(Table2[[#This Row],[Corrected Form '#
 (If Duplicated)]]="",Table2[[#This Row],[Form '#]],Table2[[#This Row],[Corrected Form '#
 (If Duplicated)]])</f>
        <v>7818-10449</v>
      </c>
      <c r="N362" s="1" t="s">
        <v>49</v>
      </c>
      <c r="O362" s="6" t="str">
        <f>IF(Table2[[#This Row],[POG CONFIRMATION RECEIPT OF ORDER
(DATE &amp; TIME)]]="","No Confirmation","Received Confirmation")</f>
        <v>Received Confirmation</v>
      </c>
      <c r="P362" s="6">
        <f ca="1">TODAY()-Table2[[#This Row],[DATE SENT TO POG]]</f>
        <v>325</v>
      </c>
      <c r="Q362" s="6" t="s">
        <v>5803</v>
      </c>
      <c r="R3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2" s="2" t="str">
        <f>_xlfn.XLOOKUP(Table2[[#This Row],[Adjusted Form '#]],'[2]IN PROGRESS'!$D:$D,'[2]IN PROGRESS'!$M:$M,"Not Found")</f>
        <v>Not Found</v>
      </c>
      <c r="U362" s="2" t="str">
        <f>_xlfn.XLOOKUP(Table2[[#This Row],[Adjusted Form '#]],[1]COMPLETED!$D:$D,[2]COMPLETED!$M:$M,"Not Found")</f>
        <v>Not Found</v>
      </c>
      <c r="V362" s="17" t="str">
        <f>_xlfn.XLOOKUP(Table2[[#This Row],[Adjusted Form '#]],[2]COMPLETED!$D:$D,[2]COMPLETED!$O:$O,"Not Found")</f>
        <v>Not Found</v>
      </c>
      <c r="W362" s="2" t="str">
        <f>_xlfn.XLOOKUP(Table2[[#This Row],[Adjusted Form '#]],[2]BILLED!$D:$D,[2]BILLED!$M:$M,"Not Found")</f>
        <v>1Z5063E0YW42772682</v>
      </c>
      <c r="X362" s="17" t="e">
        <f>_xlfn.XLOOKUP(Table2[[#This Row],[Adjusted Form '#]],[2]BILLED!$D:$D,[1]BILLED!$O:$O,"Not Found")</f>
        <v>#REF!</v>
      </c>
      <c r="Y362" s="17" t="str">
        <f>_xlfn.XLOOKUP(Table2[[#This Row],[Adjusted Form '#]],'[2]REJECTED ORDERS'!$D:$D,'[2]REJECTED ORDERS'!$E:$E)</f>
        <v>FORM NOT SIGNED</v>
      </c>
      <c r="Z362" s="1"/>
      <c r="AA362" s="1"/>
      <c r="AB362" s="8"/>
      <c r="AC362" s="8"/>
      <c r="AD362" s="8"/>
      <c r="AE362" s="8"/>
      <c r="AF362" s="8"/>
      <c r="AG362" s="8"/>
      <c r="AH362" s="8"/>
      <c r="AI362" s="8"/>
      <c r="AJ362" s="8"/>
    </row>
    <row r="363" spans="1:36" ht="15" customHeight="1" x14ac:dyDescent="0.35">
      <c r="A363" s="4" t="s">
        <v>527</v>
      </c>
      <c r="B363" s="1" t="s">
        <v>3750</v>
      </c>
      <c r="C363" s="11">
        <v>44978</v>
      </c>
      <c r="D363" s="11" t="s">
        <v>4416</v>
      </c>
      <c r="E363" s="1" t="s">
        <v>21</v>
      </c>
      <c r="F363" s="1" t="s">
        <v>4419</v>
      </c>
      <c r="G363" s="6">
        <f>COUNTIF(F:F,Table2[[#This Row],[Form '#]])</f>
        <v>1</v>
      </c>
      <c r="H363" s="1" t="s">
        <v>462</v>
      </c>
      <c r="I363" s="1" t="s">
        <v>28</v>
      </c>
      <c r="J363" s="1" t="s">
        <v>69</v>
      </c>
      <c r="K363" s="1" t="s">
        <v>3898</v>
      </c>
      <c r="L363" s="1"/>
      <c r="M363" s="6" t="str">
        <f>IF(Table2[[#This Row],[Corrected Form '#
 (If Duplicated)]]="",Table2[[#This Row],[Form '#]],Table2[[#This Row],[Corrected Form '#
 (If Duplicated)]])</f>
        <v>7818-25785</v>
      </c>
      <c r="N363" s="1" t="s">
        <v>49</v>
      </c>
      <c r="O363" s="6" t="str">
        <f>IF(Table2[[#This Row],[POG CONFIRMATION RECEIPT OF ORDER
(DATE &amp; TIME)]]="","No Confirmation","Received Confirmation")</f>
        <v>Received Confirmation</v>
      </c>
      <c r="P363" s="6">
        <f ca="1">TODAY()-Table2[[#This Row],[DATE SENT TO POG]]</f>
        <v>325</v>
      </c>
      <c r="Q363" s="6" t="s">
        <v>5803</v>
      </c>
      <c r="R3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3" s="2" t="str">
        <f>_xlfn.XLOOKUP(Table2[[#This Row],[Adjusted Form '#]],'[2]IN PROGRESS'!$D:$D,'[2]IN PROGRESS'!$M:$M,"Not Found")</f>
        <v>Not Found</v>
      </c>
      <c r="U363" s="2" t="str">
        <f>_xlfn.XLOOKUP(Table2[[#This Row],[Adjusted Form '#]],[1]COMPLETED!$D:$D,[2]COMPLETED!$M:$M,"Not Found")</f>
        <v>Not Found</v>
      </c>
      <c r="V363" s="17" t="str">
        <f>_xlfn.XLOOKUP(Table2[[#This Row],[Adjusted Form '#]],[2]COMPLETED!$D:$D,[2]COMPLETED!$O:$O,"Not Found")</f>
        <v>Not Found</v>
      </c>
      <c r="W363" s="2" t="str">
        <f>_xlfn.XLOOKUP(Table2[[#This Row],[Adjusted Form '#]],[2]BILLED!$D:$D,[2]BILLED!$M:$M,"Not Found")</f>
        <v>1Z5063E0YW40149556</v>
      </c>
      <c r="X363" s="17" t="e">
        <f>_xlfn.XLOOKUP(Table2[[#This Row],[Adjusted Form '#]],[2]BILLED!$D:$D,[1]BILLED!$O:$O,"Not Found")</f>
        <v>#REF!</v>
      </c>
      <c r="Y363" s="17" t="e">
        <f>_xlfn.XLOOKUP(Table2[[#This Row],[Adjusted Form '#]],'[2]REJECTED ORDERS'!$D:$D,'[2]REJECTED ORDERS'!$E:$E)</f>
        <v>#N/A</v>
      </c>
      <c r="Z363" s="1"/>
      <c r="AA363" s="1"/>
      <c r="AB363" s="8"/>
      <c r="AC363" s="8"/>
      <c r="AD363" s="8"/>
      <c r="AE363" s="8"/>
      <c r="AF363" s="8"/>
      <c r="AG363" s="8"/>
      <c r="AH363" s="8"/>
      <c r="AI363" s="8"/>
      <c r="AJ363" s="8"/>
    </row>
    <row r="364" spans="1:36" ht="15" customHeight="1" x14ac:dyDescent="0.35">
      <c r="A364" s="4" t="s">
        <v>529</v>
      </c>
      <c r="B364" s="1" t="s">
        <v>3750</v>
      </c>
      <c r="C364" s="11">
        <v>44978</v>
      </c>
      <c r="D364" s="11" t="s">
        <v>4416</v>
      </c>
      <c r="E364" s="1" t="s">
        <v>21</v>
      </c>
      <c r="F364" s="1" t="s">
        <v>4420</v>
      </c>
      <c r="G364" s="6">
        <f>COUNTIF(F:F,Table2[[#This Row],[Form '#]])</f>
        <v>1</v>
      </c>
      <c r="H364" s="1" t="s">
        <v>1096</v>
      </c>
      <c r="I364" s="1" t="s">
        <v>28</v>
      </c>
      <c r="J364" s="1" t="s">
        <v>3891</v>
      </c>
      <c r="K364" s="1" t="s">
        <v>3898</v>
      </c>
      <c r="L364" s="1"/>
      <c r="M364" s="6" t="str">
        <f>IF(Table2[[#This Row],[Corrected Form '#
 (If Duplicated)]]="",Table2[[#This Row],[Form '#]],Table2[[#This Row],[Corrected Form '#
 (If Duplicated)]])</f>
        <v>7818-16468</v>
      </c>
      <c r="N364" s="1" t="s">
        <v>49</v>
      </c>
      <c r="O364" s="6" t="str">
        <f>IF(Table2[[#This Row],[POG CONFIRMATION RECEIPT OF ORDER
(DATE &amp; TIME)]]="","No Confirmation","Received Confirmation")</f>
        <v>Received Confirmation</v>
      </c>
      <c r="P364" s="6">
        <f ca="1">TODAY()-Table2[[#This Row],[DATE SENT TO POG]]</f>
        <v>325</v>
      </c>
      <c r="Q364" s="6" t="s">
        <v>5803</v>
      </c>
      <c r="R3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4" s="2" t="str">
        <f>_xlfn.XLOOKUP(Table2[[#This Row],[Adjusted Form '#]],'[2]IN PROGRESS'!$D:$D,'[2]IN PROGRESS'!$M:$M,"Not Found")</f>
        <v>Not Found</v>
      </c>
      <c r="U364" s="2" t="str">
        <f>_xlfn.XLOOKUP(Table2[[#This Row],[Adjusted Form '#]],[1]COMPLETED!$D:$D,[2]COMPLETED!$M:$M,"Not Found")</f>
        <v>Not Found</v>
      </c>
      <c r="V364" s="17" t="str">
        <f>_xlfn.XLOOKUP(Table2[[#This Row],[Adjusted Form '#]],[2]COMPLETED!$D:$D,[2]COMPLETED!$O:$O,"Not Found")</f>
        <v>Not Found</v>
      </c>
      <c r="W364" s="2" t="str">
        <f>_xlfn.XLOOKUP(Table2[[#This Row],[Adjusted Form '#]],[2]BILLED!$D:$D,[2]BILLED!$M:$M,"Not Found")</f>
        <v>1Z5063E0YW42146564</v>
      </c>
      <c r="X364" s="17" t="e">
        <f>_xlfn.XLOOKUP(Table2[[#This Row],[Adjusted Form '#]],[2]BILLED!$D:$D,[1]BILLED!$O:$O,"Not Found")</f>
        <v>#REF!</v>
      </c>
      <c r="Y364" s="17" t="str">
        <f>_xlfn.XLOOKUP(Table2[[#This Row],[Adjusted Form '#]],'[2]REJECTED ORDERS'!$D:$D,'[2]REJECTED ORDERS'!$E:$E)</f>
        <v>FORM NUMBER ALREADY USED</v>
      </c>
      <c r="Z364" s="1"/>
      <c r="AA364" s="1"/>
      <c r="AB364" s="8"/>
      <c r="AC364" s="8"/>
      <c r="AD364" s="8"/>
      <c r="AE364" s="8"/>
      <c r="AF364" s="8"/>
      <c r="AG364" s="8"/>
      <c r="AH364" s="8"/>
      <c r="AI364" s="8"/>
      <c r="AJ364" s="8"/>
    </row>
    <row r="365" spans="1:36" ht="15" customHeight="1" x14ac:dyDescent="0.35">
      <c r="A365" s="4" t="s">
        <v>530</v>
      </c>
      <c r="B365" s="1" t="s">
        <v>1432</v>
      </c>
      <c r="C365" s="11">
        <v>44978</v>
      </c>
      <c r="E365" s="1" t="s">
        <v>73</v>
      </c>
      <c r="F365" s="1" t="s">
        <v>4421</v>
      </c>
      <c r="G365" s="6">
        <f>COUNTIF(F:F,Table2[[#This Row],[Form '#]])</f>
        <v>1</v>
      </c>
      <c r="H365" s="1" t="s">
        <v>4422</v>
      </c>
      <c r="I365" s="1" t="s">
        <v>3864</v>
      </c>
      <c r="J365" s="1" t="s">
        <v>78</v>
      </c>
      <c r="K365" s="1" t="s">
        <v>3879</v>
      </c>
      <c r="L365" s="1"/>
      <c r="M365" s="6" t="str">
        <f>IF(Table2[[#This Row],[Corrected Form '#
 (If Duplicated)]]="",Table2[[#This Row],[Form '#]],Table2[[#This Row],[Corrected Form '#
 (If Duplicated)]])</f>
        <v>7823-02761</v>
      </c>
      <c r="N365" s="1" t="s">
        <v>49</v>
      </c>
      <c r="O365" s="6" t="str">
        <f>IF(Table2[[#This Row],[POG CONFIRMATION RECEIPT OF ORDER
(DATE &amp; TIME)]]="","No Confirmation","Received Confirmation")</f>
        <v>No Confirmation</v>
      </c>
      <c r="P365" s="6">
        <f ca="1">TODAY()-Table2[[#This Row],[DATE SENT TO POG]]</f>
        <v>325</v>
      </c>
      <c r="Q365" s="6" t="s">
        <v>5803</v>
      </c>
      <c r="R3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5" s="2" t="str">
        <f>_xlfn.XLOOKUP(Table2[[#This Row],[Adjusted Form '#]],'[2]IN PROGRESS'!$D:$D,'[2]IN PROGRESS'!$M:$M,"Not Found")</f>
        <v>Not Found</v>
      </c>
      <c r="U365" s="2" t="str">
        <f>_xlfn.XLOOKUP(Table2[[#This Row],[Adjusted Form '#]],[1]COMPLETED!$D:$D,[2]COMPLETED!$M:$M,"Not Found")</f>
        <v>Not Found</v>
      </c>
      <c r="V365" s="17" t="str">
        <f>_xlfn.XLOOKUP(Table2[[#This Row],[Adjusted Form '#]],[2]COMPLETED!$D:$D,[2]COMPLETED!$O:$O,"Not Found")</f>
        <v>Not Found</v>
      </c>
      <c r="W365" s="2" t="str">
        <f>_xlfn.XLOOKUP(Table2[[#This Row],[Adjusted Form '#]],[2]BILLED!$D:$D,[2]BILLED!$M:$M,"Not Found")</f>
        <v>1Z5063E0YW41341729</v>
      </c>
      <c r="X365" s="17" t="e">
        <f>_xlfn.XLOOKUP(Table2[[#This Row],[Adjusted Form '#]],[2]BILLED!$D:$D,[1]BILLED!$O:$O,"Not Found")</f>
        <v>#REF!</v>
      </c>
      <c r="Y365" s="17" t="str">
        <f>_xlfn.XLOOKUP(Table2[[#This Row],[Adjusted Form '#]],'[2]REJECTED ORDERS'!$D:$D,'[2]REJECTED ORDERS'!$E:$E)</f>
        <v>FORM NOT SIGNED</v>
      </c>
      <c r="Z365" s="1"/>
      <c r="AA365" s="1"/>
      <c r="AB365" s="8"/>
      <c r="AC365" s="8"/>
      <c r="AD365" s="8"/>
      <c r="AE365" s="8"/>
      <c r="AF365" s="8"/>
      <c r="AG365" s="8"/>
      <c r="AH365" s="8"/>
      <c r="AI365" s="8"/>
      <c r="AJ365" s="8"/>
    </row>
    <row r="366" spans="1:36" ht="15" customHeight="1" x14ac:dyDescent="0.35">
      <c r="A366" s="4" t="s">
        <v>532</v>
      </c>
      <c r="B366" s="1" t="s">
        <v>4423</v>
      </c>
      <c r="C366" s="11">
        <v>44978</v>
      </c>
      <c r="E366" s="1" t="s">
        <v>73</v>
      </c>
      <c r="F366" s="1" t="s">
        <v>4424</v>
      </c>
      <c r="G366" s="6">
        <f>COUNTIF(F:F,Table2[[#This Row],[Form '#]])</f>
        <v>1</v>
      </c>
      <c r="H366" s="1" t="s">
        <v>4425</v>
      </c>
      <c r="I366" s="1" t="s">
        <v>3852</v>
      </c>
      <c r="J366" s="1" t="s">
        <v>80</v>
      </c>
      <c r="K366" s="1" t="s">
        <v>4011</v>
      </c>
      <c r="L366" s="1"/>
      <c r="M366" s="6" t="str">
        <f>IF(Table2[[#This Row],[Corrected Form '#
 (If Duplicated)]]="",Table2[[#This Row],[Form '#]],Table2[[#This Row],[Corrected Form '#
 (If Duplicated)]])</f>
        <v>7823-02763</v>
      </c>
      <c r="N366" s="1" t="s">
        <v>49</v>
      </c>
      <c r="O366" s="6" t="str">
        <f>IF(Table2[[#This Row],[POG CONFIRMATION RECEIPT OF ORDER
(DATE &amp; TIME)]]="","No Confirmation","Received Confirmation")</f>
        <v>No Confirmation</v>
      </c>
      <c r="P366" s="6">
        <f ca="1">TODAY()-Table2[[#This Row],[DATE SENT TO POG]]</f>
        <v>325</v>
      </c>
      <c r="Q366" s="6" t="s">
        <v>5802</v>
      </c>
      <c r="R3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6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66" s="2" t="str">
        <f>_xlfn.XLOOKUP(Table2[[#This Row],[Adjusted Form '#]],'[2]IN PROGRESS'!$D:$D,'[2]IN PROGRESS'!$M:$M,"Not Found")</f>
        <v>Not Found</v>
      </c>
      <c r="U366" s="2" t="str">
        <f>_xlfn.XLOOKUP(Table2[[#This Row],[Adjusted Form '#]],[1]COMPLETED!$D:$D,[2]COMPLETED!$M:$M,"Not Found")</f>
        <v>Not Found</v>
      </c>
      <c r="V366" s="17" t="str">
        <f>_xlfn.XLOOKUP(Table2[[#This Row],[Adjusted Form '#]],[2]COMPLETED!$D:$D,[2]COMPLETED!$O:$O,"Not Found")</f>
        <v>Not Found</v>
      </c>
      <c r="W366" s="2" t="str">
        <f>_xlfn.XLOOKUP(Table2[[#This Row],[Adjusted Form '#]],[2]BILLED!$D:$D,[2]BILLED!$M:$M,"Not Found")</f>
        <v>Not Found</v>
      </c>
      <c r="X366" s="17" t="str">
        <f>_xlfn.XLOOKUP(Table2[[#This Row],[Adjusted Form '#]],[2]BILLED!$D:$D,[1]BILLED!$O:$O,"Not Found")</f>
        <v>Not Found</v>
      </c>
      <c r="Y366" s="17" t="e">
        <f>_xlfn.XLOOKUP(Table2[[#This Row],[Adjusted Form '#]],'[2]REJECTED ORDERS'!$D:$D,'[2]REJECTED ORDERS'!$E:$E)</f>
        <v>#N/A</v>
      </c>
      <c r="Z366" s="1"/>
      <c r="AA366" s="1"/>
      <c r="AB366" s="8"/>
      <c r="AC366" s="8"/>
      <c r="AD366" s="8"/>
      <c r="AE366" s="8"/>
      <c r="AF366" s="8"/>
      <c r="AG366" s="8"/>
      <c r="AH366" s="8"/>
      <c r="AI366" s="8"/>
      <c r="AJ366" s="8"/>
    </row>
    <row r="367" spans="1:36" ht="15" customHeight="1" x14ac:dyDescent="0.35">
      <c r="A367" s="4" t="s">
        <v>534</v>
      </c>
      <c r="B367" s="1" t="s">
        <v>3458</v>
      </c>
      <c r="C367" s="11">
        <v>44978</v>
      </c>
      <c r="D367" s="11" t="s">
        <v>4426</v>
      </c>
      <c r="E367" s="1" t="s">
        <v>21</v>
      </c>
      <c r="F367" s="1" t="s">
        <v>4427</v>
      </c>
      <c r="G367" s="6">
        <f>COUNTIF(F:F,Table2[[#This Row],[Form '#]])</f>
        <v>1</v>
      </c>
      <c r="H367" s="1" t="s">
        <v>4428</v>
      </c>
      <c r="I367" s="1" t="s">
        <v>3852</v>
      </c>
      <c r="J367" s="1" t="s">
        <v>80</v>
      </c>
      <c r="K367" s="1" t="s">
        <v>3853</v>
      </c>
      <c r="L367" s="1"/>
      <c r="M367" s="6" t="str">
        <f>IF(Table2[[#This Row],[Corrected Form '#
 (If Duplicated)]]="",Table2[[#This Row],[Form '#]],Table2[[#This Row],[Corrected Form '#
 (If Duplicated)]])</f>
        <v>7818-24651</v>
      </c>
      <c r="N367" s="1" t="s">
        <v>49</v>
      </c>
      <c r="O367" s="6" t="str">
        <f>IF(Table2[[#This Row],[POG CONFIRMATION RECEIPT OF ORDER
(DATE &amp; TIME)]]="","No Confirmation","Received Confirmation")</f>
        <v>Received Confirmation</v>
      </c>
      <c r="P367" s="6">
        <f ca="1">TODAY()-Table2[[#This Row],[DATE SENT TO POG]]</f>
        <v>325</v>
      </c>
      <c r="Q367" s="6" t="s">
        <v>5803</v>
      </c>
      <c r="R3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7" s="2" t="str">
        <f>_xlfn.XLOOKUP(Table2[[#This Row],[Adjusted Form '#]],'[2]IN PROGRESS'!$D:$D,'[2]IN PROGRESS'!$M:$M,"Not Found")</f>
        <v>Not Found</v>
      </c>
      <c r="U367" s="2" t="str">
        <f>_xlfn.XLOOKUP(Table2[[#This Row],[Adjusted Form '#]],[1]COMPLETED!$D:$D,[2]COMPLETED!$M:$M,"Not Found")</f>
        <v>Not Found</v>
      </c>
      <c r="V367" s="17" t="str">
        <f>_xlfn.XLOOKUP(Table2[[#This Row],[Adjusted Form '#]],[2]COMPLETED!$D:$D,[2]COMPLETED!$O:$O,"Not Found")</f>
        <v>Not Found</v>
      </c>
      <c r="W367" s="2" t="str">
        <f>_xlfn.XLOOKUP(Table2[[#This Row],[Adjusted Form '#]],[2]BILLED!$D:$D,[2]BILLED!$M:$M,"Not Found")</f>
        <v>1Z5063E0YW42379581</v>
      </c>
      <c r="X367" s="17" t="e">
        <f>_xlfn.XLOOKUP(Table2[[#This Row],[Adjusted Form '#]],[2]BILLED!$D:$D,[1]BILLED!$O:$O,"Not Found")</f>
        <v>#REF!</v>
      </c>
      <c r="Y367" s="17" t="e">
        <f>_xlfn.XLOOKUP(Table2[[#This Row],[Adjusted Form '#]],'[2]REJECTED ORDERS'!$D:$D,'[2]REJECTED ORDERS'!$E:$E)</f>
        <v>#N/A</v>
      </c>
      <c r="Z367" s="1"/>
      <c r="AA367" s="1"/>
      <c r="AB367" s="8"/>
      <c r="AC367" s="8"/>
      <c r="AD367" s="8"/>
      <c r="AE367" s="8"/>
      <c r="AF367" s="8"/>
      <c r="AG367" s="8"/>
      <c r="AH367" s="8"/>
      <c r="AI367" s="8"/>
      <c r="AJ367" s="8"/>
    </row>
    <row r="368" spans="1:36" ht="15" customHeight="1" x14ac:dyDescent="0.35">
      <c r="A368" s="4" t="s">
        <v>536</v>
      </c>
      <c r="B368" s="1" t="s">
        <v>3458</v>
      </c>
      <c r="C368" s="11">
        <v>44978</v>
      </c>
      <c r="D368" s="11" t="s">
        <v>4426</v>
      </c>
      <c r="E368" s="1" t="s">
        <v>21</v>
      </c>
      <c r="F368" s="1" t="s">
        <v>4429</v>
      </c>
      <c r="G368" s="6">
        <f>COUNTIF(F:F,Table2[[#This Row],[Form '#]])</f>
        <v>1</v>
      </c>
      <c r="H368" s="1" t="s">
        <v>1893</v>
      </c>
      <c r="I368" s="1" t="s">
        <v>3852</v>
      </c>
      <c r="J368" s="1" t="s">
        <v>80</v>
      </c>
      <c r="K368" s="1" t="s">
        <v>4430</v>
      </c>
      <c r="L368" s="1"/>
      <c r="M368" s="6" t="str">
        <f>IF(Table2[[#This Row],[Corrected Form '#
 (If Duplicated)]]="",Table2[[#This Row],[Form '#]],Table2[[#This Row],[Corrected Form '#
 (If Duplicated)]])</f>
        <v>7818-14547</v>
      </c>
      <c r="N368" s="1" t="s">
        <v>49</v>
      </c>
      <c r="O368" s="6" t="str">
        <f>IF(Table2[[#This Row],[POG CONFIRMATION RECEIPT OF ORDER
(DATE &amp; TIME)]]="","No Confirmation","Received Confirmation")</f>
        <v>Received Confirmation</v>
      </c>
      <c r="P368" s="6">
        <f ca="1">TODAY()-Table2[[#This Row],[DATE SENT TO POG]]</f>
        <v>325</v>
      </c>
      <c r="Q368" s="6" t="s">
        <v>5803</v>
      </c>
      <c r="R3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8" s="2" t="str">
        <f>_xlfn.XLOOKUP(Table2[[#This Row],[Adjusted Form '#]],'[2]IN PROGRESS'!$D:$D,'[2]IN PROGRESS'!$M:$M,"Not Found")</f>
        <v>Not Found</v>
      </c>
      <c r="U368" s="2" t="str">
        <f>_xlfn.XLOOKUP(Table2[[#This Row],[Adjusted Form '#]],[1]COMPLETED!$D:$D,[2]COMPLETED!$M:$M,"Not Found")</f>
        <v>Not Found</v>
      </c>
      <c r="V368" s="17" t="str">
        <f>_xlfn.XLOOKUP(Table2[[#This Row],[Adjusted Form '#]],[2]COMPLETED!$D:$D,[2]COMPLETED!$O:$O,"Not Found")</f>
        <v>Not Found</v>
      </c>
      <c r="W368" s="2" t="str">
        <f>_xlfn.XLOOKUP(Table2[[#This Row],[Adjusted Form '#]],[2]BILLED!$D:$D,[2]BILLED!$M:$M,"Not Found")</f>
        <v>1Z5063E0YW40992797</v>
      </c>
      <c r="X368" s="17" t="e">
        <f>_xlfn.XLOOKUP(Table2[[#This Row],[Adjusted Form '#]],[2]BILLED!$D:$D,[1]BILLED!$O:$O,"Not Found")</f>
        <v>#REF!</v>
      </c>
      <c r="Y368" s="17" t="str">
        <f>_xlfn.XLOOKUP(Table2[[#This Row],[Adjusted Form '#]],'[2]REJECTED ORDERS'!$D:$D,'[2]REJECTED ORDERS'!$E:$E)</f>
        <v>FORM NOT SIGNED</v>
      </c>
      <c r="Z368" s="1"/>
      <c r="AA368" s="1"/>
      <c r="AB368" s="8"/>
      <c r="AC368" s="8"/>
      <c r="AD368" s="8"/>
      <c r="AE368" s="8"/>
      <c r="AF368" s="8"/>
      <c r="AG368" s="8"/>
      <c r="AH368" s="8"/>
      <c r="AI368" s="8"/>
      <c r="AJ368" s="8"/>
    </row>
    <row r="369" spans="1:36" ht="15" customHeight="1" x14ac:dyDescent="0.35">
      <c r="A369" s="4" t="s">
        <v>537</v>
      </c>
      <c r="B369" s="1" t="s">
        <v>3458</v>
      </c>
      <c r="C369" s="11">
        <v>44978</v>
      </c>
      <c r="D369" s="11" t="s">
        <v>4426</v>
      </c>
      <c r="E369" s="1" t="s">
        <v>21</v>
      </c>
      <c r="F369" s="1" t="s">
        <v>4431</v>
      </c>
      <c r="G369" s="6">
        <f>COUNTIF(F:F,Table2[[#This Row],[Form '#]])</f>
        <v>1</v>
      </c>
      <c r="H369" s="1" t="s">
        <v>4432</v>
      </c>
      <c r="I369" s="1" t="s">
        <v>3852</v>
      </c>
      <c r="J369" s="1" t="s">
        <v>75</v>
      </c>
      <c r="K369" s="1" t="s">
        <v>3853</v>
      </c>
      <c r="L369" s="1"/>
      <c r="M369" s="6" t="str">
        <f>IF(Table2[[#This Row],[Corrected Form '#
 (If Duplicated)]]="",Table2[[#This Row],[Form '#]],Table2[[#This Row],[Corrected Form '#
 (If Duplicated)]])</f>
        <v>7818-26505</v>
      </c>
      <c r="N369" s="1" t="s">
        <v>49</v>
      </c>
      <c r="O369" s="6" t="str">
        <f>IF(Table2[[#This Row],[POG CONFIRMATION RECEIPT OF ORDER
(DATE &amp; TIME)]]="","No Confirmation","Received Confirmation")</f>
        <v>Received Confirmation</v>
      </c>
      <c r="P369" s="6">
        <f ca="1">TODAY()-Table2[[#This Row],[DATE SENT TO POG]]</f>
        <v>325</v>
      </c>
      <c r="Q369" s="6" t="s">
        <v>5803</v>
      </c>
      <c r="R3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69" s="2" t="str">
        <f>_xlfn.XLOOKUP(Table2[[#This Row],[Adjusted Form '#]],'[2]IN PROGRESS'!$D:$D,'[2]IN PROGRESS'!$M:$M,"Not Found")</f>
        <v>Not Found</v>
      </c>
      <c r="U369" s="2" t="str">
        <f>_xlfn.XLOOKUP(Table2[[#This Row],[Adjusted Form '#]],[1]COMPLETED!$D:$D,[2]COMPLETED!$M:$M,"Not Found")</f>
        <v>Not Found</v>
      </c>
      <c r="V369" s="17" t="str">
        <f>_xlfn.XLOOKUP(Table2[[#This Row],[Adjusted Form '#]],[2]COMPLETED!$D:$D,[2]COMPLETED!$O:$O,"Not Found")</f>
        <v>Not Found</v>
      </c>
      <c r="W369" s="2" t="str">
        <f>_xlfn.XLOOKUP(Table2[[#This Row],[Adjusted Form '#]],[2]BILLED!$D:$D,[2]BILLED!$M:$M,"Not Found")</f>
        <v>1Z5063E0YW42387090</v>
      </c>
      <c r="X369" s="17" t="e">
        <f>_xlfn.XLOOKUP(Table2[[#This Row],[Adjusted Form '#]],[2]BILLED!$D:$D,[1]BILLED!$O:$O,"Not Found")</f>
        <v>#REF!</v>
      </c>
      <c r="Y369" s="17" t="e">
        <f>_xlfn.XLOOKUP(Table2[[#This Row],[Adjusted Form '#]],'[2]REJECTED ORDERS'!$D:$D,'[2]REJECTED ORDERS'!$E:$E)</f>
        <v>#N/A</v>
      </c>
      <c r="Z369" s="1"/>
      <c r="AA369" s="1"/>
      <c r="AB369" s="8"/>
      <c r="AC369" s="8"/>
      <c r="AD369" s="8"/>
      <c r="AE369" s="8"/>
      <c r="AF369" s="8"/>
      <c r="AG369" s="8"/>
      <c r="AH369" s="8"/>
      <c r="AI369" s="8"/>
      <c r="AJ369" s="8"/>
    </row>
    <row r="370" spans="1:36" ht="15" customHeight="1" x14ac:dyDescent="0.35">
      <c r="A370" s="4" t="s">
        <v>539</v>
      </c>
      <c r="B370" s="1" t="s">
        <v>632</v>
      </c>
      <c r="C370" s="11">
        <v>44978</v>
      </c>
      <c r="D370" s="11" t="s">
        <v>4426</v>
      </c>
      <c r="E370" s="1" t="s">
        <v>21</v>
      </c>
      <c r="F370" s="1" t="s">
        <v>4433</v>
      </c>
      <c r="G370" s="6">
        <f>COUNTIF(F:F,Table2[[#This Row],[Form '#]])</f>
        <v>1</v>
      </c>
      <c r="H370" s="1" t="s">
        <v>4434</v>
      </c>
      <c r="I370" s="1" t="s">
        <v>3852</v>
      </c>
      <c r="J370" s="1" t="s">
        <v>80</v>
      </c>
      <c r="K370" s="1" t="s">
        <v>3853</v>
      </c>
      <c r="L370" s="1"/>
      <c r="M370" s="6" t="str">
        <f>IF(Table2[[#This Row],[Corrected Form '#
 (If Duplicated)]]="",Table2[[#This Row],[Form '#]],Table2[[#This Row],[Corrected Form '#
 (If Duplicated)]])</f>
        <v>7818-18831</v>
      </c>
      <c r="N370" s="1" t="s">
        <v>49</v>
      </c>
      <c r="O370" s="6" t="str">
        <f>IF(Table2[[#This Row],[POG CONFIRMATION RECEIPT OF ORDER
(DATE &amp; TIME)]]="","No Confirmation","Received Confirmation")</f>
        <v>Received Confirmation</v>
      </c>
      <c r="P370" s="6">
        <f ca="1">TODAY()-Table2[[#This Row],[DATE SENT TO POG]]</f>
        <v>325</v>
      </c>
      <c r="Q370" s="6" t="s">
        <v>5803</v>
      </c>
      <c r="R3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0" s="2" t="str">
        <f>_xlfn.XLOOKUP(Table2[[#This Row],[Adjusted Form '#]],'[2]IN PROGRESS'!$D:$D,'[2]IN PROGRESS'!$M:$M,"Not Found")</f>
        <v>Not Found</v>
      </c>
      <c r="U370" s="2" t="str">
        <f>_xlfn.XLOOKUP(Table2[[#This Row],[Adjusted Form '#]],[1]COMPLETED!$D:$D,[2]COMPLETED!$M:$M,"Not Found")</f>
        <v>Not Found</v>
      </c>
      <c r="V370" s="17" t="str">
        <f>_xlfn.XLOOKUP(Table2[[#This Row],[Adjusted Form '#]],[2]COMPLETED!$D:$D,[2]COMPLETED!$O:$O,"Not Found")</f>
        <v>Not Found</v>
      </c>
      <c r="W370" s="2" t="str">
        <f>_xlfn.XLOOKUP(Table2[[#This Row],[Adjusted Form '#]],[2]BILLED!$D:$D,[2]BILLED!$M:$M,"Not Found")</f>
        <v>1Z5063E0YW42876178</v>
      </c>
      <c r="X370" s="17" t="e">
        <f>_xlfn.XLOOKUP(Table2[[#This Row],[Adjusted Form '#]],[2]BILLED!$D:$D,[1]BILLED!$O:$O,"Not Found")</f>
        <v>#REF!</v>
      </c>
      <c r="Y370" s="17" t="e">
        <f>_xlfn.XLOOKUP(Table2[[#This Row],[Adjusted Form '#]],'[2]REJECTED ORDERS'!$D:$D,'[2]REJECTED ORDERS'!$E:$E)</f>
        <v>#N/A</v>
      </c>
      <c r="Z370" s="1"/>
      <c r="AA370" s="1"/>
      <c r="AB370" s="8"/>
      <c r="AC370" s="8"/>
      <c r="AD370" s="8"/>
      <c r="AE370" s="8"/>
      <c r="AF370" s="8"/>
      <c r="AG370" s="8"/>
      <c r="AH370" s="8"/>
      <c r="AI370" s="8"/>
      <c r="AJ370" s="8"/>
    </row>
    <row r="371" spans="1:36" ht="15" customHeight="1" x14ac:dyDescent="0.35">
      <c r="A371" s="4" t="s">
        <v>541</v>
      </c>
      <c r="B371" s="1" t="s">
        <v>287</v>
      </c>
      <c r="C371" s="11">
        <v>44978</v>
      </c>
      <c r="D371" s="11" t="s">
        <v>4435</v>
      </c>
      <c r="E371" s="1" t="s">
        <v>21</v>
      </c>
      <c r="F371" s="1" t="s">
        <v>4436</v>
      </c>
      <c r="G371" s="6">
        <f>COUNTIF(F:F,Table2[[#This Row],[Form '#]])</f>
        <v>1</v>
      </c>
      <c r="H371" s="1" t="s">
        <v>4437</v>
      </c>
      <c r="I371" s="1" t="s">
        <v>3852</v>
      </c>
      <c r="J371" s="1" t="s">
        <v>80</v>
      </c>
      <c r="K371" s="1" t="s">
        <v>3853</v>
      </c>
      <c r="L371" s="1"/>
      <c r="M371" s="6" t="str">
        <f>IF(Table2[[#This Row],[Corrected Form '#
 (If Duplicated)]]="",Table2[[#This Row],[Form '#]],Table2[[#This Row],[Corrected Form '#
 (If Duplicated)]])</f>
        <v>7818-24245</v>
      </c>
      <c r="N371" s="1" t="s">
        <v>49</v>
      </c>
      <c r="O371" s="6" t="str">
        <f>IF(Table2[[#This Row],[POG CONFIRMATION RECEIPT OF ORDER
(DATE &amp; TIME)]]="","No Confirmation","Received Confirmation")</f>
        <v>Received Confirmation</v>
      </c>
      <c r="P371" s="6">
        <f ca="1">TODAY()-Table2[[#This Row],[DATE SENT TO POG]]</f>
        <v>325</v>
      </c>
      <c r="Q371" s="6" t="s">
        <v>5803</v>
      </c>
      <c r="R3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1" s="2" t="str">
        <f>_xlfn.XLOOKUP(Table2[[#This Row],[Adjusted Form '#]],'[2]IN PROGRESS'!$D:$D,'[2]IN PROGRESS'!$M:$M,"Not Found")</f>
        <v>Not Found</v>
      </c>
      <c r="U371" s="2" t="str">
        <f>_xlfn.XLOOKUP(Table2[[#This Row],[Adjusted Form '#]],[1]COMPLETED!$D:$D,[2]COMPLETED!$M:$M,"Not Found")</f>
        <v>Not Found</v>
      </c>
      <c r="V371" s="17" t="str">
        <f>_xlfn.XLOOKUP(Table2[[#This Row],[Adjusted Form '#]],[2]COMPLETED!$D:$D,[2]COMPLETED!$O:$O,"Not Found")</f>
        <v>Not Found</v>
      </c>
      <c r="W371" s="2" t="str">
        <f>_xlfn.XLOOKUP(Table2[[#This Row],[Adjusted Form '#]],[2]BILLED!$D:$D,[2]BILLED!$M:$M,"Not Found")</f>
        <v>1Z5063E0YW41936097</v>
      </c>
      <c r="X371" s="17" t="e">
        <f>_xlfn.XLOOKUP(Table2[[#This Row],[Adjusted Form '#]],[2]BILLED!$D:$D,[1]BILLED!$O:$O,"Not Found")</f>
        <v>#REF!</v>
      </c>
      <c r="Y371" s="17" t="e">
        <f>_xlfn.XLOOKUP(Table2[[#This Row],[Adjusted Form '#]],'[2]REJECTED ORDERS'!$D:$D,'[2]REJECTED ORDERS'!$E:$E)</f>
        <v>#N/A</v>
      </c>
      <c r="Z371" s="1"/>
      <c r="AA371" s="1"/>
      <c r="AB371" s="8"/>
      <c r="AC371" s="8"/>
      <c r="AD371" s="8"/>
      <c r="AE371" s="8"/>
      <c r="AF371" s="8"/>
      <c r="AG371" s="8"/>
      <c r="AH371" s="8"/>
      <c r="AI371" s="8"/>
      <c r="AJ371" s="8"/>
    </row>
    <row r="372" spans="1:36" ht="15" customHeight="1" x14ac:dyDescent="0.35">
      <c r="A372" s="4" t="s">
        <v>542</v>
      </c>
      <c r="B372" s="1" t="s">
        <v>287</v>
      </c>
      <c r="C372" s="11">
        <v>44978</v>
      </c>
      <c r="D372" s="11" t="s">
        <v>4435</v>
      </c>
      <c r="E372" s="1" t="s">
        <v>21</v>
      </c>
      <c r="F372" s="1" t="s">
        <v>4438</v>
      </c>
      <c r="G372" s="6">
        <f>COUNTIF(F:F,Table2[[#This Row],[Form '#]])</f>
        <v>1</v>
      </c>
      <c r="H372" s="1" t="s">
        <v>4439</v>
      </c>
      <c r="I372" s="1" t="s">
        <v>127</v>
      </c>
      <c r="J372" s="1" t="s">
        <v>74</v>
      </c>
      <c r="K372" s="1" t="s">
        <v>3883</v>
      </c>
      <c r="L372" s="1"/>
      <c r="M372" s="6" t="str">
        <f>IF(Table2[[#This Row],[Corrected Form '#
 (If Duplicated)]]="",Table2[[#This Row],[Form '#]],Table2[[#This Row],[Corrected Form '#
 (If Duplicated)]])</f>
        <v>7818-10381</v>
      </c>
      <c r="N372" s="1" t="s">
        <v>49</v>
      </c>
      <c r="O372" s="6" t="str">
        <f>IF(Table2[[#This Row],[POG CONFIRMATION RECEIPT OF ORDER
(DATE &amp; TIME)]]="","No Confirmation","Received Confirmation")</f>
        <v>Received Confirmation</v>
      </c>
      <c r="P372" s="6">
        <f ca="1">TODAY()-Table2[[#This Row],[DATE SENT TO POG]]</f>
        <v>325</v>
      </c>
      <c r="Q372" s="6" t="s">
        <v>5803</v>
      </c>
      <c r="R3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2" s="2" t="str">
        <f>_xlfn.XLOOKUP(Table2[[#This Row],[Adjusted Form '#]],'[2]IN PROGRESS'!$D:$D,'[2]IN PROGRESS'!$M:$M,"Not Found")</f>
        <v>Not Found</v>
      </c>
      <c r="U372" s="2" t="str">
        <f>_xlfn.XLOOKUP(Table2[[#This Row],[Adjusted Form '#]],[1]COMPLETED!$D:$D,[2]COMPLETED!$M:$M,"Not Found")</f>
        <v>Not Found</v>
      </c>
      <c r="V372" s="17" t="str">
        <f>_xlfn.XLOOKUP(Table2[[#This Row],[Adjusted Form '#]],[2]COMPLETED!$D:$D,[2]COMPLETED!$O:$O,"Not Found")</f>
        <v>Not Found</v>
      </c>
      <c r="W372" s="2" t="str">
        <f>_xlfn.XLOOKUP(Table2[[#This Row],[Adjusted Form '#]],[2]BILLED!$D:$D,[2]BILLED!$M:$M,"Not Found")</f>
        <v>1Z5063E0YW42789361</v>
      </c>
      <c r="X372" s="17" t="e">
        <f>_xlfn.XLOOKUP(Table2[[#This Row],[Adjusted Form '#]],[2]BILLED!$D:$D,[1]BILLED!$O:$O,"Not Found")</f>
        <v>#REF!</v>
      </c>
      <c r="Y372" s="17" t="e">
        <f>_xlfn.XLOOKUP(Table2[[#This Row],[Adjusted Form '#]],'[2]REJECTED ORDERS'!$D:$D,'[2]REJECTED ORDERS'!$E:$E)</f>
        <v>#N/A</v>
      </c>
      <c r="Z372" s="1"/>
      <c r="AA372" s="1"/>
      <c r="AB372" s="8"/>
      <c r="AC372" s="8"/>
      <c r="AD372" s="8"/>
      <c r="AE372" s="8"/>
      <c r="AF372" s="8"/>
      <c r="AG372" s="8"/>
      <c r="AH372" s="8"/>
      <c r="AI372" s="8"/>
      <c r="AJ372" s="8"/>
    </row>
    <row r="373" spans="1:36" ht="15" customHeight="1" x14ac:dyDescent="0.35">
      <c r="A373" s="4" t="s">
        <v>544</v>
      </c>
      <c r="B373" s="1" t="s">
        <v>287</v>
      </c>
      <c r="C373" s="11">
        <v>44978</v>
      </c>
      <c r="D373" s="11" t="s">
        <v>4435</v>
      </c>
      <c r="E373" s="1" t="s">
        <v>21</v>
      </c>
      <c r="F373" s="1" t="s">
        <v>4440</v>
      </c>
      <c r="G373" s="6">
        <f>COUNTIF(F:F,Table2[[#This Row],[Form '#]])</f>
        <v>1</v>
      </c>
      <c r="H373" s="1" t="s">
        <v>4441</v>
      </c>
      <c r="I373" s="1" t="s">
        <v>3852</v>
      </c>
      <c r="J373" s="1" t="s">
        <v>75</v>
      </c>
      <c r="K373" s="1" t="s">
        <v>3853</v>
      </c>
      <c r="L373" s="1"/>
      <c r="M373" s="6" t="str">
        <f>IF(Table2[[#This Row],[Corrected Form '#
 (If Duplicated)]]="",Table2[[#This Row],[Form '#]],Table2[[#This Row],[Corrected Form '#
 (If Duplicated)]])</f>
        <v>7818-17560</v>
      </c>
      <c r="N373" s="1" t="s">
        <v>49</v>
      </c>
      <c r="O373" s="6" t="str">
        <f>IF(Table2[[#This Row],[POG CONFIRMATION RECEIPT OF ORDER
(DATE &amp; TIME)]]="","No Confirmation","Received Confirmation")</f>
        <v>Received Confirmation</v>
      </c>
      <c r="P373" s="6">
        <f ca="1">TODAY()-Table2[[#This Row],[DATE SENT TO POG]]</f>
        <v>325</v>
      </c>
      <c r="Q373" s="6" t="s">
        <v>5803</v>
      </c>
      <c r="R3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3" s="2" t="str">
        <f>_xlfn.XLOOKUP(Table2[[#This Row],[Adjusted Form '#]],'[2]IN PROGRESS'!$D:$D,'[2]IN PROGRESS'!$M:$M,"Not Found")</f>
        <v>Not Found</v>
      </c>
      <c r="U373" s="2" t="str">
        <f>_xlfn.XLOOKUP(Table2[[#This Row],[Adjusted Form '#]],[1]COMPLETED!$D:$D,[2]COMPLETED!$M:$M,"Not Found")</f>
        <v>Not Found</v>
      </c>
      <c r="V373" s="17" t="str">
        <f>_xlfn.XLOOKUP(Table2[[#This Row],[Adjusted Form '#]],[2]COMPLETED!$D:$D,[2]COMPLETED!$O:$O,"Not Found")</f>
        <v>Not Found</v>
      </c>
      <c r="W373" s="2" t="str">
        <f>_xlfn.XLOOKUP(Table2[[#This Row],[Adjusted Form '#]],[2]BILLED!$D:$D,[2]BILLED!$M:$M,"Not Found")</f>
        <v>1Z5063E0YW41346242</v>
      </c>
      <c r="X373" s="17" t="e">
        <f>_xlfn.XLOOKUP(Table2[[#This Row],[Adjusted Form '#]],[2]BILLED!$D:$D,[1]BILLED!$O:$O,"Not Found")</f>
        <v>#REF!</v>
      </c>
      <c r="Y373" s="17" t="e">
        <f>_xlfn.XLOOKUP(Table2[[#This Row],[Adjusted Form '#]],'[2]REJECTED ORDERS'!$D:$D,'[2]REJECTED ORDERS'!$E:$E)</f>
        <v>#N/A</v>
      </c>
      <c r="Z373" s="1"/>
      <c r="AA373" s="1"/>
      <c r="AB373" s="8"/>
      <c r="AC373" s="8"/>
      <c r="AD373" s="8"/>
      <c r="AE373" s="8"/>
      <c r="AF373" s="8"/>
      <c r="AG373" s="8"/>
      <c r="AH373" s="8"/>
      <c r="AI373" s="8"/>
      <c r="AJ373" s="8"/>
    </row>
    <row r="374" spans="1:36" ht="15" customHeight="1" x14ac:dyDescent="0.35">
      <c r="A374" s="4" t="s">
        <v>545</v>
      </c>
      <c r="B374" s="1" t="s">
        <v>287</v>
      </c>
      <c r="C374" s="11">
        <v>44978</v>
      </c>
      <c r="D374" s="11" t="s">
        <v>4435</v>
      </c>
      <c r="E374" s="1" t="s">
        <v>21</v>
      </c>
      <c r="F374" s="1" t="s">
        <v>4442</v>
      </c>
      <c r="G374" s="6">
        <f>COUNTIF(F:F,Table2[[#This Row],[Form '#]])</f>
        <v>1</v>
      </c>
      <c r="H374" s="1" t="s">
        <v>3326</v>
      </c>
      <c r="I374" s="1" t="s">
        <v>3852</v>
      </c>
      <c r="J374" s="1" t="s">
        <v>75</v>
      </c>
      <c r="K374" s="1" t="s">
        <v>4011</v>
      </c>
      <c r="L374" s="1"/>
      <c r="M374" s="6" t="str">
        <f>IF(Table2[[#This Row],[Corrected Form '#
 (If Duplicated)]]="",Table2[[#This Row],[Form '#]],Table2[[#This Row],[Corrected Form '#
 (If Duplicated)]])</f>
        <v>7818-21123</v>
      </c>
      <c r="N374" s="1" t="s">
        <v>49</v>
      </c>
      <c r="O374" s="6" t="str">
        <f>IF(Table2[[#This Row],[POG CONFIRMATION RECEIPT OF ORDER
(DATE &amp; TIME)]]="","No Confirmation","Received Confirmation")</f>
        <v>Received Confirmation</v>
      </c>
      <c r="P374" s="6">
        <f ca="1">TODAY()-Table2[[#This Row],[DATE SENT TO POG]]</f>
        <v>325</v>
      </c>
      <c r="Q374" s="6" t="s">
        <v>5803</v>
      </c>
      <c r="R3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7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74" s="2" t="str">
        <f>_xlfn.XLOOKUP(Table2[[#This Row],[Adjusted Form '#]],'[2]IN PROGRESS'!$D:$D,'[2]IN PROGRESS'!$M:$M,"Not Found")</f>
        <v>Not Found</v>
      </c>
      <c r="U374" s="2" t="str">
        <f>_xlfn.XLOOKUP(Table2[[#This Row],[Adjusted Form '#]],[1]COMPLETED!$D:$D,[2]COMPLETED!$M:$M,"Not Found")</f>
        <v>Not Found</v>
      </c>
      <c r="V374" s="17">
        <f>_xlfn.XLOOKUP(Table2[[#This Row],[Adjusted Form '#]],[2]COMPLETED!$D:$D,[2]COMPLETED!$O:$O,"Not Found")</f>
        <v>0</v>
      </c>
      <c r="W374" s="2" t="str">
        <f>_xlfn.XLOOKUP(Table2[[#This Row],[Adjusted Form '#]],[2]BILLED!$D:$D,[2]BILLED!$M:$M,"Not Found")</f>
        <v>Not Found</v>
      </c>
      <c r="X374" s="17" t="str">
        <f>_xlfn.XLOOKUP(Table2[[#This Row],[Adjusted Form '#]],[2]BILLED!$D:$D,[1]BILLED!$O:$O,"Not Found")</f>
        <v>Not Found</v>
      </c>
      <c r="Y374" s="17" t="e">
        <f>_xlfn.XLOOKUP(Table2[[#This Row],[Adjusted Form '#]],'[2]REJECTED ORDERS'!$D:$D,'[2]REJECTED ORDERS'!$E:$E)</f>
        <v>#N/A</v>
      </c>
      <c r="Z374" s="1"/>
      <c r="AA374" s="1"/>
      <c r="AB374" s="8"/>
      <c r="AC374" s="8"/>
      <c r="AD374" s="8"/>
      <c r="AE374" s="8"/>
      <c r="AF374" s="8"/>
      <c r="AG374" s="8"/>
      <c r="AH374" s="8"/>
      <c r="AI374" s="8"/>
      <c r="AJ374" s="8"/>
    </row>
    <row r="375" spans="1:36" ht="15" customHeight="1" x14ac:dyDescent="0.35">
      <c r="A375" s="4" t="s">
        <v>547</v>
      </c>
      <c r="B375" s="1" t="s">
        <v>287</v>
      </c>
      <c r="C375" s="11">
        <v>44978</v>
      </c>
      <c r="D375" s="11" t="s">
        <v>4435</v>
      </c>
      <c r="E375" s="1" t="s">
        <v>21</v>
      </c>
      <c r="F375" s="1" t="s">
        <v>4443</v>
      </c>
      <c r="G375" s="6">
        <f>COUNTIF(F:F,Table2[[#This Row],[Form '#]])</f>
        <v>1</v>
      </c>
      <c r="H375" s="1" t="s">
        <v>4444</v>
      </c>
      <c r="I375" s="1" t="s">
        <v>127</v>
      </c>
      <c r="J375" s="1" t="s">
        <v>76</v>
      </c>
      <c r="K375" s="1" t="s">
        <v>3883</v>
      </c>
      <c r="L375" s="1"/>
      <c r="M375" s="6" t="str">
        <f>IF(Table2[[#This Row],[Corrected Form '#
 (If Duplicated)]]="",Table2[[#This Row],[Form '#]],Table2[[#This Row],[Corrected Form '#
 (If Duplicated)]])</f>
        <v>7818-25156</v>
      </c>
      <c r="N375" s="1" t="s">
        <v>49</v>
      </c>
      <c r="O375" s="6" t="str">
        <f>IF(Table2[[#This Row],[POG CONFIRMATION RECEIPT OF ORDER
(DATE &amp; TIME)]]="","No Confirmation","Received Confirmation")</f>
        <v>Received Confirmation</v>
      </c>
      <c r="P375" s="6">
        <f ca="1">TODAY()-Table2[[#This Row],[DATE SENT TO POG]]</f>
        <v>325</v>
      </c>
      <c r="Q375" s="6" t="s">
        <v>5803</v>
      </c>
      <c r="R3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5" s="2" t="str">
        <f>_xlfn.XLOOKUP(Table2[[#This Row],[Adjusted Form '#]],'[2]IN PROGRESS'!$D:$D,'[2]IN PROGRESS'!$M:$M,"Not Found")</f>
        <v>Not Found</v>
      </c>
      <c r="U375" s="2" t="str">
        <f>_xlfn.XLOOKUP(Table2[[#This Row],[Adjusted Form '#]],[1]COMPLETED!$D:$D,[2]COMPLETED!$M:$M,"Not Found")</f>
        <v>Not Found</v>
      </c>
      <c r="V375" s="17" t="str">
        <f>_xlfn.XLOOKUP(Table2[[#This Row],[Adjusted Form '#]],[2]COMPLETED!$D:$D,[2]COMPLETED!$O:$O,"Not Found")</f>
        <v>Not Found</v>
      </c>
      <c r="W375" s="2" t="str">
        <f>_xlfn.XLOOKUP(Table2[[#This Row],[Adjusted Form '#]],[2]BILLED!$D:$D,[2]BILLED!$M:$M,"Not Found")</f>
        <v>1Z5063E0YW40121370</v>
      </c>
      <c r="X375" s="17" t="e">
        <f>_xlfn.XLOOKUP(Table2[[#This Row],[Adjusted Form '#]],[2]BILLED!$D:$D,[1]BILLED!$O:$O,"Not Found")</f>
        <v>#REF!</v>
      </c>
      <c r="Y375" s="17" t="e">
        <f>_xlfn.XLOOKUP(Table2[[#This Row],[Adjusted Form '#]],'[2]REJECTED ORDERS'!$D:$D,'[2]REJECTED ORDERS'!$E:$E)</f>
        <v>#N/A</v>
      </c>
      <c r="Z375" s="1"/>
      <c r="AA375" s="1"/>
      <c r="AB375" s="8"/>
      <c r="AC375" s="8"/>
      <c r="AD375" s="8"/>
      <c r="AE375" s="8"/>
      <c r="AF375" s="8"/>
      <c r="AG375" s="8"/>
      <c r="AH375" s="8"/>
      <c r="AI375" s="8"/>
      <c r="AJ375" s="8"/>
    </row>
    <row r="376" spans="1:36" ht="15" customHeight="1" x14ac:dyDescent="0.35">
      <c r="A376" s="4" t="s">
        <v>549</v>
      </c>
      <c r="B376" s="1" t="s">
        <v>4317</v>
      </c>
      <c r="C376" s="11">
        <v>44978</v>
      </c>
      <c r="D376" s="11" t="s">
        <v>4435</v>
      </c>
      <c r="E376" s="1" t="s">
        <v>73</v>
      </c>
      <c r="F376" s="1" t="s">
        <v>4445</v>
      </c>
      <c r="G376" s="6">
        <f>COUNTIF(F:F,Table2[[#This Row],[Form '#]])</f>
        <v>1</v>
      </c>
      <c r="H376" s="1" t="s">
        <v>4446</v>
      </c>
      <c r="I376" s="1" t="s">
        <v>28</v>
      </c>
      <c r="J376" s="1" t="s">
        <v>69</v>
      </c>
      <c r="K376" s="1" t="s">
        <v>3891</v>
      </c>
      <c r="L376" s="1"/>
      <c r="M376" s="6" t="str">
        <f>IF(Table2[[#This Row],[Corrected Form '#
 (If Duplicated)]]="",Table2[[#This Row],[Form '#]],Table2[[#This Row],[Corrected Form '#
 (If Duplicated)]])</f>
        <v>7823-02115</v>
      </c>
      <c r="N376" s="1" t="s">
        <v>49</v>
      </c>
      <c r="O376" s="6" t="str">
        <f>IF(Table2[[#This Row],[POG CONFIRMATION RECEIPT OF ORDER
(DATE &amp; TIME)]]="","No Confirmation","Received Confirmation")</f>
        <v>Received Confirmation</v>
      </c>
      <c r="P376" s="6">
        <f ca="1">TODAY()-Table2[[#This Row],[DATE SENT TO POG]]</f>
        <v>325</v>
      </c>
      <c r="Q376" s="6" t="s">
        <v>5803</v>
      </c>
      <c r="R3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6" s="2" t="str">
        <f>_xlfn.XLOOKUP(Table2[[#This Row],[Adjusted Form '#]],'[2]IN PROGRESS'!$D:$D,'[2]IN PROGRESS'!$M:$M,"Not Found")</f>
        <v>Not Found</v>
      </c>
      <c r="U376" s="2" t="str">
        <f>_xlfn.XLOOKUP(Table2[[#This Row],[Adjusted Form '#]],[1]COMPLETED!$D:$D,[2]COMPLETED!$M:$M,"Not Found")</f>
        <v>Not Found</v>
      </c>
      <c r="V376" s="17" t="str">
        <f>_xlfn.XLOOKUP(Table2[[#This Row],[Adjusted Form '#]],[2]COMPLETED!$D:$D,[2]COMPLETED!$O:$O,"Not Found")</f>
        <v>Not Found</v>
      </c>
      <c r="W376" s="2" t="str">
        <f>_xlfn.XLOOKUP(Table2[[#This Row],[Adjusted Form '#]],[2]BILLED!$D:$D,[2]BILLED!$M:$M,"Not Found")</f>
        <v>1Z5063E0YW41898530</v>
      </c>
      <c r="X376" s="17" t="e">
        <f>_xlfn.XLOOKUP(Table2[[#This Row],[Adjusted Form '#]],[2]BILLED!$D:$D,[1]BILLED!$O:$O,"Not Found")</f>
        <v>#REF!</v>
      </c>
      <c r="Y376" s="17" t="e">
        <f>_xlfn.XLOOKUP(Table2[[#This Row],[Adjusted Form '#]],'[2]REJECTED ORDERS'!$D:$D,'[2]REJECTED ORDERS'!$E:$E)</f>
        <v>#N/A</v>
      </c>
      <c r="Z376" s="1"/>
      <c r="AA376" s="1"/>
      <c r="AB376" s="8"/>
      <c r="AC376" s="8"/>
      <c r="AD376" s="8"/>
      <c r="AE376" s="8"/>
      <c r="AF376" s="8"/>
      <c r="AG376" s="8"/>
      <c r="AH376" s="8"/>
      <c r="AI376" s="8"/>
      <c r="AJ376" s="8"/>
    </row>
    <row r="377" spans="1:36" ht="15" customHeight="1" x14ac:dyDescent="0.35">
      <c r="A377" s="4" t="s">
        <v>550</v>
      </c>
      <c r="B377" s="1" t="s">
        <v>2456</v>
      </c>
      <c r="C377" s="11">
        <v>44979</v>
      </c>
      <c r="D377" s="11" t="s">
        <v>4447</v>
      </c>
      <c r="E377" s="1" t="s">
        <v>73</v>
      </c>
      <c r="F377" s="1" t="s">
        <v>4448</v>
      </c>
      <c r="G377" s="6">
        <f>COUNTIF(F:F,Table2[[#This Row],[Form '#]])</f>
        <v>1</v>
      </c>
      <c r="H377" s="1" t="s">
        <v>4449</v>
      </c>
      <c r="I377" s="1" t="s">
        <v>3852</v>
      </c>
      <c r="J377" s="1" t="s">
        <v>80</v>
      </c>
      <c r="K377" s="1" t="s">
        <v>3853</v>
      </c>
      <c r="L377" s="1"/>
      <c r="M377" s="6" t="str">
        <f>IF(Table2[[#This Row],[Corrected Form '#
 (If Duplicated)]]="",Table2[[#This Row],[Form '#]],Table2[[#This Row],[Corrected Form '#
 (If Duplicated)]])</f>
        <v>7823-02156</v>
      </c>
      <c r="N377" s="1" t="s">
        <v>49</v>
      </c>
      <c r="O377" s="6" t="str">
        <f>IF(Table2[[#This Row],[POG CONFIRMATION RECEIPT OF ORDER
(DATE &amp; TIME)]]="","No Confirmation","Received Confirmation")</f>
        <v>Received Confirmation</v>
      </c>
      <c r="P377" s="6">
        <f ca="1">TODAY()-Table2[[#This Row],[DATE SENT TO POG]]</f>
        <v>324</v>
      </c>
      <c r="Q377" s="6" t="s">
        <v>5803</v>
      </c>
      <c r="R3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7" s="2" t="str">
        <f>_xlfn.XLOOKUP(Table2[[#This Row],[Adjusted Form '#]],'[2]IN PROGRESS'!$D:$D,'[2]IN PROGRESS'!$M:$M,"Not Found")</f>
        <v>Not Found</v>
      </c>
      <c r="U377" s="2" t="str">
        <f>_xlfn.XLOOKUP(Table2[[#This Row],[Adjusted Form '#]],[1]COMPLETED!$D:$D,[2]COMPLETED!$M:$M,"Not Found")</f>
        <v>Not Found</v>
      </c>
      <c r="V377" s="17" t="str">
        <f>_xlfn.XLOOKUP(Table2[[#This Row],[Adjusted Form '#]],[2]COMPLETED!$D:$D,[2]COMPLETED!$O:$O,"Not Found")</f>
        <v>Not Found</v>
      </c>
      <c r="W377" s="2" t="str">
        <f>_xlfn.XLOOKUP(Table2[[#This Row],[Adjusted Form '#]],[2]BILLED!$D:$D,[2]BILLED!$M:$M,"Not Found")</f>
        <v>1Z5063E0YW42477742</v>
      </c>
      <c r="X377" s="17" t="e">
        <f>_xlfn.XLOOKUP(Table2[[#This Row],[Adjusted Form '#]],[2]BILLED!$D:$D,[1]BILLED!$O:$O,"Not Found")</f>
        <v>#REF!</v>
      </c>
      <c r="Y377" s="17" t="e">
        <f>_xlfn.XLOOKUP(Table2[[#This Row],[Adjusted Form '#]],'[2]REJECTED ORDERS'!$D:$D,'[2]REJECTED ORDERS'!$E:$E)</f>
        <v>#N/A</v>
      </c>
      <c r="Z377" s="1"/>
      <c r="AA377" s="1"/>
      <c r="AB377" s="8"/>
      <c r="AC377" s="8"/>
      <c r="AD377" s="8"/>
      <c r="AE377" s="8"/>
      <c r="AF377" s="8"/>
      <c r="AG377" s="8"/>
      <c r="AH377" s="8"/>
      <c r="AI377" s="8"/>
      <c r="AJ377" s="8"/>
    </row>
    <row r="378" spans="1:36" ht="15" customHeight="1" x14ac:dyDescent="0.35">
      <c r="A378" s="4" t="s">
        <v>551</v>
      </c>
      <c r="B378" s="1" t="s">
        <v>2965</v>
      </c>
      <c r="C378" s="11">
        <v>44979</v>
      </c>
      <c r="D378" s="11" t="s">
        <v>4450</v>
      </c>
      <c r="E378" s="1" t="s">
        <v>14</v>
      </c>
      <c r="F378" s="1" t="s">
        <v>4451</v>
      </c>
      <c r="G378" s="6">
        <f>COUNTIF(F:F,Table2[[#This Row],[Form '#]])</f>
        <v>2</v>
      </c>
      <c r="H378" s="1" t="s">
        <v>4452</v>
      </c>
      <c r="I378" s="1" t="s">
        <v>127</v>
      </c>
      <c r="J378" s="1" t="s">
        <v>74</v>
      </c>
      <c r="K378" s="1" t="s">
        <v>3883</v>
      </c>
      <c r="L378" s="1"/>
      <c r="M378" s="6" t="str">
        <f>IF(Table2[[#This Row],[Corrected Form '#
 (If Duplicated)]]="",Table2[[#This Row],[Form '#]],Table2[[#This Row],[Corrected Form '#
 (If Duplicated)]])</f>
        <v>7810-00089</v>
      </c>
      <c r="N378" s="1" t="s">
        <v>49</v>
      </c>
      <c r="O378" s="6" t="str">
        <f>IF(Table2[[#This Row],[POG CONFIRMATION RECEIPT OF ORDER
(DATE &amp; TIME)]]="","No Confirmation","Received Confirmation")</f>
        <v>Received Confirmation</v>
      </c>
      <c r="P378" s="6">
        <f ca="1">TODAY()-Table2[[#This Row],[DATE SENT TO POG]]</f>
        <v>324</v>
      </c>
      <c r="Q378" s="6" t="s">
        <v>5803</v>
      </c>
      <c r="R3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8" s="2" t="str">
        <f>_xlfn.XLOOKUP(Table2[[#This Row],[Adjusted Form '#]],'[2]IN PROGRESS'!$D:$D,'[2]IN PROGRESS'!$M:$M,"Not Found")</f>
        <v>Not Found</v>
      </c>
      <c r="U378" s="2" t="str">
        <f>_xlfn.XLOOKUP(Table2[[#This Row],[Adjusted Form '#]],[1]COMPLETED!$D:$D,[2]COMPLETED!$M:$M,"Not Found")</f>
        <v>Not Found</v>
      </c>
      <c r="V378" s="17" t="str">
        <f>_xlfn.XLOOKUP(Table2[[#This Row],[Adjusted Form '#]],[2]COMPLETED!$D:$D,[2]COMPLETED!$O:$O,"Not Found")</f>
        <v>Not Found</v>
      </c>
      <c r="W378" s="2" t="str">
        <f>_xlfn.XLOOKUP(Table2[[#This Row],[Adjusted Form '#]],[2]BILLED!$D:$D,[2]BILLED!$M:$M,"Not Found")</f>
        <v>1Z5063E0YW40530857</v>
      </c>
      <c r="X378" s="17" t="e">
        <f>_xlfn.XLOOKUP(Table2[[#This Row],[Adjusted Form '#]],[2]BILLED!$D:$D,[1]BILLED!$O:$O,"Not Found")</f>
        <v>#REF!</v>
      </c>
      <c r="Y378" s="17" t="e">
        <f>_xlfn.XLOOKUP(Table2[[#This Row],[Adjusted Form '#]],'[2]REJECTED ORDERS'!$D:$D,'[2]REJECTED ORDERS'!$E:$E)</f>
        <v>#N/A</v>
      </c>
      <c r="Z378" s="1"/>
      <c r="AA378" s="1"/>
      <c r="AB378" s="8"/>
      <c r="AC378" s="8"/>
      <c r="AD378" s="8"/>
      <c r="AE378" s="8"/>
      <c r="AF378" s="8"/>
      <c r="AG378" s="8"/>
      <c r="AH378" s="8"/>
      <c r="AI378" s="8"/>
      <c r="AJ378" s="8"/>
    </row>
    <row r="379" spans="1:36" ht="15" customHeight="1" x14ac:dyDescent="0.35">
      <c r="A379" s="4" t="s">
        <v>553</v>
      </c>
      <c r="B379" s="1" t="s">
        <v>2965</v>
      </c>
      <c r="C379" s="11">
        <v>44979</v>
      </c>
      <c r="D379" s="11" t="s">
        <v>4450</v>
      </c>
      <c r="E379" s="1" t="s">
        <v>14</v>
      </c>
      <c r="F379" s="1" t="s">
        <v>4451</v>
      </c>
      <c r="G379" s="6">
        <f>COUNTIF(F:F,Table2[[#This Row],[Form '#]])</f>
        <v>2</v>
      </c>
      <c r="H379" s="1" t="s">
        <v>4453</v>
      </c>
      <c r="I379" s="1" t="s">
        <v>127</v>
      </c>
      <c r="J379" s="1" t="s">
        <v>74</v>
      </c>
      <c r="K379" s="1" t="s">
        <v>3883</v>
      </c>
      <c r="L379" s="1"/>
      <c r="M379" s="6" t="str">
        <f>IF(Table2[[#This Row],[Corrected Form '#
 (If Duplicated)]]="",Table2[[#This Row],[Form '#]],Table2[[#This Row],[Corrected Form '#
 (If Duplicated)]])</f>
        <v>7810-00089</v>
      </c>
      <c r="N379" s="1" t="s">
        <v>49</v>
      </c>
      <c r="O379" s="6" t="str">
        <f>IF(Table2[[#This Row],[POG CONFIRMATION RECEIPT OF ORDER
(DATE &amp; TIME)]]="","No Confirmation","Received Confirmation")</f>
        <v>Received Confirmation</v>
      </c>
      <c r="P379" s="6">
        <f ca="1">TODAY()-Table2[[#This Row],[DATE SENT TO POG]]</f>
        <v>324</v>
      </c>
      <c r="Q379" s="6" t="s">
        <v>5803</v>
      </c>
      <c r="R3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79" s="2" t="str">
        <f>_xlfn.XLOOKUP(Table2[[#This Row],[Adjusted Form '#]],'[2]IN PROGRESS'!$D:$D,'[2]IN PROGRESS'!$M:$M,"Not Found")</f>
        <v>Not Found</v>
      </c>
      <c r="U379" s="2" t="str">
        <f>_xlfn.XLOOKUP(Table2[[#This Row],[Adjusted Form '#]],[1]COMPLETED!$D:$D,[2]COMPLETED!$M:$M,"Not Found")</f>
        <v>Not Found</v>
      </c>
      <c r="V379" s="17" t="str">
        <f>_xlfn.XLOOKUP(Table2[[#This Row],[Adjusted Form '#]],[2]COMPLETED!$D:$D,[2]COMPLETED!$O:$O,"Not Found")</f>
        <v>Not Found</v>
      </c>
      <c r="W379" s="2" t="str">
        <f>_xlfn.XLOOKUP(Table2[[#This Row],[Adjusted Form '#]],[2]BILLED!$D:$D,[2]BILLED!$M:$M,"Not Found")</f>
        <v>1Z5063E0YW40530857</v>
      </c>
      <c r="X379" s="17" t="e">
        <f>_xlfn.XLOOKUP(Table2[[#This Row],[Adjusted Form '#]],[2]BILLED!$D:$D,[1]BILLED!$O:$O,"Not Found")</f>
        <v>#REF!</v>
      </c>
      <c r="Y379" s="17" t="e">
        <f>_xlfn.XLOOKUP(Table2[[#This Row],[Adjusted Form '#]],'[2]REJECTED ORDERS'!$D:$D,'[2]REJECTED ORDERS'!$E:$E)</f>
        <v>#N/A</v>
      </c>
      <c r="Z379" s="1"/>
      <c r="AA379" s="1"/>
      <c r="AB379" s="8"/>
      <c r="AC379" s="8"/>
      <c r="AD379" s="8"/>
      <c r="AE379" s="8"/>
      <c r="AF379" s="8"/>
      <c r="AG379" s="8"/>
      <c r="AH379" s="8"/>
      <c r="AI379" s="8"/>
      <c r="AJ379" s="8"/>
    </row>
    <row r="380" spans="1:36" ht="15" customHeight="1" x14ac:dyDescent="0.35">
      <c r="A380" s="4" t="s">
        <v>554</v>
      </c>
      <c r="B380" s="1" t="s">
        <v>4454</v>
      </c>
      <c r="C380" s="11">
        <v>44979</v>
      </c>
      <c r="D380" s="11" t="s">
        <v>4450</v>
      </c>
      <c r="E380" s="1" t="s">
        <v>21</v>
      </c>
      <c r="F380" s="1" t="s">
        <v>4455</v>
      </c>
      <c r="G380" s="6">
        <f>COUNTIF(F:F,Table2[[#This Row],[Form '#]])</f>
        <v>1</v>
      </c>
      <c r="H380" s="1" t="s">
        <v>2900</v>
      </c>
      <c r="I380" s="1" t="s">
        <v>3864</v>
      </c>
      <c r="J380" s="1" t="s">
        <v>78</v>
      </c>
      <c r="K380" s="1" t="s">
        <v>3879</v>
      </c>
      <c r="L380" s="1"/>
      <c r="M380" s="6" t="str">
        <f>IF(Table2[[#This Row],[Corrected Form '#
 (If Duplicated)]]="",Table2[[#This Row],[Form '#]],Table2[[#This Row],[Corrected Form '#
 (If Duplicated)]])</f>
        <v>7818-21318</v>
      </c>
      <c r="N380" s="1" t="s">
        <v>49</v>
      </c>
      <c r="O380" s="6" t="str">
        <f>IF(Table2[[#This Row],[POG CONFIRMATION RECEIPT OF ORDER
(DATE &amp; TIME)]]="","No Confirmation","Received Confirmation")</f>
        <v>Received Confirmation</v>
      </c>
      <c r="P380" s="6">
        <f ca="1">TODAY()-Table2[[#This Row],[DATE SENT TO POG]]</f>
        <v>324</v>
      </c>
      <c r="Q380" s="6" t="s">
        <v>5803</v>
      </c>
      <c r="R3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0" s="2" t="str">
        <f>_xlfn.XLOOKUP(Table2[[#This Row],[Adjusted Form '#]],'[2]IN PROGRESS'!$D:$D,'[2]IN PROGRESS'!$M:$M,"Not Found")</f>
        <v>Not Found</v>
      </c>
      <c r="U380" s="2" t="str">
        <f>_xlfn.XLOOKUP(Table2[[#This Row],[Adjusted Form '#]],[1]COMPLETED!$D:$D,[2]COMPLETED!$M:$M,"Not Found")</f>
        <v>Not Found</v>
      </c>
      <c r="V380" s="17" t="str">
        <f>_xlfn.XLOOKUP(Table2[[#This Row],[Adjusted Form '#]],[2]COMPLETED!$D:$D,[2]COMPLETED!$O:$O,"Not Found")</f>
        <v>Not Found</v>
      </c>
      <c r="W380" s="2" t="str">
        <f>_xlfn.XLOOKUP(Table2[[#This Row],[Adjusted Form '#]],[2]BILLED!$D:$D,[2]BILLED!$M:$M,"Not Found")</f>
        <v>1Z5063E0YW41256652</v>
      </c>
      <c r="X380" s="17" t="e">
        <f>_xlfn.XLOOKUP(Table2[[#This Row],[Adjusted Form '#]],[2]BILLED!$D:$D,[1]BILLED!$O:$O,"Not Found")</f>
        <v>#REF!</v>
      </c>
      <c r="Y380" s="17" t="e">
        <f>_xlfn.XLOOKUP(Table2[[#This Row],[Adjusted Form '#]],'[2]REJECTED ORDERS'!$D:$D,'[2]REJECTED ORDERS'!$E:$E)</f>
        <v>#N/A</v>
      </c>
      <c r="Z380" s="1"/>
      <c r="AA380" s="1"/>
      <c r="AB380" s="8"/>
      <c r="AC380" s="8"/>
      <c r="AD380" s="8"/>
      <c r="AE380" s="8"/>
      <c r="AF380" s="8"/>
      <c r="AG380" s="8"/>
      <c r="AH380" s="8"/>
      <c r="AI380" s="8"/>
      <c r="AJ380" s="8"/>
    </row>
    <row r="381" spans="1:36" ht="15" customHeight="1" x14ac:dyDescent="0.35">
      <c r="A381" s="4" t="s">
        <v>556</v>
      </c>
      <c r="B381" s="1" t="s">
        <v>4454</v>
      </c>
      <c r="C381" s="11">
        <v>44979</v>
      </c>
      <c r="D381" s="11" t="s">
        <v>4450</v>
      </c>
      <c r="E381" s="1" t="s">
        <v>21</v>
      </c>
      <c r="F381" s="1" t="s">
        <v>4456</v>
      </c>
      <c r="G381" s="6">
        <f>COUNTIF(F:F,Table2[[#This Row],[Form '#]])</f>
        <v>1</v>
      </c>
      <c r="H381" s="1" t="s">
        <v>2279</v>
      </c>
      <c r="I381" s="1" t="s">
        <v>127</v>
      </c>
      <c r="J381" s="1" t="s">
        <v>76</v>
      </c>
      <c r="K381" s="1" t="s">
        <v>4457</v>
      </c>
      <c r="L381" s="1"/>
      <c r="M381" s="6" t="str">
        <f>IF(Table2[[#This Row],[Corrected Form '#
 (If Duplicated)]]="",Table2[[#This Row],[Form '#]],Table2[[#This Row],[Corrected Form '#
 (If Duplicated)]])</f>
        <v>7818-26510</v>
      </c>
      <c r="N381" s="1" t="s">
        <v>49</v>
      </c>
      <c r="O381" s="6" t="str">
        <f>IF(Table2[[#This Row],[POG CONFIRMATION RECEIPT OF ORDER
(DATE &amp; TIME)]]="","No Confirmation","Received Confirmation")</f>
        <v>Received Confirmation</v>
      </c>
      <c r="P381" s="6">
        <f ca="1">TODAY()-Table2[[#This Row],[DATE SENT TO POG]]</f>
        <v>324</v>
      </c>
      <c r="Q381" s="6" t="s">
        <v>5803</v>
      </c>
      <c r="R3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1" s="2" t="str">
        <f>_xlfn.XLOOKUP(Table2[[#This Row],[Adjusted Form '#]],'[2]IN PROGRESS'!$D:$D,'[2]IN PROGRESS'!$M:$M,"Not Found")</f>
        <v>Not Found</v>
      </c>
      <c r="U381" s="2" t="str">
        <f>_xlfn.XLOOKUP(Table2[[#This Row],[Adjusted Form '#]],[1]COMPLETED!$D:$D,[2]COMPLETED!$M:$M,"Not Found")</f>
        <v>Not Found</v>
      </c>
      <c r="V381" s="17" t="str">
        <f>_xlfn.XLOOKUP(Table2[[#This Row],[Adjusted Form '#]],[2]COMPLETED!$D:$D,[2]COMPLETED!$O:$O,"Not Found")</f>
        <v>Not Found</v>
      </c>
      <c r="W381" s="2" t="str">
        <f>_xlfn.XLOOKUP(Table2[[#This Row],[Adjusted Form '#]],[2]BILLED!$D:$D,[2]BILLED!$M:$M,"Not Found")</f>
        <v>1Z5063E0YW42635419</v>
      </c>
      <c r="X381" s="17" t="e">
        <f>_xlfn.XLOOKUP(Table2[[#This Row],[Adjusted Form '#]],[2]BILLED!$D:$D,[1]BILLED!$O:$O,"Not Found")</f>
        <v>#REF!</v>
      </c>
      <c r="Y381" s="17" t="e">
        <f>_xlfn.XLOOKUP(Table2[[#This Row],[Adjusted Form '#]],'[2]REJECTED ORDERS'!$D:$D,'[2]REJECTED ORDERS'!$E:$E)</f>
        <v>#N/A</v>
      </c>
      <c r="Z381" s="1"/>
      <c r="AA381" s="1"/>
      <c r="AB381" s="8"/>
      <c r="AC381" s="8"/>
      <c r="AD381" s="8"/>
      <c r="AE381" s="8"/>
      <c r="AF381" s="8"/>
      <c r="AG381" s="8"/>
      <c r="AH381" s="8"/>
      <c r="AI381" s="8"/>
      <c r="AJ381" s="8"/>
    </row>
    <row r="382" spans="1:36" ht="15" customHeight="1" x14ac:dyDescent="0.35">
      <c r="A382" s="4" t="s">
        <v>557</v>
      </c>
      <c r="B382" s="1" t="s">
        <v>4454</v>
      </c>
      <c r="C382" s="11">
        <v>44979</v>
      </c>
      <c r="D382" s="11" t="s">
        <v>4450</v>
      </c>
      <c r="E382" s="1" t="s">
        <v>21</v>
      </c>
      <c r="F382" s="1" t="s">
        <v>4458</v>
      </c>
      <c r="G382" s="6">
        <f>COUNTIF(F:F,Table2[[#This Row],[Form '#]])</f>
        <v>1</v>
      </c>
      <c r="H382" s="1" t="s">
        <v>1976</v>
      </c>
      <c r="I382" s="1" t="s">
        <v>3852</v>
      </c>
      <c r="J382" s="1" t="s">
        <v>75</v>
      </c>
      <c r="K382" s="1" t="s">
        <v>3853</v>
      </c>
      <c r="L382" s="1"/>
      <c r="M382" s="6" t="str">
        <f>IF(Table2[[#This Row],[Corrected Form '#
 (If Duplicated)]]="",Table2[[#This Row],[Form '#]],Table2[[#This Row],[Corrected Form '#
 (If Duplicated)]])</f>
        <v>7818-26503</v>
      </c>
      <c r="N382" s="1" t="s">
        <v>49</v>
      </c>
      <c r="O382" s="6" t="str">
        <f>IF(Table2[[#This Row],[POG CONFIRMATION RECEIPT OF ORDER
(DATE &amp; TIME)]]="","No Confirmation","Received Confirmation")</f>
        <v>Received Confirmation</v>
      </c>
      <c r="P382" s="6">
        <f ca="1">TODAY()-Table2[[#This Row],[DATE SENT TO POG]]</f>
        <v>324</v>
      </c>
      <c r="Q382" s="6" t="s">
        <v>5803</v>
      </c>
      <c r="R3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2" s="2" t="str">
        <f>_xlfn.XLOOKUP(Table2[[#This Row],[Adjusted Form '#]],'[2]IN PROGRESS'!$D:$D,'[2]IN PROGRESS'!$M:$M,"Not Found")</f>
        <v>Not Found</v>
      </c>
      <c r="U382" s="2" t="str">
        <f>_xlfn.XLOOKUP(Table2[[#This Row],[Adjusted Form '#]],[1]COMPLETED!$D:$D,[2]COMPLETED!$M:$M,"Not Found")</f>
        <v>Not Found</v>
      </c>
      <c r="V382" s="17" t="str">
        <f>_xlfn.XLOOKUP(Table2[[#This Row],[Adjusted Form '#]],[2]COMPLETED!$D:$D,[2]COMPLETED!$O:$O,"Not Found")</f>
        <v>Not Found</v>
      </c>
      <c r="W382" s="2" t="str">
        <f>_xlfn.XLOOKUP(Table2[[#This Row],[Adjusted Form '#]],[2]BILLED!$D:$D,[2]BILLED!$M:$M,"Not Found")</f>
        <v>9400 1112 0620 7798 7215 80</v>
      </c>
      <c r="X382" s="17" t="e">
        <f>_xlfn.XLOOKUP(Table2[[#This Row],[Adjusted Form '#]],[2]BILLED!$D:$D,[1]BILLED!$O:$O,"Not Found")</f>
        <v>#REF!</v>
      </c>
      <c r="Y382" s="17" t="e">
        <f>_xlfn.XLOOKUP(Table2[[#This Row],[Adjusted Form '#]],'[2]REJECTED ORDERS'!$D:$D,'[2]REJECTED ORDERS'!$E:$E)</f>
        <v>#N/A</v>
      </c>
      <c r="Z382" s="1"/>
      <c r="AA382" s="1"/>
      <c r="AB382" s="8"/>
      <c r="AC382" s="8"/>
      <c r="AD382" s="8"/>
      <c r="AE382" s="8"/>
      <c r="AF382" s="8"/>
      <c r="AG382" s="8"/>
      <c r="AH382" s="8"/>
      <c r="AI382" s="8"/>
      <c r="AJ382" s="8"/>
    </row>
    <row r="383" spans="1:36" ht="15" customHeight="1" x14ac:dyDescent="0.35">
      <c r="A383" s="4" t="s">
        <v>559</v>
      </c>
      <c r="B383" s="1" t="s">
        <v>4454</v>
      </c>
      <c r="C383" s="11">
        <v>44979</v>
      </c>
      <c r="D383" s="11" t="s">
        <v>4450</v>
      </c>
      <c r="E383" s="1" t="s">
        <v>21</v>
      </c>
      <c r="F383" s="1" t="s">
        <v>4459</v>
      </c>
      <c r="G383" s="6">
        <f>COUNTIF(F:F,Table2[[#This Row],[Form '#]])</f>
        <v>1</v>
      </c>
      <c r="H383" s="1" t="s">
        <v>4460</v>
      </c>
      <c r="I383" s="1" t="s">
        <v>28</v>
      </c>
      <c r="J383" s="1" t="s">
        <v>69</v>
      </c>
      <c r="K383" s="1" t="s">
        <v>4011</v>
      </c>
      <c r="L383" s="1"/>
      <c r="M383" s="6" t="str">
        <f>IF(Table2[[#This Row],[Corrected Form '#
 (If Duplicated)]]="",Table2[[#This Row],[Form '#]],Table2[[#This Row],[Corrected Form '#
 (If Duplicated)]])</f>
        <v>7818-16250</v>
      </c>
      <c r="N383" s="1" t="s">
        <v>49</v>
      </c>
      <c r="O383" s="6" t="str">
        <f>IF(Table2[[#This Row],[POG CONFIRMATION RECEIPT OF ORDER
(DATE &amp; TIME)]]="","No Confirmation","Received Confirmation")</f>
        <v>Received Confirmation</v>
      </c>
      <c r="P383" s="6">
        <f ca="1">TODAY()-Table2[[#This Row],[DATE SENT TO POG]]</f>
        <v>324</v>
      </c>
      <c r="Q383" s="6" t="s">
        <v>5803</v>
      </c>
      <c r="R3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3" s="2" t="str">
        <f>_xlfn.XLOOKUP(Table2[[#This Row],[Adjusted Form '#]],'[2]IN PROGRESS'!$D:$D,'[2]IN PROGRESS'!$M:$M,"Not Found")</f>
        <v>Not Found</v>
      </c>
      <c r="U383" s="2" t="str">
        <f>_xlfn.XLOOKUP(Table2[[#This Row],[Adjusted Form '#]],[1]COMPLETED!$D:$D,[2]COMPLETED!$M:$M,"Not Found")</f>
        <v>Not Found</v>
      </c>
      <c r="V383" s="17" t="str">
        <f>_xlfn.XLOOKUP(Table2[[#This Row],[Adjusted Form '#]],[2]COMPLETED!$D:$D,[2]COMPLETED!$O:$O,"Not Found")</f>
        <v>Not Found</v>
      </c>
      <c r="W383" s="2" t="str">
        <f>_xlfn.XLOOKUP(Table2[[#This Row],[Adjusted Form '#]],[2]BILLED!$D:$D,[2]BILLED!$M:$M,"Not Found")</f>
        <v>1Z5063E0YW41876563</v>
      </c>
      <c r="X383" s="17" t="e">
        <f>_xlfn.XLOOKUP(Table2[[#This Row],[Adjusted Form '#]],[2]BILLED!$D:$D,[1]BILLED!$O:$O,"Not Found")</f>
        <v>#REF!</v>
      </c>
      <c r="Y383" s="17" t="e">
        <f>_xlfn.XLOOKUP(Table2[[#This Row],[Adjusted Form '#]],'[2]REJECTED ORDERS'!$D:$D,'[2]REJECTED ORDERS'!$E:$E)</f>
        <v>#N/A</v>
      </c>
      <c r="Z383" s="1"/>
      <c r="AA383" s="1"/>
      <c r="AB383" s="8"/>
      <c r="AC383" s="8"/>
      <c r="AD383" s="8"/>
      <c r="AE383" s="8"/>
      <c r="AF383" s="8"/>
      <c r="AG383" s="8"/>
      <c r="AH383" s="8"/>
      <c r="AI383" s="8"/>
      <c r="AJ383" s="8"/>
    </row>
    <row r="384" spans="1:36" ht="15" customHeight="1" x14ac:dyDescent="0.35">
      <c r="A384" s="4" t="s">
        <v>560</v>
      </c>
      <c r="B384" s="1" t="s">
        <v>4317</v>
      </c>
      <c r="C384" s="11">
        <v>44979</v>
      </c>
      <c r="D384" s="11" t="s">
        <v>4461</v>
      </c>
      <c r="E384" s="1" t="s">
        <v>21</v>
      </c>
      <c r="F384" s="1" t="s">
        <v>4462</v>
      </c>
      <c r="G384" s="6">
        <f>COUNTIF(F:F,Table2[[#This Row],[Form '#]])</f>
        <v>1</v>
      </c>
      <c r="H384" s="1" t="s">
        <v>4463</v>
      </c>
      <c r="I384" s="1" t="s">
        <v>3852</v>
      </c>
      <c r="J384" s="1" t="s">
        <v>80</v>
      </c>
      <c r="K384" s="1" t="s">
        <v>3853</v>
      </c>
      <c r="L384" s="1"/>
      <c r="M384" s="6" t="str">
        <f>IF(Table2[[#This Row],[Corrected Form '#
 (If Duplicated)]]="",Table2[[#This Row],[Form '#]],Table2[[#This Row],[Corrected Form '#
 (If Duplicated)]])</f>
        <v>7818-10382</v>
      </c>
      <c r="N384" s="1" t="s">
        <v>49</v>
      </c>
      <c r="O384" s="6" t="str">
        <f>IF(Table2[[#This Row],[POG CONFIRMATION RECEIPT OF ORDER
(DATE &amp; TIME)]]="","No Confirmation","Received Confirmation")</f>
        <v>Received Confirmation</v>
      </c>
      <c r="P384" s="6">
        <f ca="1">TODAY()-Table2[[#This Row],[DATE SENT TO POG]]</f>
        <v>324</v>
      </c>
      <c r="Q384" s="6" t="s">
        <v>5803</v>
      </c>
      <c r="R3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4" s="2" t="str">
        <f>_xlfn.XLOOKUP(Table2[[#This Row],[Adjusted Form '#]],'[2]IN PROGRESS'!$D:$D,'[2]IN PROGRESS'!$M:$M,"Not Found")</f>
        <v>Not Found</v>
      </c>
      <c r="U384" s="2" t="str">
        <f>_xlfn.XLOOKUP(Table2[[#This Row],[Adjusted Form '#]],[1]COMPLETED!$D:$D,[2]COMPLETED!$M:$M,"Not Found")</f>
        <v>Not Found</v>
      </c>
      <c r="V384" s="17" t="str">
        <f>_xlfn.XLOOKUP(Table2[[#This Row],[Adjusted Form '#]],[2]COMPLETED!$D:$D,[2]COMPLETED!$O:$O,"Not Found")</f>
        <v>Not Found</v>
      </c>
      <c r="W384" s="2" t="str">
        <f>_xlfn.XLOOKUP(Table2[[#This Row],[Adjusted Form '#]],[2]BILLED!$D:$D,[2]BILLED!$M:$M,"Not Found")</f>
        <v>1Z5063E0YW42400038</v>
      </c>
      <c r="X384" s="17" t="e">
        <f>_xlfn.XLOOKUP(Table2[[#This Row],[Adjusted Form '#]],[2]BILLED!$D:$D,[1]BILLED!$O:$O,"Not Found")</f>
        <v>#REF!</v>
      </c>
      <c r="Y384" s="17" t="e">
        <f>_xlfn.XLOOKUP(Table2[[#This Row],[Adjusted Form '#]],'[2]REJECTED ORDERS'!$D:$D,'[2]REJECTED ORDERS'!$E:$E)</f>
        <v>#N/A</v>
      </c>
      <c r="Z384" s="1"/>
      <c r="AA384" s="1"/>
      <c r="AB384" s="8"/>
      <c r="AC384" s="8"/>
      <c r="AD384" s="8"/>
      <c r="AE384" s="8"/>
      <c r="AF384" s="8"/>
      <c r="AG384" s="8"/>
      <c r="AH384" s="8"/>
      <c r="AI384" s="8"/>
      <c r="AJ384" s="8"/>
    </row>
    <row r="385" spans="1:36" ht="15" customHeight="1" x14ac:dyDescent="0.35">
      <c r="A385" s="4" t="s">
        <v>561</v>
      </c>
      <c r="B385" s="1" t="s">
        <v>4317</v>
      </c>
      <c r="C385" s="11">
        <v>44979</v>
      </c>
      <c r="D385" s="11" t="s">
        <v>4461</v>
      </c>
      <c r="E385" s="1" t="s">
        <v>21</v>
      </c>
      <c r="F385" s="1" t="s">
        <v>4464</v>
      </c>
      <c r="G385" s="6">
        <f>COUNTIF(F:F,Table2[[#This Row],[Form '#]])</f>
        <v>1</v>
      </c>
      <c r="H385" s="1" t="s">
        <v>2307</v>
      </c>
      <c r="I385" s="1" t="s">
        <v>3852</v>
      </c>
      <c r="J385" s="1" t="s">
        <v>80</v>
      </c>
      <c r="K385" s="1" t="s">
        <v>3853</v>
      </c>
      <c r="L385" s="1"/>
      <c r="M385" s="6" t="str">
        <f>IF(Table2[[#This Row],[Corrected Form '#
 (If Duplicated)]]="",Table2[[#This Row],[Form '#]],Table2[[#This Row],[Corrected Form '#
 (If Duplicated)]])</f>
        <v>7818-20641</v>
      </c>
      <c r="N385" s="1" t="s">
        <v>49</v>
      </c>
      <c r="O385" s="6" t="str">
        <f>IF(Table2[[#This Row],[POG CONFIRMATION RECEIPT OF ORDER
(DATE &amp; TIME)]]="","No Confirmation","Received Confirmation")</f>
        <v>Received Confirmation</v>
      </c>
      <c r="P385" s="6">
        <f ca="1">TODAY()-Table2[[#This Row],[DATE SENT TO POG]]</f>
        <v>324</v>
      </c>
      <c r="Q385" s="6" t="s">
        <v>5803</v>
      </c>
      <c r="R3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5" s="2" t="str">
        <f>_xlfn.XLOOKUP(Table2[[#This Row],[Adjusted Form '#]],'[2]IN PROGRESS'!$D:$D,'[2]IN PROGRESS'!$M:$M,"Not Found")</f>
        <v>Not Found</v>
      </c>
      <c r="U385" s="2" t="str">
        <f>_xlfn.XLOOKUP(Table2[[#This Row],[Adjusted Form '#]],[1]COMPLETED!$D:$D,[2]COMPLETED!$M:$M,"Not Found")</f>
        <v>Not Found</v>
      </c>
      <c r="V385" s="17" t="str">
        <f>_xlfn.XLOOKUP(Table2[[#This Row],[Adjusted Form '#]],[2]COMPLETED!$D:$D,[2]COMPLETED!$O:$O,"Not Found")</f>
        <v>Not Found</v>
      </c>
      <c r="W385" s="2" t="str">
        <f>_xlfn.XLOOKUP(Table2[[#This Row],[Adjusted Form '#]],[2]BILLED!$D:$D,[2]BILLED!$M:$M,"Not Found")</f>
        <v>1Z5063E0YW42779827</v>
      </c>
      <c r="X385" s="17" t="e">
        <f>_xlfn.XLOOKUP(Table2[[#This Row],[Adjusted Form '#]],[2]BILLED!$D:$D,[1]BILLED!$O:$O,"Not Found")</f>
        <v>#REF!</v>
      </c>
      <c r="Y385" s="17" t="e">
        <f>_xlfn.XLOOKUP(Table2[[#This Row],[Adjusted Form '#]],'[2]REJECTED ORDERS'!$D:$D,'[2]REJECTED ORDERS'!$E:$E)</f>
        <v>#N/A</v>
      </c>
      <c r="Z385" s="1"/>
      <c r="AA385" s="1"/>
      <c r="AB385" s="8"/>
      <c r="AC385" s="8"/>
      <c r="AD385" s="8"/>
      <c r="AE385" s="8"/>
      <c r="AF385" s="8"/>
      <c r="AG385" s="8"/>
      <c r="AH385" s="8"/>
      <c r="AI385" s="8"/>
      <c r="AJ385" s="8"/>
    </row>
    <row r="386" spans="1:36" ht="15" customHeight="1" x14ac:dyDescent="0.35">
      <c r="A386" s="4" t="s">
        <v>562</v>
      </c>
      <c r="B386" s="1" t="s">
        <v>4317</v>
      </c>
      <c r="C386" s="11">
        <v>44979</v>
      </c>
      <c r="D386" s="11" t="s">
        <v>4461</v>
      </c>
      <c r="E386" s="1" t="s">
        <v>21</v>
      </c>
      <c r="F386" s="1" t="s">
        <v>4465</v>
      </c>
      <c r="G386" s="6">
        <f>COUNTIF(F:F,Table2[[#This Row],[Form '#]])</f>
        <v>1</v>
      </c>
      <c r="H386" s="1" t="s">
        <v>355</v>
      </c>
      <c r="I386" s="1" t="s">
        <v>127</v>
      </c>
      <c r="J386" s="1" t="s">
        <v>76</v>
      </c>
      <c r="K386" s="1" t="s">
        <v>3883</v>
      </c>
      <c r="L386" s="1"/>
      <c r="M386" s="6" t="str">
        <f>IF(Table2[[#This Row],[Corrected Form '#
 (If Duplicated)]]="",Table2[[#This Row],[Form '#]],Table2[[#This Row],[Corrected Form '#
 (If Duplicated)]])</f>
        <v>7818-15757</v>
      </c>
      <c r="N386" s="1" t="s">
        <v>49</v>
      </c>
      <c r="O386" s="6" t="str">
        <f>IF(Table2[[#This Row],[POG CONFIRMATION RECEIPT OF ORDER
(DATE &amp; TIME)]]="","No Confirmation","Received Confirmation")</f>
        <v>Received Confirmation</v>
      </c>
      <c r="P386" s="6">
        <f ca="1">TODAY()-Table2[[#This Row],[DATE SENT TO POG]]</f>
        <v>324</v>
      </c>
      <c r="Q386" s="6" t="s">
        <v>5803</v>
      </c>
      <c r="R3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6" s="2" t="str">
        <f>_xlfn.XLOOKUP(Table2[[#This Row],[Adjusted Form '#]],'[2]IN PROGRESS'!$D:$D,'[2]IN PROGRESS'!$M:$M,"Not Found")</f>
        <v>Not Found</v>
      </c>
      <c r="U386" s="2" t="str">
        <f>_xlfn.XLOOKUP(Table2[[#This Row],[Adjusted Form '#]],[1]COMPLETED!$D:$D,[2]COMPLETED!$M:$M,"Not Found")</f>
        <v>Not Found</v>
      </c>
      <c r="V386" s="17" t="str">
        <f>_xlfn.XLOOKUP(Table2[[#This Row],[Adjusted Form '#]],[2]COMPLETED!$D:$D,[2]COMPLETED!$O:$O,"Not Found")</f>
        <v>Not Found</v>
      </c>
      <c r="W386" s="2" t="str">
        <f>_xlfn.XLOOKUP(Table2[[#This Row],[Adjusted Form '#]],[2]BILLED!$D:$D,[2]BILLED!$M:$M,"Not Found")</f>
        <v>1Z5063E0YW40145667</v>
      </c>
      <c r="X386" s="17" t="e">
        <f>_xlfn.XLOOKUP(Table2[[#This Row],[Adjusted Form '#]],[2]BILLED!$D:$D,[1]BILLED!$O:$O,"Not Found")</f>
        <v>#REF!</v>
      </c>
      <c r="Y386" s="17" t="str">
        <f>_xlfn.XLOOKUP(Table2[[#This Row],[Adjusted Form '#]],'[2]REJECTED ORDERS'!$D:$D,'[2]REJECTED ORDERS'!$E:$E)</f>
        <v>FORM NOT SIGNED</v>
      </c>
      <c r="Z386" s="1"/>
      <c r="AA386" s="1"/>
      <c r="AB386" s="8"/>
      <c r="AC386" s="8"/>
      <c r="AD386" s="8"/>
      <c r="AE386" s="8"/>
      <c r="AF386" s="8"/>
      <c r="AG386" s="8"/>
      <c r="AH386" s="8"/>
      <c r="AI386" s="8"/>
      <c r="AJ386" s="8"/>
    </row>
    <row r="387" spans="1:36" ht="15" customHeight="1" x14ac:dyDescent="0.35">
      <c r="A387" s="4" t="s">
        <v>564</v>
      </c>
      <c r="B387" s="1" t="s">
        <v>1019</v>
      </c>
      <c r="C387" s="11">
        <v>44979</v>
      </c>
      <c r="D387" s="11" t="s">
        <v>4466</v>
      </c>
      <c r="E387" s="1" t="s">
        <v>73</v>
      </c>
      <c r="F387" s="1" t="s">
        <v>4467</v>
      </c>
      <c r="G387" s="6">
        <f>COUNTIF(F:F,Table2[[#This Row],[Form '#]])</f>
        <v>1</v>
      </c>
      <c r="H387" s="1" t="s">
        <v>4468</v>
      </c>
      <c r="I387" s="1" t="s">
        <v>3852</v>
      </c>
      <c r="J387" s="1" t="s">
        <v>75</v>
      </c>
      <c r="K387" s="1" t="s">
        <v>4011</v>
      </c>
      <c r="L387" s="1"/>
      <c r="M387" s="6" t="str">
        <f>IF(Table2[[#This Row],[Corrected Form '#
 (If Duplicated)]]="",Table2[[#This Row],[Form '#]],Table2[[#This Row],[Corrected Form '#
 (If Duplicated)]])</f>
        <v>7823-03369</v>
      </c>
      <c r="N387" s="1" t="s">
        <v>49</v>
      </c>
      <c r="O387" s="6" t="str">
        <f>IF(Table2[[#This Row],[POG CONFIRMATION RECEIPT OF ORDER
(DATE &amp; TIME)]]="","No Confirmation","Received Confirmation")</f>
        <v>Received Confirmation</v>
      </c>
      <c r="P387" s="6">
        <f ca="1">TODAY()-Table2[[#This Row],[DATE SENT TO POG]]</f>
        <v>324</v>
      </c>
      <c r="Q387" s="6" t="s">
        <v>5803</v>
      </c>
      <c r="R3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7" s="2" t="str">
        <f>_xlfn.XLOOKUP(Table2[[#This Row],[Adjusted Form '#]],'[2]IN PROGRESS'!$D:$D,'[2]IN PROGRESS'!$M:$M,"Not Found")</f>
        <v>Not Found</v>
      </c>
      <c r="U387" s="2" t="str">
        <f>_xlfn.XLOOKUP(Table2[[#This Row],[Adjusted Form '#]],[1]COMPLETED!$D:$D,[2]COMPLETED!$M:$M,"Not Found")</f>
        <v>Not Found</v>
      </c>
      <c r="V387" s="17" t="str">
        <f>_xlfn.XLOOKUP(Table2[[#This Row],[Adjusted Form '#]],[2]COMPLETED!$D:$D,[2]COMPLETED!$O:$O,"Not Found")</f>
        <v>Not Found</v>
      </c>
      <c r="W387" s="2" t="str">
        <f>_xlfn.XLOOKUP(Table2[[#This Row],[Adjusted Form '#]],[2]BILLED!$D:$D,[2]BILLED!$M:$M,"Not Found")</f>
        <v>1Z5063E0YW42075113</v>
      </c>
      <c r="X387" s="17" t="e">
        <f>_xlfn.XLOOKUP(Table2[[#This Row],[Adjusted Form '#]],[2]BILLED!$D:$D,[1]BILLED!$O:$O,"Not Found")</f>
        <v>#REF!</v>
      </c>
      <c r="Y387" s="17" t="e">
        <f>_xlfn.XLOOKUP(Table2[[#This Row],[Adjusted Form '#]],'[2]REJECTED ORDERS'!$D:$D,'[2]REJECTED ORDERS'!$E:$E)</f>
        <v>#N/A</v>
      </c>
      <c r="Z387" s="1"/>
      <c r="AA387" s="1"/>
      <c r="AB387" s="8"/>
      <c r="AC387" s="8"/>
      <c r="AD387" s="8"/>
      <c r="AE387" s="8"/>
      <c r="AF387" s="8"/>
      <c r="AG387" s="8"/>
      <c r="AH387" s="8"/>
      <c r="AI387" s="8"/>
      <c r="AJ387" s="8"/>
    </row>
    <row r="388" spans="1:36" ht="15" customHeight="1" x14ac:dyDescent="0.35">
      <c r="A388" s="4" t="s">
        <v>565</v>
      </c>
      <c r="B388" s="1" t="s">
        <v>4469</v>
      </c>
      <c r="C388" s="11">
        <v>44979</v>
      </c>
      <c r="D388" s="11" t="s">
        <v>4470</v>
      </c>
      <c r="E388" s="1" t="s">
        <v>73</v>
      </c>
      <c r="F388" s="1" t="s">
        <v>4471</v>
      </c>
      <c r="G388" s="6">
        <f>COUNTIF(F:F,Table2[[#This Row],[Form '#]])</f>
        <v>1</v>
      </c>
      <c r="H388" s="1" t="s">
        <v>4472</v>
      </c>
      <c r="I388" s="1" t="s">
        <v>127</v>
      </c>
      <c r="J388" s="1" t="s">
        <v>71</v>
      </c>
      <c r="K388" s="1" t="s">
        <v>3891</v>
      </c>
      <c r="L388" s="1"/>
      <c r="M388" s="6" t="str">
        <f>IF(Table2[[#This Row],[Corrected Form '#
 (If Duplicated)]]="",Table2[[#This Row],[Form '#]],Table2[[#This Row],[Corrected Form '#
 (If Duplicated)]])</f>
        <v>7823-02021</v>
      </c>
      <c r="N388" s="1" t="s">
        <v>49</v>
      </c>
      <c r="O388" s="6" t="str">
        <f>IF(Table2[[#This Row],[POG CONFIRMATION RECEIPT OF ORDER
(DATE &amp; TIME)]]="","No Confirmation","Received Confirmation")</f>
        <v>Received Confirmation</v>
      </c>
      <c r="P388" s="6">
        <f ca="1">TODAY()-Table2[[#This Row],[DATE SENT TO POG]]</f>
        <v>324</v>
      </c>
      <c r="Q388" s="6" t="s">
        <v>5803</v>
      </c>
      <c r="R3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8" s="2" t="str">
        <f>_xlfn.XLOOKUP(Table2[[#This Row],[Adjusted Form '#]],'[2]IN PROGRESS'!$D:$D,'[2]IN PROGRESS'!$M:$M,"Not Found")</f>
        <v>Not Found</v>
      </c>
      <c r="U388" s="2" t="str">
        <f>_xlfn.XLOOKUP(Table2[[#This Row],[Adjusted Form '#]],[1]COMPLETED!$D:$D,[2]COMPLETED!$M:$M,"Not Found")</f>
        <v>Not Found</v>
      </c>
      <c r="V388" s="17" t="str">
        <f>_xlfn.XLOOKUP(Table2[[#This Row],[Adjusted Form '#]],[2]COMPLETED!$D:$D,[2]COMPLETED!$O:$O,"Not Found")</f>
        <v>Not Found</v>
      </c>
      <c r="W388" s="2" t="str">
        <f>_xlfn.XLOOKUP(Table2[[#This Row],[Adjusted Form '#]],[2]BILLED!$D:$D,[2]BILLED!$M:$M,"Not Found")</f>
        <v>1Z5063E0YW42921430</v>
      </c>
      <c r="X388" s="17" t="e">
        <f>_xlfn.XLOOKUP(Table2[[#This Row],[Adjusted Form '#]],[2]BILLED!$D:$D,[1]BILLED!$O:$O,"Not Found")</f>
        <v>#REF!</v>
      </c>
      <c r="Y388" s="17" t="e">
        <f>_xlfn.XLOOKUP(Table2[[#This Row],[Adjusted Form '#]],'[2]REJECTED ORDERS'!$D:$D,'[2]REJECTED ORDERS'!$E:$E)</f>
        <v>#N/A</v>
      </c>
      <c r="Z388" s="1"/>
      <c r="AA388" s="1"/>
      <c r="AB388" s="8"/>
      <c r="AC388" s="8"/>
      <c r="AD388" s="8"/>
      <c r="AE388" s="8"/>
      <c r="AF388" s="8"/>
      <c r="AG388" s="8"/>
      <c r="AH388" s="8"/>
      <c r="AI388" s="8"/>
      <c r="AJ388" s="8"/>
    </row>
    <row r="389" spans="1:36" ht="15" customHeight="1" x14ac:dyDescent="0.35">
      <c r="A389" s="4" t="s">
        <v>566</v>
      </c>
      <c r="B389" s="1" t="s">
        <v>4473</v>
      </c>
      <c r="C389" s="11">
        <v>44979</v>
      </c>
      <c r="D389" s="11" t="s">
        <v>4470</v>
      </c>
      <c r="E389" s="1" t="s">
        <v>73</v>
      </c>
      <c r="F389" s="1" t="s">
        <v>4474</v>
      </c>
      <c r="G389" s="6">
        <f>COUNTIF(F:F,Table2[[#This Row],[Form '#]])</f>
        <v>1</v>
      </c>
      <c r="H389" s="1" t="s">
        <v>4475</v>
      </c>
      <c r="I389" s="1" t="s">
        <v>177</v>
      </c>
      <c r="J389" s="1" t="s">
        <v>75</v>
      </c>
      <c r="K389" s="1" t="s">
        <v>3891</v>
      </c>
      <c r="L389" s="1"/>
      <c r="M389" s="6" t="str">
        <f>IF(Table2[[#This Row],[Corrected Form '#
 (If Duplicated)]]="",Table2[[#This Row],[Form '#]],Table2[[#This Row],[Corrected Form '#
 (If Duplicated)]])</f>
        <v>7823-02020</v>
      </c>
      <c r="N389" s="1" t="s">
        <v>49</v>
      </c>
      <c r="O389" s="6" t="str">
        <f>IF(Table2[[#This Row],[POG CONFIRMATION RECEIPT OF ORDER
(DATE &amp; TIME)]]="","No Confirmation","Received Confirmation")</f>
        <v>Received Confirmation</v>
      </c>
      <c r="P389" s="6">
        <f ca="1">TODAY()-Table2[[#This Row],[DATE SENT TO POG]]</f>
        <v>324</v>
      </c>
      <c r="Q389" s="6" t="s">
        <v>5803</v>
      </c>
      <c r="R3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89" s="2" t="str">
        <f>_xlfn.XLOOKUP(Table2[[#This Row],[Adjusted Form '#]],'[2]IN PROGRESS'!$D:$D,'[2]IN PROGRESS'!$M:$M,"Not Found")</f>
        <v>Not Found</v>
      </c>
      <c r="U389" s="2" t="str">
        <f>_xlfn.XLOOKUP(Table2[[#This Row],[Adjusted Form '#]],[1]COMPLETED!$D:$D,[2]COMPLETED!$M:$M,"Not Found")</f>
        <v>Not Found</v>
      </c>
      <c r="V389" s="17" t="str">
        <f>_xlfn.XLOOKUP(Table2[[#This Row],[Adjusted Form '#]],[2]COMPLETED!$D:$D,[2]COMPLETED!$O:$O,"Not Found")</f>
        <v>Not Found</v>
      </c>
      <c r="W389" s="2" t="str">
        <f>_xlfn.XLOOKUP(Table2[[#This Row],[Adjusted Form '#]],[2]BILLED!$D:$D,[2]BILLED!$M:$M,"Not Found")</f>
        <v>1Z5063E0YW42109336</v>
      </c>
      <c r="X389" s="17" t="e">
        <f>_xlfn.XLOOKUP(Table2[[#This Row],[Adjusted Form '#]],[2]BILLED!$D:$D,[1]BILLED!$O:$O,"Not Found")</f>
        <v>#REF!</v>
      </c>
      <c r="Y389" s="17" t="e">
        <f>_xlfn.XLOOKUP(Table2[[#This Row],[Adjusted Form '#]],'[2]REJECTED ORDERS'!$D:$D,'[2]REJECTED ORDERS'!$E:$E)</f>
        <v>#N/A</v>
      </c>
      <c r="Z389" s="1"/>
      <c r="AA389" s="1"/>
      <c r="AB389" s="8"/>
      <c r="AC389" s="8"/>
      <c r="AD389" s="8"/>
      <c r="AE389" s="8"/>
      <c r="AF389" s="8"/>
      <c r="AG389" s="8"/>
      <c r="AH389" s="8"/>
      <c r="AI389" s="8"/>
      <c r="AJ389" s="8"/>
    </row>
    <row r="390" spans="1:36" ht="15" customHeight="1" x14ac:dyDescent="0.35">
      <c r="A390" s="4" t="s">
        <v>567</v>
      </c>
      <c r="B390" s="1" t="s">
        <v>1366</v>
      </c>
      <c r="C390" s="11">
        <v>44979</v>
      </c>
      <c r="D390" s="11" t="s">
        <v>4476</v>
      </c>
      <c r="E390" s="1" t="s">
        <v>64</v>
      </c>
      <c r="F390" s="1" t="s">
        <v>4477</v>
      </c>
      <c r="G390" s="6">
        <f>COUNTIF(F:F,Table2[[#This Row],[Form '#]])</f>
        <v>1</v>
      </c>
      <c r="H390" s="1" t="s">
        <v>255</v>
      </c>
      <c r="I390" s="1" t="s">
        <v>3852</v>
      </c>
      <c r="J390" s="1" t="s">
        <v>80</v>
      </c>
      <c r="K390" s="1" t="s">
        <v>3853</v>
      </c>
      <c r="L390" s="1"/>
      <c r="M390" s="6" t="str">
        <f>IF(Table2[[#This Row],[Corrected Form '#
 (If Duplicated)]]="",Table2[[#This Row],[Form '#]],Table2[[#This Row],[Corrected Form '#
 (If Duplicated)]])</f>
        <v>7824-00342</v>
      </c>
      <c r="N390" s="1" t="s">
        <v>49</v>
      </c>
      <c r="O390" s="6" t="str">
        <f>IF(Table2[[#This Row],[POG CONFIRMATION RECEIPT OF ORDER
(DATE &amp; TIME)]]="","No Confirmation","Received Confirmation")</f>
        <v>Received Confirmation</v>
      </c>
      <c r="P390" s="6">
        <f ca="1">TODAY()-Table2[[#This Row],[DATE SENT TO POG]]</f>
        <v>324</v>
      </c>
      <c r="Q390" s="6" t="s">
        <v>5803</v>
      </c>
      <c r="R3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9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90" s="2" t="str">
        <f>_xlfn.XLOOKUP(Table2[[#This Row],[Adjusted Form '#]],'[2]IN PROGRESS'!$D:$D,'[2]IN PROGRESS'!$M:$M,"Not Found")</f>
        <v>Not Found</v>
      </c>
      <c r="U390" s="2" t="str">
        <f>_xlfn.XLOOKUP(Table2[[#This Row],[Adjusted Form '#]],[1]COMPLETED!$D:$D,[2]COMPLETED!$M:$M,"Not Found")</f>
        <v>Not Found</v>
      </c>
      <c r="V390" s="17">
        <f>_xlfn.XLOOKUP(Table2[[#This Row],[Adjusted Form '#]],[2]COMPLETED!$D:$D,[2]COMPLETED!$O:$O,"Not Found")</f>
        <v>0</v>
      </c>
      <c r="W390" s="2" t="str">
        <f>_xlfn.XLOOKUP(Table2[[#This Row],[Adjusted Form '#]],[2]BILLED!$D:$D,[2]BILLED!$M:$M,"Not Found")</f>
        <v>Not Found</v>
      </c>
      <c r="X390" s="17" t="str">
        <f>_xlfn.XLOOKUP(Table2[[#This Row],[Adjusted Form '#]],[2]BILLED!$D:$D,[1]BILLED!$O:$O,"Not Found")</f>
        <v>Not Found</v>
      </c>
      <c r="Y390" s="17" t="e">
        <f>_xlfn.XLOOKUP(Table2[[#This Row],[Adjusted Form '#]],'[2]REJECTED ORDERS'!$D:$D,'[2]REJECTED ORDERS'!$E:$E)</f>
        <v>#N/A</v>
      </c>
      <c r="Z390" s="1"/>
      <c r="AA390" s="1"/>
      <c r="AB390" s="8"/>
      <c r="AC390" s="8"/>
      <c r="AD390" s="8"/>
      <c r="AE390" s="8"/>
      <c r="AF390" s="8"/>
      <c r="AG390" s="8"/>
      <c r="AH390" s="8"/>
      <c r="AI390" s="8"/>
      <c r="AJ390" s="8"/>
    </row>
    <row r="391" spans="1:36" ht="15" customHeight="1" x14ac:dyDescent="0.35">
      <c r="A391" s="4" t="s">
        <v>570</v>
      </c>
      <c r="B391" s="1" t="s">
        <v>1366</v>
      </c>
      <c r="C391" s="11">
        <v>44979</v>
      </c>
      <c r="D391" s="11" t="s">
        <v>4476</v>
      </c>
      <c r="E391" s="1" t="s">
        <v>64</v>
      </c>
      <c r="F391" s="1" t="s">
        <v>4478</v>
      </c>
      <c r="G391" s="6">
        <f>COUNTIF(F:F,Table2[[#This Row],[Form '#]])</f>
        <v>1</v>
      </c>
      <c r="H391" s="1" t="s">
        <v>2767</v>
      </c>
      <c r="I391" s="1" t="s">
        <v>3852</v>
      </c>
      <c r="J391" s="1" t="s">
        <v>80</v>
      </c>
      <c r="K391" s="1" t="s">
        <v>3853</v>
      </c>
      <c r="L391" s="1"/>
      <c r="M391" s="6" t="str">
        <f>IF(Table2[[#This Row],[Corrected Form '#
 (If Duplicated)]]="",Table2[[#This Row],[Form '#]],Table2[[#This Row],[Corrected Form '#
 (If Duplicated)]])</f>
        <v>7824-00348</v>
      </c>
      <c r="N391" s="1" t="s">
        <v>49</v>
      </c>
      <c r="O391" s="6" t="str">
        <f>IF(Table2[[#This Row],[POG CONFIRMATION RECEIPT OF ORDER
(DATE &amp; TIME)]]="","No Confirmation","Received Confirmation")</f>
        <v>Received Confirmation</v>
      </c>
      <c r="P391" s="6">
        <f ca="1">TODAY()-Table2[[#This Row],[DATE SENT TO POG]]</f>
        <v>324</v>
      </c>
      <c r="Q391" s="6" t="s">
        <v>5803</v>
      </c>
      <c r="R3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9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91" s="2" t="str">
        <f>_xlfn.XLOOKUP(Table2[[#This Row],[Adjusted Form '#]],'[2]IN PROGRESS'!$D:$D,'[2]IN PROGRESS'!$M:$M,"Not Found")</f>
        <v>Not Found</v>
      </c>
      <c r="U391" s="2" t="str">
        <f>_xlfn.XLOOKUP(Table2[[#This Row],[Adjusted Form '#]],[1]COMPLETED!$D:$D,[2]COMPLETED!$M:$M,"Not Found")</f>
        <v>Not Found</v>
      </c>
      <c r="V391" s="17">
        <f>_xlfn.XLOOKUP(Table2[[#This Row],[Adjusted Form '#]],[2]COMPLETED!$D:$D,[2]COMPLETED!$O:$O,"Not Found")</f>
        <v>0</v>
      </c>
      <c r="W391" s="2" t="str">
        <f>_xlfn.XLOOKUP(Table2[[#This Row],[Adjusted Form '#]],[2]BILLED!$D:$D,[2]BILLED!$M:$M,"Not Found")</f>
        <v>Not Found</v>
      </c>
      <c r="X391" s="17" t="str">
        <f>_xlfn.XLOOKUP(Table2[[#This Row],[Adjusted Form '#]],[2]BILLED!$D:$D,[1]BILLED!$O:$O,"Not Found")</f>
        <v>Not Found</v>
      </c>
      <c r="Y391" s="17" t="e">
        <f>_xlfn.XLOOKUP(Table2[[#This Row],[Adjusted Form '#]],'[2]REJECTED ORDERS'!$D:$D,'[2]REJECTED ORDERS'!$E:$E)</f>
        <v>#N/A</v>
      </c>
      <c r="Z391" s="1"/>
      <c r="AA391" s="1"/>
      <c r="AB391" s="8"/>
      <c r="AC391" s="8"/>
      <c r="AD391" s="8"/>
      <c r="AE391" s="8"/>
      <c r="AF391" s="8"/>
      <c r="AG391" s="8"/>
      <c r="AH391" s="8"/>
      <c r="AI391" s="8"/>
      <c r="AJ391" s="8"/>
    </row>
    <row r="392" spans="1:36" ht="15" customHeight="1" x14ac:dyDescent="0.35">
      <c r="A392" s="4" t="s">
        <v>572</v>
      </c>
      <c r="B392" s="1" t="s">
        <v>1366</v>
      </c>
      <c r="C392" s="11">
        <v>44979</v>
      </c>
      <c r="D392" s="11" t="s">
        <v>4476</v>
      </c>
      <c r="E392" s="1" t="s">
        <v>64</v>
      </c>
      <c r="F392" s="1" t="s">
        <v>4479</v>
      </c>
      <c r="G392" s="6">
        <f>COUNTIF(F:F,Table2[[#This Row],[Form '#]])</f>
        <v>1</v>
      </c>
      <c r="H392" s="1" t="s">
        <v>4480</v>
      </c>
      <c r="I392" s="1" t="s">
        <v>3852</v>
      </c>
      <c r="J392" s="1" t="s">
        <v>80</v>
      </c>
      <c r="K392" s="1" t="s">
        <v>3853</v>
      </c>
      <c r="L392" s="1"/>
      <c r="M392" s="6" t="str">
        <f>IF(Table2[[#This Row],[Corrected Form '#
 (If Duplicated)]]="",Table2[[#This Row],[Form '#]],Table2[[#This Row],[Corrected Form '#
 (If Duplicated)]])</f>
        <v>7824-00292</v>
      </c>
      <c r="N392" s="1" t="s">
        <v>49</v>
      </c>
      <c r="O392" s="6" t="str">
        <f>IF(Table2[[#This Row],[POG CONFIRMATION RECEIPT OF ORDER
(DATE &amp; TIME)]]="","No Confirmation","Received Confirmation")</f>
        <v>Received Confirmation</v>
      </c>
      <c r="P392" s="6">
        <f ca="1">TODAY()-Table2[[#This Row],[DATE SENT TO POG]]</f>
        <v>324</v>
      </c>
      <c r="Q392" s="6" t="s">
        <v>5803</v>
      </c>
      <c r="R3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9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92" s="2" t="str">
        <f>_xlfn.XLOOKUP(Table2[[#This Row],[Adjusted Form '#]],'[2]IN PROGRESS'!$D:$D,'[2]IN PROGRESS'!$M:$M,"Not Found")</f>
        <v>Not Found</v>
      </c>
      <c r="U392" s="2" t="str">
        <f>_xlfn.XLOOKUP(Table2[[#This Row],[Adjusted Form '#]],[1]COMPLETED!$D:$D,[2]COMPLETED!$M:$M,"Not Found")</f>
        <v>Not Found</v>
      </c>
      <c r="V392" s="17">
        <f>_xlfn.XLOOKUP(Table2[[#This Row],[Adjusted Form '#]],[2]COMPLETED!$D:$D,[2]COMPLETED!$O:$O,"Not Found")</f>
        <v>0</v>
      </c>
      <c r="W392" s="2" t="str">
        <f>_xlfn.XLOOKUP(Table2[[#This Row],[Adjusted Form '#]],[2]BILLED!$D:$D,[2]BILLED!$M:$M,"Not Found")</f>
        <v>Not Found</v>
      </c>
      <c r="X392" s="17" t="str">
        <f>_xlfn.XLOOKUP(Table2[[#This Row],[Adjusted Form '#]],[2]BILLED!$D:$D,[1]BILLED!$O:$O,"Not Found")</f>
        <v>Not Found</v>
      </c>
      <c r="Y392" s="17" t="e">
        <f>_xlfn.XLOOKUP(Table2[[#This Row],[Adjusted Form '#]],'[2]REJECTED ORDERS'!$D:$D,'[2]REJECTED ORDERS'!$E:$E)</f>
        <v>#N/A</v>
      </c>
      <c r="Z392" s="1"/>
      <c r="AA392" s="1"/>
      <c r="AB392" s="8"/>
      <c r="AC392" s="8"/>
      <c r="AD392" s="8"/>
      <c r="AE392" s="8"/>
      <c r="AF392" s="8"/>
      <c r="AG392" s="8"/>
      <c r="AH392" s="8"/>
      <c r="AI392" s="8"/>
      <c r="AJ392" s="8"/>
    </row>
    <row r="393" spans="1:36" ht="15" customHeight="1" x14ac:dyDescent="0.35">
      <c r="A393" s="4" t="s">
        <v>575</v>
      </c>
      <c r="B393" s="1" t="s">
        <v>3623</v>
      </c>
      <c r="C393" s="11">
        <v>44980</v>
      </c>
      <c r="D393" s="11" t="s">
        <v>4481</v>
      </c>
      <c r="E393" s="1" t="s">
        <v>21</v>
      </c>
      <c r="F393" s="1" t="s">
        <v>4482</v>
      </c>
      <c r="G393" s="6">
        <f>COUNTIF(F:F,Table2[[#This Row],[Form '#]])</f>
        <v>1</v>
      </c>
      <c r="H393" s="1" t="s">
        <v>1964</v>
      </c>
      <c r="I393" s="1" t="s">
        <v>3852</v>
      </c>
      <c r="J393" s="1" t="s">
        <v>75</v>
      </c>
      <c r="K393" s="1" t="s">
        <v>4011</v>
      </c>
      <c r="L393" s="1"/>
      <c r="M393" s="6" t="str">
        <f>IF(Table2[[#This Row],[Corrected Form '#
 (If Duplicated)]]="",Table2[[#This Row],[Form '#]],Table2[[#This Row],[Corrected Form '#
 (If Duplicated)]])</f>
        <v>7818-10383</v>
      </c>
      <c r="N393" s="1" t="s">
        <v>49</v>
      </c>
      <c r="O393" s="6" t="str">
        <f>IF(Table2[[#This Row],[POG CONFIRMATION RECEIPT OF ORDER
(DATE &amp; TIME)]]="","No Confirmation","Received Confirmation")</f>
        <v>Received Confirmation</v>
      </c>
      <c r="P393" s="6">
        <f ca="1">TODAY()-Table2[[#This Row],[DATE SENT TO POG]]</f>
        <v>323</v>
      </c>
      <c r="Q393" s="6" t="s">
        <v>5803</v>
      </c>
      <c r="R3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93" s="2" t="str">
        <f>_xlfn.XLOOKUP(Table2[[#This Row],[Adjusted Form '#]],'[2]IN PROGRESS'!$D:$D,'[2]IN PROGRESS'!$M:$M,"Not Found")</f>
        <v>Not Found</v>
      </c>
      <c r="U393" s="2" t="str">
        <f>_xlfn.XLOOKUP(Table2[[#This Row],[Adjusted Form '#]],[1]COMPLETED!$D:$D,[2]COMPLETED!$M:$M,"Not Found")</f>
        <v>Not Found</v>
      </c>
      <c r="V393" s="17" t="str">
        <f>_xlfn.XLOOKUP(Table2[[#This Row],[Adjusted Form '#]],[2]COMPLETED!$D:$D,[2]COMPLETED!$O:$O,"Not Found")</f>
        <v>Not Found</v>
      </c>
      <c r="W393" s="2" t="str">
        <f>_xlfn.XLOOKUP(Table2[[#This Row],[Adjusted Form '#]],[2]BILLED!$D:$D,[2]BILLED!$M:$M,"Not Found")</f>
        <v>1Z5063E0YW41145076</v>
      </c>
      <c r="X393" s="17" t="e">
        <f>_xlfn.XLOOKUP(Table2[[#This Row],[Adjusted Form '#]],[2]BILLED!$D:$D,[1]BILLED!$O:$O,"Not Found")</f>
        <v>#REF!</v>
      </c>
      <c r="Y393" s="17" t="e">
        <f>_xlfn.XLOOKUP(Table2[[#This Row],[Adjusted Form '#]],'[2]REJECTED ORDERS'!$D:$D,'[2]REJECTED ORDERS'!$E:$E)</f>
        <v>#N/A</v>
      </c>
      <c r="Z393" s="1"/>
      <c r="AA393" s="1"/>
      <c r="AB393" s="8"/>
      <c r="AC393" s="8"/>
      <c r="AD393" s="8"/>
      <c r="AE393" s="8"/>
      <c r="AF393" s="8"/>
      <c r="AG393" s="8"/>
      <c r="AH393" s="8"/>
      <c r="AI393" s="8"/>
      <c r="AJ393" s="8"/>
    </row>
    <row r="394" spans="1:36" ht="15" customHeight="1" x14ac:dyDescent="0.35">
      <c r="A394" s="4" t="s">
        <v>577</v>
      </c>
      <c r="B394" s="1" t="s">
        <v>2152</v>
      </c>
      <c r="C394" s="11">
        <v>44980</v>
      </c>
      <c r="E394" s="1" t="s">
        <v>21</v>
      </c>
      <c r="F394" s="1" t="s">
        <v>4483</v>
      </c>
      <c r="G394" s="6">
        <f>COUNTIF(F:F,Table2[[#This Row],[Form '#]])</f>
        <v>2</v>
      </c>
      <c r="H394" s="1" t="s">
        <v>161</v>
      </c>
      <c r="I394" s="1" t="s">
        <v>758</v>
      </c>
      <c r="J394" s="1" t="s">
        <v>78</v>
      </c>
      <c r="K394" s="1" t="s">
        <v>3853</v>
      </c>
      <c r="L394" s="1"/>
      <c r="M394" s="6" t="str">
        <f>IF(Table2[[#This Row],[Corrected Form '#
 (If Duplicated)]]="",Table2[[#This Row],[Form '#]],Table2[[#This Row],[Corrected Form '#
 (If Duplicated)]])</f>
        <v>7818-26175</v>
      </c>
      <c r="N394" s="1" t="s">
        <v>49</v>
      </c>
      <c r="O394" s="6" t="str">
        <f>IF(Table2[[#This Row],[POG CONFIRMATION RECEIPT OF ORDER
(DATE &amp; TIME)]]="","No Confirmation","Received Confirmation")</f>
        <v>No Confirmation</v>
      </c>
      <c r="P394" s="6">
        <f ca="1">TODAY()-Table2[[#This Row],[DATE SENT TO POG]]</f>
        <v>323</v>
      </c>
      <c r="Q394" s="6" t="s">
        <v>5803</v>
      </c>
      <c r="R3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94" s="2" t="str">
        <f>_xlfn.XLOOKUP(Table2[[#This Row],[Adjusted Form '#]],'[2]IN PROGRESS'!$D:$D,'[2]IN PROGRESS'!$M:$M,"Not Found")</f>
        <v>Not Found</v>
      </c>
      <c r="U394" s="2" t="str">
        <f>_xlfn.XLOOKUP(Table2[[#This Row],[Adjusted Form '#]],[1]COMPLETED!$D:$D,[2]COMPLETED!$M:$M,"Not Found")</f>
        <v>Not Found</v>
      </c>
      <c r="V394" s="17" t="str">
        <f>_xlfn.XLOOKUP(Table2[[#This Row],[Adjusted Form '#]],[2]COMPLETED!$D:$D,[2]COMPLETED!$O:$O,"Not Found")</f>
        <v>Not Found</v>
      </c>
      <c r="W394" s="2" t="str">
        <f>_xlfn.XLOOKUP(Table2[[#This Row],[Adjusted Form '#]],[2]BILLED!$D:$D,[2]BILLED!$M:$M,"Not Found")</f>
        <v>1Z5063E0YW40390008</v>
      </c>
      <c r="X394" s="17" t="e">
        <f>_xlfn.XLOOKUP(Table2[[#This Row],[Adjusted Form '#]],[2]BILLED!$D:$D,[1]BILLED!$O:$O,"Not Found")</f>
        <v>#REF!</v>
      </c>
      <c r="Y394" s="17" t="e">
        <f>_xlfn.XLOOKUP(Table2[[#This Row],[Adjusted Form '#]],'[2]REJECTED ORDERS'!$D:$D,'[2]REJECTED ORDERS'!$E:$E)</f>
        <v>#N/A</v>
      </c>
      <c r="Z394" s="1"/>
      <c r="AA394" s="1"/>
      <c r="AB394" s="8"/>
      <c r="AC394" s="8"/>
      <c r="AD394" s="8"/>
      <c r="AE394" s="8"/>
      <c r="AF394" s="8"/>
      <c r="AG394" s="8"/>
      <c r="AH394" s="8"/>
      <c r="AI394" s="8"/>
      <c r="AJ394" s="8"/>
    </row>
    <row r="395" spans="1:36" ht="15" customHeight="1" x14ac:dyDescent="0.35">
      <c r="A395" s="4" t="s">
        <v>578</v>
      </c>
      <c r="B395" s="1" t="s">
        <v>1006</v>
      </c>
      <c r="C395" s="11">
        <v>44980</v>
      </c>
      <c r="D395" s="11" t="s">
        <v>4484</v>
      </c>
      <c r="E395" s="1" t="s">
        <v>73</v>
      </c>
      <c r="F395" s="1" t="s">
        <v>4485</v>
      </c>
      <c r="G395" s="6">
        <f>COUNTIF(F:F,Table2[[#This Row],[Form '#]])</f>
        <v>1</v>
      </c>
      <c r="H395" s="1" t="s">
        <v>4486</v>
      </c>
      <c r="I395" s="1" t="s">
        <v>127</v>
      </c>
      <c r="J395" s="1" t="s">
        <v>71</v>
      </c>
      <c r="K395" s="1" t="s">
        <v>3883</v>
      </c>
      <c r="L395" s="1"/>
      <c r="M395" s="6" t="str">
        <f>IF(Table2[[#This Row],[Corrected Form '#
 (If Duplicated)]]="",Table2[[#This Row],[Form '#]],Table2[[#This Row],[Corrected Form '#
 (If Duplicated)]])</f>
        <v>7823-02158</v>
      </c>
      <c r="N395" s="1" t="s">
        <v>49</v>
      </c>
      <c r="O395" s="6" t="str">
        <f>IF(Table2[[#This Row],[POG CONFIRMATION RECEIPT OF ORDER
(DATE &amp; TIME)]]="","No Confirmation","Received Confirmation")</f>
        <v>Received Confirmation</v>
      </c>
      <c r="P395" s="6">
        <f ca="1">TODAY()-Table2[[#This Row],[DATE SENT TO POG]]</f>
        <v>323</v>
      </c>
      <c r="Q395" s="6" t="s">
        <v>5803</v>
      </c>
      <c r="R3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95" s="2" t="str">
        <f>_xlfn.XLOOKUP(Table2[[#This Row],[Adjusted Form '#]],'[2]IN PROGRESS'!$D:$D,'[2]IN PROGRESS'!$M:$M,"Not Found")</f>
        <v>Not Found</v>
      </c>
      <c r="U395" s="2" t="str">
        <f>_xlfn.XLOOKUP(Table2[[#This Row],[Adjusted Form '#]],[1]COMPLETED!$D:$D,[2]COMPLETED!$M:$M,"Not Found")</f>
        <v>Not Found</v>
      </c>
      <c r="V395" s="17" t="str">
        <f>_xlfn.XLOOKUP(Table2[[#This Row],[Adjusted Form '#]],[2]COMPLETED!$D:$D,[2]COMPLETED!$O:$O,"Not Found")</f>
        <v>Not Found</v>
      </c>
      <c r="W395" s="2" t="str">
        <f>_xlfn.XLOOKUP(Table2[[#This Row],[Adjusted Form '#]],[2]BILLED!$D:$D,[2]BILLED!$M:$M,"Not Found")</f>
        <v>1Z5063E0YW40769056</v>
      </c>
      <c r="X395" s="17" t="e">
        <f>_xlfn.XLOOKUP(Table2[[#This Row],[Adjusted Form '#]],[2]BILLED!$D:$D,[1]BILLED!$O:$O,"Not Found")</f>
        <v>#REF!</v>
      </c>
      <c r="Y395" s="17" t="e">
        <f>_xlfn.XLOOKUP(Table2[[#This Row],[Adjusted Form '#]],'[2]REJECTED ORDERS'!$D:$D,'[2]REJECTED ORDERS'!$E:$E)</f>
        <v>#N/A</v>
      </c>
      <c r="Z395" s="1"/>
      <c r="AA395" s="1"/>
      <c r="AB395" s="8"/>
      <c r="AC395" s="8"/>
      <c r="AD395" s="8"/>
      <c r="AE395" s="8"/>
      <c r="AF395" s="8"/>
      <c r="AG395" s="8"/>
      <c r="AH395" s="8"/>
      <c r="AI395" s="8"/>
      <c r="AJ395" s="8"/>
    </row>
    <row r="396" spans="1:36" ht="15" customHeight="1" x14ac:dyDescent="0.35">
      <c r="A396" s="4" t="s">
        <v>581</v>
      </c>
      <c r="B396" s="1" t="s">
        <v>1299</v>
      </c>
      <c r="C396" s="11">
        <v>44980</v>
      </c>
      <c r="E396" s="1" t="s">
        <v>48</v>
      </c>
      <c r="F396" s="1" t="s">
        <v>4487</v>
      </c>
      <c r="G396" s="6">
        <f>COUNTIF(F:F,Table2[[#This Row],[Form '#]])</f>
        <v>1</v>
      </c>
      <c r="H396" s="1" t="s">
        <v>4488</v>
      </c>
      <c r="I396" s="1" t="s">
        <v>3864</v>
      </c>
      <c r="J396" s="1" t="s">
        <v>78</v>
      </c>
      <c r="K396" s="1" t="s">
        <v>3879</v>
      </c>
      <c r="L396" s="1"/>
      <c r="M396" s="6" t="str">
        <f>IF(Table2[[#This Row],[Corrected Form '#
 (If Duplicated)]]="",Table2[[#This Row],[Form '#]],Table2[[#This Row],[Corrected Form '#
 (If Duplicated)]])</f>
        <v>7819-00347</v>
      </c>
      <c r="N396" s="1" t="s">
        <v>49</v>
      </c>
      <c r="O396" s="6" t="str">
        <f>IF(Table2[[#This Row],[POG CONFIRMATION RECEIPT OF ORDER
(DATE &amp; TIME)]]="","No Confirmation","Received Confirmation")</f>
        <v>No Confirmation</v>
      </c>
      <c r="P396" s="6">
        <f ca="1">TODAY()-Table2[[#This Row],[DATE SENT TO POG]]</f>
        <v>323</v>
      </c>
      <c r="Q396" s="6" t="s">
        <v>5802</v>
      </c>
      <c r="R3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9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96" s="2" t="str">
        <f>_xlfn.XLOOKUP(Table2[[#This Row],[Adjusted Form '#]],'[2]IN PROGRESS'!$D:$D,'[2]IN PROGRESS'!$M:$M,"Not Found")</f>
        <v>Not Found</v>
      </c>
      <c r="U396" s="2" t="str">
        <f>_xlfn.XLOOKUP(Table2[[#This Row],[Adjusted Form '#]],[1]COMPLETED!$D:$D,[2]COMPLETED!$M:$M,"Not Found")</f>
        <v>Not Found</v>
      </c>
      <c r="V396" s="17" t="str">
        <f>_xlfn.XLOOKUP(Table2[[#This Row],[Adjusted Form '#]],[2]COMPLETED!$D:$D,[2]COMPLETED!$O:$O,"Not Found")</f>
        <v>Not Found</v>
      </c>
      <c r="W396" s="2" t="str">
        <f>_xlfn.XLOOKUP(Table2[[#This Row],[Adjusted Form '#]],[2]BILLED!$D:$D,[2]BILLED!$M:$M,"Not Found")</f>
        <v>Not Found</v>
      </c>
      <c r="X396" s="17" t="str">
        <f>_xlfn.XLOOKUP(Table2[[#This Row],[Adjusted Form '#]],[2]BILLED!$D:$D,[1]BILLED!$O:$O,"Not Found")</f>
        <v>Not Found</v>
      </c>
      <c r="Y396" s="17" t="e">
        <f>_xlfn.XLOOKUP(Table2[[#This Row],[Adjusted Form '#]],'[2]REJECTED ORDERS'!$D:$D,'[2]REJECTED ORDERS'!$E:$E)</f>
        <v>#N/A</v>
      </c>
      <c r="Z396" s="1"/>
      <c r="AA396" s="1"/>
      <c r="AB396" s="8"/>
      <c r="AC396" s="8"/>
      <c r="AD396" s="8"/>
      <c r="AE396" s="8"/>
      <c r="AF396" s="8"/>
      <c r="AG396" s="8"/>
      <c r="AH396" s="8"/>
      <c r="AI396" s="8"/>
      <c r="AJ396" s="8"/>
    </row>
    <row r="397" spans="1:36" ht="15" customHeight="1" x14ac:dyDescent="0.35">
      <c r="A397" s="4" t="s">
        <v>583</v>
      </c>
      <c r="B397" s="1" t="s">
        <v>403</v>
      </c>
      <c r="C397" s="11">
        <v>44980</v>
      </c>
      <c r="D397" s="11" t="s">
        <v>4484</v>
      </c>
      <c r="E397" s="1" t="s">
        <v>191</v>
      </c>
      <c r="F397" s="1" t="s">
        <v>4489</v>
      </c>
      <c r="G397" s="6">
        <f>COUNTIF(F:F,Table2[[#This Row],[Form '#]])</f>
        <v>1</v>
      </c>
      <c r="H397" s="1" t="s">
        <v>4490</v>
      </c>
      <c r="I397" s="1" t="s">
        <v>3891</v>
      </c>
      <c r="J397" s="1" t="s">
        <v>3891</v>
      </c>
      <c r="K397" s="1" t="s">
        <v>3891</v>
      </c>
      <c r="L397" s="1"/>
      <c r="M397" s="6" t="str">
        <f>IF(Table2[[#This Row],[Corrected Form '#
 (If Duplicated)]]="",Table2[[#This Row],[Form '#]],Table2[[#This Row],[Corrected Form '#
 (If Duplicated)]])</f>
        <v>7812-3550</v>
      </c>
      <c r="N397" s="1" t="s">
        <v>49</v>
      </c>
      <c r="O397" s="6" t="str">
        <f>IF(Table2[[#This Row],[POG CONFIRMATION RECEIPT OF ORDER
(DATE &amp; TIME)]]="","No Confirmation","Received Confirmation")</f>
        <v>Received Confirmation</v>
      </c>
      <c r="P397" s="6">
        <f ca="1">TODAY()-Table2[[#This Row],[DATE SENT TO POG]]</f>
        <v>323</v>
      </c>
      <c r="Q397" s="6" t="s">
        <v>5802</v>
      </c>
      <c r="R3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9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97" s="2" t="str">
        <f>_xlfn.XLOOKUP(Table2[[#This Row],[Adjusted Form '#]],'[2]IN PROGRESS'!$D:$D,'[2]IN PROGRESS'!$M:$M,"Not Found")</f>
        <v>Not Found</v>
      </c>
      <c r="U397" s="2" t="str">
        <f>_xlfn.XLOOKUP(Table2[[#This Row],[Adjusted Form '#]],[1]COMPLETED!$D:$D,[2]COMPLETED!$M:$M,"Not Found")</f>
        <v>Not Found</v>
      </c>
      <c r="V397" s="17" t="str">
        <f>_xlfn.XLOOKUP(Table2[[#This Row],[Adjusted Form '#]],[2]COMPLETED!$D:$D,[2]COMPLETED!$O:$O,"Not Found")</f>
        <v>Not Found</v>
      </c>
      <c r="W397" s="2" t="str">
        <f>_xlfn.XLOOKUP(Table2[[#This Row],[Adjusted Form '#]],[2]BILLED!$D:$D,[2]BILLED!$M:$M,"Not Found")</f>
        <v>Not Found</v>
      </c>
      <c r="X397" s="17" t="str">
        <f>_xlfn.XLOOKUP(Table2[[#This Row],[Adjusted Form '#]],[2]BILLED!$D:$D,[1]BILLED!$O:$O,"Not Found")</f>
        <v>Not Found</v>
      </c>
      <c r="Y397" s="17" t="e">
        <f>_xlfn.XLOOKUP(Table2[[#This Row],[Adjusted Form '#]],'[2]REJECTED ORDERS'!$D:$D,'[2]REJECTED ORDERS'!$E:$E)</f>
        <v>#N/A</v>
      </c>
      <c r="Z397" s="1"/>
      <c r="AA397" s="1"/>
      <c r="AB397" s="8"/>
      <c r="AC397" s="8"/>
      <c r="AD397" s="8"/>
      <c r="AE397" s="8"/>
      <c r="AF397" s="8"/>
      <c r="AG397" s="8"/>
      <c r="AH397" s="8"/>
      <c r="AI397" s="8"/>
      <c r="AJ397" s="8"/>
    </row>
    <row r="398" spans="1:36" ht="15" customHeight="1" x14ac:dyDescent="0.35">
      <c r="A398" s="4" t="s">
        <v>586</v>
      </c>
      <c r="B398" s="1" t="s">
        <v>403</v>
      </c>
      <c r="C398" s="11">
        <v>44980</v>
      </c>
      <c r="D398" s="11" t="s">
        <v>4484</v>
      </c>
      <c r="E398" s="1" t="s">
        <v>191</v>
      </c>
      <c r="F398" s="1" t="s">
        <v>4491</v>
      </c>
      <c r="G398" s="6">
        <f>COUNTIF(F:F,Table2[[#This Row],[Form '#]])</f>
        <v>1</v>
      </c>
      <c r="H398" s="1" t="s">
        <v>2747</v>
      </c>
      <c r="I398" s="1" t="s">
        <v>3852</v>
      </c>
      <c r="J398" s="1" t="s">
        <v>80</v>
      </c>
      <c r="K398" s="1" t="s">
        <v>3853</v>
      </c>
      <c r="L398" s="1"/>
      <c r="M398" s="6" t="str">
        <f>IF(Table2[[#This Row],[Corrected Form '#
 (If Duplicated)]]="",Table2[[#This Row],[Form '#]],Table2[[#This Row],[Corrected Form '#
 (If Duplicated)]])</f>
        <v>7812-03296</v>
      </c>
      <c r="N398" s="1" t="s">
        <v>49</v>
      </c>
      <c r="O398" s="6" t="str">
        <f>IF(Table2[[#This Row],[POG CONFIRMATION RECEIPT OF ORDER
(DATE &amp; TIME)]]="","No Confirmation","Received Confirmation")</f>
        <v>Received Confirmation</v>
      </c>
      <c r="P398" s="6">
        <f ca="1">TODAY()-Table2[[#This Row],[DATE SENT TO POG]]</f>
        <v>323</v>
      </c>
      <c r="Q398" s="6" t="s">
        <v>5802</v>
      </c>
      <c r="R3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39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398" s="2" t="str">
        <f>_xlfn.XLOOKUP(Table2[[#This Row],[Adjusted Form '#]],'[2]IN PROGRESS'!$D:$D,'[2]IN PROGRESS'!$M:$M,"Not Found")</f>
        <v>Not Found</v>
      </c>
      <c r="U398" s="2" t="str">
        <f>_xlfn.XLOOKUP(Table2[[#This Row],[Adjusted Form '#]],[1]COMPLETED!$D:$D,[2]COMPLETED!$M:$M,"Not Found")</f>
        <v>Not Found</v>
      </c>
      <c r="V398" s="17" t="str">
        <f>_xlfn.XLOOKUP(Table2[[#This Row],[Adjusted Form '#]],[2]COMPLETED!$D:$D,[2]COMPLETED!$O:$O,"Not Found")</f>
        <v>Not Found</v>
      </c>
      <c r="W398" s="2" t="str">
        <f>_xlfn.XLOOKUP(Table2[[#This Row],[Adjusted Form '#]],[2]BILLED!$D:$D,[2]BILLED!$M:$M,"Not Found")</f>
        <v>Not Found</v>
      </c>
      <c r="X398" s="17" t="str">
        <f>_xlfn.XLOOKUP(Table2[[#This Row],[Adjusted Form '#]],[2]BILLED!$D:$D,[1]BILLED!$O:$O,"Not Found")</f>
        <v>Not Found</v>
      </c>
      <c r="Y398" s="17" t="e">
        <f>_xlfn.XLOOKUP(Table2[[#This Row],[Adjusted Form '#]],'[2]REJECTED ORDERS'!$D:$D,'[2]REJECTED ORDERS'!$E:$E)</f>
        <v>#N/A</v>
      </c>
      <c r="Z398" s="1"/>
      <c r="AA398" s="1"/>
      <c r="AB398" s="8"/>
      <c r="AC398" s="8"/>
      <c r="AD398" s="8"/>
      <c r="AE398" s="8"/>
      <c r="AF398" s="8"/>
      <c r="AG398" s="8"/>
      <c r="AH398" s="8"/>
      <c r="AI398" s="8"/>
      <c r="AJ398" s="8"/>
    </row>
    <row r="399" spans="1:36" ht="15" customHeight="1" x14ac:dyDescent="0.35">
      <c r="A399" s="4" t="s">
        <v>589</v>
      </c>
      <c r="B399" s="1" t="s">
        <v>403</v>
      </c>
      <c r="C399" s="11">
        <v>44980</v>
      </c>
      <c r="D399" s="11" t="s">
        <v>4484</v>
      </c>
      <c r="E399" s="1" t="s">
        <v>191</v>
      </c>
      <c r="F399" s="1" t="s">
        <v>4492</v>
      </c>
      <c r="G399" s="6">
        <f>COUNTIF(F:F,Table2[[#This Row],[Form '#]])</f>
        <v>1</v>
      </c>
      <c r="H399" s="1" t="s">
        <v>1359</v>
      </c>
      <c r="I399" s="1" t="s">
        <v>28</v>
      </c>
      <c r="J399" s="1" t="s">
        <v>69</v>
      </c>
      <c r="K399" s="1" t="s">
        <v>4011</v>
      </c>
      <c r="L399" s="1"/>
      <c r="M399" s="6" t="str">
        <f>IF(Table2[[#This Row],[Corrected Form '#
 (If Duplicated)]]="",Table2[[#This Row],[Form '#]],Table2[[#This Row],[Corrected Form '#
 (If Duplicated)]])</f>
        <v>7812-3780</v>
      </c>
      <c r="N399" s="1" t="s">
        <v>49</v>
      </c>
      <c r="O399" s="6" t="str">
        <f>IF(Table2[[#This Row],[POG CONFIRMATION RECEIPT OF ORDER
(DATE &amp; TIME)]]="","No Confirmation","Received Confirmation")</f>
        <v>Received Confirmation</v>
      </c>
      <c r="P399" s="6">
        <f ca="1">TODAY()-Table2[[#This Row],[DATE SENT TO POG]]</f>
        <v>323</v>
      </c>
      <c r="Q399" s="6" t="s">
        <v>5803</v>
      </c>
      <c r="R3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3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399" s="2" t="str">
        <f>_xlfn.XLOOKUP(Table2[[#This Row],[Adjusted Form '#]],'[2]IN PROGRESS'!$D:$D,'[2]IN PROGRESS'!$M:$M,"Not Found")</f>
        <v>Not Found</v>
      </c>
      <c r="U399" s="2" t="str">
        <f>_xlfn.XLOOKUP(Table2[[#This Row],[Adjusted Form '#]],[1]COMPLETED!$D:$D,[2]COMPLETED!$M:$M,"Not Found")</f>
        <v>Not Found</v>
      </c>
      <c r="V399" s="17" t="str">
        <f>_xlfn.XLOOKUP(Table2[[#This Row],[Adjusted Form '#]],[2]COMPLETED!$D:$D,[2]COMPLETED!$O:$O,"Not Found")</f>
        <v>Not Found</v>
      </c>
      <c r="W399" s="2" t="str">
        <f>_xlfn.XLOOKUP(Table2[[#This Row],[Adjusted Form '#]],[2]BILLED!$D:$D,[2]BILLED!$M:$M,"Not Found")</f>
        <v>9402 1112 0620 7095 8095 07</v>
      </c>
      <c r="X399" s="17" t="e">
        <f>_xlfn.XLOOKUP(Table2[[#This Row],[Adjusted Form '#]],[2]BILLED!$D:$D,[1]BILLED!$O:$O,"Not Found")</f>
        <v>#REF!</v>
      </c>
      <c r="Y399" s="17" t="e">
        <f>_xlfn.XLOOKUP(Table2[[#This Row],[Adjusted Form '#]],'[2]REJECTED ORDERS'!$D:$D,'[2]REJECTED ORDERS'!$E:$E)</f>
        <v>#N/A</v>
      </c>
      <c r="Z399" s="1"/>
      <c r="AA399" s="1"/>
      <c r="AB399" s="8"/>
      <c r="AC399" s="8"/>
      <c r="AD399" s="8"/>
      <c r="AE399" s="8"/>
      <c r="AF399" s="8"/>
      <c r="AG399" s="8"/>
      <c r="AH399" s="8"/>
      <c r="AI399" s="8"/>
      <c r="AJ399" s="8"/>
    </row>
    <row r="400" spans="1:36" ht="15" customHeight="1" x14ac:dyDescent="0.35">
      <c r="A400" s="4" t="s">
        <v>591</v>
      </c>
      <c r="B400" s="1" t="s">
        <v>403</v>
      </c>
      <c r="C400" s="11">
        <v>44980</v>
      </c>
      <c r="E400" s="1" t="s">
        <v>191</v>
      </c>
      <c r="F400" s="1" t="s">
        <v>4493</v>
      </c>
      <c r="G400" s="6">
        <f>COUNTIF(F:F,Table2[[#This Row],[Form '#]])</f>
        <v>1</v>
      </c>
      <c r="H400" s="1" t="s">
        <v>4494</v>
      </c>
      <c r="I400" s="1" t="s">
        <v>127</v>
      </c>
      <c r="J400" s="1" t="s">
        <v>76</v>
      </c>
      <c r="K400" s="1" t="s">
        <v>3883</v>
      </c>
      <c r="L400" s="1"/>
      <c r="M400" s="6" t="str">
        <f>IF(Table2[[#This Row],[Corrected Form '#
 (If Duplicated)]]="",Table2[[#This Row],[Form '#]],Table2[[#This Row],[Corrected Form '#
 (If Duplicated)]])</f>
        <v>7812-3775</v>
      </c>
      <c r="N400" s="1" t="s">
        <v>49</v>
      </c>
      <c r="O400" s="6" t="str">
        <f>IF(Table2[[#This Row],[POG CONFIRMATION RECEIPT OF ORDER
(DATE &amp; TIME)]]="","No Confirmation","Received Confirmation")</f>
        <v>No Confirmation</v>
      </c>
      <c r="P400" s="6">
        <f ca="1">TODAY()-Table2[[#This Row],[DATE SENT TO POG]]</f>
        <v>323</v>
      </c>
      <c r="Q400" s="6" t="s">
        <v>5802</v>
      </c>
      <c r="R4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0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00" s="2" t="str">
        <f>_xlfn.XLOOKUP(Table2[[#This Row],[Adjusted Form '#]],'[2]IN PROGRESS'!$D:$D,'[2]IN PROGRESS'!$M:$M,"Not Found")</f>
        <v>Not Found</v>
      </c>
      <c r="U400" s="2" t="str">
        <f>_xlfn.XLOOKUP(Table2[[#This Row],[Adjusted Form '#]],[1]COMPLETED!$D:$D,[2]COMPLETED!$M:$M,"Not Found")</f>
        <v>Not Found</v>
      </c>
      <c r="V400" s="17" t="str">
        <f>_xlfn.XLOOKUP(Table2[[#This Row],[Adjusted Form '#]],[2]COMPLETED!$D:$D,[2]COMPLETED!$O:$O,"Not Found")</f>
        <v>Not Found</v>
      </c>
      <c r="W400" s="2" t="str">
        <f>_xlfn.XLOOKUP(Table2[[#This Row],[Adjusted Form '#]],[2]BILLED!$D:$D,[2]BILLED!$M:$M,"Not Found")</f>
        <v>Not Found</v>
      </c>
      <c r="X400" s="17" t="str">
        <f>_xlfn.XLOOKUP(Table2[[#This Row],[Adjusted Form '#]],[2]BILLED!$D:$D,[1]BILLED!$O:$O,"Not Found")</f>
        <v>Not Found</v>
      </c>
      <c r="Y400" s="17" t="e">
        <f>_xlfn.XLOOKUP(Table2[[#This Row],[Adjusted Form '#]],'[2]REJECTED ORDERS'!$D:$D,'[2]REJECTED ORDERS'!$E:$E)</f>
        <v>#N/A</v>
      </c>
      <c r="Z400" s="1"/>
      <c r="AA400" s="1"/>
      <c r="AB400" s="8"/>
      <c r="AC400" s="8"/>
      <c r="AD400" s="8"/>
      <c r="AE400" s="8"/>
      <c r="AF400" s="8"/>
      <c r="AG400" s="8"/>
      <c r="AH400" s="8"/>
      <c r="AI400" s="8"/>
      <c r="AJ400" s="8"/>
    </row>
    <row r="401" spans="1:36" ht="15" customHeight="1" x14ac:dyDescent="0.35">
      <c r="A401" s="4" t="s">
        <v>593</v>
      </c>
      <c r="B401" s="1" t="s">
        <v>403</v>
      </c>
      <c r="C401" s="11">
        <v>44980</v>
      </c>
      <c r="E401" s="1" t="s">
        <v>191</v>
      </c>
      <c r="F401" s="1" t="s">
        <v>4495</v>
      </c>
      <c r="G401" s="6">
        <f>COUNTIF(F:F,Table2[[#This Row],[Form '#]])</f>
        <v>1</v>
      </c>
      <c r="H401" s="1" t="s">
        <v>2756</v>
      </c>
      <c r="I401" s="1" t="s">
        <v>127</v>
      </c>
      <c r="J401" s="1" t="s">
        <v>74</v>
      </c>
      <c r="K401" s="1" t="s">
        <v>4011</v>
      </c>
      <c r="L401" s="1"/>
      <c r="M401" s="6" t="str">
        <f>IF(Table2[[#This Row],[Corrected Form '#
 (If Duplicated)]]="",Table2[[#This Row],[Form '#]],Table2[[#This Row],[Corrected Form '#
 (If Duplicated)]])</f>
        <v>7812-3604</v>
      </c>
      <c r="N401" s="1" t="s">
        <v>49</v>
      </c>
      <c r="O401" s="6" t="str">
        <f>IF(Table2[[#This Row],[POG CONFIRMATION RECEIPT OF ORDER
(DATE &amp; TIME)]]="","No Confirmation","Received Confirmation")</f>
        <v>No Confirmation</v>
      </c>
      <c r="P401" s="6">
        <f ca="1">TODAY()-Table2[[#This Row],[DATE SENT TO POG]]</f>
        <v>323</v>
      </c>
      <c r="Q401" s="6" t="s">
        <v>5802</v>
      </c>
      <c r="R4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0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01" s="2" t="str">
        <f>_xlfn.XLOOKUP(Table2[[#This Row],[Adjusted Form '#]],'[2]IN PROGRESS'!$D:$D,'[2]IN PROGRESS'!$M:$M,"Not Found")</f>
        <v>Not Found</v>
      </c>
      <c r="U401" s="2" t="str">
        <f>_xlfn.XLOOKUP(Table2[[#This Row],[Adjusted Form '#]],[1]COMPLETED!$D:$D,[2]COMPLETED!$M:$M,"Not Found")</f>
        <v>Not Found</v>
      </c>
      <c r="V401" s="17" t="str">
        <f>_xlfn.XLOOKUP(Table2[[#This Row],[Adjusted Form '#]],[2]COMPLETED!$D:$D,[2]COMPLETED!$O:$O,"Not Found")</f>
        <v>Not Found</v>
      </c>
      <c r="W401" s="2" t="str">
        <f>_xlfn.XLOOKUP(Table2[[#This Row],[Adjusted Form '#]],[2]BILLED!$D:$D,[2]BILLED!$M:$M,"Not Found")</f>
        <v>Not Found</v>
      </c>
      <c r="X401" s="17" t="str">
        <f>_xlfn.XLOOKUP(Table2[[#This Row],[Adjusted Form '#]],[2]BILLED!$D:$D,[1]BILLED!$O:$O,"Not Found")</f>
        <v>Not Found</v>
      </c>
      <c r="Y401" s="17" t="e">
        <f>_xlfn.XLOOKUP(Table2[[#This Row],[Adjusted Form '#]],'[2]REJECTED ORDERS'!$D:$D,'[2]REJECTED ORDERS'!$E:$E)</f>
        <v>#N/A</v>
      </c>
      <c r="Z401" s="1"/>
      <c r="AA401" s="1"/>
      <c r="AB401" s="8"/>
      <c r="AC401" s="8"/>
      <c r="AD401" s="8"/>
      <c r="AE401" s="8"/>
      <c r="AF401" s="8"/>
      <c r="AG401" s="8"/>
      <c r="AH401" s="8"/>
      <c r="AI401" s="8"/>
      <c r="AJ401" s="8"/>
    </row>
    <row r="402" spans="1:36" ht="15" customHeight="1" x14ac:dyDescent="0.35">
      <c r="A402" s="4" t="s">
        <v>595</v>
      </c>
      <c r="B402" s="1" t="s">
        <v>403</v>
      </c>
      <c r="C402" s="11">
        <v>44980</v>
      </c>
      <c r="E402" s="1" t="s">
        <v>191</v>
      </c>
      <c r="F402" s="1" t="s">
        <v>4496</v>
      </c>
      <c r="G402" s="6">
        <f>COUNTIF(F:F,Table2[[#This Row],[Form '#]])</f>
        <v>2</v>
      </c>
      <c r="H402" s="1" t="s">
        <v>3004</v>
      </c>
      <c r="I402" s="1" t="s">
        <v>3864</v>
      </c>
      <c r="J402" s="1" t="s">
        <v>78</v>
      </c>
      <c r="K402" s="1" t="s">
        <v>3879</v>
      </c>
      <c r="L402" s="1"/>
      <c r="M402" s="6" t="str">
        <f>IF(Table2[[#This Row],[Corrected Form '#
 (If Duplicated)]]="",Table2[[#This Row],[Form '#]],Table2[[#This Row],[Corrected Form '#
 (If Duplicated)]])</f>
        <v>7812-3603</v>
      </c>
      <c r="N402" s="1" t="s">
        <v>49</v>
      </c>
      <c r="O402" s="6" t="str">
        <f>IF(Table2[[#This Row],[POG CONFIRMATION RECEIPT OF ORDER
(DATE &amp; TIME)]]="","No Confirmation","Received Confirmation")</f>
        <v>No Confirmation</v>
      </c>
      <c r="P402" s="6">
        <f ca="1">TODAY()-Table2[[#This Row],[DATE SENT TO POG]]</f>
        <v>323</v>
      </c>
      <c r="Q402" s="6" t="s">
        <v>5803</v>
      </c>
      <c r="R4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02" s="2" t="str">
        <f>_xlfn.XLOOKUP(Table2[[#This Row],[Adjusted Form '#]],'[2]IN PROGRESS'!$D:$D,'[2]IN PROGRESS'!$M:$M,"Not Found")</f>
        <v>Not Found</v>
      </c>
      <c r="U402" s="2" t="str">
        <f>_xlfn.XLOOKUP(Table2[[#This Row],[Adjusted Form '#]],[1]COMPLETED!$D:$D,[2]COMPLETED!$M:$M,"Not Found")</f>
        <v>Not Found</v>
      </c>
      <c r="V402" s="17" t="str">
        <f>_xlfn.XLOOKUP(Table2[[#This Row],[Adjusted Form '#]],[2]COMPLETED!$D:$D,[2]COMPLETED!$O:$O,"Not Found")</f>
        <v>Not Found</v>
      </c>
      <c r="W402" s="2" t="str">
        <f>_xlfn.XLOOKUP(Table2[[#This Row],[Adjusted Form '#]],[2]BILLED!$D:$D,[2]BILLED!$M:$M,"Not Found")</f>
        <v>9402 1112 0620 7082 9843 16</v>
      </c>
      <c r="X402" s="17" t="e">
        <f>_xlfn.XLOOKUP(Table2[[#This Row],[Adjusted Form '#]],[2]BILLED!$D:$D,[1]BILLED!$O:$O,"Not Found")</f>
        <v>#REF!</v>
      </c>
      <c r="Y402" s="17" t="e">
        <f>_xlfn.XLOOKUP(Table2[[#This Row],[Adjusted Form '#]],'[2]REJECTED ORDERS'!$D:$D,'[2]REJECTED ORDERS'!$E:$E)</f>
        <v>#N/A</v>
      </c>
      <c r="Z402" s="1"/>
      <c r="AA402" s="1"/>
      <c r="AB402" s="8"/>
      <c r="AC402" s="8"/>
      <c r="AD402" s="8"/>
      <c r="AE402" s="8"/>
      <c r="AF402" s="8"/>
      <c r="AG402" s="8"/>
      <c r="AH402" s="8"/>
      <c r="AI402" s="8"/>
      <c r="AJ402" s="8"/>
    </row>
    <row r="403" spans="1:36" ht="15" customHeight="1" x14ac:dyDescent="0.35">
      <c r="A403" s="4" t="s">
        <v>596</v>
      </c>
      <c r="B403" s="1" t="s">
        <v>403</v>
      </c>
      <c r="C403" s="11">
        <v>44980</v>
      </c>
      <c r="E403" s="1" t="s">
        <v>191</v>
      </c>
      <c r="F403" s="1" t="s">
        <v>4497</v>
      </c>
      <c r="G403" s="6">
        <f>COUNTIF(F:F,Table2[[#This Row],[Form '#]])</f>
        <v>1</v>
      </c>
      <c r="H403" s="1" t="s">
        <v>1586</v>
      </c>
      <c r="I403" s="1" t="s">
        <v>177</v>
      </c>
      <c r="J403" s="1" t="s">
        <v>75</v>
      </c>
      <c r="K403" s="1" t="s">
        <v>4011</v>
      </c>
      <c r="L403" s="1"/>
      <c r="M403" s="6" t="str">
        <f>IF(Table2[[#This Row],[Corrected Form '#
 (If Duplicated)]]="",Table2[[#This Row],[Form '#]],Table2[[#This Row],[Corrected Form '#
 (If Duplicated)]])</f>
        <v>7812-03339</v>
      </c>
      <c r="N403" s="1" t="s">
        <v>49</v>
      </c>
      <c r="O403" s="6" t="str">
        <f>IF(Table2[[#This Row],[POG CONFIRMATION RECEIPT OF ORDER
(DATE &amp; TIME)]]="","No Confirmation","Received Confirmation")</f>
        <v>No Confirmation</v>
      </c>
      <c r="P403" s="6">
        <f ca="1">TODAY()-Table2[[#This Row],[DATE SENT TO POG]]</f>
        <v>323</v>
      </c>
      <c r="Q403" s="6" t="s">
        <v>5803</v>
      </c>
      <c r="R4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03" s="2" t="str">
        <f>_xlfn.XLOOKUP(Table2[[#This Row],[Adjusted Form '#]],'[2]IN PROGRESS'!$D:$D,'[2]IN PROGRESS'!$M:$M,"Not Found")</f>
        <v>Not Found</v>
      </c>
      <c r="U403" s="2" t="str">
        <f>_xlfn.XLOOKUP(Table2[[#This Row],[Adjusted Form '#]],[1]COMPLETED!$D:$D,[2]COMPLETED!$M:$M,"Not Found")</f>
        <v>Not Found</v>
      </c>
      <c r="V403" s="17" t="str">
        <f>_xlfn.XLOOKUP(Table2[[#This Row],[Adjusted Form '#]],[2]COMPLETED!$D:$D,[2]COMPLETED!$O:$O,"Not Found")</f>
        <v>Not Found</v>
      </c>
      <c r="W403" s="2" t="str">
        <f>_xlfn.XLOOKUP(Table2[[#This Row],[Adjusted Form '#]],[2]BILLED!$D:$D,[2]BILLED!$M:$M,"Not Found")</f>
        <v>1Z5063E0YW42506433</v>
      </c>
      <c r="X403" s="17" t="e">
        <f>_xlfn.XLOOKUP(Table2[[#This Row],[Adjusted Form '#]],[2]BILLED!$D:$D,[1]BILLED!$O:$O,"Not Found")</f>
        <v>#REF!</v>
      </c>
      <c r="Y403" s="17" t="e">
        <f>_xlfn.XLOOKUP(Table2[[#This Row],[Adjusted Form '#]],'[2]REJECTED ORDERS'!$D:$D,'[2]REJECTED ORDERS'!$E:$E)</f>
        <v>#N/A</v>
      </c>
      <c r="Z403" s="1"/>
      <c r="AA403" s="1"/>
      <c r="AB403" s="8"/>
      <c r="AC403" s="8"/>
      <c r="AD403" s="8"/>
      <c r="AE403" s="8"/>
      <c r="AF403" s="8"/>
      <c r="AG403" s="8"/>
      <c r="AH403" s="8"/>
      <c r="AI403" s="8"/>
      <c r="AJ403" s="8"/>
    </row>
    <row r="404" spans="1:36" ht="15" customHeight="1" x14ac:dyDescent="0.35">
      <c r="A404" s="4" t="s">
        <v>597</v>
      </c>
      <c r="B404" s="1" t="s">
        <v>403</v>
      </c>
      <c r="C404" s="11">
        <v>44980</v>
      </c>
      <c r="E404" s="1" t="s">
        <v>191</v>
      </c>
      <c r="F404" s="1" t="s">
        <v>4498</v>
      </c>
      <c r="G404" s="6">
        <f>COUNTIF(F:F,Table2[[#This Row],[Form '#]])</f>
        <v>2</v>
      </c>
      <c r="H404" s="1" t="s">
        <v>3512</v>
      </c>
      <c r="I404" s="1" t="s">
        <v>177</v>
      </c>
      <c r="J404" s="1" t="s">
        <v>75</v>
      </c>
      <c r="K404" s="1" t="s">
        <v>3853</v>
      </c>
      <c r="L404" s="1"/>
      <c r="M404" s="6" t="str">
        <f>IF(Table2[[#This Row],[Corrected Form '#
 (If Duplicated)]]="",Table2[[#This Row],[Form '#]],Table2[[#This Row],[Corrected Form '#
 (If Duplicated)]])</f>
        <v>7812-3772</v>
      </c>
      <c r="N404" s="1" t="s">
        <v>49</v>
      </c>
      <c r="O404" s="6" t="str">
        <f>IF(Table2[[#This Row],[POG CONFIRMATION RECEIPT OF ORDER
(DATE &amp; TIME)]]="","No Confirmation","Received Confirmation")</f>
        <v>No Confirmation</v>
      </c>
      <c r="P404" s="6">
        <f ca="1">TODAY()-Table2[[#This Row],[DATE SENT TO POG]]</f>
        <v>323</v>
      </c>
      <c r="Q404" s="6" t="s">
        <v>5803</v>
      </c>
      <c r="R4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04" s="2" t="str">
        <f>_xlfn.XLOOKUP(Table2[[#This Row],[Adjusted Form '#]],'[2]IN PROGRESS'!$D:$D,'[2]IN PROGRESS'!$M:$M,"Not Found")</f>
        <v>Not Found</v>
      </c>
      <c r="U404" s="2" t="str">
        <f>_xlfn.XLOOKUP(Table2[[#This Row],[Adjusted Form '#]],[1]COMPLETED!$D:$D,[2]COMPLETED!$M:$M,"Not Found")</f>
        <v>Not Found</v>
      </c>
      <c r="V404" s="17" t="str">
        <f>_xlfn.XLOOKUP(Table2[[#This Row],[Adjusted Form '#]],[2]COMPLETED!$D:$D,[2]COMPLETED!$O:$O,"Not Found")</f>
        <v>Not Found</v>
      </c>
      <c r="W404" s="2" t="str">
        <f>_xlfn.XLOOKUP(Table2[[#This Row],[Adjusted Form '#]],[2]BILLED!$D:$D,[2]BILLED!$M:$M,"Not Found")</f>
        <v>1Z5063E0YW42220134</v>
      </c>
      <c r="X404" s="17" t="e">
        <f>_xlfn.XLOOKUP(Table2[[#This Row],[Adjusted Form '#]],[2]BILLED!$D:$D,[1]BILLED!$O:$O,"Not Found")</f>
        <v>#REF!</v>
      </c>
      <c r="Y404" s="17" t="e">
        <f>_xlfn.XLOOKUP(Table2[[#This Row],[Adjusted Form '#]],'[2]REJECTED ORDERS'!$D:$D,'[2]REJECTED ORDERS'!$E:$E)</f>
        <v>#N/A</v>
      </c>
      <c r="Z404" s="1"/>
      <c r="AA404" s="1"/>
      <c r="AB404" s="8"/>
      <c r="AC404" s="8"/>
      <c r="AD404" s="8"/>
      <c r="AE404" s="8"/>
      <c r="AF404" s="8"/>
      <c r="AG404" s="8"/>
      <c r="AH404" s="8"/>
      <c r="AI404" s="8"/>
      <c r="AJ404" s="8"/>
    </row>
    <row r="405" spans="1:36" ht="15" customHeight="1" x14ac:dyDescent="0.35">
      <c r="A405" s="4" t="s">
        <v>598</v>
      </c>
      <c r="B405" s="1" t="s">
        <v>4499</v>
      </c>
      <c r="C405" s="11">
        <v>44980</v>
      </c>
      <c r="E405" s="1" t="s">
        <v>191</v>
      </c>
      <c r="F405" s="1" t="s">
        <v>4500</v>
      </c>
      <c r="G405" s="6">
        <f>COUNTIF(F:F,Table2[[#This Row],[Form '#]])</f>
        <v>1</v>
      </c>
      <c r="H405" s="1" t="s">
        <v>3653</v>
      </c>
      <c r="I405" s="1" t="s">
        <v>3852</v>
      </c>
      <c r="J405" s="1" t="s">
        <v>80</v>
      </c>
      <c r="K405" s="1" t="s">
        <v>3853</v>
      </c>
      <c r="L405" s="1"/>
      <c r="M405" s="6" t="str">
        <f>IF(Table2[[#This Row],[Corrected Form '#
 (If Duplicated)]]="",Table2[[#This Row],[Form '#]],Table2[[#This Row],[Corrected Form '#
 (If Duplicated)]])</f>
        <v>7812-02075</v>
      </c>
      <c r="N405" s="1" t="s">
        <v>49</v>
      </c>
      <c r="O405" s="6" t="str">
        <f>IF(Table2[[#This Row],[POG CONFIRMATION RECEIPT OF ORDER
(DATE &amp; TIME)]]="","No Confirmation","Received Confirmation")</f>
        <v>No Confirmation</v>
      </c>
      <c r="P405" s="6">
        <f ca="1">TODAY()-Table2[[#This Row],[DATE SENT TO POG]]</f>
        <v>323</v>
      </c>
      <c r="Q405" s="6" t="s">
        <v>5803</v>
      </c>
      <c r="R4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0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05" s="2" t="str">
        <f>_xlfn.XLOOKUP(Table2[[#This Row],[Adjusted Form '#]],'[2]IN PROGRESS'!$D:$D,'[2]IN PROGRESS'!$M:$M,"Not Found")</f>
        <v>Not Found</v>
      </c>
      <c r="U405" s="2" t="str">
        <f>_xlfn.XLOOKUP(Table2[[#This Row],[Adjusted Form '#]],[1]COMPLETED!$D:$D,[2]COMPLETED!$M:$M,"Not Found")</f>
        <v>Not Found</v>
      </c>
      <c r="V405" s="17">
        <f>_xlfn.XLOOKUP(Table2[[#This Row],[Adjusted Form '#]],[2]COMPLETED!$D:$D,[2]COMPLETED!$O:$O,"Not Found")</f>
        <v>0</v>
      </c>
      <c r="W405" s="2" t="str">
        <f>_xlfn.XLOOKUP(Table2[[#This Row],[Adjusted Form '#]],[2]BILLED!$D:$D,[2]BILLED!$M:$M,"Not Found")</f>
        <v>Not Found</v>
      </c>
      <c r="X405" s="17" t="str">
        <f>_xlfn.XLOOKUP(Table2[[#This Row],[Adjusted Form '#]],[2]BILLED!$D:$D,[1]BILLED!$O:$O,"Not Found")</f>
        <v>Not Found</v>
      </c>
      <c r="Y405" s="17" t="e">
        <f>_xlfn.XLOOKUP(Table2[[#This Row],[Adjusted Form '#]],'[2]REJECTED ORDERS'!$D:$D,'[2]REJECTED ORDERS'!$E:$E)</f>
        <v>#N/A</v>
      </c>
      <c r="Z405" s="1"/>
      <c r="AA405" s="1"/>
      <c r="AB405" s="8"/>
      <c r="AC405" s="8"/>
      <c r="AD405" s="8"/>
      <c r="AE405" s="8"/>
      <c r="AF405" s="8"/>
      <c r="AG405" s="8"/>
      <c r="AH405" s="8"/>
      <c r="AI405" s="8"/>
      <c r="AJ405" s="8"/>
    </row>
    <row r="406" spans="1:36" ht="15" customHeight="1" x14ac:dyDescent="0.35">
      <c r="A406" s="4" t="s">
        <v>599</v>
      </c>
      <c r="B406" s="1" t="s">
        <v>4499</v>
      </c>
      <c r="C406" s="11">
        <v>44980</v>
      </c>
      <c r="E406" s="1" t="s">
        <v>191</v>
      </c>
      <c r="F406" s="1" t="s">
        <v>4501</v>
      </c>
      <c r="G406" s="6">
        <f>COUNTIF(F:F,Table2[[#This Row],[Form '#]])</f>
        <v>1</v>
      </c>
      <c r="H406" s="1" t="s">
        <v>4502</v>
      </c>
      <c r="I406" s="1" t="s">
        <v>177</v>
      </c>
      <c r="J406" s="1" t="s">
        <v>75</v>
      </c>
      <c r="K406" s="1" t="s">
        <v>4011</v>
      </c>
      <c r="L406" s="1"/>
      <c r="M406" s="6" t="str">
        <f>IF(Table2[[#This Row],[Corrected Form '#
 (If Duplicated)]]="",Table2[[#This Row],[Form '#]],Table2[[#This Row],[Corrected Form '#
 (If Duplicated)]])</f>
        <v>7812-03474</v>
      </c>
      <c r="N406" s="1" t="s">
        <v>49</v>
      </c>
      <c r="O406" s="6" t="str">
        <f>IF(Table2[[#This Row],[POG CONFIRMATION RECEIPT OF ORDER
(DATE &amp; TIME)]]="","No Confirmation","Received Confirmation")</f>
        <v>No Confirmation</v>
      </c>
      <c r="P406" s="6">
        <f ca="1">TODAY()-Table2[[#This Row],[DATE SENT TO POG]]</f>
        <v>323</v>
      </c>
      <c r="Q406" s="6" t="s">
        <v>5803</v>
      </c>
      <c r="R4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06" s="2" t="str">
        <f>_xlfn.XLOOKUP(Table2[[#This Row],[Adjusted Form '#]],'[2]IN PROGRESS'!$D:$D,'[2]IN PROGRESS'!$M:$M,"Not Found")</f>
        <v>Not Found</v>
      </c>
      <c r="U406" s="2" t="str">
        <f>_xlfn.XLOOKUP(Table2[[#This Row],[Adjusted Form '#]],[1]COMPLETED!$D:$D,[2]COMPLETED!$M:$M,"Not Found")</f>
        <v>Not Found</v>
      </c>
      <c r="V406" s="17" t="str">
        <f>_xlfn.XLOOKUP(Table2[[#This Row],[Adjusted Form '#]],[2]COMPLETED!$D:$D,[2]COMPLETED!$O:$O,"Not Found")</f>
        <v>Not Found</v>
      </c>
      <c r="W406" s="2" t="str">
        <f>_xlfn.XLOOKUP(Table2[[#This Row],[Adjusted Form '#]],[2]BILLED!$D:$D,[2]BILLED!$M:$M,"Not Found")</f>
        <v>1Z5063E0YW42539738</v>
      </c>
      <c r="X406" s="17" t="e">
        <f>_xlfn.XLOOKUP(Table2[[#This Row],[Adjusted Form '#]],[2]BILLED!$D:$D,[1]BILLED!$O:$O,"Not Found")</f>
        <v>#REF!</v>
      </c>
      <c r="Y406" s="17" t="e">
        <f>_xlfn.XLOOKUP(Table2[[#This Row],[Adjusted Form '#]],'[2]REJECTED ORDERS'!$D:$D,'[2]REJECTED ORDERS'!$E:$E)</f>
        <v>#N/A</v>
      </c>
      <c r="Z406" s="1"/>
      <c r="AA406" s="1"/>
      <c r="AB406" s="8"/>
      <c r="AC406" s="8"/>
      <c r="AD406" s="8"/>
      <c r="AE406" s="8"/>
      <c r="AF406" s="8"/>
      <c r="AG406" s="8"/>
      <c r="AH406" s="8"/>
      <c r="AI406" s="8"/>
      <c r="AJ406" s="8"/>
    </row>
    <row r="407" spans="1:36" ht="15" customHeight="1" x14ac:dyDescent="0.35">
      <c r="A407" s="4" t="s">
        <v>600</v>
      </c>
      <c r="B407" s="1" t="s">
        <v>4499</v>
      </c>
      <c r="C407" s="11">
        <v>44980</v>
      </c>
      <c r="E407" s="1" t="s">
        <v>191</v>
      </c>
      <c r="F407" s="1" t="s">
        <v>4503</v>
      </c>
      <c r="G407" s="6">
        <f>COUNTIF(F:F,Table2[[#This Row],[Form '#]])</f>
        <v>1</v>
      </c>
      <c r="H407" s="1" t="s">
        <v>2877</v>
      </c>
      <c r="I407" s="1" t="s">
        <v>3864</v>
      </c>
      <c r="J407" s="1" t="s">
        <v>78</v>
      </c>
      <c r="K407" s="1" t="s">
        <v>3879</v>
      </c>
      <c r="L407" s="1"/>
      <c r="M407" s="6" t="str">
        <f>IF(Table2[[#This Row],[Corrected Form '#
 (If Duplicated)]]="",Table2[[#This Row],[Form '#]],Table2[[#This Row],[Corrected Form '#
 (If Duplicated)]])</f>
        <v>7812-03469</v>
      </c>
      <c r="N407" s="1" t="s">
        <v>49</v>
      </c>
      <c r="O407" s="6" t="str">
        <f>IF(Table2[[#This Row],[POG CONFIRMATION RECEIPT OF ORDER
(DATE &amp; TIME)]]="","No Confirmation","Received Confirmation")</f>
        <v>No Confirmation</v>
      </c>
      <c r="P407" s="6">
        <f ca="1">TODAY()-Table2[[#This Row],[DATE SENT TO POG]]</f>
        <v>323</v>
      </c>
      <c r="Q407" s="6" t="s">
        <v>5803</v>
      </c>
      <c r="R4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07" s="2" t="str">
        <f>_xlfn.XLOOKUP(Table2[[#This Row],[Adjusted Form '#]],'[2]IN PROGRESS'!$D:$D,'[2]IN PROGRESS'!$M:$M,"Not Found")</f>
        <v>Not Found</v>
      </c>
      <c r="U407" s="2" t="str">
        <f>_xlfn.XLOOKUP(Table2[[#This Row],[Adjusted Form '#]],[1]COMPLETED!$D:$D,[2]COMPLETED!$M:$M,"Not Found")</f>
        <v>Not Found</v>
      </c>
      <c r="V407" s="17" t="str">
        <f>_xlfn.XLOOKUP(Table2[[#This Row],[Adjusted Form '#]],[2]COMPLETED!$D:$D,[2]COMPLETED!$O:$O,"Not Found")</f>
        <v>Not Found</v>
      </c>
      <c r="W407" s="2" t="str">
        <f>_xlfn.XLOOKUP(Table2[[#This Row],[Adjusted Form '#]],[2]BILLED!$D:$D,[2]BILLED!$M:$M,"Not Found")</f>
        <v>1Z5063E0YW41527127</v>
      </c>
      <c r="X407" s="17" t="e">
        <f>_xlfn.XLOOKUP(Table2[[#This Row],[Adjusted Form '#]],[2]BILLED!$D:$D,[1]BILLED!$O:$O,"Not Found")</f>
        <v>#REF!</v>
      </c>
      <c r="Y407" s="17" t="e">
        <f>_xlfn.XLOOKUP(Table2[[#This Row],[Adjusted Form '#]],'[2]REJECTED ORDERS'!$D:$D,'[2]REJECTED ORDERS'!$E:$E)</f>
        <v>#N/A</v>
      </c>
      <c r="Z407" s="1"/>
      <c r="AA407" s="1"/>
      <c r="AB407" s="8"/>
      <c r="AC407" s="8"/>
      <c r="AD407" s="8"/>
      <c r="AE407" s="8"/>
      <c r="AF407" s="8"/>
      <c r="AG407" s="8"/>
      <c r="AH407" s="8"/>
      <c r="AI407" s="8"/>
      <c r="AJ407" s="8"/>
    </row>
    <row r="408" spans="1:36" ht="15" customHeight="1" x14ac:dyDescent="0.35">
      <c r="A408" s="4" t="s">
        <v>601</v>
      </c>
      <c r="B408" s="1" t="s">
        <v>646</v>
      </c>
      <c r="C408" s="11">
        <v>44980</v>
      </c>
      <c r="D408" s="11" t="s">
        <v>4484</v>
      </c>
      <c r="E408" s="1" t="s">
        <v>73</v>
      </c>
      <c r="F408" s="1" t="s">
        <v>4504</v>
      </c>
      <c r="G408" s="6">
        <f>COUNTIF(F:F,Table2[[#This Row],[Form '#]])</f>
        <v>1</v>
      </c>
      <c r="H408" s="1" t="s">
        <v>4505</v>
      </c>
      <c r="I408" s="1" t="s">
        <v>3891</v>
      </c>
      <c r="J408" s="1" t="s">
        <v>3891</v>
      </c>
      <c r="K408" s="1" t="s">
        <v>3853</v>
      </c>
      <c r="L408" s="1"/>
      <c r="M408" s="6" t="str">
        <f>IF(Table2[[#This Row],[Corrected Form '#
 (If Duplicated)]]="",Table2[[#This Row],[Form '#]],Table2[[#This Row],[Corrected Form '#
 (If Duplicated)]])</f>
        <v>7823-03037</v>
      </c>
      <c r="N408" s="1" t="s">
        <v>49</v>
      </c>
      <c r="O408" s="6" t="str">
        <f>IF(Table2[[#This Row],[POG CONFIRMATION RECEIPT OF ORDER
(DATE &amp; TIME)]]="","No Confirmation","Received Confirmation")</f>
        <v>Received Confirmation</v>
      </c>
      <c r="P408" s="6">
        <f ca="1">TODAY()-Table2[[#This Row],[DATE SENT TO POG]]</f>
        <v>323</v>
      </c>
      <c r="Q408" s="6" t="s">
        <v>5803</v>
      </c>
      <c r="R4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0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08" s="2" t="str">
        <f>_xlfn.XLOOKUP(Table2[[#This Row],[Adjusted Form '#]],'[2]IN PROGRESS'!$D:$D,'[2]IN PROGRESS'!$M:$M,"Not Found")</f>
        <v>Not Found</v>
      </c>
      <c r="U408" s="2" t="str">
        <f>_xlfn.XLOOKUP(Table2[[#This Row],[Adjusted Form '#]],[1]COMPLETED!$D:$D,[2]COMPLETED!$M:$M,"Not Found")</f>
        <v>Not Found</v>
      </c>
      <c r="V408" s="17">
        <f>_xlfn.XLOOKUP(Table2[[#This Row],[Adjusted Form '#]],[2]COMPLETED!$D:$D,[2]COMPLETED!$O:$O,"Not Found")</f>
        <v>0</v>
      </c>
      <c r="W408" s="2" t="str">
        <f>_xlfn.XLOOKUP(Table2[[#This Row],[Adjusted Form '#]],[2]BILLED!$D:$D,[2]BILLED!$M:$M,"Not Found")</f>
        <v>Not Found</v>
      </c>
      <c r="X408" s="17" t="str">
        <f>_xlfn.XLOOKUP(Table2[[#This Row],[Adjusted Form '#]],[2]BILLED!$D:$D,[1]BILLED!$O:$O,"Not Found")</f>
        <v>Not Found</v>
      </c>
      <c r="Y408" s="17" t="e">
        <f>_xlfn.XLOOKUP(Table2[[#This Row],[Adjusted Form '#]],'[2]REJECTED ORDERS'!$D:$D,'[2]REJECTED ORDERS'!$E:$E)</f>
        <v>#N/A</v>
      </c>
      <c r="Z408" s="1"/>
      <c r="AA408" s="1"/>
      <c r="AB408" s="8"/>
      <c r="AC408" s="8"/>
      <c r="AD408" s="8"/>
      <c r="AE408" s="8"/>
      <c r="AF408" s="8"/>
      <c r="AG408" s="8"/>
      <c r="AH408" s="8"/>
      <c r="AI408" s="8"/>
      <c r="AJ408" s="8"/>
    </row>
    <row r="409" spans="1:36" ht="15" customHeight="1" x14ac:dyDescent="0.35">
      <c r="A409" s="4" t="s">
        <v>602</v>
      </c>
      <c r="B409" s="1" t="s">
        <v>4506</v>
      </c>
      <c r="C409" s="11">
        <v>44980</v>
      </c>
      <c r="D409" s="11" t="s">
        <v>4507</v>
      </c>
      <c r="E409" s="1" t="s">
        <v>21</v>
      </c>
      <c r="F409" s="1" t="s">
        <v>4508</v>
      </c>
      <c r="G409" s="6">
        <f>COUNTIF(F:F,Table2[[#This Row],[Form '#]])</f>
        <v>1</v>
      </c>
      <c r="H409" s="1" t="s">
        <v>4509</v>
      </c>
      <c r="I409" s="1" t="s">
        <v>3852</v>
      </c>
      <c r="J409" s="1" t="s">
        <v>80</v>
      </c>
      <c r="K409" s="1" t="s">
        <v>3853</v>
      </c>
      <c r="L409" s="1"/>
      <c r="M409" s="6" t="str">
        <f>IF(Table2[[#This Row],[Corrected Form '#
 (If Duplicated)]]="",Table2[[#This Row],[Form '#]],Table2[[#This Row],[Corrected Form '#
 (If Duplicated)]])</f>
        <v>7818-26180</v>
      </c>
      <c r="N409" s="1" t="s">
        <v>49</v>
      </c>
      <c r="O409" s="6" t="str">
        <f>IF(Table2[[#This Row],[POG CONFIRMATION RECEIPT OF ORDER
(DATE &amp; TIME)]]="","No Confirmation","Received Confirmation")</f>
        <v>Received Confirmation</v>
      </c>
      <c r="P409" s="6">
        <f ca="1">TODAY()-Table2[[#This Row],[DATE SENT TO POG]]</f>
        <v>323</v>
      </c>
      <c r="Q409" s="6" t="s">
        <v>5803</v>
      </c>
      <c r="R4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09" s="2" t="str">
        <f>_xlfn.XLOOKUP(Table2[[#This Row],[Adjusted Form '#]],'[2]IN PROGRESS'!$D:$D,'[2]IN PROGRESS'!$M:$M,"Not Found")</f>
        <v>Not Found</v>
      </c>
      <c r="U409" s="2" t="str">
        <f>_xlfn.XLOOKUP(Table2[[#This Row],[Adjusted Form '#]],[1]COMPLETED!$D:$D,[2]COMPLETED!$M:$M,"Not Found")</f>
        <v>Not Found</v>
      </c>
      <c r="V409" s="17" t="str">
        <f>_xlfn.XLOOKUP(Table2[[#This Row],[Adjusted Form '#]],[2]COMPLETED!$D:$D,[2]COMPLETED!$O:$O,"Not Found")</f>
        <v>Not Found</v>
      </c>
      <c r="W409" s="2" t="str">
        <f>_xlfn.XLOOKUP(Table2[[#This Row],[Adjusted Form '#]],[2]BILLED!$D:$D,[2]BILLED!$M:$M,"Not Found")</f>
        <v>1Z5063E0YW40289155</v>
      </c>
      <c r="X409" s="17" t="e">
        <f>_xlfn.XLOOKUP(Table2[[#This Row],[Adjusted Form '#]],[2]BILLED!$D:$D,[1]BILLED!$O:$O,"Not Found")</f>
        <v>#REF!</v>
      </c>
      <c r="Y409" s="17" t="e">
        <f>_xlfn.XLOOKUP(Table2[[#This Row],[Adjusted Form '#]],'[2]REJECTED ORDERS'!$D:$D,'[2]REJECTED ORDERS'!$E:$E)</f>
        <v>#N/A</v>
      </c>
      <c r="Z409" s="1"/>
      <c r="AA409" s="1"/>
      <c r="AB409" s="8"/>
      <c r="AC409" s="8"/>
      <c r="AD409" s="8"/>
      <c r="AE409" s="8"/>
      <c r="AF409" s="8"/>
      <c r="AG409" s="8"/>
      <c r="AH409" s="8"/>
      <c r="AI409" s="8"/>
      <c r="AJ409" s="8"/>
    </row>
    <row r="410" spans="1:36" ht="15" customHeight="1" x14ac:dyDescent="0.35">
      <c r="A410" s="4" t="s">
        <v>603</v>
      </c>
      <c r="B410" s="1" t="s">
        <v>4506</v>
      </c>
      <c r="C410" s="11">
        <v>44980</v>
      </c>
      <c r="D410" s="11" t="s">
        <v>4507</v>
      </c>
      <c r="E410" s="1" t="s">
        <v>21</v>
      </c>
      <c r="F410" s="1" t="s">
        <v>4510</v>
      </c>
      <c r="G410" s="6">
        <f>COUNTIF(F:F,Table2[[#This Row],[Form '#]])</f>
        <v>1</v>
      </c>
      <c r="H410" s="1" t="s">
        <v>3769</v>
      </c>
      <c r="I410" s="1" t="s">
        <v>127</v>
      </c>
      <c r="J410" s="1" t="s">
        <v>74</v>
      </c>
      <c r="K410" s="1" t="s">
        <v>4206</v>
      </c>
      <c r="L410" s="1"/>
      <c r="M410" s="6" t="str">
        <f>IF(Table2[[#This Row],[Corrected Form '#
 (If Duplicated)]]="",Table2[[#This Row],[Form '#]],Table2[[#This Row],[Corrected Form '#
 (If Duplicated)]])</f>
        <v>7818-26901</v>
      </c>
      <c r="N410" s="1" t="s">
        <v>49</v>
      </c>
      <c r="O410" s="6" t="str">
        <f>IF(Table2[[#This Row],[POG CONFIRMATION RECEIPT OF ORDER
(DATE &amp; TIME)]]="","No Confirmation","Received Confirmation")</f>
        <v>Received Confirmation</v>
      </c>
      <c r="P410" s="6">
        <f ca="1">TODAY()-Table2[[#This Row],[DATE SENT TO POG]]</f>
        <v>323</v>
      </c>
      <c r="Q410" s="6" t="s">
        <v>5803</v>
      </c>
      <c r="R4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0" s="2" t="str">
        <f>_xlfn.XLOOKUP(Table2[[#This Row],[Adjusted Form '#]],'[2]IN PROGRESS'!$D:$D,'[2]IN PROGRESS'!$M:$M,"Not Found")</f>
        <v>Not Found</v>
      </c>
      <c r="U410" s="2" t="str">
        <f>_xlfn.XLOOKUP(Table2[[#This Row],[Adjusted Form '#]],[1]COMPLETED!$D:$D,[2]COMPLETED!$M:$M,"Not Found")</f>
        <v>Not Found</v>
      </c>
      <c r="V410" s="17" t="str">
        <f>_xlfn.XLOOKUP(Table2[[#This Row],[Adjusted Form '#]],[2]COMPLETED!$D:$D,[2]COMPLETED!$O:$O,"Not Found")</f>
        <v>Not Found</v>
      </c>
      <c r="W410" s="2" t="str">
        <f>_xlfn.XLOOKUP(Table2[[#This Row],[Adjusted Form '#]],[2]BILLED!$D:$D,[2]BILLED!$M:$M,"Not Found")</f>
        <v>1Z5063E0YW40238754</v>
      </c>
      <c r="X410" s="17" t="e">
        <f>_xlfn.XLOOKUP(Table2[[#This Row],[Adjusted Form '#]],[2]BILLED!$D:$D,[1]BILLED!$O:$O,"Not Found")</f>
        <v>#REF!</v>
      </c>
      <c r="Y410" s="17" t="e">
        <f>_xlfn.XLOOKUP(Table2[[#This Row],[Adjusted Form '#]],'[2]REJECTED ORDERS'!$D:$D,'[2]REJECTED ORDERS'!$E:$E)</f>
        <v>#N/A</v>
      </c>
      <c r="Z410" s="1"/>
      <c r="AA410" s="1"/>
      <c r="AB410" s="8"/>
      <c r="AC410" s="8"/>
      <c r="AD410" s="8"/>
      <c r="AE410" s="8"/>
      <c r="AF410" s="8"/>
      <c r="AG410" s="8"/>
      <c r="AH410" s="8"/>
      <c r="AI410" s="8"/>
      <c r="AJ410" s="8"/>
    </row>
    <row r="411" spans="1:36" ht="15" customHeight="1" x14ac:dyDescent="0.35">
      <c r="A411" s="4" t="s">
        <v>604</v>
      </c>
      <c r="B411" s="1" t="s">
        <v>4506</v>
      </c>
      <c r="C411" s="11">
        <v>44980</v>
      </c>
      <c r="D411" s="11" t="s">
        <v>4507</v>
      </c>
      <c r="E411" s="1" t="s">
        <v>21</v>
      </c>
      <c r="F411" s="1" t="s">
        <v>4511</v>
      </c>
      <c r="G411" s="6">
        <f>COUNTIF(F:F,Table2[[#This Row],[Form '#]])</f>
        <v>1</v>
      </c>
      <c r="H411" s="1" t="s">
        <v>3007</v>
      </c>
      <c r="I411" s="1" t="s">
        <v>3864</v>
      </c>
      <c r="J411" s="1" t="s">
        <v>78</v>
      </c>
      <c r="K411" s="1" t="s">
        <v>3879</v>
      </c>
      <c r="L411" s="1"/>
      <c r="M411" s="6" t="str">
        <f>IF(Table2[[#This Row],[Corrected Form '#
 (If Duplicated)]]="",Table2[[#This Row],[Form '#]],Table2[[#This Row],[Corrected Form '#
 (If Duplicated)]])</f>
        <v>7818-15481</v>
      </c>
      <c r="N411" s="1" t="s">
        <v>49</v>
      </c>
      <c r="O411" s="6" t="str">
        <f>IF(Table2[[#This Row],[POG CONFIRMATION RECEIPT OF ORDER
(DATE &amp; TIME)]]="","No Confirmation","Received Confirmation")</f>
        <v>Received Confirmation</v>
      </c>
      <c r="P411" s="6">
        <f ca="1">TODAY()-Table2[[#This Row],[DATE SENT TO POG]]</f>
        <v>323</v>
      </c>
      <c r="Q411" s="6" t="s">
        <v>5803</v>
      </c>
      <c r="R4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1" s="2" t="str">
        <f>_xlfn.XLOOKUP(Table2[[#This Row],[Adjusted Form '#]],'[2]IN PROGRESS'!$D:$D,'[2]IN PROGRESS'!$M:$M,"Not Found")</f>
        <v>Not Found</v>
      </c>
      <c r="U411" s="2" t="str">
        <f>_xlfn.XLOOKUP(Table2[[#This Row],[Adjusted Form '#]],[1]COMPLETED!$D:$D,[2]COMPLETED!$M:$M,"Not Found")</f>
        <v>Not Found</v>
      </c>
      <c r="V411" s="17" t="str">
        <f>_xlfn.XLOOKUP(Table2[[#This Row],[Adjusted Form '#]],[2]COMPLETED!$D:$D,[2]COMPLETED!$O:$O,"Not Found")</f>
        <v>Not Found</v>
      </c>
      <c r="W411" s="2" t="str">
        <f>_xlfn.XLOOKUP(Table2[[#This Row],[Adjusted Form '#]],[2]BILLED!$D:$D,[2]BILLED!$M:$M,"Not Found")</f>
        <v>1Z5063E0YW41989076</v>
      </c>
      <c r="X411" s="17" t="e">
        <f>_xlfn.XLOOKUP(Table2[[#This Row],[Adjusted Form '#]],[2]BILLED!$D:$D,[1]BILLED!$O:$O,"Not Found")</f>
        <v>#REF!</v>
      </c>
      <c r="Y411" s="17" t="e">
        <f>_xlfn.XLOOKUP(Table2[[#This Row],[Adjusted Form '#]],'[2]REJECTED ORDERS'!$D:$D,'[2]REJECTED ORDERS'!$E:$E)</f>
        <v>#N/A</v>
      </c>
      <c r="Z411" s="1"/>
      <c r="AA411" s="1"/>
      <c r="AB411" s="8"/>
      <c r="AC411" s="8"/>
      <c r="AD411" s="8"/>
      <c r="AE411" s="8"/>
      <c r="AF411" s="8"/>
      <c r="AG411" s="8"/>
      <c r="AH411" s="8"/>
      <c r="AI411" s="8"/>
      <c r="AJ411" s="8"/>
    </row>
    <row r="412" spans="1:36" ht="15" customHeight="1" x14ac:dyDescent="0.35">
      <c r="A412" s="4" t="s">
        <v>605</v>
      </c>
      <c r="B412" s="1" t="s">
        <v>4506</v>
      </c>
      <c r="C412" s="11">
        <v>44980</v>
      </c>
      <c r="D412" s="11" t="s">
        <v>4507</v>
      </c>
      <c r="E412" s="1" t="s">
        <v>21</v>
      </c>
      <c r="F412" s="1" t="s">
        <v>4512</v>
      </c>
      <c r="G412" s="6">
        <f>COUNTIF(F:F,Table2[[#This Row],[Form '#]])</f>
        <v>1</v>
      </c>
      <c r="H412" s="1" t="s">
        <v>988</v>
      </c>
      <c r="I412" s="1" t="s">
        <v>3852</v>
      </c>
      <c r="J412" s="1" t="s">
        <v>80</v>
      </c>
      <c r="K412" s="1" t="s">
        <v>3853</v>
      </c>
      <c r="L412" s="1"/>
      <c r="M412" s="6" t="str">
        <f>IF(Table2[[#This Row],[Corrected Form '#
 (If Duplicated)]]="",Table2[[#This Row],[Form '#]],Table2[[#This Row],[Corrected Form '#
 (If Duplicated)]])</f>
        <v>7818-26504</v>
      </c>
      <c r="N412" s="1" t="s">
        <v>49</v>
      </c>
      <c r="O412" s="6" t="str">
        <f>IF(Table2[[#This Row],[POG CONFIRMATION RECEIPT OF ORDER
(DATE &amp; TIME)]]="","No Confirmation","Received Confirmation")</f>
        <v>Received Confirmation</v>
      </c>
      <c r="P412" s="6">
        <f ca="1">TODAY()-Table2[[#This Row],[DATE SENT TO POG]]</f>
        <v>323</v>
      </c>
      <c r="Q412" s="6" t="s">
        <v>5803</v>
      </c>
      <c r="R4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1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12" s="2" t="str">
        <f>_xlfn.XLOOKUP(Table2[[#This Row],[Adjusted Form '#]],'[2]IN PROGRESS'!$D:$D,'[2]IN PROGRESS'!$M:$M,"Not Found")</f>
        <v>Not Found</v>
      </c>
      <c r="U412" s="2" t="str">
        <f>_xlfn.XLOOKUP(Table2[[#This Row],[Adjusted Form '#]],[1]COMPLETED!$D:$D,[2]COMPLETED!$M:$M,"Not Found")</f>
        <v>Not Found</v>
      </c>
      <c r="V412" s="17">
        <f>_xlfn.XLOOKUP(Table2[[#This Row],[Adjusted Form '#]],[2]COMPLETED!$D:$D,[2]COMPLETED!$O:$O,"Not Found")</f>
        <v>0</v>
      </c>
      <c r="W412" s="2" t="str">
        <f>_xlfn.XLOOKUP(Table2[[#This Row],[Adjusted Form '#]],[2]BILLED!$D:$D,[2]BILLED!$M:$M,"Not Found")</f>
        <v>Not Found</v>
      </c>
      <c r="X412" s="17" t="str">
        <f>_xlfn.XLOOKUP(Table2[[#This Row],[Adjusted Form '#]],[2]BILLED!$D:$D,[1]BILLED!$O:$O,"Not Found")</f>
        <v>Not Found</v>
      </c>
      <c r="Y412" s="17" t="e">
        <f>_xlfn.XLOOKUP(Table2[[#This Row],[Adjusted Form '#]],'[2]REJECTED ORDERS'!$D:$D,'[2]REJECTED ORDERS'!$E:$E)</f>
        <v>#N/A</v>
      </c>
      <c r="Z412" s="1"/>
      <c r="AA412" s="1"/>
      <c r="AB412" s="8"/>
      <c r="AC412" s="8"/>
      <c r="AD412" s="8"/>
      <c r="AE412" s="8"/>
      <c r="AF412" s="8"/>
      <c r="AG412" s="8"/>
      <c r="AH412" s="8"/>
      <c r="AI412" s="8"/>
      <c r="AJ412" s="8"/>
    </row>
    <row r="413" spans="1:36" ht="15" customHeight="1" x14ac:dyDescent="0.35">
      <c r="A413" s="4" t="s">
        <v>606</v>
      </c>
      <c r="B413" s="1" t="s">
        <v>4506</v>
      </c>
      <c r="C413" s="11">
        <v>44980</v>
      </c>
      <c r="D413" s="11" t="s">
        <v>4507</v>
      </c>
      <c r="E413" s="1" t="s">
        <v>21</v>
      </c>
      <c r="F413" s="1" t="s">
        <v>4513</v>
      </c>
      <c r="G413" s="6">
        <f>COUNTIF(F:F,Table2[[#This Row],[Form '#]])</f>
        <v>1</v>
      </c>
      <c r="H413" s="1" t="s">
        <v>678</v>
      </c>
      <c r="I413" s="1" t="s">
        <v>3852</v>
      </c>
      <c r="J413" s="1" t="s">
        <v>75</v>
      </c>
      <c r="K413" s="1" t="s">
        <v>4011</v>
      </c>
      <c r="L413" s="1"/>
      <c r="M413" s="6" t="str">
        <f>IF(Table2[[#This Row],[Corrected Form '#
 (If Duplicated)]]="",Table2[[#This Row],[Form '#]],Table2[[#This Row],[Corrected Form '#
 (If Duplicated)]])</f>
        <v>7818-22378</v>
      </c>
      <c r="N413" s="1" t="s">
        <v>49</v>
      </c>
      <c r="O413" s="6" t="str">
        <f>IF(Table2[[#This Row],[POG CONFIRMATION RECEIPT OF ORDER
(DATE &amp; TIME)]]="","No Confirmation","Received Confirmation")</f>
        <v>Received Confirmation</v>
      </c>
      <c r="P413" s="6">
        <f ca="1">TODAY()-Table2[[#This Row],[DATE SENT TO POG]]</f>
        <v>323</v>
      </c>
      <c r="Q413" s="6" t="s">
        <v>5803</v>
      </c>
      <c r="R4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3" s="2" t="str">
        <f>_xlfn.XLOOKUP(Table2[[#This Row],[Adjusted Form '#]],'[2]IN PROGRESS'!$D:$D,'[2]IN PROGRESS'!$M:$M,"Not Found")</f>
        <v>Not Found</v>
      </c>
      <c r="U413" s="2" t="str">
        <f>_xlfn.XLOOKUP(Table2[[#This Row],[Adjusted Form '#]],[1]COMPLETED!$D:$D,[2]COMPLETED!$M:$M,"Not Found")</f>
        <v>Not Found</v>
      </c>
      <c r="V413" s="17" t="str">
        <f>_xlfn.XLOOKUP(Table2[[#This Row],[Adjusted Form '#]],[2]COMPLETED!$D:$D,[2]COMPLETED!$O:$O,"Not Found")</f>
        <v>Not Found</v>
      </c>
      <c r="W413" s="2" t="str">
        <f>_xlfn.XLOOKUP(Table2[[#This Row],[Adjusted Form '#]],[2]BILLED!$D:$D,[2]BILLED!$M:$M,"Not Found")</f>
        <v>1Z5063E0YW40617693</v>
      </c>
      <c r="X413" s="17" t="e">
        <f>_xlfn.XLOOKUP(Table2[[#This Row],[Adjusted Form '#]],[2]BILLED!$D:$D,[1]BILLED!$O:$O,"Not Found")</f>
        <v>#REF!</v>
      </c>
      <c r="Y413" s="17" t="e">
        <f>_xlfn.XLOOKUP(Table2[[#This Row],[Adjusted Form '#]],'[2]REJECTED ORDERS'!$D:$D,'[2]REJECTED ORDERS'!$E:$E)</f>
        <v>#N/A</v>
      </c>
      <c r="Z413" s="1"/>
      <c r="AA413" s="1"/>
      <c r="AB413" s="8"/>
      <c r="AC413" s="8"/>
      <c r="AD413" s="8"/>
      <c r="AE413" s="8"/>
      <c r="AF413" s="8"/>
      <c r="AG413" s="8"/>
      <c r="AH413" s="8"/>
      <c r="AI413" s="8"/>
      <c r="AJ413" s="8"/>
    </row>
    <row r="414" spans="1:36" ht="15" customHeight="1" x14ac:dyDescent="0.35">
      <c r="A414" s="4" t="s">
        <v>608</v>
      </c>
      <c r="B414" s="1" t="s">
        <v>4506</v>
      </c>
      <c r="C414" s="11">
        <v>44980</v>
      </c>
      <c r="D414" s="11" t="s">
        <v>4507</v>
      </c>
      <c r="E414" s="1" t="s">
        <v>21</v>
      </c>
      <c r="F414" s="1" t="s">
        <v>4514</v>
      </c>
      <c r="G414" s="6">
        <f>COUNTIF(F:F,Table2[[#This Row],[Form '#]])</f>
        <v>1</v>
      </c>
      <c r="H414" s="1" t="s">
        <v>4515</v>
      </c>
      <c r="I414" s="1" t="s">
        <v>127</v>
      </c>
      <c r="J414" s="1" t="s">
        <v>76</v>
      </c>
      <c r="K414" s="1" t="s">
        <v>3883</v>
      </c>
      <c r="L414" s="1"/>
      <c r="M414" s="6" t="str">
        <f>IF(Table2[[#This Row],[Corrected Form '#
 (If Duplicated)]]="",Table2[[#This Row],[Form '#]],Table2[[#This Row],[Corrected Form '#
 (If Duplicated)]])</f>
        <v>7818-25154</v>
      </c>
      <c r="N414" s="1" t="s">
        <v>49</v>
      </c>
      <c r="O414" s="6" t="str">
        <f>IF(Table2[[#This Row],[POG CONFIRMATION RECEIPT OF ORDER
(DATE &amp; TIME)]]="","No Confirmation","Received Confirmation")</f>
        <v>Received Confirmation</v>
      </c>
      <c r="P414" s="6">
        <f ca="1">TODAY()-Table2[[#This Row],[DATE SENT TO POG]]</f>
        <v>323</v>
      </c>
      <c r="Q414" s="6" t="s">
        <v>5803</v>
      </c>
      <c r="R4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4" s="2" t="str">
        <f>_xlfn.XLOOKUP(Table2[[#This Row],[Adjusted Form '#]],'[2]IN PROGRESS'!$D:$D,'[2]IN PROGRESS'!$M:$M,"Not Found")</f>
        <v>Not Found</v>
      </c>
      <c r="U414" s="2" t="str">
        <f>_xlfn.XLOOKUP(Table2[[#This Row],[Adjusted Form '#]],[1]COMPLETED!$D:$D,[2]COMPLETED!$M:$M,"Not Found")</f>
        <v>Not Found</v>
      </c>
      <c r="V414" s="17" t="str">
        <f>_xlfn.XLOOKUP(Table2[[#This Row],[Adjusted Form '#]],[2]COMPLETED!$D:$D,[2]COMPLETED!$O:$O,"Not Found")</f>
        <v>Not Found</v>
      </c>
      <c r="W414" s="2" t="str">
        <f>_xlfn.XLOOKUP(Table2[[#This Row],[Adjusted Form '#]],[2]BILLED!$D:$D,[2]BILLED!$M:$M,"Not Found")</f>
        <v>1Z5063E0YW40707863</v>
      </c>
      <c r="X414" s="17" t="e">
        <f>_xlfn.XLOOKUP(Table2[[#This Row],[Adjusted Form '#]],[2]BILLED!$D:$D,[1]BILLED!$O:$O,"Not Found")</f>
        <v>#REF!</v>
      </c>
      <c r="Y414" s="17" t="e">
        <f>_xlfn.XLOOKUP(Table2[[#This Row],[Adjusted Form '#]],'[2]REJECTED ORDERS'!$D:$D,'[2]REJECTED ORDERS'!$E:$E)</f>
        <v>#N/A</v>
      </c>
      <c r="Z414" s="1"/>
      <c r="AA414" s="1"/>
      <c r="AB414" s="8"/>
      <c r="AC414" s="8"/>
      <c r="AD414" s="8"/>
      <c r="AE414" s="8"/>
      <c r="AF414" s="8"/>
      <c r="AG414" s="8"/>
      <c r="AH414" s="8"/>
      <c r="AI414" s="8"/>
      <c r="AJ414" s="8"/>
    </row>
    <row r="415" spans="1:36" ht="15" customHeight="1" x14ac:dyDescent="0.35">
      <c r="A415" s="4" t="s">
        <v>609</v>
      </c>
      <c r="B415" s="1" t="s">
        <v>4506</v>
      </c>
      <c r="C415" s="11">
        <v>44980</v>
      </c>
      <c r="D415" s="11" t="s">
        <v>4507</v>
      </c>
      <c r="E415" s="1" t="s">
        <v>21</v>
      </c>
      <c r="F415" s="1" t="s">
        <v>4516</v>
      </c>
      <c r="G415" s="6">
        <f>COUNTIF(F:F,Table2[[#This Row],[Form '#]])</f>
        <v>1</v>
      </c>
      <c r="H415" s="1" t="s">
        <v>4517</v>
      </c>
      <c r="I415" s="1" t="s">
        <v>758</v>
      </c>
      <c r="J415" s="1" t="s">
        <v>78</v>
      </c>
      <c r="K415" s="1" t="s">
        <v>3853</v>
      </c>
      <c r="L415" s="1"/>
      <c r="M415" s="6" t="str">
        <f>IF(Table2[[#This Row],[Corrected Form '#
 (If Duplicated)]]="",Table2[[#This Row],[Form '#]],Table2[[#This Row],[Corrected Form '#
 (If Duplicated)]])</f>
        <v>7818-27029</v>
      </c>
      <c r="N415" s="1" t="s">
        <v>49</v>
      </c>
      <c r="O415" s="6" t="str">
        <f>IF(Table2[[#This Row],[POG CONFIRMATION RECEIPT OF ORDER
(DATE &amp; TIME)]]="","No Confirmation","Received Confirmation")</f>
        <v>Received Confirmation</v>
      </c>
      <c r="P415" s="6">
        <f ca="1">TODAY()-Table2[[#This Row],[DATE SENT TO POG]]</f>
        <v>323</v>
      </c>
      <c r="Q415" s="6" t="s">
        <v>5803</v>
      </c>
      <c r="R4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5" s="2" t="str">
        <f>_xlfn.XLOOKUP(Table2[[#This Row],[Adjusted Form '#]],'[2]IN PROGRESS'!$D:$D,'[2]IN PROGRESS'!$M:$M,"Not Found")</f>
        <v>Not Found</v>
      </c>
      <c r="U415" s="2" t="str">
        <f>_xlfn.XLOOKUP(Table2[[#This Row],[Adjusted Form '#]],[1]COMPLETED!$D:$D,[2]COMPLETED!$M:$M,"Not Found")</f>
        <v>Not Found</v>
      </c>
      <c r="V415" s="17" t="str">
        <f>_xlfn.XLOOKUP(Table2[[#This Row],[Adjusted Form '#]],[2]COMPLETED!$D:$D,[2]COMPLETED!$O:$O,"Not Found")</f>
        <v>Not Found</v>
      </c>
      <c r="W415" s="2" t="str">
        <f>_xlfn.XLOOKUP(Table2[[#This Row],[Adjusted Form '#]],[2]BILLED!$D:$D,[2]BILLED!$M:$M,"Not Found")</f>
        <v>1Z5063E0YW42836149</v>
      </c>
      <c r="X415" s="17" t="e">
        <f>_xlfn.XLOOKUP(Table2[[#This Row],[Adjusted Form '#]],[2]BILLED!$D:$D,[1]BILLED!$O:$O,"Not Found")</f>
        <v>#REF!</v>
      </c>
      <c r="Y415" s="17" t="e">
        <f>_xlfn.XLOOKUP(Table2[[#This Row],[Adjusted Form '#]],'[2]REJECTED ORDERS'!$D:$D,'[2]REJECTED ORDERS'!$E:$E)</f>
        <v>#N/A</v>
      </c>
      <c r="Z415" s="1"/>
      <c r="AA415" s="1"/>
      <c r="AB415" s="8"/>
      <c r="AC415" s="8"/>
      <c r="AD415" s="8"/>
      <c r="AE415" s="8"/>
      <c r="AF415" s="8"/>
      <c r="AG415" s="8"/>
      <c r="AH415" s="8"/>
      <c r="AI415" s="8"/>
      <c r="AJ415" s="8"/>
    </row>
    <row r="416" spans="1:36" ht="15" customHeight="1" x14ac:dyDescent="0.35">
      <c r="A416" s="4" t="s">
        <v>611</v>
      </c>
      <c r="B416" s="1" t="s">
        <v>4518</v>
      </c>
      <c r="C416" s="11">
        <v>44980</v>
      </c>
      <c r="D416" s="11" t="s">
        <v>4507</v>
      </c>
      <c r="E416" s="1" t="s">
        <v>21</v>
      </c>
      <c r="F416" s="1" t="s">
        <v>4519</v>
      </c>
      <c r="G416" s="6">
        <f>COUNTIF(F:F,Table2[[#This Row],[Form '#]])</f>
        <v>1</v>
      </c>
      <c r="H416" s="1" t="s">
        <v>4520</v>
      </c>
      <c r="I416" s="1" t="s">
        <v>127</v>
      </c>
      <c r="J416" s="1" t="s">
        <v>76</v>
      </c>
      <c r="K416" s="1" t="s">
        <v>3891</v>
      </c>
      <c r="L416" s="1"/>
      <c r="M416" s="6" t="str">
        <f>IF(Table2[[#This Row],[Corrected Form '#
 (If Duplicated)]]="",Table2[[#This Row],[Form '#]],Table2[[#This Row],[Corrected Form '#
 (If Duplicated)]])</f>
        <v>7818-16215</v>
      </c>
      <c r="N416" s="1" t="s">
        <v>49</v>
      </c>
      <c r="O416" s="6" t="str">
        <f>IF(Table2[[#This Row],[POG CONFIRMATION RECEIPT OF ORDER
(DATE &amp; TIME)]]="","No Confirmation","Received Confirmation")</f>
        <v>Received Confirmation</v>
      </c>
      <c r="P416" s="6">
        <f ca="1">TODAY()-Table2[[#This Row],[DATE SENT TO POG]]</f>
        <v>323</v>
      </c>
      <c r="Q416" s="6" t="s">
        <v>5803</v>
      </c>
      <c r="R4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6" s="2" t="str">
        <f>_xlfn.XLOOKUP(Table2[[#This Row],[Adjusted Form '#]],'[2]IN PROGRESS'!$D:$D,'[2]IN PROGRESS'!$M:$M,"Not Found")</f>
        <v>Not Found</v>
      </c>
      <c r="U416" s="2" t="str">
        <f>_xlfn.XLOOKUP(Table2[[#This Row],[Adjusted Form '#]],[1]COMPLETED!$D:$D,[2]COMPLETED!$M:$M,"Not Found")</f>
        <v>Not Found</v>
      </c>
      <c r="V416" s="17" t="str">
        <f>_xlfn.XLOOKUP(Table2[[#This Row],[Adjusted Form '#]],[2]COMPLETED!$D:$D,[2]COMPLETED!$O:$O,"Not Found")</f>
        <v>Not Found</v>
      </c>
      <c r="W416" s="2" t="str">
        <f>_xlfn.XLOOKUP(Table2[[#This Row],[Adjusted Form '#]],[2]BILLED!$D:$D,[2]BILLED!$M:$M,"Not Found")</f>
        <v>1Z5063E0YW42662201</v>
      </c>
      <c r="X416" s="17" t="e">
        <f>_xlfn.XLOOKUP(Table2[[#This Row],[Adjusted Form '#]],[2]BILLED!$D:$D,[1]BILLED!$O:$O,"Not Found")</f>
        <v>#REF!</v>
      </c>
      <c r="Y416" s="17" t="e">
        <f>_xlfn.XLOOKUP(Table2[[#This Row],[Adjusted Form '#]],'[2]REJECTED ORDERS'!$D:$D,'[2]REJECTED ORDERS'!$E:$E)</f>
        <v>#N/A</v>
      </c>
      <c r="Z416" s="1"/>
      <c r="AA416" s="1"/>
      <c r="AB416" s="8"/>
      <c r="AC416" s="8"/>
      <c r="AD416" s="8"/>
      <c r="AE416" s="8"/>
      <c r="AF416" s="8"/>
      <c r="AG416" s="8"/>
      <c r="AH416" s="8"/>
      <c r="AI416" s="8"/>
      <c r="AJ416" s="8"/>
    </row>
    <row r="417" spans="1:36" ht="15" customHeight="1" x14ac:dyDescent="0.35">
      <c r="A417" s="4" t="s">
        <v>612</v>
      </c>
      <c r="B417" s="1" t="s">
        <v>1037</v>
      </c>
      <c r="C417" s="11">
        <v>44981</v>
      </c>
      <c r="D417" s="11" t="s">
        <v>4521</v>
      </c>
      <c r="E417" s="1" t="s">
        <v>14</v>
      </c>
      <c r="F417" s="1" t="s">
        <v>4522</v>
      </c>
      <c r="G417" s="6">
        <f>COUNTIF(F:F,Table2[[#This Row],[Form '#]])</f>
        <v>1</v>
      </c>
      <c r="H417" s="1" t="s">
        <v>4523</v>
      </c>
      <c r="I417" s="1" t="s">
        <v>3852</v>
      </c>
      <c r="J417" s="1" t="s">
        <v>80</v>
      </c>
      <c r="K417" s="1" t="s">
        <v>3853</v>
      </c>
      <c r="L417" s="1"/>
      <c r="M417" s="6" t="str">
        <f>IF(Table2[[#This Row],[Corrected Form '#
 (If Duplicated)]]="",Table2[[#This Row],[Form '#]],Table2[[#This Row],[Corrected Form '#
 (If Duplicated)]])</f>
        <v>7810-01568</v>
      </c>
      <c r="N417" s="1" t="s">
        <v>49</v>
      </c>
      <c r="O417" s="6" t="str">
        <f>IF(Table2[[#This Row],[POG CONFIRMATION RECEIPT OF ORDER
(DATE &amp; TIME)]]="","No Confirmation","Received Confirmation")</f>
        <v>Received Confirmation</v>
      </c>
      <c r="P417" s="6">
        <f ca="1">TODAY()-Table2[[#This Row],[DATE SENT TO POG]]</f>
        <v>322</v>
      </c>
      <c r="Q417" s="6" t="s">
        <v>5803</v>
      </c>
      <c r="R4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7" s="2" t="str">
        <f>_xlfn.XLOOKUP(Table2[[#This Row],[Adjusted Form '#]],'[2]IN PROGRESS'!$D:$D,'[2]IN PROGRESS'!$M:$M,"Not Found")</f>
        <v>Not Found</v>
      </c>
      <c r="U417" s="2" t="str">
        <f>_xlfn.XLOOKUP(Table2[[#This Row],[Adjusted Form '#]],[1]COMPLETED!$D:$D,[2]COMPLETED!$M:$M,"Not Found")</f>
        <v>Not Found</v>
      </c>
      <c r="V417" s="17" t="str">
        <f>_xlfn.XLOOKUP(Table2[[#This Row],[Adjusted Form '#]],[2]COMPLETED!$D:$D,[2]COMPLETED!$O:$O,"Not Found")</f>
        <v>Not Found</v>
      </c>
      <c r="W417" s="2" t="str">
        <f>_xlfn.XLOOKUP(Table2[[#This Row],[Adjusted Form '#]],[2]BILLED!$D:$D,[2]BILLED!$M:$M,"Not Found")</f>
        <v>1Z5063E0YW42653677</v>
      </c>
      <c r="X417" s="17" t="e">
        <f>_xlfn.XLOOKUP(Table2[[#This Row],[Adjusted Form '#]],[2]BILLED!$D:$D,[1]BILLED!$O:$O,"Not Found")</f>
        <v>#REF!</v>
      </c>
      <c r="Y417" s="17" t="e">
        <f>_xlfn.XLOOKUP(Table2[[#This Row],[Adjusted Form '#]],'[2]REJECTED ORDERS'!$D:$D,'[2]REJECTED ORDERS'!$E:$E)</f>
        <v>#N/A</v>
      </c>
      <c r="Z417" s="1"/>
      <c r="AA417" s="1"/>
      <c r="AB417" s="8"/>
      <c r="AC417" s="8"/>
      <c r="AD417" s="8"/>
      <c r="AE417" s="8"/>
      <c r="AF417" s="8"/>
      <c r="AG417" s="8"/>
      <c r="AH417" s="8"/>
      <c r="AI417" s="8"/>
      <c r="AJ417" s="8"/>
    </row>
    <row r="418" spans="1:36" ht="15" customHeight="1" x14ac:dyDescent="0.35">
      <c r="A418" s="4" t="s">
        <v>613</v>
      </c>
      <c r="B418" s="1" t="s">
        <v>2152</v>
      </c>
      <c r="C418" s="11">
        <v>44981</v>
      </c>
      <c r="E418" s="1" t="s">
        <v>21</v>
      </c>
      <c r="F418" s="1" t="s">
        <v>3887</v>
      </c>
      <c r="G418" s="6">
        <f>COUNTIF(F:F,Table2[[#This Row],[Form '#]])</f>
        <v>2</v>
      </c>
      <c r="H418" s="1" t="s">
        <v>3888</v>
      </c>
      <c r="I418" s="1" t="s">
        <v>3852</v>
      </c>
      <c r="J418" s="1" t="s">
        <v>80</v>
      </c>
      <c r="K418" s="1" t="s">
        <v>4430</v>
      </c>
      <c r="L418" s="1"/>
      <c r="M418" s="6" t="str">
        <f>IF(Table2[[#This Row],[Corrected Form '#
 (If Duplicated)]]="",Table2[[#This Row],[Form '#]],Table2[[#This Row],[Corrected Form '#
 (If Duplicated)]])</f>
        <v>7818-18829</v>
      </c>
      <c r="N418" s="1" t="s">
        <v>49</v>
      </c>
      <c r="O418" s="6" t="str">
        <f>IF(Table2[[#This Row],[POG CONFIRMATION RECEIPT OF ORDER
(DATE &amp; TIME)]]="","No Confirmation","Received Confirmation")</f>
        <v>No Confirmation</v>
      </c>
      <c r="P418" s="6">
        <f ca="1">TODAY()-Table2[[#This Row],[DATE SENT TO POG]]</f>
        <v>322</v>
      </c>
      <c r="Q418" s="6" t="s">
        <v>5802</v>
      </c>
      <c r="R4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1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18" s="2" t="str">
        <f>_xlfn.XLOOKUP(Table2[[#This Row],[Adjusted Form '#]],'[2]IN PROGRESS'!$D:$D,'[2]IN PROGRESS'!$M:$M,"Not Found")</f>
        <v>Not Found</v>
      </c>
      <c r="U418" s="2" t="str">
        <f>_xlfn.XLOOKUP(Table2[[#This Row],[Adjusted Form '#]],[1]COMPLETED!$D:$D,[2]COMPLETED!$M:$M,"Not Found")</f>
        <v>Not Found</v>
      </c>
      <c r="V418" s="17" t="str">
        <f>_xlfn.XLOOKUP(Table2[[#This Row],[Adjusted Form '#]],[2]COMPLETED!$D:$D,[2]COMPLETED!$O:$O,"Not Found")</f>
        <v>Not Found</v>
      </c>
      <c r="W418" s="2" t="str">
        <f>_xlfn.XLOOKUP(Table2[[#This Row],[Adjusted Form '#]],[2]BILLED!$D:$D,[2]BILLED!$M:$M,"Not Found")</f>
        <v>Not Found</v>
      </c>
      <c r="X418" s="17" t="str">
        <f>_xlfn.XLOOKUP(Table2[[#This Row],[Adjusted Form '#]],[2]BILLED!$D:$D,[1]BILLED!$O:$O,"Not Found")</f>
        <v>Not Found</v>
      </c>
      <c r="Y418" s="17" t="e">
        <f>_xlfn.XLOOKUP(Table2[[#This Row],[Adjusted Form '#]],'[2]REJECTED ORDERS'!$D:$D,'[2]REJECTED ORDERS'!$E:$E)</f>
        <v>#N/A</v>
      </c>
      <c r="Z418" s="1"/>
      <c r="AA418" s="1"/>
      <c r="AB418" s="8"/>
      <c r="AC418" s="8"/>
      <c r="AD418" s="8"/>
      <c r="AE418" s="8"/>
      <c r="AF418" s="8"/>
      <c r="AG418" s="8"/>
      <c r="AH418" s="8"/>
      <c r="AI418" s="8"/>
      <c r="AJ418" s="8"/>
    </row>
    <row r="419" spans="1:36" ht="15" customHeight="1" x14ac:dyDescent="0.35">
      <c r="A419" s="4" t="s">
        <v>614</v>
      </c>
      <c r="B419" s="1" t="s">
        <v>2445</v>
      </c>
      <c r="C419" s="11">
        <v>44981</v>
      </c>
      <c r="D419" s="11" t="s">
        <v>4524</v>
      </c>
      <c r="E419" s="1" t="s">
        <v>21</v>
      </c>
      <c r="F419" s="1" t="s">
        <v>4525</v>
      </c>
      <c r="G419" s="6">
        <f>COUNTIF(F:F,Table2[[#This Row],[Form '#]])</f>
        <v>1</v>
      </c>
      <c r="H419" s="1" t="s">
        <v>4526</v>
      </c>
      <c r="I419" s="1" t="s">
        <v>127</v>
      </c>
      <c r="J419" s="1" t="s">
        <v>76</v>
      </c>
      <c r="K419" s="1" t="s">
        <v>3883</v>
      </c>
      <c r="L419" s="1"/>
      <c r="M419" s="6" t="str">
        <f>IF(Table2[[#This Row],[Corrected Form '#
 (If Duplicated)]]="",Table2[[#This Row],[Form '#]],Table2[[#This Row],[Corrected Form '#
 (If Duplicated)]])</f>
        <v>7818-23981</v>
      </c>
      <c r="N419" s="1" t="s">
        <v>49</v>
      </c>
      <c r="O419" s="6" t="str">
        <f>IF(Table2[[#This Row],[POG CONFIRMATION RECEIPT OF ORDER
(DATE &amp; TIME)]]="","No Confirmation","Received Confirmation")</f>
        <v>Received Confirmation</v>
      </c>
      <c r="P419" s="6">
        <f ca="1">TODAY()-Table2[[#This Row],[DATE SENT TO POG]]</f>
        <v>322</v>
      </c>
      <c r="Q419" s="6" t="s">
        <v>5803</v>
      </c>
      <c r="R4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19" s="2" t="str">
        <f>_xlfn.XLOOKUP(Table2[[#This Row],[Adjusted Form '#]],'[2]IN PROGRESS'!$D:$D,'[2]IN PROGRESS'!$M:$M,"Not Found")</f>
        <v>Not Found</v>
      </c>
      <c r="U419" s="2" t="str">
        <f>_xlfn.XLOOKUP(Table2[[#This Row],[Adjusted Form '#]],[1]COMPLETED!$D:$D,[2]COMPLETED!$M:$M,"Not Found")</f>
        <v>Not Found</v>
      </c>
      <c r="V419" s="17" t="str">
        <f>_xlfn.XLOOKUP(Table2[[#This Row],[Adjusted Form '#]],[2]COMPLETED!$D:$D,[2]COMPLETED!$O:$O,"Not Found")</f>
        <v>Not Found</v>
      </c>
      <c r="W419" s="2" t="str">
        <f>_xlfn.XLOOKUP(Table2[[#This Row],[Adjusted Form '#]],[2]BILLED!$D:$D,[2]BILLED!$M:$M,"Not Found")</f>
        <v>1Z5063E0YW42781958</v>
      </c>
      <c r="X419" s="17" t="e">
        <f>_xlfn.XLOOKUP(Table2[[#This Row],[Adjusted Form '#]],[2]BILLED!$D:$D,[1]BILLED!$O:$O,"Not Found")</f>
        <v>#REF!</v>
      </c>
      <c r="Y419" s="17" t="e">
        <f>_xlfn.XLOOKUP(Table2[[#This Row],[Adjusted Form '#]],'[2]REJECTED ORDERS'!$D:$D,'[2]REJECTED ORDERS'!$E:$E)</f>
        <v>#N/A</v>
      </c>
      <c r="Z419" s="1"/>
      <c r="AA419" s="1"/>
      <c r="AB419" s="8"/>
      <c r="AC419" s="8"/>
      <c r="AD419" s="8"/>
      <c r="AE419" s="8"/>
      <c r="AF419" s="8"/>
      <c r="AG419" s="8"/>
      <c r="AH419" s="8"/>
      <c r="AI419" s="8"/>
      <c r="AJ419" s="8"/>
    </row>
    <row r="420" spans="1:36" ht="15" customHeight="1" x14ac:dyDescent="0.35">
      <c r="A420" s="4" t="s">
        <v>615</v>
      </c>
      <c r="B420" s="1" t="s">
        <v>3385</v>
      </c>
      <c r="C420" s="11">
        <v>44981</v>
      </c>
      <c r="E420" s="1" t="s">
        <v>21</v>
      </c>
      <c r="F420" s="1" t="s">
        <v>4483</v>
      </c>
      <c r="G420" s="6">
        <f>COUNTIF(F:F,Table2[[#This Row],[Form '#]])</f>
        <v>2</v>
      </c>
      <c r="H420" s="1" t="s">
        <v>161</v>
      </c>
      <c r="I420" s="1" t="s">
        <v>758</v>
      </c>
      <c r="J420" s="1" t="s">
        <v>78</v>
      </c>
      <c r="K420" s="1" t="s">
        <v>3853</v>
      </c>
      <c r="L420" s="1"/>
      <c r="M420" s="6" t="str">
        <f>IF(Table2[[#This Row],[Corrected Form '#
 (If Duplicated)]]="",Table2[[#This Row],[Form '#]],Table2[[#This Row],[Corrected Form '#
 (If Duplicated)]])</f>
        <v>7818-26175</v>
      </c>
      <c r="N420" s="1" t="s">
        <v>49</v>
      </c>
      <c r="O420" s="6" t="str">
        <f>IF(Table2[[#This Row],[POG CONFIRMATION RECEIPT OF ORDER
(DATE &amp; TIME)]]="","No Confirmation","Received Confirmation")</f>
        <v>No Confirmation</v>
      </c>
      <c r="P420" s="6">
        <f ca="1">TODAY()-Table2[[#This Row],[DATE SENT TO POG]]</f>
        <v>322</v>
      </c>
      <c r="Q420" s="6" t="s">
        <v>5803</v>
      </c>
      <c r="R4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0" s="2" t="str">
        <f>_xlfn.XLOOKUP(Table2[[#This Row],[Adjusted Form '#]],'[2]IN PROGRESS'!$D:$D,'[2]IN PROGRESS'!$M:$M,"Not Found")</f>
        <v>Not Found</v>
      </c>
      <c r="U420" s="2" t="str">
        <f>_xlfn.XLOOKUP(Table2[[#This Row],[Adjusted Form '#]],[1]COMPLETED!$D:$D,[2]COMPLETED!$M:$M,"Not Found")</f>
        <v>Not Found</v>
      </c>
      <c r="V420" s="17" t="str">
        <f>_xlfn.XLOOKUP(Table2[[#This Row],[Adjusted Form '#]],[2]COMPLETED!$D:$D,[2]COMPLETED!$O:$O,"Not Found")</f>
        <v>Not Found</v>
      </c>
      <c r="W420" s="2" t="str">
        <f>_xlfn.XLOOKUP(Table2[[#This Row],[Adjusted Form '#]],[2]BILLED!$D:$D,[2]BILLED!$M:$M,"Not Found")</f>
        <v>1Z5063E0YW40390008</v>
      </c>
      <c r="X420" s="17" t="e">
        <f>_xlfn.XLOOKUP(Table2[[#This Row],[Adjusted Form '#]],[2]BILLED!$D:$D,[1]BILLED!$O:$O,"Not Found")</f>
        <v>#REF!</v>
      </c>
      <c r="Y420" s="17" t="e">
        <f>_xlfn.XLOOKUP(Table2[[#This Row],[Adjusted Form '#]],'[2]REJECTED ORDERS'!$D:$D,'[2]REJECTED ORDERS'!$E:$E)</f>
        <v>#N/A</v>
      </c>
      <c r="Z420" s="1"/>
      <c r="AA420" s="1"/>
      <c r="AB420" s="8"/>
      <c r="AC420" s="8"/>
      <c r="AD420" s="8"/>
      <c r="AE420" s="8"/>
      <c r="AF420" s="8"/>
      <c r="AG420" s="8"/>
      <c r="AH420" s="8"/>
      <c r="AI420" s="8"/>
      <c r="AJ420" s="8"/>
    </row>
    <row r="421" spans="1:36" ht="15" customHeight="1" x14ac:dyDescent="0.35">
      <c r="A421" s="4" t="s">
        <v>616</v>
      </c>
      <c r="B421" s="1" t="s">
        <v>3560</v>
      </c>
      <c r="C421" s="11">
        <v>44981</v>
      </c>
      <c r="D421" s="11" t="s">
        <v>4524</v>
      </c>
      <c r="E421" s="1" t="s">
        <v>21</v>
      </c>
      <c r="F421" s="1" t="s">
        <v>4527</v>
      </c>
      <c r="G421" s="6">
        <f>COUNTIF(F:F,Table2[[#This Row],[Form '#]])</f>
        <v>1</v>
      </c>
      <c r="H421" s="1" t="s">
        <v>2263</v>
      </c>
      <c r="I421" s="1" t="s">
        <v>3864</v>
      </c>
      <c r="J421" s="1" t="s">
        <v>78</v>
      </c>
      <c r="K421" s="1" t="s">
        <v>3879</v>
      </c>
      <c r="L421" s="1"/>
      <c r="M421" s="6" t="str">
        <f>IF(Table2[[#This Row],[Corrected Form '#
 (If Duplicated)]]="",Table2[[#This Row],[Form '#]],Table2[[#This Row],[Corrected Form '#
 (If Duplicated)]])</f>
        <v>7818-10389</v>
      </c>
      <c r="N421" s="1" t="s">
        <v>49</v>
      </c>
      <c r="O421" s="6" t="str">
        <f>IF(Table2[[#This Row],[POG CONFIRMATION RECEIPT OF ORDER
(DATE &amp; TIME)]]="","No Confirmation","Received Confirmation")</f>
        <v>Received Confirmation</v>
      </c>
      <c r="P421" s="6">
        <f ca="1">TODAY()-Table2[[#This Row],[DATE SENT TO POG]]</f>
        <v>322</v>
      </c>
      <c r="Q421" s="6" t="s">
        <v>5803</v>
      </c>
      <c r="R4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1" s="2" t="str">
        <f>_xlfn.XLOOKUP(Table2[[#This Row],[Adjusted Form '#]],'[2]IN PROGRESS'!$D:$D,'[2]IN PROGRESS'!$M:$M,"Not Found")</f>
        <v>Not Found</v>
      </c>
      <c r="U421" s="2" t="str">
        <f>_xlfn.XLOOKUP(Table2[[#This Row],[Adjusted Form '#]],[1]COMPLETED!$D:$D,[2]COMPLETED!$M:$M,"Not Found")</f>
        <v>Not Found</v>
      </c>
      <c r="V421" s="17" t="str">
        <f>_xlfn.XLOOKUP(Table2[[#This Row],[Adjusted Form '#]],[2]COMPLETED!$D:$D,[2]COMPLETED!$O:$O,"Not Found")</f>
        <v>Not Found</v>
      </c>
      <c r="W421" s="2" t="str">
        <f>_xlfn.XLOOKUP(Table2[[#This Row],[Adjusted Form '#]],[2]BILLED!$D:$D,[2]BILLED!$M:$M,"Not Found")</f>
        <v>1Z5063E0YW41773969</v>
      </c>
      <c r="X421" s="17" t="e">
        <f>_xlfn.XLOOKUP(Table2[[#This Row],[Adjusted Form '#]],[2]BILLED!$D:$D,[1]BILLED!$O:$O,"Not Found")</f>
        <v>#REF!</v>
      </c>
      <c r="Y421" s="17" t="e">
        <f>_xlfn.XLOOKUP(Table2[[#This Row],[Adjusted Form '#]],'[2]REJECTED ORDERS'!$D:$D,'[2]REJECTED ORDERS'!$E:$E)</f>
        <v>#N/A</v>
      </c>
      <c r="Z421" s="1"/>
      <c r="AA421" s="1"/>
      <c r="AB421" s="8"/>
      <c r="AC421" s="8"/>
      <c r="AD421" s="8"/>
      <c r="AE421" s="8"/>
      <c r="AF421" s="8"/>
      <c r="AG421" s="8"/>
      <c r="AH421" s="8"/>
      <c r="AI421" s="8"/>
      <c r="AJ421" s="8"/>
    </row>
    <row r="422" spans="1:36" ht="15" customHeight="1" x14ac:dyDescent="0.35">
      <c r="A422" s="4" t="s">
        <v>617</v>
      </c>
      <c r="B422" s="1" t="s">
        <v>2866</v>
      </c>
      <c r="C422" s="11">
        <v>44981</v>
      </c>
      <c r="D422" s="11" t="s">
        <v>4524</v>
      </c>
      <c r="E422" s="1" t="s">
        <v>21</v>
      </c>
      <c r="F422" s="1" t="s">
        <v>4528</v>
      </c>
      <c r="G422" s="6">
        <f>COUNTIF(F:F,Table2[[#This Row],[Form '#]])</f>
        <v>1</v>
      </c>
      <c r="H422" s="1" t="s">
        <v>410</v>
      </c>
      <c r="I422" s="1" t="s">
        <v>177</v>
      </c>
      <c r="J422" s="1" t="s">
        <v>75</v>
      </c>
      <c r="K422" s="1" t="s">
        <v>3853</v>
      </c>
      <c r="L422" s="1"/>
      <c r="M422" s="6" t="str">
        <f>IF(Table2[[#This Row],[Corrected Form '#
 (If Duplicated)]]="",Table2[[#This Row],[Form '#]],Table2[[#This Row],[Corrected Form '#
 (If Duplicated)]])</f>
        <v>7818-25351</v>
      </c>
      <c r="N422" s="1" t="s">
        <v>49</v>
      </c>
      <c r="O422" s="6" t="str">
        <f>IF(Table2[[#This Row],[POG CONFIRMATION RECEIPT OF ORDER
(DATE &amp; TIME)]]="","No Confirmation","Received Confirmation")</f>
        <v>Received Confirmation</v>
      </c>
      <c r="P422" s="6">
        <f ca="1">TODAY()-Table2[[#This Row],[DATE SENT TO POG]]</f>
        <v>322</v>
      </c>
      <c r="Q422" s="6" t="s">
        <v>5803</v>
      </c>
      <c r="R4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2" s="2" t="str">
        <f>_xlfn.XLOOKUP(Table2[[#This Row],[Adjusted Form '#]],'[2]IN PROGRESS'!$D:$D,'[2]IN PROGRESS'!$M:$M,"Not Found")</f>
        <v>Not Found</v>
      </c>
      <c r="U422" s="2" t="str">
        <f>_xlfn.XLOOKUP(Table2[[#This Row],[Adjusted Form '#]],[1]COMPLETED!$D:$D,[2]COMPLETED!$M:$M,"Not Found")</f>
        <v>Not Found</v>
      </c>
      <c r="V422" s="17" t="str">
        <f>_xlfn.XLOOKUP(Table2[[#This Row],[Adjusted Form '#]],[2]COMPLETED!$D:$D,[2]COMPLETED!$O:$O,"Not Found")</f>
        <v>Not Found</v>
      </c>
      <c r="W422" s="2" t="str">
        <f>_xlfn.XLOOKUP(Table2[[#This Row],[Adjusted Form '#]],[2]BILLED!$D:$D,[2]BILLED!$M:$M,"Not Found")</f>
        <v>1Z5063E0YW41578573</v>
      </c>
      <c r="X422" s="17" t="e">
        <f>_xlfn.XLOOKUP(Table2[[#This Row],[Adjusted Form '#]],[2]BILLED!$D:$D,[1]BILLED!$O:$O,"Not Found")</f>
        <v>#REF!</v>
      </c>
      <c r="Y422" s="17" t="e">
        <f>_xlfn.XLOOKUP(Table2[[#This Row],[Adjusted Form '#]],'[2]REJECTED ORDERS'!$D:$D,'[2]REJECTED ORDERS'!$E:$E)</f>
        <v>#N/A</v>
      </c>
      <c r="Z422" s="1"/>
      <c r="AA422" s="1"/>
      <c r="AB422" s="8"/>
      <c r="AC422" s="8"/>
      <c r="AD422" s="8"/>
      <c r="AE422" s="8"/>
      <c r="AF422" s="8"/>
      <c r="AG422" s="8"/>
      <c r="AH422" s="8"/>
      <c r="AI422" s="8"/>
      <c r="AJ422" s="8"/>
    </row>
    <row r="423" spans="1:36" ht="15" customHeight="1" x14ac:dyDescent="0.35">
      <c r="A423" s="4" t="s">
        <v>618</v>
      </c>
      <c r="B423" s="1" t="s">
        <v>2802</v>
      </c>
      <c r="C423" s="11">
        <v>44981</v>
      </c>
      <c r="D423" s="11" t="s">
        <v>4524</v>
      </c>
      <c r="E423" s="1" t="s">
        <v>73</v>
      </c>
      <c r="F423" s="1" t="s">
        <v>4529</v>
      </c>
      <c r="G423" s="6">
        <f>COUNTIF(F:F,Table2[[#This Row],[Form '#]])</f>
        <v>1</v>
      </c>
      <c r="H423" s="1" t="s">
        <v>4531</v>
      </c>
      <c r="I423" s="1" t="s">
        <v>106</v>
      </c>
      <c r="J423" s="1" t="s">
        <v>3891</v>
      </c>
      <c r="K423" s="1" t="s">
        <v>4530</v>
      </c>
      <c r="L423" s="1"/>
      <c r="M423" s="6" t="str">
        <f>IF(Table2[[#This Row],[Corrected Form '#
 (If Duplicated)]]="",Table2[[#This Row],[Form '#]],Table2[[#This Row],[Corrected Form '#
 (If Duplicated)]])</f>
        <v>7823-02676</v>
      </c>
      <c r="N423" s="1" t="s">
        <v>49</v>
      </c>
      <c r="O423" s="6" t="str">
        <f>IF(Table2[[#This Row],[POG CONFIRMATION RECEIPT OF ORDER
(DATE &amp; TIME)]]="","No Confirmation","Received Confirmation")</f>
        <v>Received Confirmation</v>
      </c>
      <c r="P423" s="6">
        <f ca="1">TODAY()-Table2[[#This Row],[DATE SENT TO POG]]</f>
        <v>322</v>
      </c>
      <c r="Q423" s="6" t="s">
        <v>5803</v>
      </c>
      <c r="R4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3" s="2" t="str">
        <f>_xlfn.XLOOKUP(Table2[[#This Row],[Adjusted Form '#]],'[2]IN PROGRESS'!$D:$D,'[2]IN PROGRESS'!$M:$M,"Not Found")</f>
        <v>Not Found</v>
      </c>
      <c r="U423" s="2" t="str">
        <f>_xlfn.XLOOKUP(Table2[[#This Row],[Adjusted Form '#]],[1]COMPLETED!$D:$D,[2]COMPLETED!$M:$M,"Not Found")</f>
        <v>Not Found</v>
      </c>
      <c r="V423" s="17" t="str">
        <f>_xlfn.XLOOKUP(Table2[[#This Row],[Adjusted Form '#]],[2]COMPLETED!$D:$D,[2]COMPLETED!$O:$O,"Not Found")</f>
        <v>Not Found</v>
      </c>
      <c r="W423" s="2" t="str">
        <f>_xlfn.XLOOKUP(Table2[[#This Row],[Adjusted Form '#]],[2]BILLED!$D:$D,[2]BILLED!$M:$M,"Not Found")</f>
        <v>9400 1112 0620 9461 0027 50</v>
      </c>
      <c r="X423" s="17" t="e">
        <f>_xlfn.XLOOKUP(Table2[[#This Row],[Adjusted Form '#]],[2]BILLED!$D:$D,[1]BILLED!$O:$O,"Not Found")</f>
        <v>#REF!</v>
      </c>
      <c r="Y423" s="17" t="e">
        <f>_xlfn.XLOOKUP(Table2[[#This Row],[Adjusted Form '#]],'[2]REJECTED ORDERS'!$D:$D,'[2]REJECTED ORDERS'!$E:$E)</f>
        <v>#N/A</v>
      </c>
      <c r="Z423" s="1"/>
      <c r="AA423" s="1"/>
      <c r="AB423" s="8"/>
      <c r="AC423" s="8"/>
      <c r="AD423" s="8"/>
      <c r="AE423" s="8"/>
      <c r="AF423" s="8"/>
      <c r="AG423" s="8"/>
      <c r="AH423" s="8"/>
      <c r="AI423" s="8"/>
      <c r="AJ423" s="8"/>
    </row>
    <row r="424" spans="1:36" ht="15" customHeight="1" x14ac:dyDescent="0.35">
      <c r="A424" s="4" t="s">
        <v>620</v>
      </c>
      <c r="B424" s="1" t="s">
        <v>2802</v>
      </c>
      <c r="C424" s="11">
        <v>44981</v>
      </c>
      <c r="D424" s="11" t="s">
        <v>4524</v>
      </c>
      <c r="E424" s="1" t="s">
        <v>73</v>
      </c>
      <c r="F424" s="1" t="s">
        <v>4532</v>
      </c>
      <c r="G424" s="6">
        <f>COUNTIF(F:F,Table2[[#This Row],[Form '#]])</f>
        <v>1</v>
      </c>
      <c r="H424" s="1" t="s">
        <v>1465</v>
      </c>
      <c r="I424" s="1" t="s">
        <v>3864</v>
      </c>
      <c r="J424" s="1" t="s">
        <v>3891</v>
      </c>
      <c r="K424" s="1" t="s">
        <v>3891</v>
      </c>
      <c r="L424" s="1"/>
      <c r="M424" s="6" t="str">
        <f>IF(Table2[[#This Row],[Corrected Form '#
 (If Duplicated)]]="",Table2[[#This Row],[Form '#]],Table2[[#This Row],[Corrected Form '#
 (If Duplicated)]])</f>
        <v>7823-02678</v>
      </c>
      <c r="N424" s="1" t="s">
        <v>49</v>
      </c>
      <c r="O424" s="6" t="str">
        <f>IF(Table2[[#This Row],[POG CONFIRMATION RECEIPT OF ORDER
(DATE &amp; TIME)]]="","No Confirmation","Received Confirmation")</f>
        <v>Received Confirmation</v>
      </c>
      <c r="P424" s="6">
        <f ca="1">TODAY()-Table2[[#This Row],[DATE SENT TO POG]]</f>
        <v>322</v>
      </c>
      <c r="Q424" s="6" t="s">
        <v>5803</v>
      </c>
      <c r="R4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4" s="2" t="str">
        <f>_xlfn.XLOOKUP(Table2[[#This Row],[Adjusted Form '#]],'[2]IN PROGRESS'!$D:$D,'[2]IN PROGRESS'!$M:$M,"Not Found")</f>
        <v>Not Found</v>
      </c>
      <c r="U424" s="2" t="str">
        <f>_xlfn.XLOOKUP(Table2[[#This Row],[Adjusted Form '#]],[1]COMPLETED!$D:$D,[2]COMPLETED!$M:$M,"Not Found")</f>
        <v>Not Found</v>
      </c>
      <c r="V424" s="17" t="str">
        <f>_xlfn.XLOOKUP(Table2[[#This Row],[Adjusted Form '#]],[2]COMPLETED!$D:$D,[2]COMPLETED!$O:$O,"Not Found")</f>
        <v>Not Found</v>
      </c>
      <c r="W424" s="2" t="str">
        <f>_xlfn.XLOOKUP(Table2[[#This Row],[Adjusted Form '#]],[2]BILLED!$D:$D,[2]BILLED!$M:$M,"Not Found")</f>
        <v>1Z5063E0YW41444289</v>
      </c>
      <c r="X424" s="17" t="e">
        <f>_xlfn.XLOOKUP(Table2[[#This Row],[Adjusted Form '#]],[2]BILLED!$D:$D,[1]BILLED!$O:$O,"Not Found")</f>
        <v>#REF!</v>
      </c>
      <c r="Y424" s="17" t="str">
        <f>_xlfn.XLOOKUP(Table2[[#This Row],[Adjusted Form '#]],'[2]REJECTED ORDERS'!$D:$D,'[2]REJECTED ORDERS'!$E:$E)</f>
        <v>FORM NUMBER ALREADY USED</v>
      </c>
      <c r="Z424" s="1"/>
      <c r="AA424" s="1"/>
      <c r="AB424" s="8"/>
      <c r="AC424" s="8"/>
      <c r="AD424" s="8"/>
      <c r="AE424" s="8"/>
      <c r="AF424" s="8"/>
      <c r="AG424" s="8"/>
      <c r="AH424" s="8"/>
      <c r="AI424" s="8"/>
      <c r="AJ424" s="8"/>
    </row>
    <row r="425" spans="1:36" ht="15" customHeight="1" x14ac:dyDescent="0.35">
      <c r="A425" s="4" t="s">
        <v>621</v>
      </c>
      <c r="B425" s="1" t="s">
        <v>2391</v>
      </c>
      <c r="C425" s="11">
        <v>44981</v>
      </c>
      <c r="D425" s="11" t="s">
        <v>4533</v>
      </c>
      <c r="E425" s="1" t="s">
        <v>21</v>
      </c>
      <c r="F425" s="1" t="s">
        <v>4534</v>
      </c>
      <c r="G425" s="6">
        <f>COUNTIF(F:F,Table2[[#This Row],[Form '#]])</f>
        <v>1</v>
      </c>
      <c r="H425" s="1" t="s">
        <v>2005</v>
      </c>
      <c r="I425" s="1" t="s">
        <v>3864</v>
      </c>
      <c r="J425" s="1" t="s">
        <v>78</v>
      </c>
      <c r="K425" s="1" t="s">
        <v>3879</v>
      </c>
      <c r="L425" s="1"/>
      <c r="M425" s="6" t="str">
        <f>IF(Table2[[#This Row],[Corrected Form '#
 (If Duplicated)]]="",Table2[[#This Row],[Form '#]],Table2[[#This Row],[Corrected Form '#
 (If Duplicated)]])</f>
        <v>7818-26181</v>
      </c>
      <c r="N425" s="1" t="s">
        <v>49</v>
      </c>
      <c r="O425" s="6" t="str">
        <f>IF(Table2[[#This Row],[POG CONFIRMATION RECEIPT OF ORDER
(DATE &amp; TIME)]]="","No Confirmation","Received Confirmation")</f>
        <v>Received Confirmation</v>
      </c>
      <c r="P425" s="6">
        <f ca="1">TODAY()-Table2[[#This Row],[DATE SENT TO POG]]</f>
        <v>322</v>
      </c>
      <c r="Q425" s="6" t="s">
        <v>5803</v>
      </c>
      <c r="R4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5" s="2" t="str">
        <f>_xlfn.XLOOKUP(Table2[[#This Row],[Adjusted Form '#]],'[2]IN PROGRESS'!$D:$D,'[2]IN PROGRESS'!$M:$M,"Not Found")</f>
        <v>Not Found</v>
      </c>
      <c r="U425" s="2" t="str">
        <f>_xlfn.XLOOKUP(Table2[[#This Row],[Adjusted Form '#]],[1]COMPLETED!$D:$D,[2]COMPLETED!$M:$M,"Not Found")</f>
        <v>Not Found</v>
      </c>
      <c r="V425" s="17" t="str">
        <f>_xlfn.XLOOKUP(Table2[[#This Row],[Adjusted Form '#]],[2]COMPLETED!$D:$D,[2]COMPLETED!$O:$O,"Not Found")</f>
        <v>Not Found</v>
      </c>
      <c r="W425" s="2" t="str">
        <f>_xlfn.XLOOKUP(Table2[[#This Row],[Adjusted Form '#]],[2]BILLED!$D:$D,[2]BILLED!$M:$M,"Not Found")</f>
        <v>1Z5063E0YW41839111</v>
      </c>
      <c r="X425" s="17" t="e">
        <f>_xlfn.XLOOKUP(Table2[[#This Row],[Adjusted Form '#]],[2]BILLED!$D:$D,[1]BILLED!$O:$O,"Not Found")</f>
        <v>#REF!</v>
      </c>
      <c r="Y425" s="17" t="e">
        <f>_xlfn.XLOOKUP(Table2[[#This Row],[Adjusted Form '#]],'[2]REJECTED ORDERS'!$D:$D,'[2]REJECTED ORDERS'!$E:$E)</f>
        <v>#N/A</v>
      </c>
      <c r="Z425" s="1"/>
      <c r="AA425" s="1"/>
      <c r="AB425" s="8"/>
      <c r="AC425" s="8"/>
      <c r="AD425" s="8"/>
      <c r="AE425" s="8"/>
      <c r="AF425" s="8"/>
      <c r="AG425" s="8"/>
      <c r="AH425" s="8"/>
      <c r="AI425" s="8"/>
      <c r="AJ425" s="8"/>
    </row>
    <row r="426" spans="1:36" ht="15" customHeight="1" x14ac:dyDescent="0.35">
      <c r="A426" s="4" t="s">
        <v>622</v>
      </c>
      <c r="B426" s="1" t="s">
        <v>4535</v>
      </c>
      <c r="C426" s="11">
        <v>44981</v>
      </c>
      <c r="E426" s="1" t="s">
        <v>21</v>
      </c>
      <c r="F426" s="1" t="s">
        <v>4398</v>
      </c>
      <c r="G426" s="6">
        <f>COUNTIF(F:F,Table2[[#This Row],[Form '#]])</f>
        <v>2</v>
      </c>
      <c r="H426" s="1" t="s">
        <v>276</v>
      </c>
      <c r="I426" s="1" t="s">
        <v>3852</v>
      </c>
      <c r="J426" s="1" t="s">
        <v>80</v>
      </c>
      <c r="K426" s="1" t="s">
        <v>3853</v>
      </c>
      <c r="L426" s="1"/>
      <c r="M426" s="6" t="str">
        <f>IF(Table2[[#This Row],[Corrected Form '#
 (If Duplicated)]]="",Table2[[#This Row],[Form '#]],Table2[[#This Row],[Corrected Form '#
 (If Duplicated)]])</f>
        <v>7818-15877</v>
      </c>
      <c r="N426" s="1" t="s">
        <v>49</v>
      </c>
      <c r="O426" s="6" t="str">
        <f>IF(Table2[[#This Row],[POG CONFIRMATION RECEIPT OF ORDER
(DATE &amp; TIME)]]="","No Confirmation","Received Confirmation")</f>
        <v>No Confirmation</v>
      </c>
      <c r="P426" s="6">
        <f ca="1">TODAY()-Table2[[#This Row],[DATE SENT TO POG]]</f>
        <v>322</v>
      </c>
      <c r="Q426" s="6" t="s">
        <v>5803</v>
      </c>
      <c r="R4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6" s="2" t="str">
        <f>_xlfn.XLOOKUP(Table2[[#This Row],[Adjusted Form '#]],'[2]IN PROGRESS'!$D:$D,'[2]IN PROGRESS'!$M:$M,"Not Found")</f>
        <v>Not Found</v>
      </c>
      <c r="U426" s="2" t="str">
        <f>_xlfn.XLOOKUP(Table2[[#This Row],[Adjusted Form '#]],[1]COMPLETED!$D:$D,[2]COMPLETED!$M:$M,"Not Found")</f>
        <v>Not Found</v>
      </c>
      <c r="V426" s="17" t="str">
        <f>_xlfn.XLOOKUP(Table2[[#This Row],[Adjusted Form '#]],[2]COMPLETED!$D:$D,[2]COMPLETED!$O:$O,"Not Found")</f>
        <v>Not Found</v>
      </c>
      <c r="W426" s="2" t="str">
        <f>_xlfn.XLOOKUP(Table2[[#This Row],[Adjusted Form '#]],[2]BILLED!$D:$D,[2]BILLED!$M:$M,"Not Found")</f>
        <v>1Z5063E0YW42318708</v>
      </c>
      <c r="X426" s="17" t="e">
        <f>_xlfn.XLOOKUP(Table2[[#This Row],[Adjusted Form '#]],[2]BILLED!$D:$D,[1]BILLED!$O:$O,"Not Found")</f>
        <v>#REF!</v>
      </c>
      <c r="Y426" s="17" t="e">
        <f>_xlfn.XLOOKUP(Table2[[#This Row],[Adjusted Form '#]],'[2]REJECTED ORDERS'!$D:$D,'[2]REJECTED ORDERS'!$E:$E)</f>
        <v>#N/A</v>
      </c>
      <c r="Z426" s="1"/>
      <c r="AA426" s="1"/>
      <c r="AB426" s="8"/>
      <c r="AC426" s="8"/>
      <c r="AD426" s="8"/>
      <c r="AE426" s="8"/>
      <c r="AF426" s="8"/>
      <c r="AG426" s="8"/>
      <c r="AH426" s="8"/>
      <c r="AI426" s="8"/>
      <c r="AJ426" s="8"/>
    </row>
    <row r="427" spans="1:36" ht="15" customHeight="1" x14ac:dyDescent="0.35">
      <c r="A427" s="4" t="s">
        <v>623</v>
      </c>
      <c r="B427" s="1" t="s">
        <v>3019</v>
      </c>
      <c r="C427" s="11">
        <v>44984</v>
      </c>
      <c r="D427" s="11" t="s">
        <v>4536</v>
      </c>
      <c r="E427" s="1" t="s">
        <v>14</v>
      </c>
      <c r="F427" s="1" t="s">
        <v>4537</v>
      </c>
      <c r="G427" s="6">
        <f>COUNTIF(F:F,Table2[[#This Row],[Form '#]])</f>
        <v>1</v>
      </c>
      <c r="H427" s="1" t="s">
        <v>4538</v>
      </c>
      <c r="I427" s="1" t="s">
        <v>3852</v>
      </c>
      <c r="J427" s="1" t="s">
        <v>3891</v>
      </c>
      <c r="K427" s="1" t="s">
        <v>3853</v>
      </c>
      <c r="L427" s="1"/>
      <c r="M427" s="6" t="str">
        <f>IF(Table2[[#This Row],[Corrected Form '#
 (If Duplicated)]]="",Table2[[#This Row],[Form '#]],Table2[[#This Row],[Corrected Form '#
 (If Duplicated)]])</f>
        <v>7810-00594</v>
      </c>
      <c r="N427" s="1" t="s">
        <v>49</v>
      </c>
      <c r="O427" s="6" t="str">
        <f>IF(Table2[[#This Row],[POG CONFIRMATION RECEIPT OF ORDER
(DATE &amp; TIME)]]="","No Confirmation","Received Confirmation")</f>
        <v>Received Confirmation</v>
      </c>
      <c r="P427" s="6">
        <f ca="1">TODAY()-Table2[[#This Row],[DATE SENT TO POG]]</f>
        <v>319</v>
      </c>
      <c r="Q427" s="6" t="s">
        <v>5803</v>
      </c>
      <c r="R4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7" s="2" t="str">
        <f>_xlfn.XLOOKUP(Table2[[#This Row],[Adjusted Form '#]],'[2]IN PROGRESS'!$D:$D,'[2]IN PROGRESS'!$M:$M,"Not Found")</f>
        <v>Not Found</v>
      </c>
      <c r="U427" s="2" t="str">
        <f>_xlfn.XLOOKUP(Table2[[#This Row],[Adjusted Form '#]],[1]COMPLETED!$D:$D,[2]COMPLETED!$M:$M,"Not Found")</f>
        <v>Not Found</v>
      </c>
      <c r="V427" s="17" t="str">
        <f>_xlfn.XLOOKUP(Table2[[#This Row],[Adjusted Form '#]],[2]COMPLETED!$D:$D,[2]COMPLETED!$O:$O,"Not Found")</f>
        <v>Not Found</v>
      </c>
      <c r="W427" s="2" t="str">
        <f>_xlfn.XLOOKUP(Table2[[#This Row],[Adjusted Form '#]],[2]BILLED!$D:$D,[2]BILLED!$M:$M,"Not Found")</f>
        <v>1Z5063E0YW40453655</v>
      </c>
      <c r="X427" s="17" t="e">
        <f>_xlfn.XLOOKUP(Table2[[#This Row],[Adjusted Form '#]],[2]BILLED!$D:$D,[1]BILLED!$O:$O,"Not Found")</f>
        <v>#REF!</v>
      </c>
      <c r="Y427" s="17" t="e">
        <f>_xlfn.XLOOKUP(Table2[[#This Row],[Adjusted Form '#]],'[2]REJECTED ORDERS'!$D:$D,'[2]REJECTED ORDERS'!$E:$E)</f>
        <v>#N/A</v>
      </c>
      <c r="Z427" s="1"/>
      <c r="AA427" s="1"/>
      <c r="AB427" s="8"/>
      <c r="AC427" s="8"/>
      <c r="AD427" s="8"/>
      <c r="AE427" s="8"/>
      <c r="AF427" s="8"/>
      <c r="AG427" s="8"/>
      <c r="AH427" s="8"/>
      <c r="AI427" s="8"/>
      <c r="AJ427" s="8"/>
    </row>
    <row r="428" spans="1:36" ht="15" customHeight="1" x14ac:dyDescent="0.35">
      <c r="A428" s="4" t="s">
        <v>625</v>
      </c>
      <c r="B428" s="1" t="s">
        <v>4539</v>
      </c>
      <c r="C428" s="11">
        <v>44984</v>
      </c>
      <c r="D428" s="11" t="s">
        <v>4536</v>
      </c>
      <c r="E428" s="1" t="s">
        <v>21</v>
      </c>
      <c r="F428" s="1" t="s">
        <v>4540</v>
      </c>
      <c r="G428" s="6">
        <f>COUNTIF(F:F,Table2[[#This Row],[Form '#]])</f>
        <v>1</v>
      </c>
      <c r="H428" s="1" t="s">
        <v>4541</v>
      </c>
      <c r="I428" s="1" t="s">
        <v>3852</v>
      </c>
      <c r="J428" s="1" t="s">
        <v>75</v>
      </c>
      <c r="K428" s="1" t="s">
        <v>3891</v>
      </c>
      <c r="L428" s="1"/>
      <c r="M428" s="6" t="str">
        <f>IF(Table2[[#This Row],[Corrected Form '#
 (If Duplicated)]]="",Table2[[#This Row],[Form '#]],Table2[[#This Row],[Corrected Form '#
 (If Duplicated)]])</f>
        <v>7818-19566</v>
      </c>
      <c r="N428" s="1" t="s">
        <v>49</v>
      </c>
      <c r="O428" s="6" t="str">
        <f>IF(Table2[[#This Row],[POG CONFIRMATION RECEIPT OF ORDER
(DATE &amp; TIME)]]="","No Confirmation","Received Confirmation")</f>
        <v>Received Confirmation</v>
      </c>
      <c r="P428" s="6">
        <f ca="1">TODAY()-Table2[[#This Row],[DATE SENT TO POG]]</f>
        <v>319</v>
      </c>
      <c r="Q428" s="6" t="s">
        <v>5803</v>
      </c>
      <c r="R4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8" s="2" t="str">
        <f>_xlfn.XLOOKUP(Table2[[#This Row],[Adjusted Form '#]],'[2]IN PROGRESS'!$D:$D,'[2]IN PROGRESS'!$M:$M,"Not Found")</f>
        <v>Not Found</v>
      </c>
      <c r="U428" s="2" t="str">
        <f>_xlfn.XLOOKUP(Table2[[#This Row],[Adjusted Form '#]],[1]COMPLETED!$D:$D,[2]COMPLETED!$M:$M,"Not Found")</f>
        <v>Not Found</v>
      </c>
      <c r="V428" s="17" t="str">
        <f>_xlfn.XLOOKUP(Table2[[#This Row],[Adjusted Form '#]],[2]COMPLETED!$D:$D,[2]COMPLETED!$O:$O,"Not Found")</f>
        <v>Not Found</v>
      </c>
      <c r="W428" s="2" t="str">
        <f>_xlfn.XLOOKUP(Table2[[#This Row],[Adjusted Form '#]],[2]BILLED!$D:$D,[2]BILLED!$M:$M,"Not Found")</f>
        <v>1Z5063E0YW40989470</v>
      </c>
      <c r="X428" s="17" t="e">
        <f>_xlfn.XLOOKUP(Table2[[#This Row],[Adjusted Form '#]],[2]BILLED!$D:$D,[1]BILLED!$O:$O,"Not Found")</f>
        <v>#REF!</v>
      </c>
      <c r="Y428" s="17" t="e">
        <f>_xlfn.XLOOKUP(Table2[[#This Row],[Adjusted Form '#]],'[2]REJECTED ORDERS'!$D:$D,'[2]REJECTED ORDERS'!$E:$E)</f>
        <v>#N/A</v>
      </c>
      <c r="Z428" s="1"/>
      <c r="AA428" s="1"/>
      <c r="AB428" s="8"/>
      <c r="AC428" s="8"/>
      <c r="AD428" s="8"/>
      <c r="AE428" s="8"/>
      <c r="AF428" s="8"/>
      <c r="AG428" s="8"/>
      <c r="AH428" s="8"/>
      <c r="AI428" s="8"/>
      <c r="AJ428" s="8"/>
    </row>
    <row r="429" spans="1:36" ht="15" customHeight="1" x14ac:dyDescent="0.35">
      <c r="A429" s="4" t="s">
        <v>627</v>
      </c>
      <c r="B429" s="1" t="s">
        <v>4539</v>
      </c>
      <c r="C429" s="11">
        <v>44984</v>
      </c>
      <c r="D429" s="11" t="s">
        <v>4536</v>
      </c>
      <c r="E429" s="1" t="s">
        <v>21</v>
      </c>
      <c r="F429" s="1" t="s">
        <v>4542</v>
      </c>
      <c r="G429" s="6">
        <f>COUNTIF(F:F,Table2[[#This Row],[Form '#]])</f>
        <v>1</v>
      </c>
      <c r="H429" s="1" t="s">
        <v>3147</v>
      </c>
      <c r="I429" s="1" t="s">
        <v>177</v>
      </c>
      <c r="J429" s="1" t="s">
        <v>75</v>
      </c>
      <c r="K429" s="1" t="s">
        <v>3853</v>
      </c>
      <c r="L429" s="1"/>
      <c r="M429" s="6" t="str">
        <f>IF(Table2[[#This Row],[Corrected Form '#
 (If Duplicated)]]="",Table2[[#This Row],[Form '#]],Table2[[#This Row],[Corrected Form '#
 (If Duplicated)]])</f>
        <v>7818-25179</v>
      </c>
      <c r="N429" s="1" t="s">
        <v>49</v>
      </c>
      <c r="O429" s="6" t="str">
        <f>IF(Table2[[#This Row],[POG CONFIRMATION RECEIPT OF ORDER
(DATE &amp; TIME)]]="","No Confirmation","Received Confirmation")</f>
        <v>Received Confirmation</v>
      </c>
      <c r="P429" s="6">
        <f ca="1">TODAY()-Table2[[#This Row],[DATE SENT TO POG]]</f>
        <v>319</v>
      </c>
      <c r="Q429" s="6" t="s">
        <v>5803</v>
      </c>
      <c r="R4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29" s="2" t="str">
        <f>_xlfn.XLOOKUP(Table2[[#This Row],[Adjusted Form '#]],'[2]IN PROGRESS'!$D:$D,'[2]IN PROGRESS'!$M:$M,"Not Found")</f>
        <v>Not Found</v>
      </c>
      <c r="U429" s="2" t="str">
        <f>_xlfn.XLOOKUP(Table2[[#This Row],[Adjusted Form '#]],[1]COMPLETED!$D:$D,[2]COMPLETED!$M:$M,"Not Found")</f>
        <v>Not Found</v>
      </c>
      <c r="V429" s="17" t="str">
        <f>_xlfn.XLOOKUP(Table2[[#This Row],[Adjusted Form '#]],[2]COMPLETED!$D:$D,[2]COMPLETED!$O:$O,"Not Found")</f>
        <v>Not Found</v>
      </c>
      <c r="W429" s="2" t="str">
        <f>_xlfn.XLOOKUP(Table2[[#This Row],[Adjusted Form '#]],[2]BILLED!$D:$D,[2]BILLED!$M:$M,"Not Found")</f>
        <v>1Z5063E0YW40140895</v>
      </c>
      <c r="X429" s="17" t="e">
        <f>_xlfn.XLOOKUP(Table2[[#This Row],[Adjusted Form '#]],[2]BILLED!$D:$D,[1]BILLED!$O:$O,"Not Found")</f>
        <v>#REF!</v>
      </c>
      <c r="Y429" s="17" t="str">
        <f>_xlfn.XLOOKUP(Table2[[#This Row],[Adjusted Form '#]],'[2]REJECTED ORDERS'!$D:$D,'[2]REJECTED ORDERS'!$E:$E)</f>
        <v>FORM NUMBER ALREADY USED</v>
      </c>
      <c r="Z429" s="1"/>
      <c r="AA429" s="1"/>
      <c r="AB429" s="8"/>
      <c r="AC429" s="8"/>
      <c r="AD429" s="8"/>
      <c r="AE429" s="8"/>
      <c r="AF429" s="8"/>
      <c r="AG429" s="8"/>
      <c r="AH429" s="8"/>
      <c r="AI429" s="8"/>
      <c r="AJ429" s="8"/>
    </row>
    <row r="430" spans="1:36" ht="15" customHeight="1" x14ac:dyDescent="0.35">
      <c r="A430" s="4" t="s">
        <v>629</v>
      </c>
      <c r="B430" s="1" t="s">
        <v>4539</v>
      </c>
      <c r="C430" s="11">
        <v>44984</v>
      </c>
      <c r="D430" s="11" t="s">
        <v>4536</v>
      </c>
      <c r="E430" s="1" t="s">
        <v>21</v>
      </c>
      <c r="F430" s="1" t="s">
        <v>4543</v>
      </c>
      <c r="G430" s="6">
        <f>COUNTIF(F:F,Table2[[#This Row],[Form '#]])</f>
        <v>1</v>
      </c>
      <c r="H430" s="1" t="s">
        <v>4544</v>
      </c>
      <c r="I430" s="1" t="s">
        <v>127</v>
      </c>
      <c r="J430" s="1" t="s">
        <v>76</v>
      </c>
      <c r="K430" s="1" t="s">
        <v>3883</v>
      </c>
      <c r="L430" s="1"/>
      <c r="M430" s="6" t="str">
        <f>IF(Table2[[#This Row],[Corrected Form '#
 (If Duplicated)]]="",Table2[[#This Row],[Form '#]],Table2[[#This Row],[Corrected Form '#
 (If Duplicated)]])</f>
        <v>7818-25236</v>
      </c>
      <c r="N430" s="1" t="s">
        <v>49</v>
      </c>
      <c r="O430" s="6" t="str">
        <f>IF(Table2[[#This Row],[POG CONFIRMATION RECEIPT OF ORDER
(DATE &amp; TIME)]]="","No Confirmation","Received Confirmation")</f>
        <v>Received Confirmation</v>
      </c>
      <c r="P430" s="6">
        <f ca="1">TODAY()-Table2[[#This Row],[DATE SENT TO POG]]</f>
        <v>319</v>
      </c>
      <c r="Q430" s="6" t="s">
        <v>5803</v>
      </c>
      <c r="R4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0" s="2" t="str">
        <f>_xlfn.XLOOKUP(Table2[[#This Row],[Adjusted Form '#]],'[2]IN PROGRESS'!$D:$D,'[2]IN PROGRESS'!$M:$M,"Not Found")</f>
        <v>Not Found</v>
      </c>
      <c r="U430" s="2" t="str">
        <f>_xlfn.XLOOKUP(Table2[[#This Row],[Adjusted Form '#]],[1]COMPLETED!$D:$D,[2]COMPLETED!$M:$M,"Not Found")</f>
        <v>Not Found</v>
      </c>
      <c r="V430" s="17" t="str">
        <f>_xlfn.XLOOKUP(Table2[[#This Row],[Adjusted Form '#]],[2]COMPLETED!$D:$D,[2]COMPLETED!$O:$O,"Not Found")</f>
        <v>Not Found</v>
      </c>
      <c r="W430" s="2" t="str">
        <f>_xlfn.XLOOKUP(Table2[[#This Row],[Adjusted Form '#]],[2]BILLED!$D:$D,[2]BILLED!$M:$M,"Not Found")</f>
        <v>1Z5063E0YW41344422</v>
      </c>
      <c r="X430" s="17" t="e">
        <f>_xlfn.XLOOKUP(Table2[[#This Row],[Adjusted Form '#]],[2]BILLED!$D:$D,[1]BILLED!$O:$O,"Not Found")</f>
        <v>#REF!</v>
      </c>
      <c r="Y430" s="17" t="str">
        <f>_xlfn.XLOOKUP(Table2[[#This Row],[Adjusted Form '#]],'[2]REJECTED ORDERS'!$D:$D,'[2]REJECTED ORDERS'!$E:$E)</f>
        <v>FORM NOT SIGNED</v>
      </c>
      <c r="Z430" s="1"/>
      <c r="AA430" s="1"/>
      <c r="AB430" s="8"/>
      <c r="AC430" s="8"/>
      <c r="AD430" s="8"/>
      <c r="AE430" s="8"/>
      <c r="AF430" s="8"/>
      <c r="AG430" s="8"/>
      <c r="AH430" s="8"/>
      <c r="AI430" s="8"/>
      <c r="AJ430" s="8"/>
    </row>
    <row r="431" spans="1:36" ht="15" customHeight="1" x14ac:dyDescent="0.35">
      <c r="A431" s="4" t="s">
        <v>631</v>
      </c>
      <c r="B431" s="1" t="s">
        <v>4539</v>
      </c>
      <c r="C431" s="11">
        <v>44984</v>
      </c>
      <c r="D431" s="11" t="s">
        <v>4536</v>
      </c>
      <c r="E431" s="1" t="s">
        <v>21</v>
      </c>
      <c r="F431" s="1" t="s">
        <v>4545</v>
      </c>
      <c r="G431" s="6">
        <f>COUNTIF(F:F,Table2[[#This Row],[Form '#]])</f>
        <v>1</v>
      </c>
      <c r="H431" s="1" t="s">
        <v>1657</v>
      </c>
      <c r="I431" s="1" t="s">
        <v>3852</v>
      </c>
      <c r="J431" s="1" t="s">
        <v>80</v>
      </c>
      <c r="K431" s="1" t="s">
        <v>4011</v>
      </c>
      <c r="L431" s="1"/>
      <c r="M431" s="6" t="str">
        <f>IF(Table2[[#This Row],[Corrected Form '#
 (If Duplicated)]]="",Table2[[#This Row],[Form '#]],Table2[[#This Row],[Corrected Form '#
 (If Duplicated)]])</f>
        <v>7818-27524</v>
      </c>
      <c r="N431" s="1" t="s">
        <v>49</v>
      </c>
      <c r="O431" s="6" t="str">
        <f>IF(Table2[[#This Row],[POG CONFIRMATION RECEIPT OF ORDER
(DATE &amp; TIME)]]="","No Confirmation","Received Confirmation")</f>
        <v>Received Confirmation</v>
      </c>
      <c r="P431" s="6">
        <f ca="1">TODAY()-Table2[[#This Row],[DATE SENT TO POG]]</f>
        <v>319</v>
      </c>
      <c r="Q431" s="6" t="s">
        <v>5803</v>
      </c>
      <c r="R4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1" s="2" t="str">
        <f>_xlfn.XLOOKUP(Table2[[#This Row],[Adjusted Form '#]],'[2]IN PROGRESS'!$D:$D,'[2]IN PROGRESS'!$M:$M,"Not Found")</f>
        <v>Not Found</v>
      </c>
      <c r="U431" s="2" t="str">
        <f>_xlfn.XLOOKUP(Table2[[#This Row],[Adjusted Form '#]],[1]COMPLETED!$D:$D,[2]COMPLETED!$M:$M,"Not Found")</f>
        <v>Not Found</v>
      </c>
      <c r="V431" s="17" t="str">
        <f>_xlfn.XLOOKUP(Table2[[#This Row],[Adjusted Form '#]],[2]COMPLETED!$D:$D,[2]COMPLETED!$O:$O,"Not Found")</f>
        <v>Not Found</v>
      </c>
      <c r="W431" s="2" t="str">
        <f>_xlfn.XLOOKUP(Table2[[#This Row],[Adjusted Form '#]],[2]BILLED!$D:$D,[2]BILLED!$M:$M,"Not Found")</f>
        <v>1Z5063E0YW40968064</v>
      </c>
      <c r="X431" s="17" t="e">
        <f>_xlfn.XLOOKUP(Table2[[#This Row],[Adjusted Form '#]],[2]BILLED!$D:$D,[1]BILLED!$O:$O,"Not Found")</f>
        <v>#REF!</v>
      </c>
      <c r="Y431" s="17" t="e">
        <f>_xlfn.XLOOKUP(Table2[[#This Row],[Adjusted Form '#]],'[2]REJECTED ORDERS'!$D:$D,'[2]REJECTED ORDERS'!$E:$E)</f>
        <v>#N/A</v>
      </c>
      <c r="Z431" s="1"/>
      <c r="AA431" s="1"/>
      <c r="AB431" s="8"/>
      <c r="AC431" s="8"/>
      <c r="AD431" s="8"/>
      <c r="AE431" s="8"/>
      <c r="AF431" s="8"/>
      <c r="AG431" s="8"/>
      <c r="AH431" s="8"/>
      <c r="AI431" s="8"/>
      <c r="AJ431" s="8"/>
    </row>
    <row r="432" spans="1:36" ht="15" customHeight="1" x14ac:dyDescent="0.35">
      <c r="A432" s="4" t="s">
        <v>633</v>
      </c>
      <c r="B432" s="1" t="s">
        <v>4546</v>
      </c>
      <c r="C432" s="11">
        <v>44984</v>
      </c>
      <c r="D432" s="11" t="s">
        <v>4547</v>
      </c>
      <c r="E432" s="1" t="s">
        <v>21</v>
      </c>
      <c r="F432" s="1" t="s">
        <v>4548</v>
      </c>
      <c r="G432" s="6">
        <f>COUNTIF(F:F,Table2[[#This Row],[Form '#]])</f>
        <v>1</v>
      </c>
      <c r="H432" s="1" t="s">
        <v>4549</v>
      </c>
      <c r="I432" s="1" t="s">
        <v>3864</v>
      </c>
      <c r="J432" s="1" t="s">
        <v>78</v>
      </c>
      <c r="K432" s="1" t="s">
        <v>3879</v>
      </c>
      <c r="L432" s="1"/>
      <c r="M432" s="6" t="str">
        <f>IF(Table2[[#This Row],[Corrected Form '#
 (If Duplicated)]]="",Table2[[#This Row],[Form '#]],Table2[[#This Row],[Corrected Form '#
 (If Duplicated)]])</f>
        <v>7818-26034</v>
      </c>
      <c r="N432" s="1" t="s">
        <v>49</v>
      </c>
      <c r="O432" s="6" t="str">
        <f>IF(Table2[[#This Row],[POG CONFIRMATION RECEIPT OF ORDER
(DATE &amp; TIME)]]="","No Confirmation","Received Confirmation")</f>
        <v>Received Confirmation</v>
      </c>
      <c r="P432" s="6">
        <f ca="1">TODAY()-Table2[[#This Row],[DATE SENT TO POG]]</f>
        <v>319</v>
      </c>
      <c r="Q432" s="6" t="s">
        <v>5803</v>
      </c>
      <c r="R4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2" s="2" t="str">
        <f>_xlfn.XLOOKUP(Table2[[#This Row],[Adjusted Form '#]],'[2]IN PROGRESS'!$D:$D,'[2]IN PROGRESS'!$M:$M,"Not Found")</f>
        <v>Not Found</v>
      </c>
      <c r="U432" s="2" t="str">
        <f>_xlfn.XLOOKUP(Table2[[#This Row],[Adjusted Form '#]],[1]COMPLETED!$D:$D,[2]COMPLETED!$M:$M,"Not Found")</f>
        <v>Not Found</v>
      </c>
      <c r="V432" s="17" t="str">
        <f>_xlfn.XLOOKUP(Table2[[#This Row],[Adjusted Form '#]],[2]COMPLETED!$D:$D,[2]COMPLETED!$O:$O,"Not Found")</f>
        <v>Not Found</v>
      </c>
      <c r="W432" s="2" t="str">
        <f>_xlfn.XLOOKUP(Table2[[#This Row],[Adjusted Form '#]],[2]BILLED!$D:$D,[2]BILLED!$M:$M,"Not Found")</f>
        <v>1Z5063E0YW40326319</v>
      </c>
      <c r="X432" s="17" t="e">
        <f>_xlfn.XLOOKUP(Table2[[#This Row],[Adjusted Form '#]],[2]BILLED!$D:$D,[1]BILLED!$O:$O,"Not Found")</f>
        <v>#REF!</v>
      </c>
      <c r="Y432" s="17" t="e">
        <f>_xlfn.XLOOKUP(Table2[[#This Row],[Adjusted Form '#]],'[2]REJECTED ORDERS'!$D:$D,'[2]REJECTED ORDERS'!$E:$E)</f>
        <v>#N/A</v>
      </c>
      <c r="Z432" s="1"/>
      <c r="AA432" s="1"/>
      <c r="AB432" s="8"/>
      <c r="AC432" s="8"/>
      <c r="AD432" s="8"/>
      <c r="AE432" s="8"/>
      <c r="AF432" s="8"/>
      <c r="AG432" s="8"/>
      <c r="AH432" s="8"/>
      <c r="AI432" s="8"/>
      <c r="AJ432" s="8"/>
    </row>
    <row r="433" spans="1:36" ht="15" customHeight="1" x14ac:dyDescent="0.35">
      <c r="A433" s="4" t="s">
        <v>634</v>
      </c>
      <c r="B433" s="1" t="s">
        <v>1646</v>
      </c>
      <c r="C433" s="11">
        <v>44985</v>
      </c>
      <c r="D433" s="11" t="s">
        <v>4547</v>
      </c>
      <c r="E433" s="1" t="s">
        <v>73</v>
      </c>
      <c r="F433" s="1" t="s">
        <v>4550</v>
      </c>
      <c r="G433" s="6">
        <f>COUNTIF(F:F,Table2[[#This Row],[Form '#]])</f>
        <v>1</v>
      </c>
      <c r="H433" s="1" t="s">
        <v>4551</v>
      </c>
      <c r="I433" s="1" t="s">
        <v>106</v>
      </c>
      <c r="J433" s="1" t="s">
        <v>72</v>
      </c>
      <c r="K433" s="1" t="s">
        <v>4530</v>
      </c>
      <c r="L433" s="1"/>
      <c r="M433" s="6" t="str">
        <f>IF(Table2[[#This Row],[Corrected Form '#
 (If Duplicated)]]="",Table2[[#This Row],[Form '#]],Table2[[#This Row],[Corrected Form '#
 (If Duplicated)]])</f>
        <v>7823-02839</v>
      </c>
      <c r="N433" s="1" t="s">
        <v>49</v>
      </c>
      <c r="O433" s="6" t="str">
        <f>IF(Table2[[#This Row],[POG CONFIRMATION RECEIPT OF ORDER
(DATE &amp; TIME)]]="","No Confirmation","Received Confirmation")</f>
        <v>Received Confirmation</v>
      </c>
      <c r="P433" s="6">
        <f ca="1">TODAY()-Table2[[#This Row],[DATE SENT TO POG]]</f>
        <v>318</v>
      </c>
      <c r="Q433" s="6" t="s">
        <v>5803</v>
      </c>
      <c r="R4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3" s="2" t="str">
        <f>_xlfn.XLOOKUP(Table2[[#This Row],[Adjusted Form '#]],'[2]IN PROGRESS'!$D:$D,'[2]IN PROGRESS'!$M:$M,"Not Found")</f>
        <v>Not Found</v>
      </c>
      <c r="U433" s="2" t="str">
        <f>_xlfn.XLOOKUP(Table2[[#This Row],[Adjusted Form '#]],[1]COMPLETED!$D:$D,[2]COMPLETED!$M:$M,"Not Found")</f>
        <v>Not Found</v>
      </c>
      <c r="V433" s="17" t="str">
        <f>_xlfn.XLOOKUP(Table2[[#This Row],[Adjusted Form '#]],[2]COMPLETED!$D:$D,[2]COMPLETED!$O:$O,"Not Found")</f>
        <v>Not Found</v>
      </c>
      <c r="W433" s="2" t="str">
        <f>_xlfn.XLOOKUP(Table2[[#This Row],[Adjusted Form '#]],[2]BILLED!$D:$D,[2]BILLED!$M:$M,"Not Found")</f>
        <v>1Z5063E0YW41285504</v>
      </c>
      <c r="X433" s="17" t="e">
        <f>_xlfn.XLOOKUP(Table2[[#This Row],[Adjusted Form '#]],[2]BILLED!$D:$D,[1]BILLED!$O:$O,"Not Found")</f>
        <v>#REF!</v>
      </c>
      <c r="Y433" s="17" t="e">
        <f>_xlfn.XLOOKUP(Table2[[#This Row],[Adjusted Form '#]],'[2]REJECTED ORDERS'!$D:$D,'[2]REJECTED ORDERS'!$E:$E)</f>
        <v>#N/A</v>
      </c>
      <c r="Z433" s="1"/>
      <c r="AA433" s="1"/>
      <c r="AB433" s="8"/>
      <c r="AC433" s="8"/>
      <c r="AD433" s="8"/>
      <c r="AE433" s="8"/>
      <c r="AF433" s="8"/>
      <c r="AG433" s="8"/>
      <c r="AH433" s="8"/>
      <c r="AI433" s="8"/>
      <c r="AJ433" s="8"/>
    </row>
    <row r="434" spans="1:36" ht="15" customHeight="1" x14ac:dyDescent="0.35">
      <c r="A434" s="4" t="s">
        <v>636</v>
      </c>
      <c r="B434" s="1" t="s">
        <v>2114</v>
      </c>
      <c r="C434" s="11">
        <v>44985</v>
      </c>
      <c r="D434" s="11" t="s">
        <v>4552</v>
      </c>
      <c r="E434" s="1" t="s">
        <v>21</v>
      </c>
      <c r="F434" s="1" t="s">
        <v>4553</v>
      </c>
      <c r="G434" s="6">
        <f>COUNTIF(F:F,Table2[[#This Row],[Form '#]])</f>
        <v>2</v>
      </c>
      <c r="H434" s="1" t="s">
        <v>4554</v>
      </c>
      <c r="I434" s="1" t="s">
        <v>3852</v>
      </c>
      <c r="J434" s="1" t="s">
        <v>75</v>
      </c>
      <c r="K434" s="1" t="s">
        <v>3853</v>
      </c>
      <c r="L434" s="1"/>
      <c r="M434" s="6" t="str">
        <f>IF(Table2[[#This Row],[Corrected Form '#
 (If Duplicated)]]="",Table2[[#This Row],[Form '#]],Table2[[#This Row],[Corrected Form '#
 (If Duplicated)]])</f>
        <v>7818-25172</v>
      </c>
      <c r="N434" s="1" t="s">
        <v>49</v>
      </c>
      <c r="O434" s="6" t="str">
        <f>IF(Table2[[#This Row],[POG CONFIRMATION RECEIPT OF ORDER
(DATE &amp; TIME)]]="","No Confirmation","Received Confirmation")</f>
        <v>Received Confirmation</v>
      </c>
      <c r="P434" s="6">
        <f ca="1">TODAY()-Table2[[#This Row],[DATE SENT TO POG]]</f>
        <v>318</v>
      </c>
      <c r="Q434" s="6" t="s">
        <v>5803</v>
      </c>
      <c r="R4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4" s="2" t="str">
        <f>_xlfn.XLOOKUP(Table2[[#This Row],[Adjusted Form '#]],'[2]IN PROGRESS'!$D:$D,'[2]IN PROGRESS'!$M:$M,"Not Found")</f>
        <v>Not Found</v>
      </c>
      <c r="U434" s="2" t="str">
        <f>_xlfn.XLOOKUP(Table2[[#This Row],[Adjusted Form '#]],[1]COMPLETED!$D:$D,[2]COMPLETED!$M:$M,"Not Found")</f>
        <v>Not Found</v>
      </c>
      <c r="V434" s="17" t="str">
        <f>_xlfn.XLOOKUP(Table2[[#This Row],[Adjusted Form '#]],[2]COMPLETED!$D:$D,[2]COMPLETED!$O:$O,"Not Found")</f>
        <v>Not Found</v>
      </c>
      <c r="W434" s="2" t="str">
        <f>_xlfn.XLOOKUP(Table2[[#This Row],[Adjusted Form '#]],[2]BILLED!$D:$D,[2]BILLED!$M:$M,"Not Found")</f>
        <v>1Z5063E0YW41424229</v>
      </c>
      <c r="X434" s="17" t="e">
        <f>_xlfn.XLOOKUP(Table2[[#This Row],[Adjusted Form '#]],[2]BILLED!$D:$D,[1]BILLED!$O:$O,"Not Found")</f>
        <v>#REF!</v>
      </c>
      <c r="Y434" s="17" t="str">
        <f>_xlfn.XLOOKUP(Table2[[#This Row],[Adjusted Form '#]],'[2]REJECTED ORDERS'!$D:$D,'[2]REJECTED ORDERS'!$E:$E)</f>
        <v>FORM NOT SIGNED</v>
      </c>
      <c r="Z434" s="1"/>
      <c r="AA434" s="1"/>
      <c r="AB434" s="8"/>
      <c r="AC434" s="8"/>
      <c r="AD434" s="8"/>
      <c r="AE434" s="8"/>
      <c r="AF434" s="8"/>
      <c r="AG434" s="8"/>
      <c r="AH434" s="8"/>
      <c r="AI434" s="8"/>
      <c r="AJ434" s="8"/>
    </row>
    <row r="435" spans="1:36" ht="15" customHeight="1" x14ac:dyDescent="0.35">
      <c r="A435" s="4" t="s">
        <v>638</v>
      </c>
      <c r="B435" s="1" t="s">
        <v>2114</v>
      </c>
      <c r="C435" s="11">
        <v>44985</v>
      </c>
      <c r="D435" s="11" t="s">
        <v>4552</v>
      </c>
      <c r="E435" s="1" t="s">
        <v>21</v>
      </c>
      <c r="F435" s="1" t="s">
        <v>4555</v>
      </c>
      <c r="G435" s="6">
        <f>COUNTIF(F:F,Table2[[#This Row],[Form '#]])</f>
        <v>1</v>
      </c>
      <c r="H435" s="1" t="s">
        <v>4556</v>
      </c>
      <c r="I435" s="1" t="s">
        <v>3852</v>
      </c>
      <c r="J435" s="1" t="s">
        <v>80</v>
      </c>
      <c r="K435" s="1" t="s">
        <v>3853</v>
      </c>
      <c r="L435" s="1"/>
      <c r="M435" s="6" t="str">
        <f>IF(Table2[[#This Row],[Corrected Form '#
 (If Duplicated)]]="",Table2[[#This Row],[Form '#]],Table2[[#This Row],[Corrected Form '#
 (If Duplicated)]])</f>
        <v>7818-18747</v>
      </c>
      <c r="N435" s="1" t="s">
        <v>49</v>
      </c>
      <c r="O435" s="6" t="str">
        <f>IF(Table2[[#This Row],[POG CONFIRMATION RECEIPT OF ORDER
(DATE &amp; TIME)]]="","No Confirmation","Received Confirmation")</f>
        <v>Received Confirmation</v>
      </c>
      <c r="P435" s="6">
        <f ca="1">TODAY()-Table2[[#This Row],[DATE SENT TO POG]]</f>
        <v>318</v>
      </c>
      <c r="Q435" s="6" t="s">
        <v>5803</v>
      </c>
      <c r="R4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3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35" s="2" t="str">
        <f>_xlfn.XLOOKUP(Table2[[#This Row],[Adjusted Form '#]],'[2]IN PROGRESS'!$D:$D,'[2]IN PROGRESS'!$M:$M,"Not Found")</f>
        <v>Not Found</v>
      </c>
      <c r="U435" s="2" t="str">
        <f>_xlfn.XLOOKUP(Table2[[#This Row],[Adjusted Form '#]],[1]COMPLETED!$D:$D,[2]COMPLETED!$M:$M,"Not Found")</f>
        <v>Not Found</v>
      </c>
      <c r="V435" s="17">
        <f>_xlfn.XLOOKUP(Table2[[#This Row],[Adjusted Form '#]],[2]COMPLETED!$D:$D,[2]COMPLETED!$O:$O,"Not Found")</f>
        <v>0</v>
      </c>
      <c r="W435" s="2" t="str">
        <f>_xlfn.XLOOKUP(Table2[[#This Row],[Adjusted Form '#]],[2]BILLED!$D:$D,[2]BILLED!$M:$M,"Not Found")</f>
        <v>Not Found</v>
      </c>
      <c r="X435" s="17" t="str">
        <f>_xlfn.XLOOKUP(Table2[[#This Row],[Adjusted Form '#]],[2]BILLED!$D:$D,[1]BILLED!$O:$O,"Not Found")</f>
        <v>Not Found</v>
      </c>
      <c r="Y435" s="17" t="str">
        <f>_xlfn.XLOOKUP(Table2[[#This Row],[Adjusted Form '#]],'[2]REJECTED ORDERS'!$D:$D,'[2]REJECTED ORDERS'!$E:$E)</f>
        <v>FORM NOT SIGNED</v>
      </c>
      <c r="Z435" s="1"/>
      <c r="AA435" s="1"/>
      <c r="AB435" s="8"/>
      <c r="AC435" s="8"/>
      <c r="AD435" s="8"/>
      <c r="AE435" s="8"/>
      <c r="AF435" s="8"/>
      <c r="AG435" s="8"/>
      <c r="AH435" s="8"/>
      <c r="AI435" s="8"/>
      <c r="AJ435" s="8"/>
    </row>
    <row r="436" spans="1:36" ht="15" customHeight="1" x14ac:dyDescent="0.35">
      <c r="A436" s="4" t="s">
        <v>640</v>
      </c>
      <c r="B436" s="1" t="s">
        <v>2114</v>
      </c>
      <c r="C436" s="11">
        <v>44985</v>
      </c>
      <c r="D436" s="11" t="s">
        <v>4552</v>
      </c>
      <c r="E436" s="1" t="s">
        <v>21</v>
      </c>
      <c r="F436" s="1" t="s">
        <v>4557</v>
      </c>
      <c r="G436" s="6">
        <f>COUNTIF(F:F,Table2[[#This Row],[Form '#]])</f>
        <v>1</v>
      </c>
      <c r="H436" s="1" t="s">
        <v>3196</v>
      </c>
      <c r="I436" s="1" t="s">
        <v>3852</v>
      </c>
      <c r="J436" s="1" t="s">
        <v>80</v>
      </c>
      <c r="K436" s="1" t="s">
        <v>3853</v>
      </c>
      <c r="L436" s="1"/>
      <c r="M436" s="6" t="str">
        <f>IF(Table2[[#This Row],[Corrected Form '#
 (If Duplicated)]]="",Table2[[#This Row],[Form '#]],Table2[[#This Row],[Corrected Form '#
 (If Duplicated)]])</f>
        <v>7818-27182</v>
      </c>
      <c r="N436" s="1" t="s">
        <v>49</v>
      </c>
      <c r="O436" s="6" t="str">
        <f>IF(Table2[[#This Row],[POG CONFIRMATION RECEIPT OF ORDER
(DATE &amp; TIME)]]="","No Confirmation","Received Confirmation")</f>
        <v>Received Confirmation</v>
      </c>
      <c r="P436" s="6">
        <f ca="1">TODAY()-Table2[[#This Row],[DATE SENT TO POG]]</f>
        <v>318</v>
      </c>
      <c r="Q436" s="6" t="s">
        <v>5803</v>
      </c>
      <c r="R4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3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36" s="2" t="str">
        <f>_xlfn.XLOOKUP(Table2[[#This Row],[Adjusted Form '#]],'[2]IN PROGRESS'!$D:$D,'[2]IN PROGRESS'!$M:$M,"Not Found")</f>
        <v>Not Found</v>
      </c>
      <c r="U436" s="2" t="str">
        <f>_xlfn.XLOOKUP(Table2[[#This Row],[Adjusted Form '#]],[1]COMPLETED!$D:$D,[2]COMPLETED!$M:$M,"Not Found")</f>
        <v>Not Found</v>
      </c>
      <c r="V436" s="17">
        <f>_xlfn.XLOOKUP(Table2[[#This Row],[Adjusted Form '#]],[2]COMPLETED!$D:$D,[2]COMPLETED!$O:$O,"Not Found")</f>
        <v>0</v>
      </c>
      <c r="W436" s="2" t="str">
        <f>_xlfn.XLOOKUP(Table2[[#This Row],[Adjusted Form '#]],[2]BILLED!$D:$D,[2]BILLED!$M:$M,"Not Found")</f>
        <v>Not Found</v>
      </c>
      <c r="X436" s="17" t="str">
        <f>_xlfn.XLOOKUP(Table2[[#This Row],[Adjusted Form '#]],[2]BILLED!$D:$D,[1]BILLED!$O:$O,"Not Found")</f>
        <v>Not Found</v>
      </c>
      <c r="Y436" s="17" t="e">
        <f>_xlfn.XLOOKUP(Table2[[#This Row],[Adjusted Form '#]],'[2]REJECTED ORDERS'!$D:$D,'[2]REJECTED ORDERS'!$E:$E)</f>
        <v>#N/A</v>
      </c>
      <c r="Z436" s="1"/>
      <c r="AA436" s="1"/>
      <c r="AB436" s="8"/>
      <c r="AC436" s="8"/>
      <c r="AD436" s="8"/>
      <c r="AE436" s="8"/>
      <c r="AF436" s="8"/>
      <c r="AG436" s="8"/>
      <c r="AH436" s="8"/>
      <c r="AI436" s="8"/>
      <c r="AJ436" s="8"/>
    </row>
    <row r="437" spans="1:36" ht="15" customHeight="1" x14ac:dyDescent="0.35">
      <c r="A437" s="4" t="s">
        <v>642</v>
      </c>
      <c r="B437" s="1" t="s">
        <v>254</v>
      </c>
      <c r="C437" s="11">
        <v>44985</v>
      </c>
      <c r="D437" s="11" t="s">
        <v>4558</v>
      </c>
      <c r="E437" s="1" t="s">
        <v>21</v>
      </c>
      <c r="F437" s="1" t="s">
        <v>4559</v>
      </c>
      <c r="G437" s="6">
        <f>COUNTIF(F:F,Table2[[#This Row],[Form '#]])</f>
        <v>1</v>
      </c>
      <c r="H437" s="1" t="s">
        <v>4560</v>
      </c>
      <c r="I437" s="1" t="s">
        <v>127</v>
      </c>
      <c r="J437" s="1" t="s">
        <v>76</v>
      </c>
      <c r="K437" s="1" t="s">
        <v>4163</v>
      </c>
      <c r="L437" s="1"/>
      <c r="M437" s="6" t="str">
        <f>IF(Table2[[#This Row],[Corrected Form '#
 (If Duplicated)]]="",Table2[[#This Row],[Form '#]],Table2[[#This Row],[Corrected Form '#
 (If Duplicated)]])</f>
        <v>7818-17833</v>
      </c>
      <c r="N437" s="1" t="s">
        <v>49</v>
      </c>
      <c r="O437" s="6" t="str">
        <f>IF(Table2[[#This Row],[POG CONFIRMATION RECEIPT OF ORDER
(DATE &amp; TIME)]]="","No Confirmation","Received Confirmation")</f>
        <v>Received Confirmation</v>
      </c>
      <c r="P437" s="6">
        <f ca="1">TODAY()-Table2[[#This Row],[DATE SENT TO POG]]</f>
        <v>318</v>
      </c>
      <c r="Q437" s="6" t="s">
        <v>5803</v>
      </c>
      <c r="R4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7" s="2" t="str">
        <f>_xlfn.XLOOKUP(Table2[[#This Row],[Adjusted Form '#]],'[2]IN PROGRESS'!$D:$D,'[2]IN PROGRESS'!$M:$M,"Not Found")</f>
        <v>Not Found</v>
      </c>
      <c r="U437" s="2" t="str">
        <f>_xlfn.XLOOKUP(Table2[[#This Row],[Adjusted Form '#]],[1]COMPLETED!$D:$D,[2]COMPLETED!$M:$M,"Not Found")</f>
        <v>Not Found</v>
      </c>
      <c r="V437" s="17" t="str">
        <f>_xlfn.XLOOKUP(Table2[[#This Row],[Adjusted Form '#]],[2]COMPLETED!$D:$D,[2]COMPLETED!$O:$O,"Not Found")</f>
        <v>Not Found</v>
      </c>
      <c r="W437" s="2" t="str">
        <f>_xlfn.XLOOKUP(Table2[[#This Row],[Adjusted Form '#]],[2]BILLED!$D:$D,[2]BILLED!$M:$M,"Not Found")</f>
        <v>1Z5063E0YW40681766</v>
      </c>
      <c r="X437" s="17" t="e">
        <f>_xlfn.XLOOKUP(Table2[[#This Row],[Adjusted Form '#]],[2]BILLED!$D:$D,[1]BILLED!$O:$O,"Not Found")</f>
        <v>#REF!</v>
      </c>
      <c r="Y437" s="17" t="e">
        <f>_xlfn.XLOOKUP(Table2[[#This Row],[Adjusted Form '#]],'[2]REJECTED ORDERS'!$D:$D,'[2]REJECTED ORDERS'!$E:$E)</f>
        <v>#N/A</v>
      </c>
      <c r="Z437" s="1"/>
      <c r="AA437" s="1"/>
      <c r="AB437" s="8"/>
      <c r="AC437" s="8"/>
      <c r="AD437" s="8"/>
      <c r="AE437" s="8"/>
      <c r="AF437" s="8"/>
      <c r="AG437" s="8"/>
      <c r="AH437" s="8"/>
      <c r="AI437" s="8"/>
      <c r="AJ437" s="8"/>
    </row>
    <row r="438" spans="1:36" ht="15" customHeight="1" x14ac:dyDescent="0.35">
      <c r="A438" s="4" t="s">
        <v>644</v>
      </c>
      <c r="B438" s="1" t="s">
        <v>2679</v>
      </c>
      <c r="C438" s="11">
        <v>44985</v>
      </c>
      <c r="D438" s="11" t="s">
        <v>4558</v>
      </c>
      <c r="E438" s="1" t="s">
        <v>21</v>
      </c>
      <c r="F438" s="1" t="s">
        <v>4561</v>
      </c>
      <c r="G438" s="6">
        <f>COUNTIF(F:F,Table2[[#This Row],[Form '#]])</f>
        <v>1</v>
      </c>
      <c r="H438" s="1" t="s">
        <v>329</v>
      </c>
      <c r="I438" s="1" t="s">
        <v>3864</v>
      </c>
      <c r="J438" s="1" t="s">
        <v>78</v>
      </c>
      <c r="K438" s="1" t="s">
        <v>3879</v>
      </c>
      <c r="L438" s="1"/>
      <c r="M438" s="6" t="str">
        <f>IF(Table2[[#This Row],[Corrected Form '#
 (If Duplicated)]]="",Table2[[#This Row],[Form '#]],Table2[[#This Row],[Corrected Form '#
 (If Duplicated)]])</f>
        <v>7818-05532</v>
      </c>
      <c r="N438" s="1" t="s">
        <v>49</v>
      </c>
      <c r="O438" s="6" t="str">
        <f>IF(Table2[[#This Row],[POG CONFIRMATION RECEIPT OF ORDER
(DATE &amp; TIME)]]="","No Confirmation","Received Confirmation")</f>
        <v>Received Confirmation</v>
      </c>
      <c r="P438" s="6">
        <f ca="1">TODAY()-Table2[[#This Row],[DATE SENT TO POG]]</f>
        <v>318</v>
      </c>
      <c r="Q438" s="6" t="s">
        <v>5803</v>
      </c>
      <c r="R4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8" s="2" t="str">
        <f>_xlfn.XLOOKUP(Table2[[#This Row],[Adjusted Form '#]],'[2]IN PROGRESS'!$D:$D,'[2]IN PROGRESS'!$M:$M,"Not Found")</f>
        <v>Not Found</v>
      </c>
      <c r="U438" s="2" t="str">
        <f>_xlfn.XLOOKUP(Table2[[#This Row],[Adjusted Form '#]],[1]COMPLETED!$D:$D,[2]COMPLETED!$M:$M,"Not Found")</f>
        <v>Not Found</v>
      </c>
      <c r="V438" s="17" t="str">
        <f>_xlfn.XLOOKUP(Table2[[#This Row],[Adjusted Form '#]],[2]COMPLETED!$D:$D,[2]COMPLETED!$O:$O,"Not Found")</f>
        <v>Not Found</v>
      </c>
      <c r="W438" s="2" t="str">
        <f>_xlfn.XLOOKUP(Table2[[#This Row],[Adjusted Form '#]],[2]BILLED!$D:$D,[2]BILLED!$M:$M,"Not Found")</f>
        <v>1Z5063E0YW42231373</v>
      </c>
      <c r="X438" s="17" t="e">
        <f>_xlfn.XLOOKUP(Table2[[#This Row],[Adjusted Form '#]],[2]BILLED!$D:$D,[1]BILLED!$O:$O,"Not Found")</f>
        <v>#REF!</v>
      </c>
      <c r="Y438" s="17" t="e">
        <f>_xlfn.XLOOKUP(Table2[[#This Row],[Adjusted Form '#]],'[2]REJECTED ORDERS'!$D:$D,'[2]REJECTED ORDERS'!$E:$E)</f>
        <v>#N/A</v>
      </c>
      <c r="Z438" s="1"/>
      <c r="AA438" s="1"/>
      <c r="AB438" s="8"/>
      <c r="AC438" s="8"/>
      <c r="AD438" s="8"/>
      <c r="AE438" s="8"/>
      <c r="AF438" s="8"/>
      <c r="AG438" s="8"/>
      <c r="AH438" s="8"/>
      <c r="AI438" s="8"/>
      <c r="AJ438" s="8"/>
    </row>
    <row r="439" spans="1:36" ht="15" customHeight="1" x14ac:dyDescent="0.35">
      <c r="A439" s="4" t="s">
        <v>645</v>
      </c>
      <c r="B439" s="1" t="s">
        <v>4562</v>
      </c>
      <c r="C439" s="11">
        <v>44985</v>
      </c>
      <c r="D439" s="11" t="s">
        <v>4558</v>
      </c>
      <c r="E439" s="1" t="s">
        <v>21</v>
      </c>
      <c r="F439" s="1" t="s">
        <v>4563</v>
      </c>
      <c r="G439" s="6">
        <f>COUNTIF(F:F,Table2[[#This Row],[Form '#]])</f>
        <v>1</v>
      </c>
      <c r="H439" s="1" t="s">
        <v>4564</v>
      </c>
      <c r="I439" s="1" t="s">
        <v>3852</v>
      </c>
      <c r="J439" s="1" t="s">
        <v>75</v>
      </c>
      <c r="K439" s="1" t="s">
        <v>4011</v>
      </c>
      <c r="L439" s="1"/>
      <c r="M439" s="6" t="str">
        <f>IF(Table2[[#This Row],[Corrected Form '#
 (If Duplicated)]]="",Table2[[#This Row],[Form '#]],Table2[[#This Row],[Corrected Form '#
 (If Duplicated)]])</f>
        <v>7818-18031</v>
      </c>
      <c r="N439" s="1" t="s">
        <v>49</v>
      </c>
      <c r="O439" s="6" t="str">
        <f>IF(Table2[[#This Row],[POG CONFIRMATION RECEIPT OF ORDER
(DATE &amp; TIME)]]="","No Confirmation","Received Confirmation")</f>
        <v>Received Confirmation</v>
      </c>
      <c r="P439" s="6">
        <f ca="1">TODAY()-Table2[[#This Row],[DATE SENT TO POG]]</f>
        <v>318</v>
      </c>
      <c r="Q439" s="6" t="s">
        <v>5803</v>
      </c>
      <c r="R4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39" s="2" t="str">
        <f>_xlfn.XLOOKUP(Table2[[#This Row],[Adjusted Form '#]],'[2]IN PROGRESS'!$D:$D,'[2]IN PROGRESS'!$M:$M,"Not Found")</f>
        <v>Not Found</v>
      </c>
      <c r="U439" s="2" t="str">
        <f>_xlfn.XLOOKUP(Table2[[#This Row],[Adjusted Form '#]],[1]COMPLETED!$D:$D,[2]COMPLETED!$M:$M,"Not Found")</f>
        <v>Not Found</v>
      </c>
      <c r="V439" s="17" t="str">
        <f>_xlfn.XLOOKUP(Table2[[#This Row],[Adjusted Form '#]],[2]COMPLETED!$D:$D,[2]COMPLETED!$O:$O,"Not Found")</f>
        <v>Not Found</v>
      </c>
      <c r="W439" s="2" t="str">
        <f>_xlfn.XLOOKUP(Table2[[#This Row],[Adjusted Form '#]],[2]BILLED!$D:$D,[2]BILLED!$M:$M,"Not Found")</f>
        <v>1Z5063E0YW42520284</v>
      </c>
      <c r="X439" s="17" t="e">
        <f>_xlfn.XLOOKUP(Table2[[#This Row],[Adjusted Form '#]],[2]BILLED!$D:$D,[1]BILLED!$O:$O,"Not Found")</f>
        <v>#REF!</v>
      </c>
      <c r="Y439" s="17" t="e">
        <f>_xlfn.XLOOKUP(Table2[[#This Row],[Adjusted Form '#]],'[2]REJECTED ORDERS'!$D:$D,'[2]REJECTED ORDERS'!$E:$E)</f>
        <v>#N/A</v>
      </c>
      <c r="Z439" s="1"/>
      <c r="AA439" s="1"/>
      <c r="AB439" s="8"/>
      <c r="AC439" s="8"/>
      <c r="AD439" s="8"/>
      <c r="AE439" s="8"/>
      <c r="AF439" s="8"/>
      <c r="AG439" s="8"/>
      <c r="AH439" s="8"/>
      <c r="AI439" s="8"/>
      <c r="AJ439" s="8"/>
    </row>
    <row r="440" spans="1:36" ht="15" customHeight="1" x14ac:dyDescent="0.35">
      <c r="A440" s="4" t="s">
        <v>647</v>
      </c>
      <c r="B440" s="1" t="s">
        <v>4565</v>
      </c>
      <c r="C440" s="11">
        <v>44986</v>
      </c>
      <c r="D440" s="11" t="s">
        <v>4566</v>
      </c>
      <c r="E440" s="1" t="s">
        <v>21</v>
      </c>
      <c r="F440" s="1" t="s">
        <v>4567</v>
      </c>
      <c r="G440" s="6">
        <f>COUNTIF(F:F,Table2[[#This Row],[Form '#]])</f>
        <v>1</v>
      </c>
      <c r="H440" s="1" t="s">
        <v>4568</v>
      </c>
      <c r="I440" s="1" t="s">
        <v>127</v>
      </c>
      <c r="J440" s="1" t="s">
        <v>76</v>
      </c>
      <c r="K440" s="1" t="s">
        <v>4011</v>
      </c>
      <c r="L440" s="1"/>
      <c r="M440" s="6" t="str">
        <f>IF(Table2[[#This Row],[Corrected Form '#
 (If Duplicated)]]="",Table2[[#This Row],[Form '#]],Table2[[#This Row],[Corrected Form '#
 (If Duplicated)]])</f>
        <v>7818-10390</v>
      </c>
      <c r="N440" s="1" t="s">
        <v>49</v>
      </c>
      <c r="O440" s="6" t="str">
        <f>IF(Table2[[#This Row],[POG CONFIRMATION RECEIPT OF ORDER
(DATE &amp; TIME)]]="","No Confirmation","Received Confirmation")</f>
        <v>Received Confirmation</v>
      </c>
      <c r="P440" s="6">
        <f ca="1">TODAY()-Table2[[#This Row],[DATE SENT TO POG]]</f>
        <v>317</v>
      </c>
      <c r="Q440" s="6" t="s">
        <v>5802</v>
      </c>
      <c r="R4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4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40" s="2" t="str">
        <f>_xlfn.XLOOKUP(Table2[[#This Row],[Adjusted Form '#]],'[2]IN PROGRESS'!$D:$D,'[2]IN PROGRESS'!$M:$M,"Not Found")</f>
        <v>Not Found</v>
      </c>
      <c r="U440" s="2" t="str">
        <f>_xlfn.XLOOKUP(Table2[[#This Row],[Adjusted Form '#]],[1]COMPLETED!$D:$D,[2]COMPLETED!$M:$M,"Not Found")</f>
        <v>Not Found</v>
      </c>
      <c r="V440" s="17" t="str">
        <f>_xlfn.XLOOKUP(Table2[[#This Row],[Adjusted Form '#]],[2]COMPLETED!$D:$D,[2]COMPLETED!$O:$O,"Not Found")</f>
        <v>Not Found</v>
      </c>
      <c r="W440" s="2" t="str">
        <f>_xlfn.XLOOKUP(Table2[[#This Row],[Adjusted Form '#]],[2]BILLED!$D:$D,[2]BILLED!$M:$M,"Not Found")</f>
        <v>Not Found</v>
      </c>
      <c r="X440" s="17" t="str">
        <f>_xlfn.XLOOKUP(Table2[[#This Row],[Adjusted Form '#]],[2]BILLED!$D:$D,[1]BILLED!$O:$O,"Not Found")</f>
        <v>Not Found</v>
      </c>
      <c r="Y440" s="17" t="e">
        <f>_xlfn.XLOOKUP(Table2[[#This Row],[Adjusted Form '#]],'[2]REJECTED ORDERS'!$D:$D,'[2]REJECTED ORDERS'!$E:$E)</f>
        <v>#N/A</v>
      </c>
      <c r="Z440" s="1"/>
      <c r="AA440" s="1"/>
      <c r="AB440" s="8"/>
      <c r="AC440" s="8"/>
      <c r="AD440" s="8"/>
      <c r="AE440" s="8"/>
      <c r="AF440" s="8"/>
      <c r="AG440" s="8"/>
      <c r="AH440" s="8"/>
      <c r="AI440" s="8"/>
      <c r="AJ440" s="8"/>
    </row>
    <row r="441" spans="1:36" ht="15" customHeight="1" x14ac:dyDescent="0.35">
      <c r="A441" s="4" t="s">
        <v>649</v>
      </c>
      <c r="B441" s="1" t="s">
        <v>4565</v>
      </c>
      <c r="C441" s="11">
        <v>44986</v>
      </c>
      <c r="D441" s="11" t="s">
        <v>4566</v>
      </c>
      <c r="E441" s="1" t="s">
        <v>21</v>
      </c>
      <c r="F441" s="1" t="s">
        <v>4569</v>
      </c>
      <c r="G441" s="6">
        <f>COUNTIF(F:F,Table2[[#This Row],[Form '#]])</f>
        <v>1</v>
      </c>
      <c r="H441" s="1" t="s">
        <v>781</v>
      </c>
      <c r="I441" s="1" t="s">
        <v>3864</v>
      </c>
      <c r="J441" s="1" t="s">
        <v>3891</v>
      </c>
      <c r="K441" s="1" t="s">
        <v>3879</v>
      </c>
      <c r="L441" s="1"/>
      <c r="M441" s="6" t="str">
        <f>IF(Table2[[#This Row],[Corrected Form '#
 (If Duplicated)]]="",Table2[[#This Row],[Form '#]],Table2[[#This Row],[Corrected Form '#
 (If Duplicated)]])</f>
        <v>7818-23452</v>
      </c>
      <c r="N441" s="1" t="s">
        <v>49</v>
      </c>
      <c r="O441" s="6" t="str">
        <f>IF(Table2[[#This Row],[POG CONFIRMATION RECEIPT OF ORDER
(DATE &amp; TIME)]]="","No Confirmation","Received Confirmation")</f>
        <v>Received Confirmation</v>
      </c>
      <c r="P441" s="6">
        <f ca="1">TODAY()-Table2[[#This Row],[DATE SENT TO POG]]</f>
        <v>317</v>
      </c>
      <c r="Q441" s="6" t="s">
        <v>5803</v>
      </c>
      <c r="R4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41" s="2" t="str">
        <f>_xlfn.XLOOKUP(Table2[[#This Row],[Adjusted Form '#]],'[2]IN PROGRESS'!$D:$D,'[2]IN PROGRESS'!$M:$M,"Not Found")</f>
        <v>Not Found</v>
      </c>
      <c r="U441" s="2" t="str">
        <f>_xlfn.XLOOKUP(Table2[[#This Row],[Adjusted Form '#]],[1]COMPLETED!$D:$D,[2]COMPLETED!$M:$M,"Not Found")</f>
        <v>Not Found</v>
      </c>
      <c r="V441" s="17" t="str">
        <f>_xlfn.XLOOKUP(Table2[[#This Row],[Adjusted Form '#]],[2]COMPLETED!$D:$D,[2]COMPLETED!$O:$O,"Not Found")</f>
        <v>Not Found</v>
      </c>
      <c r="W441" s="2" t="str">
        <f>_xlfn.XLOOKUP(Table2[[#This Row],[Adjusted Form '#]],[2]BILLED!$D:$D,[2]BILLED!$M:$M,"Not Found")</f>
        <v>1Z5063E0YW42859553</v>
      </c>
      <c r="X441" s="17" t="e">
        <f>_xlfn.XLOOKUP(Table2[[#This Row],[Adjusted Form '#]],[2]BILLED!$D:$D,[1]BILLED!$O:$O,"Not Found")</f>
        <v>#REF!</v>
      </c>
      <c r="Y441" s="17" t="e">
        <f>_xlfn.XLOOKUP(Table2[[#This Row],[Adjusted Form '#]],'[2]REJECTED ORDERS'!$D:$D,'[2]REJECTED ORDERS'!$E:$E)</f>
        <v>#N/A</v>
      </c>
      <c r="Z441" s="1"/>
      <c r="AA441" s="1"/>
      <c r="AB441" s="8"/>
      <c r="AC441" s="8"/>
      <c r="AD441" s="8"/>
      <c r="AE441" s="8"/>
      <c r="AF441" s="8"/>
      <c r="AG441" s="8"/>
      <c r="AH441" s="8"/>
      <c r="AI441" s="8"/>
      <c r="AJ441" s="8"/>
    </row>
    <row r="442" spans="1:36" ht="15" customHeight="1" x14ac:dyDescent="0.35">
      <c r="A442" s="4" t="s">
        <v>652</v>
      </c>
      <c r="B442" s="1" t="s">
        <v>354</v>
      </c>
      <c r="C442" s="11">
        <v>44986</v>
      </c>
      <c r="D442" s="11" t="s">
        <v>4570</v>
      </c>
      <c r="E442" s="1" t="s">
        <v>21</v>
      </c>
      <c r="F442" s="1" t="s">
        <v>4571</v>
      </c>
      <c r="G442" s="6">
        <f>COUNTIF(F:F,Table2[[#This Row],[Form '#]])</f>
        <v>1</v>
      </c>
      <c r="H442" s="1" t="s">
        <v>4572</v>
      </c>
      <c r="I442" s="1" t="s">
        <v>3864</v>
      </c>
      <c r="J442" s="1" t="s">
        <v>78</v>
      </c>
      <c r="K442" s="1" t="s">
        <v>3879</v>
      </c>
      <c r="L442" s="1"/>
      <c r="M442" s="6" t="str">
        <f>IF(Table2[[#This Row],[Corrected Form '#
 (If Duplicated)]]="",Table2[[#This Row],[Form '#]],Table2[[#This Row],[Corrected Form '#
 (If Duplicated)]])</f>
        <v>7818-12696</v>
      </c>
      <c r="N442" s="1" t="s">
        <v>49</v>
      </c>
      <c r="O442" s="6" t="str">
        <f>IF(Table2[[#This Row],[POG CONFIRMATION RECEIPT OF ORDER
(DATE &amp; TIME)]]="","No Confirmation","Received Confirmation")</f>
        <v>Received Confirmation</v>
      </c>
      <c r="P442" s="6">
        <f ca="1">TODAY()-Table2[[#This Row],[DATE SENT TO POG]]</f>
        <v>317</v>
      </c>
      <c r="Q442" s="6" t="s">
        <v>5803</v>
      </c>
      <c r="R4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42" s="2" t="str">
        <f>_xlfn.XLOOKUP(Table2[[#This Row],[Adjusted Form '#]],'[2]IN PROGRESS'!$D:$D,'[2]IN PROGRESS'!$M:$M,"Not Found")</f>
        <v>Not Found</v>
      </c>
      <c r="U442" s="2" t="str">
        <f>_xlfn.XLOOKUP(Table2[[#This Row],[Adjusted Form '#]],[1]COMPLETED!$D:$D,[2]COMPLETED!$M:$M,"Not Found")</f>
        <v>Not Found</v>
      </c>
      <c r="V442" s="17" t="str">
        <f>_xlfn.XLOOKUP(Table2[[#This Row],[Adjusted Form '#]],[2]COMPLETED!$D:$D,[2]COMPLETED!$O:$O,"Not Found")</f>
        <v>Not Found</v>
      </c>
      <c r="W442" s="2" t="str">
        <f>_xlfn.XLOOKUP(Table2[[#This Row],[Adjusted Form '#]],[2]BILLED!$D:$D,[2]BILLED!$M:$M,"Not Found")</f>
        <v>1Z5063E0YW41508362</v>
      </c>
      <c r="X442" s="17" t="e">
        <f>_xlfn.XLOOKUP(Table2[[#This Row],[Adjusted Form '#]],[2]BILLED!$D:$D,[1]BILLED!$O:$O,"Not Found")</f>
        <v>#REF!</v>
      </c>
      <c r="Y442" s="17" t="e">
        <f>_xlfn.XLOOKUP(Table2[[#This Row],[Adjusted Form '#]],'[2]REJECTED ORDERS'!$D:$D,'[2]REJECTED ORDERS'!$E:$E)</f>
        <v>#N/A</v>
      </c>
      <c r="Z442" s="1"/>
      <c r="AA442" s="1"/>
      <c r="AB442" s="8"/>
      <c r="AC442" s="8"/>
      <c r="AD442" s="8"/>
      <c r="AE442" s="8"/>
      <c r="AF442" s="8"/>
      <c r="AG442" s="8"/>
      <c r="AH442" s="8"/>
      <c r="AI442" s="8"/>
      <c r="AJ442" s="8"/>
    </row>
    <row r="443" spans="1:36" ht="15" customHeight="1" x14ac:dyDescent="0.35">
      <c r="A443" s="4" t="s">
        <v>655</v>
      </c>
      <c r="B443" s="1" t="s">
        <v>774</v>
      </c>
      <c r="C443" s="11">
        <v>44986</v>
      </c>
      <c r="D443" s="11" t="s">
        <v>4570</v>
      </c>
      <c r="E443" s="1" t="s">
        <v>21</v>
      </c>
      <c r="F443" s="1" t="s">
        <v>4573</v>
      </c>
      <c r="G443" s="6">
        <f>COUNTIF(F:F,Table2[[#This Row],[Form '#]])</f>
        <v>1</v>
      </c>
      <c r="H443" s="1" t="s">
        <v>4574</v>
      </c>
      <c r="I443" s="1" t="s">
        <v>3852</v>
      </c>
      <c r="J443" s="1" t="s">
        <v>80</v>
      </c>
      <c r="K443" s="1" t="s">
        <v>4011</v>
      </c>
      <c r="L443" s="1"/>
      <c r="M443" s="6" t="str">
        <f>IF(Table2[[#This Row],[Corrected Form '#
 (If Duplicated)]]="",Table2[[#This Row],[Form '#]],Table2[[#This Row],[Corrected Form '#
 (If Duplicated)]])</f>
        <v>7818-19876</v>
      </c>
      <c r="N443" s="1" t="s">
        <v>49</v>
      </c>
      <c r="O443" s="6" t="str">
        <f>IF(Table2[[#This Row],[POG CONFIRMATION RECEIPT OF ORDER
(DATE &amp; TIME)]]="","No Confirmation","Received Confirmation")</f>
        <v>Received Confirmation</v>
      </c>
      <c r="P443" s="6">
        <f ca="1">TODAY()-Table2[[#This Row],[DATE SENT TO POG]]</f>
        <v>317</v>
      </c>
      <c r="Q443" s="6" t="s">
        <v>5803</v>
      </c>
      <c r="R4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4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43" s="2" t="str">
        <f>_xlfn.XLOOKUP(Table2[[#This Row],[Adjusted Form '#]],'[2]IN PROGRESS'!$D:$D,'[2]IN PROGRESS'!$M:$M,"Not Found")</f>
        <v>Not Found</v>
      </c>
      <c r="U443" s="2" t="str">
        <f>_xlfn.XLOOKUP(Table2[[#This Row],[Adjusted Form '#]],[1]COMPLETED!$D:$D,[2]COMPLETED!$M:$M,"Not Found")</f>
        <v>Not Found</v>
      </c>
      <c r="V443" s="17">
        <f>_xlfn.XLOOKUP(Table2[[#This Row],[Adjusted Form '#]],[2]COMPLETED!$D:$D,[2]COMPLETED!$O:$O,"Not Found")</f>
        <v>0</v>
      </c>
      <c r="W443" s="2" t="str">
        <f>_xlfn.XLOOKUP(Table2[[#This Row],[Adjusted Form '#]],[2]BILLED!$D:$D,[2]BILLED!$M:$M,"Not Found")</f>
        <v>Not Found</v>
      </c>
      <c r="X443" s="17" t="str">
        <f>_xlfn.XLOOKUP(Table2[[#This Row],[Adjusted Form '#]],[2]BILLED!$D:$D,[1]BILLED!$O:$O,"Not Found")</f>
        <v>Not Found</v>
      </c>
      <c r="Y443" s="17" t="e">
        <f>_xlfn.XLOOKUP(Table2[[#This Row],[Adjusted Form '#]],'[2]REJECTED ORDERS'!$D:$D,'[2]REJECTED ORDERS'!$E:$E)</f>
        <v>#N/A</v>
      </c>
      <c r="Z443" s="1"/>
      <c r="AA443" s="1"/>
      <c r="AB443" s="8"/>
      <c r="AC443" s="8"/>
      <c r="AD443" s="8"/>
      <c r="AE443" s="8"/>
      <c r="AF443" s="8"/>
      <c r="AG443" s="8"/>
      <c r="AH443" s="8"/>
      <c r="AI443" s="8"/>
      <c r="AJ443" s="8"/>
    </row>
    <row r="444" spans="1:36" ht="15" customHeight="1" x14ac:dyDescent="0.35">
      <c r="A444" s="4" t="s">
        <v>657</v>
      </c>
      <c r="B444" s="1" t="s">
        <v>3941</v>
      </c>
      <c r="C444" s="11">
        <v>44987</v>
      </c>
      <c r="D444" s="11" t="s">
        <v>4575</v>
      </c>
      <c r="E444" s="1" t="s">
        <v>14</v>
      </c>
      <c r="F444" s="1" t="s">
        <v>4576</v>
      </c>
      <c r="G444" s="6">
        <f>COUNTIF(F:F,Table2[[#This Row],[Form '#]])</f>
        <v>1</v>
      </c>
      <c r="H444" s="1" t="s">
        <v>3389</v>
      </c>
      <c r="I444" s="1" t="s">
        <v>758</v>
      </c>
      <c r="J444" s="1" t="s">
        <v>3891</v>
      </c>
      <c r="K444" s="1" t="s">
        <v>3853</v>
      </c>
      <c r="L444" s="1"/>
      <c r="M444" s="6" t="str">
        <f>IF(Table2[[#This Row],[Corrected Form '#
 (If Duplicated)]]="",Table2[[#This Row],[Form '#]],Table2[[#This Row],[Corrected Form '#
 (If Duplicated)]])</f>
        <v>7810-01775</v>
      </c>
      <c r="N444" s="1" t="s">
        <v>49</v>
      </c>
      <c r="O444" s="6" t="str">
        <f>IF(Table2[[#This Row],[POG CONFIRMATION RECEIPT OF ORDER
(DATE &amp; TIME)]]="","No Confirmation","Received Confirmation")</f>
        <v>Received Confirmation</v>
      </c>
      <c r="P444" s="6">
        <f ca="1">TODAY()-Table2[[#This Row],[DATE SENT TO POG]]</f>
        <v>316</v>
      </c>
      <c r="Q444" s="6" t="s">
        <v>5803</v>
      </c>
      <c r="R4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4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44" s="2" t="str">
        <f>_xlfn.XLOOKUP(Table2[[#This Row],[Adjusted Form '#]],'[2]IN PROGRESS'!$D:$D,'[2]IN PROGRESS'!$M:$M,"Not Found")</f>
        <v>Not Found</v>
      </c>
      <c r="U444" s="2" t="str">
        <f>_xlfn.XLOOKUP(Table2[[#This Row],[Adjusted Form '#]],[1]COMPLETED!$D:$D,[2]COMPLETED!$M:$M,"Not Found")</f>
        <v>Not Found</v>
      </c>
      <c r="V444" s="17">
        <f>_xlfn.XLOOKUP(Table2[[#This Row],[Adjusted Form '#]],[2]COMPLETED!$D:$D,[2]COMPLETED!$O:$O,"Not Found")</f>
        <v>0</v>
      </c>
      <c r="W444" s="2" t="str">
        <f>_xlfn.XLOOKUP(Table2[[#This Row],[Adjusted Form '#]],[2]BILLED!$D:$D,[2]BILLED!$M:$M,"Not Found")</f>
        <v>Not Found</v>
      </c>
      <c r="X444" s="17" t="str">
        <f>_xlfn.XLOOKUP(Table2[[#This Row],[Adjusted Form '#]],[2]BILLED!$D:$D,[1]BILLED!$O:$O,"Not Found")</f>
        <v>Not Found</v>
      </c>
      <c r="Y444" s="17" t="e">
        <f>_xlfn.XLOOKUP(Table2[[#This Row],[Adjusted Form '#]],'[2]REJECTED ORDERS'!$D:$D,'[2]REJECTED ORDERS'!$E:$E)</f>
        <v>#N/A</v>
      </c>
      <c r="Z444" s="1"/>
      <c r="AA444" s="1"/>
      <c r="AB444" s="8"/>
      <c r="AC444" s="8"/>
      <c r="AD444" s="8"/>
      <c r="AE444" s="8"/>
      <c r="AF444" s="8"/>
      <c r="AG444" s="8"/>
      <c r="AH444" s="8"/>
      <c r="AI444" s="8"/>
      <c r="AJ444" s="8"/>
    </row>
    <row r="445" spans="1:36" ht="15" customHeight="1" x14ac:dyDescent="0.35">
      <c r="A445" s="4" t="s">
        <v>659</v>
      </c>
      <c r="B445" s="1" t="s">
        <v>3941</v>
      </c>
      <c r="C445" s="11">
        <v>44987</v>
      </c>
      <c r="E445" s="1" t="s">
        <v>191</v>
      </c>
      <c r="F445" s="1" t="s">
        <v>4577</v>
      </c>
      <c r="G445" s="6">
        <f>COUNTIF(F:F,Table2[[#This Row],[Form '#]])</f>
        <v>2</v>
      </c>
      <c r="H445" s="1" t="s">
        <v>1364</v>
      </c>
      <c r="I445" s="1" t="s">
        <v>127</v>
      </c>
      <c r="J445" s="1" t="s">
        <v>76</v>
      </c>
      <c r="K445" s="1" t="s">
        <v>4011</v>
      </c>
      <c r="L445" s="1"/>
      <c r="M445" s="6" t="str">
        <f>IF(Table2[[#This Row],[Corrected Form '#
 (If Duplicated)]]="",Table2[[#This Row],[Form '#]],Table2[[#This Row],[Corrected Form '#
 (If Duplicated)]])</f>
        <v>7812-3605</v>
      </c>
      <c r="N445" s="1" t="s">
        <v>49</v>
      </c>
      <c r="O445" s="6" t="str">
        <f>IF(Table2[[#This Row],[POG CONFIRMATION RECEIPT OF ORDER
(DATE &amp; TIME)]]="","No Confirmation","Received Confirmation")</f>
        <v>No Confirmation</v>
      </c>
      <c r="P445" s="6">
        <f ca="1">TODAY()-Table2[[#This Row],[DATE SENT TO POG]]</f>
        <v>316</v>
      </c>
      <c r="Q445" s="6" t="s">
        <v>5803</v>
      </c>
      <c r="R4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45" s="2" t="str">
        <f>_xlfn.XLOOKUP(Table2[[#This Row],[Adjusted Form '#]],'[2]IN PROGRESS'!$D:$D,'[2]IN PROGRESS'!$M:$M,"Not Found")</f>
        <v>Not Found</v>
      </c>
      <c r="U445" s="2" t="str">
        <f>_xlfn.XLOOKUP(Table2[[#This Row],[Adjusted Form '#]],[1]COMPLETED!$D:$D,[2]COMPLETED!$M:$M,"Not Found")</f>
        <v>Not Found</v>
      </c>
      <c r="V445" s="17" t="str">
        <f>_xlfn.XLOOKUP(Table2[[#This Row],[Adjusted Form '#]],[2]COMPLETED!$D:$D,[2]COMPLETED!$O:$O,"Not Found")</f>
        <v>Not Found</v>
      </c>
      <c r="W445" s="2" t="str">
        <f>_xlfn.XLOOKUP(Table2[[#This Row],[Adjusted Form '#]],[2]BILLED!$D:$D,[2]BILLED!$M:$M,"Not Found")</f>
        <v>1Z5063E0YW40824398</v>
      </c>
      <c r="X445" s="17" t="e">
        <f>_xlfn.XLOOKUP(Table2[[#This Row],[Adjusted Form '#]],[2]BILLED!$D:$D,[1]BILLED!$O:$O,"Not Found")</f>
        <v>#REF!</v>
      </c>
      <c r="Y445" s="17" t="e">
        <f>_xlfn.XLOOKUP(Table2[[#This Row],[Adjusted Form '#]],'[2]REJECTED ORDERS'!$D:$D,'[2]REJECTED ORDERS'!$E:$E)</f>
        <v>#N/A</v>
      </c>
      <c r="Z445" s="1"/>
      <c r="AA445" s="1"/>
      <c r="AB445" s="8"/>
      <c r="AC445" s="8"/>
      <c r="AD445" s="8"/>
      <c r="AE445" s="8"/>
      <c r="AF445" s="8"/>
      <c r="AG445" s="8"/>
      <c r="AH445" s="8"/>
      <c r="AI445" s="8"/>
      <c r="AJ445" s="8"/>
    </row>
    <row r="446" spans="1:36" ht="15" customHeight="1" x14ac:dyDescent="0.35">
      <c r="A446" s="4" t="s">
        <v>662</v>
      </c>
      <c r="B446" s="1" t="s">
        <v>3941</v>
      </c>
      <c r="C446" s="11">
        <v>44987</v>
      </c>
      <c r="E446" s="1" t="s">
        <v>191</v>
      </c>
      <c r="F446" s="1" t="s">
        <v>4578</v>
      </c>
      <c r="G446" s="6">
        <f>COUNTIF(F:F,Table2[[#This Row],[Form '#]])</f>
        <v>1</v>
      </c>
      <c r="H446" s="1" t="s">
        <v>2551</v>
      </c>
      <c r="I446" s="1" t="s">
        <v>3864</v>
      </c>
      <c r="J446" s="1" t="s">
        <v>78</v>
      </c>
      <c r="K446" s="1" t="s">
        <v>3879</v>
      </c>
      <c r="L446" s="1"/>
      <c r="M446" s="6" t="str">
        <f>IF(Table2[[#This Row],[Corrected Form '#
 (If Duplicated)]]="",Table2[[#This Row],[Form '#]],Table2[[#This Row],[Corrected Form '#
 (If Duplicated)]])</f>
        <v>7812-3779</v>
      </c>
      <c r="N446" s="1" t="s">
        <v>49</v>
      </c>
      <c r="O446" s="6" t="str">
        <f>IF(Table2[[#This Row],[POG CONFIRMATION RECEIPT OF ORDER
(DATE &amp; TIME)]]="","No Confirmation","Received Confirmation")</f>
        <v>No Confirmation</v>
      </c>
      <c r="P446" s="6">
        <f ca="1">TODAY()-Table2[[#This Row],[DATE SENT TO POG]]</f>
        <v>316</v>
      </c>
      <c r="Q446" s="6" t="s">
        <v>5802</v>
      </c>
      <c r="R4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4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46" s="2" t="str">
        <f>_xlfn.XLOOKUP(Table2[[#This Row],[Adjusted Form '#]],'[2]IN PROGRESS'!$D:$D,'[2]IN PROGRESS'!$M:$M,"Not Found")</f>
        <v>Not Found</v>
      </c>
      <c r="U446" s="2" t="str">
        <f>_xlfn.XLOOKUP(Table2[[#This Row],[Adjusted Form '#]],[1]COMPLETED!$D:$D,[2]COMPLETED!$M:$M,"Not Found")</f>
        <v>Not Found</v>
      </c>
      <c r="V446" s="17" t="str">
        <f>_xlfn.XLOOKUP(Table2[[#This Row],[Adjusted Form '#]],[2]COMPLETED!$D:$D,[2]COMPLETED!$O:$O,"Not Found")</f>
        <v>Not Found</v>
      </c>
      <c r="W446" s="2" t="str">
        <f>_xlfn.XLOOKUP(Table2[[#This Row],[Adjusted Form '#]],[2]BILLED!$D:$D,[2]BILLED!$M:$M,"Not Found")</f>
        <v>Not Found</v>
      </c>
      <c r="X446" s="17" t="str">
        <f>_xlfn.XLOOKUP(Table2[[#This Row],[Adjusted Form '#]],[2]BILLED!$D:$D,[1]BILLED!$O:$O,"Not Found")</f>
        <v>Not Found</v>
      </c>
      <c r="Y446" s="17" t="e">
        <f>_xlfn.XLOOKUP(Table2[[#This Row],[Adjusted Form '#]],'[2]REJECTED ORDERS'!$D:$D,'[2]REJECTED ORDERS'!$E:$E)</f>
        <v>#N/A</v>
      </c>
      <c r="Z446" s="1"/>
      <c r="AA446" s="1"/>
      <c r="AB446" s="8"/>
      <c r="AC446" s="8"/>
      <c r="AD446" s="8"/>
      <c r="AE446" s="8"/>
      <c r="AF446" s="8"/>
      <c r="AG446" s="8"/>
      <c r="AH446" s="8"/>
      <c r="AI446" s="8"/>
      <c r="AJ446" s="8"/>
    </row>
    <row r="447" spans="1:36" ht="15" customHeight="1" x14ac:dyDescent="0.35">
      <c r="A447" s="4" t="s">
        <v>664</v>
      </c>
      <c r="B447" s="1" t="s">
        <v>1369</v>
      </c>
      <c r="C447" s="11">
        <v>44987</v>
      </c>
      <c r="D447" s="11" t="s">
        <v>4579</v>
      </c>
      <c r="E447" s="1" t="s">
        <v>73</v>
      </c>
      <c r="F447" s="1" t="s">
        <v>4580</v>
      </c>
      <c r="G447" s="6">
        <f>COUNTIF(F:F,Table2[[#This Row],[Form '#]])</f>
        <v>1</v>
      </c>
      <c r="H447" s="1" t="s">
        <v>4581</v>
      </c>
      <c r="I447" s="1" t="s">
        <v>3864</v>
      </c>
      <c r="J447" s="1" t="s">
        <v>3891</v>
      </c>
      <c r="K447" s="1" t="s">
        <v>3879</v>
      </c>
      <c r="L447" s="1"/>
      <c r="M447" s="6" t="str">
        <f>IF(Table2[[#This Row],[Corrected Form '#
 (If Duplicated)]]="",Table2[[#This Row],[Form '#]],Table2[[#This Row],[Corrected Form '#
 (If Duplicated)]])</f>
        <v>7823-02659</v>
      </c>
      <c r="N447" s="1" t="s">
        <v>49</v>
      </c>
      <c r="O447" s="6" t="str">
        <f>IF(Table2[[#This Row],[POG CONFIRMATION RECEIPT OF ORDER
(DATE &amp; TIME)]]="","No Confirmation","Received Confirmation")</f>
        <v>Received Confirmation</v>
      </c>
      <c r="P447" s="6">
        <f ca="1">TODAY()-Table2[[#This Row],[DATE SENT TO POG]]</f>
        <v>316</v>
      </c>
      <c r="Q447" s="6" t="s">
        <v>5803</v>
      </c>
      <c r="R4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47" s="2" t="str">
        <f>_xlfn.XLOOKUP(Table2[[#This Row],[Adjusted Form '#]],'[2]IN PROGRESS'!$D:$D,'[2]IN PROGRESS'!$M:$M,"Not Found")</f>
        <v>Not Found</v>
      </c>
      <c r="U447" s="2" t="str">
        <f>_xlfn.XLOOKUP(Table2[[#This Row],[Adjusted Form '#]],[1]COMPLETED!$D:$D,[2]COMPLETED!$M:$M,"Not Found")</f>
        <v>Not Found</v>
      </c>
      <c r="V447" s="17" t="str">
        <f>_xlfn.XLOOKUP(Table2[[#This Row],[Adjusted Form '#]],[2]COMPLETED!$D:$D,[2]COMPLETED!$O:$O,"Not Found")</f>
        <v>Not Found</v>
      </c>
      <c r="W447" s="2" t="str">
        <f>_xlfn.XLOOKUP(Table2[[#This Row],[Adjusted Form '#]],[2]BILLED!$D:$D,[2]BILLED!$M:$M,"Not Found")</f>
        <v>1Z5063E0YW40518326</v>
      </c>
      <c r="X447" s="17" t="e">
        <f>_xlfn.XLOOKUP(Table2[[#This Row],[Adjusted Form '#]],[2]BILLED!$D:$D,[1]BILLED!$O:$O,"Not Found")</f>
        <v>#REF!</v>
      </c>
      <c r="Y447" s="17" t="e">
        <f>_xlfn.XLOOKUP(Table2[[#This Row],[Adjusted Form '#]],'[2]REJECTED ORDERS'!$D:$D,'[2]REJECTED ORDERS'!$E:$E)</f>
        <v>#N/A</v>
      </c>
      <c r="Z447" s="1"/>
      <c r="AA447" s="1"/>
      <c r="AB447" s="8"/>
      <c r="AC447" s="8"/>
      <c r="AD447" s="8"/>
      <c r="AE447" s="8"/>
      <c r="AF447" s="8"/>
      <c r="AG447" s="8"/>
      <c r="AH447" s="8"/>
      <c r="AI447" s="8"/>
      <c r="AJ447" s="8"/>
    </row>
    <row r="448" spans="1:36" ht="15" customHeight="1" x14ac:dyDescent="0.35">
      <c r="A448" s="4" t="s">
        <v>666</v>
      </c>
      <c r="B448" s="1" t="s">
        <v>1369</v>
      </c>
      <c r="C448" s="11">
        <v>44987</v>
      </c>
      <c r="E448" s="1" t="s">
        <v>73</v>
      </c>
      <c r="F448" s="1" t="s">
        <v>4582</v>
      </c>
      <c r="G448" s="6">
        <f>COUNTIF(F:F,Table2[[#This Row],[Form '#]])</f>
        <v>1</v>
      </c>
      <c r="H448" s="1" t="s">
        <v>4583</v>
      </c>
      <c r="I448" s="1" t="s">
        <v>3852</v>
      </c>
      <c r="J448" s="1" t="s">
        <v>80</v>
      </c>
      <c r="K448" s="1" t="s">
        <v>4430</v>
      </c>
      <c r="L448" s="1"/>
      <c r="M448" s="6" t="str">
        <f>IF(Table2[[#This Row],[Corrected Form '#
 (If Duplicated)]]="",Table2[[#This Row],[Form '#]],Table2[[#This Row],[Corrected Form '#
 (If Duplicated)]])</f>
        <v>7823-02664</v>
      </c>
      <c r="N448" s="1" t="s">
        <v>49</v>
      </c>
      <c r="O448" s="6" t="str">
        <f>IF(Table2[[#This Row],[POG CONFIRMATION RECEIPT OF ORDER
(DATE &amp; TIME)]]="","No Confirmation","Received Confirmation")</f>
        <v>No Confirmation</v>
      </c>
      <c r="P448" s="6">
        <f ca="1">TODAY()-Table2[[#This Row],[DATE SENT TO POG]]</f>
        <v>316</v>
      </c>
      <c r="Q448" s="6" t="s">
        <v>5802</v>
      </c>
      <c r="R4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4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48" s="2" t="str">
        <f>_xlfn.XLOOKUP(Table2[[#This Row],[Adjusted Form '#]],'[2]IN PROGRESS'!$D:$D,'[2]IN PROGRESS'!$M:$M,"Not Found")</f>
        <v>Not Found</v>
      </c>
      <c r="U448" s="2" t="str">
        <f>_xlfn.XLOOKUP(Table2[[#This Row],[Adjusted Form '#]],[1]COMPLETED!$D:$D,[2]COMPLETED!$M:$M,"Not Found")</f>
        <v>Not Found</v>
      </c>
      <c r="V448" s="17" t="str">
        <f>_xlfn.XLOOKUP(Table2[[#This Row],[Adjusted Form '#]],[2]COMPLETED!$D:$D,[2]COMPLETED!$O:$O,"Not Found")</f>
        <v>Not Found</v>
      </c>
      <c r="W448" s="2" t="str">
        <f>_xlfn.XLOOKUP(Table2[[#This Row],[Adjusted Form '#]],[2]BILLED!$D:$D,[2]BILLED!$M:$M,"Not Found")</f>
        <v>Not Found</v>
      </c>
      <c r="X448" s="17" t="str">
        <f>_xlfn.XLOOKUP(Table2[[#This Row],[Adjusted Form '#]],[2]BILLED!$D:$D,[1]BILLED!$O:$O,"Not Found")</f>
        <v>Not Found</v>
      </c>
      <c r="Y448" s="17" t="e">
        <f>_xlfn.XLOOKUP(Table2[[#This Row],[Adjusted Form '#]],'[2]REJECTED ORDERS'!$D:$D,'[2]REJECTED ORDERS'!$E:$E)</f>
        <v>#N/A</v>
      </c>
      <c r="Z448" s="1"/>
      <c r="AA448" s="1"/>
      <c r="AB448" s="8"/>
      <c r="AC448" s="8"/>
      <c r="AD448" s="8"/>
      <c r="AE448" s="8"/>
      <c r="AF448" s="8"/>
      <c r="AG448" s="8"/>
      <c r="AH448" s="8"/>
      <c r="AI448" s="8"/>
      <c r="AJ448" s="8"/>
    </row>
    <row r="449" spans="1:36" ht="15" customHeight="1" x14ac:dyDescent="0.35">
      <c r="A449" s="4" t="s">
        <v>667</v>
      </c>
      <c r="B449" s="1" t="s">
        <v>2520</v>
      </c>
      <c r="C449" s="11">
        <v>44987</v>
      </c>
      <c r="D449" s="11" t="s">
        <v>4575</v>
      </c>
      <c r="E449" s="1" t="s">
        <v>21</v>
      </c>
      <c r="F449" s="1" t="s">
        <v>4584</v>
      </c>
      <c r="G449" s="6">
        <f>COUNTIF(F:F,Table2[[#This Row],[Form '#]])</f>
        <v>1</v>
      </c>
      <c r="H449" s="1" t="s">
        <v>2450</v>
      </c>
      <c r="I449" s="1" t="s">
        <v>3864</v>
      </c>
      <c r="J449" s="1" t="s">
        <v>78</v>
      </c>
      <c r="K449" s="1" t="s">
        <v>3879</v>
      </c>
      <c r="L449" s="1"/>
      <c r="M449" s="6" t="str">
        <f>IF(Table2[[#This Row],[Corrected Form '#
 (If Duplicated)]]="",Table2[[#This Row],[Form '#]],Table2[[#This Row],[Corrected Form '#
 (If Duplicated)]])</f>
        <v>7818-26083</v>
      </c>
      <c r="N449" s="1" t="s">
        <v>49</v>
      </c>
      <c r="O449" s="6" t="str">
        <f>IF(Table2[[#This Row],[POG CONFIRMATION RECEIPT OF ORDER
(DATE &amp; TIME)]]="","No Confirmation","Received Confirmation")</f>
        <v>Received Confirmation</v>
      </c>
      <c r="P449" s="6">
        <f ca="1">TODAY()-Table2[[#This Row],[DATE SENT TO POG]]</f>
        <v>316</v>
      </c>
      <c r="Q449" s="6" t="s">
        <v>5803</v>
      </c>
      <c r="R4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49" s="2" t="str">
        <f>_xlfn.XLOOKUP(Table2[[#This Row],[Adjusted Form '#]],'[2]IN PROGRESS'!$D:$D,'[2]IN PROGRESS'!$M:$M,"Not Found")</f>
        <v>Not Found</v>
      </c>
      <c r="U449" s="2" t="str">
        <f>_xlfn.XLOOKUP(Table2[[#This Row],[Adjusted Form '#]],[1]COMPLETED!$D:$D,[2]COMPLETED!$M:$M,"Not Found")</f>
        <v>Not Found</v>
      </c>
      <c r="V449" s="17" t="str">
        <f>_xlfn.XLOOKUP(Table2[[#This Row],[Adjusted Form '#]],[2]COMPLETED!$D:$D,[2]COMPLETED!$O:$O,"Not Found")</f>
        <v>Not Found</v>
      </c>
      <c r="W449" s="2" t="str">
        <f>_xlfn.XLOOKUP(Table2[[#This Row],[Adjusted Form '#]],[2]BILLED!$D:$D,[2]BILLED!$M:$M,"Not Found")</f>
        <v>1Z5063E0YW41642092</v>
      </c>
      <c r="X449" s="17" t="e">
        <f>_xlfn.XLOOKUP(Table2[[#This Row],[Adjusted Form '#]],[2]BILLED!$D:$D,[1]BILLED!$O:$O,"Not Found")</f>
        <v>#REF!</v>
      </c>
      <c r="Y449" s="17" t="e">
        <f>_xlfn.XLOOKUP(Table2[[#This Row],[Adjusted Form '#]],'[2]REJECTED ORDERS'!$D:$D,'[2]REJECTED ORDERS'!$E:$E)</f>
        <v>#N/A</v>
      </c>
      <c r="Z449" s="1"/>
      <c r="AA449" s="1"/>
      <c r="AB449" s="8"/>
      <c r="AC449" s="8"/>
      <c r="AD449" s="8"/>
      <c r="AE449" s="8"/>
      <c r="AF449" s="8"/>
      <c r="AG449" s="8"/>
      <c r="AH449" s="8"/>
      <c r="AI449" s="8"/>
      <c r="AJ449" s="8"/>
    </row>
    <row r="450" spans="1:36" ht="15" customHeight="1" x14ac:dyDescent="0.35">
      <c r="A450" s="4" t="s">
        <v>668</v>
      </c>
      <c r="B450" s="1" t="s">
        <v>579</v>
      </c>
      <c r="C450" s="11">
        <v>44987</v>
      </c>
      <c r="D450" s="11" t="s">
        <v>4575</v>
      </c>
      <c r="E450" s="1" t="s">
        <v>21</v>
      </c>
      <c r="F450" s="1" t="s">
        <v>4585</v>
      </c>
      <c r="G450" s="6">
        <f>COUNTIF(F:F,Table2[[#This Row],[Form '#]])</f>
        <v>1</v>
      </c>
      <c r="H450" s="1" t="s">
        <v>4586</v>
      </c>
      <c r="I450" s="1" t="s">
        <v>3864</v>
      </c>
      <c r="J450" s="1" t="s">
        <v>78</v>
      </c>
      <c r="K450" s="1" t="s">
        <v>3879</v>
      </c>
      <c r="L450" s="1"/>
      <c r="M450" s="6" t="str">
        <f>IF(Table2[[#This Row],[Corrected Form '#
 (If Duplicated)]]="",Table2[[#This Row],[Form '#]],Table2[[#This Row],[Corrected Form '#
 (If Duplicated)]])</f>
        <v>7818-07179</v>
      </c>
      <c r="N450" s="1" t="s">
        <v>49</v>
      </c>
      <c r="O450" s="6" t="str">
        <f>IF(Table2[[#This Row],[POG CONFIRMATION RECEIPT OF ORDER
(DATE &amp; TIME)]]="","No Confirmation","Received Confirmation")</f>
        <v>Received Confirmation</v>
      </c>
      <c r="P450" s="6">
        <f ca="1">TODAY()-Table2[[#This Row],[DATE SENT TO POG]]</f>
        <v>316</v>
      </c>
      <c r="Q450" s="6" t="s">
        <v>5803</v>
      </c>
      <c r="R4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50" s="2" t="str">
        <f>_xlfn.XLOOKUP(Table2[[#This Row],[Adjusted Form '#]],'[2]IN PROGRESS'!$D:$D,'[2]IN PROGRESS'!$M:$M,"Not Found")</f>
        <v>Not Found</v>
      </c>
      <c r="U450" s="2" t="str">
        <f>_xlfn.XLOOKUP(Table2[[#This Row],[Adjusted Form '#]],[1]COMPLETED!$D:$D,[2]COMPLETED!$M:$M,"Not Found")</f>
        <v>Not Found</v>
      </c>
      <c r="V450" s="17" t="str">
        <f>_xlfn.XLOOKUP(Table2[[#This Row],[Adjusted Form '#]],[2]COMPLETED!$D:$D,[2]COMPLETED!$O:$O,"Not Found")</f>
        <v>Not Found</v>
      </c>
      <c r="W450" s="2" t="str">
        <f>_xlfn.XLOOKUP(Table2[[#This Row],[Adjusted Form '#]],[2]BILLED!$D:$D,[2]BILLED!$M:$M,"Not Found")</f>
        <v>1Z5063E0YW40142142</v>
      </c>
      <c r="X450" s="17" t="e">
        <f>_xlfn.XLOOKUP(Table2[[#This Row],[Adjusted Form '#]],[2]BILLED!$D:$D,[1]BILLED!$O:$O,"Not Found")</f>
        <v>#REF!</v>
      </c>
      <c r="Y450" s="17" t="e">
        <f>_xlfn.XLOOKUP(Table2[[#This Row],[Adjusted Form '#]],'[2]REJECTED ORDERS'!$D:$D,'[2]REJECTED ORDERS'!$E:$E)</f>
        <v>#N/A</v>
      </c>
      <c r="Z450" s="1"/>
      <c r="AA450" s="1"/>
      <c r="AB450" s="8"/>
      <c r="AC450" s="8"/>
      <c r="AD450" s="8"/>
      <c r="AE450" s="8"/>
      <c r="AF450" s="8"/>
      <c r="AG450" s="8"/>
      <c r="AH450" s="8"/>
      <c r="AI450" s="8"/>
      <c r="AJ450" s="8"/>
    </row>
    <row r="451" spans="1:36" ht="15" customHeight="1" x14ac:dyDescent="0.35">
      <c r="A451" s="4" t="s">
        <v>670</v>
      </c>
      <c r="B451" s="1" t="s">
        <v>579</v>
      </c>
      <c r="C451" s="11">
        <v>44987</v>
      </c>
      <c r="D451" s="11" t="s">
        <v>4575</v>
      </c>
      <c r="E451" s="1" t="s">
        <v>21</v>
      </c>
      <c r="F451" s="1" t="s">
        <v>4587</v>
      </c>
      <c r="G451" s="6">
        <f>COUNTIF(F:F,Table2[[#This Row],[Form '#]])</f>
        <v>1</v>
      </c>
      <c r="H451" s="1" t="s">
        <v>4588</v>
      </c>
      <c r="I451" s="1" t="s">
        <v>3864</v>
      </c>
      <c r="J451" s="1" t="s">
        <v>78</v>
      </c>
      <c r="K451" s="1" t="s">
        <v>3879</v>
      </c>
      <c r="L451" s="1"/>
      <c r="M451" s="6" t="str">
        <f>IF(Table2[[#This Row],[Corrected Form '#
 (If Duplicated)]]="",Table2[[#This Row],[Form '#]],Table2[[#This Row],[Corrected Form '#
 (If Duplicated)]])</f>
        <v>7818-27526</v>
      </c>
      <c r="N451" s="1" t="s">
        <v>49</v>
      </c>
      <c r="O451" s="6" t="str">
        <f>IF(Table2[[#This Row],[POG CONFIRMATION RECEIPT OF ORDER
(DATE &amp; TIME)]]="","No Confirmation","Received Confirmation")</f>
        <v>Received Confirmation</v>
      </c>
      <c r="P451" s="6">
        <f ca="1">TODAY()-Table2[[#This Row],[DATE SENT TO POG]]</f>
        <v>316</v>
      </c>
      <c r="Q451" s="6" t="s">
        <v>5803</v>
      </c>
      <c r="R4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51" s="2" t="str">
        <f>_xlfn.XLOOKUP(Table2[[#This Row],[Adjusted Form '#]],'[2]IN PROGRESS'!$D:$D,'[2]IN PROGRESS'!$M:$M,"Not Found")</f>
        <v>Not Found</v>
      </c>
      <c r="U451" s="2" t="str">
        <f>_xlfn.XLOOKUP(Table2[[#This Row],[Adjusted Form '#]],[1]COMPLETED!$D:$D,[2]COMPLETED!$M:$M,"Not Found")</f>
        <v>Not Found</v>
      </c>
      <c r="V451" s="17" t="str">
        <f>_xlfn.XLOOKUP(Table2[[#This Row],[Adjusted Form '#]],[2]COMPLETED!$D:$D,[2]COMPLETED!$O:$O,"Not Found")</f>
        <v>Not Found</v>
      </c>
      <c r="W451" s="2" t="str">
        <f>_xlfn.XLOOKUP(Table2[[#This Row],[Adjusted Form '#]],[2]BILLED!$D:$D,[2]BILLED!$M:$M,"Not Found")</f>
        <v>9400 1112 0620 7754 9795 05</v>
      </c>
      <c r="X451" s="17" t="e">
        <f>_xlfn.XLOOKUP(Table2[[#This Row],[Adjusted Form '#]],[2]BILLED!$D:$D,[1]BILLED!$O:$O,"Not Found")</f>
        <v>#REF!</v>
      </c>
      <c r="Y451" s="17" t="e">
        <f>_xlfn.XLOOKUP(Table2[[#This Row],[Adjusted Form '#]],'[2]REJECTED ORDERS'!$D:$D,'[2]REJECTED ORDERS'!$E:$E)</f>
        <v>#N/A</v>
      </c>
      <c r="Z451" s="1"/>
      <c r="AA451" s="1"/>
      <c r="AB451" s="8"/>
      <c r="AC451" s="8"/>
      <c r="AD451" s="8"/>
      <c r="AE451" s="8"/>
      <c r="AF451" s="8"/>
      <c r="AG451" s="8"/>
      <c r="AH451" s="8"/>
      <c r="AI451" s="8"/>
      <c r="AJ451" s="8"/>
    </row>
    <row r="452" spans="1:36" ht="15" customHeight="1" x14ac:dyDescent="0.35">
      <c r="A452" s="4" t="s">
        <v>671</v>
      </c>
      <c r="B452" s="1" t="s">
        <v>4589</v>
      </c>
      <c r="C452" s="11">
        <v>44988</v>
      </c>
      <c r="D452" s="11" t="s">
        <v>4590</v>
      </c>
      <c r="E452" s="1" t="s">
        <v>73</v>
      </c>
      <c r="F452" s="1" t="s">
        <v>4591</v>
      </c>
      <c r="G452" s="6">
        <f>COUNTIF(F:F,Table2[[#This Row],[Form '#]])</f>
        <v>1</v>
      </c>
      <c r="H452" s="1" t="s">
        <v>4592</v>
      </c>
      <c r="I452" s="1" t="s">
        <v>3852</v>
      </c>
      <c r="J452" s="1" t="s">
        <v>80</v>
      </c>
      <c r="K452" s="1" t="s">
        <v>3853</v>
      </c>
      <c r="L452" s="1"/>
      <c r="M452" s="6" t="str">
        <f>IF(Table2[[#This Row],[Corrected Form '#
 (If Duplicated)]]="",Table2[[#This Row],[Form '#]],Table2[[#This Row],[Corrected Form '#
 (If Duplicated)]])</f>
        <v>7823-03324</v>
      </c>
      <c r="N452" s="1" t="s">
        <v>49</v>
      </c>
      <c r="O452" s="6" t="str">
        <f>IF(Table2[[#This Row],[POG CONFIRMATION RECEIPT OF ORDER
(DATE &amp; TIME)]]="","No Confirmation","Received Confirmation")</f>
        <v>Received Confirmation</v>
      </c>
      <c r="P452" s="6">
        <f ca="1">TODAY()-Table2[[#This Row],[DATE SENT TO POG]]</f>
        <v>315</v>
      </c>
      <c r="Q452" s="6" t="s">
        <v>5803</v>
      </c>
      <c r="R4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5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52" s="2" t="str">
        <f>_xlfn.XLOOKUP(Table2[[#This Row],[Adjusted Form '#]],'[2]IN PROGRESS'!$D:$D,'[2]IN PROGRESS'!$M:$M,"Not Found")</f>
        <v>Not Found</v>
      </c>
      <c r="U452" s="2" t="str">
        <f>_xlfn.XLOOKUP(Table2[[#This Row],[Adjusted Form '#]],[1]COMPLETED!$D:$D,[2]COMPLETED!$M:$M,"Not Found")</f>
        <v>Not Found</v>
      </c>
      <c r="V452" s="17">
        <f>_xlfn.XLOOKUP(Table2[[#This Row],[Adjusted Form '#]],[2]COMPLETED!$D:$D,[2]COMPLETED!$O:$O,"Not Found")</f>
        <v>0</v>
      </c>
      <c r="W452" s="2" t="str">
        <f>_xlfn.XLOOKUP(Table2[[#This Row],[Adjusted Form '#]],[2]BILLED!$D:$D,[2]BILLED!$M:$M,"Not Found")</f>
        <v>Not Found</v>
      </c>
      <c r="X452" s="17" t="str">
        <f>_xlfn.XLOOKUP(Table2[[#This Row],[Adjusted Form '#]],[2]BILLED!$D:$D,[1]BILLED!$O:$O,"Not Found")</f>
        <v>Not Found</v>
      </c>
      <c r="Y452" s="17" t="e">
        <f>_xlfn.XLOOKUP(Table2[[#This Row],[Adjusted Form '#]],'[2]REJECTED ORDERS'!$D:$D,'[2]REJECTED ORDERS'!$E:$E)</f>
        <v>#N/A</v>
      </c>
      <c r="Z452" s="1"/>
      <c r="AA452" s="1"/>
      <c r="AB452" s="8"/>
      <c r="AC452" s="8"/>
      <c r="AD452" s="8"/>
      <c r="AE452" s="8"/>
      <c r="AF452" s="8"/>
      <c r="AG452" s="8"/>
      <c r="AH452" s="8"/>
      <c r="AI452" s="8"/>
      <c r="AJ452" s="8"/>
    </row>
    <row r="453" spans="1:36" ht="15" customHeight="1" x14ac:dyDescent="0.35">
      <c r="A453" s="4" t="s">
        <v>672</v>
      </c>
      <c r="B453" s="1" t="s">
        <v>1652</v>
      </c>
      <c r="C453" s="11">
        <v>44988</v>
      </c>
      <c r="D453" s="11" t="s">
        <v>4593</v>
      </c>
      <c r="E453" s="1" t="s">
        <v>21</v>
      </c>
      <c r="F453" s="1" t="s">
        <v>4594</v>
      </c>
      <c r="G453" s="6">
        <f>COUNTIF(F:F,Table2[[#This Row],[Form '#]])</f>
        <v>1</v>
      </c>
      <c r="H453" s="1" t="s">
        <v>4595</v>
      </c>
      <c r="I453" s="1" t="s">
        <v>28</v>
      </c>
      <c r="J453" s="1" t="s">
        <v>3891</v>
      </c>
      <c r="K453" s="1" t="s">
        <v>4011</v>
      </c>
      <c r="L453" s="1"/>
      <c r="M453" s="6" t="str">
        <f>IF(Table2[[#This Row],[Corrected Form '#
 (If Duplicated)]]="",Table2[[#This Row],[Form '#]],Table2[[#This Row],[Corrected Form '#
 (If Duplicated)]])</f>
        <v>7818-25352</v>
      </c>
      <c r="N453" s="1" t="s">
        <v>49</v>
      </c>
      <c r="O453" s="6" t="str">
        <f>IF(Table2[[#This Row],[POG CONFIRMATION RECEIPT OF ORDER
(DATE &amp; TIME)]]="","No Confirmation","Received Confirmation")</f>
        <v>Received Confirmation</v>
      </c>
      <c r="P453" s="6">
        <f ca="1">TODAY()-Table2[[#This Row],[DATE SENT TO POG]]</f>
        <v>315</v>
      </c>
      <c r="Q453" s="6" t="s">
        <v>5803</v>
      </c>
      <c r="R4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53" s="2" t="str">
        <f>_xlfn.XLOOKUP(Table2[[#This Row],[Adjusted Form '#]],'[2]IN PROGRESS'!$D:$D,'[2]IN PROGRESS'!$M:$M,"Not Found")</f>
        <v>Not Found</v>
      </c>
      <c r="U453" s="2" t="str">
        <f>_xlfn.XLOOKUP(Table2[[#This Row],[Adjusted Form '#]],[1]COMPLETED!$D:$D,[2]COMPLETED!$M:$M,"Not Found")</f>
        <v>Not Found</v>
      </c>
      <c r="V453" s="17" t="str">
        <f>_xlfn.XLOOKUP(Table2[[#This Row],[Adjusted Form '#]],[2]COMPLETED!$D:$D,[2]COMPLETED!$O:$O,"Not Found")</f>
        <v>Not Found</v>
      </c>
      <c r="W453" s="2" t="str">
        <f>_xlfn.XLOOKUP(Table2[[#This Row],[Adjusted Form '#]],[2]BILLED!$D:$D,[2]BILLED!$M:$M,"Not Found")</f>
        <v>1Z5063E0YW41264661</v>
      </c>
      <c r="X453" s="17" t="e">
        <f>_xlfn.XLOOKUP(Table2[[#This Row],[Adjusted Form '#]],[2]BILLED!$D:$D,[1]BILLED!$O:$O,"Not Found")</f>
        <v>#REF!</v>
      </c>
      <c r="Y453" s="17" t="e">
        <f>_xlfn.XLOOKUP(Table2[[#This Row],[Adjusted Form '#]],'[2]REJECTED ORDERS'!$D:$D,'[2]REJECTED ORDERS'!$E:$E)</f>
        <v>#N/A</v>
      </c>
      <c r="Z453" s="1"/>
      <c r="AA453" s="1"/>
      <c r="AB453" s="8"/>
      <c r="AC453" s="8"/>
      <c r="AD453" s="8"/>
      <c r="AE453" s="8"/>
      <c r="AF453" s="8"/>
      <c r="AG453" s="8"/>
      <c r="AH453" s="8"/>
      <c r="AI453" s="8"/>
      <c r="AJ453" s="8"/>
    </row>
    <row r="454" spans="1:36" ht="15" customHeight="1" x14ac:dyDescent="0.35">
      <c r="A454" s="4" t="s">
        <v>674</v>
      </c>
      <c r="B454" s="1" t="s">
        <v>815</v>
      </c>
      <c r="C454" s="11">
        <v>44988</v>
      </c>
      <c r="D454" s="11" t="s">
        <v>4590</v>
      </c>
      <c r="E454" s="1" t="s">
        <v>21</v>
      </c>
      <c r="F454" s="1" t="s">
        <v>4596</v>
      </c>
      <c r="G454" s="6">
        <f>COUNTIF(F:F,Table2[[#This Row],[Form '#]])</f>
        <v>1</v>
      </c>
      <c r="H454" s="1" t="s">
        <v>628</v>
      </c>
      <c r="I454" s="1" t="s">
        <v>177</v>
      </c>
      <c r="J454" s="1" t="s">
        <v>75</v>
      </c>
      <c r="K454" s="1" t="s">
        <v>3853</v>
      </c>
      <c r="L454" s="1"/>
      <c r="M454" s="6" t="str">
        <f>IF(Table2[[#This Row],[Corrected Form '#
 (If Duplicated)]]="",Table2[[#This Row],[Form '#]],Table2[[#This Row],[Corrected Form '#
 (If Duplicated)]])</f>
        <v>7818-21689</v>
      </c>
      <c r="N454" s="1" t="s">
        <v>49</v>
      </c>
      <c r="O454" s="6" t="str">
        <f>IF(Table2[[#This Row],[POG CONFIRMATION RECEIPT OF ORDER
(DATE &amp; TIME)]]="","No Confirmation","Received Confirmation")</f>
        <v>Received Confirmation</v>
      </c>
      <c r="P454" s="6">
        <f ca="1">TODAY()-Table2[[#This Row],[DATE SENT TO POG]]</f>
        <v>315</v>
      </c>
      <c r="Q454" s="6" t="s">
        <v>5803</v>
      </c>
      <c r="R4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5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54" s="2" t="str">
        <f>_xlfn.XLOOKUP(Table2[[#This Row],[Adjusted Form '#]],'[2]IN PROGRESS'!$D:$D,'[2]IN PROGRESS'!$M:$M,"Not Found")</f>
        <v>Not Found</v>
      </c>
      <c r="U454" s="2" t="str">
        <f>_xlfn.XLOOKUP(Table2[[#This Row],[Adjusted Form '#]],[1]COMPLETED!$D:$D,[2]COMPLETED!$M:$M,"Not Found")</f>
        <v>Not Found</v>
      </c>
      <c r="V454" s="17">
        <f>_xlfn.XLOOKUP(Table2[[#This Row],[Adjusted Form '#]],[2]COMPLETED!$D:$D,[2]COMPLETED!$O:$O,"Not Found")</f>
        <v>0</v>
      </c>
      <c r="W454" s="2" t="str">
        <f>_xlfn.XLOOKUP(Table2[[#This Row],[Adjusted Form '#]],[2]BILLED!$D:$D,[2]BILLED!$M:$M,"Not Found")</f>
        <v>Not Found</v>
      </c>
      <c r="X454" s="17" t="str">
        <f>_xlfn.XLOOKUP(Table2[[#This Row],[Adjusted Form '#]],[2]BILLED!$D:$D,[1]BILLED!$O:$O,"Not Found")</f>
        <v>Not Found</v>
      </c>
      <c r="Y454" s="17" t="e">
        <f>_xlfn.XLOOKUP(Table2[[#This Row],[Adjusted Form '#]],'[2]REJECTED ORDERS'!$D:$D,'[2]REJECTED ORDERS'!$E:$E)</f>
        <v>#N/A</v>
      </c>
      <c r="Z454" s="1"/>
      <c r="AA454" s="1"/>
      <c r="AB454" s="8"/>
      <c r="AC454" s="8"/>
      <c r="AD454" s="8"/>
      <c r="AE454" s="8"/>
      <c r="AF454" s="8"/>
      <c r="AG454" s="8"/>
      <c r="AH454" s="8"/>
      <c r="AI454" s="8"/>
      <c r="AJ454" s="8"/>
    </row>
    <row r="455" spans="1:36" ht="15" customHeight="1" x14ac:dyDescent="0.35">
      <c r="A455" s="4" t="s">
        <v>675</v>
      </c>
      <c r="B455" s="1" t="s">
        <v>815</v>
      </c>
      <c r="C455" s="11">
        <v>44988</v>
      </c>
      <c r="D455" s="11" t="s">
        <v>4590</v>
      </c>
      <c r="E455" s="1" t="s">
        <v>21</v>
      </c>
      <c r="F455" s="1" t="s">
        <v>4597</v>
      </c>
      <c r="G455" s="6">
        <f>COUNTIF(F:F,Table2[[#This Row],[Form '#]])</f>
        <v>1</v>
      </c>
      <c r="H455" s="1" t="s">
        <v>4598</v>
      </c>
      <c r="I455" s="1" t="s">
        <v>127</v>
      </c>
      <c r="J455" s="1" t="s">
        <v>74</v>
      </c>
      <c r="K455" s="1" t="s">
        <v>4011</v>
      </c>
      <c r="L455" s="1"/>
      <c r="M455" s="6" t="str">
        <f>IF(Table2[[#This Row],[Corrected Form '#
 (If Duplicated)]]="",Table2[[#This Row],[Form '#]],Table2[[#This Row],[Corrected Form '#
 (If Duplicated)]])</f>
        <v>7818-26169</v>
      </c>
      <c r="N455" s="1" t="s">
        <v>49</v>
      </c>
      <c r="O455" s="6" t="str">
        <f>IF(Table2[[#This Row],[POG CONFIRMATION RECEIPT OF ORDER
(DATE &amp; TIME)]]="","No Confirmation","Received Confirmation")</f>
        <v>Received Confirmation</v>
      </c>
      <c r="P455" s="6">
        <f ca="1">TODAY()-Table2[[#This Row],[DATE SENT TO POG]]</f>
        <v>315</v>
      </c>
      <c r="Q455" s="6" t="s">
        <v>5803</v>
      </c>
      <c r="R4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5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55" s="2" t="str">
        <f>_xlfn.XLOOKUP(Table2[[#This Row],[Adjusted Form '#]],'[2]IN PROGRESS'!$D:$D,'[2]IN PROGRESS'!$M:$M,"Not Found")</f>
        <v>Not Found</v>
      </c>
      <c r="U455" s="2" t="str">
        <f>_xlfn.XLOOKUP(Table2[[#This Row],[Adjusted Form '#]],[1]COMPLETED!$D:$D,[2]COMPLETED!$M:$M,"Not Found")</f>
        <v>Not Found</v>
      </c>
      <c r="V455" s="17">
        <f>_xlfn.XLOOKUP(Table2[[#This Row],[Adjusted Form '#]],[2]COMPLETED!$D:$D,[2]COMPLETED!$O:$O,"Not Found")</f>
        <v>0</v>
      </c>
      <c r="W455" s="2" t="str">
        <f>_xlfn.XLOOKUP(Table2[[#This Row],[Adjusted Form '#]],[2]BILLED!$D:$D,[2]BILLED!$M:$M,"Not Found")</f>
        <v>Not Found</v>
      </c>
      <c r="X455" s="17" t="str">
        <f>_xlfn.XLOOKUP(Table2[[#This Row],[Adjusted Form '#]],[2]BILLED!$D:$D,[1]BILLED!$O:$O,"Not Found")</f>
        <v>Not Found</v>
      </c>
      <c r="Y455" s="17" t="e">
        <f>_xlfn.XLOOKUP(Table2[[#This Row],[Adjusted Form '#]],'[2]REJECTED ORDERS'!$D:$D,'[2]REJECTED ORDERS'!$E:$E)</f>
        <v>#N/A</v>
      </c>
      <c r="Z455" s="1"/>
      <c r="AA455" s="1"/>
      <c r="AB455" s="8"/>
      <c r="AC455" s="8"/>
      <c r="AD455" s="8"/>
      <c r="AE455" s="8"/>
      <c r="AF455" s="8"/>
      <c r="AG455" s="8"/>
      <c r="AH455" s="8"/>
      <c r="AI455" s="8"/>
      <c r="AJ455" s="8"/>
    </row>
    <row r="456" spans="1:36" ht="15" customHeight="1" x14ac:dyDescent="0.35">
      <c r="A456" s="4" t="s">
        <v>676</v>
      </c>
      <c r="B456" s="1" t="s">
        <v>4599</v>
      </c>
      <c r="C456" s="11">
        <v>44988</v>
      </c>
      <c r="D456" s="11" t="s">
        <v>4600</v>
      </c>
      <c r="E456" s="1" t="s">
        <v>64</v>
      </c>
      <c r="F456" s="1" t="s">
        <v>4601</v>
      </c>
      <c r="G456" s="6">
        <f>COUNTIF(F:F,Table2[[#This Row],[Form '#]])</f>
        <v>1</v>
      </c>
      <c r="H456" s="1" t="s">
        <v>257</v>
      </c>
      <c r="I456" s="1" t="s">
        <v>127</v>
      </c>
      <c r="J456" s="1" t="s">
        <v>74</v>
      </c>
      <c r="K456" s="1" t="s">
        <v>4011</v>
      </c>
      <c r="L456" s="1"/>
      <c r="M456" s="6" t="str">
        <f>IF(Table2[[#This Row],[Corrected Form '#
 (If Duplicated)]]="",Table2[[#This Row],[Form '#]],Table2[[#This Row],[Corrected Form '#
 (If Duplicated)]])</f>
        <v>7824-00379</v>
      </c>
      <c r="N456" s="1" t="s">
        <v>49</v>
      </c>
      <c r="O456" s="6" t="str">
        <f>IF(Table2[[#This Row],[POG CONFIRMATION RECEIPT OF ORDER
(DATE &amp; TIME)]]="","No Confirmation","Received Confirmation")</f>
        <v>Received Confirmation</v>
      </c>
      <c r="P456" s="6">
        <f ca="1">TODAY()-Table2[[#This Row],[DATE SENT TO POG]]</f>
        <v>315</v>
      </c>
      <c r="Q456" s="6" t="s">
        <v>5803</v>
      </c>
      <c r="R4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56" s="2" t="str">
        <f>_xlfn.XLOOKUP(Table2[[#This Row],[Adjusted Form '#]],'[2]IN PROGRESS'!$D:$D,'[2]IN PROGRESS'!$M:$M,"Not Found")</f>
        <v>Not Found</v>
      </c>
      <c r="U456" s="2" t="str">
        <f>_xlfn.XLOOKUP(Table2[[#This Row],[Adjusted Form '#]],[1]COMPLETED!$D:$D,[2]COMPLETED!$M:$M,"Not Found")</f>
        <v>Not Found</v>
      </c>
      <c r="V456" s="17" t="str">
        <f>_xlfn.XLOOKUP(Table2[[#This Row],[Adjusted Form '#]],[2]COMPLETED!$D:$D,[2]COMPLETED!$O:$O,"Not Found")</f>
        <v>Not Found</v>
      </c>
      <c r="W456" s="2" t="str">
        <f>_xlfn.XLOOKUP(Table2[[#This Row],[Adjusted Form '#]],[2]BILLED!$D:$D,[2]BILLED!$M:$M,"Not Found")</f>
        <v>1Z5063E0YW41371545</v>
      </c>
      <c r="X456" s="17" t="e">
        <f>_xlfn.XLOOKUP(Table2[[#This Row],[Adjusted Form '#]],[2]BILLED!$D:$D,[1]BILLED!$O:$O,"Not Found")</f>
        <v>#REF!</v>
      </c>
      <c r="Y456" s="17" t="e">
        <f>_xlfn.XLOOKUP(Table2[[#This Row],[Adjusted Form '#]],'[2]REJECTED ORDERS'!$D:$D,'[2]REJECTED ORDERS'!$E:$E)</f>
        <v>#N/A</v>
      </c>
      <c r="Z456" s="1"/>
      <c r="AA456" s="1"/>
      <c r="AB456" s="8"/>
      <c r="AC456" s="8"/>
      <c r="AD456" s="8"/>
      <c r="AE456" s="8"/>
      <c r="AF456" s="8"/>
      <c r="AG456" s="8"/>
      <c r="AH456" s="8"/>
      <c r="AI456" s="8"/>
      <c r="AJ456" s="8"/>
    </row>
    <row r="457" spans="1:36" ht="15" customHeight="1" x14ac:dyDescent="0.35">
      <c r="A457" s="4" t="s">
        <v>677</v>
      </c>
      <c r="B457" s="1" t="s">
        <v>1702</v>
      </c>
      <c r="C457" s="11">
        <v>44991</v>
      </c>
      <c r="D457" s="11" t="s">
        <v>4602</v>
      </c>
      <c r="E457" s="1" t="s">
        <v>21</v>
      </c>
      <c r="F457" s="1" t="s">
        <v>4603</v>
      </c>
      <c r="G457" s="6">
        <f>COUNTIF(F:F,Table2[[#This Row],[Form '#]])</f>
        <v>1</v>
      </c>
      <c r="H457" s="1" t="s">
        <v>4604</v>
      </c>
      <c r="I457" s="1" t="s">
        <v>3852</v>
      </c>
      <c r="J457" s="1" t="s">
        <v>80</v>
      </c>
      <c r="K457" s="1" t="s">
        <v>3853</v>
      </c>
      <c r="L457" s="1"/>
      <c r="M457" s="6" t="str">
        <f>IF(Table2[[#This Row],[Corrected Form '#
 (If Duplicated)]]="",Table2[[#This Row],[Form '#]],Table2[[#This Row],[Corrected Form '#
 (If Duplicated)]])</f>
        <v>7818-26652</v>
      </c>
      <c r="N457" s="1" t="s">
        <v>49</v>
      </c>
      <c r="O457" s="6" t="str">
        <f>IF(Table2[[#This Row],[POG CONFIRMATION RECEIPT OF ORDER
(DATE &amp; TIME)]]="","No Confirmation","Received Confirmation")</f>
        <v>Received Confirmation</v>
      </c>
      <c r="P457" s="6">
        <f ca="1">TODAY()-Table2[[#This Row],[DATE SENT TO POG]]</f>
        <v>312</v>
      </c>
      <c r="Q457" s="6" t="s">
        <v>5803</v>
      </c>
      <c r="R4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5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57" s="2" t="str">
        <f>_xlfn.XLOOKUP(Table2[[#This Row],[Adjusted Form '#]],'[2]IN PROGRESS'!$D:$D,'[2]IN PROGRESS'!$M:$M,"Not Found")</f>
        <v>Not Found</v>
      </c>
      <c r="U457" s="2" t="str">
        <f>_xlfn.XLOOKUP(Table2[[#This Row],[Adjusted Form '#]],[1]COMPLETED!$D:$D,[2]COMPLETED!$M:$M,"Not Found")</f>
        <v>Not Found</v>
      </c>
      <c r="V457" s="17">
        <f>_xlfn.XLOOKUP(Table2[[#This Row],[Adjusted Form '#]],[2]COMPLETED!$D:$D,[2]COMPLETED!$O:$O,"Not Found")</f>
        <v>0</v>
      </c>
      <c r="W457" s="2" t="str">
        <f>_xlfn.XLOOKUP(Table2[[#This Row],[Adjusted Form '#]],[2]BILLED!$D:$D,[2]BILLED!$M:$M,"Not Found")</f>
        <v>Not Found</v>
      </c>
      <c r="X457" s="17" t="str">
        <f>_xlfn.XLOOKUP(Table2[[#This Row],[Adjusted Form '#]],[2]BILLED!$D:$D,[1]BILLED!$O:$O,"Not Found")</f>
        <v>Not Found</v>
      </c>
      <c r="Y457" s="17" t="e">
        <f>_xlfn.XLOOKUP(Table2[[#This Row],[Adjusted Form '#]],'[2]REJECTED ORDERS'!$D:$D,'[2]REJECTED ORDERS'!$E:$E)</f>
        <v>#N/A</v>
      </c>
      <c r="Z457" s="1"/>
      <c r="AA457" s="1"/>
      <c r="AB457" s="8"/>
      <c r="AC457" s="8"/>
      <c r="AD457" s="8"/>
      <c r="AE457" s="8"/>
      <c r="AF457" s="8"/>
      <c r="AG457" s="8"/>
      <c r="AH457" s="8"/>
      <c r="AI457" s="8"/>
      <c r="AJ457" s="8"/>
    </row>
    <row r="458" spans="1:36" ht="15" customHeight="1" x14ac:dyDescent="0.35">
      <c r="A458" s="4" t="s">
        <v>679</v>
      </c>
      <c r="B458" s="1" t="s">
        <v>1702</v>
      </c>
      <c r="C458" s="11">
        <v>44991</v>
      </c>
      <c r="D458" s="11" t="s">
        <v>4602</v>
      </c>
      <c r="E458" s="1" t="s">
        <v>21</v>
      </c>
      <c r="F458" s="1" t="s">
        <v>4605</v>
      </c>
      <c r="G458" s="6">
        <f>COUNTIF(F:F,Table2[[#This Row],[Form '#]])</f>
        <v>1</v>
      </c>
      <c r="H458" s="1" t="s">
        <v>4606</v>
      </c>
      <c r="I458" s="1" t="s">
        <v>3852</v>
      </c>
      <c r="J458" s="1" t="s">
        <v>80</v>
      </c>
      <c r="K458" s="1" t="s">
        <v>3853</v>
      </c>
      <c r="L458" s="1"/>
      <c r="M458" s="6" t="str">
        <f>IF(Table2[[#This Row],[Corrected Form '#
 (If Duplicated)]]="",Table2[[#This Row],[Form '#]],Table2[[#This Row],[Corrected Form '#
 (If Duplicated)]])</f>
        <v>7818-18049</v>
      </c>
      <c r="N458" s="1" t="s">
        <v>49</v>
      </c>
      <c r="O458" s="6" t="str">
        <f>IF(Table2[[#This Row],[POG CONFIRMATION RECEIPT OF ORDER
(DATE &amp; TIME)]]="","No Confirmation","Received Confirmation")</f>
        <v>Received Confirmation</v>
      </c>
      <c r="P458" s="6">
        <f ca="1">TODAY()-Table2[[#This Row],[DATE SENT TO POG]]</f>
        <v>312</v>
      </c>
      <c r="Q458" s="6" t="s">
        <v>5803</v>
      </c>
      <c r="R4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58" s="2" t="str">
        <f>_xlfn.XLOOKUP(Table2[[#This Row],[Adjusted Form '#]],'[2]IN PROGRESS'!$D:$D,'[2]IN PROGRESS'!$M:$M,"Not Found")</f>
        <v>Not Found</v>
      </c>
      <c r="U458" s="2" t="str">
        <f>_xlfn.XLOOKUP(Table2[[#This Row],[Adjusted Form '#]],[1]COMPLETED!$D:$D,[2]COMPLETED!$M:$M,"Not Found")</f>
        <v>Not Found</v>
      </c>
      <c r="V458" s="17" t="str">
        <f>_xlfn.XLOOKUP(Table2[[#This Row],[Adjusted Form '#]],[2]COMPLETED!$D:$D,[2]COMPLETED!$O:$O,"Not Found")</f>
        <v>Not Found</v>
      </c>
      <c r="W458" s="2" t="str">
        <f>_xlfn.XLOOKUP(Table2[[#This Row],[Adjusted Form '#]],[2]BILLED!$D:$D,[2]BILLED!$M:$M,"Not Found")</f>
        <v>9402 1112 0620 7141 6479 30</v>
      </c>
      <c r="X458" s="17" t="e">
        <f>_xlfn.XLOOKUP(Table2[[#This Row],[Adjusted Form '#]],[2]BILLED!$D:$D,[1]BILLED!$O:$O,"Not Found")</f>
        <v>#REF!</v>
      </c>
      <c r="Y458" s="17" t="e">
        <f>_xlfn.XLOOKUP(Table2[[#This Row],[Adjusted Form '#]],'[2]REJECTED ORDERS'!$D:$D,'[2]REJECTED ORDERS'!$E:$E)</f>
        <v>#N/A</v>
      </c>
      <c r="Z458" s="1"/>
      <c r="AA458" s="1"/>
      <c r="AB458" s="8"/>
      <c r="AC458" s="8"/>
      <c r="AD458" s="8"/>
      <c r="AE458" s="8"/>
      <c r="AF458" s="8"/>
      <c r="AG458" s="8"/>
      <c r="AH458" s="8"/>
      <c r="AI458" s="8"/>
      <c r="AJ458" s="8"/>
    </row>
    <row r="459" spans="1:36" ht="15" customHeight="1" x14ac:dyDescent="0.35">
      <c r="A459" s="4" t="s">
        <v>680</v>
      </c>
      <c r="B459" s="1" t="s">
        <v>1702</v>
      </c>
      <c r="C459" s="11">
        <v>44991</v>
      </c>
      <c r="D459" s="11" t="s">
        <v>4602</v>
      </c>
      <c r="E459" s="1" t="s">
        <v>21</v>
      </c>
      <c r="F459" s="1" t="s">
        <v>4607</v>
      </c>
      <c r="G459" s="6">
        <f>COUNTIF(F:F,Table2[[#This Row],[Form '#]])</f>
        <v>1</v>
      </c>
      <c r="H459" s="1" t="s">
        <v>139</v>
      </c>
      <c r="I459" s="1" t="s">
        <v>758</v>
      </c>
      <c r="J459" s="1" t="s">
        <v>78</v>
      </c>
      <c r="K459" s="1" t="s">
        <v>3853</v>
      </c>
      <c r="L459" s="1"/>
      <c r="M459" s="6" t="str">
        <f>IF(Table2[[#This Row],[Corrected Form '#
 (If Duplicated)]]="",Table2[[#This Row],[Form '#]],Table2[[#This Row],[Corrected Form '#
 (If Duplicated)]])</f>
        <v>7818-09724</v>
      </c>
      <c r="N459" s="1" t="s">
        <v>49</v>
      </c>
      <c r="O459" s="6" t="str">
        <f>IF(Table2[[#This Row],[POG CONFIRMATION RECEIPT OF ORDER
(DATE &amp; TIME)]]="","No Confirmation","Received Confirmation")</f>
        <v>Received Confirmation</v>
      </c>
      <c r="P459" s="6">
        <f ca="1">TODAY()-Table2[[#This Row],[DATE SENT TO POG]]</f>
        <v>312</v>
      </c>
      <c r="Q459" s="6" t="s">
        <v>5803</v>
      </c>
      <c r="R4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5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59" s="2" t="str">
        <f>_xlfn.XLOOKUP(Table2[[#This Row],[Adjusted Form '#]],'[2]IN PROGRESS'!$D:$D,'[2]IN PROGRESS'!$M:$M,"Not Found")</f>
        <v>Not Found</v>
      </c>
      <c r="U459" s="2" t="str">
        <f>_xlfn.XLOOKUP(Table2[[#This Row],[Adjusted Form '#]],[1]COMPLETED!$D:$D,[2]COMPLETED!$M:$M,"Not Found")</f>
        <v>Not Found</v>
      </c>
      <c r="V459" s="17">
        <f>_xlfn.XLOOKUP(Table2[[#This Row],[Adjusted Form '#]],[2]COMPLETED!$D:$D,[2]COMPLETED!$O:$O,"Not Found")</f>
        <v>0</v>
      </c>
      <c r="W459" s="2" t="str">
        <f>_xlfn.XLOOKUP(Table2[[#This Row],[Adjusted Form '#]],[2]BILLED!$D:$D,[2]BILLED!$M:$M,"Not Found")</f>
        <v>Not Found</v>
      </c>
      <c r="X459" s="17" t="str">
        <f>_xlfn.XLOOKUP(Table2[[#This Row],[Adjusted Form '#]],[2]BILLED!$D:$D,[1]BILLED!$O:$O,"Not Found")</f>
        <v>Not Found</v>
      </c>
      <c r="Y459" s="17" t="e">
        <f>_xlfn.XLOOKUP(Table2[[#This Row],[Adjusted Form '#]],'[2]REJECTED ORDERS'!$D:$D,'[2]REJECTED ORDERS'!$E:$E)</f>
        <v>#N/A</v>
      </c>
      <c r="Z459" s="1"/>
      <c r="AA459" s="1"/>
      <c r="AB459" s="8"/>
      <c r="AC459" s="8"/>
      <c r="AD459" s="8"/>
      <c r="AE459" s="8"/>
      <c r="AF459" s="8"/>
      <c r="AG459" s="8"/>
      <c r="AH459" s="8"/>
      <c r="AI459" s="8"/>
      <c r="AJ459" s="8"/>
    </row>
    <row r="460" spans="1:36" ht="15" customHeight="1" x14ac:dyDescent="0.35">
      <c r="A460" s="4" t="s">
        <v>682</v>
      </c>
      <c r="B460" s="1" t="s">
        <v>1702</v>
      </c>
      <c r="C460" s="11">
        <v>44991</v>
      </c>
      <c r="D460" s="11" t="s">
        <v>4602</v>
      </c>
      <c r="E460" s="1" t="s">
        <v>21</v>
      </c>
      <c r="F460" s="1" t="s">
        <v>4608</v>
      </c>
      <c r="G460" s="6">
        <f>COUNTIF(F:F,Table2[[#This Row],[Form '#]])</f>
        <v>1</v>
      </c>
      <c r="H460" s="1" t="s">
        <v>4609</v>
      </c>
      <c r="I460" s="1" t="s">
        <v>177</v>
      </c>
      <c r="J460" s="1" t="s">
        <v>75</v>
      </c>
      <c r="K460" s="1" t="s">
        <v>3853</v>
      </c>
      <c r="L460" s="1"/>
      <c r="M460" s="6" t="str">
        <f>IF(Table2[[#This Row],[Corrected Form '#
 (If Duplicated)]]="",Table2[[#This Row],[Form '#]],Table2[[#This Row],[Corrected Form '#
 (If Duplicated)]])</f>
        <v>7818-26578</v>
      </c>
      <c r="N460" s="1" t="s">
        <v>49</v>
      </c>
      <c r="O460" s="6" t="str">
        <f>IF(Table2[[#This Row],[POG CONFIRMATION RECEIPT OF ORDER
(DATE &amp; TIME)]]="","No Confirmation","Received Confirmation")</f>
        <v>Received Confirmation</v>
      </c>
      <c r="P460" s="6">
        <f ca="1">TODAY()-Table2[[#This Row],[DATE SENT TO POG]]</f>
        <v>312</v>
      </c>
      <c r="Q460" s="6" t="s">
        <v>5803</v>
      </c>
      <c r="R4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6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60" s="2" t="str">
        <f>_xlfn.XLOOKUP(Table2[[#This Row],[Adjusted Form '#]],'[2]IN PROGRESS'!$D:$D,'[2]IN PROGRESS'!$M:$M,"Not Found")</f>
        <v>Not Found</v>
      </c>
      <c r="U460" s="2" t="str">
        <f>_xlfn.XLOOKUP(Table2[[#This Row],[Adjusted Form '#]],[1]COMPLETED!$D:$D,[2]COMPLETED!$M:$M,"Not Found")</f>
        <v>Not Found</v>
      </c>
      <c r="V460" s="17">
        <f>_xlfn.XLOOKUP(Table2[[#This Row],[Adjusted Form '#]],[2]COMPLETED!$D:$D,[2]COMPLETED!$O:$O,"Not Found")</f>
        <v>0</v>
      </c>
      <c r="W460" s="2" t="str">
        <f>_xlfn.XLOOKUP(Table2[[#This Row],[Adjusted Form '#]],[2]BILLED!$D:$D,[2]BILLED!$M:$M,"Not Found")</f>
        <v>Not Found</v>
      </c>
      <c r="X460" s="17" t="str">
        <f>_xlfn.XLOOKUP(Table2[[#This Row],[Adjusted Form '#]],[2]BILLED!$D:$D,[1]BILLED!$O:$O,"Not Found")</f>
        <v>Not Found</v>
      </c>
      <c r="Y460" s="17" t="e">
        <f>_xlfn.XLOOKUP(Table2[[#This Row],[Adjusted Form '#]],'[2]REJECTED ORDERS'!$D:$D,'[2]REJECTED ORDERS'!$E:$E)</f>
        <v>#N/A</v>
      </c>
      <c r="Z460" s="1"/>
      <c r="AA460" s="1"/>
      <c r="AB460" s="8"/>
      <c r="AC460" s="8"/>
      <c r="AD460" s="8"/>
      <c r="AE460" s="8"/>
      <c r="AF460" s="8"/>
      <c r="AG460" s="8"/>
      <c r="AH460" s="8"/>
      <c r="AI460" s="8"/>
      <c r="AJ460" s="8"/>
    </row>
    <row r="461" spans="1:36" ht="15" customHeight="1" x14ac:dyDescent="0.35">
      <c r="A461" s="4" t="s">
        <v>684</v>
      </c>
      <c r="B461" s="1" t="s">
        <v>1702</v>
      </c>
      <c r="C461" s="11">
        <v>44991</v>
      </c>
      <c r="D461" s="11" t="s">
        <v>4602</v>
      </c>
      <c r="E461" s="1" t="s">
        <v>21</v>
      </c>
      <c r="F461" s="1" t="s">
        <v>4610</v>
      </c>
      <c r="G461" s="6">
        <f>COUNTIF(F:F,Table2[[#This Row],[Form '#]])</f>
        <v>1</v>
      </c>
      <c r="H461" s="1" t="s">
        <v>1475</v>
      </c>
      <c r="I461" s="1" t="s">
        <v>3852</v>
      </c>
      <c r="J461" s="1" t="s">
        <v>80</v>
      </c>
      <c r="K461" s="1" t="s">
        <v>4011</v>
      </c>
      <c r="L461" s="1"/>
      <c r="M461" s="6" t="str">
        <f>IF(Table2[[#This Row],[Corrected Form '#
 (If Duplicated)]]="",Table2[[#This Row],[Form '#]],Table2[[#This Row],[Corrected Form '#
 (If Duplicated)]])</f>
        <v>7818-27164</v>
      </c>
      <c r="N461" s="1" t="s">
        <v>49</v>
      </c>
      <c r="O461" s="6" t="str">
        <f>IF(Table2[[#This Row],[POG CONFIRMATION RECEIPT OF ORDER
(DATE &amp; TIME)]]="","No Confirmation","Received Confirmation")</f>
        <v>Received Confirmation</v>
      </c>
      <c r="P461" s="6">
        <f ca="1">TODAY()-Table2[[#This Row],[DATE SENT TO POG]]</f>
        <v>312</v>
      </c>
      <c r="Q461" s="6" t="s">
        <v>5803</v>
      </c>
      <c r="R4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6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61" s="2" t="str">
        <f>_xlfn.XLOOKUP(Table2[[#This Row],[Adjusted Form '#]],'[2]IN PROGRESS'!$D:$D,'[2]IN PROGRESS'!$M:$M,"Not Found")</f>
        <v>Not Found</v>
      </c>
      <c r="U461" s="2" t="str">
        <f>_xlfn.XLOOKUP(Table2[[#This Row],[Adjusted Form '#]],[1]COMPLETED!$D:$D,[2]COMPLETED!$M:$M,"Not Found")</f>
        <v>Not Found</v>
      </c>
      <c r="V461" s="17">
        <f>_xlfn.XLOOKUP(Table2[[#This Row],[Adjusted Form '#]],[2]COMPLETED!$D:$D,[2]COMPLETED!$O:$O,"Not Found")</f>
        <v>0</v>
      </c>
      <c r="W461" s="2" t="str">
        <f>_xlfn.XLOOKUP(Table2[[#This Row],[Adjusted Form '#]],[2]BILLED!$D:$D,[2]BILLED!$M:$M,"Not Found")</f>
        <v>Not Found</v>
      </c>
      <c r="X461" s="17" t="str">
        <f>_xlfn.XLOOKUP(Table2[[#This Row],[Adjusted Form '#]],[2]BILLED!$D:$D,[1]BILLED!$O:$O,"Not Found")</f>
        <v>Not Found</v>
      </c>
      <c r="Y461" s="17" t="e">
        <f>_xlfn.XLOOKUP(Table2[[#This Row],[Adjusted Form '#]],'[2]REJECTED ORDERS'!$D:$D,'[2]REJECTED ORDERS'!$E:$E)</f>
        <v>#N/A</v>
      </c>
      <c r="Z461" s="1"/>
      <c r="AA461" s="1"/>
      <c r="AB461" s="8"/>
      <c r="AC461" s="8"/>
      <c r="AD461" s="8"/>
      <c r="AE461" s="8"/>
      <c r="AF461" s="8"/>
      <c r="AG461" s="8"/>
      <c r="AH461" s="8"/>
      <c r="AI461" s="8"/>
      <c r="AJ461" s="8"/>
    </row>
    <row r="462" spans="1:36" ht="15" customHeight="1" x14ac:dyDescent="0.35">
      <c r="A462" s="4" t="s">
        <v>685</v>
      </c>
      <c r="B462" s="1" t="s">
        <v>1702</v>
      </c>
      <c r="C462" s="11">
        <v>44991</v>
      </c>
      <c r="D462" s="11" t="s">
        <v>4602</v>
      </c>
      <c r="E462" s="1" t="s">
        <v>21</v>
      </c>
      <c r="F462" s="1" t="s">
        <v>4611</v>
      </c>
      <c r="G462" s="6">
        <f>COUNTIF(F:F,Table2[[#This Row],[Form '#]])</f>
        <v>1</v>
      </c>
      <c r="H462" s="1" t="s">
        <v>4612</v>
      </c>
      <c r="I462" s="1" t="s">
        <v>3864</v>
      </c>
      <c r="J462" s="1" t="s">
        <v>75</v>
      </c>
      <c r="K462" s="1" t="s">
        <v>3853</v>
      </c>
      <c r="L462" s="1"/>
      <c r="M462" s="6" t="str">
        <f>IF(Table2[[#This Row],[Corrected Form '#
 (If Duplicated)]]="",Table2[[#This Row],[Form '#]],Table2[[#This Row],[Corrected Form '#
 (If Duplicated)]])</f>
        <v>7818-25178</v>
      </c>
      <c r="N462" s="1" t="s">
        <v>49</v>
      </c>
      <c r="O462" s="6" t="str">
        <f>IF(Table2[[#This Row],[POG CONFIRMATION RECEIPT OF ORDER
(DATE &amp; TIME)]]="","No Confirmation","Received Confirmation")</f>
        <v>Received Confirmation</v>
      </c>
      <c r="P462" s="6">
        <f ca="1">TODAY()-Table2[[#This Row],[DATE SENT TO POG]]</f>
        <v>312</v>
      </c>
      <c r="Q462" s="6" t="s">
        <v>5803</v>
      </c>
      <c r="R4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62" s="2" t="str">
        <f>_xlfn.XLOOKUP(Table2[[#This Row],[Adjusted Form '#]],'[2]IN PROGRESS'!$D:$D,'[2]IN PROGRESS'!$M:$M,"Not Found")</f>
        <v>Not Found</v>
      </c>
      <c r="U462" s="2" t="str">
        <f>_xlfn.XLOOKUP(Table2[[#This Row],[Adjusted Form '#]],[1]COMPLETED!$D:$D,[2]COMPLETED!$M:$M,"Not Found")</f>
        <v>Not Found</v>
      </c>
      <c r="V462" s="17" t="str">
        <f>_xlfn.XLOOKUP(Table2[[#This Row],[Adjusted Form '#]],[2]COMPLETED!$D:$D,[2]COMPLETED!$O:$O,"Not Found")</f>
        <v>Not Found</v>
      </c>
      <c r="W462" s="2" t="str">
        <f>_xlfn.XLOOKUP(Table2[[#This Row],[Adjusted Form '#]],[2]BILLED!$D:$D,[2]BILLED!$M:$M,"Not Found")</f>
        <v>1Z5063E0YW41309783</v>
      </c>
      <c r="X462" s="17" t="e">
        <f>_xlfn.XLOOKUP(Table2[[#This Row],[Adjusted Form '#]],[2]BILLED!$D:$D,[1]BILLED!$O:$O,"Not Found")</f>
        <v>#REF!</v>
      </c>
      <c r="Y462" s="17" t="e">
        <f>_xlfn.XLOOKUP(Table2[[#This Row],[Adjusted Form '#]],'[2]REJECTED ORDERS'!$D:$D,'[2]REJECTED ORDERS'!$E:$E)</f>
        <v>#N/A</v>
      </c>
      <c r="Z462" s="1"/>
      <c r="AA462" s="1"/>
      <c r="AB462" s="8"/>
      <c r="AC462" s="8"/>
      <c r="AD462" s="8"/>
      <c r="AE462" s="8"/>
      <c r="AF462" s="8"/>
      <c r="AG462" s="8"/>
      <c r="AH462" s="8"/>
      <c r="AI462" s="8"/>
      <c r="AJ462" s="8"/>
    </row>
    <row r="463" spans="1:36" ht="15" customHeight="1" x14ac:dyDescent="0.35">
      <c r="A463" s="4" t="s">
        <v>686</v>
      </c>
      <c r="B463" s="1" t="s">
        <v>1702</v>
      </c>
      <c r="C463" s="11">
        <v>44991</v>
      </c>
      <c r="D463" s="11" t="s">
        <v>4602</v>
      </c>
      <c r="E463" s="1" t="s">
        <v>21</v>
      </c>
      <c r="F463" s="1" t="s">
        <v>661</v>
      </c>
      <c r="G463" s="6">
        <f>COUNTIF(F:F,Table2[[#This Row],[Form '#]])</f>
        <v>1</v>
      </c>
      <c r="H463" s="1" t="s">
        <v>2808</v>
      </c>
      <c r="I463" s="1" t="s">
        <v>177</v>
      </c>
      <c r="J463" s="1" t="s">
        <v>75</v>
      </c>
      <c r="K463" s="1" t="s">
        <v>3853</v>
      </c>
      <c r="L463" s="1"/>
      <c r="M463" s="6" t="str">
        <f>IF(Table2[[#This Row],[Corrected Form '#
 (If Duplicated)]]="",Table2[[#This Row],[Form '#]],Table2[[#This Row],[Corrected Form '#
 (If Duplicated)]])</f>
        <v>7818-03230</v>
      </c>
      <c r="N463" s="1" t="s">
        <v>49</v>
      </c>
      <c r="O463" s="6" t="str">
        <f>IF(Table2[[#This Row],[POG CONFIRMATION RECEIPT OF ORDER
(DATE &amp; TIME)]]="","No Confirmation","Received Confirmation")</f>
        <v>Received Confirmation</v>
      </c>
      <c r="P463" s="6">
        <f ca="1">TODAY()-Table2[[#This Row],[DATE SENT TO POG]]</f>
        <v>312</v>
      </c>
      <c r="Q463" s="6" t="s">
        <v>5803</v>
      </c>
      <c r="R4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6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63" s="2" t="str">
        <f>_xlfn.XLOOKUP(Table2[[#This Row],[Adjusted Form '#]],'[2]IN PROGRESS'!$D:$D,'[2]IN PROGRESS'!$M:$M,"Not Found")</f>
        <v>Not Found</v>
      </c>
      <c r="U463" s="2" t="str">
        <f>_xlfn.XLOOKUP(Table2[[#This Row],[Adjusted Form '#]],[1]COMPLETED!$D:$D,[2]COMPLETED!$M:$M,"Not Found")</f>
        <v>Not Found</v>
      </c>
      <c r="V463" s="17">
        <f>_xlfn.XLOOKUP(Table2[[#This Row],[Adjusted Form '#]],[2]COMPLETED!$D:$D,[2]COMPLETED!$O:$O,"Not Found")</f>
        <v>0</v>
      </c>
      <c r="W463" s="2" t="str">
        <f>_xlfn.XLOOKUP(Table2[[#This Row],[Adjusted Form '#]],[2]BILLED!$D:$D,[2]BILLED!$M:$M,"Not Found")</f>
        <v>Not Found</v>
      </c>
      <c r="X463" s="17" t="str">
        <f>_xlfn.XLOOKUP(Table2[[#This Row],[Adjusted Form '#]],[2]BILLED!$D:$D,[1]BILLED!$O:$O,"Not Found")</f>
        <v>Not Found</v>
      </c>
      <c r="Y463" s="17" t="e">
        <f>_xlfn.XLOOKUP(Table2[[#This Row],[Adjusted Form '#]],'[2]REJECTED ORDERS'!$D:$D,'[2]REJECTED ORDERS'!$E:$E)</f>
        <v>#N/A</v>
      </c>
      <c r="Z463" s="1"/>
      <c r="AA463" s="1"/>
      <c r="AB463" s="8"/>
      <c r="AC463" s="8"/>
      <c r="AD463" s="8"/>
      <c r="AE463" s="8"/>
      <c r="AF463" s="8"/>
      <c r="AG463" s="8"/>
      <c r="AH463" s="8"/>
      <c r="AI463" s="8"/>
      <c r="AJ463" s="8"/>
    </row>
    <row r="464" spans="1:36" ht="15" customHeight="1" x14ac:dyDescent="0.35">
      <c r="A464" s="4" t="s">
        <v>688</v>
      </c>
      <c r="B464" s="1" t="s">
        <v>1702</v>
      </c>
      <c r="C464" s="11">
        <v>44991</v>
      </c>
      <c r="D464" s="11" t="s">
        <v>4602</v>
      </c>
      <c r="E464" s="1" t="s">
        <v>21</v>
      </c>
      <c r="F464" s="1" t="s">
        <v>4613</v>
      </c>
      <c r="G464" s="6">
        <f>COUNTIF(F:F,Table2[[#This Row],[Form '#]])</f>
        <v>1</v>
      </c>
      <c r="H464" s="1" t="s">
        <v>1801</v>
      </c>
      <c r="I464" s="1" t="s">
        <v>758</v>
      </c>
      <c r="J464" s="1" t="s">
        <v>78</v>
      </c>
      <c r="K464" s="1" t="s">
        <v>3853</v>
      </c>
      <c r="L464" s="1"/>
      <c r="M464" s="6" t="str">
        <f>IF(Table2[[#This Row],[Corrected Form '#
 (If Duplicated)]]="",Table2[[#This Row],[Form '#]],Table2[[#This Row],[Corrected Form '#
 (If Duplicated)]])</f>
        <v>7818-26184</v>
      </c>
      <c r="N464" s="1" t="s">
        <v>49</v>
      </c>
      <c r="O464" s="6" t="str">
        <f>IF(Table2[[#This Row],[POG CONFIRMATION RECEIPT OF ORDER
(DATE &amp; TIME)]]="","No Confirmation","Received Confirmation")</f>
        <v>Received Confirmation</v>
      </c>
      <c r="P464" s="6">
        <f ca="1">TODAY()-Table2[[#This Row],[DATE SENT TO POG]]</f>
        <v>312</v>
      </c>
      <c r="Q464" s="6" t="s">
        <v>5803</v>
      </c>
      <c r="R4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6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64" s="2" t="str">
        <f>_xlfn.XLOOKUP(Table2[[#This Row],[Adjusted Form '#]],'[2]IN PROGRESS'!$D:$D,'[2]IN PROGRESS'!$M:$M,"Not Found")</f>
        <v>Not Found</v>
      </c>
      <c r="U464" s="2" t="str">
        <f>_xlfn.XLOOKUP(Table2[[#This Row],[Adjusted Form '#]],[1]COMPLETED!$D:$D,[2]COMPLETED!$M:$M,"Not Found")</f>
        <v>Not Found</v>
      </c>
      <c r="V464" s="17">
        <f>_xlfn.XLOOKUP(Table2[[#This Row],[Adjusted Form '#]],[2]COMPLETED!$D:$D,[2]COMPLETED!$O:$O,"Not Found")</f>
        <v>0</v>
      </c>
      <c r="W464" s="2" t="str">
        <f>_xlfn.XLOOKUP(Table2[[#This Row],[Adjusted Form '#]],[2]BILLED!$D:$D,[2]BILLED!$M:$M,"Not Found")</f>
        <v>Not Found</v>
      </c>
      <c r="X464" s="17" t="str">
        <f>_xlfn.XLOOKUP(Table2[[#This Row],[Adjusted Form '#]],[2]BILLED!$D:$D,[1]BILLED!$O:$O,"Not Found")</f>
        <v>Not Found</v>
      </c>
      <c r="Y464" s="17" t="e">
        <f>_xlfn.XLOOKUP(Table2[[#This Row],[Adjusted Form '#]],'[2]REJECTED ORDERS'!$D:$D,'[2]REJECTED ORDERS'!$E:$E)</f>
        <v>#N/A</v>
      </c>
      <c r="Z464" s="1"/>
      <c r="AA464" s="1"/>
      <c r="AB464" s="8"/>
      <c r="AC464" s="8"/>
      <c r="AD464" s="8"/>
      <c r="AE464" s="8"/>
      <c r="AF464" s="8"/>
      <c r="AG464" s="8"/>
      <c r="AH464" s="8"/>
      <c r="AI464" s="8"/>
      <c r="AJ464" s="8"/>
    </row>
    <row r="465" spans="1:36" ht="15" customHeight="1" x14ac:dyDescent="0.35">
      <c r="A465" s="4" t="s">
        <v>691</v>
      </c>
      <c r="B465" s="1" t="s">
        <v>1335</v>
      </c>
      <c r="C465" s="11">
        <v>44991</v>
      </c>
      <c r="D465" s="11" t="s">
        <v>4614</v>
      </c>
      <c r="E465" s="1" t="s">
        <v>21</v>
      </c>
      <c r="F465" s="1" t="s">
        <v>4615</v>
      </c>
      <c r="G465" s="6">
        <f>COUNTIF(F:F,Table2[[#This Row],[Form '#]])</f>
        <v>1</v>
      </c>
      <c r="H465" s="1" t="s">
        <v>999</v>
      </c>
      <c r="I465" s="1" t="s">
        <v>3864</v>
      </c>
      <c r="J465" s="1" t="s">
        <v>78</v>
      </c>
      <c r="K465" s="1" t="s">
        <v>3853</v>
      </c>
      <c r="L465" s="1"/>
      <c r="M465" s="6" t="str">
        <f>IF(Table2[[#This Row],[Corrected Form '#
 (If Duplicated)]]="",Table2[[#This Row],[Form '#]],Table2[[#This Row],[Corrected Form '#
 (If Duplicated)]])</f>
        <v>7818-24301</v>
      </c>
      <c r="N465" s="1" t="s">
        <v>49</v>
      </c>
      <c r="O465" s="6" t="str">
        <f>IF(Table2[[#This Row],[POG CONFIRMATION RECEIPT OF ORDER
(DATE &amp; TIME)]]="","No Confirmation","Received Confirmation")</f>
        <v>Received Confirmation</v>
      </c>
      <c r="P465" s="6">
        <f ca="1">TODAY()-Table2[[#This Row],[DATE SENT TO POG]]</f>
        <v>312</v>
      </c>
      <c r="Q465" s="6" t="s">
        <v>5803</v>
      </c>
      <c r="R4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65" s="2" t="str">
        <f>_xlfn.XLOOKUP(Table2[[#This Row],[Adjusted Form '#]],'[2]IN PROGRESS'!$D:$D,'[2]IN PROGRESS'!$M:$M,"Not Found")</f>
        <v>Not Found</v>
      </c>
      <c r="U465" s="2" t="str">
        <f>_xlfn.XLOOKUP(Table2[[#This Row],[Adjusted Form '#]],[1]COMPLETED!$D:$D,[2]COMPLETED!$M:$M,"Not Found")</f>
        <v>Not Found</v>
      </c>
      <c r="V465" s="17" t="str">
        <f>_xlfn.XLOOKUP(Table2[[#This Row],[Adjusted Form '#]],[2]COMPLETED!$D:$D,[2]COMPLETED!$O:$O,"Not Found")</f>
        <v>Not Found</v>
      </c>
      <c r="W465" s="2" t="str">
        <f>_xlfn.XLOOKUP(Table2[[#This Row],[Adjusted Form '#]],[2]BILLED!$D:$D,[2]BILLED!$M:$M,"Not Found")</f>
        <v>1Z5063E0YW42334824</v>
      </c>
      <c r="X465" s="17" t="e">
        <f>_xlfn.XLOOKUP(Table2[[#This Row],[Adjusted Form '#]],[2]BILLED!$D:$D,[1]BILLED!$O:$O,"Not Found")</f>
        <v>#REF!</v>
      </c>
      <c r="Y465" s="17" t="e">
        <f>_xlfn.XLOOKUP(Table2[[#This Row],[Adjusted Form '#]],'[2]REJECTED ORDERS'!$D:$D,'[2]REJECTED ORDERS'!$E:$E)</f>
        <v>#N/A</v>
      </c>
      <c r="Z465" s="1"/>
      <c r="AA465" s="1"/>
      <c r="AB465" s="8"/>
      <c r="AC465" s="8"/>
      <c r="AD465" s="8"/>
      <c r="AE465" s="8"/>
      <c r="AF465" s="8"/>
      <c r="AG465" s="8"/>
      <c r="AH465" s="8"/>
      <c r="AI465" s="8"/>
      <c r="AJ465" s="8"/>
    </row>
    <row r="466" spans="1:36" ht="15" customHeight="1" x14ac:dyDescent="0.35">
      <c r="A466" s="4" t="s">
        <v>693</v>
      </c>
      <c r="B466" s="1" t="s">
        <v>1335</v>
      </c>
      <c r="C466" s="11">
        <v>44991</v>
      </c>
      <c r="D466" s="11" t="s">
        <v>4614</v>
      </c>
      <c r="E466" s="1" t="s">
        <v>21</v>
      </c>
      <c r="F466" s="1" t="s">
        <v>4616</v>
      </c>
      <c r="G466" s="6">
        <f>COUNTIF(F:F,Table2[[#This Row],[Form '#]])</f>
        <v>1</v>
      </c>
      <c r="H466" s="1" t="s">
        <v>1178</v>
      </c>
      <c r="I466" s="1" t="s">
        <v>177</v>
      </c>
      <c r="J466" s="1" t="s">
        <v>75</v>
      </c>
      <c r="K466" s="1" t="s">
        <v>3853</v>
      </c>
      <c r="L466" s="1"/>
      <c r="M466" s="6" t="str">
        <f>IF(Table2[[#This Row],[Corrected Form '#
 (If Duplicated)]]="",Table2[[#This Row],[Form '#]],Table2[[#This Row],[Corrected Form '#
 (If Duplicated)]])</f>
        <v>7818-11551</v>
      </c>
      <c r="N466" s="1" t="s">
        <v>49</v>
      </c>
      <c r="O466" s="6" t="str">
        <f>IF(Table2[[#This Row],[POG CONFIRMATION RECEIPT OF ORDER
(DATE &amp; TIME)]]="","No Confirmation","Received Confirmation")</f>
        <v>Received Confirmation</v>
      </c>
      <c r="P466" s="6">
        <f ca="1">TODAY()-Table2[[#This Row],[DATE SENT TO POG]]</f>
        <v>312</v>
      </c>
      <c r="Q466" s="6" t="s">
        <v>5803</v>
      </c>
      <c r="R4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6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66" s="2" t="str">
        <f>_xlfn.XLOOKUP(Table2[[#This Row],[Adjusted Form '#]],'[2]IN PROGRESS'!$D:$D,'[2]IN PROGRESS'!$M:$M,"Not Found")</f>
        <v>Not Found</v>
      </c>
      <c r="U466" s="2" t="str">
        <f>_xlfn.XLOOKUP(Table2[[#This Row],[Adjusted Form '#]],[1]COMPLETED!$D:$D,[2]COMPLETED!$M:$M,"Not Found")</f>
        <v>Not Found</v>
      </c>
      <c r="V466" s="17">
        <f>_xlfn.XLOOKUP(Table2[[#This Row],[Adjusted Form '#]],[2]COMPLETED!$D:$D,[2]COMPLETED!$O:$O,"Not Found")</f>
        <v>0</v>
      </c>
      <c r="W466" s="2" t="str">
        <f>_xlfn.XLOOKUP(Table2[[#This Row],[Adjusted Form '#]],[2]BILLED!$D:$D,[2]BILLED!$M:$M,"Not Found")</f>
        <v>Not Found</v>
      </c>
      <c r="X466" s="17" t="str">
        <f>_xlfn.XLOOKUP(Table2[[#This Row],[Adjusted Form '#]],[2]BILLED!$D:$D,[1]BILLED!$O:$O,"Not Found")</f>
        <v>Not Found</v>
      </c>
      <c r="Y466" s="17" t="e">
        <f>_xlfn.XLOOKUP(Table2[[#This Row],[Adjusted Form '#]],'[2]REJECTED ORDERS'!$D:$D,'[2]REJECTED ORDERS'!$E:$E)</f>
        <v>#N/A</v>
      </c>
      <c r="Z466" s="1"/>
      <c r="AA466" s="1"/>
      <c r="AB466" s="8"/>
      <c r="AC466" s="8"/>
      <c r="AD466" s="8"/>
      <c r="AE466" s="8"/>
      <c r="AF466" s="8"/>
      <c r="AG466" s="8"/>
      <c r="AH466" s="8"/>
      <c r="AI466" s="8"/>
      <c r="AJ466" s="8"/>
    </row>
    <row r="467" spans="1:36" ht="15" customHeight="1" x14ac:dyDescent="0.35">
      <c r="A467" s="4" t="s">
        <v>695</v>
      </c>
      <c r="B467" s="1" t="s">
        <v>1294</v>
      </c>
      <c r="C467" s="11">
        <v>44991</v>
      </c>
      <c r="D467" s="11" t="s">
        <v>4614</v>
      </c>
      <c r="E467" s="1" t="s">
        <v>21</v>
      </c>
      <c r="F467" s="1" t="s">
        <v>4617</v>
      </c>
      <c r="G467" s="6">
        <f>COUNTIF(F:F,Table2[[#This Row],[Form '#]])</f>
        <v>1</v>
      </c>
      <c r="H467" s="1" t="s">
        <v>3681</v>
      </c>
      <c r="I467" s="1" t="s">
        <v>177</v>
      </c>
      <c r="J467" s="1" t="s">
        <v>75</v>
      </c>
      <c r="K467" s="1" t="s">
        <v>4011</v>
      </c>
      <c r="L467" s="1"/>
      <c r="M467" s="6" t="str">
        <f>IF(Table2[[#This Row],[Corrected Form '#
 (If Duplicated)]]="",Table2[[#This Row],[Form '#]],Table2[[#This Row],[Corrected Form '#
 (If Duplicated)]])</f>
        <v>7818-25751</v>
      </c>
      <c r="N467" s="1" t="s">
        <v>49</v>
      </c>
      <c r="O467" s="6" t="str">
        <f>IF(Table2[[#This Row],[POG CONFIRMATION RECEIPT OF ORDER
(DATE &amp; TIME)]]="","No Confirmation","Received Confirmation")</f>
        <v>Received Confirmation</v>
      </c>
      <c r="P467" s="6">
        <f ca="1">TODAY()-Table2[[#This Row],[DATE SENT TO POG]]</f>
        <v>312</v>
      </c>
      <c r="Q467" s="6" t="s">
        <v>5803</v>
      </c>
      <c r="R4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67" s="2" t="str">
        <f>_xlfn.XLOOKUP(Table2[[#This Row],[Adjusted Form '#]],'[2]IN PROGRESS'!$D:$D,'[2]IN PROGRESS'!$M:$M,"Not Found")</f>
        <v>Not Found</v>
      </c>
      <c r="U467" s="2" t="str">
        <f>_xlfn.XLOOKUP(Table2[[#This Row],[Adjusted Form '#]],[1]COMPLETED!$D:$D,[2]COMPLETED!$M:$M,"Not Found")</f>
        <v>Not Found</v>
      </c>
      <c r="V467" s="17" t="str">
        <f>_xlfn.XLOOKUP(Table2[[#This Row],[Adjusted Form '#]],[2]COMPLETED!$D:$D,[2]COMPLETED!$O:$O,"Not Found")</f>
        <v>Not Found</v>
      </c>
      <c r="W467" s="2" t="str">
        <f>_xlfn.XLOOKUP(Table2[[#This Row],[Adjusted Form '#]],[2]BILLED!$D:$D,[2]BILLED!$M:$M,"Not Found")</f>
        <v>1Z5063E0YW40198477</v>
      </c>
      <c r="X467" s="17" t="e">
        <f>_xlfn.XLOOKUP(Table2[[#This Row],[Adjusted Form '#]],[2]BILLED!$D:$D,[1]BILLED!$O:$O,"Not Found")</f>
        <v>#REF!</v>
      </c>
      <c r="Y467" s="17" t="e">
        <f>_xlfn.XLOOKUP(Table2[[#This Row],[Adjusted Form '#]],'[2]REJECTED ORDERS'!$D:$D,'[2]REJECTED ORDERS'!$E:$E)</f>
        <v>#N/A</v>
      </c>
      <c r="Z467" s="1"/>
      <c r="AA467" s="1"/>
      <c r="AB467" s="8"/>
      <c r="AC467" s="8"/>
      <c r="AD467" s="8"/>
      <c r="AE467" s="8"/>
      <c r="AF467" s="8"/>
      <c r="AG467" s="8"/>
      <c r="AH467" s="8"/>
      <c r="AI467" s="8"/>
      <c r="AJ467" s="8"/>
    </row>
    <row r="468" spans="1:36" ht="15" customHeight="1" x14ac:dyDescent="0.35">
      <c r="A468" s="4" t="s">
        <v>696</v>
      </c>
      <c r="B468" s="1" t="s">
        <v>4618</v>
      </c>
      <c r="C468" s="11">
        <v>44992</v>
      </c>
      <c r="D468" s="11" t="s">
        <v>4614</v>
      </c>
      <c r="E468" s="1" t="s">
        <v>21</v>
      </c>
      <c r="F468" s="1" t="s">
        <v>4619</v>
      </c>
      <c r="G468" s="6">
        <f>COUNTIF(F:F,Table2[[#This Row],[Form '#]])</f>
        <v>1</v>
      </c>
      <c r="H468" s="1" t="s">
        <v>4620</v>
      </c>
      <c r="I468" s="1" t="s">
        <v>127</v>
      </c>
      <c r="J468" s="1" t="s">
        <v>76</v>
      </c>
      <c r="K468" s="1" t="s">
        <v>3883</v>
      </c>
      <c r="L468" s="1"/>
      <c r="M468" s="6" t="str">
        <f>IF(Table2[[#This Row],[Corrected Form '#
 (If Duplicated)]]="",Table2[[#This Row],[Form '#]],Table2[[#This Row],[Corrected Form '#
 (If Duplicated)]])</f>
        <v>7818-21782</v>
      </c>
      <c r="N468" s="1" t="s">
        <v>49</v>
      </c>
      <c r="O468" s="6" t="str">
        <f>IF(Table2[[#This Row],[POG CONFIRMATION RECEIPT OF ORDER
(DATE &amp; TIME)]]="","No Confirmation","Received Confirmation")</f>
        <v>Received Confirmation</v>
      </c>
      <c r="P468" s="6">
        <f ca="1">TODAY()-Table2[[#This Row],[DATE SENT TO POG]]</f>
        <v>311</v>
      </c>
      <c r="Q468" s="6" t="s">
        <v>5803</v>
      </c>
      <c r="R4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68" s="2" t="str">
        <f>_xlfn.XLOOKUP(Table2[[#This Row],[Adjusted Form '#]],'[2]IN PROGRESS'!$D:$D,'[2]IN PROGRESS'!$M:$M,"Not Found")</f>
        <v>Not Found</v>
      </c>
      <c r="U468" s="2" t="str">
        <f>_xlfn.XLOOKUP(Table2[[#This Row],[Adjusted Form '#]],[1]COMPLETED!$D:$D,[2]COMPLETED!$M:$M,"Not Found")</f>
        <v>Not Found</v>
      </c>
      <c r="V468" s="17" t="str">
        <f>_xlfn.XLOOKUP(Table2[[#This Row],[Adjusted Form '#]],[2]COMPLETED!$D:$D,[2]COMPLETED!$O:$O,"Not Found")</f>
        <v>Not Found</v>
      </c>
      <c r="W468" s="2" t="str">
        <f>_xlfn.XLOOKUP(Table2[[#This Row],[Adjusted Form '#]],[2]BILLED!$D:$D,[2]BILLED!$M:$M,"Not Found")</f>
        <v>9402 1112 0620 7141 6184 97</v>
      </c>
      <c r="X468" s="17" t="e">
        <f>_xlfn.XLOOKUP(Table2[[#This Row],[Adjusted Form '#]],[2]BILLED!$D:$D,[1]BILLED!$O:$O,"Not Found")</f>
        <v>#REF!</v>
      </c>
      <c r="Y468" s="17" t="e">
        <f>_xlfn.XLOOKUP(Table2[[#This Row],[Adjusted Form '#]],'[2]REJECTED ORDERS'!$D:$D,'[2]REJECTED ORDERS'!$E:$E)</f>
        <v>#N/A</v>
      </c>
      <c r="Z468" s="1"/>
      <c r="AA468" s="1"/>
      <c r="AB468" s="8"/>
      <c r="AC468" s="8"/>
      <c r="AD468" s="8"/>
      <c r="AE468" s="8"/>
      <c r="AF468" s="8"/>
      <c r="AG468" s="8"/>
      <c r="AH468" s="8"/>
      <c r="AI468" s="8"/>
      <c r="AJ468" s="8"/>
    </row>
    <row r="469" spans="1:36" ht="15" customHeight="1" x14ac:dyDescent="0.35">
      <c r="A469" s="4" t="s">
        <v>699</v>
      </c>
      <c r="B469" s="1" t="s">
        <v>4618</v>
      </c>
      <c r="C469" s="11">
        <v>44992</v>
      </c>
      <c r="D469" s="11" t="s">
        <v>4614</v>
      </c>
      <c r="E469" s="1" t="s">
        <v>21</v>
      </c>
      <c r="F469" s="1" t="s">
        <v>4621</v>
      </c>
      <c r="G469" s="6">
        <f>COUNTIF(F:F,Table2[[#This Row],[Form '#]])</f>
        <v>1</v>
      </c>
      <c r="H469" s="1" t="s">
        <v>4622</v>
      </c>
      <c r="I469" s="1" t="s">
        <v>28</v>
      </c>
      <c r="J469" s="1" t="s">
        <v>28</v>
      </c>
      <c r="K469" s="1" t="s">
        <v>4011</v>
      </c>
      <c r="L469" s="1"/>
      <c r="M469" s="6" t="str">
        <f>IF(Table2[[#This Row],[Corrected Form '#
 (If Duplicated)]]="",Table2[[#This Row],[Form '#]],Table2[[#This Row],[Corrected Form '#
 (If Duplicated)]])</f>
        <v>7818-20131</v>
      </c>
      <c r="N469" s="1" t="s">
        <v>49</v>
      </c>
      <c r="O469" s="6" t="str">
        <f>IF(Table2[[#This Row],[POG CONFIRMATION RECEIPT OF ORDER
(DATE &amp; TIME)]]="","No Confirmation","Received Confirmation")</f>
        <v>Received Confirmation</v>
      </c>
      <c r="P469" s="6">
        <f ca="1">TODAY()-Table2[[#This Row],[DATE SENT TO POG]]</f>
        <v>311</v>
      </c>
      <c r="Q469" s="6" t="s">
        <v>5803</v>
      </c>
      <c r="R4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6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69" s="2" t="str">
        <f>_xlfn.XLOOKUP(Table2[[#This Row],[Adjusted Form '#]],'[2]IN PROGRESS'!$D:$D,'[2]IN PROGRESS'!$M:$M,"Not Found")</f>
        <v>Not Found</v>
      </c>
      <c r="U469" s="2" t="str">
        <f>_xlfn.XLOOKUP(Table2[[#This Row],[Adjusted Form '#]],[1]COMPLETED!$D:$D,[2]COMPLETED!$M:$M,"Not Found")</f>
        <v>Not Found</v>
      </c>
      <c r="V469" s="17">
        <f>_xlfn.XLOOKUP(Table2[[#This Row],[Adjusted Form '#]],[2]COMPLETED!$D:$D,[2]COMPLETED!$O:$O,"Not Found")</f>
        <v>0</v>
      </c>
      <c r="W469" s="2" t="str">
        <f>_xlfn.XLOOKUP(Table2[[#This Row],[Adjusted Form '#]],[2]BILLED!$D:$D,[2]BILLED!$M:$M,"Not Found")</f>
        <v>Not Found</v>
      </c>
      <c r="X469" s="17" t="str">
        <f>_xlfn.XLOOKUP(Table2[[#This Row],[Adjusted Form '#]],[2]BILLED!$D:$D,[1]BILLED!$O:$O,"Not Found")</f>
        <v>Not Found</v>
      </c>
      <c r="Y469" s="17" t="e">
        <f>_xlfn.XLOOKUP(Table2[[#This Row],[Adjusted Form '#]],'[2]REJECTED ORDERS'!$D:$D,'[2]REJECTED ORDERS'!$E:$E)</f>
        <v>#N/A</v>
      </c>
      <c r="Z469" s="1"/>
      <c r="AA469" s="1"/>
      <c r="AB469" s="8"/>
      <c r="AC469" s="8"/>
      <c r="AD469" s="8"/>
      <c r="AE469" s="8"/>
      <c r="AF469" s="8"/>
      <c r="AG469" s="8"/>
      <c r="AH469" s="8"/>
      <c r="AI469" s="8"/>
      <c r="AJ469" s="8"/>
    </row>
    <row r="470" spans="1:36" ht="15" customHeight="1" x14ac:dyDescent="0.35">
      <c r="A470" s="4" t="s">
        <v>700</v>
      </c>
      <c r="B470" s="1" t="s">
        <v>4618</v>
      </c>
      <c r="C470" s="11">
        <v>44992</v>
      </c>
      <c r="D470" s="11" t="s">
        <v>4623</v>
      </c>
      <c r="E470" s="1" t="s">
        <v>21</v>
      </c>
      <c r="F470" s="1" t="s">
        <v>6016</v>
      </c>
      <c r="G470" s="6">
        <f>COUNTIF(F:F,Table2[[#This Row],[Form '#]])</f>
        <v>1</v>
      </c>
      <c r="H470" s="1" t="s">
        <v>4624</v>
      </c>
      <c r="I470" s="1" t="s">
        <v>3852</v>
      </c>
      <c r="J470" s="1" t="s">
        <v>75</v>
      </c>
      <c r="K470" s="1" t="s">
        <v>3853</v>
      </c>
      <c r="L470" s="1"/>
      <c r="M470" s="6" t="str">
        <f>IF(Table2[[#This Row],[Corrected Form '#
 (If Duplicated)]]="",Table2[[#This Row],[Form '#]],Table2[[#This Row],[Corrected Form '#
 (If Duplicated)]])</f>
        <v>7812-02079</v>
      </c>
      <c r="N470" s="1" t="s">
        <v>49</v>
      </c>
      <c r="O470" s="6" t="str">
        <f>IF(Table2[[#This Row],[POG CONFIRMATION RECEIPT OF ORDER
(DATE &amp; TIME)]]="","No Confirmation","Received Confirmation")</f>
        <v>Received Confirmation</v>
      </c>
      <c r="P470" s="6">
        <f ca="1">TODAY()-Table2[[#This Row],[DATE SENT TO POG]]</f>
        <v>311</v>
      </c>
      <c r="Q470" s="6" t="s">
        <v>5803</v>
      </c>
      <c r="R4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70" s="2" t="str">
        <f>_xlfn.XLOOKUP(Table2[[#This Row],[Adjusted Form '#]],'[2]IN PROGRESS'!$D:$D,'[2]IN PROGRESS'!$M:$M,"Not Found")</f>
        <v>Not Found</v>
      </c>
      <c r="U470" s="2" t="str">
        <f>_xlfn.XLOOKUP(Table2[[#This Row],[Adjusted Form '#]],[1]COMPLETED!$D:$D,[2]COMPLETED!$M:$M,"Not Found")</f>
        <v>Not Found</v>
      </c>
      <c r="V470" s="17" t="str">
        <f>_xlfn.XLOOKUP(Table2[[#This Row],[Adjusted Form '#]],[2]COMPLETED!$D:$D,[2]COMPLETED!$O:$O,"Not Found")</f>
        <v>Not Found</v>
      </c>
      <c r="W470" s="2" t="str">
        <f>_xlfn.XLOOKUP(Table2[[#This Row],[Adjusted Form '#]],[2]BILLED!$D:$D,[2]BILLED!$M:$M,"Not Found")</f>
        <v>1Z5063E0YW40080889</v>
      </c>
      <c r="X470" s="17" t="e">
        <f>_xlfn.XLOOKUP(Table2[[#This Row],[Adjusted Form '#]],[2]BILLED!$D:$D,[1]BILLED!$O:$O,"Not Found")</f>
        <v>#REF!</v>
      </c>
      <c r="Y470" s="17" t="e">
        <f>_xlfn.XLOOKUP(Table2[[#This Row],[Adjusted Form '#]],'[2]REJECTED ORDERS'!$D:$D,'[2]REJECTED ORDERS'!$E:$E)</f>
        <v>#N/A</v>
      </c>
      <c r="Z470" s="1"/>
      <c r="AA470" s="1"/>
      <c r="AB470" s="8"/>
      <c r="AC470" s="8"/>
      <c r="AD470" s="8"/>
      <c r="AE470" s="8"/>
      <c r="AF470" s="8"/>
      <c r="AG470" s="8"/>
      <c r="AH470" s="8"/>
      <c r="AI470" s="8"/>
      <c r="AJ470" s="8"/>
    </row>
    <row r="471" spans="1:36" ht="15" customHeight="1" x14ac:dyDescent="0.35">
      <c r="A471" s="4" t="s">
        <v>701</v>
      </c>
      <c r="B471" s="1" t="s">
        <v>2304</v>
      </c>
      <c r="C471" s="11">
        <v>44992</v>
      </c>
      <c r="D471" s="11" t="s">
        <v>4625</v>
      </c>
      <c r="E471" s="1" t="s">
        <v>21</v>
      </c>
      <c r="F471" s="1" t="s">
        <v>4626</v>
      </c>
      <c r="G471" s="6">
        <f>COUNTIF(F:F,Table2[[#This Row],[Form '#]])</f>
        <v>1</v>
      </c>
      <c r="H471" s="1" t="s">
        <v>4627</v>
      </c>
      <c r="I471" s="1" t="s">
        <v>177</v>
      </c>
      <c r="J471" s="1" t="s">
        <v>75</v>
      </c>
      <c r="K471" s="1" t="s">
        <v>4011</v>
      </c>
      <c r="L471" s="1"/>
      <c r="M471" s="6" t="str">
        <f>IF(Table2[[#This Row],[Corrected Form '#
 (If Duplicated)]]="",Table2[[#This Row],[Form '#]],Table2[[#This Row],[Corrected Form '#
 (If Duplicated)]])</f>
        <v>7818-14541</v>
      </c>
      <c r="N471" s="1" t="s">
        <v>49</v>
      </c>
      <c r="O471" s="6" t="str">
        <f>IF(Table2[[#This Row],[POG CONFIRMATION RECEIPT OF ORDER
(DATE &amp; TIME)]]="","No Confirmation","Received Confirmation")</f>
        <v>Received Confirmation</v>
      </c>
      <c r="P471" s="6">
        <f ca="1">TODAY()-Table2[[#This Row],[DATE SENT TO POG]]</f>
        <v>311</v>
      </c>
      <c r="Q471" s="6" t="s">
        <v>5803</v>
      </c>
      <c r="R4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7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71" s="2" t="str">
        <f>_xlfn.XLOOKUP(Table2[[#This Row],[Adjusted Form '#]],'[2]IN PROGRESS'!$D:$D,'[2]IN PROGRESS'!$M:$M,"Not Found")</f>
        <v>Not Found</v>
      </c>
      <c r="U471" s="2" t="str">
        <f>_xlfn.XLOOKUP(Table2[[#This Row],[Adjusted Form '#]],[1]COMPLETED!$D:$D,[2]COMPLETED!$M:$M,"Not Found")</f>
        <v>Not Found</v>
      </c>
      <c r="V471" s="17">
        <f>_xlfn.XLOOKUP(Table2[[#This Row],[Adjusted Form '#]],[2]COMPLETED!$D:$D,[2]COMPLETED!$O:$O,"Not Found")</f>
        <v>0</v>
      </c>
      <c r="W471" s="2" t="str">
        <f>_xlfn.XLOOKUP(Table2[[#This Row],[Adjusted Form '#]],[2]BILLED!$D:$D,[2]BILLED!$M:$M,"Not Found")</f>
        <v>Not Found</v>
      </c>
      <c r="X471" s="17" t="str">
        <f>_xlfn.XLOOKUP(Table2[[#This Row],[Adjusted Form '#]],[2]BILLED!$D:$D,[1]BILLED!$O:$O,"Not Found")</f>
        <v>Not Found</v>
      </c>
      <c r="Y471" s="17" t="e">
        <f>_xlfn.XLOOKUP(Table2[[#This Row],[Adjusted Form '#]],'[2]REJECTED ORDERS'!$D:$D,'[2]REJECTED ORDERS'!$E:$E)</f>
        <v>#N/A</v>
      </c>
      <c r="Z471" s="1"/>
      <c r="AA471" s="1"/>
      <c r="AB471" s="8"/>
      <c r="AC471" s="8"/>
      <c r="AD471" s="8"/>
      <c r="AE471" s="8"/>
      <c r="AF471" s="8"/>
      <c r="AG471" s="8"/>
      <c r="AH471" s="8"/>
      <c r="AI471" s="8"/>
      <c r="AJ471" s="8"/>
    </row>
    <row r="472" spans="1:36" ht="15" customHeight="1" x14ac:dyDescent="0.35">
      <c r="A472" s="4" t="s">
        <v>702</v>
      </c>
      <c r="B472" s="1" t="s">
        <v>571</v>
      </c>
      <c r="C472" s="11">
        <v>44992</v>
      </c>
      <c r="D472" s="11" t="s">
        <v>4625</v>
      </c>
      <c r="E472" s="1" t="s">
        <v>21</v>
      </c>
      <c r="F472" s="1" t="s">
        <v>4628</v>
      </c>
      <c r="G472" s="6">
        <f>COUNTIF(F:F,Table2[[#This Row],[Form '#]])</f>
        <v>1</v>
      </c>
      <c r="H472" s="1" t="s">
        <v>4629</v>
      </c>
      <c r="I472" s="1" t="s">
        <v>3864</v>
      </c>
      <c r="J472" s="1" t="s">
        <v>78</v>
      </c>
      <c r="K472" s="1" t="s">
        <v>3879</v>
      </c>
      <c r="L472" s="1"/>
      <c r="M472" s="6" t="str">
        <f>IF(Table2[[#This Row],[Corrected Form '#
 (If Duplicated)]]="",Table2[[#This Row],[Form '#]],Table2[[#This Row],[Corrected Form '#
 (If Duplicated)]])</f>
        <v>7818-19392</v>
      </c>
      <c r="N472" s="1" t="s">
        <v>49</v>
      </c>
      <c r="O472" s="6" t="str">
        <f>IF(Table2[[#This Row],[POG CONFIRMATION RECEIPT OF ORDER
(DATE &amp; TIME)]]="","No Confirmation","Received Confirmation")</f>
        <v>Received Confirmation</v>
      </c>
      <c r="P472" s="6">
        <f ca="1">TODAY()-Table2[[#This Row],[DATE SENT TO POG]]</f>
        <v>311</v>
      </c>
      <c r="Q472" s="6" t="s">
        <v>5803</v>
      </c>
      <c r="R4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72" s="2" t="str">
        <f>_xlfn.XLOOKUP(Table2[[#This Row],[Adjusted Form '#]],'[2]IN PROGRESS'!$D:$D,'[2]IN PROGRESS'!$M:$M,"Not Found")</f>
        <v>Not Found</v>
      </c>
      <c r="U472" s="2" t="str">
        <f>_xlfn.XLOOKUP(Table2[[#This Row],[Adjusted Form '#]],[1]COMPLETED!$D:$D,[2]COMPLETED!$M:$M,"Not Found")</f>
        <v>Not Found</v>
      </c>
      <c r="V472" s="17" t="str">
        <f>_xlfn.XLOOKUP(Table2[[#This Row],[Adjusted Form '#]],[2]COMPLETED!$D:$D,[2]COMPLETED!$O:$O,"Not Found")</f>
        <v>Not Found</v>
      </c>
      <c r="W472" s="2" t="str">
        <f>_xlfn.XLOOKUP(Table2[[#This Row],[Adjusted Form '#]],[2]BILLED!$D:$D,[2]BILLED!$M:$M,"Not Found")</f>
        <v>1Z5063E0YW40566051</v>
      </c>
      <c r="X472" s="17" t="e">
        <f>_xlfn.XLOOKUP(Table2[[#This Row],[Adjusted Form '#]],[2]BILLED!$D:$D,[1]BILLED!$O:$O,"Not Found")</f>
        <v>#REF!</v>
      </c>
      <c r="Y472" s="17" t="e">
        <f>_xlfn.XLOOKUP(Table2[[#This Row],[Adjusted Form '#]],'[2]REJECTED ORDERS'!$D:$D,'[2]REJECTED ORDERS'!$E:$E)</f>
        <v>#N/A</v>
      </c>
      <c r="Z472" s="1"/>
      <c r="AA472" s="1"/>
      <c r="AB472" s="8"/>
      <c r="AC472" s="8"/>
      <c r="AD472" s="8"/>
      <c r="AE472" s="8"/>
      <c r="AF472" s="8"/>
      <c r="AG472" s="8"/>
      <c r="AH472" s="8"/>
      <c r="AI472" s="8"/>
      <c r="AJ472" s="8"/>
    </row>
    <row r="473" spans="1:36" ht="15" customHeight="1" x14ac:dyDescent="0.35">
      <c r="A473" s="4" t="s">
        <v>704</v>
      </c>
      <c r="B473" s="1" t="s">
        <v>571</v>
      </c>
      <c r="C473" s="11">
        <v>44992</v>
      </c>
      <c r="D473" s="11" t="s">
        <v>4625</v>
      </c>
      <c r="E473" s="1" t="s">
        <v>21</v>
      </c>
      <c r="F473" s="1" t="s">
        <v>4630</v>
      </c>
      <c r="G473" s="6">
        <f>COUNTIF(F:F,Table2[[#This Row],[Form '#]])</f>
        <v>1</v>
      </c>
      <c r="H473" s="1" t="s">
        <v>4632</v>
      </c>
      <c r="I473" s="1" t="s">
        <v>28</v>
      </c>
      <c r="J473" s="1" t="s">
        <v>3891</v>
      </c>
      <c r="K473" s="1" t="s">
        <v>4631</v>
      </c>
      <c r="L473" s="1"/>
      <c r="M473" s="6" t="str">
        <f>IF(Table2[[#This Row],[Corrected Form '#
 (If Duplicated)]]="",Table2[[#This Row],[Form '#]],Table2[[#This Row],[Corrected Form '#
 (If Duplicated)]])</f>
        <v>7818-25343</v>
      </c>
      <c r="N473" s="1" t="s">
        <v>49</v>
      </c>
      <c r="O473" s="6" t="str">
        <f>IF(Table2[[#This Row],[POG CONFIRMATION RECEIPT OF ORDER
(DATE &amp; TIME)]]="","No Confirmation","Received Confirmation")</f>
        <v>Received Confirmation</v>
      </c>
      <c r="P473" s="6">
        <f ca="1">TODAY()-Table2[[#This Row],[DATE SENT TO POG]]</f>
        <v>311</v>
      </c>
      <c r="Q473" s="6" t="s">
        <v>5803</v>
      </c>
      <c r="R4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7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73" s="2" t="str">
        <f>_xlfn.XLOOKUP(Table2[[#This Row],[Adjusted Form '#]],'[2]IN PROGRESS'!$D:$D,'[2]IN PROGRESS'!$M:$M,"Not Found")</f>
        <v>Not Found</v>
      </c>
      <c r="U473" s="2" t="str">
        <f>_xlfn.XLOOKUP(Table2[[#This Row],[Adjusted Form '#]],[1]COMPLETED!$D:$D,[2]COMPLETED!$M:$M,"Not Found")</f>
        <v>Not Found</v>
      </c>
      <c r="V473" s="17">
        <f>_xlfn.XLOOKUP(Table2[[#This Row],[Adjusted Form '#]],[2]COMPLETED!$D:$D,[2]COMPLETED!$O:$O,"Not Found")</f>
        <v>0</v>
      </c>
      <c r="W473" s="2" t="str">
        <f>_xlfn.XLOOKUP(Table2[[#This Row],[Adjusted Form '#]],[2]BILLED!$D:$D,[2]BILLED!$M:$M,"Not Found")</f>
        <v>Not Found</v>
      </c>
      <c r="X473" s="17" t="str">
        <f>_xlfn.XLOOKUP(Table2[[#This Row],[Adjusted Form '#]],[2]BILLED!$D:$D,[1]BILLED!$O:$O,"Not Found")</f>
        <v>Not Found</v>
      </c>
      <c r="Y473" s="17" t="e">
        <f>_xlfn.XLOOKUP(Table2[[#This Row],[Adjusted Form '#]],'[2]REJECTED ORDERS'!$D:$D,'[2]REJECTED ORDERS'!$E:$E)</f>
        <v>#N/A</v>
      </c>
      <c r="Z473" s="1"/>
      <c r="AA473" s="1"/>
      <c r="AB473" s="8"/>
      <c r="AC473" s="8"/>
      <c r="AD473" s="8"/>
      <c r="AE473" s="8"/>
      <c r="AF473" s="8"/>
      <c r="AG473" s="8"/>
      <c r="AH473" s="8"/>
      <c r="AI473" s="8"/>
      <c r="AJ473" s="8"/>
    </row>
    <row r="474" spans="1:36" ht="15" customHeight="1" x14ac:dyDescent="0.35">
      <c r="A474" s="4" t="s">
        <v>705</v>
      </c>
      <c r="B474" s="1" t="s">
        <v>571</v>
      </c>
      <c r="C474" s="11">
        <v>44992</v>
      </c>
      <c r="D474" s="11" t="s">
        <v>4625</v>
      </c>
      <c r="E474" s="1" t="s">
        <v>21</v>
      </c>
      <c r="F474" s="1" t="s">
        <v>4633</v>
      </c>
      <c r="G474" s="6">
        <f>COUNTIF(F:F,Table2[[#This Row],[Form '#]])</f>
        <v>1</v>
      </c>
      <c r="H474" s="1" t="s">
        <v>4634</v>
      </c>
      <c r="I474" s="1" t="s">
        <v>3852</v>
      </c>
      <c r="J474" s="1" t="s">
        <v>75</v>
      </c>
      <c r="K474" s="1" t="s">
        <v>3853</v>
      </c>
      <c r="L474" s="1"/>
      <c r="M474" s="6" t="str">
        <f>IF(Table2[[#This Row],[Corrected Form '#
 (If Duplicated)]]="",Table2[[#This Row],[Form '#]],Table2[[#This Row],[Corrected Form '#
 (If Duplicated)]])</f>
        <v>7818-25342</v>
      </c>
      <c r="N474" s="1" t="s">
        <v>49</v>
      </c>
      <c r="O474" s="6" t="str">
        <f>IF(Table2[[#This Row],[POG CONFIRMATION RECEIPT OF ORDER
(DATE &amp; TIME)]]="","No Confirmation","Received Confirmation")</f>
        <v>Received Confirmation</v>
      </c>
      <c r="P474" s="6">
        <f ca="1">TODAY()-Table2[[#This Row],[DATE SENT TO POG]]</f>
        <v>311</v>
      </c>
      <c r="Q474" s="6" t="s">
        <v>5803</v>
      </c>
      <c r="R4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7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74" s="2" t="str">
        <f>_xlfn.XLOOKUP(Table2[[#This Row],[Adjusted Form '#]],'[2]IN PROGRESS'!$D:$D,'[2]IN PROGRESS'!$M:$M,"Not Found")</f>
        <v>Not Found</v>
      </c>
      <c r="U474" s="2" t="str">
        <f>_xlfn.XLOOKUP(Table2[[#This Row],[Adjusted Form '#]],[1]COMPLETED!$D:$D,[2]COMPLETED!$M:$M,"Not Found")</f>
        <v>Not Found</v>
      </c>
      <c r="V474" s="17">
        <f>_xlfn.XLOOKUP(Table2[[#This Row],[Adjusted Form '#]],[2]COMPLETED!$D:$D,[2]COMPLETED!$O:$O,"Not Found")</f>
        <v>0</v>
      </c>
      <c r="W474" s="2" t="str">
        <f>_xlfn.XLOOKUP(Table2[[#This Row],[Adjusted Form '#]],[2]BILLED!$D:$D,[2]BILLED!$M:$M,"Not Found")</f>
        <v>Not Found</v>
      </c>
      <c r="X474" s="17" t="str">
        <f>_xlfn.XLOOKUP(Table2[[#This Row],[Adjusted Form '#]],[2]BILLED!$D:$D,[1]BILLED!$O:$O,"Not Found")</f>
        <v>Not Found</v>
      </c>
      <c r="Y474" s="17" t="e">
        <f>_xlfn.XLOOKUP(Table2[[#This Row],[Adjusted Form '#]],'[2]REJECTED ORDERS'!$D:$D,'[2]REJECTED ORDERS'!$E:$E)</f>
        <v>#N/A</v>
      </c>
      <c r="Z474" s="1"/>
      <c r="AA474" s="1"/>
      <c r="AB474" s="8"/>
      <c r="AC474" s="8"/>
      <c r="AD474" s="8"/>
      <c r="AE474" s="8"/>
      <c r="AF474" s="8"/>
      <c r="AG474" s="8"/>
      <c r="AH474" s="8"/>
      <c r="AI474" s="8"/>
      <c r="AJ474" s="8"/>
    </row>
    <row r="475" spans="1:36" ht="15" customHeight="1" x14ac:dyDescent="0.35">
      <c r="A475" s="4" t="s">
        <v>706</v>
      </c>
      <c r="B475" s="1" t="s">
        <v>571</v>
      </c>
      <c r="C475" s="11">
        <v>44992</v>
      </c>
      <c r="D475" s="11" t="s">
        <v>4625</v>
      </c>
      <c r="E475" s="1" t="s">
        <v>21</v>
      </c>
      <c r="F475" s="1" t="s">
        <v>4635</v>
      </c>
      <c r="G475" s="6">
        <f>COUNTIF(F:F,Table2[[#This Row],[Form '#]])</f>
        <v>1</v>
      </c>
      <c r="H475" s="1" t="s">
        <v>4636</v>
      </c>
      <c r="I475" s="1" t="s">
        <v>3852</v>
      </c>
      <c r="J475" s="1" t="s">
        <v>75</v>
      </c>
      <c r="K475" s="1" t="s">
        <v>4430</v>
      </c>
      <c r="L475" s="1"/>
      <c r="M475" s="6" t="str">
        <f>IF(Table2[[#This Row],[Corrected Form '#
 (If Duplicated)]]="",Table2[[#This Row],[Form '#]],Table2[[#This Row],[Corrected Form '#
 (If Duplicated)]])</f>
        <v>7818-25347</v>
      </c>
      <c r="N475" s="1" t="s">
        <v>49</v>
      </c>
      <c r="O475" s="6" t="str">
        <f>IF(Table2[[#This Row],[POG CONFIRMATION RECEIPT OF ORDER
(DATE &amp; TIME)]]="","No Confirmation","Received Confirmation")</f>
        <v>Received Confirmation</v>
      </c>
      <c r="P475" s="6">
        <f ca="1">TODAY()-Table2[[#This Row],[DATE SENT TO POG]]</f>
        <v>311</v>
      </c>
      <c r="Q475" s="6" t="s">
        <v>5803</v>
      </c>
      <c r="R4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7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75" s="2" t="str">
        <f>_xlfn.XLOOKUP(Table2[[#This Row],[Adjusted Form '#]],'[2]IN PROGRESS'!$D:$D,'[2]IN PROGRESS'!$M:$M,"Not Found")</f>
        <v>Not Found</v>
      </c>
      <c r="U475" s="2" t="str">
        <f>_xlfn.XLOOKUP(Table2[[#This Row],[Adjusted Form '#]],[1]COMPLETED!$D:$D,[2]COMPLETED!$M:$M,"Not Found")</f>
        <v>Not Found</v>
      </c>
      <c r="V475" s="17">
        <f>_xlfn.XLOOKUP(Table2[[#This Row],[Adjusted Form '#]],[2]COMPLETED!$D:$D,[2]COMPLETED!$O:$O,"Not Found")</f>
        <v>0</v>
      </c>
      <c r="W475" s="2" t="str">
        <f>_xlfn.XLOOKUP(Table2[[#This Row],[Adjusted Form '#]],[2]BILLED!$D:$D,[2]BILLED!$M:$M,"Not Found")</f>
        <v>Not Found</v>
      </c>
      <c r="X475" s="17" t="str">
        <f>_xlfn.XLOOKUP(Table2[[#This Row],[Adjusted Form '#]],[2]BILLED!$D:$D,[1]BILLED!$O:$O,"Not Found")</f>
        <v>Not Found</v>
      </c>
      <c r="Y475" s="17" t="str">
        <f>_xlfn.XLOOKUP(Table2[[#This Row],[Adjusted Form '#]],'[2]REJECTED ORDERS'!$D:$D,'[2]REJECTED ORDERS'!$E:$E)</f>
        <v>FORM NOT SIGNED</v>
      </c>
      <c r="Z475" s="1"/>
      <c r="AA475" s="1"/>
      <c r="AB475" s="8"/>
      <c r="AC475" s="8"/>
      <c r="AD475" s="8"/>
      <c r="AE475" s="8"/>
      <c r="AF475" s="8"/>
      <c r="AG475" s="8"/>
      <c r="AH475" s="8"/>
      <c r="AI475" s="8"/>
      <c r="AJ475" s="8"/>
    </row>
    <row r="476" spans="1:36" ht="15" customHeight="1" x14ac:dyDescent="0.35">
      <c r="A476" s="4" t="s">
        <v>707</v>
      </c>
      <c r="B476" s="1" t="s">
        <v>3277</v>
      </c>
      <c r="C476" s="11">
        <v>44992</v>
      </c>
      <c r="D476" s="11" t="s">
        <v>4637</v>
      </c>
      <c r="E476" s="1" t="s">
        <v>64</v>
      </c>
      <c r="F476" s="1" t="s">
        <v>4638</v>
      </c>
      <c r="G476" s="6">
        <f>COUNTIF(F:F,Table2[[#This Row],[Form '#]])</f>
        <v>1</v>
      </c>
      <c r="H476" s="1" t="s">
        <v>3278</v>
      </c>
      <c r="I476" s="1" t="s">
        <v>3864</v>
      </c>
      <c r="J476" s="1" t="s">
        <v>78</v>
      </c>
      <c r="K476" s="1" t="s">
        <v>3879</v>
      </c>
      <c r="L476" s="1"/>
      <c r="M476" s="6" t="str">
        <f>IF(Table2[[#This Row],[Corrected Form '#
 (If Duplicated)]]="",Table2[[#This Row],[Form '#]],Table2[[#This Row],[Corrected Form '#
 (If Duplicated)]])</f>
        <v>7824-00350</v>
      </c>
      <c r="N476" s="1" t="s">
        <v>49</v>
      </c>
      <c r="O476" s="6" t="str">
        <f>IF(Table2[[#This Row],[POG CONFIRMATION RECEIPT OF ORDER
(DATE &amp; TIME)]]="","No Confirmation","Received Confirmation")</f>
        <v>Received Confirmation</v>
      </c>
      <c r="P476" s="6">
        <f ca="1">TODAY()-Table2[[#This Row],[DATE SENT TO POG]]</f>
        <v>311</v>
      </c>
      <c r="Q476" s="6" t="s">
        <v>5803</v>
      </c>
      <c r="R4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76" s="2" t="str">
        <f>_xlfn.XLOOKUP(Table2[[#This Row],[Adjusted Form '#]],'[2]IN PROGRESS'!$D:$D,'[2]IN PROGRESS'!$M:$M,"Not Found")</f>
        <v>Not Found</v>
      </c>
      <c r="U476" s="2" t="str">
        <f>_xlfn.XLOOKUP(Table2[[#This Row],[Adjusted Form '#]],[1]COMPLETED!$D:$D,[2]COMPLETED!$M:$M,"Not Found")</f>
        <v>Not Found</v>
      </c>
      <c r="V476" s="17" t="str">
        <f>_xlfn.XLOOKUP(Table2[[#This Row],[Adjusted Form '#]],[2]COMPLETED!$D:$D,[2]COMPLETED!$O:$O,"Not Found")</f>
        <v>Not Found</v>
      </c>
      <c r="W476" s="2" t="str">
        <f>_xlfn.XLOOKUP(Table2[[#This Row],[Adjusted Form '#]],[2]BILLED!$D:$D,[2]BILLED!$M:$M,"Not Found")</f>
        <v>1Z5063E0YW41525307</v>
      </c>
      <c r="X476" s="17" t="e">
        <f>_xlfn.XLOOKUP(Table2[[#This Row],[Adjusted Form '#]],[2]BILLED!$D:$D,[1]BILLED!$O:$O,"Not Found")</f>
        <v>#REF!</v>
      </c>
      <c r="Y476" s="17" t="e">
        <f>_xlfn.XLOOKUP(Table2[[#This Row],[Adjusted Form '#]],'[2]REJECTED ORDERS'!$D:$D,'[2]REJECTED ORDERS'!$E:$E)</f>
        <v>#N/A</v>
      </c>
      <c r="Z476" s="1"/>
      <c r="AA476" s="1"/>
      <c r="AB476" s="8"/>
      <c r="AC476" s="8"/>
      <c r="AD476" s="8"/>
      <c r="AE476" s="8"/>
      <c r="AF476" s="8"/>
      <c r="AG476" s="8"/>
      <c r="AH476" s="8"/>
      <c r="AI476" s="8"/>
      <c r="AJ476" s="8"/>
    </row>
    <row r="477" spans="1:36" ht="15" customHeight="1" x14ac:dyDescent="0.35">
      <c r="A477" s="4" t="s">
        <v>708</v>
      </c>
      <c r="B477" s="1" t="s">
        <v>3277</v>
      </c>
      <c r="C477" s="11">
        <v>44992</v>
      </c>
      <c r="D477" s="11" t="s">
        <v>4637</v>
      </c>
      <c r="E477" s="1" t="s">
        <v>64</v>
      </c>
      <c r="F477" s="1" t="s">
        <v>4639</v>
      </c>
      <c r="G477" s="6">
        <f>COUNTIF(F:F,Table2[[#This Row],[Form '#]])</f>
        <v>1</v>
      </c>
      <c r="H477" s="1" t="s">
        <v>4640</v>
      </c>
      <c r="I477" s="1" t="s">
        <v>177</v>
      </c>
      <c r="J477" s="1" t="s">
        <v>75</v>
      </c>
      <c r="K477" s="1" t="s">
        <v>3853</v>
      </c>
      <c r="L477" s="1"/>
      <c r="M477" s="6" t="str">
        <f>IF(Table2[[#This Row],[Corrected Form '#
 (If Duplicated)]]="",Table2[[#This Row],[Form '#]],Table2[[#This Row],[Corrected Form '#
 (If Duplicated)]])</f>
        <v>7824-00352</v>
      </c>
      <c r="N477" s="1" t="s">
        <v>49</v>
      </c>
      <c r="O477" s="6" t="str">
        <f>IF(Table2[[#This Row],[POG CONFIRMATION RECEIPT OF ORDER
(DATE &amp; TIME)]]="","No Confirmation","Received Confirmation")</f>
        <v>Received Confirmation</v>
      </c>
      <c r="P477" s="6">
        <f ca="1">TODAY()-Table2[[#This Row],[DATE SENT TO POG]]</f>
        <v>311</v>
      </c>
      <c r="Q477" s="6" t="s">
        <v>5803</v>
      </c>
      <c r="R4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77" s="2" t="str">
        <f>_xlfn.XLOOKUP(Table2[[#This Row],[Adjusted Form '#]],'[2]IN PROGRESS'!$D:$D,'[2]IN PROGRESS'!$M:$M,"Not Found")</f>
        <v>Not Found</v>
      </c>
      <c r="U477" s="2" t="str">
        <f>_xlfn.XLOOKUP(Table2[[#This Row],[Adjusted Form '#]],[1]COMPLETED!$D:$D,[2]COMPLETED!$M:$M,"Not Found")</f>
        <v>Not Found</v>
      </c>
      <c r="V477" s="17" t="str">
        <f>_xlfn.XLOOKUP(Table2[[#This Row],[Adjusted Form '#]],[2]COMPLETED!$D:$D,[2]COMPLETED!$O:$O,"Not Found")</f>
        <v>Not Found</v>
      </c>
      <c r="W477" s="2" t="str">
        <f>_xlfn.XLOOKUP(Table2[[#This Row],[Adjusted Form '#]],[2]BILLED!$D:$D,[2]BILLED!$M:$M,"Not Found")</f>
        <v>1Z5063E0YW42865680</v>
      </c>
      <c r="X477" s="17" t="e">
        <f>_xlfn.XLOOKUP(Table2[[#This Row],[Adjusted Form '#]],[2]BILLED!$D:$D,[1]BILLED!$O:$O,"Not Found")</f>
        <v>#REF!</v>
      </c>
      <c r="Y477" s="17" t="e">
        <f>_xlfn.XLOOKUP(Table2[[#This Row],[Adjusted Form '#]],'[2]REJECTED ORDERS'!$D:$D,'[2]REJECTED ORDERS'!$E:$E)</f>
        <v>#N/A</v>
      </c>
      <c r="Z477" s="1"/>
      <c r="AA477" s="1"/>
      <c r="AB477" s="8"/>
      <c r="AC477" s="8"/>
      <c r="AD477" s="8"/>
      <c r="AE477" s="8"/>
      <c r="AF477" s="8"/>
      <c r="AG477" s="8"/>
      <c r="AH477" s="8"/>
      <c r="AI477" s="8"/>
      <c r="AJ477" s="8"/>
    </row>
    <row r="478" spans="1:36" ht="15" customHeight="1" x14ac:dyDescent="0.35">
      <c r="A478" s="4" t="s">
        <v>710</v>
      </c>
      <c r="B478" s="1" t="s">
        <v>3277</v>
      </c>
      <c r="C478" s="11">
        <v>44992</v>
      </c>
      <c r="D478" s="11" t="s">
        <v>4637</v>
      </c>
      <c r="E478" s="1" t="s">
        <v>64</v>
      </c>
      <c r="F478" s="1" t="s">
        <v>4641</v>
      </c>
      <c r="G478" s="6">
        <f>COUNTIF(F:F,Table2[[#This Row],[Form '#]])</f>
        <v>1</v>
      </c>
      <c r="H478" s="1" t="s">
        <v>4642</v>
      </c>
      <c r="I478" s="1" t="s">
        <v>3864</v>
      </c>
      <c r="J478" s="1" t="s">
        <v>3891</v>
      </c>
      <c r="K478" s="1" t="s">
        <v>3891</v>
      </c>
      <c r="L478" s="1"/>
      <c r="M478" s="6" t="str">
        <f>IF(Table2[[#This Row],[Corrected Form '#
 (If Duplicated)]]="",Table2[[#This Row],[Form '#]],Table2[[#This Row],[Corrected Form '#
 (If Duplicated)]])</f>
        <v>7824-00351</v>
      </c>
      <c r="N478" s="1" t="s">
        <v>49</v>
      </c>
      <c r="O478" s="6" t="str">
        <f>IF(Table2[[#This Row],[POG CONFIRMATION RECEIPT OF ORDER
(DATE &amp; TIME)]]="","No Confirmation","Received Confirmation")</f>
        <v>Received Confirmation</v>
      </c>
      <c r="P478" s="6">
        <f ca="1">TODAY()-Table2[[#This Row],[DATE SENT TO POG]]</f>
        <v>311</v>
      </c>
      <c r="Q478" s="6" t="s">
        <v>5803</v>
      </c>
      <c r="R4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78" s="2" t="str">
        <f>_xlfn.XLOOKUP(Table2[[#This Row],[Adjusted Form '#]],'[2]IN PROGRESS'!$D:$D,'[2]IN PROGRESS'!$M:$M,"Not Found")</f>
        <v>Not Found</v>
      </c>
      <c r="U478" s="2" t="str">
        <f>_xlfn.XLOOKUP(Table2[[#This Row],[Adjusted Form '#]],[1]COMPLETED!$D:$D,[2]COMPLETED!$M:$M,"Not Found")</f>
        <v>Not Found</v>
      </c>
      <c r="V478" s="17" t="str">
        <f>_xlfn.XLOOKUP(Table2[[#This Row],[Adjusted Form '#]],[2]COMPLETED!$D:$D,[2]COMPLETED!$O:$O,"Not Found")</f>
        <v>Not Found</v>
      </c>
      <c r="W478" s="2" t="str">
        <f>_xlfn.XLOOKUP(Table2[[#This Row],[Adjusted Form '#]],[2]BILLED!$D:$D,[2]BILLED!$M:$M,"Not Found")</f>
        <v>1Z5063E0YW41377567</v>
      </c>
      <c r="X478" s="17" t="e">
        <f>_xlfn.XLOOKUP(Table2[[#This Row],[Adjusted Form '#]],[2]BILLED!$D:$D,[1]BILLED!$O:$O,"Not Found")</f>
        <v>#REF!</v>
      </c>
      <c r="Y478" s="17" t="e">
        <f>_xlfn.XLOOKUP(Table2[[#This Row],[Adjusted Form '#]],'[2]REJECTED ORDERS'!$D:$D,'[2]REJECTED ORDERS'!$E:$E)</f>
        <v>#N/A</v>
      </c>
      <c r="Z478" s="1"/>
      <c r="AA478" s="1"/>
      <c r="AB478" s="8"/>
      <c r="AC478" s="8"/>
      <c r="AD478" s="8"/>
      <c r="AE478" s="8"/>
      <c r="AF478" s="8"/>
      <c r="AG478" s="8"/>
      <c r="AH478" s="8"/>
      <c r="AI478" s="8"/>
      <c r="AJ478" s="8"/>
    </row>
    <row r="479" spans="1:36" ht="15" customHeight="1" x14ac:dyDescent="0.35">
      <c r="A479" s="4" t="s">
        <v>712</v>
      </c>
      <c r="B479" s="1" t="s">
        <v>3277</v>
      </c>
      <c r="C479" s="11">
        <v>44992</v>
      </c>
      <c r="D479" s="11" t="s">
        <v>4637</v>
      </c>
      <c r="E479" s="1" t="s">
        <v>64</v>
      </c>
      <c r="F479" s="1" t="s">
        <v>4643</v>
      </c>
      <c r="G479" s="6">
        <f>COUNTIF(F:F,Table2[[#This Row],[Form '#]])</f>
        <v>1</v>
      </c>
      <c r="H479" s="1" t="s">
        <v>199</v>
      </c>
      <c r="I479" s="1" t="s">
        <v>3852</v>
      </c>
      <c r="J479" s="1" t="s">
        <v>75</v>
      </c>
      <c r="K479" s="1" t="s">
        <v>3853</v>
      </c>
      <c r="L479" s="1"/>
      <c r="M479" s="6" t="str">
        <f>IF(Table2[[#This Row],[Corrected Form '#
 (If Duplicated)]]="",Table2[[#This Row],[Form '#]],Table2[[#This Row],[Corrected Form '#
 (If Duplicated)]])</f>
        <v>7824-00380</v>
      </c>
      <c r="N479" s="1" t="s">
        <v>49</v>
      </c>
      <c r="O479" s="6" t="str">
        <f>IF(Table2[[#This Row],[POG CONFIRMATION RECEIPT OF ORDER
(DATE &amp; TIME)]]="","No Confirmation","Received Confirmation")</f>
        <v>Received Confirmation</v>
      </c>
      <c r="P479" s="6">
        <f ca="1">TODAY()-Table2[[#This Row],[DATE SENT TO POG]]</f>
        <v>311</v>
      </c>
      <c r="Q479" s="6" t="s">
        <v>5803</v>
      </c>
      <c r="R4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7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79" s="2" t="str">
        <f>_xlfn.XLOOKUP(Table2[[#This Row],[Adjusted Form '#]],'[2]IN PROGRESS'!$D:$D,'[2]IN PROGRESS'!$M:$M,"Not Found")</f>
        <v>Not Found</v>
      </c>
      <c r="U479" s="2" t="str">
        <f>_xlfn.XLOOKUP(Table2[[#This Row],[Adjusted Form '#]],[1]COMPLETED!$D:$D,[2]COMPLETED!$M:$M,"Not Found")</f>
        <v>Not Found</v>
      </c>
      <c r="V479" s="17">
        <f>_xlfn.XLOOKUP(Table2[[#This Row],[Adjusted Form '#]],[2]COMPLETED!$D:$D,[2]COMPLETED!$O:$O,"Not Found")</f>
        <v>0</v>
      </c>
      <c r="W479" s="2" t="str">
        <f>_xlfn.XLOOKUP(Table2[[#This Row],[Adjusted Form '#]],[2]BILLED!$D:$D,[2]BILLED!$M:$M,"Not Found")</f>
        <v>Not Found</v>
      </c>
      <c r="X479" s="17" t="str">
        <f>_xlfn.XLOOKUP(Table2[[#This Row],[Adjusted Form '#]],[2]BILLED!$D:$D,[1]BILLED!$O:$O,"Not Found")</f>
        <v>Not Found</v>
      </c>
      <c r="Y479" s="17" t="e">
        <f>_xlfn.XLOOKUP(Table2[[#This Row],[Adjusted Form '#]],'[2]REJECTED ORDERS'!$D:$D,'[2]REJECTED ORDERS'!$E:$E)</f>
        <v>#N/A</v>
      </c>
      <c r="Z479" s="1"/>
      <c r="AA479" s="1"/>
      <c r="AB479" s="8"/>
      <c r="AC479" s="8"/>
      <c r="AD479" s="8"/>
      <c r="AE479" s="8"/>
      <c r="AF479" s="8"/>
      <c r="AG479" s="8"/>
      <c r="AH479" s="8"/>
      <c r="AI479" s="8"/>
      <c r="AJ479" s="8"/>
    </row>
    <row r="480" spans="1:36" ht="15" customHeight="1" x14ac:dyDescent="0.35">
      <c r="A480" s="4" t="s">
        <v>713</v>
      </c>
      <c r="B480" s="1" t="s">
        <v>4644</v>
      </c>
      <c r="C480" s="11">
        <v>44993</v>
      </c>
      <c r="D480" s="11" t="s">
        <v>4645</v>
      </c>
      <c r="E480" s="1" t="s">
        <v>1592</v>
      </c>
      <c r="F480" s="1" t="s">
        <v>4646</v>
      </c>
      <c r="G480" s="6">
        <f>COUNTIF(F:F,Table2[[#This Row],[Form '#]])</f>
        <v>2</v>
      </c>
      <c r="H480" s="1" t="s">
        <v>4647</v>
      </c>
      <c r="I480" s="1" t="s">
        <v>127</v>
      </c>
      <c r="J480" s="1" t="s">
        <v>76</v>
      </c>
      <c r="K480" s="1" t="s">
        <v>4457</v>
      </c>
      <c r="L480" s="1"/>
      <c r="M480" s="6" t="str">
        <f>IF(Table2[[#This Row],[Corrected Form '#
 (If Duplicated)]]="",Table2[[#This Row],[Form '#]],Table2[[#This Row],[Corrected Form '#
 (If Duplicated)]])</f>
        <v>7811-00323</v>
      </c>
      <c r="N480" s="1" t="s">
        <v>49</v>
      </c>
      <c r="O480" s="6" t="str">
        <f>IF(Table2[[#This Row],[POG CONFIRMATION RECEIPT OF ORDER
(DATE &amp; TIME)]]="","No Confirmation","Received Confirmation")</f>
        <v>Received Confirmation</v>
      </c>
      <c r="P480" s="6">
        <f ca="1">TODAY()-Table2[[#This Row],[DATE SENT TO POG]]</f>
        <v>310</v>
      </c>
      <c r="Q480" s="6" t="s">
        <v>5803</v>
      </c>
      <c r="R4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0" s="2" t="str">
        <f>_xlfn.XLOOKUP(Table2[[#This Row],[Adjusted Form '#]],'[2]IN PROGRESS'!$D:$D,'[2]IN PROGRESS'!$M:$M,"Not Found")</f>
        <v>Not Found</v>
      </c>
      <c r="U480" s="2" t="str">
        <f>_xlfn.XLOOKUP(Table2[[#This Row],[Adjusted Form '#]],[1]COMPLETED!$D:$D,[2]COMPLETED!$M:$M,"Not Found")</f>
        <v>Not Found</v>
      </c>
      <c r="V480" s="17" t="str">
        <f>_xlfn.XLOOKUP(Table2[[#This Row],[Adjusted Form '#]],[2]COMPLETED!$D:$D,[2]COMPLETED!$O:$O,"Not Found")</f>
        <v>Not Found</v>
      </c>
      <c r="W480" s="2" t="str">
        <f>_xlfn.XLOOKUP(Table2[[#This Row],[Adjusted Form '#]],[2]BILLED!$D:$D,[2]BILLED!$M:$M,"Not Found")</f>
        <v>1Z5063E0YW41827295</v>
      </c>
      <c r="X480" s="17" t="e">
        <f>_xlfn.XLOOKUP(Table2[[#This Row],[Adjusted Form '#]],[2]BILLED!$D:$D,[1]BILLED!$O:$O,"Not Found")</f>
        <v>#REF!</v>
      </c>
      <c r="Y480" s="17" t="str">
        <f>_xlfn.XLOOKUP(Table2[[#This Row],[Adjusted Form '#]],'[2]REJECTED ORDERS'!$D:$D,'[2]REJECTED ORDERS'!$E:$E)</f>
        <v>FORM NUMBER ALREADY USED</v>
      </c>
      <c r="Z480" s="1"/>
      <c r="AA480" s="1"/>
      <c r="AB480" s="8"/>
      <c r="AC480" s="8"/>
      <c r="AD480" s="8"/>
      <c r="AE480" s="8"/>
      <c r="AF480" s="8"/>
      <c r="AG480" s="8"/>
      <c r="AH480" s="8"/>
      <c r="AI480" s="8"/>
      <c r="AJ480" s="8"/>
    </row>
    <row r="481" spans="1:36" ht="15" customHeight="1" x14ac:dyDescent="0.35">
      <c r="A481" s="4" t="s">
        <v>715</v>
      </c>
      <c r="B481" s="1" t="s">
        <v>4648</v>
      </c>
      <c r="C481" s="11">
        <v>44993</v>
      </c>
      <c r="E481" s="1" t="s">
        <v>1592</v>
      </c>
      <c r="F481" s="1" t="s">
        <v>4649</v>
      </c>
      <c r="G481" s="6">
        <f>COUNTIF(F:F,Table2[[#This Row],[Form '#]])</f>
        <v>2</v>
      </c>
      <c r="H481" s="1" t="s">
        <v>3490</v>
      </c>
      <c r="I481" s="1" t="s">
        <v>3852</v>
      </c>
      <c r="J481" s="1" t="s">
        <v>3891</v>
      </c>
      <c r="K481" s="1" t="s">
        <v>3891</v>
      </c>
      <c r="L481" s="1"/>
      <c r="M481" s="6" t="str">
        <f>IF(Table2[[#This Row],[Corrected Form '#
 (If Duplicated)]]="",Table2[[#This Row],[Form '#]],Table2[[#This Row],[Corrected Form '#
 (If Duplicated)]])</f>
        <v>7811-00250</v>
      </c>
      <c r="N481" s="1" t="s">
        <v>49</v>
      </c>
      <c r="O481" s="6" t="str">
        <f>IF(Table2[[#This Row],[POG CONFIRMATION RECEIPT OF ORDER
(DATE &amp; TIME)]]="","No Confirmation","Received Confirmation")</f>
        <v>No Confirmation</v>
      </c>
      <c r="P481" s="6">
        <f ca="1">TODAY()-Table2[[#This Row],[DATE SENT TO POG]]</f>
        <v>310</v>
      </c>
      <c r="Q481" s="6" t="s">
        <v>5803</v>
      </c>
      <c r="R4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1" s="2" t="str">
        <f>_xlfn.XLOOKUP(Table2[[#This Row],[Adjusted Form '#]],'[2]IN PROGRESS'!$D:$D,'[2]IN PROGRESS'!$M:$M,"Not Found")</f>
        <v>Not Found</v>
      </c>
      <c r="U481" s="2" t="str">
        <f>_xlfn.XLOOKUP(Table2[[#This Row],[Adjusted Form '#]],[1]COMPLETED!$D:$D,[2]COMPLETED!$M:$M,"Not Found")</f>
        <v>Not Found</v>
      </c>
      <c r="V481" s="17" t="str">
        <f>_xlfn.XLOOKUP(Table2[[#This Row],[Adjusted Form '#]],[2]COMPLETED!$D:$D,[2]COMPLETED!$O:$O,"Not Found")</f>
        <v>Not Found</v>
      </c>
      <c r="W481" s="2" t="str">
        <f>_xlfn.XLOOKUP(Table2[[#This Row],[Adjusted Form '#]],[2]BILLED!$D:$D,[2]BILLED!$M:$M,"Not Found")</f>
        <v>1Z5063E0YW40332562</v>
      </c>
      <c r="X481" s="17" t="e">
        <f>_xlfn.XLOOKUP(Table2[[#This Row],[Adjusted Form '#]],[2]BILLED!$D:$D,[1]BILLED!$O:$O,"Not Found")</f>
        <v>#REF!</v>
      </c>
      <c r="Y481" s="17" t="str">
        <f>_xlfn.XLOOKUP(Table2[[#This Row],[Adjusted Form '#]],'[2]REJECTED ORDERS'!$D:$D,'[2]REJECTED ORDERS'!$E:$E)</f>
        <v>FORM NUMBER ALREADY USED</v>
      </c>
      <c r="Z481" s="1"/>
      <c r="AA481" s="1"/>
      <c r="AB481" s="8"/>
      <c r="AC481" s="8"/>
      <c r="AD481" s="8"/>
      <c r="AE481" s="8"/>
      <c r="AF481" s="8"/>
      <c r="AG481" s="8"/>
      <c r="AH481" s="8"/>
      <c r="AI481" s="8"/>
      <c r="AJ481" s="8"/>
    </row>
    <row r="482" spans="1:36" ht="15" customHeight="1" x14ac:dyDescent="0.35">
      <c r="A482" s="4" t="s">
        <v>717</v>
      </c>
      <c r="B482" s="1" t="s">
        <v>3631</v>
      </c>
      <c r="C482" s="11">
        <v>44993</v>
      </c>
      <c r="D482" s="11" t="s">
        <v>4650</v>
      </c>
      <c r="E482" s="1" t="s">
        <v>21</v>
      </c>
      <c r="F482" s="1" t="s">
        <v>4651</v>
      </c>
      <c r="G482" s="6">
        <f>COUNTIF(F:F,Table2[[#This Row],[Form '#]])</f>
        <v>1</v>
      </c>
      <c r="H482" s="1" t="s">
        <v>4652</v>
      </c>
      <c r="I482" s="1" t="s">
        <v>3864</v>
      </c>
      <c r="J482" s="1" t="s">
        <v>78</v>
      </c>
      <c r="K482" s="1" t="s">
        <v>3879</v>
      </c>
      <c r="L482" s="1"/>
      <c r="M482" s="6" t="str">
        <f>IF(Table2[[#This Row],[Corrected Form '#
 (If Duplicated)]]="",Table2[[#This Row],[Form '#]],Table2[[#This Row],[Corrected Form '#
 (If Duplicated)]])</f>
        <v>7818-2426</v>
      </c>
      <c r="N482" s="1" t="s">
        <v>49</v>
      </c>
      <c r="O482" s="6" t="str">
        <f>IF(Table2[[#This Row],[POG CONFIRMATION RECEIPT OF ORDER
(DATE &amp; TIME)]]="","No Confirmation","Received Confirmation")</f>
        <v>Received Confirmation</v>
      </c>
      <c r="P482" s="6">
        <f ca="1">TODAY()-Table2[[#This Row],[DATE SENT TO POG]]</f>
        <v>310</v>
      </c>
      <c r="Q482" s="6" t="s">
        <v>5802</v>
      </c>
      <c r="R4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48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482" s="2" t="str">
        <f>_xlfn.XLOOKUP(Table2[[#This Row],[Adjusted Form '#]],'[2]IN PROGRESS'!$D:$D,'[2]IN PROGRESS'!$M:$M,"Not Found")</f>
        <v>Not Found</v>
      </c>
      <c r="U482" s="2" t="str">
        <f>_xlfn.XLOOKUP(Table2[[#This Row],[Adjusted Form '#]],[1]COMPLETED!$D:$D,[2]COMPLETED!$M:$M,"Not Found")</f>
        <v>Not Found</v>
      </c>
      <c r="V482" s="17" t="str">
        <f>_xlfn.XLOOKUP(Table2[[#This Row],[Adjusted Form '#]],[2]COMPLETED!$D:$D,[2]COMPLETED!$O:$O,"Not Found")</f>
        <v>Not Found</v>
      </c>
      <c r="W482" s="2" t="str">
        <f>_xlfn.XLOOKUP(Table2[[#This Row],[Adjusted Form '#]],[2]BILLED!$D:$D,[2]BILLED!$M:$M,"Not Found")</f>
        <v>Not Found</v>
      </c>
      <c r="X482" s="17" t="str">
        <f>_xlfn.XLOOKUP(Table2[[#This Row],[Adjusted Form '#]],[2]BILLED!$D:$D,[1]BILLED!$O:$O,"Not Found")</f>
        <v>Not Found</v>
      </c>
      <c r="Y482" s="17" t="e">
        <f>_xlfn.XLOOKUP(Table2[[#This Row],[Adjusted Form '#]],'[2]REJECTED ORDERS'!$D:$D,'[2]REJECTED ORDERS'!$E:$E)</f>
        <v>#N/A</v>
      </c>
      <c r="Z482" s="1"/>
      <c r="AA482" s="1"/>
      <c r="AB482" s="8"/>
      <c r="AC482" s="8"/>
      <c r="AD482" s="8"/>
      <c r="AE482" s="8"/>
      <c r="AF482" s="8"/>
      <c r="AG482" s="8"/>
      <c r="AH482" s="8"/>
      <c r="AI482" s="8"/>
      <c r="AJ482" s="8"/>
    </row>
    <row r="483" spans="1:36" ht="15" customHeight="1" x14ac:dyDescent="0.35">
      <c r="A483" s="4" t="s">
        <v>718</v>
      </c>
      <c r="B483" s="1" t="s">
        <v>3631</v>
      </c>
      <c r="C483" s="11">
        <v>44993</v>
      </c>
      <c r="D483" s="11" t="s">
        <v>4650</v>
      </c>
      <c r="E483" s="1" t="s">
        <v>21</v>
      </c>
      <c r="F483" s="1" t="s">
        <v>4653</v>
      </c>
      <c r="G483" s="6">
        <f>COUNTIF(F:F,Table2[[#This Row],[Form '#]])</f>
        <v>1</v>
      </c>
      <c r="H483" s="1" t="s">
        <v>4654</v>
      </c>
      <c r="I483" s="1" t="s">
        <v>3864</v>
      </c>
      <c r="J483" s="1" t="s">
        <v>78</v>
      </c>
      <c r="K483" s="1" t="s">
        <v>3879</v>
      </c>
      <c r="L483" s="1"/>
      <c r="M483" s="6" t="str">
        <f>IF(Table2[[#This Row],[Corrected Form '#
 (If Duplicated)]]="",Table2[[#This Row],[Form '#]],Table2[[#This Row],[Corrected Form '#
 (If Duplicated)]])</f>
        <v>7818-09442</v>
      </c>
      <c r="N483" s="1" t="s">
        <v>49</v>
      </c>
      <c r="O483" s="6" t="str">
        <f>IF(Table2[[#This Row],[POG CONFIRMATION RECEIPT OF ORDER
(DATE &amp; TIME)]]="","No Confirmation","Received Confirmation")</f>
        <v>Received Confirmation</v>
      </c>
      <c r="P483" s="6">
        <f ca="1">TODAY()-Table2[[#This Row],[DATE SENT TO POG]]</f>
        <v>310</v>
      </c>
      <c r="Q483" s="6" t="s">
        <v>5803</v>
      </c>
      <c r="R4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3" s="2" t="str">
        <f>_xlfn.XLOOKUP(Table2[[#This Row],[Adjusted Form '#]],'[2]IN PROGRESS'!$D:$D,'[2]IN PROGRESS'!$M:$M,"Not Found")</f>
        <v>Not Found</v>
      </c>
      <c r="U483" s="2" t="str">
        <f>_xlfn.XLOOKUP(Table2[[#This Row],[Adjusted Form '#]],[1]COMPLETED!$D:$D,[2]COMPLETED!$M:$M,"Not Found")</f>
        <v>Not Found</v>
      </c>
      <c r="V483" s="17" t="str">
        <f>_xlfn.XLOOKUP(Table2[[#This Row],[Adjusted Form '#]],[2]COMPLETED!$D:$D,[2]COMPLETED!$O:$O,"Not Found")</f>
        <v>Not Found</v>
      </c>
      <c r="W483" s="2" t="str">
        <f>_xlfn.XLOOKUP(Table2[[#This Row],[Adjusted Form '#]],[2]BILLED!$D:$D,[2]BILLED!$M:$M,"Not Found")</f>
        <v>1Z5063E0YW41795981</v>
      </c>
      <c r="X483" s="17" t="e">
        <f>_xlfn.XLOOKUP(Table2[[#This Row],[Adjusted Form '#]],[2]BILLED!$D:$D,[1]BILLED!$O:$O,"Not Found")</f>
        <v>#REF!</v>
      </c>
      <c r="Y483" s="17" t="e">
        <f>_xlfn.XLOOKUP(Table2[[#This Row],[Adjusted Form '#]],'[2]REJECTED ORDERS'!$D:$D,'[2]REJECTED ORDERS'!$E:$E)</f>
        <v>#N/A</v>
      </c>
      <c r="Z483" s="1"/>
      <c r="AA483" s="1"/>
      <c r="AB483" s="8"/>
      <c r="AC483" s="8"/>
      <c r="AD483" s="8"/>
      <c r="AE483" s="8"/>
      <c r="AF483" s="8"/>
      <c r="AG483" s="8"/>
      <c r="AH483" s="8"/>
      <c r="AI483" s="8"/>
      <c r="AJ483" s="8"/>
    </row>
    <row r="484" spans="1:36" ht="15" customHeight="1" x14ac:dyDescent="0.35">
      <c r="A484" s="4" t="s">
        <v>721</v>
      </c>
      <c r="B484" s="1" t="s">
        <v>3631</v>
      </c>
      <c r="C484" s="11">
        <v>44993</v>
      </c>
      <c r="D484" s="11" t="s">
        <v>4650</v>
      </c>
      <c r="E484" s="1" t="s">
        <v>21</v>
      </c>
      <c r="F484" s="1" t="s">
        <v>4655</v>
      </c>
      <c r="G484" s="6">
        <f>COUNTIF(F:F,Table2[[#This Row],[Form '#]])</f>
        <v>1</v>
      </c>
      <c r="H484" s="1" t="s">
        <v>4656</v>
      </c>
      <c r="I484" s="1" t="s">
        <v>758</v>
      </c>
      <c r="J484" s="1" t="s">
        <v>78</v>
      </c>
      <c r="K484" s="1" t="s">
        <v>3853</v>
      </c>
      <c r="L484" s="1"/>
      <c r="M484" s="6" t="str">
        <f>IF(Table2[[#This Row],[Corrected Form '#
 (If Duplicated)]]="",Table2[[#This Row],[Form '#]],Table2[[#This Row],[Corrected Form '#
 (If Duplicated)]])</f>
        <v>7818-26520</v>
      </c>
      <c r="N484" s="1" t="s">
        <v>49</v>
      </c>
      <c r="O484" s="6" t="str">
        <f>IF(Table2[[#This Row],[POG CONFIRMATION RECEIPT OF ORDER
(DATE &amp; TIME)]]="","No Confirmation","Received Confirmation")</f>
        <v>Received Confirmation</v>
      </c>
      <c r="P484" s="6">
        <f ca="1">TODAY()-Table2[[#This Row],[DATE SENT TO POG]]</f>
        <v>310</v>
      </c>
      <c r="Q484" s="6" t="s">
        <v>5803</v>
      </c>
      <c r="R4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4" s="2" t="str">
        <f>_xlfn.XLOOKUP(Table2[[#This Row],[Adjusted Form '#]],'[2]IN PROGRESS'!$D:$D,'[2]IN PROGRESS'!$M:$M,"Not Found")</f>
        <v>Not Found</v>
      </c>
      <c r="U484" s="2" t="str">
        <f>_xlfn.XLOOKUP(Table2[[#This Row],[Adjusted Form '#]],[1]COMPLETED!$D:$D,[2]COMPLETED!$M:$M,"Not Found")</f>
        <v>Not Found</v>
      </c>
      <c r="V484" s="17" t="str">
        <f>_xlfn.XLOOKUP(Table2[[#This Row],[Adjusted Form '#]],[2]COMPLETED!$D:$D,[2]COMPLETED!$O:$O,"Not Found")</f>
        <v>Not Found</v>
      </c>
      <c r="W484" s="2" t="str">
        <f>_xlfn.XLOOKUP(Table2[[#This Row],[Adjusted Form '#]],[2]BILLED!$D:$D,[2]BILLED!$M:$M,"Not Found")</f>
        <v>1Z5063E0YW40260274</v>
      </c>
      <c r="X484" s="17" t="e">
        <f>_xlfn.XLOOKUP(Table2[[#This Row],[Adjusted Form '#]],[2]BILLED!$D:$D,[1]BILLED!$O:$O,"Not Found")</f>
        <v>#REF!</v>
      </c>
      <c r="Y484" s="17" t="e">
        <f>_xlfn.XLOOKUP(Table2[[#This Row],[Adjusted Form '#]],'[2]REJECTED ORDERS'!$D:$D,'[2]REJECTED ORDERS'!$E:$E)</f>
        <v>#N/A</v>
      </c>
      <c r="Z484" s="1"/>
      <c r="AA484" s="1"/>
      <c r="AB484" s="8"/>
      <c r="AC484" s="8"/>
      <c r="AD484" s="8"/>
      <c r="AE484" s="8"/>
      <c r="AF484" s="8"/>
      <c r="AG484" s="8"/>
      <c r="AH484" s="8"/>
      <c r="AI484" s="8"/>
      <c r="AJ484" s="8"/>
    </row>
    <row r="485" spans="1:36" ht="15" customHeight="1" x14ac:dyDescent="0.35">
      <c r="A485" s="4" t="s">
        <v>724</v>
      </c>
      <c r="B485" s="1" t="s">
        <v>3631</v>
      </c>
      <c r="C485" s="11">
        <v>44993</v>
      </c>
      <c r="D485" s="11" t="s">
        <v>4650</v>
      </c>
      <c r="E485" s="1" t="s">
        <v>21</v>
      </c>
      <c r="F485" s="1" t="s">
        <v>4657</v>
      </c>
      <c r="G485" s="6">
        <f>COUNTIF(F:F,Table2[[#This Row],[Form '#]])</f>
        <v>1</v>
      </c>
      <c r="H485" s="1" t="s">
        <v>2028</v>
      </c>
      <c r="I485" s="1" t="s">
        <v>758</v>
      </c>
      <c r="J485" s="1" t="s">
        <v>78</v>
      </c>
      <c r="K485" s="1" t="s">
        <v>3853</v>
      </c>
      <c r="L485" s="1"/>
      <c r="M485" s="6" t="str">
        <f>IF(Table2[[#This Row],[Corrected Form '#
 (If Duplicated)]]="",Table2[[#This Row],[Form '#]],Table2[[#This Row],[Corrected Form '#
 (If Duplicated)]])</f>
        <v>7818-25638</v>
      </c>
      <c r="N485" s="1" t="s">
        <v>49</v>
      </c>
      <c r="O485" s="6" t="str">
        <f>IF(Table2[[#This Row],[POG CONFIRMATION RECEIPT OF ORDER
(DATE &amp; TIME)]]="","No Confirmation","Received Confirmation")</f>
        <v>Received Confirmation</v>
      </c>
      <c r="P485" s="6">
        <f ca="1">TODAY()-Table2[[#This Row],[DATE SENT TO POG]]</f>
        <v>310</v>
      </c>
      <c r="Q485" s="6" t="s">
        <v>5803</v>
      </c>
      <c r="R4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5" s="2" t="str">
        <f>_xlfn.XLOOKUP(Table2[[#This Row],[Adjusted Form '#]],'[2]IN PROGRESS'!$D:$D,'[2]IN PROGRESS'!$M:$M,"Not Found")</f>
        <v>Not Found</v>
      </c>
      <c r="U485" s="2" t="str">
        <f>_xlfn.XLOOKUP(Table2[[#This Row],[Adjusted Form '#]],[1]COMPLETED!$D:$D,[2]COMPLETED!$M:$M,"Not Found")</f>
        <v>Not Found</v>
      </c>
      <c r="V485" s="17" t="str">
        <f>_xlfn.XLOOKUP(Table2[[#This Row],[Adjusted Form '#]],[2]COMPLETED!$D:$D,[2]COMPLETED!$O:$O,"Not Found")</f>
        <v>Not Found</v>
      </c>
      <c r="W485" s="2" t="str">
        <f>_xlfn.XLOOKUP(Table2[[#This Row],[Adjusted Form '#]],[2]BILLED!$D:$D,[2]BILLED!$M:$M,"Not Found")</f>
        <v>1Z5063E0YW40920944</v>
      </c>
      <c r="X485" s="17" t="e">
        <f>_xlfn.XLOOKUP(Table2[[#This Row],[Adjusted Form '#]],[2]BILLED!$D:$D,[1]BILLED!$O:$O,"Not Found")</f>
        <v>#REF!</v>
      </c>
      <c r="Y485" s="17" t="e">
        <f>_xlfn.XLOOKUP(Table2[[#This Row],[Adjusted Form '#]],'[2]REJECTED ORDERS'!$D:$D,'[2]REJECTED ORDERS'!$E:$E)</f>
        <v>#N/A</v>
      </c>
      <c r="Z485" s="1"/>
      <c r="AA485" s="1"/>
      <c r="AB485" s="8"/>
      <c r="AC485" s="8"/>
      <c r="AD485" s="8"/>
      <c r="AE485" s="8"/>
      <c r="AF485" s="8"/>
      <c r="AG485" s="8"/>
      <c r="AH485" s="8"/>
      <c r="AI485" s="8"/>
      <c r="AJ485" s="8"/>
    </row>
    <row r="486" spans="1:36" ht="15" customHeight="1" x14ac:dyDescent="0.35">
      <c r="A486" s="4" t="s">
        <v>725</v>
      </c>
      <c r="B486" s="1" t="s">
        <v>3374</v>
      </c>
      <c r="C486" s="11">
        <v>44994</v>
      </c>
      <c r="D486" s="11" t="s">
        <v>4658</v>
      </c>
      <c r="E486" s="1" t="s">
        <v>21</v>
      </c>
      <c r="F486" s="1" t="s">
        <v>4659</v>
      </c>
      <c r="G486" s="6">
        <f>COUNTIF(F:F,Table2[[#This Row],[Form '#]])</f>
        <v>1</v>
      </c>
      <c r="H486" s="1" t="s">
        <v>3733</v>
      </c>
      <c r="I486" s="1" t="s">
        <v>3852</v>
      </c>
      <c r="J486" s="1" t="s">
        <v>80</v>
      </c>
      <c r="K486" s="1" t="s">
        <v>3853</v>
      </c>
      <c r="L486" s="1"/>
      <c r="M486" s="6" t="str">
        <f>IF(Table2[[#This Row],[Corrected Form '#
 (If Duplicated)]]="",Table2[[#This Row],[Form '#]],Table2[[#This Row],[Corrected Form '#
 (If Duplicated)]])</f>
        <v>7818-10391</v>
      </c>
      <c r="N486" s="1" t="s">
        <v>49</v>
      </c>
      <c r="O486" s="6" t="str">
        <f>IF(Table2[[#This Row],[POG CONFIRMATION RECEIPT OF ORDER
(DATE &amp; TIME)]]="","No Confirmation","Received Confirmation")</f>
        <v>Received Confirmation</v>
      </c>
      <c r="P486" s="6">
        <f ca="1">TODAY()-Table2[[#This Row],[DATE SENT TO POG]]</f>
        <v>309</v>
      </c>
      <c r="Q486" s="6" t="s">
        <v>5803</v>
      </c>
      <c r="R4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6" s="2" t="str">
        <f>_xlfn.XLOOKUP(Table2[[#This Row],[Adjusted Form '#]],'[2]IN PROGRESS'!$D:$D,'[2]IN PROGRESS'!$M:$M,"Not Found")</f>
        <v>Not Found</v>
      </c>
      <c r="U486" s="2" t="str">
        <f>_xlfn.XLOOKUP(Table2[[#This Row],[Adjusted Form '#]],[1]COMPLETED!$D:$D,[2]COMPLETED!$M:$M,"Not Found")</f>
        <v>Not Found</v>
      </c>
      <c r="V486" s="17" t="str">
        <f>_xlfn.XLOOKUP(Table2[[#This Row],[Adjusted Form '#]],[2]COMPLETED!$D:$D,[2]COMPLETED!$O:$O,"Not Found")</f>
        <v>Not Found</v>
      </c>
      <c r="W486" s="2" t="str">
        <f>_xlfn.XLOOKUP(Table2[[#This Row],[Adjusted Form '#]],[2]BILLED!$D:$D,[2]BILLED!$M:$M,"Not Found")</f>
        <v>1Z5063E0YW42406023</v>
      </c>
      <c r="X486" s="17" t="e">
        <f>_xlfn.XLOOKUP(Table2[[#This Row],[Adjusted Form '#]],[2]BILLED!$D:$D,[1]BILLED!$O:$O,"Not Found")</f>
        <v>#REF!</v>
      </c>
      <c r="Y486" s="17" t="e">
        <f>_xlfn.XLOOKUP(Table2[[#This Row],[Adjusted Form '#]],'[2]REJECTED ORDERS'!$D:$D,'[2]REJECTED ORDERS'!$E:$E)</f>
        <v>#N/A</v>
      </c>
      <c r="Z486" s="1"/>
      <c r="AA486" s="1"/>
      <c r="AB486" s="8"/>
      <c r="AC486" s="8"/>
      <c r="AD486" s="8"/>
      <c r="AE486" s="8"/>
      <c r="AF486" s="8"/>
      <c r="AG486" s="8"/>
      <c r="AH486" s="8"/>
      <c r="AI486" s="8"/>
      <c r="AJ486" s="8"/>
    </row>
    <row r="487" spans="1:36" ht="15" customHeight="1" x14ac:dyDescent="0.35">
      <c r="A487" s="4" t="s">
        <v>727</v>
      </c>
      <c r="B487" s="1" t="s">
        <v>3374</v>
      </c>
      <c r="C487" s="11">
        <v>44994</v>
      </c>
      <c r="D487" s="11" t="s">
        <v>4658</v>
      </c>
      <c r="E487" s="1" t="s">
        <v>21</v>
      </c>
      <c r="F487" s="1" t="s">
        <v>4660</v>
      </c>
      <c r="G487" s="6">
        <f>COUNTIF(F:F,Table2[[#This Row],[Form '#]])</f>
        <v>1</v>
      </c>
      <c r="H487" s="1" t="s">
        <v>3455</v>
      </c>
      <c r="I487" s="1" t="s">
        <v>177</v>
      </c>
      <c r="J487" s="1" t="s">
        <v>75</v>
      </c>
      <c r="K487" s="1" t="s">
        <v>4011</v>
      </c>
      <c r="L487" s="1"/>
      <c r="M487" s="6" t="str">
        <f>IF(Table2[[#This Row],[Corrected Form '#
 (If Duplicated)]]="",Table2[[#This Row],[Form '#]],Table2[[#This Row],[Corrected Form '#
 (If Duplicated)]])</f>
        <v>7818-26744</v>
      </c>
      <c r="N487" s="1" t="s">
        <v>49</v>
      </c>
      <c r="O487" s="6" t="str">
        <f>IF(Table2[[#This Row],[POG CONFIRMATION RECEIPT OF ORDER
(DATE &amp; TIME)]]="","No Confirmation","Received Confirmation")</f>
        <v>Received Confirmation</v>
      </c>
      <c r="P487" s="6">
        <f ca="1">TODAY()-Table2[[#This Row],[DATE SENT TO POG]]</f>
        <v>309</v>
      </c>
      <c r="Q487" s="6" t="s">
        <v>5803</v>
      </c>
      <c r="R4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7" s="2" t="str">
        <f>_xlfn.XLOOKUP(Table2[[#This Row],[Adjusted Form '#]],'[2]IN PROGRESS'!$D:$D,'[2]IN PROGRESS'!$M:$M,"Not Found")</f>
        <v>Not Found</v>
      </c>
      <c r="U487" s="2" t="str">
        <f>_xlfn.XLOOKUP(Table2[[#This Row],[Adjusted Form '#]],[1]COMPLETED!$D:$D,[2]COMPLETED!$M:$M,"Not Found")</f>
        <v>Not Found</v>
      </c>
      <c r="V487" s="17" t="str">
        <f>_xlfn.XLOOKUP(Table2[[#This Row],[Adjusted Form '#]],[2]COMPLETED!$D:$D,[2]COMPLETED!$O:$O,"Not Found")</f>
        <v>Not Found</v>
      </c>
      <c r="W487" s="2" t="str">
        <f>_xlfn.XLOOKUP(Table2[[#This Row],[Adjusted Form '#]],[2]BILLED!$D:$D,[2]BILLED!$M:$M,"Not Found")</f>
        <v>1Z5063E0YW40033475</v>
      </c>
      <c r="X487" s="17" t="e">
        <f>_xlfn.XLOOKUP(Table2[[#This Row],[Adjusted Form '#]],[2]BILLED!$D:$D,[1]BILLED!$O:$O,"Not Found")</f>
        <v>#REF!</v>
      </c>
      <c r="Y487" s="17" t="e">
        <f>_xlfn.XLOOKUP(Table2[[#This Row],[Adjusted Form '#]],'[2]REJECTED ORDERS'!$D:$D,'[2]REJECTED ORDERS'!$E:$E)</f>
        <v>#N/A</v>
      </c>
      <c r="Z487" s="1"/>
      <c r="AA487" s="1"/>
      <c r="AB487" s="8"/>
      <c r="AC487" s="8"/>
      <c r="AD487" s="8"/>
      <c r="AE487" s="8"/>
      <c r="AF487" s="8"/>
      <c r="AG487" s="8"/>
      <c r="AH487" s="8"/>
      <c r="AI487" s="8"/>
      <c r="AJ487" s="8"/>
    </row>
    <row r="488" spans="1:36" ht="15" customHeight="1" x14ac:dyDescent="0.35">
      <c r="A488" s="4" t="s">
        <v>729</v>
      </c>
      <c r="B488" s="1" t="s">
        <v>3374</v>
      </c>
      <c r="C488" s="11">
        <v>44994</v>
      </c>
      <c r="D488" s="11" t="s">
        <v>4658</v>
      </c>
      <c r="E488" s="1" t="s">
        <v>21</v>
      </c>
      <c r="F488" s="1" t="s">
        <v>4661</v>
      </c>
      <c r="G488" s="6">
        <f>COUNTIF(F:F,Table2[[#This Row],[Form '#]])</f>
        <v>1</v>
      </c>
      <c r="H488" s="1" t="s">
        <v>4662</v>
      </c>
      <c r="I488" s="1" t="s">
        <v>3864</v>
      </c>
      <c r="J488" s="1" t="s">
        <v>78</v>
      </c>
      <c r="K488" s="1" t="s">
        <v>3879</v>
      </c>
      <c r="L488" s="1"/>
      <c r="M488" s="6" t="str">
        <f>IF(Table2[[#This Row],[Corrected Form '#
 (If Duplicated)]]="",Table2[[#This Row],[Form '#]],Table2[[#This Row],[Corrected Form '#
 (If Duplicated)]])</f>
        <v>7818-24660</v>
      </c>
      <c r="N488" s="1" t="s">
        <v>49</v>
      </c>
      <c r="O488" s="6" t="str">
        <f>IF(Table2[[#This Row],[POG CONFIRMATION RECEIPT OF ORDER
(DATE &amp; TIME)]]="","No Confirmation","Received Confirmation")</f>
        <v>Received Confirmation</v>
      </c>
      <c r="P488" s="6">
        <f ca="1">TODAY()-Table2[[#This Row],[DATE SENT TO POG]]</f>
        <v>309</v>
      </c>
      <c r="Q488" s="6" t="s">
        <v>5803</v>
      </c>
      <c r="R4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8" s="2" t="str">
        <f>_xlfn.XLOOKUP(Table2[[#This Row],[Adjusted Form '#]],'[2]IN PROGRESS'!$D:$D,'[2]IN PROGRESS'!$M:$M,"Not Found")</f>
        <v>Not Found</v>
      </c>
      <c r="U488" s="2" t="str">
        <f>_xlfn.XLOOKUP(Table2[[#This Row],[Adjusted Form '#]],[1]COMPLETED!$D:$D,[2]COMPLETED!$M:$M,"Not Found")</f>
        <v>Not Found</v>
      </c>
      <c r="V488" s="17" t="str">
        <f>_xlfn.XLOOKUP(Table2[[#This Row],[Adjusted Form '#]],[2]COMPLETED!$D:$D,[2]COMPLETED!$O:$O,"Not Found")</f>
        <v>Not Found</v>
      </c>
      <c r="W488" s="2" t="str">
        <f>_xlfn.XLOOKUP(Table2[[#This Row],[Adjusted Form '#]],[2]BILLED!$D:$D,[2]BILLED!$M:$M,"Not Found")</f>
        <v>1Z5063E0YW42712817</v>
      </c>
      <c r="X488" s="17" t="e">
        <f>_xlfn.XLOOKUP(Table2[[#This Row],[Adjusted Form '#]],[2]BILLED!$D:$D,[1]BILLED!$O:$O,"Not Found")</f>
        <v>#REF!</v>
      </c>
      <c r="Y488" s="17" t="e">
        <f>_xlfn.XLOOKUP(Table2[[#This Row],[Adjusted Form '#]],'[2]REJECTED ORDERS'!$D:$D,'[2]REJECTED ORDERS'!$E:$E)</f>
        <v>#N/A</v>
      </c>
      <c r="Z488" s="1"/>
      <c r="AA488" s="1"/>
      <c r="AB488" s="8"/>
      <c r="AC488" s="8"/>
      <c r="AD488" s="8"/>
      <c r="AE488" s="8"/>
      <c r="AF488" s="8"/>
      <c r="AG488" s="8"/>
      <c r="AH488" s="8"/>
      <c r="AI488" s="8"/>
      <c r="AJ488" s="8"/>
    </row>
    <row r="489" spans="1:36" ht="15" customHeight="1" x14ac:dyDescent="0.35">
      <c r="A489" s="4" t="s">
        <v>730</v>
      </c>
      <c r="B489" s="1" t="s">
        <v>803</v>
      </c>
      <c r="C489" s="11">
        <v>44994</v>
      </c>
      <c r="D489" s="11" t="s">
        <v>4658</v>
      </c>
      <c r="E489" s="1" t="s">
        <v>21</v>
      </c>
      <c r="F489" s="1" t="s">
        <v>4663</v>
      </c>
      <c r="G489" s="6">
        <f>COUNTIF(F:F,Table2[[#This Row],[Form '#]])</f>
        <v>1</v>
      </c>
      <c r="H489" s="1" t="s">
        <v>4664</v>
      </c>
      <c r="I489" s="1" t="s">
        <v>127</v>
      </c>
      <c r="J489" s="1" t="s">
        <v>74</v>
      </c>
      <c r="K489" s="1" t="s">
        <v>4011</v>
      </c>
      <c r="L489" s="1"/>
      <c r="M489" s="6" t="str">
        <f>IF(Table2[[#This Row],[Corrected Form '#
 (If Duplicated)]]="",Table2[[#This Row],[Form '#]],Table2[[#This Row],[Corrected Form '#
 (If Duplicated)]])</f>
        <v>7818-19118</v>
      </c>
      <c r="N489" s="1" t="s">
        <v>49</v>
      </c>
      <c r="O489" s="6" t="str">
        <f>IF(Table2[[#This Row],[POG CONFIRMATION RECEIPT OF ORDER
(DATE &amp; TIME)]]="","No Confirmation","Received Confirmation")</f>
        <v>Received Confirmation</v>
      </c>
      <c r="P489" s="6">
        <f ca="1">TODAY()-Table2[[#This Row],[DATE SENT TO POG]]</f>
        <v>309</v>
      </c>
      <c r="Q489" s="6" t="s">
        <v>5803</v>
      </c>
      <c r="R4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89" s="2" t="str">
        <f>_xlfn.XLOOKUP(Table2[[#This Row],[Adjusted Form '#]],'[2]IN PROGRESS'!$D:$D,'[2]IN PROGRESS'!$M:$M,"Not Found")</f>
        <v>Not Found</v>
      </c>
      <c r="U489" s="2" t="str">
        <f>_xlfn.XLOOKUP(Table2[[#This Row],[Adjusted Form '#]],[1]COMPLETED!$D:$D,[2]COMPLETED!$M:$M,"Not Found")</f>
        <v>Not Found</v>
      </c>
      <c r="V489" s="17" t="str">
        <f>_xlfn.XLOOKUP(Table2[[#This Row],[Adjusted Form '#]],[2]COMPLETED!$D:$D,[2]COMPLETED!$O:$O,"Not Found")</f>
        <v>Not Found</v>
      </c>
      <c r="W489" s="2" t="str">
        <f>_xlfn.XLOOKUP(Table2[[#This Row],[Adjusted Form '#]],[2]BILLED!$D:$D,[2]BILLED!$M:$M,"Not Found")</f>
        <v>1Z5063E0YW40802152</v>
      </c>
      <c r="X489" s="17" t="e">
        <f>_xlfn.XLOOKUP(Table2[[#This Row],[Adjusted Form '#]],[2]BILLED!$D:$D,[1]BILLED!$O:$O,"Not Found")</f>
        <v>#REF!</v>
      </c>
      <c r="Y489" s="17" t="str">
        <f>_xlfn.XLOOKUP(Table2[[#This Row],[Adjusted Form '#]],'[2]REJECTED ORDERS'!$D:$D,'[2]REJECTED ORDERS'!$E:$E)</f>
        <v>FORM NOT SIGNED</v>
      </c>
      <c r="Z489" s="1"/>
      <c r="AA489" s="1"/>
      <c r="AB489" s="8"/>
      <c r="AC489" s="8"/>
      <c r="AD489" s="8"/>
      <c r="AE489" s="8"/>
      <c r="AF489" s="8"/>
      <c r="AG489" s="8"/>
      <c r="AH489" s="8"/>
      <c r="AI489" s="8"/>
      <c r="AJ489" s="8"/>
    </row>
    <row r="490" spans="1:36" ht="15" customHeight="1" x14ac:dyDescent="0.35">
      <c r="A490" s="4" t="s">
        <v>732</v>
      </c>
      <c r="B490" s="1" t="s">
        <v>803</v>
      </c>
      <c r="C490" s="11">
        <v>44994</v>
      </c>
      <c r="D490" s="11" t="s">
        <v>4658</v>
      </c>
      <c r="E490" s="1" t="s">
        <v>21</v>
      </c>
      <c r="F490" s="1" t="s">
        <v>4665</v>
      </c>
      <c r="G490" s="6">
        <f>COUNTIF(F:F,Table2[[#This Row],[Form '#]])</f>
        <v>1</v>
      </c>
      <c r="H490" s="1" t="s">
        <v>4666</v>
      </c>
      <c r="I490" s="1" t="s">
        <v>3852</v>
      </c>
      <c r="J490" s="1" t="s">
        <v>3891</v>
      </c>
      <c r="K490" s="1" t="s">
        <v>3853</v>
      </c>
      <c r="L490" s="1"/>
      <c r="M490" s="6" t="str">
        <f>IF(Table2[[#This Row],[Corrected Form '#
 (If Duplicated)]]="",Table2[[#This Row],[Form '#]],Table2[[#This Row],[Corrected Form '#
 (If Duplicated)]])</f>
        <v>7818-17575</v>
      </c>
      <c r="N490" s="1" t="s">
        <v>49</v>
      </c>
      <c r="O490" s="6" t="str">
        <f>IF(Table2[[#This Row],[POG CONFIRMATION RECEIPT OF ORDER
(DATE &amp; TIME)]]="","No Confirmation","Received Confirmation")</f>
        <v>Received Confirmation</v>
      </c>
      <c r="P490" s="6">
        <f ca="1">TODAY()-Table2[[#This Row],[DATE SENT TO POG]]</f>
        <v>309</v>
      </c>
      <c r="Q490" s="6" t="s">
        <v>5803</v>
      </c>
      <c r="R4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0" s="2" t="str">
        <f>_xlfn.XLOOKUP(Table2[[#This Row],[Adjusted Form '#]],'[2]IN PROGRESS'!$D:$D,'[2]IN PROGRESS'!$M:$M,"Not Found")</f>
        <v>Not Found</v>
      </c>
      <c r="U490" s="2" t="str">
        <f>_xlfn.XLOOKUP(Table2[[#This Row],[Adjusted Form '#]],[1]COMPLETED!$D:$D,[2]COMPLETED!$M:$M,"Not Found")</f>
        <v>Not Found</v>
      </c>
      <c r="V490" s="17" t="str">
        <f>_xlfn.XLOOKUP(Table2[[#This Row],[Adjusted Form '#]],[2]COMPLETED!$D:$D,[2]COMPLETED!$O:$O,"Not Found")</f>
        <v>Not Found</v>
      </c>
      <c r="W490" s="2" t="str">
        <f>_xlfn.XLOOKUP(Table2[[#This Row],[Adjusted Form '#]],[2]BILLED!$D:$D,[2]BILLED!$M:$M,"Not Found")</f>
        <v>1Z5063E0YW42208532</v>
      </c>
      <c r="X490" s="17" t="e">
        <f>_xlfn.XLOOKUP(Table2[[#This Row],[Adjusted Form '#]],[2]BILLED!$D:$D,[1]BILLED!$O:$O,"Not Found")</f>
        <v>#REF!</v>
      </c>
      <c r="Y490" s="17" t="e">
        <f>_xlfn.XLOOKUP(Table2[[#This Row],[Adjusted Form '#]],'[2]REJECTED ORDERS'!$D:$D,'[2]REJECTED ORDERS'!$E:$E)</f>
        <v>#N/A</v>
      </c>
      <c r="Z490" s="1"/>
      <c r="AA490" s="1"/>
      <c r="AB490" s="8"/>
      <c r="AC490" s="8"/>
      <c r="AD490" s="8"/>
      <c r="AE490" s="8"/>
      <c r="AF490" s="8"/>
      <c r="AG490" s="8"/>
      <c r="AH490" s="8"/>
      <c r="AI490" s="8"/>
      <c r="AJ490" s="8"/>
    </row>
    <row r="491" spans="1:36" ht="15" customHeight="1" x14ac:dyDescent="0.35">
      <c r="A491" s="4" t="s">
        <v>734</v>
      </c>
      <c r="B491" s="1" t="s">
        <v>803</v>
      </c>
      <c r="C491" s="11">
        <v>44994</v>
      </c>
      <c r="D491" s="11" t="s">
        <v>4658</v>
      </c>
      <c r="E491" s="1" t="s">
        <v>21</v>
      </c>
      <c r="F491" s="1" t="s">
        <v>4667</v>
      </c>
      <c r="G491" s="6">
        <f>COUNTIF(F:F,Table2[[#This Row],[Form '#]])</f>
        <v>1</v>
      </c>
      <c r="H491" s="1" t="s">
        <v>1249</v>
      </c>
      <c r="I491" s="1" t="s">
        <v>3852</v>
      </c>
      <c r="J491" s="1" t="s">
        <v>80</v>
      </c>
      <c r="K491" s="1" t="s">
        <v>3853</v>
      </c>
      <c r="L491" s="1"/>
      <c r="M491" s="6" t="str">
        <f>IF(Table2[[#This Row],[Corrected Form '#
 (If Duplicated)]]="",Table2[[#This Row],[Form '#]],Table2[[#This Row],[Corrected Form '#
 (If Duplicated)]])</f>
        <v>7818-24803</v>
      </c>
      <c r="N491" s="1" t="s">
        <v>49</v>
      </c>
      <c r="O491" s="6" t="str">
        <f>IF(Table2[[#This Row],[POG CONFIRMATION RECEIPT OF ORDER
(DATE &amp; TIME)]]="","No Confirmation","Received Confirmation")</f>
        <v>Received Confirmation</v>
      </c>
      <c r="P491" s="6">
        <f ca="1">TODAY()-Table2[[#This Row],[DATE SENT TO POG]]</f>
        <v>309</v>
      </c>
      <c r="Q491" s="6" t="s">
        <v>5803</v>
      </c>
      <c r="R4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1" s="2" t="str">
        <f>_xlfn.XLOOKUP(Table2[[#This Row],[Adjusted Form '#]],'[2]IN PROGRESS'!$D:$D,'[2]IN PROGRESS'!$M:$M,"Not Found")</f>
        <v>Not Found</v>
      </c>
      <c r="U491" s="2" t="str">
        <f>_xlfn.XLOOKUP(Table2[[#This Row],[Adjusted Form '#]],[1]COMPLETED!$D:$D,[2]COMPLETED!$M:$M,"Not Found")</f>
        <v>Not Found</v>
      </c>
      <c r="V491" s="17" t="str">
        <f>_xlfn.XLOOKUP(Table2[[#This Row],[Adjusted Form '#]],[2]COMPLETED!$D:$D,[2]COMPLETED!$O:$O,"Not Found")</f>
        <v>Not Found</v>
      </c>
      <c r="W491" s="2" t="str">
        <f>_xlfn.XLOOKUP(Table2[[#This Row],[Adjusted Form '#]],[2]BILLED!$D:$D,[2]BILLED!$M:$M,"Not Found")</f>
        <v>1Z5063E0YW41332060</v>
      </c>
      <c r="X491" s="17" t="e">
        <f>_xlfn.XLOOKUP(Table2[[#This Row],[Adjusted Form '#]],[2]BILLED!$D:$D,[1]BILLED!$O:$O,"Not Found")</f>
        <v>#REF!</v>
      </c>
      <c r="Y491" s="17" t="e">
        <f>_xlfn.XLOOKUP(Table2[[#This Row],[Adjusted Form '#]],'[2]REJECTED ORDERS'!$D:$D,'[2]REJECTED ORDERS'!$E:$E)</f>
        <v>#N/A</v>
      </c>
      <c r="Z491" s="1"/>
      <c r="AA491" s="1"/>
      <c r="AB491" s="8"/>
      <c r="AC491" s="8"/>
      <c r="AD491" s="8"/>
      <c r="AE491" s="8"/>
      <c r="AF491" s="8"/>
      <c r="AG491" s="8"/>
      <c r="AH491" s="8"/>
      <c r="AI491" s="8"/>
      <c r="AJ491" s="8"/>
    </row>
    <row r="492" spans="1:36" ht="15" customHeight="1" x14ac:dyDescent="0.35">
      <c r="A492" s="4" t="s">
        <v>737</v>
      </c>
      <c r="B492" s="1" t="s">
        <v>803</v>
      </c>
      <c r="C492" s="11">
        <v>44994</v>
      </c>
      <c r="D492" s="11" t="s">
        <v>4658</v>
      </c>
      <c r="E492" s="1" t="s">
        <v>21</v>
      </c>
      <c r="F492" s="1" t="s">
        <v>4668</v>
      </c>
      <c r="G492" s="6">
        <f>COUNTIF(F:F,Table2[[#This Row],[Form '#]])</f>
        <v>1</v>
      </c>
      <c r="H492" s="1" t="s">
        <v>474</v>
      </c>
      <c r="I492" s="1" t="s">
        <v>127</v>
      </c>
      <c r="J492" s="1" t="s">
        <v>76</v>
      </c>
      <c r="K492" s="1" t="s">
        <v>3883</v>
      </c>
      <c r="L492" s="1"/>
      <c r="M492" s="6" t="str">
        <f>IF(Table2[[#This Row],[Corrected Form '#
 (If Duplicated)]]="",Table2[[#This Row],[Form '#]],Table2[[#This Row],[Corrected Form '#
 (If Duplicated)]])</f>
        <v>7818-07525</v>
      </c>
      <c r="N492" s="1" t="s">
        <v>49</v>
      </c>
      <c r="O492" s="6" t="str">
        <f>IF(Table2[[#This Row],[POG CONFIRMATION RECEIPT OF ORDER
(DATE &amp; TIME)]]="","No Confirmation","Received Confirmation")</f>
        <v>Received Confirmation</v>
      </c>
      <c r="P492" s="6">
        <f ca="1">TODAY()-Table2[[#This Row],[DATE SENT TO POG]]</f>
        <v>309</v>
      </c>
      <c r="Q492" s="6" t="s">
        <v>5803</v>
      </c>
      <c r="R4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2" s="2" t="str">
        <f>_xlfn.XLOOKUP(Table2[[#This Row],[Adjusted Form '#]],'[2]IN PROGRESS'!$D:$D,'[2]IN PROGRESS'!$M:$M,"Not Found")</f>
        <v>Not Found</v>
      </c>
      <c r="U492" s="2" t="str">
        <f>_xlfn.XLOOKUP(Table2[[#This Row],[Adjusted Form '#]],[1]COMPLETED!$D:$D,[2]COMPLETED!$M:$M,"Not Found")</f>
        <v>Not Found</v>
      </c>
      <c r="V492" s="17" t="str">
        <f>_xlfn.XLOOKUP(Table2[[#This Row],[Adjusted Form '#]],[2]COMPLETED!$D:$D,[2]COMPLETED!$O:$O,"Not Found")</f>
        <v>Not Found</v>
      </c>
      <c r="W492" s="2" t="str">
        <f>_xlfn.XLOOKUP(Table2[[#This Row],[Adjusted Form '#]],[2]BILLED!$D:$D,[2]BILLED!$M:$M,"Not Found")</f>
        <v>1Z5063E0YW41807137</v>
      </c>
      <c r="X492" s="17" t="e">
        <f>_xlfn.XLOOKUP(Table2[[#This Row],[Adjusted Form '#]],[2]BILLED!$D:$D,[1]BILLED!$O:$O,"Not Found")</f>
        <v>#REF!</v>
      </c>
      <c r="Y492" s="17" t="str">
        <f>_xlfn.XLOOKUP(Table2[[#This Row],[Adjusted Form '#]],'[2]REJECTED ORDERS'!$D:$D,'[2]REJECTED ORDERS'!$E:$E)</f>
        <v>FORM NOT SIGNED</v>
      </c>
      <c r="Z492" s="1"/>
      <c r="AA492" s="1"/>
      <c r="AB492" s="8"/>
      <c r="AC492" s="8"/>
      <c r="AD492" s="8"/>
      <c r="AE492" s="8"/>
      <c r="AF492" s="8"/>
      <c r="AG492" s="8"/>
      <c r="AH492" s="8"/>
      <c r="AI492" s="8"/>
      <c r="AJ492" s="8"/>
    </row>
    <row r="493" spans="1:36" ht="15" customHeight="1" x14ac:dyDescent="0.35">
      <c r="A493" s="4" t="s">
        <v>738</v>
      </c>
      <c r="B493" s="1" t="s">
        <v>4669</v>
      </c>
      <c r="C493" s="11">
        <v>44994</v>
      </c>
      <c r="D493" s="11" t="s">
        <v>4670</v>
      </c>
      <c r="E493" s="1" t="s">
        <v>21</v>
      </c>
      <c r="F493" s="1" t="s">
        <v>4671</v>
      </c>
      <c r="G493" s="6">
        <f>COUNTIF(F:F,Table2[[#This Row],[Form '#]])</f>
        <v>1</v>
      </c>
      <c r="H493" s="1" t="s">
        <v>1960</v>
      </c>
      <c r="I493" s="1" t="s">
        <v>127</v>
      </c>
      <c r="J493" s="1" t="s">
        <v>76</v>
      </c>
      <c r="K493" s="1" t="s">
        <v>4011</v>
      </c>
      <c r="L493" s="1"/>
      <c r="M493" s="6" t="str">
        <f>IF(Table2[[#This Row],[Corrected Form '#
 (If Duplicated)]]="",Table2[[#This Row],[Form '#]],Table2[[#This Row],[Corrected Form '#
 (If Duplicated)]])</f>
        <v>7818-10392</v>
      </c>
      <c r="N493" s="1" t="s">
        <v>49</v>
      </c>
      <c r="O493" s="6" t="str">
        <f>IF(Table2[[#This Row],[POG CONFIRMATION RECEIPT OF ORDER
(DATE &amp; TIME)]]="","No Confirmation","Received Confirmation")</f>
        <v>Received Confirmation</v>
      </c>
      <c r="P493" s="6">
        <f ca="1">TODAY()-Table2[[#This Row],[DATE SENT TO POG]]</f>
        <v>309</v>
      </c>
      <c r="Q493" s="6" t="s">
        <v>5803</v>
      </c>
      <c r="R4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3" s="2" t="str">
        <f>_xlfn.XLOOKUP(Table2[[#This Row],[Adjusted Form '#]],'[2]IN PROGRESS'!$D:$D,'[2]IN PROGRESS'!$M:$M,"Not Found")</f>
        <v>Not Found</v>
      </c>
      <c r="U493" s="2" t="str">
        <f>_xlfn.XLOOKUP(Table2[[#This Row],[Adjusted Form '#]],[1]COMPLETED!$D:$D,[2]COMPLETED!$M:$M,"Not Found")</f>
        <v>Not Found</v>
      </c>
      <c r="V493" s="17" t="str">
        <f>_xlfn.XLOOKUP(Table2[[#This Row],[Adjusted Form '#]],[2]COMPLETED!$D:$D,[2]COMPLETED!$O:$O,"Not Found")</f>
        <v>Not Found</v>
      </c>
      <c r="W493" s="2" t="str">
        <f>_xlfn.XLOOKUP(Table2[[#This Row],[Adjusted Form '#]],[2]BILLED!$D:$D,[2]BILLED!$M:$M,"Not Found")</f>
        <v>1Z5063E0YW40403048</v>
      </c>
      <c r="X493" s="17" t="e">
        <f>_xlfn.XLOOKUP(Table2[[#This Row],[Adjusted Form '#]],[2]BILLED!$D:$D,[1]BILLED!$O:$O,"Not Found")</f>
        <v>#REF!</v>
      </c>
      <c r="Y493" s="17" t="e">
        <f>_xlfn.XLOOKUP(Table2[[#This Row],[Adjusted Form '#]],'[2]REJECTED ORDERS'!$D:$D,'[2]REJECTED ORDERS'!$E:$E)</f>
        <v>#N/A</v>
      </c>
      <c r="Z493" s="1"/>
      <c r="AA493" s="1"/>
      <c r="AB493" s="8"/>
      <c r="AC493" s="8"/>
      <c r="AD493" s="8"/>
      <c r="AE493" s="8"/>
      <c r="AF493" s="8"/>
      <c r="AG493" s="8"/>
      <c r="AH493" s="8"/>
      <c r="AI493" s="8"/>
      <c r="AJ493" s="8"/>
    </row>
    <row r="494" spans="1:36" ht="15" customHeight="1" x14ac:dyDescent="0.35">
      <c r="A494" s="4" t="s">
        <v>739</v>
      </c>
      <c r="B494" s="1" t="s">
        <v>4669</v>
      </c>
      <c r="C494" s="11">
        <v>44994</v>
      </c>
      <c r="D494" s="11" t="s">
        <v>4670</v>
      </c>
      <c r="E494" s="1" t="s">
        <v>21</v>
      </c>
      <c r="F494" s="1" t="s">
        <v>4672</v>
      </c>
      <c r="G494" s="6">
        <f>COUNTIF(F:F,Table2[[#This Row],[Form '#]])</f>
        <v>1</v>
      </c>
      <c r="H494" s="1" t="s">
        <v>4673</v>
      </c>
      <c r="I494" s="1" t="s">
        <v>28</v>
      </c>
      <c r="J494" s="1" t="s">
        <v>3891</v>
      </c>
      <c r="K494" s="1" t="s">
        <v>4631</v>
      </c>
      <c r="L494" s="1"/>
      <c r="M494" s="6" t="str">
        <f>IF(Table2[[#This Row],[Corrected Form '#
 (If Duplicated)]]="",Table2[[#This Row],[Form '#]],Table2[[#This Row],[Corrected Form '#
 (If Duplicated)]])</f>
        <v>7818-26183</v>
      </c>
      <c r="N494" s="1" t="s">
        <v>49</v>
      </c>
      <c r="O494" s="6" t="str">
        <f>IF(Table2[[#This Row],[POG CONFIRMATION RECEIPT OF ORDER
(DATE &amp; TIME)]]="","No Confirmation","Received Confirmation")</f>
        <v>Received Confirmation</v>
      </c>
      <c r="P494" s="6">
        <f ca="1">TODAY()-Table2[[#This Row],[DATE SENT TO POG]]</f>
        <v>309</v>
      </c>
      <c r="Q494" s="6" t="s">
        <v>5803</v>
      </c>
      <c r="R4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4" s="2" t="str">
        <f>_xlfn.XLOOKUP(Table2[[#This Row],[Adjusted Form '#]],'[2]IN PROGRESS'!$D:$D,'[2]IN PROGRESS'!$M:$M,"Not Found")</f>
        <v>Not Found</v>
      </c>
      <c r="U494" s="2" t="str">
        <f>_xlfn.XLOOKUP(Table2[[#This Row],[Adjusted Form '#]],[1]COMPLETED!$D:$D,[2]COMPLETED!$M:$M,"Not Found")</f>
        <v>Not Found</v>
      </c>
      <c r="V494" s="17" t="str">
        <f>_xlfn.XLOOKUP(Table2[[#This Row],[Adjusted Form '#]],[2]COMPLETED!$D:$D,[2]COMPLETED!$O:$O,"Not Found")</f>
        <v>Not Found</v>
      </c>
      <c r="W494" s="2" t="str">
        <f>_xlfn.XLOOKUP(Table2[[#This Row],[Adjusted Form '#]],[2]BILLED!$D:$D,[2]BILLED!$M:$M,"Not Found")</f>
        <v>1Z5063E0YW41539801</v>
      </c>
      <c r="X494" s="17" t="e">
        <f>_xlfn.XLOOKUP(Table2[[#This Row],[Adjusted Form '#]],[2]BILLED!$D:$D,[1]BILLED!$O:$O,"Not Found")</f>
        <v>#REF!</v>
      </c>
      <c r="Y494" s="17" t="e">
        <f>_xlfn.XLOOKUP(Table2[[#This Row],[Adjusted Form '#]],'[2]REJECTED ORDERS'!$D:$D,'[2]REJECTED ORDERS'!$E:$E)</f>
        <v>#N/A</v>
      </c>
      <c r="Z494" s="1"/>
      <c r="AA494" s="1"/>
      <c r="AB494" s="8"/>
      <c r="AC494" s="8"/>
      <c r="AD494" s="8"/>
      <c r="AE494" s="8"/>
      <c r="AF494" s="8"/>
      <c r="AG494" s="8"/>
      <c r="AH494" s="8"/>
      <c r="AI494" s="8"/>
      <c r="AJ494" s="8"/>
    </row>
    <row r="495" spans="1:36" ht="15" customHeight="1" x14ac:dyDescent="0.35">
      <c r="A495" s="4" t="s">
        <v>740</v>
      </c>
      <c r="B495" s="1" t="s">
        <v>3374</v>
      </c>
      <c r="C495" s="11">
        <v>44995</v>
      </c>
      <c r="D495" s="11" t="s">
        <v>4674</v>
      </c>
      <c r="E495" s="1" t="s">
        <v>21</v>
      </c>
      <c r="F495" s="1" t="s">
        <v>4675</v>
      </c>
      <c r="G495" s="6">
        <f>COUNTIF(F:F,Table2[[#This Row],[Form '#]])</f>
        <v>1</v>
      </c>
      <c r="H495" s="1" t="s">
        <v>3022</v>
      </c>
      <c r="I495" s="1" t="s">
        <v>3864</v>
      </c>
      <c r="J495" s="1" t="s">
        <v>78</v>
      </c>
      <c r="K495" s="1" t="s">
        <v>3879</v>
      </c>
      <c r="L495" s="1"/>
      <c r="M495" s="6" t="str">
        <f>IF(Table2[[#This Row],[Corrected Form '#
 (If Duplicated)]]="",Table2[[#This Row],[Form '#]],Table2[[#This Row],[Corrected Form '#
 (If Duplicated)]])</f>
        <v>7818-19946</v>
      </c>
      <c r="N495" s="1" t="s">
        <v>49</v>
      </c>
      <c r="O495" s="6" t="str">
        <f>IF(Table2[[#This Row],[POG CONFIRMATION RECEIPT OF ORDER
(DATE &amp; TIME)]]="","No Confirmation","Received Confirmation")</f>
        <v>Received Confirmation</v>
      </c>
      <c r="P495" s="6">
        <f ca="1">TODAY()-Table2[[#This Row],[DATE SENT TO POG]]</f>
        <v>308</v>
      </c>
      <c r="Q495" s="6" t="s">
        <v>5803</v>
      </c>
      <c r="R4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5" s="2" t="str">
        <f>_xlfn.XLOOKUP(Table2[[#This Row],[Adjusted Form '#]],'[2]IN PROGRESS'!$D:$D,'[2]IN PROGRESS'!$M:$M,"Not Found")</f>
        <v>Not Found</v>
      </c>
      <c r="U495" s="2" t="str">
        <f>_xlfn.XLOOKUP(Table2[[#This Row],[Adjusted Form '#]],[1]COMPLETED!$D:$D,[2]COMPLETED!$M:$M,"Not Found")</f>
        <v>Not Found</v>
      </c>
      <c r="V495" s="17" t="str">
        <f>_xlfn.XLOOKUP(Table2[[#This Row],[Adjusted Form '#]],[2]COMPLETED!$D:$D,[2]COMPLETED!$O:$O,"Not Found")</f>
        <v>Not Found</v>
      </c>
      <c r="W495" s="2" t="str">
        <f>_xlfn.XLOOKUP(Table2[[#This Row],[Adjusted Form '#]],[2]BILLED!$D:$D,[2]BILLED!$M:$M,"Not Found")</f>
        <v>1Z5063E0YW40397449</v>
      </c>
      <c r="X495" s="17" t="e">
        <f>_xlfn.XLOOKUP(Table2[[#This Row],[Adjusted Form '#]],[2]BILLED!$D:$D,[1]BILLED!$O:$O,"Not Found")</f>
        <v>#REF!</v>
      </c>
      <c r="Y495" s="17" t="e">
        <f>_xlfn.XLOOKUP(Table2[[#This Row],[Adjusted Form '#]],'[2]REJECTED ORDERS'!$D:$D,'[2]REJECTED ORDERS'!$E:$E)</f>
        <v>#N/A</v>
      </c>
      <c r="Z495" s="1"/>
      <c r="AA495" s="1"/>
      <c r="AB495" s="8"/>
      <c r="AC495" s="8"/>
      <c r="AD495" s="8"/>
      <c r="AE495" s="8"/>
      <c r="AF495" s="8"/>
      <c r="AG495" s="8"/>
      <c r="AH495" s="8"/>
      <c r="AI495" s="8"/>
      <c r="AJ495" s="8"/>
    </row>
    <row r="496" spans="1:36" ht="15" customHeight="1" x14ac:dyDescent="0.35">
      <c r="A496" s="4" t="s">
        <v>742</v>
      </c>
      <c r="B496" s="1" t="s">
        <v>3374</v>
      </c>
      <c r="C496" s="11">
        <v>44995</v>
      </c>
      <c r="D496" s="11" t="s">
        <v>4674</v>
      </c>
      <c r="E496" s="1" t="s">
        <v>21</v>
      </c>
      <c r="F496" s="1" t="s">
        <v>4676</v>
      </c>
      <c r="G496" s="6">
        <f>COUNTIF(F:F,Table2[[#This Row],[Form '#]])</f>
        <v>1</v>
      </c>
      <c r="H496" s="1" t="s">
        <v>4677</v>
      </c>
      <c r="I496" s="1" t="s">
        <v>127</v>
      </c>
      <c r="J496" s="1" t="s">
        <v>3891</v>
      </c>
      <c r="K496" s="1" t="s">
        <v>3883</v>
      </c>
      <c r="L496" s="1"/>
      <c r="M496" s="6" t="str">
        <f>IF(Table2[[#This Row],[Corrected Form '#
 (If Duplicated)]]="",Table2[[#This Row],[Form '#]],Table2[[#This Row],[Corrected Form '#
 (If Duplicated)]])</f>
        <v>7818-21709</v>
      </c>
      <c r="N496" s="1" t="s">
        <v>49</v>
      </c>
      <c r="O496" s="6" t="str">
        <f>IF(Table2[[#This Row],[POG CONFIRMATION RECEIPT OF ORDER
(DATE &amp; TIME)]]="","No Confirmation","Received Confirmation")</f>
        <v>Received Confirmation</v>
      </c>
      <c r="P496" s="6">
        <f ca="1">TODAY()-Table2[[#This Row],[DATE SENT TO POG]]</f>
        <v>308</v>
      </c>
      <c r="Q496" s="6" t="s">
        <v>5803</v>
      </c>
      <c r="R4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6" s="2" t="str">
        <f>_xlfn.XLOOKUP(Table2[[#This Row],[Adjusted Form '#]],'[2]IN PROGRESS'!$D:$D,'[2]IN PROGRESS'!$M:$M,"Not Found")</f>
        <v>Not Found</v>
      </c>
      <c r="U496" s="2" t="str">
        <f>_xlfn.XLOOKUP(Table2[[#This Row],[Adjusted Form '#]],[1]COMPLETED!$D:$D,[2]COMPLETED!$M:$M,"Not Found")</f>
        <v>Not Found</v>
      </c>
      <c r="V496" s="17" t="str">
        <f>_xlfn.XLOOKUP(Table2[[#This Row],[Adjusted Form '#]],[2]COMPLETED!$D:$D,[2]COMPLETED!$O:$O,"Not Found")</f>
        <v>Not Found</v>
      </c>
      <c r="W496" s="2" t="str">
        <f>_xlfn.XLOOKUP(Table2[[#This Row],[Adjusted Form '#]],[2]BILLED!$D:$D,[2]BILLED!$M:$M,"Not Found")</f>
        <v>1Z5063E0YW41191098</v>
      </c>
      <c r="X496" s="17" t="e">
        <f>_xlfn.XLOOKUP(Table2[[#This Row],[Adjusted Form '#]],[2]BILLED!$D:$D,[1]BILLED!$O:$O,"Not Found")</f>
        <v>#REF!</v>
      </c>
      <c r="Y496" s="17" t="e">
        <f>_xlfn.XLOOKUP(Table2[[#This Row],[Adjusted Form '#]],'[2]REJECTED ORDERS'!$D:$D,'[2]REJECTED ORDERS'!$E:$E)</f>
        <v>#N/A</v>
      </c>
      <c r="Z496" s="1"/>
      <c r="AA496" s="1"/>
      <c r="AB496" s="8"/>
      <c r="AC496" s="8"/>
      <c r="AD496" s="8"/>
      <c r="AE496" s="8"/>
      <c r="AF496" s="8"/>
      <c r="AG496" s="8"/>
      <c r="AH496" s="8"/>
      <c r="AI496" s="8"/>
      <c r="AJ496" s="8"/>
    </row>
    <row r="497" spans="1:36" ht="15" customHeight="1" x14ac:dyDescent="0.35">
      <c r="A497" s="4" t="s">
        <v>744</v>
      </c>
      <c r="B497" s="1" t="s">
        <v>3374</v>
      </c>
      <c r="C497" s="11">
        <v>44995</v>
      </c>
      <c r="D497" s="11" t="s">
        <v>4674</v>
      </c>
      <c r="E497" s="1" t="s">
        <v>21</v>
      </c>
      <c r="F497" s="1" t="s">
        <v>4678</v>
      </c>
      <c r="G497" s="6">
        <f>COUNTIF(F:F,Table2[[#This Row],[Form '#]])</f>
        <v>1</v>
      </c>
      <c r="H497" s="1" t="s">
        <v>1759</v>
      </c>
      <c r="I497" s="1" t="s">
        <v>3852</v>
      </c>
      <c r="J497" s="1" t="s">
        <v>80</v>
      </c>
      <c r="K497" s="1" t="s">
        <v>4430</v>
      </c>
      <c r="L497" s="1"/>
      <c r="M497" s="6" t="str">
        <f>IF(Table2[[#This Row],[Corrected Form '#
 (If Duplicated)]]="",Table2[[#This Row],[Form '#]],Table2[[#This Row],[Corrected Form '#
 (If Duplicated)]])</f>
        <v>7818-24261</v>
      </c>
      <c r="N497" s="1" t="s">
        <v>49</v>
      </c>
      <c r="O497" s="6" t="str">
        <f>IF(Table2[[#This Row],[POG CONFIRMATION RECEIPT OF ORDER
(DATE &amp; TIME)]]="","No Confirmation","Received Confirmation")</f>
        <v>Received Confirmation</v>
      </c>
      <c r="P497" s="6">
        <f ca="1">TODAY()-Table2[[#This Row],[DATE SENT TO POG]]</f>
        <v>308</v>
      </c>
      <c r="Q497" s="6" t="s">
        <v>5803</v>
      </c>
      <c r="R4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7" s="2" t="str">
        <f>_xlfn.XLOOKUP(Table2[[#This Row],[Adjusted Form '#]],'[2]IN PROGRESS'!$D:$D,'[2]IN PROGRESS'!$M:$M,"Not Found")</f>
        <v>Not Found</v>
      </c>
      <c r="U497" s="2" t="str">
        <f>_xlfn.XLOOKUP(Table2[[#This Row],[Adjusted Form '#]],[1]COMPLETED!$D:$D,[2]COMPLETED!$M:$M,"Not Found")</f>
        <v>Not Found</v>
      </c>
      <c r="V497" s="17" t="str">
        <f>_xlfn.XLOOKUP(Table2[[#This Row],[Adjusted Form '#]],[2]COMPLETED!$D:$D,[2]COMPLETED!$O:$O,"Not Found")</f>
        <v>Not Found</v>
      </c>
      <c r="W497" s="2" t="str">
        <f>_xlfn.XLOOKUP(Table2[[#This Row],[Adjusted Form '#]],[2]BILLED!$D:$D,[2]BILLED!$M:$M,"Not Found")</f>
        <v>1Z5063E0YW41510233</v>
      </c>
      <c r="X497" s="17" t="e">
        <f>_xlfn.XLOOKUP(Table2[[#This Row],[Adjusted Form '#]],[2]BILLED!$D:$D,[1]BILLED!$O:$O,"Not Found")</f>
        <v>#REF!</v>
      </c>
      <c r="Y497" s="17" t="str">
        <f>_xlfn.XLOOKUP(Table2[[#This Row],[Adjusted Form '#]],'[2]REJECTED ORDERS'!$D:$D,'[2]REJECTED ORDERS'!$E:$E)</f>
        <v>FORM NOT SIGNED</v>
      </c>
      <c r="Z497" s="1"/>
      <c r="AA497" s="1"/>
      <c r="AB497" s="8"/>
      <c r="AC497" s="8"/>
      <c r="AD497" s="8"/>
      <c r="AE497" s="8"/>
      <c r="AF497" s="8"/>
      <c r="AG497" s="8"/>
      <c r="AH497" s="8"/>
      <c r="AI497" s="8"/>
      <c r="AJ497" s="8"/>
    </row>
    <row r="498" spans="1:36" ht="15" customHeight="1" x14ac:dyDescent="0.35">
      <c r="A498" s="4" t="s">
        <v>745</v>
      </c>
      <c r="B498" s="1" t="s">
        <v>1390</v>
      </c>
      <c r="C498" s="11">
        <v>44995</v>
      </c>
      <c r="D498" s="11" t="s">
        <v>4674</v>
      </c>
      <c r="E498" s="1" t="s">
        <v>73</v>
      </c>
      <c r="F498" s="1" t="s">
        <v>4679</v>
      </c>
      <c r="G498" s="6">
        <f>COUNTIF(F:F,Table2[[#This Row],[Form '#]])</f>
        <v>1</v>
      </c>
      <c r="H498" s="1" t="s">
        <v>4680</v>
      </c>
      <c r="I498" s="1" t="s">
        <v>3852</v>
      </c>
      <c r="J498" s="1" t="s">
        <v>80</v>
      </c>
      <c r="K498" s="1" t="s">
        <v>4430</v>
      </c>
      <c r="L498" s="1"/>
      <c r="M498" s="6" t="str">
        <f>IF(Table2[[#This Row],[Corrected Form '#
 (If Duplicated)]]="",Table2[[#This Row],[Form '#]],Table2[[#This Row],[Corrected Form '#
 (If Duplicated)]])</f>
        <v>7823-02734</v>
      </c>
      <c r="N498" s="1" t="s">
        <v>49</v>
      </c>
      <c r="O498" s="6" t="str">
        <f>IF(Table2[[#This Row],[POG CONFIRMATION RECEIPT OF ORDER
(DATE &amp; TIME)]]="","No Confirmation","Received Confirmation")</f>
        <v>Received Confirmation</v>
      </c>
      <c r="P498" s="6">
        <f ca="1">TODAY()-Table2[[#This Row],[DATE SENT TO POG]]</f>
        <v>308</v>
      </c>
      <c r="Q498" s="6" t="s">
        <v>5803</v>
      </c>
      <c r="R4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8" s="2" t="str">
        <f>_xlfn.XLOOKUP(Table2[[#This Row],[Adjusted Form '#]],'[2]IN PROGRESS'!$D:$D,'[2]IN PROGRESS'!$M:$M,"Not Found")</f>
        <v>Not Found</v>
      </c>
      <c r="U498" s="2" t="str">
        <f>_xlfn.XLOOKUP(Table2[[#This Row],[Adjusted Form '#]],[1]COMPLETED!$D:$D,[2]COMPLETED!$M:$M,"Not Found")</f>
        <v>Not Found</v>
      </c>
      <c r="V498" s="17" t="str">
        <f>_xlfn.XLOOKUP(Table2[[#This Row],[Adjusted Form '#]],[2]COMPLETED!$D:$D,[2]COMPLETED!$O:$O,"Not Found")</f>
        <v>Not Found</v>
      </c>
      <c r="W498" s="2" t="str">
        <f>_xlfn.XLOOKUP(Table2[[#This Row],[Adjusted Form '#]],[2]BILLED!$D:$D,[2]BILLED!$M:$M,"Not Found")</f>
        <v>1Z5063E0YW41197878</v>
      </c>
      <c r="X498" s="17" t="e">
        <f>_xlfn.XLOOKUP(Table2[[#This Row],[Adjusted Form '#]],[2]BILLED!$D:$D,[1]BILLED!$O:$O,"Not Found")</f>
        <v>#REF!</v>
      </c>
      <c r="Y498" s="17" t="e">
        <f>_xlfn.XLOOKUP(Table2[[#This Row],[Adjusted Form '#]],'[2]REJECTED ORDERS'!$D:$D,'[2]REJECTED ORDERS'!$E:$E)</f>
        <v>#N/A</v>
      </c>
      <c r="Z498" s="1"/>
      <c r="AA498" s="1"/>
      <c r="AB498" s="8"/>
      <c r="AC498" s="8"/>
      <c r="AD498" s="8"/>
      <c r="AE498" s="8"/>
      <c r="AF498" s="8"/>
      <c r="AG498" s="8"/>
      <c r="AH498" s="8"/>
      <c r="AI498" s="8"/>
      <c r="AJ498" s="8"/>
    </row>
    <row r="499" spans="1:36" ht="15" customHeight="1" x14ac:dyDescent="0.35">
      <c r="A499" s="4" t="s">
        <v>747</v>
      </c>
      <c r="B499" s="1" t="s">
        <v>1484</v>
      </c>
      <c r="C499" s="11">
        <v>44995</v>
      </c>
      <c r="D499" s="11" t="s">
        <v>4681</v>
      </c>
      <c r="E499" s="1" t="s">
        <v>21</v>
      </c>
      <c r="F499" s="1" t="s">
        <v>4682</v>
      </c>
      <c r="G499" s="6">
        <f>COUNTIF(F:F,Table2[[#This Row],[Form '#]])</f>
        <v>1</v>
      </c>
      <c r="H499" s="1" t="s">
        <v>4683</v>
      </c>
      <c r="I499" s="1" t="s">
        <v>127</v>
      </c>
      <c r="J499" s="1" t="s">
        <v>76</v>
      </c>
      <c r="K499" s="1" t="s">
        <v>3883</v>
      </c>
      <c r="L499" s="1"/>
      <c r="M499" s="6" t="str">
        <f>IF(Table2[[#This Row],[Corrected Form '#
 (If Duplicated)]]="",Table2[[#This Row],[Form '#]],Table2[[#This Row],[Corrected Form '#
 (If Duplicated)]])</f>
        <v>7818-21684</v>
      </c>
      <c r="N499" s="1" t="s">
        <v>49</v>
      </c>
      <c r="O499" s="6" t="str">
        <f>IF(Table2[[#This Row],[POG CONFIRMATION RECEIPT OF ORDER
(DATE &amp; TIME)]]="","No Confirmation","Received Confirmation")</f>
        <v>Received Confirmation</v>
      </c>
      <c r="P499" s="6">
        <f ca="1">TODAY()-Table2[[#This Row],[DATE SENT TO POG]]</f>
        <v>308</v>
      </c>
      <c r="Q499" s="6" t="s">
        <v>5803</v>
      </c>
      <c r="R4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4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499" s="2" t="str">
        <f>_xlfn.XLOOKUP(Table2[[#This Row],[Adjusted Form '#]],'[2]IN PROGRESS'!$D:$D,'[2]IN PROGRESS'!$M:$M,"Not Found")</f>
        <v>Not Found</v>
      </c>
      <c r="U499" s="2" t="str">
        <f>_xlfn.XLOOKUP(Table2[[#This Row],[Adjusted Form '#]],[1]COMPLETED!$D:$D,[2]COMPLETED!$M:$M,"Not Found")</f>
        <v>Not Found</v>
      </c>
      <c r="V499" s="17" t="str">
        <f>_xlfn.XLOOKUP(Table2[[#This Row],[Adjusted Form '#]],[2]COMPLETED!$D:$D,[2]COMPLETED!$O:$O,"Not Found")</f>
        <v>Not Found</v>
      </c>
      <c r="W499" s="2" t="str">
        <f>_xlfn.XLOOKUP(Table2[[#This Row],[Adjusted Form '#]],[2]BILLED!$D:$D,[2]BILLED!$M:$M,"Not Found")</f>
        <v>1Z5063E0YW42200076</v>
      </c>
      <c r="X499" s="17" t="e">
        <f>_xlfn.XLOOKUP(Table2[[#This Row],[Adjusted Form '#]],[2]BILLED!$D:$D,[1]BILLED!$O:$O,"Not Found")</f>
        <v>#REF!</v>
      </c>
      <c r="Y499" s="17" t="str">
        <f>_xlfn.XLOOKUP(Table2[[#This Row],[Adjusted Form '#]],'[2]REJECTED ORDERS'!$D:$D,'[2]REJECTED ORDERS'!$E:$E)</f>
        <v>FORM NOT SIGNED</v>
      </c>
      <c r="Z499" s="1"/>
      <c r="AA499" s="1"/>
      <c r="AB499" s="8"/>
      <c r="AC499" s="8"/>
      <c r="AD499" s="8"/>
      <c r="AE499" s="8"/>
      <c r="AF499" s="8"/>
      <c r="AG499" s="8"/>
      <c r="AH499" s="8"/>
      <c r="AI499" s="8"/>
      <c r="AJ499" s="8"/>
    </row>
    <row r="500" spans="1:36" ht="15" customHeight="1" x14ac:dyDescent="0.35">
      <c r="A500" s="4" t="s">
        <v>748</v>
      </c>
      <c r="B500" s="1" t="s">
        <v>1484</v>
      </c>
      <c r="C500" s="11">
        <v>44995</v>
      </c>
      <c r="E500" s="1" t="s">
        <v>21</v>
      </c>
      <c r="F500" s="1" t="s">
        <v>4684</v>
      </c>
      <c r="G500" s="6">
        <f>COUNTIF(F:F,Table2[[#This Row],[Form '#]])</f>
        <v>1</v>
      </c>
      <c r="H500" s="1" t="s">
        <v>4685</v>
      </c>
      <c r="I500" s="1" t="s">
        <v>3852</v>
      </c>
      <c r="J500" s="1" t="s">
        <v>75</v>
      </c>
      <c r="K500" s="1" t="s">
        <v>3853</v>
      </c>
      <c r="L500" s="1"/>
      <c r="M500" s="6" t="str">
        <f>IF(Table2[[#This Row],[Corrected Form '#
 (If Duplicated)]]="",Table2[[#This Row],[Form '#]],Table2[[#This Row],[Corrected Form '#
 (If Duplicated)]])</f>
        <v>7818-25304</v>
      </c>
      <c r="N500" s="1" t="s">
        <v>49</v>
      </c>
      <c r="O500" s="6" t="str">
        <f>IF(Table2[[#This Row],[POG CONFIRMATION RECEIPT OF ORDER
(DATE &amp; TIME)]]="","No Confirmation","Received Confirmation")</f>
        <v>No Confirmation</v>
      </c>
      <c r="P500" s="6">
        <f ca="1">TODAY()-Table2[[#This Row],[DATE SENT TO POG]]</f>
        <v>308</v>
      </c>
      <c r="Q500" s="6" t="s">
        <v>5803</v>
      </c>
      <c r="R5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0" s="2" t="str">
        <f>_xlfn.XLOOKUP(Table2[[#This Row],[Adjusted Form '#]],'[2]IN PROGRESS'!$D:$D,'[2]IN PROGRESS'!$M:$M,"Not Found")</f>
        <v>Not Found</v>
      </c>
      <c r="U500" s="2" t="str">
        <f>_xlfn.XLOOKUP(Table2[[#This Row],[Adjusted Form '#]],[1]COMPLETED!$D:$D,[2]COMPLETED!$M:$M,"Not Found")</f>
        <v>Not Found</v>
      </c>
      <c r="V500" s="17" t="str">
        <f>_xlfn.XLOOKUP(Table2[[#This Row],[Adjusted Form '#]],[2]COMPLETED!$D:$D,[2]COMPLETED!$O:$O,"Not Found")</f>
        <v>Not Found</v>
      </c>
      <c r="W500" s="2" t="str">
        <f>_xlfn.XLOOKUP(Table2[[#This Row],[Adjusted Form '#]],[2]BILLED!$D:$D,[2]BILLED!$M:$M,"Not Found")</f>
        <v>1Z5063E0YW40174699</v>
      </c>
      <c r="X500" s="17" t="e">
        <f>_xlfn.XLOOKUP(Table2[[#This Row],[Adjusted Form '#]],[2]BILLED!$D:$D,[1]BILLED!$O:$O,"Not Found")</f>
        <v>#REF!</v>
      </c>
      <c r="Y500" s="17" t="e">
        <f>_xlfn.XLOOKUP(Table2[[#This Row],[Adjusted Form '#]],'[2]REJECTED ORDERS'!$D:$D,'[2]REJECTED ORDERS'!$E:$E)</f>
        <v>#N/A</v>
      </c>
      <c r="Z500" s="1"/>
      <c r="AA500" s="1"/>
      <c r="AB500" s="8"/>
      <c r="AC500" s="8"/>
      <c r="AD500" s="8"/>
      <c r="AE500" s="8"/>
      <c r="AF500" s="8"/>
      <c r="AG500" s="8"/>
      <c r="AH500" s="8"/>
      <c r="AI500" s="8"/>
      <c r="AJ500" s="8"/>
    </row>
    <row r="501" spans="1:36" ht="15" customHeight="1" x14ac:dyDescent="0.35">
      <c r="A501" s="4" t="s">
        <v>749</v>
      </c>
      <c r="B501" s="1" t="s">
        <v>3623</v>
      </c>
      <c r="C501" s="11">
        <v>44995</v>
      </c>
      <c r="E501" s="1" t="s">
        <v>73</v>
      </c>
      <c r="F501" s="1" t="s">
        <v>4686</v>
      </c>
      <c r="G501" s="6">
        <f>COUNTIF(F:F,Table2[[#This Row],[Form '#]])</f>
        <v>1</v>
      </c>
      <c r="H501" s="1" t="s">
        <v>4687</v>
      </c>
      <c r="I501" s="1" t="s">
        <v>758</v>
      </c>
      <c r="J501" s="1" t="s">
        <v>78</v>
      </c>
      <c r="K501" s="1" t="s">
        <v>3853</v>
      </c>
      <c r="L501" s="1"/>
      <c r="M501" s="6" t="str">
        <f>IF(Table2[[#This Row],[Corrected Form '#
 (If Duplicated)]]="",Table2[[#This Row],[Form '#]],Table2[[#This Row],[Corrected Form '#
 (If Duplicated)]])</f>
        <v>7823-02840</v>
      </c>
      <c r="N501" s="1" t="s">
        <v>49</v>
      </c>
      <c r="O501" s="6" t="str">
        <f>IF(Table2[[#This Row],[POG CONFIRMATION RECEIPT OF ORDER
(DATE &amp; TIME)]]="","No Confirmation","Received Confirmation")</f>
        <v>No Confirmation</v>
      </c>
      <c r="P501" s="6">
        <f ca="1">TODAY()-Table2[[#This Row],[DATE SENT TO POG]]</f>
        <v>308</v>
      </c>
      <c r="Q501" s="6" t="s">
        <v>5803</v>
      </c>
      <c r="R5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1" s="2" t="str">
        <f>_xlfn.XLOOKUP(Table2[[#This Row],[Adjusted Form '#]],'[2]IN PROGRESS'!$D:$D,'[2]IN PROGRESS'!$M:$M,"Not Found")</f>
        <v>Not Found</v>
      </c>
      <c r="U501" s="2" t="str">
        <f>_xlfn.XLOOKUP(Table2[[#This Row],[Adjusted Form '#]],[1]COMPLETED!$D:$D,[2]COMPLETED!$M:$M,"Not Found")</f>
        <v>Not Found</v>
      </c>
      <c r="V501" s="17" t="str">
        <f>_xlfn.XLOOKUP(Table2[[#This Row],[Adjusted Form '#]],[2]COMPLETED!$D:$D,[2]COMPLETED!$O:$O,"Not Found")</f>
        <v>Not Found</v>
      </c>
      <c r="W501" s="2" t="str">
        <f>_xlfn.XLOOKUP(Table2[[#This Row],[Adjusted Form '#]],[2]BILLED!$D:$D,[2]BILLED!$M:$M,"Not Found")</f>
        <v>1Z5063E0YW40104924</v>
      </c>
      <c r="X501" s="17" t="e">
        <f>_xlfn.XLOOKUP(Table2[[#This Row],[Adjusted Form '#]],[2]BILLED!$D:$D,[1]BILLED!$O:$O,"Not Found")</f>
        <v>#REF!</v>
      </c>
      <c r="Y501" s="17" t="e">
        <f>_xlfn.XLOOKUP(Table2[[#This Row],[Adjusted Form '#]],'[2]REJECTED ORDERS'!$D:$D,'[2]REJECTED ORDERS'!$E:$E)</f>
        <v>#N/A</v>
      </c>
      <c r="Z501" s="1"/>
      <c r="AA501" s="1"/>
      <c r="AB501" s="8"/>
      <c r="AC501" s="8"/>
      <c r="AD501" s="8"/>
      <c r="AE501" s="8"/>
      <c r="AF501" s="8"/>
      <c r="AG501" s="8"/>
      <c r="AH501" s="8"/>
      <c r="AI501" s="8"/>
      <c r="AJ501" s="8"/>
    </row>
    <row r="502" spans="1:36" ht="15" customHeight="1" x14ac:dyDescent="0.35">
      <c r="A502" s="4" t="s">
        <v>750</v>
      </c>
      <c r="B502" s="1" t="s">
        <v>2777</v>
      </c>
      <c r="C502" s="11">
        <v>44995</v>
      </c>
      <c r="E502" s="1" t="s">
        <v>73</v>
      </c>
      <c r="F502" s="1" t="s">
        <v>3976</v>
      </c>
      <c r="G502" s="6">
        <f>COUNTIF(F:F,Table2[[#This Row],[Form '#]])</f>
        <v>2</v>
      </c>
      <c r="H502" s="1" t="s">
        <v>2357</v>
      </c>
      <c r="I502" s="1" t="s">
        <v>3864</v>
      </c>
      <c r="J502" s="1" t="s">
        <v>3891</v>
      </c>
      <c r="K502" s="1" t="s">
        <v>3891</v>
      </c>
      <c r="L502" s="1"/>
      <c r="M502" s="6" t="str">
        <f>IF(Table2[[#This Row],[Corrected Form '#
 (If Duplicated)]]="",Table2[[#This Row],[Form '#]],Table2[[#This Row],[Corrected Form '#
 (If Duplicated)]])</f>
        <v>7823-01771</v>
      </c>
      <c r="N502" s="1" t="s">
        <v>49</v>
      </c>
      <c r="O502" s="6" t="str">
        <f>IF(Table2[[#This Row],[POG CONFIRMATION RECEIPT OF ORDER
(DATE &amp; TIME)]]="","No Confirmation","Received Confirmation")</f>
        <v>No Confirmation</v>
      </c>
      <c r="P502" s="6">
        <f ca="1">TODAY()-Table2[[#This Row],[DATE SENT TO POG]]</f>
        <v>308</v>
      </c>
      <c r="Q502" s="6" t="s">
        <v>5803</v>
      </c>
      <c r="R5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2" s="2" t="str">
        <f>_xlfn.XLOOKUP(Table2[[#This Row],[Adjusted Form '#]],'[2]IN PROGRESS'!$D:$D,'[2]IN PROGRESS'!$M:$M,"Not Found")</f>
        <v>Not Found</v>
      </c>
      <c r="U502" s="2" t="str">
        <f>_xlfn.XLOOKUP(Table2[[#This Row],[Adjusted Form '#]],[1]COMPLETED!$D:$D,[2]COMPLETED!$M:$M,"Not Found")</f>
        <v>Not Found</v>
      </c>
      <c r="V502" s="17" t="str">
        <f>_xlfn.XLOOKUP(Table2[[#This Row],[Adjusted Form '#]],[2]COMPLETED!$D:$D,[2]COMPLETED!$O:$O,"Not Found")</f>
        <v>Not Found</v>
      </c>
      <c r="W502" s="2" t="str">
        <f>_xlfn.XLOOKUP(Table2[[#This Row],[Adjusted Form '#]],[2]BILLED!$D:$D,[2]BILLED!$M:$M,"Not Found")</f>
        <v>1Z5063E0YW42936602</v>
      </c>
      <c r="X502" s="17" t="e">
        <f>_xlfn.XLOOKUP(Table2[[#This Row],[Adjusted Form '#]],[2]BILLED!$D:$D,[1]BILLED!$O:$O,"Not Found")</f>
        <v>#REF!</v>
      </c>
      <c r="Y502" s="17" t="e">
        <f>_xlfn.XLOOKUP(Table2[[#This Row],[Adjusted Form '#]],'[2]REJECTED ORDERS'!$D:$D,'[2]REJECTED ORDERS'!$E:$E)</f>
        <v>#N/A</v>
      </c>
      <c r="Z502" s="1"/>
      <c r="AA502" s="1"/>
      <c r="AB502" s="8"/>
      <c r="AC502" s="8"/>
      <c r="AD502" s="8"/>
      <c r="AE502" s="8"/>
      <c r="AF502" s="8"/>
      <c r="AG502" s="8"/>
      <c r="AH502" s="8"/>
      <c r="AI502" s="8"/>
      <c r="AJ502" s="8"/>
    </row>
    <row r="503" spans="1:36" ht="15" customHeight="1" x14ac:dyDescent="0.35">
      <c r="A503" s="4" t="s">
        <v>751</v>
      </c>
      <c r="B503" s="1" t="s">
        <v>3570</v>
      </c>
      <c r="C503" s="11">
        <v>44995</v>
      </c>
      <c r="E503" s="1" t="s">
        <v>73</v>
      </c>
      <c r="F503" s="1" t="s">
        <v>4688</v>
      </c>
      <c r="G503" s="6">
        <f>COUNTIF(F:F,Table2[[#This Row],[Form '#]])</f>
        <v>1</v>
      </c>
      <c r="H503" s="1" t="s">
        <v>4689</v>
      </c>
      <c r="I503" s="1" t="s">
        <v>3864</v>
      </c>
      <c r="J503" s="1" t="s">
        <v>78</v>
      </c>
      <c r="K503" s="1" t="s">
        <v>3879</v>
      </c>
      <c r="L503" s="1"/>
      <c r="M503" s="6" t="str">
        <f>IF(Table2[[#This Row],[Corrected Form '#
 (If Duplicated)]]="",Table2[[#This Row],[Form '#]],Table2[[#This Row],[Corrected Form '#
 (If Duplicated)]])</f>
        <v>7823-02441</v>
      </c>
      <c r="N503" s="1" t="s">
        <v>49</v>
      </c>
      <c r="O503" s="6" t="str">
        <f>IF(Table2[[#This Row],[POG CONFIRMATION RECEIPT OF ORDER
(DATE &amp; TIME)]]="","No Confirmation","Received Confirmation")</f>
        <v>No Confirmation</v>
      </c>
      <c r="P503" s="6">
        <f ca="1">TODAY()-Table2[[#This Row],[DATE SENT TO POG]]</f>
        <v>308</v>
      </c>
      <c r="Q503" s="6" t="s">
        <v>5803</v>
      </c>
      <c r="R5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3" s="2" t="str">
        <f>_xlfn.XLOOKUP(Table2[[#This Row],[Adjusted Form '#]],'[2]IN PROGRESS'!$D:$D,'[2]IN PROGRESS'!$M:$M,"Not Found")</f>
        <v>Not Found</v>
      </c>
      <c r="U503" s="2" t="str">
        <f>_xlfn.XLOOKUP(Table2[[#This Row],[Adjusted Form '#]],[1]COMPLETED!$D:$D,[2]COMPLETED!$M:$M,"Not Found")</f>
        <v>Not Found</v>
      </c>
      <c r="V503" s="17" t="str">
        <f>_xlfn.XLOOKUP(Table2[[#This Row],[Adjusted Form '#]],[2]COMPLETED!$D:$D,[2]COMPLETED!$O:$O,"Not Found")</f>
        <v>Not Found</v>
      </c>
      <c r="W503" s="2" t="str">
        <f>_xlfn.XLOOKUP(Table2[[#This Row],[Adjusted Form '#]],[2]BILLED!$D:$D,[2]BILLED!$M:$M,"Not Found")</f>
        <v>1Z5063E0YW41055039</v>
      </c>
      <c r="X503" s="17" t="e">
        <f>_xlfn.XLOOKUP(Table2[[#This Row],[Adjusted Form '#]],[2]BILLED!$D:$D,[1]BILLED!$O:$O,"Not Found")</f>
        <v>#REF!</v>
      </c>
      <c r="Y503" s="17" t="e">
        <f>_xlfn.XLOOKUP(Table2[[#This Row],[Adjusted Form '#]],'[2]REJECTED ORDERS'!$D:$D,'[2]REJECTED ORDERS'!$E:$E)</f>
        <v>#N/A</v>
      </c>
      <c r="Z503" s="1"/>
      <c r="AA503" s="1"/>
      <c r="AB503" s="8"/>
      <c r="AC503" s="8"/>
      <c r="AD503" s="8"/>
      <c r="AE503" s="8"/>
      <c r="AF503" s="8"/>
      <c r="AG503" s="8"/>
      <c r="AH503" s="8"/>
      <c r="AI503" s="8"/>
      <c r="AJ503" s="8"/>
    </row>
    <row r="504" spans="1:36" ht="15" customHeight="1" x14ac:dyDescent="0.35">
      <c r="A504" s="4" t="s">
        <v>753</v>
      </c>
      <c r="B504" s="1" t="s">
        <v>3479</v>
      </c>
      <c r="C504" s="11">
        <v>44995</v>
      </c>
      <c r="E504" s="1" t="s">
        <v>73</v>
      </c>
      <c r="F504" s="1" t="s">
        <v>4690</v>
      </c>
      <c r="G504" s="6">
        <f>COUNTIF(F:F,Table2[[#This Row],[Form '#]])</f>
        <v>1</v>
      </c>
      <c r="H504" s="1" t="s">
        <v>4691</v>
      </c>
      <c r="I504" s="1" t="s">
        <v>3864</v>
      </c>
      <c r="J504" s="1" t="s">
        <v>78</v>
      </c>
      <c r="K504" s="1" t="s">
        <v>3879</v>
      </c>
      <c r="L504" s="1"/>
      <c r="M504" s="6" t="str">
        <f>IF(Table2[[#This Row],[Corrected Form '#
 (If Duplicated)]]="",Table2[[#This Row],[Form '#]],Table2[[#This Row],[Corrected Form '#
 (If Duplicated)]])</f>
        <v>7823-03371</v>
      </c>
      <c r="N504" s="1" t="s">
        <v>49</v>
      </c>
      <c r="O504" s="6" t="str">
        <f>IF(Table2[[#This Row],[POG CONFIRMATION RECEIPT OF ORDER
(DATE &amp; TIME)]]="","No Confirmation","Received Confirmation")</f>
        <v>No Confirmation</v>
      </c>
      <c r="P504" s="6">
        <f ca="1">TODAY()-Table2[[#This Row],[DATE SENT TO POG]]</f>
        <v>308</v>
      </c>
      <c r="Q504" s="6" t="s">
        <v>5803</v>
      </c>
      <c r="R5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4" s="2" t="str">
        <f>_xlfn.XLOOKUP(Table2[[#This Row],[Adjusted Form '#]],'[2]IN PROGRESS'!$D:$D,'[2]IN PROGRESS'!$M:$M,"Not Found")</f>
        <v>Not Found</v>
      </c>
      <c r="U504" s="2" t="str">
        <f>_xlfn.XLOOKUP(Table2[[#This Row],[Adjusted Form '#]],[1]COMPLETED!$D:$D,[2]COMPLETED!$M:$M,"Not Found")</f>
        <v>Not Found</v>
      </c>
      <c r="V504" s="17" t="str">
        <f>_xlfn.XLOOKUP(Table2[[#This Row],[Adjusted Form '#]],[2]COMPLETED!$D:$D,[2]COMPLETED!$O:$O,"Not Found")</f>
        <v>Not Found</v>
      </c>
      <c r="W504" s="2" t="str">
        <f>_xlfn.XLOOKUP(Table2[[#This Row],[Adjusted Form '#]],[2]BILLED!$D:$D,[2]BILLED!$M:$M,"Not Found")</f>
        <v>1Z5063E0YW41188502</v>
      </c>
      <c r="X504" s="17" t="e">
        <f>_xlfn.XLOOKUP(Table2[[#This Row],[Adjusted Form '#]],[2]BILLED!$D:$D,[1]BILLED!$O:$O,"Not Found")</f>
        <v>#REF!</v>
      </c>
      <c r="Y504" s="17" t="e">
        <f>_xlfn.XLOOKUP(Table2[[#This Row],[Adjusted Form '#]],'[2]REJECTED ORDERS'!$D:$D,'[2]REJECTED ORDERS'!$E:$E)</f>
        <v>#N/A</v>
      </c>
      <c r="Z504" s="1"/>
      <c r="AA504" s="1"/>
      <c r="AB504" s="8"/>
      <c r="AC504" s="8"/>
      <c r="AD504" s="8"/>
      <c r="AE504" s="8"/>
      <c r="AF504" s="8"/>
      <c r="AG504" s="8"/>
      <c r="AH504" s="8"/>
      <c r="AI504" s="8"/>
      <c r="AJ504" s="8"/>
    </row>
    <row r="505" spans="1:36" ht="15" customHeight="1" x14ac:dyDescent="0.35">
      <c r="A505" s="4" t="s">
        <v>754</v>
      </c>
      <c r="B505" s="1" t="s">
        <v>809</v>
      </c>
      <c r="C505" s="11">
        <v>44995</v>
      </c>
      <c r="E505" s="1" t="s">
        <v>73</v>
      </c>
      <c r="F505" s="1" t="s">
        <v>4692</v>
      </c>
      <c r="G505" s="6">
        <f>COUNTIF(F:F,Table2[[#This Row],[Form '#]])</f>
        <v>1</v>
      </c>
      <c r="H505" s="1" t="s">
        <v>4693</v>
      </c>
      <c r="I505" s="1" t="s">
        <v>177</v>
      </c>
      <c r="J505" s="1" t="s">
        <v>75</v>
      </c>
      <c r="K505" s="1" t="s">
        <v>3853</v>
      </c>
      <c r="L505" s="1"/>
      <c r="M505" s="6" t="str">
        <f>IF(Table2[[#This Row],[Corrected Form '#
 (If Duplicated)]]="",Table2[[#This Row],[Form '#]],Table2[[#This Row],[Corrected Form '#
 (If Duplicated)]])</f>
        <v>7823-03372</v>
      </c>
      <c r="N505" s="1" t="s">
        <v>49</v>
      </c>
      <c r="O505" s="6" t="str">
        <f>IF(Table2[[#This Row],[POG CONFIRMATION RECEIPT OF ORDER
(DATE &amp; TIME)]]="","No Confirmation","Received Confirmation")</f>
        <v>No Confirmation</v>
      </c>
      <c r="P505" s="6">
        <f ca="1">TODAY()-Table2[[#This Row],[DATE SENT TO POG]]</f>
        <v>308</v>
      </c>
      <c r="Q505" s="6" t="s">
        <v>5803</v>
      </c>
      <c r="R5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50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505" s="2" t="str">
        <f>_xlfn.XLOOKUP(Table2[[#This Row],[Adjusted Form '#]],'[2]IN PROGRESS'!$D:$D,'[2]IN PROGRESS'!$M:$M,"Not Found")</f>
        <v>Not Found</v>
      </c>
      <c r="U505" s="2" t="str">
        <f>_xlfn.XLOOKUP(Table2[[#This Row],[Adjusted Form '#]],[1]COMPLETED!$D:$D,[2]COMPLETED!$M:$M,"Not Found")</f>
        <v>Not Found</v>
      </c>
      <c r="V505" s="17">
        <f>_xlfn.XLOOKUP(Table2[[#This Row],[Adjusted Form '#]],[2]COMPLETED!$D:$D,[2]COMPLETED!$O:$O,"Not Found")</f>
        <v>0</v>
      </c>
      <c r="W505" s="2" t="str">
        <f>_xlfn.XLOOKUP(Table2[[#This Row],[Adjusted Form '#]],[2]BILLED!$D:$D,[2]BILLED!$M:$M,"Not Found")</f>
        <v>Not Found</v>
      </c>
      <c r="X505" s="17" t="str">
        <f>_xlfn.XLOOKUP(Table2[[#This Row],[Adjusted Form '#]],[2]BILLED!$D:$D,[1]BILLED!$O:$O,"Not Found")</f>
        <v>Not Found</v>
      </c>
      <c r="Y505" s="17" t="e">
        <f>_xlfn.XLOOKUP(Table2[[#This Row],[Adjusted Form '#]],'[2]REJECTED ORDERS'!$D:$D,'[2]REJECTED ORDERS'!$E:$E)</f>
        <v>#N/A</v>
      </c>
      <c r="Z505" s="1"/>
      <c r="AA505" s="1"/>
      <c r="AB505" s="8"/>
      <c r="AC505" s="8"/>
      <c r="AD505" s="8"/>
      <c r="AE505" s="8"/>
      <c r="AF505" s="8"/>
      <c r="AG505" s="8"/>
      <c r="AH505" s="8"/>
      <c r="AI505" s="8"/>
      <c r="AJ505" s="8"/>
    </row>
    <row r="506" spans="1:36" ht="15" customHeight="1" x14ac:dyDescent="0.35">
      <c r="A506" s="4" t="s">
        <v>755</v>
      </c>
      <c r="B506" s="1" t="s">
        <v>660</v>
      </c>
      <c r="C506" s="11">
        <v>44995</v>
      </c>
      <c r="E506" s="1" t="s">
        <v>73</v>
      </c>
      <c r="F506" s="1" t="s">
        <v>4694</v>
      </c>
      <c r="G506" s="6">
        <f>COUNTIF(F:F,Table2[[#This Row],[Form '#]])</f>
        <v>1</v>
      </c>
      <c r="H506" s="1" t="s">
        <v>4695</v>
      </c>
      <c r="I506" s="1" t="s">
        <v>177</v>
      </c>
      <c r="J506" s="1" t="s">
        <v>75</v>
      </c>
      <c r="K506" s="1" t="s">
        <v>3853</v>
      </c>
      <c r="L506" s="1"/>
      <c r="M506" s="6" t="str">
        <f>IF(Table2[[#This Row],[Corrected Form '#
 (If Duplicated)]]="",Table2[[#This Row],[Form '#]],Table2[[#This Row],[Corrected Form '#
 (If Duplicated)]])</f>
        <v>7823-03370</v>
      </c>
      <c r="N506" s="1" t="s">
        <v>49</v>
      </c>
      <c r="O506" s="6" t="str">
        <f>IF(Table2[[#This Row],[POG CONFIRMATION RECEIPT OF ORDER
(DATE &amp; TIME)]]="","No Confirmation","Received Confirmation")</f>
        <v>No Confirmation</v>
      </c>
      <c r="P506" s="6">
        <f ca="1">TODAY()-Table2[[#This Row],[DATE SENT TO POG]]</f>
        <v>308</v>
      </c>
      <c r="Q506" s="6" t="s">
        <v>5803</v>
      </c>
      <c r="R5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6" s="2" t="str">
        <f>_xlfn.XLOOKUP(Table2[[#This Row],[Adjusted Form '#]],'[2]IN PROGRESS'!$D:$D,'[2]IN PROGRESS'!$M:$M,"Not Found")</f>
        <v>Not Found</v>
      </c>
      <c r="U506" s="2" t="str">
        <f>_xlfn.XLOOKUP(Table2[[#This Row],[Adjusted Form '#]],[1]COMPLETED!$D:$D,[2]COMPLETED!$M:$M,"Not Found")</f>
        <v>Not Found</v>
      </c>
      <c r="V506" s="17" t="str">
        <f>_xlfn.XLOOKUP(Table2[[#This Row],[Adjusted Form '#]],[2]COMPLETED!$D:$D,[2]COMPLETED!$O:$O,"Not Found")</f>
        <v>Not Found</v>
      </c>
      <c r="W506" s="2" t="str">
        <f>_xlfn.XLOOKUP(Table2[[#This Row],[Adjusted Form '#]],[2]BILLED!$D:$D,[2]BILLED!$M:$M,"Not Found")</f>
        <v>1Z5063E0YW42819873</v>
      </c>
      <c r="X506" s="17" t="e">
        <f>_xlfn.XLOOKUP(Table2[[#This Row],[Adjusted Form '#]],[2]BILLED!$D:$D,[1]BILLED!$O:$O,"Not Found")</f>
        <v>#REF!</v>
      </c>
      <c r="Y506" s="17" t="e">
        <f>_xlfn.XLOOKUP(Table2[[#This Row],[Adjusted Form '#]],'[2]REJECTED ORDERS'!$D:$D,'[2]REJECTED ORDERS'!$E:$E)</f>
        <v>#N/A</v>
      </c>
      <c r="Z506" s="1"/>
      <c r="AA506" s="1"/>
      <c r="AB506" s="8"/>
      <c r="AC506" s="8"/>
      <c r="AD506" s="8"/>
      <c r="AE506" s="8"/>
      <c r="AF506" s="8"/>
      <c r="AG506" s="8"/>
      <c r="AH506" s="8"/>
      <c r="AI506" s="8"/>
      <c r="AJ506" s="8"/>
    </row>
    <row r="507" spans="1:36" ht="15" customHeight="1" x14ac:dyDescent="0.35">
      <c r="A507" s="4" t="s">
        <v>756</v>
      </c>
      <c r="B507" s="1" t="s">
        <v>2079</v>
      </c>
      <c r="C507" s="11">
        <v>44995</v>
      </c>
      <c r="E507" s="1" t="s">
        <v>73</v>
      </c>
      <c r="F507" s="1" t="s">
        <v>4696</v>
      </c>
      <c r="G507" s="6">
        <f>COUNTIF(F:F,Table2[[#This Row],[Form '#]])</f>
        <v>1</v>
      </c>
      <c r="H507" s="1" t="s">
        <v>4697</v>
      </c>
      <c r="I507" s="1" t="s">
        <v>3864</v>
      </c>
      <c r="J507" s="1" t="s">
        <v>78</v>
      </c>
      <c r="K507" s="1" t="s">
        <v>3879</v>
      </c>
      <c r="L507" s="1"/>
      <c r="M507" s="6" t="str">
        <f>IF(Table2[[#This Row],[Corrected Form '#
 (If Duplicated)]]="",Table2[[#This Row],[Form '#]],Table2[[#This Row],[Corrected Form '#
 (If Duplicated)]])</f>
        <v>7823-03368</v>
      </c>
      <c r="N507" s="1" t="s">
        <v>49</v>
      </c>
      <c r="O507" s="6" t="str">
        <f>IF(Table2[[#This Row],[POG CONFIRMATION RECEIPT OF ORDER
(DATE &amp; TIME)]]="","No Confirmation","Received Confirmation")</f>
        <v>No Confirmation</v>
      </c>
      <c r="P507" s="6">
        <f ca="1">TODAY()-Table2[[#This Row],[DATE SENT TO POG]]</f>
        <v>308</v>
      </c>
      <c r="Q507" s="6" t="s">
        <v>5803</v>
      </c>
      <c r="R5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7" s="2" t="str">
        <f>_xlfn.XLOOKUP(Table2[[#This Row],[Adjusted Form '#]],'[2]IN PROGRESS'!$D:$D,'[2]IN PROGRESS'!$M:$M,"Not Found")</f>
        <v>Not Found</v>
      </c>
      <c r="U507" s="2" t="str">
        <f>_xlfn.XLOOKUP(Table2[[#This Row],[Adjusted Form '#]],[1]COMPLETED!$D:$D,[2]COMPLETED!$M:$M,"Not Found")</f>
        <v>Not Found</v>
      </c>
      <c r="V507" s="17" t="str">
        <f>_xlfn.XLOOKUP(Table2[[#This Row],[Adjusted Form '#]],[2]COMPLETED!$D:$D,[2]COMPLETED!$O:$O,"Not Found")</f>
        <v>Not Found</v>
      </c>
      <c r="W507" s="2" t="str">
        <f>_xlfn.XLOOKUP(Table2[[#This Row],[Adjusted Form '#]],[2]BILLED!$D:$D,[2]BILLED!$M:$M,"Not Found")</f>
        <v>1Z5063E0YW41221699</v>
      </c>
      <c r="X507" s="17" t="e">
        <f>_xlfn.XLOOKUP(Table2[[#This Row],[Adjusted Form '#]],[2]BILLED!$D:$D,[1]BILLED!$O:$O,"Not Found")</f>
        <v>#REF!</v>
      </c>
      <c r="Y507" s="17" t="e">
        <f>_xlfn.XLOOKUP(Table2[[#This Row],[Adjusted Form '#]],'[2]REJECTED ORDERS'!$D:$D,'[2]REJECTED ORDERS'!$E:$E)</f>
        <v>#N/A</v>
      </c>
      <c r="Z507" s="1"/>
      <c r="AA507" s="1"/>
      <c r="AB507" s="8"/>
      <c r="AC507" s="8"/>
      <c r="AD507" s="8"/>
      <c r="AE507" s="8"/>
      <c r="AF507" s="8"/>
      <c r="AG507" s="8"/>
      <c r="AH507" s="8"/>
      <c r="AI507" s="8"/>
      <c r="AJ507" s="8"/>
    </row>
    <row r="508" spans="1:36" ht="15" customHeight="1" x14ac:dyDescent="0.35">
      <c r="A508" s="4" t="s">
        <v>757</v>
      </c>
      <c r="B508" s="1" t="s">
        <v>4698</v>
      </c>
      <c r="C508" s="11">
        <v>44995</v>
      </c>
      <c r="E508" s="1" t="s">
        <v>21</v>
      </c>
      <c r="F508" s="1" t="s">
        <v>4699</v>
      </c>
      <c r="G508" s="6">
        <f>COUNTIF(F:F,Table2[[#This Row],[Form '#]])</f>
        <v>1</v>
      </c>
      <c r="H508" s="1" t="s">
        <v>2365</v>
      </c>
      <c r="I508" s="1" t="s">
        <v>758</v>
      </c>
      <c r="J508" s="1" t="s">
        <v>78</v>
      </c>
      <c r="K508" s="1" t="s">
        <v>3853</v>
      </c>
      <c r="L508" s="1"/>
      <c r="M508" s="6" t="str">
        <f>IF(Table2[[#This Row],[Corrected Form '#
 (If Duplicated)]]="",Table2[[#This Row],[Form '#]],Table2[[#This Row],[Corrected Form '#
 (If Duplicated)]])</f>
        <v>7818-21914</v>
      </c>
      <c r="N508" s="1" t="s">
        <v>49</v>
      </c>
      <c r="O508" s="6" t="str">
        <f>IF(Table2[[#This Row],[POG CONFIRMATION RECEIPT OF ORDER
(DATE &amp; TIME)]]="","No Confirmation","Received Confirmation")</f>
        <v>No Confirmation</v>
      </c>
      <c r="P508" s="6">
        <f ca="1">TODAY()-Table2[[#This Row],[DATE SENT TO POG]]</f>
        <v>308</v>
      </c>
      <c r="Q508" s="6" t="s">
        <v>5803</v>
      </c>
      <c r="R5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8" s="2" t="str">
        <f>_xlfn.XLOOKUP(Table2[[#This Row],[Adjusted Form '#]],'[2]IN PROGRESS'!$D:$D,'[2]IN PROGRESS'!$M:$M,"Not Found")</f>
        <v>Not Found</v>
      </c>
      <c r="U508" s="2" t="str">
        <f>_xlfn.XLOOKUP(Table2[[#This Row],[Adjusted Form '#]],[1]COMPLETED!$D:$D,[2]COMPLETED!$M:$M,"Not Found")</f>
        <v>Not Found</v>
      </c>
      <c r="V508" s="17" t="str">
        <f>_xlfn.XLOOKUP(Table2[[#This Row],[Adjusted Form '#]],[2]COMPLETED!$D:$D,[2]COMPLETED!$O:$O,"Not Found")</f>
        <v>Not Found</v>
      </c>
      <c r="W508" s="2" t="str">
        <f>_xlfn.XLOOKUP(Table2[[#This Row],[Adjusted Form '#]],[2]BILLED!$D:$D,[2]BILLED!$M:$M,"Not Found")</f>
        <v>1Z5063E0YW40785805</v>
      </c>
      <c r="X508" s="17" t="e">
        <f>_xlfn.XLOOKUP(Table2[[#This Row],[Adjusted Form '#]],[2]BILLED!$D:$D,[1]BILLED!$O:$O,"Not Found")</f>
        <v>#REF!</v>
      </c>
      <c r="Y508" s="17" t="e">
        <f>_xlfn.XLOOKUP(Table2[[#This Row],[Adjusted Form '#]],'[2]REJECTED ORDERS'!$D:$D,'[2]REJECTED ORDERS'!$E:$E)</f>
        <v>#N/A</v>
      </c>
      <c r="Z508" s="1"/>
      <c r="AA508" s="1"/>
      <c r="AB508" s="8"/>
      <c r="AC508" s="8"/>
      <c r="AD508" s="8"/>
      <c r="AE508" s="8"/>
      <c r="AF508" s="8"/>
      <c r="AG508" s="8"/>
      <c r="AH508" s="8"/>
      <c r="AI508" s="8"/>
      <c r="AJ508" s="8"/>
    </row>
    <row r="509" spans="1:36" ht="15" customHeight="1" x14ac:dyDescent="0.35">
      <c r="A509" s="4" t="s">
        <v>758</v>
      </c>
      <c r="B509" s="1" t="s">
        <v>4698</v>
      </c>
      <c r="C509" s="11">
        <v>44995</v>
      </c>
      <c r="E509" s="1" t="s">
        <v>21</v>
      </c>
      <c r="F509" s="1" t="s">
        <v>4700</v>
      </c>
      <c r="G509" s="6">
        <f>COUNTIF(F:F,Table2[[#This Row],[Form '#]])</f>
        <v>1</v>
      </c>
      <c r="H509" s="1" t="s">
        <v>4701</v>
      </c>
      <c r="I509" s="1" t="s">
        <v>177</v>
      </c>
      <c r="J509" s="1" t="s">
        <v>75</v>
      </c>
      <c r="K509" s="1" t="s">
        <v>3853</v>
      </c>
      <c r="L509" s="1"/>
      <c r="M509" s="6" t="str">
        <f>IF(Table2[[#This Row],[Corrected Form '#
 (If Duplicated)]]="",Table2[[#This Row],[Form '#]],Table2[[#This Row],[Corrected Form '#
 (If Duplicated)]])</f>
        <v>7818-19675</v>
      </c>
      <c r="N509" s="1" t="s">
        <v>49</v>
      </c>
      <c r="O509" s="6" t="str">
        <f>IF(Table2[[#This Row],[POG CONFIRMATION RECEIPT OF ORDER
(DATE &amp; TIME)]]="","No Confirmation","Received Confirmation")</f>
        <v>No Confirmation</v>
      </c>
      <c r="P509" s="6">
        <f ca="1">TODAY()-Table2[[#This Row],[DATE SENT TO POG]]</f>
        <v>308</v>
      </c>
      <c r="Q509" s="6" t="s">
        <v>5803</v>
      </c>
      <c r="R5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09" s="2" t="str">
        <f>_xlfn.XLOOKUP(Table2[[#This Row],[Adjusted Form '#]],'[2]IN PROGRESS'!$D:$D,'[2]IN PROGRESS'!$M:$M,"Not Found")</f>
        <v>Not Found</v>
      </c>
      <c r="U509" s="2" t="str">
        <f>_xlfn.XLOOKUP(Table2[[#This Row],[Adjusted Form '#]],[1]COMPLETED!$D:$D,[2]COMPLETED!$M:$M,"Not Found")</f>
        <v>Not Found</v>
      </c>
      <c r="V509" s="17" t="str">
        <f>_xlfn.XLOOKUP(Table2[[#This Row],[Adjusted Form '#]],[2]COMPLETED!$D:$D,[2]COMPLETED!$O:$O,"Not Found")</f>
        <v>Not Found</v>
      </c>
      <c r="W509" s="2" t="str">
        <f>_xlfn.XLOOKUP(Table2[[#This Row],[Adjusted Form '#]],[2]BILLED!$D:$D,[2]BILLED!$M:$M,"Not Found")</f>
        <v>9402 1112 0620 9882 8116 25</v>
      </c>
      <c r="X509" s="17" t="e">
        <f>_xlfn.XLOOKUP(Table2[[#This Row],[Adjusted Form '#]],[2]BILLED!$D:$D,[1]BILLED!$O:$O,"Not Found")</f>
        <v>#REF!</v>
      </c>
      <c r="Y509" s="17" t="e">
        <f>_xlfn.XLOOKUP(Table2[[#This Row],[Adjusted Form '#]],'[2]REJECTED ORDERS'!$D:$D,'[2]REJECTED ORDERS'!$E:$E)</f>
        <v>#N/A</v>
      </c>
      <c r="Z509" s="1"/>
      <c r="AA509" s="1"/>
      <c r="AB509" s="8"/>
      <c r="AC509" s="8"/>
      <c r="AD509" s="8"/>
      <c r="AE509" s="8"/>
      <c r="AF509" s="8"/>
      <c r="AG509" s="8"/>
      <c r="AH509" s="8"/>
      <c r="AI509" s="8"/>
      <c r="AJ509" s="8"/>
    </row>
    <row r="510" spans="1:36" ht="30" customHeight="1" x14ac:dyDescent="0.35">
      <c r="A510" s="4" t="s">
        <v>760</v>
      </c>
      <c r="B510" s="1" t="s">
        <v>4698</v>
      </c>
      <c r="C510" s="11">
        <v>44995</v>
      </c>
      <c r="E510" s="1" t="s">
        <v>21</v>
      </c>
      <c r="F510" s="1" t="s">
        <v>4702</v>
      </c>
      <c r="G510" s="6">
        <f>COUNTIF(F:F,Table2[[#This Row],[Form '#]])</f>
        <v>1</v>
      </c>
      <c r="H510" s="1" t="s">
        <v>4703</v>
      </c>
      <c r="I510" s="1" t="s">
        <v>758</v>
      </c>
      <c r="J510" s="1" t="s">
        <v>78</v>
      </c>
      <c r="K510" s="1" t="s">
        <v>3853</v>
      </c>
      <c r="L510" s="1"/>
      <c r="M510" s="6" t="str">
        <f>IF(Table2[[#This Row],[Corrected Form '#
 (If Duplicated)]]="",Table2[[#This Row],[Form '#]],Table2[[#This Row],[Corrected Form '#
 (If Duplicated)]])</f>
        <v>7818-20699</v>
      </c>
      <c r="N510" s="1" t="s">
        <v>49</v>
      </c>
      <c r="O510" s="6" t="str">
        <f>IF(Table2[[#This Row],[POG CONFIRMATION RECEIPT OF ORDER
(DATE &amp; TIME)]]="","No Confirmation","Received Confirmation")</f>
        <v>No Confirmation</v>
      </c>
      <c r="P510" s="6">
        <f ca="1">TODAY()-Table2[[#This Row],[DATE SENT TO POG]]</f>
        <v>308</v>
      </c>
      <c r="Q510" s="6" t="s">
        <v>5803</v>
      </c>
      <c r="R5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0" s="2" t="str">
        <f>_xlfn.XLOOKUP(Table2[[#This Row],[Adjusted Form '#]],'[2]IN PROGRESS'!$D:$D,'[2]IN PROGRESS'!$M:$M,"Not Found")</f>
        <v>Not Found</v>
      </c>
      <c r="U510" s="2" t="str">
        <f>_xlfn.XLOOKUP(Table2[[#This Row],[Adjusted Form '#]],[1]COMPLETED!$D:$D,[2]COMPLETED!$M:$M,"Not Found")</f>
        <v>Not Found</v>
      </c>
      <c r="V510" s="17" t="str">
        <f>_xlfn.XLOOKUP(Table2[[#This Row],[Adjusted Form '#]],[2]COMPLETED!$D:$D,[2]COMPLETED!$O:$O,"Not Found")</f>
        <v>Not Found</v>
      </c>
      <c r="W510" s="2" t="str">
        <f>_xlfn.XLOOKUP(Table2[[#This Row],[Adjusted Form '#]],[2]BILLED!$D:$D,[2]BILLED!$M:$M,"Not Found")</f>
        <v>9405 5112 0620 9827 7623 83</v>
      </c>
      <c r="X510" s="17" t="e">
        <f>_xlfn.XLOOKUP(Table2[[#This Row],[Adjusted Form '#]],[2]BILLED!$D:$D,[1]BILLED!$O:$O,"Not Found")</f>
        <v>#REF!</v>
      </c>
      <c r="Y510" s="17" t="e">
        <f>_xlfn.XLOOKUP(Table2[[#This Row],[Adjusted Form '#]],'[2]REJECTED ORDERS'!$D:$D,'[2]REJECTED ORDERS'!$E:$E)</f>
        <v>#N/A</v>
      </c>
      <c r="Z510" s="22" t="s">
        <v>6379</v>
      </c>
      <c r="AA510" s="1"/>
      <c r="AB510" s="8"/>
      <c r="AC510" s="8"/>
      <c r="AD510" s="8"/>
      <c r="AE510" s="8"/>
      <c r="AF510" s="8"/>
      <c r="AG510" s="8"/>
      <c r="AH510" s="8"/>
      <c r="AI510" s="8"/>
      <c r="AJ510" s="8"/>
    </row>
    <row r="511" spans="1:36" ht="15" customHeight="1" x14ac:dyDescent="0.35">
      <c r="A511" s="4" t="s">
        <v>761</v>
      </c>
      <c r="B511" s="1" t="s">
        <v>4698</v>
      </c>
      <c r="C511" s="11">
        <v>44995</v>
      </c>
      <c r="E511" s="1" t="s">
        <v>21</v>
      </c>
      <c r="F511" s="1" t="s">
        <v>4704</v>
      </c>
      <c r="G511" s="6">
        <f>COUNTIF(F:F,Table2[[#This Row],[Form '#]])</f>
        <v>1</v>
      </c>
      <c r="H511" s="1" t="s">
        <v>3031</v>
      </c>
      <c r="I511" s="1" t="s">
        <v>758</v>
      </c>
      <c r="J511" s="1" t="s">
        <v>78</v>
      </c>
      <c r="K511" s="1" t="s">
        <v>3853</v>
      </c>
      <c r="L511" s="1"/>
      <c r="M511" s="6" t="str">
        <f>IF(Table2[[#This Row],[Corrected Form '#
 (If Duplicated)]]="",Table2[[#This Row],[Form '#]],Table2[[#This Row],[Corrected Form '#
 (If Duplicated)]])</f>
        <v>7818-22416</v>
      </c>
      <c r="N511" s="1" t="s">
        <v>49</v>
      </c>
      <c r="O511" s="6" t="str">
        <f>IF(Table2[[#This Row],[POG CONFIRMATION RECEIPT OF ORDER
(DATE &amp; TIME)]]="","No Confirmation","Received Confirmation")</f>
        <v>No Confirmation</v>
      </c>
      <c r="P511" s="6">
        <f ca="1">TODAY()-Table2[[#This Row],[DATE SENT TO POG]]</f>
        <v>308</v>
      </c>
      <c r="Q511" s="6" t="s">
        <v>5803</v>
      </c>
      <c r="R5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1" s="2" t="str">
        <f>_xlfn.XLOOKUP(Table2[[#This Row],[Adjusted Form '#]],'[2]IN PROGRESS'!$D:$D,'[2]IN PROGRESS'!$M:$M,"Not Found")</f>
        <v>Not Found</v>
      </c>
      <c r="U511" s="2" t="str">
        <f>_xlfn.XLOOKUP(Table2[[#This Row],[Adjusted Form '#]],[1]COMPLETED!$D:$D,[2]COMPLETED!$M:$M,"Not Found")</f>
        <v>Not Found</v>
      </c>
      <c r="V511" s="17" t="str">
        <f>_xlfn.XLOOKUP(Table2[[#This Row],[Adjusted Form '#]],[2]COMPLETED!$D:$D,[2]COMPLETED!$O:$O,"Not Found")</f>
        <v>Not Found</v>
      </c>
      <c r="W511" s="2" t="str">
        <f>_xlfn.XLOOKUP(Table2[[#This Row],[Adjusted Form '#]],[2]BILLED!$D:$D,[2]BILLED!$M:$M,"Not Found")</f>
        <v>1Z5063E0YW42520006</v>
      </c>
      <c r="X511" s="17" t="e">
        <f>_xlfn.XLOOKUP(Table2[[#This Row],[Adjusted Form '#]],[2]BILLED!$D:$D,[1]BILLED!$O:$O,"Not Found")</f>
        <v>#REF!</v>
      </c>
      <c r="Y511" s="17" t="e">
        <f>_xlfn.XLOOKUP(Table2[[#This Row],[Adjusted Form '#]],'[2]REJECTED ORDERS'!$D:$D,'[2]REJECTED ORDERS'!$E:$E)</f>
        <v>#N/A</v>
      </c>
      <c r="Z511" s="1"/>
      <c r="AA511" s="1"/>
      <c r="AB511" s="8"/>
      <c r="AC511" s="8"/>
      <c r="AD511" s="8"/>
      <c r="AE511" s="8"/>
      <c r="AF511" s="8"/>
      <c r="AG511" s="8"/>
      <c r="AH511" s="8"/>
      <c r="AI511" s="8"/>
      <c r="AJ511" s="8"/>
    </row>
    <row r="512" spans="1:36" ht="15" customHeight="1" x14ac:dyDescent="0.35">
      <c r="A512" s="4" t="s">
        <v>763</v>
      </c>
      <c r="B512" s="1" t="s">
        <v>4698</v>
      </c>
      <c r="C512" s="11">
        <v>44995</v>
      </c>
      <c r="E512" s="1" t="s">
        <v>21</v>
      </c>
      <c r="F512" s="1" t="s">
        <v>4705</v>
      </c>
      <c r="G512" s="6">
        <f>COUNTIF(F:F,Table2[[#This Row],[Form '#]])</f>
        <v>1</v>
      </c>
      <c r="H512" s="1" t="s">
        <v>4706</v>
      </c>
      <c r="I512" s="1" t="s">
        <v>758</v>
      </c>
      <c r="J512" s="1" t="s">
        <v>78</v>
      </c>
      <c r="K512" s="1" t="s">
        <v>3853</v>
      </c>
      <c r="L512" s="1"/>
      <c r="M512" s="6" t="str">
        <f>IF(Table2[[#This Row],[Corrected Form '#
 (If Duplicated)]]="",Table2[[#This Row],[Form '#]],Table2[[#This Row],[Corrected Form '#
 (If Duplicated)]])</f>
        <v>7818-26189</v>
      </c>
      <c r="N512" s="1" t="s">
        <v>49</v>
      </c>
      <c r="O512" s="6" t="str">
        <f>IF(Table2[[#This Row],[POG CONFIRMATION RECEIPT OF ORDER
(DATE &amp; TIME)]]="","No Confirmation","Received Confirmation")</f>
        <v>No Confirmation</v>
      </c>
      <c r="P512" s="6">
        <f ca="1">TODAY()-Table2[[#This Row],[DATE SENT TO POG]]</f>
        <v>308</v>
      </c>
      <c r="Q512" s="6" t="s">
        <v>5803</v>
      </c>
      <c r="R5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2" s="2" t="str">
        <f>_xlfn.XLOOKUP(Table2[[#This Row],[Adjusted Form '#]],'[2]IN PROGRESS'!$D:$D,'[2]IN PROGRESS'!$M:$M,"Not Found")</f>
        <v>Not Found</v>
      </c>
      <c r="U512" s="2" t="str">
        <f>_xlfn.XLOOKUP(Table2[[#This Row],[Adjusted Form '#]],[1]COMPLETED!$D:$D,[2]COMPLETED!$M:$M,"Not Found")</f>
        <v>Not Found</v>
      </c>
      <c r="V512" s="17" t="str">
        <f>_xlfn.XLOOKUP(Table2[[#This Row],[Adjusted Form '#]],[2]COMPLETED!$D:$D,[2]COMPLETED!$O:$O,"Not Found")</f>
        <v>Not Found</v>
      </c>
      <c r="W512" s="2" t="str">
        <f>_xlfn.XLOOKUP(Table2[[#This Row],[Adjusted Form '#]],[2]BILLED!$D:$D,[2]BILLED!$M:$M,"Not Found")</f>
        <v>9402 1112 0620 7087 3021 77</v>
      </c>
      <c r="X512" s="17" t="e">
        <f>_xlfn.XLOOKUP(Table2[[#This Row],[Adjusted Form '#]],[2]BILLED!$D:$D,[1]BILLED!$O:$O,"Not Found")</f>
        <v>#REF!</v>
      </c>
      <c r="Y512" s="17" t="e">
        <f>_xlfn.XLOOKUP(Table2[[#This Row],[Adjusted Form '#]],'[2]REJECTED ORDERS'!$D:$D,'[2]REJECTED ORDERS'!$E:$E)</f>
        <v>#N/A</v>
      </c>
      <c r="Z512" s="1"/>
      <c r="AA512" s="1"/>
      <c r="AB512" s="8"/>
      <c r="AC512" s="8"/>
      <c r="AD512" s="8"/>
      <c r="AE512" s="8"/>
      <c r="AF512" s="8"/>
      <c r="AG512" s="8"/>
      <c r="AH512" s="8"/>
      <c r="AI512" s="8"/>
      <c r="AJ512" s="8"/>
    </row>
    <row r="513" spans="1:36" ht="15" customHeight="1" x14ac:dyDescent="0.35">
      <c r="A513" s="4" t="s">
        <v>764</v>
      </c>
      <c r="B513" s="1" t="s">
        <v>4698</v>
      </c>
      <c r="C513" s="11">
        <v>44995</v>
      </c>
      <c r="E513" s="1" t="s">
        <v>21</v>
      </c>
      <c r="F513" s="1" t="s">
        <v>4707</v>
      </c>
      <c r="G513" s="6">
        <f>COUNTIF(F:F,Table2[[#This Row],[Form '#]])</f>
        <v>2</v>
      </c>
      <c r="H513" s="1" t="s">
        <v>4708</v>
      </c>
      <c r="I513" s="1" t="s">
        <v>127</v>
      </c>
      <c r="J513" s="1" t="s">
        <v>76</v>
      </c>
      <c r="K513" s="1" t="s">
        <v>3883</v>
      </c>
      <c r="L513" s="1"/>
      <c r="M513" s="6" t="str">
        <f>IF(Table2[[#This Row],[Corrected Form '#
 (If Duplicated)]]="",Table2[[#This Row],[Form '#]],Table2[[#This Row],[Corrected Form '#
 (If Duplicated)]])</f>
        <v>7818-24657</v>
      </c>
      <c r="N513" s="1" t="s">
        <v>49</v>
      </c>
      <c r="O513" s="6" t="str">
        <f>IF(Table2[[#This Row],[POG CONFIRMATION RECEIPT OF ORDER
(DATE &amp; TIME)]]="","No Confirmation","Received Confirmation")</f>
        <v>No Confirmation</v>
      </c>
      <c r="P513" s="6">
        <f ca="1">TODAY()-Table2[[#This Row],[DATE SENT TO POG]]</f>
        <v>308</v>
      </c>
      <c r="Q513" s="6" t="s">
        <v>5803</v>
      </c>
      <c r="R5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3" s="2" t="str">
        <f>_xlfn.XLOOKUP(Table2[[#This Row],[Adjusted Form '#]],'[2]IN PROGRESS'!$D:$D,'[2]IN PROGRESS'!$M:$M,"Not Found")</f>
        <v>Not Found</v>
      </c>
      <c r="U513" s="2" t="str">
        <f>_xlfn.XLOOKUP(Table2[[#This Row],[Adjusted Form '#]],[1]COMPLETED!$D:$D,[2]COMPLETED!$M:$M,"Not Found")</f>
        <v>Not Found</v>
      </c>
      <c r="V513" s="17" t="str">
        <f>_xlfn.XLOOKUP(Table2[[#This Row],[Adjusted Form '#]],[2]COMPLETED!$D:$D,[2]COMPLETED!$O:$O,"Not Found")</f>
        <v>Not Found</v>
      </c>
      <c r="W513" s="2" t="str">
        <f>_xlfn.XLOOKUP(Table2[[#This Row],[Adjusted Form '#]],[2]BILLED!$D:$D,[2]BILLED!$M:$M,"Not Found")</f>
        <v>1Z5063E0YW42725054</v>
      </c>
      <c r="X513" s="17" t="e">
        <f>_xlfn.XLOOKUP(Table2[[#This Row],[Adjusted Form '#]],[2]BILLED!$D:$D,[1]BILLED!$O:$O,"Not Found")</f>
        <v>#REF!</v>
      </c>
      <c r="Y513" s="17" t="e">
        <f>_xlfn.XLOOKUP(Table2[[#This Row],[Adjusted Form '#]],'[2]REJECTED ORDERS'!$D:$D,'[2]REJECTED ORDERS'!$E:$E)</f>
        <v>#N/A</v>
      </c>
      <c r="Z513" s="1"/>
      <c r="AA513" s="1"/>
      <c r="AB513" s="8"/>
      <c r="AC513" s="8"/>
      <c r="AD513" s="8"/>
      <c r="AE513" s="8"/>
      <c r="AF513" s="8"/>
      <c r="AG513" s="8"/>
      <c r="AH513" s="8"/>
      <c r="AI513" s="8"/>
      <c r="AJ513" s="8"/>
    </row>
    <row r="514" spans="1:36" ht="15" customHeight="1" x14ac:dyDescent="0.35">
      <c r="A514" s="4" t="s">
        <v>765</v>
      </c>
      <c r="B514" s="1" t="s">
        <v>4698</v>
      </c>
      <c r="C514" s="11">
        <v>44995</v>
      </c>
      <c r="E514" s="1" t="s">
        <v>21</v>
      </c>
      <c r="F514" s="3" t="s">
        <v>4709</v>
      </c>
      <c r="G514" s="6">
        <f>COUNTIF(F:F,Table2[[#This Row],[Form '#]])</f>
        <v>1</v>
      </c>
      <c r="H514" s="1" t="s">
        <v>1002</v>
      </c>
      <c r="I514" s="1" t="s">
        <v>177</v>
      </c>
      <c r="J514" s="1" t="s">
        <v>75</v>
      </c>
      <c r="K514" s="1" t="s">
        <v>4011</v>
      </c>
      <c r="L514" s="1"/>
      <c r="M514" s="6" t="str">
        <f>IF(Table2[[#This Row],[Corrected Form '#
 (If Duplicated)]]="",Table2[[#This Row],[Form '#]],Table2[[#This Row],[Corrected Form '#
 (If Duplicated)]])</f>
        <v>7818-26912</v>
      </c>
      <c r="N514" s="1" t="s">
        <v>49</v>
      </c>
      <c r="O514" s="6" t="str">
        <f>IF(Table2[[#This Row],[POG CONFIRMATION RECEIPT OF ORDER
(DATE &amp; TIME)]]="","No Confirmation","Received Confirmation")</f>
        <v>No Confirmation</v>
      </c>
      <c r="P514" s="6">
        <f ca="1">TODAY()-Table2[[#This Row],[DATE SENT TO POG]]</f>
        <v>308</v>
      </c>
      <c r="Q514" s="6" t="s">
        <v>5803</v>
      </c>
      <c r="R5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4" s="2" t="str">
        <f>_xlfn.XLOOKUP(Table2[[#This Row],[Adjusted Form '#]],'[2]IN PROGRESS'!$D:$D,'[2]IN PROGRESS'!$M:$M,"Not Found")</f>
        <v>Not Found</v>
      </c>
      <c r="U514" s="2" t="str">
        <f>_xlfn.XLOOKUP(Table2[[#This Row],[Adjusted Form '#]],[1]COMPLETED!$D:$D,[2]COMPLETED!$M:$M,"Not Found")</f>
        <v>Not Found</v>
      </c>
      <c r="V514" s="17" t="str">
        <f>_xlfn.XLOOKUP(Table2[[#This Row],[Adjusted Form '#]],[2]COMPLETED!$D:$D,[2]COMPLETED!$O:$O,"Not Found")</f>
        <v>Not Found</v>
      </c>
      <c r="W514" s="2" t="str">
        <f>_xlfn.XLOOKUP(Table2[[#This Row],[Adjusted Form '#]],[2]BILLED!$D:$D,[2]BILLED!$M:$M,"Not Found")</f>
        <v>9402 1112 0620 7087 2148 76</v>
      </c>
      <c r="X514" s="17" t="e">
        <f>_xlfn.XLOOKUP(Table2[[#This Row],[Adjusted Form '#]],[2]BILLED!$D:$D,[1]BILLED!$O:$O,"Not Found")</f>
        <v>#REF!</v>
      </c>
      <c r="Y514" s="17" t="e">
        <f>_xlfn.XLOOKUP(Table2[[#This Row],[Adjusted Form '#]],'[2]REJECTED ORDERS'!$D:$D,'[2]REJECTED ORDERS'!$E:$E)</f>
        <v>#N/A</v>
      </c>
      <c r="Z514" s="1"/>
      <c r="AA514" s="1"/>
      <c r="AB514" s="8"/>
      <c r="AC514" s="8"/>
      <c r="AD514" s="8"/>
      <c r="AE514" s="8"/>
      <c r="AF514" s="8"/>
      <c r="AG514" s="8"/>
      <c r="AH514" s="8"/>
      <c r="AI514" s="8"/>
      <c r="AJ514" s="8"/>
    </row>
    <row r="515" spans="1:36" ht="15" customHeight="1" x14ac:dyDescent="0.35">
      <c r="A515" s="4" t="s">
        <v>766</v>
      </c>
      <c r="B515" s="1" t="s">
        <v>4698</v>
      </c>
      <c r="C515" s="11">
        <v>44995</v>
      </c>
      <c r="E515" s="1" t="s">
        <v>21</v>
      </c>
      <c r="F515" s="4" t="s">
        <v>6377</v>
      </c>
      <c r="G515" s="6">
        <f>COUNTIF(F:F,Table2[[#This Row],[Form '#]])</f>
        <v>1</v>
      </c>
      <c r="H515" s="1" t="s">
        <v>112</v>
      </c>
      <c r="I515" s="1" t="s">
        <v>177</v>
      </c>
      <c r="J515" s="1" t="s">
        <v>75</v>
      </c>
      <c r="K515" s="1" t="s">
        <v>4011</v>
      </c>
      <c r="L515" s="1"/>
      <c r="M515" s="6" t="str">
        <f>IF(Table2[[#This Row],[Corrected Form '#
 (If Duplicated)]]="",Table2[[#This Row],[Form '#]],Table2[[#This Row],[Corrected Form '#
 (If Duplicated)]])</f>
        <v>7818-10385</v>
      </c>
      <c r="N515" s="1" t="s">
        <v>49</v>
      </c>
      <c r="O515" s="6" t="str">
        <f>IF(Table2[[#This Row],[POG CONFIRMATION RECEIPT OF ORDER
(DATE &amp; TIME)]]="","No Confirmation","Received Confirmation")</f>
        <v>No Confirmation</v>
      </c>
      <c r="P515" s="6">
        <f ca="1">TODAY()-Table2[[#This Row],[DATE SENT TO POG]]</f>
        <v>308</v>
      </c>
      <c r="Q515" s="6" t="s">
        <v>5803</v>
      </c>
      <c r="R5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5" s="2" t="str">
        <f>_xlfn.XLOOKUP(Table2[[#This Row],[Adjusted Form '#]],'[2]IN PROGRESS'!$D:$D,'[2]IN PROGRESS'!$M:$M,"Not Found")</f>
        <v>Not Found</v>
      </c>
      <c r="U515" s="2" t="str">
        <f>_xlfn.XLOOKUP(Table2[[#This Row],[Adjusted Form '#]],[1]COMPLETED!$D:$D,[2]COMPLETED!$M:$M,"Not Found")</f>
        <v>Not Found</v>
      </c>
      <c r="V515" s="17" t="str">
        <f>_xlfn.XLOOKUP(Table2[[#This Row],[Adjusted Form '#]],[2]COMPLETED!$D:$D,[2]COMPLETED!$O:$O,"Not Found")</f>
        <v>Not Found</v>
      </c>
      <c r="W515" s="2" t="str">
        <f>_xlfn.XLOOKUP(Table2[[#This Row],[Adjusted Form '#]],[2]BILLED!$D:$D,[2]BILLED!$M:$M,"Not Found")</f>
        <v>9402 1112 0620 9860 3913 16</v>
      </c>
      <c r="X515" s="17" t="e">
        <f>_xlfn.XLOOKUP(Table2[[#This Row],[Adjusted Form '#]],[2]BILLED!$D:$D,[1]BILLED!$O:$O,"Not Found")</f>
        <v>#REF!</v>
      </c>
      <c r="Y515" s="17" t="e">
        <f>_xlfn.XLOOKUP(Table2[[#This Row],[Adjusted Form '#]],'[2]REJECTED ORDERS'!$D:$D,'[2]REJECTED ORDERS'!$E:$E)</f>
        <v>#N/A</v>
      </c>
      <c r="Z515" s="1"/>
      <c r="AA515" s="1"/>
      <c r="AB515" s="8"/>
      <c r="AC515" s="8"/>
      <c r="AD515" s="8"/>
      <c r="AE515" s="8"/>
      <c r="AF515" s="8"/>
      <c r="AG515" s="8"/>
      <c r="AH515" s="8"/>
      <c r="AI515" s="8"/>
      <c r="AJ515" s="8"/>
    </row>
    <row r="516" spans="1:36" ht="15" customHeight="1" x14ac:dyDescent="0.35">
      <c r="A516" s="4" t="s">
        <v>768</v>
      </c>
      <c r="B516" s="1" t="s">
        <v>842</v>
      </c>
      <c r="C516" s="11">
        <v>44995</v>
      </c>
      <c r="D516" s="11" t="s">
        <v>4710</v>
      </c>
      <c r="E516" s="1" t="s">
        <v>21</v>
      </c>
      <c r="F516" s="1" t="s">
        <v>4711</v>
      </c>
      <c r="G516" s="6">
        <f>COUNTIF(F:F,Table2[[#This Row],[Form '#]])</f>
        <v>1</v>
      </c>
      <c r="H516" s="1" t="s">
        <v>4712</v>
      </c>
      <c r="I516" s="1" t="s">
        <v>3852</v>
      </c>
      <c r="J516" s="1" t="s">
        <v>75</v>
      </c>
      <c r="K516" s="1" t="s">
        <v>3853</v>
      </c>
      <c r="L516" s="1"/>
      <c r="M516" s="6" t="str">
        <f>IF(Table2[[#This Row],[Corrected Form '#
 (If Duplicated)]]="",Table2[[#This Row],[Form '#]],Table2[[#This Row],[Corrected Form '#
 (If Duplicated)]])</f>
        <v>7818-27178</v>
      </c>
      <c r="N516" s="1" t="s">
        <v>49</v>
      </c>
      <c r="O516" s="6" t="str">
        <f>IF(Table2[[#This Row],[POG CONFIRMATION RECEIPT OF ORDER
(DATE &amp; TIME)]]="","No Confirmation","Received Confirmation")</f>
        <v>Received Confirmation</v>
      </c>
      <c r="P516" s="6">
        <f ca="1">TODAY()-Table2[[#This Row],[DATE SENT TO POG]]</f>
        <v>308</v>
      </c>
      <c r="Q516" s="6" t="s">
        <v>5803</v>
      </c>
      <c r="R5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6" s="2" t="str">
        <f>_xlfn.XLOOKUP(Table2[[#This Row],[Adjusted Form '#]],'[2]IN PROGRESS'!$D:$D,'[2]IN PROGRESS'!$M:$M,"Not Found")</f>
        <v>Not Found</v>
      </c>
      <c r="U516" s="2" t="str">
        <f>_xlfn.XLOOKUP(Table2[[#This Row],[Adjusted Form '#]],[1]COMPLETED!$D:$D,[2]COMPLETED!$M:$M,"Not Found")</f>
        <v>Not Found</v>
      </c>
      <c r="V516" s="17" t="str">
        <f>_xlfn.XLOOKUP(Table2[[#This Row],[Adjusted Form '#]],[2]COMPLETED!$D:$D,[2]COMPLETED!$O:$O,"Not Found")</f>
        <v>Not Found</v>
      </c>
      <c r="W516" s="2" t="str">
        <f>_xlfn.XLOOKUP(Table2[[#This Row],[Adjusted Form '#]],[2]BILLED!$D:$D,[2]BILLED!$M:$M,"Not Found")</f>
        <v>1Z5063E0YW41044863</v>
      </c>
      <c r="X516" s="17" t="e">
        <f>_xlfn.XLOOKUP(Table2[[#This Row],[Adjusted Form '#]],[2]BILLED!$D:$D,[1]BILLED!$O:$O,"Not Found")</f>
        <v>#REF!</v>
      </c>
      <c r="Y516" s="17" t="e">
        <f>_xlfn.XLOOKUP(Table2[[#This Row],[Adjusted Form '#]],'[2]REJECTED ORDERS'!$D:$D,'[2]REJECTED ORDERS'!$E:$E)</f>
        <v>#N/A</v>
      </c>
      <c r="Z516" s="1"/>
      <c r="AA516" s="1"/>
      <c r="AB516" s="8"/>
      <c r="AC516" s="8"/>
      <c r="AD516" s="8"/>
      <c r="AE516" s="8"/>
      <c r="AF516" s="8"/>
      <c r="AG516" s="8"/>
      <c r="AH516" s="8"/>
      <c r="AI516" s="8"/>
      <c r="AJ516" s="8"/>
    </row>
    <row r="517" spans="1:36" ht="15" customHeight="1" x14ac:dyDescent="0.35">
      <c r="A517" s="4" t="s">
        <v>770</v>
      </c>
      <c r="B517" s="1" t="s">
        <v>3344</v>
      </c>
      <c r="C517" s="11">
        <v>44998</v>
      </c>
      <c r="D517" s="11" t="s">
        <v>4713</v>
      </c>
      <c r="E517" s="1" t="s">
        <v>21</v>
      </c>
      <c r="F517" s="1" t="s">
        <v>4714</v>
      </c>
      <c r="G517" s="6">
        <f>COUNTIF(F:F,Table2[[#This Row],[Form '#]])</f>
        <v>1</v>
      </c>
      <c r="H517" s="1" t="s">
        <v>4715</v>
      </c>
      <c r="I517" s="1" t="s">
        <v>3852</v>
      </c>
      <c r="J517" s="1" t="s">
        <v>80</v>
      </c>
      <c r="K517" s="1" t="s">
        <v>3853</v>
      </c>
      <c r="L517" s="1"/>
      <c r="M517" s="6" t="str">
        <f>IF(Table2[[#This Row],[Corrected Form '#
 (If Duplicated)]]="",Table2[[#This Row],[Form '#]],Table2[[#This Row],[Corrected Form '#
 (If Duplicated)]])</f>
        <v>7818-25184</v>
      </c>
      <c r="N517" s="1" t="s">
        <v>49</v>
      </c>
      <c r="O517" s="6" t="str">
        <f>IF(Table2[[#This Row],[POG CONFIRMATION RECEIPT OF ORDER
(DATE &amp; TIME)]]="","No Confirmation","Received Confirmation")</f>
        <v>Received Confirmation</v>
      </c>
      <c r="P517" s="6">
        <f ca="1">TODAY()-Table2[[#This Row],[DATE SENT TO POG]]</f>
        <v>305</v>
      </c>
      <c r="Q517" s="6" t="s">
        <v>5803</v>
      </c>
      <c r="R5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7" s="2" t="str">
        <f>_xlfn.XLOOKUP(Table2[[#This Row],[Adjusted Form '#]],'[2]IN PROGRESS'!$D:$D,'[2]IN PROGRESS'!$M:$M,"Not Found")</f>
        <v>Not Found</v>
      </c>
      <c r="U517" s="2" t="str">
        <f>_xlfn.XLOOKUP(Table2[[#This Row],[Adjusted Form '#]],[1]COMPLETED!$D:$D,[2]COMPLETED!$M:$M,"Not Found")</f>
        <v>Not Found</v>
      </c>
      <c r="V517" s="17" t="str">
        <f>_xlfn.XLOOKUP(Table2[[#This Row],[Adjusted Form '#]],[2]COMPLETED!$D:$D,[2]COMPLETED!$O:$O,"Not Found")</f>
        <v>Not Found</v>
      </c>
      <c r="W517" s="2" t="str">
        <f>_xlfn.XLOOKUP(Table2[[#This Row],[Adjusted Form '#]],[2]BILLED!$D:$D,[2]BILLED!$M:$M,"Not Found")</f>
        <v>1Z5063E0YW41116642</v>
      </c>
      <c r="X517" s="17" t="e">
        <f>_xlfn.XLOOKUP(Table2[[#This Row],[Adjusted Form '#]],[2]BILLED!$D:$D,[1]BILLED!$O:$O,"Not Found")</f>
        <v>#REF!</v>
      </c>
      <c r="Y517" s="17" t="e">
        <f>_xlfn.XLOOKUP(Table2[[#This Row],[Adjusted Form '#]],'[2]REJECTED ORDERS'!$D:$D,'[2]REJECTED ORDERS'!$E:$E)</f>
        <v>#N/A</v>
      </c>
      <c r="Z517" s="1"/>
      <c r="AA517" s="1"/>
      <c r="AB517" s="8"/>
      <c r="AC517" s="8"/>
      <c r="AD517" s="8"/>
      <c r="AE517" s="8"/>
      <c r="AF517" s="8"/>
      <c r="AG517" s="8"/>
      <c r="AH517" s="8"/>
      <c r="AI517" s="8"/>
      <c r="AJ517" s="8"/>
    </row>
    <row r="518" spans="1:36" ht="15" customHeight="1" x14ac:dyDescent="0.35">
      <c r="A518" s="4" t="s">
        <v>771</v>
      </c>
      <c r="B518" s="1" t="s">
        <v>3344</v>
      </c>
      <c r="C518" s="11">
        <v>44998</v>
      </c>
      <c r="D518" s="11" t="s">
        <v>4713</v>
      </c>
      <c r="E518" s="1" t="s">
        <v>21</v>
      </c>
      <c r="F518" s="1" t="s">
        <v>4716</v>
      </c>
      <c r="G518" s="6">
        <f>COUNTIF(F:F,Table2[[#This Row],[Form '#]])</f>
        <v>1</v>
      </c>
      <c r="H518" s="1" t="s">
        <v>1808</v>
      </c>
      <c r="I518" s="1" t="s">
        <v>3852</v>
      </c>
      <c r="J518" s="1" t="s">
        <v>80</v>
      </c>
      <c r="K518" s="1" t="s">
        <v>3853</v>
      </c>
      <c r="L518" s="1"/>
      <c r="M518" s="6" t="str">
        <f>IF(Table2[[#This Row],[Corrected Form '#
 (If Duplicated)]]="",Table2[[#This Row],[Form '#]],Table2[[#This Row],[Corrected Form '#
 (If Duplicated)]])</f>
        <v>7818-13099</v>
      </c>
      <c r="N518" s="1" t="s">
        <v>49</v>
      </c>
      <c r="O518" s="6" t="str">
        <f>IF(Table2[[#This Row],[POG CONFIRMATION RECEIPT OF ORDER
(DATE &amp; TIME)]]="","No Confirmation","Received Confirmation")</f>
        <v>Received Confirmation</v>
      </c>
      <c r="P518" s="6">
        <f ca="1">TODAY()-Table2[[#This Row],[DATE SENT TO POG]]</f>
        <v>305</v>
      </c>
      <c r="Q518" s="6" t="s">
        <v>5803</v>
      </c>
      <c r="R5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51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518" s="2" t="str">
        <f>_xlfn.XLOOKUP(Table2[[#This Row],[Adjusted Form '#]],'[2]IN PROGRESS'!$D:$D,'[2]IN PROGRESS'!$M:$M,"Not Found")</f>
        <v>Not Found</v>
      </c>
      <c r="U518" s="2" t="str">
        <f>_xlfn.XLOOKUP(Table2[[#This Row],[Adjusted Form '#]],[1]COMPLETED!$D:$D,[2]COMPLETED!$M:$M,"Not Found")</f>
        <v>Not Found</v>
      </c>
      <c r="V518" s="17">
        <f>_xlfn.XLOOKUP(Table2[[#This Row],[Adjusted Form '#]],[2]COMPLETED!$D:$D,[2]COMPLETED!$O:$O,"Not Found")</f>
        <v>0</v>
      </c>
      <c r="W518" s="2" t="str">
        <f>_xlfn.XLOOKUP(Table2[[#This Row],[Adjusted Form '#]],[2]BILLED!$D:$D,[2]BILLED!$M:$M,"Not Found")</f>
        <v>Not Found</v>
      </c>
      <c r="X518" s="17" t="str">
        <f>_xlfn.XLOOKUP(Table2[[#This Row],[Adjusted Form '#]],[2]BILLED!$D:$D,[1]BILLED!$O:$O,"Not Found")</f>
        <v>Not Found</v>
      </c>
      <c r="Y518" s="17" t="str">
        <f>_xlfn.XLOOKUP(Table2[[#This Row],[Adjusted Form '#]],'[2]REJECTED ORDERS'!$D:$D,'[2]REJECTED ORDERS'!$E:$E)</f>
        <v>FORM NOT SIGNED</v>
      </c>
      <c r="Z518" s="1"/>
      <c r="AA518" s="1"/>
      <c r="AB518" s="8"/>
      <c r="AC518" s="8"/>
      <c r="AD518" s="8"/>
      <c r="AE518" s="8"/>
      <c r="AF518" s="8"/>
      <c r="AG518" s="8"/>
      <c r="AH518" s="8"/>
      <c r="AI518" s="8"/>
      <c r="AJ518" s="8"/>
    </row>
    <row r="519" spans="1:36" ht="15" customHeight="1" x14ac:dyDescent="0.35">
      <c r="A519" s="4" t="s">
        <v>773</v>
      </c>
      <c r="B519" s="1" t="s">
        <v>1120</v>
      </c>
      <c r="C519" s="11">
        <v>44998</v>
      </c>
      <c r="D519" s="11" t="s">
        <v>4713</v>
      </c>
      <c r="E519" s="1" t="s">
        <v>191</v>
      </c>
      <c r="F519" s="1" t="s">
        <v>4717</v>
      </c>
      <c r="G519" s="6">
        <f>COUNTIF(F:F,Table2[[#This Row],[Form '#]])</f>
        <v>1</v>
      </c>
      <c r="H519" s="1" t="s">
        <v>4718</v>
      </c>
      <c r="I519" s="1" t="s">
        <v>177</v>
      </c>
      <c r="J519" s="1" t="s">
        <v>3891</v>
      </c>
      <c r="K519" s="1" t="s">
        <v>4011</v>
      </c>
      <c r="L519" s="1"/>
      <c r="M519" s="6" t="str">
        <f>IF(Table2[[#This Row],[Corrected Form '#
 (If Duplicated)]]="",Table2[[#This Row],[Form '#]],Table2[[#This Row],[Corrected Form '#
 (If Duplicated)]])</f>
        <v>7812-3930</v>
      </c>
      <c r="N519" s="1" t="s">
        <v>49</v>
      </c>
      <c r="O519" s="6" t="str">
        <f>IF(Table2[[#This Row],[POG CONFIRMATION RECEIPT OF ORDER
(DATE &amp; TIME)]]="","No Confirmation","Received Confirmation")</f>
        <v>Received Confirmation</v>
      </c>
      <c r="P519" s="6">
        <f ca="1">TODAY()-Table2[[#This Row],[DATE SENT TO POG]]</f>
        <v>305</v>
      </c>
      <c r="Q519" s="6" t="s">
        <v>5803</v>
      </c>
      <c r="R5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19" s="2" t="str">
        <f>_xlfn.XLOOKUP(Table2[[#This Row],[Adjusted Form '#]],'[2]IN PROGRESS'!$D:$D,'[2]IN PROGRESS'!$M:$M,"Not Found")</f>
        <v>Not Found</v>
      </c>
      <c r="U519" s="2" t="str">
        <f>_xlfn.XLOOKUP(Table2[[#This Row],[Adjusted Form '#]],[1]COMPLETED!$D:$D,[2]COMPLETED!$M:$M,"Not Found")</f>
        <v>Not Found</v>
      </c>
      <c r="V519" s="17" t="str">
        <f>_xlfn.XLOOKUP(Table2[[#This Row],[Adjusted Form '#]],[2]COMPLETED!$D:$D,[2]COMPLETED!$O:$O,"Not Found")</f>
        <v>Not Found</v>
      </c>
      <c r="W519" s="2" t="str">
        <f>_xlfn.XLOOKUP(Table2[[#This Row],[Adjusted Form '#]],[2]BILLED!$D:$D,[2]BILLED!$M:$M,"Not Found")</f>
        <v>1Z5063E0YW40433337</v>
      </c>
      <c r="X519" s="17" t="e">
        <f>_xlfn.XLOOKUP(Table2[[#This Row],[Adjusted Form '#]],[2]BILLED!$D:$D,[1]BILLED!$O:$O,"Not Found")</f>
        <v>#REF!</v>
      </c>
      <c r="Y519" s="17" t="e">
        <f>_xlfn.XLOOKUP(Table2[[#This Row],[Adjusted Form '#]],'[2]REJECTED ORDERS'!$D:$D,'[2]REJECTED ORDERS'!$E:$E)</f>
        <v>#N/A</v>
      </c>
      <c r="Z519" s="1"/>
      <c r="AA519" s="1"/>
      <c r="AB519" s="8"/>
      <c r="AC519" s="8"/>
      <c r="AD519" s="8"/>
      <c r="AE519" s="8"/>
      <c r="AF519" s="8"/>
      <c r="AG519" s="8"/>
      <c r="AH519" s="8"/>
      <c r="AI519" s="8"/>
      <c r="AJ519" s="8"/>
    </row>
    <row r="520" spans="1:36" ht="15" customHeight="1" x14ac:dyDescent="0.35">
      <c r="A520" s="4" t="s">
        <v>776</v>
      </c>
      <c r="B520" s="1" t="s">
        <v>1120</v>
      </c>
      <c r="C520" s="11">
        <v>44998</v>
      </c>
      <c r="D520" s="11" t="s">
        <v>4713</v>
      </c>
      <c r="E520" s="1" t="s">
        <v>191</v>
      </c>
      <c r="F520" s="1" t="s">
        <v>4719</v>
      </c>
      <c r="G520" s="6">
        <f>COUNTIF(F:F,Table2[[#This Row],[Form '#]])</f>
        <v>1</v>
      </c>
      <c r="H520" s="1" t="s">
        <v>4720</v>
      </c>
      <c r="I520" s="1" t="s">
        <v>127</v>
      </c>
      <c r="J520" s="1" t="s">
        <v>74</v>
      </c>
      <c r="K520" s="1" t="s">
        <v>4011</v>
      </c>
      <c r="L520" s="1"/>
      <c r="M520" s="6" t="str">
        <f>IF(Table2[[#This Row],[Corrected Form '#
 (If Duplicated)]]="",Table2[[#This Row],[Form '#]],Table2[[#This Row],[Corrected Form '#
 (If Duplicated)]])</f>
        <v>7812-02080</v>
      </c>
      <c r="N520" s="1" t="s">
        <v>49</v>
      </c>
      <c r="O520" s="6" t="str">
        <f>IF(Table2[[#This Row],[POG CONFIRMATION RECEIPT OF ORDER
(DATE &amp; TIME)]]="","No Confirmation","Received Confirmation")</f>
        <v>Received Confirmation</v>
      </c>
      <c r="P520" s="6">
        <f ca="1">TODAY()-Table2[[#This Row],[DATE SENT TO POG]]</f>
        <v>305</v>
      </c>
      <c r="Q520" s="6" t="s">
        <v>5803</v>
      </c>
      <c r="R5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0" s="2" t="str">
        <f>_xlfn.XLOOKUP(Table2[[#This Row],[Adjusted Form '#]],'[2]IN PROGRESS'!$D:$D,'[2]IN PROGRESS'!$M:$M,"Not Found")</f>
        <v>Not Found</v>
      </c>
      <c r="U520" s="2" t="str">
        <f>_xlfn.XLOOKUP(Table2[[#This Row],[Adjusted Form '#]],[1]COMPLETED!$D:$D,[2]COMPLETED!$M:$M,"Not Found")</f>
        <v>Not Found</v>
      </c>
      <c r="V520" s="17" t="str">
        <f>_xlfn.XLOOKUP(Table2[[#This Row],[Adjusted Form '#]],[2]COMPLETED!$D:$D,[2]COMPLETED!$O:$O,"Not Found")</f>
        <v>Not Found</v>
      </c>
      <c r="W520" s="2" t="str">
        <f>_xlfn.XLOOKUP(Table2[[#This Row],[Adjusted Form '#]],[2]BILLED!$D:$D,[2]BILLED!$M:$M,"Not Found")</f>
        <v>1Z5063E0YW41382962</v>
      </c>
      <c r="X520" s="17" t="e">
        <f>_xlfn.XLOOKUP(Table2[[#This Row],[Adjusted Form '#]],[2]BILLED!$D:$D,[1]BILLED!$O:$O,"Not Found")</f>
        <v>#REF!</v>
      </c>
      <c r="Y520" s="17" t="e">
        <f>_xlfn.XLOOKUP(Table2[[#This Row],[Adjusted Form '#]],'[2]REJECTED ORDERS'!$D:$D,'[2]REJECTED ORDERS'!$E:$E)</f>
        <v>#N/A</v>
      </c>
      <c r="Z520" s="1"/>
      <c r="AA520" s="1"/>
      <c r="AB520" s="8"/>
      <c r="AC520" s="8"/>
      <c r="AD520" s="8"/>
      <c r="AE520" s="8"/>
      <c r="AF520" s="8"/>
      <c r="AG520" s="8"/>
      <c r="AH520" s="8"/>
      <c r="AI520" s="8"/>
      <c r="AJ520" s="8"/>
    </row>
    <row r="521" spans="1:36" ht="15" customHeight="1" x14ac:dyDescent="0.35">
      <c r="A521" s="4" t="s">
        <v>779</v>
      </c>
      <c r="B521" s="1" t="s">
        <v>568</v>
      </c>
      <c r="C521" s="11">
        <v>44998</v>
      </c>
      <c r="D521" s="11" t="s">
        <v>4713</v>
      </c>
      <c r="E521" s="1" t="s">
        <v>21</v>
      </c>
      <c r="F521" s="1" t="s">
        <v>4721</v>
      </c>
      <c r="G521" s="6">
        <f>COUNTIF(F:F,Table2[[#This Row],[Form '#]])</f>
        <v>1</v>
      </c>
      <c r="H521" s="1" t="s">
        <v>56</v>
      </c>
      <c r="I521" s="1" t="s">
        <v>127</v>
      </c>
      <c r="J521" s="1" t="s">
        <v>76</v>
      </c>
      <c r="K521" s="1" t="s">
        <v>3883</v>
      </c>
      <c r="L521" s="1"/>
      <c r="M521" s="6" t="str">
        <f>IF(Table2[[#This Row],[Corrected Form '#
 (If Duplicated)]]="",Table2[[#This Row],[Form '#]],Table2[[#This Row],[Corrected Form '#
 (If Duplicated)]])</f>
        <v>7818-14946</v>
      </c>
      <c r="N521" s="1" t="s">
        <v>49</v>
      </c>
      <c r="O521" s="6" t="str">
        <f>IF(Table2[[#This Row],[POG CONFIRMATION RECEIPT OF ORDER
(DATE &amp; TIME)]]="","No Confirmation","Received Confirmation")</f>
        <v>Received Confirmation</v>
      </c>
      <c r="P521" s="6">
        <f ca="1">TODAY()-Table2[[#This Row],[DATE SENT TO POG]]</f>
        <v>305</v>
      </c>
      <c r="Q521" s="6" t="s">
        <v>5803</v>
      </c>
      <c r="R5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1" s="2" t="str">
        <f>_xlfn.XLOOKUP(Table2[[#This Row],[Adjusted Form '#]],'[2]IN PROGRESS'!$D:$D,'[2]IN PROGRESS'!$M:$M,"Not Found")</f>
        <v>Not Found</v>
      </c>
      <c r="U521" s="2" t="str">
        <f>_xlfn.XLOOKUP(Table2[[#This Row],[Adjusted Form '#]],[1]COMPLETED!$D:$D,[2]COMPLETED!$M:$M,"Not Found")</f>
        <v>Not Found</v>
      </c>
      <c r="V521" s="17" t="str">
        <f>_xlfn.XLOOKUP(Table2[[#This Row],[Adjusted Form '#]],[2]COMPLETED!$D:$D,[2]COMPLETED!$O:$O,"Not Found")</f>
        <v>Not Found</v>
      </c>
      <c r="W521" s="2" t="str">
        <f>_xlfn.XLOOKUP(Table2[[#This Row],[Adjusted Form '#]],[2]BILLED!$D:$D,[2]BILLED!$M:$M,"Not Found")</f>
        <v>1Z5063E0YW40099486</v>
      </c>
      <c r="X521" s="17" t="e">
        <f>_xlfn.XLOOKUP(Table2[[#This Row],[Adjusted Form '#]],[2]BILLED!$D:$D,[1]BILLED!$O:$O,"Not Found")</f>
        <v>#REF!</v>
      </c>
      <c r="Y521" s="17" t="e">
        <f>_xlfn.XLOOKUP(Table2[[#This Row],[Adjusted Form '#]],'[2]REJECTED ORDERS'!$D:$D,'[2]REJECTED ORDERS'!$E:$E)</f>
        <v>#N/A</v>
      </c>
      <c r="Z521" s="1"/>
      <c r="AA521" s="1"/>
      <c r="AB521" s="8"/>
      <c r="AC521" s="8"/>
      <c r="AD521" s="8"/>
      <c r="AE521" s="8"/>
      <c r="AF521" s="8"/>
      <c r="AG521" s="8"/>
      <c r="AH521" s="8"/>
      <c r="AI521" s="8"/>
      <c r="AJ521" s="8"/>
    </row>
    <row r="522" spans="1:36" ht="15" customHeight="1" x14ac:dyDescent="0.35">
      <c r="A522" s="4" t="s">
        <v>782</v>
      </c>
      <c r="B522" s="1" t="s">
        <v>568</v>
      </c>
      <c r="C522" s="11">
        <v>44998</v>
      </c>
      <c r="D522" s="11" t="s">
        <v>4713</v>
      </c>
      <c r="E522" s="1" t="s">
        <v>21</v>
      </c>
      <c r="F522" s="1" t="s">
        <v>4722</v>
      </c>
      <c r="G522" s="6">
        <f>COUNTIF(F:F,Table2[[#This Row],[Form '#]])</f>
        <v>1</v>
      </c>
      <c r="H522" s="1" t="s">
        <v>714</v>
      </c>
      <c r="I522" s="1" t="s">
        <v>127</v>
      </c>
      <c r="J522" s="1" t="s">
        <v>76</v>
      </c>
      <c r="K522" s="1" t="s">
        <v>4011</v>
      </c>
      <c r="L522" s="1"/>
      <c r="M522" s="6" t="str">
        <f>IF(Table2[[#This Row],[Corrected Form '#
 (If Duplicated)]]="",Table2[[#This Row],[Form '#]],Table2[[#This Row],[Corrected Form '#
 (If Duplicated)]])</f>
        <v>7818-16914</v>
      </c>
      <c r="N522" s="1" t="s">
        <v>49</v>
      </c>
      <c r="O522" s="6" t="str">
        <f>IF(Table2[[#This Row],[POG CONFIRMATION RECEIPT OF ORDER
(DATE &amp; TIME)]]="","No Confirmation","Received Confirmation")</f>
        <v>Received Confirmation</v>
      </c>
      <c r="P522" s="6">
        <f ca="1">TODAY()-Table2[[#This Row],[DATE SENT TO POG]]</f>
        <v>305</v>
      </c>
      <c r="Q522" s="6" t="s">
        <v>5803</v>
      </c>
      <c r="R5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2" s="2" t="str">
        <f>_xlfn.XLOOKUP(Table2[[#This Row],[Adjusted Form '#]],'[2]IN PROGRESS'!$D:$D,'[2]IN PROGRESS'!$M:$M,"Not Found")</f>
        <v>Not Found</v>
      </c>
      <c r="U522" s="2" t="str">
        <f>_xlfn.XLOOKUP(Table2[[#This Row],[Adjusted Form '#]],[1]COMPLETED!$D:$D,[2]COMPLETED!$M:$M,"Not Found")</f>
        <v>Not Found</v>
      </c>
      <c r="V522" s="17" t="str">
        <f>_xlfn.XLOOKUP(Table2[[#This Row],[Adjusted Form '#]],[2]COMPLETED!$D:$D,[2]COMPLETED!$O:$O,"Not Found")</f>
        <v>Not Found</v>
      </c>
      <c r="W522" s="2" t="str">
        <f>_xlfn.XLOOKUP(Table2[[#This Row],[Adjusted Form '#]],[2]BILLED!$D:$D,[2]BILLED!$M:$M,"Not Found")</f>
        <v>1Z5063E0YW42015124</v>
      </c>
      <c r="X522" s="17" t="e">
        <f>_xlfn.XLOOKUP(Table2[[#This Row],[Adjusted Form '#]],[2]BILLED!$D:$D,[1]BILLED!$O:$O,"Not Found")</f>
        <v>#REF!</v>
      </c>
      <c r="Y522" s="17" t="e">
        <f>_xlfn.XLOOKUP(Table2[[#This Row],[Adjusted Form '#]],'[2]REJECTED ORDERS'!$D:$D,'[2]REJECTED ORDERS'!$E:$E)</f>
        <v>#N/A</v>
      </c>
      <c r="Z522" s="1"/>
      <c r="AA522" s="1"/>
      <c r="AB522" s="8"/>
      <c r="AC522" s="8"/>
      <c r="AD522" s="8"/>
      <c r="AE522" s="8"/>
      <c r="AF522" s="8"/>
      <c r="AG522" s="8"/>
      <c r="AH522" s="8"/>
      <c r="AI522" s="8"/>
      <c r="AJ522" s="8"/>
    </row>
    <row r="523" spans="1:36" ht="15" customHeight="1" x14ac:dyDescent="0.35">
      <c r="A523" s="4" t="s">
        <v>783</v>
      </c>
      <c r="B523" s="1" t="s">
        <v>265</v>
      </c>
      <c r="C523" s="11">
        <v>44999</v>
      </c>
      <c r="D523" s="11" t="s">
        <v>4723</v>
      </c>
      <c r="E523" s="1" t="s">
        <v>21</v>
      </c>
      <c r="F523" s="1" t="s">
        <v>4724</v>
      </c>
      <c r="G523" s="6">
        <f>COUNTIF(F:F,Table2[[#This Row],[Form '#]])</f>
        <v>1</v>
      </c>
      <c r="H523" s="1" t="s">
        <v>1822</v>
      </c>
      <c r="I523" s="1" t="s">
        <v>758</v>
      </c>
      <c r="J523" s="1" t="s">
        <v>78</v>
      </c>
      <c r="K523" s="1" t="s">
        <v>3853</v>
      </c>
      <c r="L523" s="1"/>
      <c r="M523" s="6" t="str">
        <f>IF(Table2[[#This Row],[Corrected Form '#
 (If Duplicated)]]="",Table2[[#This Row],[Form '#]],Table2[[#This Row],[Corrected Form '#
 (If Duplicated)]])</f>
        <v>7818-25733</v>
      </c>
      <c r="N523" s="1" t="s">
        <v>49</v>
      </c>
      <c r="O523" s="6" t="str">
        <f>IF(Table2[[#This Row],[POG CONFIRMATION RECEIPT OF ORDER
(DATE &amp; TIME)]]="","No Confirmation","Received Confirmation")</f>
        <v>Received Confirmation</v>
      </c>
      <c r="P523" s="6">
        <f ca="1">TODAY()-Table2[[#This Row],[DATE SENT TO POG]]</f>
        <v>304</v>
      </c>
      <c r="Q523" s="6" t="s">
        <v>5803</v>
      </c>
      <c r="R5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3" s="2" t="str">
        <f>_xlfn.XLOOKUP(Table2[[#This Row],[Adjusted Form '#]],'[2]IN PROGRESS'!$D:$D,'[2]IN PROGRESS'!$M:$M,"Not Found")</f>
        <v>Not Found</v>
      </c>
      <c r="U523" s="2" t="str">
        <f>_xlfn.XLOOKUP(Table2[[#This Row],[Adjusted Form '#]],[1]COMPLETED!$D:$D,[2]COMPLETED!$M:$M,"Not Found")</f>
        <v>Not Found</v>
      </c>
      <c r="V523" s="17" t="str">
        <f>_xlfn.XLOOKUP(Table2[[#This Row],[Adjusted Form '#]],[2]COMPLETED!$D:$D,[2]COMPLETED!$O:$O,"Not Found")</f>
        <v>Not Found</v>
      </c>
      <c r="W523" s="2" t="str">
        <f>_xlfn.XLOOKUP(Table2[[#This Row],[Adjusted Form '#]],[2]BILLED!$D:$D,[2]BILLED!$M:$M,"Not Found")</f>
        <v>1Z5063E0YW41531087</v>
      </c>
      <c r="X523" s="17" t="e">
        <f>_xlfn.XLOOKUP(Table2[[#This Row],[Adjusted Form '#]],[2]BILLED!$D:$D,[1]BILLED!$O:$O,"Not Found")</f>
        <v>#REF!</v>
      </c>
      <c r="Y523" s="17" t="e">
        <f>_xlfn.XLOOKUP(Table2[[#This Row],[Adjusted Form '#]],'[2]REJECTED ORDERS'!$D:$D,'[2]REJECTED ORDERS'!$E:$E)</f>
        <v>#N/A</v>
      </c>
      <c r="Z523" s="1"/>
      <c r="AA523" s="1"/>
      <c r="AB523" s="8"/>
      <c r="AC523" s="8"/>
      <c r="AD523" s="8"/>
      <c r="AE523" s="8"/>
      <c r="AF523" s="8"/>
      <c r="AG523" s="8"/>
      <c r="AH523" s="8"/>
      <c r="AI523" s="8"/>
      <c r="AJ523" s="8"/>
    </row>
    <row r="524" spans="1:36" ht="15" customHeight="1" x14ac:dyDescent="0.35">
      <c r="A524" s="4" t="s">
        <v>785</v>
      </c>
      <c r="B524" s="1" t="s">
        <v>265</v>
      </c>
      <c r="C524" s="11">
        <v>44999</v>
      </c>
      <c r="D524" s="11" t="s">
        <v>4723</v>
      </c>
      <c r="E524" s="1" t="s">
        <v>21</v>
      </c>
      <c r="F524" s="1" t="s">
        <v>4725</v>
      </c>
      <c r="G524" s="6">
        <f>COUNTIF(F:F,Table2[[#This Row],[Form '#]])</f>
        <v>1</v>
      </c>
      <c r="H524" s="1" t="s">
        <v>4726</v>
      </c>
      <c r="I524" s="1" t="s">
        <v>758</v>
      </c>
      <c r="J524" s="1" t="s">
        <v>78</v>
      </c>
      <c r="K524" s="1" t="s">
        <v>3853</v>
      </c>
      <c r="L524" s="1"/>
      <c r="M524" s="6" t="str">
        <f>IF(Table2[[#This Row],[Corrected Form '#
 (If Duplicated)]]="",Table2[[#This Row],[Form '#]],Table2[[#This Row],[Corrected Form '#
 (If Duplicated)]])</f>
        <v>7818-21886</v>
      </c>
      <c r="N524" s="1" t="s">
        <v>49</v>
      </c>
      <c r="O524" s="6" t="str">
        <f>IF(Table2[[#This Row],[POG CONFIRMATION RECEIPT OF ORDER
(DATE &amp; TIME)]]="","No Confirmation","Received Confirmation")</f>
        <v>Received Confirmation</v>
      </c>
      <c r="P524" s="6">
        <f ca="1">TODAY()-Table2[[#This Row],[DATE SENT TO POG]]</f>
        <v>304</v>
      </c>
      <c r="Q524" s="6" t="s">
        <v>5803</v>
      </c>
      <c r="R5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4" s="2" t="str">
        <f>_xlfn.XLOOKUP(Table2[[#This Row],[Adjusted Form '#]],'[2]IN PROGRESS'!$D:$D,'[2]IN PROGRESS'!$M:$M,"Not Found")</f>
        <v>Not Found</v>
      </c>
      <c r="U524" s="2" t="str">
        <f>_xlfn.XLOOKUP(Table2[[#This Row],[Adjusted Form '#]],[1]COMPLETED!$D:$D,[2]COMPLETED!$M:$M,"Not Found")</f>
        <v>Not Found</v>
      </c>
      <c r="V524" s="17" t="str">
        <f>_xlfn.XLOOKUP(Table2[[#This Row],[Adjusted Form '#]],[2]COMPLETED!$D:$D,[2]COMPLETED!$O:$O,"Not Found")</f>
        <v>Not Found</v>
      </c>
      <c r="W524" s="2" t="str">
        <f>_xlfn.XLOOKUP(Table2[[#This Row],[Adjusted Form '#]],[2]BILLED!$D:$D,[2]BILLED!$M:$M,"Not Found")</f>
        <v>1Z5063E0YW42484494</v>
      </c>
      <c r="X524" s="17" t="e">
        <f>_xlfn.XLOOKUP(Table2[[#This Row],[Adjusted Form '#]],[2]BILLED!$D:$D,[1]BILLED!$O:$O,"Not Found")</f>
        <v>#REF!</v>
      </c>
      <c r="Y524" s="17" t="e">
        <f>_xlfn.XLOOKUP(Table2[[#This Row],[Adjusted Form '#]],'[2]REJECTED ORDERS'!$D:$D,'[2]REJECTED ORDERS'!$E:$E)</f>
        <v>#N/A</v>
      </c>
      <c r="Z524" s="1"/>
      <c r="AA524" s="1"/>
      <c r="AB524" s="8"/>
      <c r="AC524" s="8"/>
      <c r="AD524" s="8"/>
      <c r="AE524" s="8"/>
      <c r="AF524" s="8"/>
      <c r="AG524" s="8"/>
      <c r="AH524" s="8"/>
      <c r="AI524" s="8"/>
      <c r="AJ524" s="8"/>
    </row>
    <row r="525" spans="1:36" ht="15" customHeight="1" x14ac:dyDescent="0.35">
      <c r="A525" s="4" t="s">
        <v>786</v>
      </c>
      <c r="B525" s="1" t="s">
        <v>719</v>
      </c>
      <c r="C525" s="11">
        <v>45000</v>
      </c>
      <c r="D525" s="11" t="s">
        <v>4723</v>
      </c>
      <c r="E525" s="1" t="s">
        <v>21</v>
      </c>
      <c r="F525" s="1" t="s">
        <v>4727</v>
      </c>
      <c r="G525" s="6">
        <f>COUNTIF(F:F,Table2[[#This Row],[Form '#]])</f>
        <v>1</v>
      </c>
      <c r="H525" s="1" t="s">
        <v>2484</v>
      </c>
      <c r="I525" s="1" t="s">
        <v>127</v>
      </c>
      <c r="J525" s="1" t="s">
        <v>74</v>
      </c>
      <c r="K525" s="1" t="s">
        <v>4011</v>
      </c>
      <c r="L525" s="1"/>
      <c r="M525" s="6" t="str">
        <f>IF(Table2[[#This Row],[Corrected Form '#
 (If Duplicated)]]="",Table2[[#This Row],[Form '#]],Table2[[#This Row],[Corrected Form '#
 (If Duplicated)]])</f>
        <v>7818-06526</v>
      </c>
      <c r="N525" s="1" t="s">
        <v>49</v>
      </c>
      <c r="O525" s="6" t="str">
        <f>IF(Table2[[#This Row],[POG CONFIRMATION RECEIPT OF ORDER
(DATE &amp; TIME)]]="","No Confirmation","Received Confirmation")</f>
        <v>Received Confirmation</v>
      </c>
      <c r="P525" s="6">
        <f ca="1">TODAY()-Table2[[#This Row],[DATE SENT TO POG]]</f>
        <v>303</v>
      </c>
      <c r="Q525" s="6" t="s">
        <v>5803</v>
      </c>
      <c r="R5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5" s="2" t="str">
        <f>_xlfn.XLOOKUP(Table2[[#This Row],[Adjusted Form '#]],'[2]IN PROGRESS'!$D:$D,'[2]IN PROGRESS'!$M:$M,"Not Found")</f>
        <v>Not Found</v>
      </c>
      <c r="U525" s="2" t="str">
        <f>_xlfn.XLOOKUP(Table2[[#This Row],[Adjusted Form '#]],[1]COMPLETED!$D:$D,[2]COMPLETED!$M:$M,"Not Found")</f>
        <v>Not Found</v>
      </c>
      <c r="V525" s="17" t="str">
        <f>_xlfn.XLOOKUP(Table2[[#This Row],[Adjusted Form '#]],[2]COMPLETED!$D:$D,[2]COMPLETED!$O:$O,"Not Found")</f>
        <v>Not Found</v>
      </c>
      <c r="W525" s="2" t="str">
        <f>_xlfn.XLOOKUP(Table2[[#This Row],[Adjusted Form '#]],[2]BILLED!$D:$D,[2]BILLED!$M:$M,"Not Found")</f>
        <v>1Z5063E0YW42813913</v>
      </c>
      <c r="X525" s="17" t="e">
        <f>_xlfn.XLOOKUP(Table2[[#This Row],[Adjusted Form '#]],[2]BILLED!$D:$D,[1]BILLED!$O:$O,"Not Found")</f>
        <v>#REF!</v>
      </c>
      <c r="Y525" s="17" t="e">
        <f>_xlfn.XLOOKUP(Table2[[#This Row],[Adjusted Form '#]],'[2]REJECTED ORDERS'!$D:$D,'[2]REJECTED ORDERS'!$E:$E)</f>
        <v>#N/A</v>
      </c>
      <c r="Z525" s="1"/>
      <c r="AA525" s="1"/>
      <c r="AB525" s="8"/>
      <c r="AC525" s="8"/>
      <c r="AD525" s="8"/>
      <c r="AE525" s="8"/>
      <c r="AF525" s="8"/>
      <c r="AG525" s="8"/>
      <c r="AH525" s="8"/>
      <c r="AI525" s="8"/>
      <c r="AJ525" s="8"/>
    </row>
    <row r="526" spans="1:36" ht="15" customHeight="1" x14ac:dyDescent="0.35">
      <c r="A526" s="4" t="s">
        <v>787</v>
      </c>
      <c r="B526" s="1" t="s">
        <v>1289</v>
      </c>
      <c r="C526" s="11">
        <v>45000</v>
      </c>
      <c r="D526" s="11" t="s">
        <v>4723</v>
      </c>
      <c r="E526" s="1" t="s">
        <v>73</v>
      </c>
      <c r="F526" s="1" t="s">
        <v>4728</v>
      </c>
      <c r="G526" s="6">
        <f>COUNTIF(F:F,Table2[[#This Row],[Form '#]])</f>
        <v>1</v>
      </c>
      <c r="H526" s="1" t="s">
        <v>2683</v>
      </c>
      <c r="I526" s="1" t="s">
        <v>106</v>
      </c>
      <c r="J526" s="1" t="s">
        <v>72</v>
      </c>
      <c r="K526" s="1" t="s">
        <v>4530</v>
      </c>
      <c r="L526" s="1"/>
      <c r="M526" s="6" t="str">
        <f>IF(Table2[[#This Row],[Corrected Form '#
 (If Duplicated)]]="",Table2[[#This Row],[Form '#]],Table2[[#This Row],[Corrected Form '#
 (If Duplicated)]])</f>
        <v>7823-02279</v>
      </c>
      <c r="N526" s="1" t="s">
        <v>49</v>
      </c>
      <c r="O526" s="6" t="str">
        <f>IF(Table2[[#This Row],[POG CONFIRMATION RECEIPT OF ORDER
(DATE &amp; TIME)]]="","No Confirmation","Received Confirmation")</f>
        <v>Received Confirmation</v>
      </c>
      <c r="P526" s="6">
        <f ca="1">TODAY()-Table2[[#This Row],[DATE SENT TO POG]]</f>
        <v>303</v>
      </c>
      <c r="Q526" s="6" t="s">
        <v>5803</v>
      </c>
      <c r="R5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6" s="2" t="str">
        <f>_xlfn.XLOOKUP(Table2[[#This Row],[Adjusted Form '#]],'[2]IN PROGRESS'!$D:$D,'[2]IN PROGRESS'!$M:$M,"Not Found")</f>
        <v>Not Found</v>
      </c>
      <c r="U526" s="2" t="str">
        <f>_xlfn.XLOOKUP(Table2[[#This Row],[Adjusted Form '#]],[1]COMPLETED!$D:$D,[2]COMPLETED!$M:$M,"Not Found")</f>
        <v>Not Found</v>
      </c>
      <c r="V526" s="17" t="str">
        <f>_xlfn.XLOOKUP(Table2[[#This Row],[Adjusted Form '#]],[2]COMPLETED!$D:$D,[2]COMPLETED!$O:$O,"Not Found")</f>
        <v>Not Found</v>
      </c>
      <c r="W526" s="2" t="str">
        <f>_xlfn.XLOOKUP(Table2[[#This Row],[Adjusted Form '#]],[2]BILLED!$D:$D,[2]BILLED!$M:$M,"Not Found")</f>
        <v>9402 1112 0620 7754 6779 28</v>
      </c>
      <c r="X526" s="17" t="e">
        <f>_xlfn.XLOOKUP(Table2[[#This Row],[Adjusted Form '#]],[2]BILLED!$D:$D,[1]BILLED!$O:$O,"Not Found")</f>
        <v>#REF!</v>
      </c>
      <c r="Y526" s="17" t="e">
        <f>_xlfn.XLOOKUP(Table2[[#This Row],[Adjusted Form '#]],'[2]REJECTED ORDERS'!$D:$D,'[2]REJECTED ORDERS'!$E:$E)</f>
        <v>#N/A</v>
      </c>
      <c r="Z526" s="1"/>
      <c r="AA526" s="1"/>
      <c r="AB526" s="8"/>
      <c r="AC526" s="8"/>
      <c r="AD526" s="8"/>
      <c r="AE526" s="8"/>
      <c r="AF526" s="8"/>
      <c r="AG526" s="8"/>
      <c r="AH526" s="8"/>
      <c r="AI526" s="8"/>
      <c r="AJ526" s="8"/>
    </row>
    <row r="527" spans="1:36" ht="15" customHeight="1" x14ac:dyDescent="0.35">
      <c r="A527" s="4" t="s">
        <v>788</v>
      </c>
      <c r="B527" s="1" t="s">
        <v>1041</v>
      </c>
      <c r="C527" s="11">
        <v>45000</v>
      </c>
      <c r="D527" s="11" t="s">
        <v>4729</v>
      </c>
      <c r="E527" s="1" t="s">
        <v>21</v>
      </c>
      <c r="F527" s="1" t="s">
        <v>4730</v>
      </c>
      <c r="G527" s="6">
        <f>COUNTIF(F:F,Table2[[#This Row],[Form '#]])</f>
        <v>1</v>
      </c>
      <c r="H527" s="1" t="s">
        <v>3444</v>
      </c>
      <c r="I527" s="1" t="s">
        <v>3864</v>
      </c>
      <c r="J527" s="1" t="s">
        <v>3891</v>
      </c>
      <c r="K527" s="1" t="s">
        <v>3879</v>
      </c>
      <c r="L527" s="1"/>
      <c r="M527" s="6" t="str">
        <f>IF(Table2[[#This Row],[Corrected Form '#
 (If Duplicated)]]="",Table2[[#This Row],[Form '#]],Table2[[#This Row],[Corrected Form '#
 (If Duplicated)]])</f>
        <v>7818-27130</v>
      </c>
      <c r="N527" s="1" t="s">
        <v>49</v>
      </c>
      <c r="O527" s="6" t="str">
        <f>IF(Table2[[#This Row],[POG CONFIRMATION RECEIPT OF ORDER
(DATE &amp; TIME)]]="","No Confirmation","Received Confirmation")</f>
        <v>Received Confirmation</v>
      </c>
      <c r="P527" s="6">
        <f ca="1">TODAY()-Table2[[#This Row],[DATE SENT TO POG]]</f>
        <v>303</v>
      </c>
      <c r="Q527" s="6" t="s">
        <v>5803</v>
      </c>
      <c r="R5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7" s="2" t="str">
        <f>_xlfn.XLOOKUP(Table2[[#This Row],[Adjusted Form '#]],'[2]IN PROGRESS'!$D:$D,'[2]IN PROGRESS'!$M:$M,"Not Found")</f>
        <v>Not Found</v>
      </c>
      <c r="U527" s="2" t="str">
        <f>_xlfn.XLOOKUP(Table2[[#This Row],[Adjusted Form '#]],[1]COMPLETED!$D:$D,[2]COMPLETED!$M:$M,"Not Found")</f>
        <v>Not Found</v>
      </c>
      <c r="V527" s="17" t="str">
        <f>_xlfn.XLOOKUP(Table2[[#This Row],[Adjusted Form '#]],[2]COMPLETED!$D:$D,[2]COMPLETED!$O:$O,"Not Found")</f>
        <v>Not Found</v>
      </c>
      <c r="W527" s="2" t="str">
        <f>_xlfn.XLOOKUP(Table2[[#This Row],[Adjusted Form '#]],[2]BILLED!$D:$D,[2]BILLED!$M:$M,"Not Found")</f>
        <v>1Z5063E0YW41757709</v>
      </c>
      <c r="X527" s="17" t="e">
        <f>_xlfn.XLOOKUP(Table2[[#This Row],[Adjusted Form '#]],[2]BILLED!$D:$D,[1]BILLED!$O:$O,"Not Found")</f>
        <v>#REF!</v>
      </c>
      <c r="Y527" s="17" t="e">
        <f>_xlfn.XLOOKUP(Table2[[#This Row],[Adjusted Form '#]],'[2]REJECTED ORDERS'!$D:$D,'[2]REJECTED ORDERS'!$E:$E)</f>
        <v>#N/A</v>
      </c>
      <c r="Z527" s="1"/>
      <c r="AA527" s="1"/>
      <c r="AB527" s="8"/>
      <c r="AC527" s="8"/>
      <c r="AD527" s="8"/>
      <c r="AE527" s="8"/>
      <c r="AF527" s="8"/>
      <c r="AG527" s="8"/>
      <c r="AH527" s="8"/>
      <c r="AI527" s="8"/>
      <c r="AJ527" s="8"/>
    </row>
    <row r="528" spans="1:36" ht="15" customHeight="1" x14ac:dyDescent="0.35">
      <c r="A528" s="4" t="s">
        <v>790</v>
      </c>
      <c r="B528" s="1" t="s">
        <v>3483</v>
      </c>
      <c r="C528" s="11">
        <v>45000</v>
      </c>
      <c r="D528" s="11" t="s">
        <v>4729</v>
      </c>
      <c r="E528" s="1" t="s">
        <v>191</v>
      </c>
      <c r="F528" s="1" t="s">
        <v>4731</v>
      </c>
      <c r="G528" s="6">
        <f>COUNTIF(F:F,Table2[[#This Row],[Form '#]])</f>
        <v>2</v>
      </c>
      <c r="H528" s="1" t="s">
        <v>4732</v>
      </c>
      <c r="I528" s="1" t="s">
        <v>127</v>
      </c>
      <c r="J528" s="1" t="s">
        <v>74</v>
      </c>
      <c r="K528" s="1" t="s">
        <v>4011</v>
      </c>
      <c r="L528" s="1"/>
      <c r="M528" s="6" t="str">
        <f>IF(Table2[[#This Row],[Corrected Form '#
 (If Duplicated)]]="",Table2[[#This Row],[Form '#]],Table2[[#This Row],[Corrected Form '#
 (If Duplicated)]])</f>
        <v>7812-3663</v>
      </c>
      <c r="N528" s="1" t="s">
        <v>49</v>
      </c>
      <c r="O528" s="6" t="str">
        <f>IF(Table2[[#This Row],[POG CONFIRMATION RECEIPT OF ORDER
(DATE &amp; TIME)]]="","No Confirmation","Received Confirmation")</f>
        <v>Received Confirmation</v>
      </c>
      <c r="P528" s="6">
        <f ca="1">TODAY()-Table2[[#This Row],[DATE SENT TO POG]]</f>
        <v>303</v>
      </c>
      <c r="Q528" s="6" t="s">
        <v>5803</v>
      </c>
      <c r="R5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8" s="2" t="str">
        <f>_xlfn.XLOOKUP(Table2[[#This Row],[Adjusted Form '#]],'[2]IN PROGRESS'!$D:$D,'[2]IN PROGRESS'!$M:$M,"Not Found")</f>
        <v>Not Found</v>
      </c>
      <c r="U528" s="2" t="str">
        <f>_xlfn.XLOOKUP(Table2[[#This Row],[Adjusted Form '#]],[1]COMPLETED!$D:$D,[2]COMPLETED!$M:$M,"Not Found")</f>
        <v>Not Found</v>
      </c>
      <c r="V528" s="17" t="str">
        <f>_xlfn.XLOOKUP(Table2[[#This Row],[Adjusted Form '#]],[2]COMPLETED!$D:$D,[2]COMPLETED!$O:$O,"Not Found")</f>
        <v>Not Found</v>
      </c>
      <c r="W528" s="2" t="str">
        <f>_xlfn.XLOOKUP(Table2[[#This Row],[Adjusted Form '#]],[2]BILLED!$D:$D,[2]BILLED!$M:$M,"Not Found")</f>
        <v>1Z5063E0YW40688572</v>
      </c>
      <c r="X528" s="17" t="e">
        <f>_xlfn.XLOOKUP(Table2[[#This Row],[Adjusted Form '#]],[2]BILLED!$D:$D,[1]BILLED!$O:$O,"Not Found")</f>
        <v>#REF!</v>
      </c>
      <c r="Y528" s="17" t="e">
        <f>_xlfn.XLOOKUP(Table2[[#This Row],[Adjusted Form '#]],'[2]REJECTED ORDERS'!$D:$D,'[2]REJECTED ORDERS'!$E:$E)</f>
        <v>#N/A</v>
      </c>
      <c r="Z528" s="1"/>
      <c r="AA528" s="1"/>
      <c r="AB528" s="8"/>
      <c r="AC528" s="8"/>
      <c r="AD528" s="8"/>
      <c r="AE528" s="8"/>
      <c r="AF528" s="8"/>
      <c r="AG528" s="8"/>
      <c r="AH528" s="8"/>
      <c r="AI528" s="8"/>
      <c r="AJ528" s="8"/>
    </row>
    <row r="529" spans="1:36" ht="15" customHeight="1" x14ac:dyDescent="0.35">
      <c r="A529" s="4" t="s">
        <v>792</v>
      </c>
      <c r="B529" s="1" t="s">
        <v>3483</v>
      </c>
      <c r="C529" s="11">
        <v>45000</v>
      </c>
      <c r="D529" s="11" t="s">
        <v>4729</v>
      </c>
      <c r="E529" s="1" t="s">
        <v>191</v>
      </c>
      <c r="F529" s="1" t="s">
        <v>4731</v>
      </c>
      <c r="G529" s="6">
        <f>COUNTIF(F:F,Table2[[#This Row],[Form '#]])</f>
        <v>2</v>
      </c>
      <c r="H529" s="1" t="s">
        <v>4733</v>
      </c>
      <c r="I529" s="1" t="s">
        <v>177</v>
      </c>
      <c r="J529" s="1" t="s">
        <v>3891</v>
      </c>
      <c r="K529" s="1" t="s">
        <v>3853</v>
      </c>
      <c r="L529" s="1"/>
      <c r="M529" s="6" t="str">
        <f>IF(Table2[[#This Row],[Corrected Form '#
 (If Duplicated)]]="",Table2[[#This Row],[Form '#]],Table2[[#This Row],[Corrected Form '#
 (If Duplicated)]])</f>
        <v>7812-3663</v>
      </c>
      <c r="N529" s="1" t="s">
        <v>49</v>
      </c>
      <c r="O529" s="6" t="str">
        <f>IF(Table2[[#This Row],[POG CONFIRMATION RECEIPT OF ORDER
(DATE &amp; TIME)]]="","No Confirmation","Received Confirmation")</f>
        <v>Received Confirmation</v>
      </c>
      <c r="P529" s="6">
        <f ca="1">TODAY()-Table2[[#This Row],[DATE SENT TO POG]]</f>
        <v>303</v>
      </c>
      <c r="Q529" s="6" t="s">
        <v>5803</v>
      </c>
      <c r="R5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29" s="2" t="str">
        <f>_xlfn.XLOOKUP(Table2[[#This Row],[Adjusted Form '#]],'[2]IN PROGRESS'!$D:$D,'[2]IN PROGRESS'!$M:$M,"Not Found")</f>
        <v>Not Found</v>
      </c>
      <c r="U529" s="2" t="str">
        <f>_xlfn.XLOOKUP(Table2[[#This Row],[Adjusted Form '#]],[1]COMPLETED!$D:$D,[2]COMPLETED!$M:$M,"Not Found")</f>
        <v>Not Found</v>
      </c>
      <c r="V529" s="17" t="str">
        <f>_xlfn.XLOOKUP(Table2[[#This Row],[Adjusted Form '#]],[2]COMPLETED!$D:$D,[2]COMPLETED!$O:$O,"Not Found")</f>
        <v>Not Found</v>
      </c>
      <c r="W529" s="2" t="str">
        <f>_xlfn.XLOOKUP(Table2[[#This Row],[Adjusted Form '#]],[2]BILLED!$D:$D,[2]BILLED!$M:$M,"Not Found")</f>
        <v>1Z5063E0YW40688572</v>
      </c>
      <c r="X529" s="17" t="e">
        <f>_xlfn.XLOOKUP(Table2[[#This Row],[Adjusted Form '#]],[2]BILLED!$D:$D,[1]BILLED!$O:$O,"Not Found")</f>
        <v>#REF!</v>
      </c>
      <c r="Y529" s="17" t="e">
        <f>_xlfn.XLOOKUP(Table2[[#This Row],[Adjusted Form '#]],'[2]REJECTED ORDERS'!$D:$D,'[2]REJECTED ORDERS'!$E:$E)</f>
        <v>#N/A</v>
      </c>
      <c r="Z529" s="1"/>
      <c r="AA529" s="1"/>
      <c r="AB529" s="8"/>
      <c r="AC529" s="8"/>
      <c r="AD529" s="8"/>
      <c r="AE529" s="8"/>
      <c r="AF529" s="8"/>
      <c r="AG529" s="8"/>
      <c r="AH529" s="8"/>
      <c r="AI529" s="8"/>
      <c r="AJ529" s="8"/>
    </row>
    <row r="530" spans="1:36" ht="15" customHeight="1" x14ac:dyDescent="0.35">
      <c r="A530" s="4" t="s">
        <v>793</v>
      </c>
      <c r="B530" s="1" t="s">
        <v>4454</v>
      </c>
      <c r="C530" s="11">
        <v>45000</v>
      </c>
      <c r="D530" s="11" t="s">
        <v>4729</v>
      </c>
      <c r="E530" s="1" t="s">
        <v>191</v>
      </c>
      <c r="F530" s="1" t="s">
        <v>4734</v>
      </c>
      <c r="G530" s="6">
        <f>COUNTIF(F:F,Table2[[#This Row],[Form '#]])</f>
        <v>1</v>
      </c>
      <c r="H530" s="1" t="s">
        <v>4735</v>
      </c>
      <c r="I530" s="1" t="s">
        <v>127</v>
      </c>
      <c r="J530" s="1" t="s">
        <v>3891</v>
      </c>
      <c r="K530" s="1" t="s">
        <v>4011</v>
      </c>
      <c r="L530" s="1"/>
      <c r="M530" s="6" t="str">
        <f>IF(Table2[[#This Row],[Corrected Form '#
 (If Duplicated)]]="",Table2[[#This Row],[Form '#]],Table2[[#This Row],[Corrected Form '#
 (If Duplicated)]])</f>
        <v>7812-03492</v>
      </c>
      <c r="N530" s="1" t="s">
        <v>49</v>
      </c>
      <c r="O530" s="6" t="str">
        <f>IF(Table2[[#This Row],[POG CONFIRMATION RECEIPT OF ORDER
(DATE &amp; TIME)]]="","No Confirmation","Received Confirmation")</f>
        <v>Received Confirmation</v>
      </c>
      <c r="P530" s="6">
        <f ca="1">TODAY()-Table2[[#This Row],[DATE SENT TO POG]]</f>
        <v>303</v>
      </c>
      <c r="Q530" s="6" t="s">
        <v>5803</v>
      </c>
      <c r="R5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0" s="2" t="str">
        <f>_xlfn.XLOOKUP(Table2[[#This Row],[Adjusted Form '#]],'[2]IN PROGRESS'!$D:$D,'[2]IN PROGRESS'!$M:$M,"Not Found")</f>
        <v>Not Found</v>
      </c>
      <c r="U530" s="2" t="str">
        <f>_xlfn.XLOOKUP(Table2[[#This Row],[Adjusted Form '#]],[1]COMPLETED!$D:$D,[2]COMPLETED!$M:$M,"Not Found")</f>
        <v>Not Found</v>
      </c>
      <c r="V530" s="17" t="str">
        <f>_xlfn.XLOOKUP(Table2[[#This Row],[Adjusted Form '#]],[2]COMPLETED!$D:$D,[2]COMPLETED!$O:$O,"Not Found")</f>
        <v>Not Found</v>
      </c>
      <c r="W530" s="2" t="str">
        <f>_xlfn.XLOOKUP(Table2[[#This Row],[Adjusted Form '#]],[2]BILLED!$D:$D,[2]BILLED!$M:$M,"Not Found")</f>
        <v>1Z5063E0YW41600136</v>
      </c>
      <c r="X530" s="17" t="e">
        <f>_xlfn.XLOOKUP(Table2[[#This Row],[Adjusted Form '#]],[2]BILLED!$D:$D,[1]BILLED!$O:$O,"Not Found")</f>
        <v>#REF!</v>
      </c>
      <c r="Y530" s="17" t="e">
        <f>_xlfn.XLOOKUP(Table2[[#This Row],[Adjusted Form '#]],'[2]REJECTED ORDERS'!$D:$D,'[2]REJECTED ORDERS'!$E:$E)</f>
        <v>#N/A</v>
      </c>
      <c r="Z530" s="1"/>
      <c r="AA530" s="1"/>
      <c r="AB530" s="8"/>
      <c r="AC530" s="8"/>
      <c r="AD530" s="8"/>
      <c r="AE530" s="8"/>
      <c r="AF530" s="8"/>
      <c r="AG530" s="8"/>
      <c r="AH530" s="8"/>
      <c r="AI530" s="8"/>
      <c r="AJ530" s="8"/>
    </row>
    <row r="531" spans="1:36" ht="15" customHeight="1" x14ac:dyDescent="0.35">
      <c r="A531" s="4" t="s">
        <v>794</v>
      </c>
      <c r="B531" s="1" t="s">
        <v>4454</v>
      </c>
      <c r="C531" s="11">
        <v>45000</v>
      </c>
      <c r="D531" s="11" t="s">
        <v>4729</v>
      </c>
      <c r="E531" s="1" t="s">
        <v>191</v>
      </c>
      <c r="F531" s="1" t="s">
        <v>4736</v>
      </c>
      <c r="G531" s="6">
        <f>COUNTIF(F:F,Table2[[#This Row],[Form '#]])</f>
        <v>1</v>
      </c>
      <c r="H531" s="1" t="s">
        <v>4737</v>
      </c>
      <c r="I531" s="1" t="s">
        <v>177</v>
      </c>
      <c r="J531" s="1" t="s">
        <v>75</v>
      </c>
      <c r="K531" s="1" t="s">
        <v>3853</v>
      </c>
      <c r="L531" s="1"/>
      <c r="M531" s="6" t="str">
        <f>IF(Table2[[#This Row],[Corrected Form '#
 (If Duplicated)]]="",Table2[[#This Row],[Form '#]],Table2[[#This Row],[Corrected Form '#
 (If Duplicated)]])</f>
        <v>7812-01211</v>
      </c>
      <c r="N531" s="1" t="s">
        <v>49</v>
      </c>
      <c r="O531" s="6" t="str">
        <f>IF(Table2[[#This Row],[POG CONFIRMATION RECEIPT OF ORDER
(DATE &amp; TIME)]]="","No Confirmation","Received Confirmation")</f>
        <v>Received Confirmation</v>
      </c>
      <c r="P531" s="6">
        <f ca="1">TODAY()-Table2[[#This Row],[DATE SENT TO POG]]</f>
        <v>303</v>
      </c>
      <c r="Q531" s="6" t="s">
        <v>5803</v>
      </c>
      <c r="R5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1" s="2" t="str">
        <f>_xlfn.XLOOKUP(Table2[[#This Row],[Adjusted Form '#]],'[2]IN PROGRESS'!$D:$D,'[2]IN PROGRESS'!$M:$M,"Not Found")</f>
        <v>Not Found</v>
      </c>
      <c r="U531" s="2" t="str">
        <f>_xlfn.XLOOKUP(Table2[[#This Row],[Adjusted Form '#]],[1]COMPLETED!$D:$D,[2]COMPLETED!$M:$M,"Not Found")</f>
        <v>Not Found</v>
      </c>
      <c r="V531" s="17" t="str">
        <f>_xlfn.XLOOKUP(Table2[[#This Row],[Adjusted Form '#]],[2]COMPLETED!$D:$D,[2]COMPLETED!$O:$O,"Not Found")</f>
        <v>Not Found</v>
      </c>
      <c r="W531" s="2" t="str">
        <f>_xlfn.XLOOKUP(Table2[[#This Row],[Adjusted Form '#]],[2]BILLED!$D:$D,[2]BILLED!$M:$M,"Not Found")</f>
        <v>1Z5063E0YW41423800</v>
      </c>
      <c r="X531" s="17" t="e">
        <f>_xlfn.XLOOKUP(Table2[[#This Row],[Adjusted Form '#]],[2]BILLED!$D:$D,[1]BILLED!$O:$O,"Not Found")</f>
        <v>#REF!</v>
      </c>
      <c r="Y531" s="17" t="e">
        <f>_xlfn.XLOOKUP(Table2[[#This Row],[Adjusted Form '#]],'[2]REJECTED ORDERS'!$D:$D,'[2]REJECTED ORDERS'!$E:$E)</f>
        <v>#N/A</v>
      </c>
      <c r="Z531" s="1"/>
      <c r="AA531" s="1"/>
      <c r="AB531" s="8"/>
      <c r="AC531" s="8"/>
      <c r="AD531" s="8"/>
      <c r="AE531" s="8"/>
      <c r="AF531" s="8"/>
      <c r="AG531" s="8"/>
      <c r="AH531" s="8"/>
      <c r="AI531" s="8"/>
      <c r="AJ531" s="8"/>
    </row>
    <row r="532" spans="1:36" ht="15" customHeight="1" x14ac:dyDescent="0.35">
      <c r="A532" s="4" t="s">
        <v>796</v>
      </c>
      <c r="B532" s="1" t="s">
        <v>4454</v>
      </c>
      <c r="C532" s="11">
        <v>45000</v>
      </c>
      <c r="D532" s="11" t="s">
        <v>4729</v>
      </c>
      <c r="E532" s="1" t="s">
        <v>191</v>
      </c>
      <c r="F532" s="1" t="s">
        <v>4738</v>
      </c>
      <c r="G532" s="6">
        <f>COUNTIF(F:F,Table2[[#This Row],[Form '#]])</f>
        <v>1</v>
      </c>
      <c r="H532" s="1" t="s">
        <v>4739</v>
      </c>
      <c r="I532" s="1" t="s">
        <v>177</v>
      </c>
      <c r="J532" s="1" t="s">
        <v>75</v>
      </c>
      <c r="K532" s="1" t="s">
        <v>3853</v>
      </c>
      <c r="L532" s="1"/>
      <c r="M532" s="6" t="str">
        <f>IF(Table2[[#This Row],[Corrected Form '#
 (If Duplicated)]]="",Table2[[#This Row],[Form '#]],Table2[[#This Row],[Corrected Form '#
 (If Duplicated)]])</f>
        <v>7812-01204</v>
      </c>
      <c r="N532" s="1" t="s">
        <v>49</v>
      </c>
      <c r="O532" s="6" t="str">
        <f>IF(Table2[[#This Row],[POG CONFIRMATION RECEIPT OF ORDER
(DATE &amp; TIME)]]="","No Confirmation","Received Confirmation")</f>
        <v>Received Confirmation</v>
      </c>
      <c r="P532" s="6">
        <f ca="1">TODAY()-Table2[[#This Row],[DATE SENT TO POG]]</f>
        <v>303</v>
      </c>
      <c r="Q532" s="6" t="s">
        <v>5803</v>
      </c>
      <c r="R5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2" s="2" t="str">
        <f>_xlfn.XLOOKUP(Table2[[#This Row],[Adjusted Form '#]],'[2]IN PROGRESS'!$D:$D,'[2]IN PROGRESS'!$M:$M,"Not Found")</f>
        <v>Not Found</v>
      </c>
      <c r="U532" s="2" t="str">
        <f>_xlfn.XLOOKUP(Table2[[#This Row],[Adjusted Form '#]],[1]COMPLETED!$D:$D,[2]COMPLETED!$M:$M,"Not Found")</f>
        <v>Not Found</v>
      </c>
      <c r="V532" s="17" t="str">
        <f>_xlfn.XLOOKUP(Table2[[#This Row],[Adjusted Form '#]],[2]COMPLETED!$D:$D,[2]COMPLETED!$O:$O,"Not Found")</f>
        <v>Not Found</v>
      </c>
      <c r="W532" s="2" t="str">
        <f>_xlfn.XLOOKUP(Table2[[#This Row],[Adjusted Form '#]],[2]BILLED!$D:$D,[2]BILLED!$M:$M,"Not Found")</f>
        <v>1Z5063E0YW42054627</v>
      </c>
      <c r="X532" s="17" t="e">
        <f>_xlfn.XLOOKUP(Table2[[#This Row],[Adjusted Form '#]],[2]BILLED!$D:$D,[1]BILLED!$O:$O,"Not Found")</f>
        <v>#REF!</v>
      </c>
      <c r="Y532" s="17" t="e">
        <f>_xlfn.XLOOKUP(Table2[[#This Row],[Adjusted Form '#]],'[2]REJECTED ORDERS'!$D:$D,'[2]REJECTED ORDERS'!$E:$E)</f>
        <v>#N/A</v>
      </c>
      <c r="Z532" s="1"/>
      <c r="AA532" s="1"/>
      <c r="AB532" s="8"/>
      <c r="AC532" s="8"/>
      <c r="AD532" s="8"/>
      <c r="AE532" s="8"/>
      <c r="AF532" s="8"/>
      <c r="AG532" s="8"/>
      <c r="AH532" s="8"/>
      <c r="AI532" s="8"/>
      <c r="AJ532" s="8"/>
    </row>
    <row r="533" spans="1:36" ht="15" customHeight="1" x14ac:dyDescent="0.35">
      <c r="A533" s="4" t="s">
        <v>798</v>
      </c>
      <c r="B533" s="1" t="s">
        <v>1667</v>
      </c>
      <c r="C533" s="11">
        <v>45000</v>
      </c>
      <c r="D533" s="11" t="s">
        <v>4729</v>
      </c>
      <c r="E533" s="1" t="s">
        <v>14</v>
      </c>
      <c r="F533" s="1" t="s">
        <v>4740</v>
      </c>
      <c r="G533" s="6">
        <f>COUNTIF(F:F,Table2[[#This Row],[Form '#]])</f>
        <v>1</v>
      </c>
      <c r="H533" s="1" t="s">
        <v>4741</v>
      </c>
      <c r="I533" s="1" t="s">
        <v>758</v>
      </c>
      <c r="J533" s="1" t="s">
        <v>3891</v>
      </c>
      <c r="K533" s="1" t="s">
        <v>3853</v>
      </c>
      <c r="L533" s="1"/>
      <c r="M533" s="6" t="str">
        <f>IF(Table2[[#This Row],[Corrected Form '#
 (If Duplicated)]]="",Table2[[#This Row],[Form '#]],Table2[[#This Row],[Corrected Form '#
 (If Duplicated)]])</f>
        <v>7810-01833</v>
      </c>
      <c r="N533" s="1" t="s">
        <v>49</v>
      </c>
      <c r="O533" s="6" t="str">
        <f>IF(Table2[[#This Row],[POG CONFIRMATION RECEIPT OF ORDER
(DATE &amp; TIME)]]="","No Confirmation","Received Confirmation")</f>
        <v>Received Confirmation</v>
      </c>
      <c r="P533" s="6">
        <f ca="1">TODAY()-Table2[[#This Row],[DATE SENT TO POG]]</f>
        <v>303</v>
      </c>
      <c r="Q533" s="6" t="s">
        <v>5803</v>
      </c>
      <c r="R5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3" s="2" t="str">
        <f>_xlfn.XLOOKUP(Table2[[#This Row],[Adjusted Form '#]],'[2]IN PROGRESS'!$D:$D,'[2]IN PROGRESS'!$M:$M,"Not Found")</f>
        <v>Not Found</v>
      </c>
      <c r="U533" s="2" t="str">
        <f>_xlfn.XLOOKUP(Table2[[#This Row],[Adjusted Form '#]],[1]COMPLETED!$D:$D,[2]COMPLETED!$M:$M,"Not Found")</f>
        <v>Not Found</v>
      </c>
      <c r="V533" s="17" t="str">
        <f>_xlfn.XLOOKUP(Table2[[#This Row],[Adjusted Form '#]],[2]COMPLETED!$D:$D,[2]COMPLETED!$O:$O,"Not Found")</f>
        <v>Not Found</v>
      </c>
      <c r="W533" s="2" t="str">
        <f>_xlfn.XLOOKUP(Table2[[#This Row],[Adjusted Form '#]],[2]BILLED!$D:$D,[2]BILLED!$M:$M,"Not Found")</f>
        <v>1Z5063E0YW42101209</v>
      </c>
      <c r="X533" s="17" t="e">
        <f>_xlfn.XLOOKUP(Table2[[#This Row],[Adjusted Form '#]],[2]BILLED!$D:$D,[1]BILLED!$O:$O,"Not Found")</f>
        <v>#REF!</v>
      </c>
      <c r="Y533" s="17" t="e">
        <f>_xlfn.XLOOKUP(Table2[[#This Row],[Adjusted Form '#]],'[2]REJECTED ORDERS'!$D:$D,'[2]REJECTED ORDERS'!$E:$E)</f>
        <v>#N/A</v>
      </c>
      <c r="Z533" s="1"/>
      <c r="AA533" s="1"/>
      <c r="AB533" s="8"/>
      <c r="AC533" s="8"/>
      <c r="AD533" s="8"/>
      <c r="AE533" s="8"/>
      <c r="AF533" s="8"/>
      <c r="AG533" s="8"/>
      <c r="AH533" s="8"/>
      <c r="AI533" s="8"/>
      <c r="AJ533" s="8"/>
    </row>
    <row r="534" spans="1:36" ht="15" customHeight="1" x14ac:dyDescent="0.35">
      <c r="A534" s="4" t="s">
        <v>799</v>
      </c>
      <c r="B534" s="1" t="s">
        <v>1667</v>
      </c>
      <c r="C534" s="11">
        <v>45000</v>
      </c>
      <c r="D534" s="11" t="s">
        <v>4729</v>
      </c>
      <c r="E534" s="1" t="s">
        <v>14</v>
      </c>
      <c r="F534" s="1" t="s">
        <v>4742</v>
      </c>
      <c r="G534" s="6">
        <f>COUNTIF(F:F,Table2[[#This Row],[Form '#]])</f>
        <v>1</v>
      </c>
      <c r="H534" s="1" t="s">
        <v>4743</v>
      </c>
      <c r="I534" s="1" t="s">
        <v>3852</v>
      </c>
      <c r="J534" s="1" t="s">
        <v>3891</v>
      </c>
      <c r="K534" s="1" t="s">
        <v>3853</v>
      </c>
      <c r="L534" s="1"/>
      <c r="M534" s="6" t="str">
        <f>IF(Table2[[#This Row],[Corrected Form '#
 (If Duplicated)]]="",Table2[[#This Row],[Form '#]],Table2[[#This Row],[Corrected Form '#
 (If Duplicated)]])</f>
        <v>7810-01871</v>
      </c>
      <c r="N534" s="1" t="s">
        <v>49</v>
      </c>
      <c r="O534" s="6" t="str">
        <f>IF(Table2[[#This Row],[POG CONFIRMATION RECEIPT OF ORDER
(DATE &amp; TIME)]]="","No Confirmation","Received Confirmation")</f>
        <v>Received Confirmation</v>
      </c>
      <c r="P534" s="6">
        <f ca="1">TODAY()-Table2[[#This Row],[DATE SENT TO POG]]</f>
        <v>303</v>
      </c>
      <c r="Q534" s="6" t="s">
        <v>5803</v>
      </c>
      <c r="R5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4" s="2" t="str">
        <f>_xlfn.XLOOKUP(Table2[[#This Row],[Adjusted Form '#]],'[2]IN PROGRESS'!$D:$D,'[2]IN PROGRESS'!$M:$M,"Not Found")</f>
        <v>Not Found</v>
      </c>
      <c r="U534" s="2" t="str">
        <f>_xlfn.XLOOKUP(Table2[[#This Row],[Adjusted Form '#]],[1]COMPLETED!$D:$D,[2]COMPLETED!$M:$M,"Not Found")</f>
        <v>Not Found</v>
      </c>
      <c r="V534" s="17" t="str">
        <f>_xlfn.XLOOKUP(Table2[[#This Row],[Adjusted Form '#]],[2]COMPLETED!$D:$D,[2]COMPLETED!$O:$O,"Not Found")</f>
        <v>Not Found</v>
      </c>
      <c r="W534" s="2" t="str">
        <f>_xlfn.XLOOKUP(Table2[[#This Row],[Adjusted Form '#]],[2]BILLED!$D:$D,[2]BILLED!$M:$M,"Not Found")</f>
        <v>1Z5063E0YW42958688</v>
      </c>
      <c r="X534" s="17" t="e">
        <f>_xlfn.XLOOKUP(Table2[[#This Row],[Adjusted Form '#]],[2]BILLED!$D:$D,[1]BILLED!$O:$O,"Not Found")</f>
        <v>#REF!</v>
      </c>
      <c r="Y534" s="17" t="e">
        <f>_xlfn.XLOOKUP(Table2[[#This Row],[Adjusted Form '#]],'[2]REJECTED ORDERS'!$D:$D,'[2]REJECTED ORDERS'!$E:$E)</f>
        <v>#N/A</v>
      </c>
      <c r="Z534" s="1"/>
      <c r="AA534" s="1"/>
      <c r="AB534" s="8"/>
      <c r="AC534" s="8"/>
      <c r="AD534" s="8"/>
      <c r="AE534" s="8"/>
      <c r="AF534" s="8"/>
      <c r="AG534" s="8"/>
      <c r="AH534" s="8"/>
      <c r="AI534" s="8"/>
      <c r="AJ534" s="8"/>
    </row>
    <row r="535" spans="1:36" ht="15" customHeight="1" x14ac:dyDescent="0.35">
      <c r="A535" s="4" t="s">
        <v>800</v>
      </c>
      <c r="B535" s="1" t="s">
        <v>1667</v>
      </c>
      <c r="C535" s="11">
        <v>45000</v>
      </c>
      <c r="D535" s="11" t="s">
        <v>4729</v>
      </c>
      <c r="E535" s="1" t="s">
        <v>14</v>
      </c>
      <c r="F535" s="1" t="s">
        <v>4744</v>
      </c>
      <c r="G535" s="6">
        <f>COUNTIF(F:F,Table2[[#This Row],[Form '#]])</f>
        <v>1</v>
      </c>
      <c r="H535" s="1" t="s">
        <v>4745</v>
      </c>
      <c r="I535" s="1" t="s">
        <v>3864</v>
      </c>
      <c r="J535" s="1" t="s">
        <v>78</v>
      </c>
      <c r="K535" s="1" t="s">
        <v>3879</v>
      </c>
      <c r="L535" s="1"/>
      <c r="M535" s="6" t="str">
        <f>IF(Table2[[#This Row],[Corrected Form '#
 (If Duplicated)]]="",Table2[[#This Row],[Form '#]],Table2[[#This Row],[Corrected Form '#
 (If Duplicated)]])</f>
        <v>7810-01826</v>
      </c>
      <c r="N535" s="1" t="s">
        <v>49</v>
      </c>
      <c r="O535" s="6" t="str">
        <f>IF(Table2[[#This Row],[POG CONFIRMATION RECEIPT OF ORDER
(DATE &amp; TIME)]]="","No Confirmation","Received Confirmation")</f>
        <v>Received Confirmation</v>
      </c>
      <c r="P535" s="6">
        <f ca="1">TODAY()-Table2[[#This Row],[DATE SENT TO POG]]</f>
        <v>303</v>
      </c>
      <c r="Q535" s="6" t="s">
        <v>5803</v>
      </c>
      <c r="R5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5" s="2" t="str">
        <f>_xlfn.XLOOKUP(Table2[[#This Row],[Adjusted Form '#]],'[2]IN PROGRESS'!$D:$D,'[2]IN PROGRESS'!$M:$M,"Not Found")</f>
        <v>Not Found</v>
      </c>
      <c r="U535" s="2" t="str">
        <f>_xlfn.XLOOKUP(Table2[[#This Row],[Adjusted Form '#]],[1]COMPLETED!$D:$D,[2]COMPLETED!$M:$M,"Not Found")</f>
        <v>Not Found</v>
      </c>
      <c r="V535" s="17" t="str">
        <f>_xlfn.XLOOKUP(Table2[[#This Row],[Adjusted Form '#]],[2]COMPLETED!$D:$D,[2]COMPLETED!$O:$O,"Not Found")</f>
        <v>Not Found</v>
      </c>
      <c r="W535" s="2" t="str">
        <f>_xlfn.XLOOKUP(Table2[[#This Row],[Adjusted Form '#]],[2]BILLED!$D:$D,[2]BILLED!$M:$M,"Not Found")</f>
        <v>1Z5063E0YW42125292</v>
      </c>
      <c r="X535" s="17" t="e">
        <f>_xlfn.XLOOKUP(Table2[[#This Row],[Adjusted Form '#]],[2]BILLED!$D:$D,[1]BILLED!$O:$O,"Not Found")</f>
        <v>#REF!</v>
      </c>
      <c r="Y535" s="17" t="e">
        <f>_xlfn.XLOOKUP(Table2[[#This Row],[Adjusted Form '#]],'[2]REJECTED ORDERS'!$D:$D,'[2]REJECTED ORDERS'!$E:$E)</f>
        <v>#N/A</v>
      </c>
      <c r="Z535" s="1"/>
      <c r="AA535" s="1"/>
      <c r="AB535" s="8"/>
      <c r="AC535" s="8"/>
      <c r="AD535" s="8"/>
      <c r="AE535" s="8"/>
      <c r="AF535" s="8"/>
      <c r="AG535" s="8"/>
      <c r="AH535" s="8"/>
      <c r="AI535" s="8"/>
      <c r="AJ535" s="8"/>
    </row>
    <row r="536" spans="1:36" ht="15" customHeight="1" x14ac:dyDescent="0.35">
      <c r="A536" s="4" t="s">
        <v>802</v>
      </c>
      <c r="B536" s="1" t="s">
        <v>1667</v>
      </c>
      <c r="C536" s="11">
        <v>45000</v>
      </c>
      <c r="D536" s="11" t="s">
        <v>4729</v>
      </c>
      <c r="E536" s="1" t="s">
        <v>14</v>
      </c>
      <c r="F536" s="1" t="s">
        <v>4746</v>
      </c>
      <c r="G536" s="6">
        <f>COUNTIF(F:F,Table2[[#This Row],[Form '#]])</f>
        <v>1</v>
      </c>
      <c r="H536" s="1" t="s">
        <v>4747</v>
      </c>
      <c r="I536" s="1" t="s">
        <v>3864</v>
      </c>
      <c r="J536" s="1" t="s">
        <v>78</v>
      </c>
      <c r="K536" s="1" t="s">
        <v>3879</v>
      </c>
      <c r="L536" s="1"/>
      <c r="M536" s="6" t="str">
        <f>IF(Table2[[#This Row],[Corrected Form '#
 (If Duplicated)]]="",Table2[[#This Row],[Form '#]],Table2[[#This Row],[Corrected Form '#
 (If Duplicated)]])</f>
        <v>7810-01814</v>
      </c>
      <c r="N536" s="1" t="s">
        <v>49</v>
      </c>
      <c r="O536" s="6" t="str">
        <f>IF(Table2[[#This Row],[POG CONFIRMATION RECEIPT OF ORDER
(DATE &amp; TIME)]]="","No Confirmation","Received Confirmation")</f>
        <v>Received Confirmation</v>
      </c>
      <c r="P536" s="6">
        <f ca="1">TODAY()-Table2[[#This Row],[DATE SENT TO POG]]</f>
        <v>303</v>
      </c>
      <c r="Q536" s="6" t="s">
        <v>5803</v>
      </c>
      <c r="R5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6" s="2" t="str">
        <f>_xlfn.XLOOKUP(Table2[[#This Row],[Adjusted Form '#]],'[2]IN PROGRESS'!$D:$D,'[2]IN PROGRESS'!$M:$M,"Not Found")</f>
        <v>Not Found</v>
      </c>
      <c r="U536" s="2" t="str">
        <f>_xlfn.XLOOKUP(Table2[[#This Row],[Adjusted Form '#]],[1]COMPLETED!$D:$D,[2]COMPLETED!$M:$M,"Not Found")</f>
        <v>Not Found</v>
      </c>
      <c r="V536" s="17" t="str">
        <f>_xlfn.XLOOKUP(Table2[[#This Row],[Adjusted Form '#]],[2]COMPLETED!$D:$D,[2]COMPLETED!$O:$O,"Not Found")</f>
        <v>Not Found</v>
      </c>
      <c r="W536" s="2" t="str">
        <f>_xlfn.XLOOKUP(Table2[[#This Row],[Adjusted Form '#]],[2]BILLED!$D:$D,[2]BILLED!$M:$M,"Not Found")</f>
        <v>1Z5063E0YW42007615</v>
      </c>
      <c r="X536" s="17" t="e">
        <f>_xlfn.XLOOKUP(Table2[[#This Row],[Adjusted Form '#]],[2]BILLED!$D:$D,[1]BILLED!$O:$O,"Not Found")</f>
        <v>#REF!</v>
      </c>
      <c r="Y536" s="17" t="e">
        <f>_xlfn.XLOOKUP(Table2[[#This Row],[Adjusted Form '#]],'[2]REJECTED ORDERS'!$D:$D,'[2]REJECTED ORDERS'!$E:$E)</f>
        <v>#N/A</v>
      </c>
      <c r="Z536" s="1"/>
      <c r="AA536" s="1"/>
      <c r="AB536" s="8"/>
      <c r="AC536" s="8"/>
      <c r="AD536" s="8"/>
      <c r="AE536" s="8"/>
      <c r="AF536" s="8"/>
      <c r="AG536" s="8"/>
      <c r="AH536" s="8"/>
      <c r="AI536" s="8"/>
      <c r="AJ536" s="8"/>
    </row>
    <row r="537" spans="1:36" ht="15" customHeight="1" x14ac:dyDescent="0.35">
      <c r="A537" s="4" t="s">
        <v>804</v>
      </c>
      <c r="B537" s="1" t="s">
        <v>1667</v>
      </c>
      <c r="C537" s="11">
        <v>45000</v>
      </c>
      <c r="D537" s="11" t="s">
        <v>4729</v>
      </c>
      <c r="E537" s="1" t="s">
        <v>14</v>
      </c>
      <c r="F537" s="1" t="s">
        <v>4748</v>
      </c>
      <c r="G537" s="6">
        <f>COUNTIF(F:F,Table2[[#This Row],[Form '#]])</f>
        <v>1</v>
      </c>
      <c r="H537" s="1" t="s">
        <v>4749</v>
      </c>
      <c r="I537" s="1" t="s">
        <v>3852</v>
      </c>
      <c r="J537" s="1" t="s">
        <v>80</v>
      </c>
      <c r="K537" s="1" t="s">
        <v>3853</v>
      </c>
      <c r="L537" s="1"/>
      <c r="M537" s="6" t="str">
        <f>IF(Table2[[#This Row],[Corrected Form '#
 (If Duplicated)]]="",Table2[[#This Row],[Form '#]],Table2[[#This Row],[Corrected Form '#
 (If Duplicated)]])</f>
        <v>7810-01831</v>
      </c>
      <c r="N537" s="1" t="s">
        <v>49</v>
      </c>
      <c r="O537" s="6" t="str">
        <f>IF(Table2[[#This Row],[POG CONFIRMATION RECEIPT OF ORDER
(DATE &amp; TIME)]]="","No Confirmation","Received Confirmation")</f>
        <v>Received Confirmation</v>
      </c>
      <c r="P537" s="6">
        <f ca="1">TODAY()-Table2[[#This Row],[DATE SENT TO POG]]</f>
        <v>303</v>
      </c>
      <c r="Q537" s="6" t="s">
        <v>5803</v>
      </c>
      <c r="R5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7" s="2" t="str">
        <f>_xlfn.XLOOKUP(Table2[[#This Row],[Adjusted Form '#]],'[2]IN PROGRESS'!$D:$D,'[2]IN PROGRESS'!$M:$M,"Not Found")</f>
        <v>Not Found</v>
      </c>
      <c r="U537" s="2" t="str">
        <f>_xlfn.XLOOKUP(Table2[[#This Row],[Adjusted Form '#]],[1]COMPLETED!$D:$D,[2]COMPLETED!$M:$M,"Not Found")</f>
        <v>Not Found</v>
      </c>
      <c r="V537" s="17" t="str">
        <f>_xlfn.XLOOKUP(Table2[[#This Row],[Adjusted Form '#]],[2]COMPLETED!$D:$D,[2]COMPLETED!$O:$O,"Not Found")</f>
        <v>Not Found</v>
      </c>
      <c r="W537" s="2" t="str">
        <f>_xlfn.XLOOKUP(Table2[[#This Row],[Adjusted Form '#]],[2]BILLED!$D:$D,[2]BILLED!$M:$M,"Not Found")</f>
        <v>1Z5063E0YW42286716</v>
      </c>
      <c r="X537" s="17" t="e">
        <f>_xlfn.XLOOKUP(Table2[[#This Row],[Adjusted Form '#]],[2]BILLED!$D:$D,[1]BILLED!$O:$O,"Not Found")</f>
        <v>#REF!</v>
      </c>
      <c r="Y537" s="17" t="e">
        <f>_xlfn.XLOOKUP(Table2[[#This Row],[Adjusted Form '#]],'[2]REJECTED ORDERS'!$D:$D,'[2]REJECTED ORDERS'!$E:$E)</f>
        <v>#N/A</v>
      </c>
      <c r="Z537" s="1"/>
      <c r="AA537" s="1"/>
      <c r="AB537" s="8"/>
      <c r="AC537" s="8"/>
      <c r="AD537" s="8"/>
      <c r="AE537" s="8"/>
      <c r="AF537" s="8"/>
      <c r="AG537" s="8"/>
      <c r="AH537" s="8"/>
      <c r="AI537" s="8"/>
      <c r="AJ537" s="8"/>
    </row>
    <row r="538" spans="1:36" ht="15" customHeight="1" x14ac:dyDescent="0.35">
      <c r="A538" s="4" t="s">
        <v>805</v>
      </c>
      <c r="B538" s="1" t="s">
        <v>1667</v>
      </c>
      <c r="C538" s="11">
        <v>45000</v>
      </c>
      <c r="D538" s="11" t="s">
        <v>4729</v>
      </c>
      <c r="E538" s="1" t="s">
        <v>14</v>
      </c>
      <c r="F538" s="1" t="s">
        <v>4750</v>
      </c>
      <c r="G538" s="6">
        <f>COUNTIF(F:F,Table2[[#This Row],[Form '#]])</f>
        <v>1</v>
      </c>
      <c r="H538" s="1" t="s">
        <v>4751</v>
      </c>
      <c r="I538" s="1" t="s">
        <v>3852</v>
      </c>
      <c r="J538" s="1" t="s">
        <v>3891</v>
      </c>
      <c r="K538" s="1" t="s">
        <v>3853</v>
      </c>
      <c r="L538" s="1"/>
      <c r="M538" s="6" t="str">
        <f>IF(Table2[[#This Row],[Corrected Form '#
 (If Duplicated)]]="",Table2[[#This Row],[Form '#]],Table2[[#This Row],[Corrected Form '#
 (If Duplicated)]])</f>
        <v>7810-01870</v>
      </c>
      <c r="N538" s="1" t="s">
        <v>49</v>
      </c>
      <c r="O538" s="6" t="str">
        <f>IF(Table2[[#This Row],[POG CONFIRMATION RECEIPT OF ORDER
(DATE &amp; TIME)]]="","No Confirmation","Received Confirmation")</f>
        <v>Received Confirmation</v>
      </c>
      <c r="P538" s="6">
        <f ca="1">TODAY()-Table2[[#This Row],[DATE SENT TO POG]]</f>
        <v>303</v>
      </c>
      <c r="Q538" s="6" t="s">
        <v>5803</v>
      </c>
      <c r="R5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8" s="2" t="str">
        <f>_xlfn.XLOOKUP(Table2[[#This Row],[Adjusted Form '#]],'[2]IN PROGRESS'!$D:$D,'[2]IN PROGRESS'!$M:$M,"Not Found")</f>
        <v>Not Found</v>
      </c>
      <c r="U538" s="2" t="str">
        <f>_xlfn.XLOOKUP(Table2[[#This Row],[Adjusted Form '#]],[1]COMPLETED!$D:$D,[2]COMPLETED!$M:$M,"Not Found")</f>
        <v>Not Found</v>
      </c>
      <c r="V538" s="17" t="str">
        <f>_xlfn.XLOOKUP(Table2[[#This Row],[Adjusted Form '#]],[2]COMPLETED!$D:$D,[2]COMPLETED!$O:$O,"Not Found")</f>
        <v>Not Found</v>
      </c>
      <c r="W538" s="2" t="str">
        <f>_xlfn.XLOOKUP(Table2[[#This Row],[Adjusted Form '#]],[2]BILLED!$D:$D,[2]BILLED!$M:$M,"Not Found")</f>
        <v>1Z5063E0YW42531138</v>
      </c>
      <c r="X538" s="17" t="e">
        <f>_xlfn.XLOOKUP(Table2[[#This Row],[Adjusted Form '#]],[2]BILLED!$D:$D,[1]BILLED!$O:$O,"Not Found")</f>
        <v>#REF!</v>
      </c>
      <c r="Y538" s="17" t="e">
        <f>_xlfn.XLOOKUP(Table2[[#This Row],[Adjusted Form '#]],'[2]REJECTED ORDERS'!$D:$D,'[2]REJECTED ORDERS'!$E:$E)</f>
        <v>#N/A</v>
      </c>
      <c r="Z538" s="1"/>
      <c r="AA538" s="1"/>
      <c r="AB538" s="8"/>
      <c r="AC538" s="8"/>
      <c r="AD538" s="8"/>
      <c r="AE538" s="8"/>
      <c r="AF538" s="8"/>
      <c r="AG538" s="8"/>
      <c r="AH538" s="8"/>
      <c r="AI538" s="8"/>
      <c r="AJ538" s="8"/>
    </row>
    <row r="539" spans="1:36" ht="15" customHeight="1" x14ac:dyDescent="0.35">
      <c r="A539" s="4" t="s">
        <v>807</v>
      </c>
      <c r="B539" s="1" t="s">
        <v>2098</v>
      </c>
      <c r="C539" s="11">
        <v>45000</v>
      </c>
      <c r="D539" s="11" t="s">
        <v>4752</v>
      </c>
      <c r="E539" s="1" t="s">
        <v>21</v>
      </c>
      <c r="F539" s="1" t="s">
        <v>4753</v>
      </c>
      <c r="G539" s="6">
        <f>COUNTIF(F:F,Table2[[#This Row],[Form '#]])</f>
        <v>1</v>
      </c>
      <c r="H539" s="1" t="s">
        <v>455</v>
      </c>
      <c r="I539" s="1" t="s">
        <v>758</v>
      </c>
      <c r="J539" s="1" t="s">
        <v>78</v>
      </c>
      <c r="K539" s="1" t="s">
        <v>3853</v>
      </c>
      <c r="L539" s="1"/>
      <c r="M539" s="6" t="str">
        <f>IF(Table2[[#This Row],[Corrected Form '#
 (If Duplicated)]]="",Table2[[#This Row],[Form '#]],Table2[[#This Row],[Corrected Form '#
 (If Duplicated)]])</f>
        <v>7818-26154</v>
      </c>
      <c r="N539" s="1" t="s">
        <v>49</v>
      </c>
      <c r="O539" s="6" t="str">
        <f>IF(Table2[[#This Row],[POG CONFIRMATION RECEIPT OF ORDER
(DATE &amp; TIME)]]="","No Confirmation","Received Confirmation")</f>
        <v>Received Confirmation</v>
      </c>
      <c r="P539" s="6">
        <f ca="1">TODAY()-Table2[[#This Row],[DATE SENT TO POG]]</f>
        <v>303</v>
      </c>
      <c r="Q539" s="6" t="s">
        <v>5803</v>
      </c>
      <c r="R5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39" s="2" t="str">
        <f>_xlfn.XLOOKUP(Table2[[#This Row],[Adjusted Form '#]],'[2]IN PROGRESS'!$D:$D,'[2]IN PROGRESS'!$M:$M,"Not Found")</f>
        <v>Not Found</v>
      </c>
      <c r="U539" s="2" t="str">
        <f>_xlfn.XLOOKUP(Table2[[#This Row],[Adjusted Form '#]],[1]COMPLETED!$D:$D,[2]COMPLETED!$M:$M,"Not Found")</f>
        <v>Not Found</v>
      </c>
      <c r="V539" s="17" t="str">
        <f>_xlfn.XLOOKUP(Table2[[#This Row],[Adjusted Form '#]],[2]COMPLETED!$D:$D,[2]COMPLETED!$O:$O,"Not Found")</f>
        <v>Not Found</v>
      </c>
      <c r="W539" s="2" t="str">
        <f>_xlfn.XLOOKUP(Table2[[#This Row],[Adjusted Form '#]],[2]BILLED!$D:$D,[2]BILLED!$M:$M,"Not Found")</f>
        <v>1Z5063E0YW42949796</v>
      </c>
      <c r="X539" s="17" t="e">
        <f>_xlfn.XLOOKUP(Table2[[#This Row],[Adjusted Form '#]],[2]BILLED!$D:$D,[1]BILLED!$O:$O,"Not Found")</f>
        <v>#REF!</v>
      </c>
      <c r="Y539" s="17" t="e">
        <f>_xlfn.XLOOKUP(Table2[[#This Row],[Adjusted Form '#]],'[2]REJECTED ORDERS'!$D:$D,'[2]REJECTED ORDERS'!$E:$E)</f>
        <v>#N/A</v>
      </c>
      <c r="Z539" s="1"/>
      <c r="AA539" s="1"/>
      <c r="AB539" s="8"/>
      <c r="AC539" s="8"/>
      <c r="AD539" s="8"/>
      <c r="AE539" s="8"/>
      <c r="AF539" s="8"/>
      <c r="AG539" s="8"/>
      <c r="AH539" s="8"/>
      <c r="AI539" s="8"/>
      <c r="AJ539" s="8"/>
    </row>
    <row r="540" spans="1:36" ht="15" customHeight="1" x14ac:dyDescent="0.35">
      <c r="A540" s="4" t="s">
        <v>808</v>
      </c>
      <c r="B540" s="1" t="s">
        <v>1732</v>
      </c>
      <c r="C540" s="11">
        <v>45000</v>
      </c>
      <c r="D540" s="11" t="s">
        <v>4752</v>
      </c>
      <c r="E540" s="1" t="s">
        <v>21</v>
      </c>
      <c r="F540" s="1" t="s">
        <v>4754</v>
      </c>
      <c r="G540" s="6">
        <f>COUNTIF(F:F,Table2[[#This Row],[Form '#]])</f>
        <v>1</v>
      </c>
      <c r="H540" s="1" t="s">
        <v>2274</v>
      </c>
      <c r="I540" s="1" t="s">
        <v>3852</v>
      </c>
      <c r="J540" s="1" t="s">
        <v>80</v>
      </c>
      <c r="K540" s="1" t="s">
        <v>3853</v>
      </c>
      <c r="L540" s="1"/>
      <c r="M540" s="6" t="str">
        <f>IF(Table2[[#This Row],[Corrected Form '#
 (If Duplicated)]]="",Table2[[#This Row],[Form '#]],Table2[[#This Row],[Corrected Form '#
 (If Duplicated)]])</f>
        <v>7818-21758</v>
      </c>
      <c r="N540" s="1" t="s">
        <v>49</v>
      </c>
      <c r="O540" s="6" t="str">
        <f>IF(Table2[[#This Row],[POG CONFIRMATION RECEIPT OF ORDER
(DATE &amp; TIME)]]="","No Confirmation","Received Confirmation")</f>
        <v>Received Confirmation</v>
      </c>
      <c r="P540" s="6">
        <f ca="1">TODAY()-Table2[[#This Row],[DATE SENT TO POG]]</f>
        <v>303</v>
      </c>
      <c r="Q540" s="6" t="s">
        <v>5803</v>
      </c>
      <c r="R5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0" s="2" t="str">
        <f>_xlfn.XLOOKUP(Table2[[#This Row],[Adjusted Form '#]],'[2]IN PROGRESS'!$D:$D,'[2]IN PROGRESS'!$M:$M,"Not Found")</f>
        <v>Not Found</v>
      </c>
      <c r="U540" s="2" t="str">
        <f>_xlfn.XLOOKUP(Table2[[#This Row],[Adjusted Form '#]],[1]COMPLETED!$D:$D,[2]COMPLETED!$M:$M,"Not Found")</f>
        <v>Not Found</v>
      </c>
      <c r="V540" s="17" t="str">
        <f>_xlfn.XLOOKUP(Table2[[#This Row],[Adjusted Form '#]],[2]COMPLETED!$D:$D,[2]COMPLETED!$O:$O,"Not Found")</f>
        <v>Not Found</v>
      </c>
      <c r="W540" s="2" t="str">
        <f>_xlfn.XLOOKUP(Table2[[#This Row],[Adjusted Form '#]],[2]BILLED!$D:$D,[2]BILLED!$M:$M,"Not Found")</f>
        <v>1Z5063E0YW42341834</v>
      </c>
      <c r="X540" s="17" t="e">
        <f>_xlfn.XLOOKUP(Table2[[#This Row],[Adjusted Form '#]],[2]BILLED!$D:$D,[1]BILLED!$O:$O,"Not Found")</f>
        <v>#REF!</v>
      </c>
      <c r="Y540" s="17" t="e">
        <f>_xlfn.XLOOKUP(Table2[[#This Row],[Adjusted Form '#]],'[2]REJECTED ORDERS'!$D:$D,'[2]REJECTED ORDERS'!$E:$E)</f>
        <v>#N/A</v>
      </c>
      <c r="Z540" s="1"/>
      <c r="AA540" s="1"/>
      <c r="AB540" s="8"/>
      <c r="AC540" s="8"/>
      <c r="AD540" s="8"/>
      <c r="AE540" s="8"/>
      <c r="AF540" s="8"/>
      <c r="AG540" s="8"/>
      <c r="AH540" s="8"/>
      <c r="AI540" s="8"/>
      <c r="AJ540" s="8"/>
    </row>
    <row r="541" spans="1:36" ht="15" customHeight="1" x14ac:dyDescent="0.35">
      <c r="A541" s="4" t="s">
        <v>811</v>
      </c>
      <c r="B541" s="1" t="s">
        <v>1732</v>
      </c>
      <c r="C541" s="11">
        <v>45000</v>
      </c>
      <c r="D541" s="11" t="s">
        <v>4752</v>
      </c>
      <c r="E541" s="1" t="s">
        <v>21</v>
      </c>
      <c r="F541" s="1" t="s">
        <v>4755</v>
      </c>
      <c r="G541" s="6">
        <f>COUNTIF(F:F,Table2[[#This Row],[Form '#]])</f>
        <v>1</v>
      </c>
      <c r="H541" s="1" t="s">
        <v>4756</v>
      </c>
      <c r="I541" s="1" t="s">
        <v>3852</v>
      </c>
      <c r="J541" s="1" t="s">
        <v>75</v>
      </c>
      <c r="K541" s="1" t="s">
        <v>3853</v>
      </c>
      <c r="L541" s="1"/>
      <c r="M541" s="6" t="str">
        <f>IF(Table2[[#This Row],[Corrected Form '#
 (If Duplicated)]]="",Table2[[#This Row],[Form '#]],Table2[[#This Row],[Corrected Form '#
 (If Duplicated)]])</f>
        <v>7818-18748</v>
      </c>
      <c r="N541" s="1" t="s">
        <v>49</v>
      </c>
      <c r="O541" s="6" t="str">
        <f>IF(Table2[[#This Row],[POG CONFIRMATION RECEIPT OF ORDER
(DATE &amp; TIME)]]="","No Confirmation","Received Confirmation")</f>
        <v>Received Confirmation</v>
      </c>
      <c r="P541" s="6">
        <f ca="1">TODAY()-Table2[[#This Row],[DATE SENT TO POG]]</f>
        <v>303</v>
      </c>
      <c r="Q541" s="6" t="s">
        <v>5803</v>
      </c>
      <c r="R5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1" s="2" t="str">
        <f>_xlfn.XLOOKUP(Table2[[#This Row],[Adjusted Form '#]],'[2]IN PROGRESS'!$D:$D,'[2]IN PROGRESS'!$M:$M,"Not Found")</f>
        <v>Not Found</v>
      </c>
      <c r="U541" s="2" t="str">
        <f>_xlfn.XLOOKUP(Table2[[#This Row],[Adjusted Form '#]],[1]COMPLETED!$D:$D,[2]COMPLETED!$M:$M,"Not Found")</f>
        <v>Not Found</v>
      </c>
      <c r="V541" s="17" t="str">
        <f>_xlfn.XLOOKUP(Table2[[#This Row],[Adjusted Form '#]],[2]COMPLETED!$D:$D,[2]COMPLETED!$O:$O,"Not Found")</f>
        <v>Not Found</v>
      </c>
      <c r="W541" s="2" t="str">
        <f>_xlfn.XLOOKUP(Table2[[#This Row],[Adjusted Form '#]],[2]BILLED!$D:$D,[2]BILLED!$M:$M,"Not Found")</f>
        <v>1Z5063E0YW40753170</v>
      </c>
      <c r="X541" s="17" t="e">
        <f>_xlfn.XLOOKUP(Table2[[#This Row],[Adjusted Form '#]],[2]BILLED!$D:$D,[1]BILLED!$O:$O,"Not Found")</f>
        <v>#REF!</v>
      </c>
      <c r="Y541" s="17" t="e">
        <f>_xlfn.XLOOKUP(Table2[[#This Row],[Adjusted Form '#]],'[2]REJECTED ORDERS'!$D:$D,'[2]REJECTED ORDERS'!$E:$E)</f>
        <v>#N/A</v>
      </c>
      <c r="Z541" s="1"/>
      <c r="AA541" s="1"/>
      <c r="AB541" s="8"/>
      <c r="AC541" s="8"/>
      <c r="AD541" s="8"/>
      <c r="AE541" s="8"/>
      <c r="AF541" s="8"/>
      <c r="AG541" s="8"/>
      <c r="AH541" s="8"/>
      <c r="AI541" s="8"/>
      <c r="AJ541" s="8"/>
    </row>
    <row r="542" spans="1:36" ht="15" customHeight="1" x14ac:dyDescent="0.35">
      <c r="A542" s="4" t="s">
        <v>813</v>
      </c>
      <c r="B542" s="1" t="s">
        <v>1778</v>
      </c>
      <c r="C542" s="11">
        <v>45001</v>
      </c>
      <c r="D542" s="11" t="s">
        <v>4757</v>
      </c>
      <c r="E542" s="1" t="s">
        <v>21</v>
      </c>
      <c r="F542" s="1" t="s">
        <v>4758</v>
      </c>
      <c r="G542" s="6">
        <f>COUNTIF(F:F,Table2[[#This Row],[Form '#]])</f>
        <v>1</v>
      </c>
      <c r="H542" s="1" t="s">
        <v>4759</v>
      </c>
      <c r="I542" s="1" t="s">
        <v>177</v>
      </c>
      <c r="J542" s="1" t="s">
        <v>75</v>
      </c>
      <c r="K542" s="1" t="s">
        <v>4430</v>
      </c>
      <c r="L542" s="1"/>
      <c r="M542" s="6" t="str">
        <f>IF(Table2[[#This Row],[Corrected Form '#
 (If Duplicated)]]="",Table2[[#This Row],[Form '#]],Table2[[#This Row],[Corrected Form '#
 (If Duplicated)]])</f>
        <v>7818-22413</v>
      </c>
      <c r="N542" s="1" t="s">
        <v>49</v>
      </c>
      <c r="O542" s="6" t="str">
        <f>IF(Table2[[#This Row],[POG CONFIRMATION RECEIPT OF ORDER
(DATE &amp; TIME)]]="","No Confirmation","Received Confirmation")</f>
        <v>Received Confirmation</v>
      </c>
      <c r="P542" s="6">
        <f ca="1">TODAY()-Table2[[#This Row],[DATE SENT TO POG]]</f>
        <v>302</v>
      </c>
      <c r="Q542" s="6" t="s">
        <v>5803</v>
      </c>
      <c r="R5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2" s="2" t="str">
        <f>_xlfn.XLOOKUP(Table2[[#This Row],[Adjusted Form '#]],'[2]IN PROGRESS'!$D:$D,'[2]IN PROGRESS'!$M:$M,"Not Found")</f>
        <v>Not Found</v>
      </c>
      <c r="U542" s="2" t="str">
        <f>_xlfn.XLOOKUP(Table2[[#This Row],[Adjusted Form '#]],[1]COMPLETED!$D:$D,[2]COMPLETED!$M:$M,"Not Found")</f>
        <v>Not Found</v>
      </c>
      <c r="V542" s="17" t="str">
        <f>_xlfn.XLOOKUP(Table2[[#This Row],[Adjusted Form '#]],[2]COMPLETED!$D:$D,[2]COMPLETED!$O:$O,"Not Found")</f>
        <v>Not Found</v>
      </c>
      <c r="W542" s="2" t="str">
        <f>_xlfn.XLOOKUP(Table2[[#This Row],[Adjusted Form '#]],[2]BILLED!$D:$D,[2]BILLED!$M:$M,"Not Found")</f>
        <v>1Z5063E0YW40235882</v>
      </c>
      <c r="X542" s="17" t="e">
        <f>_xlfn.XLOOKUP(Table2[[#This Row],[Adjusted Form '#]],[2]BILLED!$D:$D,[1]BILLED!$O:$O,"Not Found")</f>
        <v>#REF!</v>
      </c>
      <c r="Y542" s="17" t="e">
        <f>_xlfn.XLOOKUP(Table2[[#This Row],[Adjusted Form '#]],'[2]REJECTED ORDERS'!$D:$D,'[2]REJECTED ORDERS'!$E:$E)</f>
        <v>#N/A</v>
      </c>
      <c r="Z542" s="1"/>
      <c r="AA542" s="1"/>
      <c r="AB542" s="8"/>
      <c r="AC542" s="8"/>
      <c r="AD542" s="8"/>
      <c r="AE542" s="8"/>
      <c r="AF542" s="8"/>
      <c r="AG542" s="8"/>
      <c r="AH542" s="8"/>
      <c r="AI542" s="8"/>
      <c r="AJ542" s="8"/>
    </row>
    <row r="543" spans="1:36" ht="15" customHeight="1" x14ac:dyDescent="0.35">
      <c r="A543" s="4" t="s">
        <v>814</v>
      </c>
      <c r="B543" s="1" t="s">
        <v>1778</v>
      </c>
      <c r="C543" s="11">
        <v>45001</v>
      </c>
      <c r="D543" s="11" t="s">
        <v>4757</v>
      </c>
      <c r="E543" s="1" t="s">
        <v>21</v>
      </c>
      <c r="F543" s="1" t="s">
        <v>4760</v>
      </c>
      <c r="G543" s="6">
        <f>COUNTIF(F:F,Table2[[#This Row],[Form '#]])</f>
        <v>1</v>
      </c>
      <c r="H543" s="1" t="s">
        <v>4761</v>
      </c>
      <c r="I543" s="1" t="s">
        <v>127</v>
      </c>
      <c r="J543" s="1" t="s">
        <v>76</v>
      </c>
      <c r="K543" s="1" t="s">
        <v>3883</v>
      </c>
      <c r="L543" s="1"/>
      <c r="M543" s="6" t="str">
        <f>IF(Table2[[#This Row],[Corrected Form '#
 (If Duplicated)]]="",Table2[[#This Row],[Form '#]],Table2[[#This Row],[Corrected Form '#
 (If Duplicated)]])</f>
        <v>7818-25325</v>
      </c>
      <c r="N543" s="1" t="s">
        <v>49</v>
      </c>
      <c r="O543" s="6" t="str">
        <f>IF(Table2[[#This Row],[POG CONFIRMATION RECEIPT OF ORDER
(DATE &amp; TIME)]]="","No Confirmation","Received Confirmation")</f>
        <v>Received Confirmation</v>
      </c>
      <c r="P543" s="6">
        <f ca="1">TODAY()-Table2[[#This Row],[DATE SENT TO POG]]</f>
        <v>302</v>
      </c>
      <c r="Q543" s="6" t="s">
        <v>5803</v>
      </c>
      <c r="R5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3" s="2" t="str">
        <f>_xlfn.XLOOKUP(Table2[[#This Row],[Adjusted Form '#]],'[2]IN PROGRESS'!$D:$D,'[2]IN PROGRESS'!$M:$M,"Not Found")</f>
        <v>Not Found</v>
      </c>
      <c r="U543" s="2" t="str">
        <f>_xlfn.XLOOKUP(Table2[[#This Row],[Adjusted Form '#]],[1]COMPLETED!$D:$D,[2]COMPLETED!$M:$M,"Not Found")</f>
        <v>Not Found</v>
      </c>
      <c r="V543" s="17" t="str">
        <f>_xlfn.XLOOKUP(Table2[[#This Row],[Adjusted Form '#]],[2]COMPLETED!$D:$D,[2]COMPLETED!$O:$O,"Not Found")</f>
        <v>Not Found</v>
      </c>
      <c r="W543" s="2" t="str">
        <f>_xlfn.XLOOKUP(Table2[[#This Row],[Adjusted Form '#]],[2]BILLED!$D:$D,[2]BILLED!$M:$M,"Not Found")</f>
        <v>1Z5063E0YW42274292</v>
      </c>
      <c r="X543" s="17" t="e">
        <f>_xlfn.XLOOKUP(Table2[[#This Row],[Adjusted Form '#]],[2]BILLED!$D:$D,[1]BILLED!$O:$O,"Not Found")</f>
        <v>#REF!</v>
      </c>
      <c r="Y543" s="17" t="e">
        <f>_xlfn.XLOOKUP(Table2[[#This Row],[Adjusted Form '#]],'[2]REJECTED ORDERS'!$D:$D,'[2]REJECTED ORDERS'!$E:$E)</f>
        <v>#N/A</v>
      </c>
      <c r="Z543" s="1"/>
      <c r="AA543" s="1"/>
      <c r="AB543" s="8"/>
      <c r="AC543" s="8"/>
      <c r="AD543" s="8"/>
      <c r="AE543" s="8"/>
      <c r="AF543" s="8"/>
      <c r="AG543" s="8"/>
      <c r="AH543" s="8"/>
      <c r="AI543" s="8"/>
      <c r="AJ543" s="8"/>
    </row>
    <row r="544" spans="1:36" ht="15" customHeight="1" x14ac:dyDescent="0.35">
      <c r="A544" s="4" t="s">
        <v>817</v>
      </c>
      <c r="B544" s="1" t="s">
        <v>1778</v>
      </c>
      <c r="C544" s="11">
        <v>45001</v>
      </c>
      <c r="D544" s="11" t="s">
        <v>4757</v>
      </c>
      <c r="E544" s="1" t="s">
        <v>21</v>
      </c>
      <c r="F544" s="1" t="s">
        <v>4762</v>
      </c>
      <c r="G544" s="6">
        <f>COUNTIF(F:F,Table2[[#This Row],[Form '#]])</f>
        <v>1</v>
      </c>
      <c r="H544" s="1" t="s">
        <v>109</v>
      </c>
      <c r="I544" s="1" t="s">
        <v>127</v>
      </c>
      <c r="J544" s="1" t="s">
        <v>71</v>
      </c>
      <c r="K544" s="1" t="s">
        <v>3883</v>
      </c>
      <c r="L544" s="1"/>
      <c r="M544" s="6" t="str">
        <f>IF(Table2[[#This Row],[Corrected Form '#
 (If Duplicated)]]="",Table2[[#This Row],[Form '#]],Table2[[#This Row],[Corrected Form '#
 (If Duplicated)]])</f>
        <v>7818-25193</v>
      </c>
      <c r="N544" s="1" t="s">
        <v>49</v>
      </c>
      <c r="O544" s="6" t="str">
        <f>IF(Table2[[#This Row],[POG CONFIRMATION RECEIPT OF ORDER
(DATE &amp; TIME)]]="","No Confirmation","Received Confirmation")</f>
        <v>Received Confirmation</v>
      </c>
      <c r="P544" s="6">
        <f ca="1">TODAY()-Table2[[#This Row],[DATE SENT TO POG]]</f>
        <v>302</v>
      </c>
      <c r="Q544" s="6" t="s">
        <v>5803</v>
      </c>
      <c r="R5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4" s="2" t="str">
        <f>_xlfn.XLOOKUP(Table2[[#This Row],[Adjusted Form '#]],'[2]IN PROGRESS'!$D:$D,'[2]IN PROGRESS'!$M:$M,"Not Found")</f>
        <v>Not Found</v>
      </c>
      <c r="U544" s="2" t="str">
        <f>_xlfn.XLOOKUP(Table2[[#This Row],[Adjusted Form '#]],[1]COMPLETED!$D:$D,[2]COMPLETED!$M:$M,"Not Found")</f>
        <v>Not Found</v>
      </c>
      <c r="V544" s="17" t="str">
        <f>_xlfn.XLOOKUP(Table2[[#This Row],[Adjusted Form '#]],[2]COMPLETED!$D:$D,[2]COMPLETED!$O:$O,"Not Found")</f>
        <v>Not Found</v>
      </c>
      <c r="W544" s="2" t="str">
        <f>_xlfn.XLOOKUP(Table2[[#This Row],[Adjusted Form '#]],[2]BILLED!$D:$D,[2]BILLED!$M:$M,"Not Found")</f>
        <v>1Z5063E0YW41639515</v>
      </c>
      <c r="X544" s="17" t="e">
        <f>_xlfn.XLOOKUP(Table2[[#This Row],[Adjusted Form '#]],[2]BILLED!$D:$D,[1]BILLED!$O:$O,"Not Found")</f>
        <v>#REF!</v>
      </c>
      <c r="Y544" s="17" t="e">
        <f>_xlfn.XLOOKUP(Table2[[#This Row],[Adjusted Form '#]],'[2]REJECTED ORDERS'!$D:$D,'[2]REJECTED ORDERS'!$E:$E)</f>
        <v>#N/A</v>
      </c>
      <c r="Z544" s="1"/>
      <c r="AA544" s="1"/>
      <c r="AB544" s="8"/>
      <c r="AC544" s="8"/>
      <c r="AD544" s="8"/>
      <c r="AE544" s="8"/>
      <c r="AF544" s="8"/>
      <c r="AG544" s="8"/>
      <c r="AH544" s="8"/>
      <c r="AI544" s="8"/>
      <c r="AJ544" s="8"/>
    </row>
    <row r="545" spans="1:36" ht="15" customHeight="1" x14ac:dyDescent="0.35">
      <c r="A545" s="4" t="s">
        <v>820</v>
      </c>
      <c r="B545" s="1" t="s">
        <v>454</v>
      </c>
      <c r="C545" s="11">
        <v>45001</v>
      </c>
      <c r="D545" s="11" t="s">
        <v>4763</v>
      </c>
      <c r="E545" s="1" t="s">
        <v>21</v>
      </c>
      <c r="F545" s="1" t="s">
        <v>4764</v>
      </c>
      <c r="G545" s="6">
        <f>COUNTIF(F:F,Table2[[#This Row],[Form '#]])</f>
        <v>1</v>
      </c>
      <c r="H545" s="1" t="s">
        <v>3516</v>
      </c>
      <c r="I545" s="1" t="s">
        <v>127</v>
      </c>
      <c r="J545" s="1" t="s">
        <v>71</v>
      </c>
      <c r="K545" s="1" t="s">
        <v>3883</v>
      </c>
      <c r="L545" s="1"/>
      <c r="M545" s="6" t="str">
        <f>IF(Table2[[#This Row],[Corrected Form '#
 (If Duplicated)]]="",Table2[[#This Row],[Form '#]],Table2[[#This Row],[Corrected Form '#
 (If Duplicated)]])</f>
        <v>7818-25032</v>
      </c>
      <c r="N545" s="1" t="s">
        <v>49</v>
      </c>
      <c r="O545" s="6" t="str">
        <f>IF(Table2[[#This Row],[POG CONFIRMATION RECEIPT OF ORDER
(DATE &amp; TIME)]]="","No Confirmation","Received Confirmation")</f>
        <v>Received Confirmation</v>
      </c>
      <c r="P545" s="6">
        <f ca="1">TODAY()-Table2[[#This Row],[DATE SENT TO POG]]</f>
        <v>302</v>
      </c>
      <c r="Q545" s="6" t="s">
        <v>5803</v>
      </c>
      <c r="R5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5" s="2" t="str">
        <f>_xlfn.XLOOKUP(Table2[[#This Row],[Adjusted Form '#]],'[2]IN PROGRESS'!$D:$D,'[2]IN PROGRESS'!$M:$M,"Not Found")</f>
        <v>Not Found</v>
      </c>
      <c r="U545" s="2" t="str">
        <f>_xlfn.XLOOKUP(Table2[[#This Row],[Adjusted Form '#]],[1]COMPLETED!$D:$D,[2]COMPLETED!$M:$M,"Not Found")</f>
        <v>Not Found</v>
      </c>
      <c r="V545" s="17" t="str">
        <f>_xlfn.XLOOKUP(Table2[[#This Row],[Adjusted Form '#]],[2]COMPLETED!$D:$D,[2]COMPLETED!$O:$O,"Not Found")</f>
        <v>Not Found</v>
      </c>
      <c r="W545" s="2" t="str">
        <f>_xlfn.XLOOKUP(Table2[[#This Row],[Adjusted Form '#]],[2]BILLED!$D:$D,[2]BILLED!$M:$M,"Not Found")</f>
        <v>1Z5063E0YW41741565</v>
      </c>
      <c r="X545" s="17" t="e">
        <f>_xlfn.XLOOKUP(Table2[[#This Row],[Adjusted Form '#]],[2]BILLED!$D:$D,[1]BILLED!$O:$O,"Not Found")</f>
        <v>#REF!</v>
      </c>
      <c r="Y545" s="17" t="e">
        <f>_xlfn.XLOOKUP(Table2[[#This Row],[Adjusted Form '#]],'[2]REJECTED ORDERS'!$D:$D,'[2]REJECTED ORDERS'!$E:$E)</f>
        <v>#N/A</v>
      </c>
      <c r="Z545" s="1"/>
      <c r="AA545" s="1"/>
      <c r="AB545" s="8"/>
      <c r="AC545" s="8"/>
      <c r="AD545" s="8"/>
      <c r="AE545" s="8"/>
      <c r="AF545" s="8"/>
      <c r="AG545" s="8"/>
      <c r="AH545" s="8"/>
      <c r="AI545" s="8"/>
      <c r="AJ545" s="8"/>
    </row>
    <row r="546" spans="1:36" ht="15" customHeight="1" x14ac:dyDescent="0.35">
      <c r="A546" s="4" t="s">
        <v>822</v>
      </c>
      <c r="B546" s="1" t="s">
        <v>3704</v>
      </c>
      <c r="C546" s="11">
        <v>45001</v>
      </c>
      <c r="D546" s="11" t="s">
        <v>4763</v>
      </c>
      <c r="E546" s="1" t="s">
        <v>21</v>
      </c>
      <c r="F546" s="1" t="s">
        <v>4765</v>
      </c>
      <c r="G546" s="6">
        <f>COUNTIF(F:F,Table2[[#This Row],[Form '#]])</f>
        <v>1</v>
      </c>
      <c r="H546" s="1" t="s">
        <v>4766</v>
      </c>
      <c r="I546" s="1" t="s">
        <v>177</v>
      </c>
      <c r="J546" s="1" t="s">
        <v>75</v>
      </c>
      <c r="K546" s="1" t="s">
        <v>4430</v>
      </c>
      <c r="L546" s="1"/>
      <c r="M546" s="6" t="str">
        <f>IF(Table2[[#This Row],[Corrected Form '#
 (If Duplicated)]]="",Table2[[#This Row],[Form '#]],Table2[[#This Row],[Corrected Form '#
 (If Duplicated)]])</f>
        <v>7818-25333</v>
      </c>
      <c r="N546" s="1" t="s">
        <v>49</v>
      </c>
      <c r="O546" s="6" t="str">
        <f>IF(Table2[[#This Row],[POG CONFIRMATION RECEIPT OF ORDER
(DATE &amp; TIME)]]="","No Confirmation","Received Confirmation")</f>
        <v>Received Confirmation</v>
      </c>
      <c r="P546" s="6">
        <f ca="1">TODAY()-Table2[[#This Row],[DATE SENT TO POG]]</f>
        <v>302</v>
      </c>
      <c r="Q546" s="6" t="s">
        <v>5803</v>
      </c>
      <c r="R5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6" s="2" t="str">
        <f>_xlfn.XLOOKUP(Table2[[#This Row],[Adjusted Form '#]],'[2]IN PROGRESS'!$D:$D,'[2]IN PROGRESS'!$M:$M,"Not Found")</f>
        <v>Not Found</v>
      </c>
      <c r="U546" s="2" t="str">
        <f>_xlfn.XLOOKUP(Table2[[#This Row],[Adjusted Form '#]],[1]COMPLETED!$D:$D,[2]COMPLETED!$M:$M,"Not Found")</f>
        <v>Not Found</v>
      </c>
      <c r="V546" s="17" t="str">
        <f>_xlfn.XLOOKUP(Table2[[#This Row],[Adjusted Form '#]],[2]COMPLETED!$D:$D,[2]COMPLETED!$O:$O,"Not Found")</f>
        <v>Not Found</v>
      </c>
      <c r="W546" s="2" t="str">
        <f>_xlfn.XLOOKUP(Table2[[#This Row],[Adjusted Form '#]],[2]BILLED!$D:$D,[2]BILLED!$M:$M,"Not Found")</f>
        <v>1Z5063E0YW40020685</v>
      </c>
      <c r="X546" s="17" t="e">
        <f>_xlfn.XLOOKUP(Table2[[#This Row],[Adjusted Form '#]],[2]BILLED!$D:$D,[1]BILLED!$O:$O,"Not Found")</f>
        <v>#REF!</v>
      </c>
      <c r="Y546" s="17" t="e">
        <f>_xlfn.XLOOKUP(Table2[[#This Row],[Adjusted Form '#]],'[2]REJECTED ORDERS'!$D:$D,'[2]REJECTED ORDERS'!$E:$E)</f>
        <v>#N/A</v>
      </c>
      <c r="Z546" s="1"/>
      <c r="AA546" s="1"/>
      <c r="AB546" s="8"/>
      <c r="AC546" s="8"/>
      <c r="AD546" s="8"/>
      <c r="AE546" s="8"/>
      <c r="AF546" s="8"/>
      <c r="AG546" s="8"/>
      <c r="AH546" s="8"/>
      <c r="AI546" s="8"/>
      <c r="AJ546" s="8"/>
    </row>
    <row r="547" spans="1:36" ht="15" customHeight="1" x14ac:dyDescent="0.35">
      <c r="A547" s="4" t="s">
        <v>823</v>
      </c>
      <c r="B547" s="1" t="s">
        <v>400</v>
      </c>
      <c r="C547" s="11">
        <v>45001</v>
      </c>
      <c r="D547" s="11" t="s">
        <v>4767</v>
      </c>
      <c r="E547" s="1" t="s">
        <v>14</v>
      </c>
      <c r="F547" s="1" t="s">
        <v>4768</v>
      </c>
      <c r="G547" s="6">
        <f>COUNTIF(F:F,Table2[[#This Row],[Form '#]])</f>
        <v>1</v>
      </c>
      <c r="H547" s="1" t="s">
        <v>4769</v>
      </c>
      <c r="I547" s="1" t="s">
        <v>3864</v>
      </c>
      <c r="J547" s="1" t="s">
        <v>3891</v>
      </c>
      <c r="K547" s="1" t="s">
        <v>3891</v>
      </c>
      <c r="L547" s="1"/>
      <c r="M547" s="6" t="str">
        <f>IF(Table2[[#This Row],[Corrected Form '#
 (If Duplicated)]]="",Table2[[#This Row],[Form '#]],Table2[[#This Row],[Corrected Form '#
 (If Duplicated)]])</f>
        <v>7810-01569</v>
      </c>
      <c r="N547" s="1" t="s">
        <v>49</v>
      </c>
      <c r="O547" s="6" t="str">
        <f>IF(Table2[[#This Row],[POG CONFIRMATION RECEIPT OF ORDER
(DATE &amp; TIME)]]="","No Confirmation","Received Confirmation")</f>
        <v>Received Confirmation</v>
      </c>
      <c r="P547" s="6">
        <f ca="1">TODAY()-Table2[[#This Row],[DATE SENT TO POG]]</f>
        <v>302</v>
      </c>
      <c r="Q547" s="6" t="s">
        <v>5803</v>
      </c>
      <c r="R5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7" s="2" t="str">
        <f>_xlfn.XLOOKUP(Table2[[#This Row],[Adjusted Form '#]],'[2]IN PROGRESS'!$D:$D,'[2]IN PROGRESS'!$M:$M,"Not Found")</f>
        <v>Not Found</v>
      </c>
      <c r="U547" s="2" t="str">
        <f>_xlfn.XLOOKUP(Table2[[#This Row],[Adjusted Form '#]],[1]COMPLETED!$D:$D,[2]COMPLETED!$M:$M,"Not Found")</f>
        <v>Not Found</v>
      </c>
      <c r="V547" s="17" t="str">
        <f>_xlfn.XLOOKUP(Table2[[#This Row],[Adjusted Form '#]],[2]COMPLETED!$D:$D,[2]COMPLETED!$O:$O,"Not Found")</f>
        <v>Not Found</v>
      </c>
      <c r="W547" s="2" t="str">
        <f>_xlfn.XLOOKUP(Table2[[#This Row],[Adjusted Form '#]],[2]BILLED!$D:$D,[2]BILLED!$M:$M,"Not Found")</f>
        <v>1Z5063E0YW40165234</v>
      </c>
      <c r="X547" s="17" t="e">
        <f>_xlfn.XLOOKUP(Table2[[#This Row],[Adjusted Form '#]],[2]BILLED!$D:$D,[1]BILLED!$O:$O,"Not Found")</f>
        <v>#REF!</v>
      </c>
      <c r="Y547" s="17" t="e">
        <f>_xlfn.XLOOKUP(Table2[[#This Row],[Adjusted Form '#]],'[2]REJECTED ORDERS'!$D:$D,'[2]REJECTED ORDERS'!$E:$E)</f>
        <v>#N/A</v>
      </c>
      <c r="Z547" s="1"/>
      <c r="AA547" s="1"/>
      <c r="AB547" s="8"/>
      <c r="AC547" s="8"/>
      <c r="AD547" s="8"/>
      <c r="AE547" s="8"/>
      <c r="AF547" s="8"/>
      <c r="AG547" s="8"/>
      <c r="AH547" s="8"/>
      <c r="AI547" s="8"/>
      <c r="AJ547" s="8"/>
    </row>
    <row r="548" spans="1:36" ht="15" customHeight="1" x14ac:dyDescent="0.35">
      <c r="A548" s="4" t="s">
        <v>824</v>
      </c>
      <c r="B548" s="1" t="s">
        <v>400</v>
      </c>
      <c r="C548" s="11">
        <v>45001</v>
      </c>
      <c r="D548" s="11" t="s">
        <v>4767</v>
      </c>
      <c r="E548" s="1" t="s">
        <v>14</v>
      </c>
      <c r="F548" s="1" t="s">
        <v>4770</v>
      </c>
      <c r="G548" s="6">
        <f>COUNTIF(F:F,Table2[[#This Row],[Form '#]])</f>
        <v>1</v>
      </c>
      <c r="H548" s="1" t="s">
        <v>4771</v>
      </c>
      <c r="I548" s="1" t="s">
        <v>177</v>
      </c>
      <c r="J548" s="1" t="s">
        <v>75</v>
      </c>
      <c r="K548" s="1" t="s">
        <v>4430</v>
      </c>
      <c r="L548" s="1"/>
      <c r="M548" s="6" t="str">
        <f>IF(Table2[[#This Row],[Corrected Form '#
 (If Duplicated)]]="",Table2[[#This Row],[Form '#]],Table2[[#This Row],[Corrected Form '#
 (If Duplicated)]])</f>
        <v>7810-01882</v>
      </c>
      <c r="N548" s="1" t="s">
        <v>49</v>
      </c>
      <c r="O548" s="6" t="str">
        <f>IF(Table2[[#This Row],[POG CONFIRMATION RECEIPT OF ORDER
(DATE &amp; TIME)]]="","No Confirmation","Received Confirmation")</f>
        <v>Received Confirmation</v>
      </c>
      <c r="P548" s="6">
        <f ca="1">TODAY()-Table2[[#This Row],[DATE SENT TO POG]]</f>
        <v>302</v>
      </c>
      <c r="Q548" s="6" t="s">
        <v>5803</v>
      </c>
      <c r="R5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8" s="2" t="str">
        <f>_xlfn.XLOOKUP(Table2[[#This Row],[Adjusted Form '#]],'[2]IN PROGRESS'!$D:$D,'[2]IN PROGRESS'!$M:$M,"Not Found")</f>
        <v>Not Found</v>
      </c>
      <c r="U548" s="2" t="str">
        <f>_xlfn.XLOOKUP(Table2[[#This Row],[Adjusted Form '#]],[1]COMPLETED!$D:$D,[2]COMPLETED!$M:$M,"Not Found")</f>
        <v>Not Found</v>
      </c>
      <c r="V548" s="17" t="str">
        <f>_xlfn.XLOOKUP(Table2[[#This Row],[Adjusted Form '#]],[2]COMPLETED!$D:$D,[2]COMPLETED!$O:$O,"Not Found")</f>
        <v>Not Found</v>
      </c>
      <c r="W548" s="2" t="str">
        <f>_xlfn.XLOOKUP(Table2[[#This Row],[Adjusted Form '#]],[2]BILLED!$D:$D,[2]BILLED!$M:$M,"Not Found")</f>
        <v>1Z5063E0YW40006727</v>
      </c>
      <c r="X548" s="17" t="e">
        <f>_xlfn.XLOOKUP(Table2[[#This Row],[Adjusted Form '#]],[2]BILLED!$D:$D,[1]BILLED!$O:$O,"Not Found")</f>
        <v>#REF!</v>
      </c>
      <c r="Y548" s="17" t="e">
        <f>_xlfn.XLOOKUP(Table2[[#This Row],[Adjusted Form '#]],'[2]REJECTED ORDERS'!$D:$D,'[2]REJECTED ORDERS'!$E:$E)</f>
        <v>#N/A</v>
      </c>
      <c r="Z548" s="1"/>
      <c r="AA548" s="1"/>
      <c r="AB548" s="8"/>
      <c r="AC548" s="8"/>
      <c r="AD548" s="8"/>
      <c r="AE548" s="8"/>
      <c r="AF548" s="8"/>
      <c r="AG548" s="8"/>
      <c r="AH548" s="8"/>
      <c r="AI548" s="8"/>
      <c r="AJ548" s="8"/>
    </row>
    <row r="549" spans="1:36" ht="15" customHeight="1" x14ac:dyDescent="0.35">
      <c r="A549" s="4" t="s">
        <v>826</v>
      </c>
      <c r="B549" s="1" t="s">
        <v>400</v>
      </c>
      <c r="C549" s="11">
        <v>45001</v>
      </c>
      <c r="D549" s="11" t="s">
        <v>4767</v>
      </c>
      <c r="E549" s="1" t="s">
        <v>14</v>
      </c>
      <c r="F549" s="1" t="s">
        <v>4772</v>
      </c>
      <c r="G549" s="6">
        <f>COUNTIF(F:F,Table2[[#This Row],[Form '#]])</f>
        <v>1</v>
      </c>
      <c r="H549" s="1" t="s">
        <v>4773</v>
      </c>
      <c r="I549" s="1" t="s">
        <v>177</v>
      </c>
      <c r="J549" s="1" t="s">
        <v>3891</v>
      </c>
      <c r="K549" s="1" t="s">
        <v>3891</v>
      </c>
      <c r="L549" s="1"/>
      <c r="M549" s="6" t="str">
        <f>IF(Table2[[#This Row],[Corrected Form '#
 (If Duplicated)]]="",Table2[[#This Row],[Form '#]],Table2[[#This Row],[Corrected Form '#
 (If Duplicated)]])</f>
        <v>7810-01884</v>
      </c>
      <c r="N549" s="1" t="s">
        <v>49</v>
      </c>
      <c r="O549" s="6" t="str">
        <f>IF(Table2[[#This Row],[POG CONFIRMATION RECEIPT OF ORDER
(DATE &amp; TIME)]]="","No Confirmation","Received Confirmation")</f>
        <v>Received Confirmation</v>
      </c>
      <c r="P549" s="6">
        <f ca="1">TODAY()-Table2[[#This Row],[DATE SENT TO POG]]</f>
        <v>302</v>
      </c>
      <c r="Q549" s="6" t="s">
        <v>5803</v>
      </c>
      <c r="R5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49" s="2" t="str">
        <f>_xlfn.XLOOKUP(Table2[[#This Row],[Adjusted Form '#]],'[2]IN PROGRESS'!$D:$D,'[2]IN PROGRESS'!$M:$M,"Not Found")</f>
        <v>Not Found</v>
      </c>
      <c r="U549" s="2" t="str">
        <f>_xlfn.XLOOKUP(Table2[[#This Row],[Adjusted Form '#]],[1]COMPLETED!$D:$D,[2]COMPLETED!$M:$M,"Not Found")</f>
        <v>Not Found</v>
      </c>
      <c r="V549" s="17" t="str">
        <f>_xlfn.XLOOKUP(Table2[[#This Row],[Adjusted Form '#]],[2]COMPLETED!$D:$D,[2]COMPLETED!$O:$O,"Not Found")</f>
        <v>Not Found</v>
      </c>
      <c r="W549" s="2" t="str">
        <f>_xlfn.XLOOKUP(Table2[[#This Row],[Adjusted Form '#]],[2]BILLED!$D:$D,[2]BILLED!$M:$M,"Not Found")</f>
        <v>1Z5063E0YW41346144</v>
      </c>
      <c r="X549" s="17" t="e">
        <f>_xlfn.XLOOKUP(Table2[[#This Row],[Adjusted Form '#]],[2]BILLED!$D:$D,[1]BILLED!$O:$O,"Not Found")</f>
        <v>#REF!</v>
      </c>
      <c r="Y549" s="17" t="e">
        <f>_xlfn.XLOOKUP(Table2[[#This Row],[Adjusted Form '#]],'[2]REJECTED ORDERS'!$D:$D,'[2]REJECTED ORDERS'!$E:$E)</f>
        <v>#N/A</v>
      </c>
      <c r="Z549" s="1"/>
      <c r="AA549" s="1"/>
      <c r="AB549" s="8"/>
      <c r="AC549" s="8"/>
      <c r="AD549" s="8"/>
      <c r="AE549" s="8"/>
      <c r="AF549" s="8"/>
      <c r="AG549" s="8"/>
      <c r="AH549" s="8"/>
      <c r="AI549" s="8"/>
      <c r="AJ549" s="8"/>
    </row>
    <row r="550" spans="1:36" ht="15" customHeight="1" x14ac:dyDescent="0.35">
      <c r="A550" s="4" t="s">
        <v>828</v>
      </c>
      <c r="B550" s="1" t="s">
        <v>400</v>
      </c>
      <c r="C550" s="11">
        <v>45001</v>
      </c>
      <c r="D550" s="11" t="s">
        <v>4767</v>
      </c>
      <c r="E550" s="1" t="s">
        <v>14</v>
      </c>
      <c r="F550" s="1" t="s">
        <v>4774</v>
      </c>
      <c r="G550" s="6">
        <f>COUNTIF(F:F,Table2[[#This Row],[Form '#]])</f>
        <v>1</v>
      </c>
      <c r="H550" s="1" t="s">
        <v>4775</v>
      </c>
      <c r="I550" s="1" t="s">
        <v>3864</v>
      </c>
      <c r="J550" s="1" t="s">
        <v>3891</v>
      </c>
      <c r="K550" s="1" t="s">
        <v>3891</v>
      </c>
      <c r="L550" s="1"/>
      <c r="M550" s="6" t="str">
        <f>IF(Table2[[#This Row],[Corrected Form '#
 (If Duplicated)]]="",Table2[[#This Row],[Form '#]],Table2[[#This Row],[Corrected Form '#
 (If Duplicated)]])</f>
        <v>7810-01879</v>
      </c>
      <c r="N550" s="1" t="s">
        <v>49</v>
      </c>
      <c r="O550" s="6" t="str">
        <f>IF(Table2[[#This Row],[POG CONFIRMATION RECEIPT OF ORDER
(DATE &amp; TIME)]]="","No Confirmation","Received Confirmation")</f>
        <v>Received Confirmation</v>
      </c>
      <c r="P550" s="6">
        <f ca="1">TODAY()-Table2[[#This Row],[DATE SENT TO POG]]</f>
        <v>302</v>
      </c>
      <c r="Q550" s="6" t="s">
        <v>5803</v>
      </c>
      <c r="R5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0" s="2" t="str">
        <f>_xlfn.XLOOKUP(Table2[[#This Row],[Adjusted Form '#]],'[2]IN PROGRESS'!$D:$D,'[2]IN PROGRESS'!$M:$M,"Not Found")</f>
        <v>Not Found</v>
      </c>
      <c r="U550" s="2" t="str">
        <f>_xlfn.XLOOKUP(Table2[[#This Row],[Adjusted Form '#]],[1]COMPLETED!$D:$D,[2]COMPLETED!$M:$M,"Not Found")</f>
        <v>Not Found</v>
      </c>
      <c r="V550" s="17" t="str">
        <f>_xlfn.XLOOKUP(Table2[[#This Row],[Adjusted Form '#]],[2]COMPLETED!$D:$D,[2]COMPLETED!$O:$O,"Not Found")</f>
        <v>Not Found</v>
      </c>
      <c r="W550" s="2" t="str">
        <f>_xlfn.XLOOKUP(Table2[[#This Row],[Adjusted Form '#]],[2]BILLED!$D:$D,[2]BILLED!$M:$M,"Not Found")</f>
        <v>1Z5063E0YW42380908</v>
      </c>
      <c r="X550" s="17" t="e">
        <f>_xlfn.XLOOKUP(Table2[[#This Row],[Adjusted Form '#]],[2]BILLED!$D:$D,[1]BILLED!$O:$O,"Not Found")</f>
        <v>#REF!</v>
      </c>
      <c r="Y550" s="17" t="e">
        <f>_xlfn.XLOOKUP(Table2[[#This Row],[Adjusted Form '#]],'[2]REJECTED ORDERS'!$D:$D,'[2]REJECTED ORDERS'!$E:$E)</f>
        <v>#N/A</v>
      </c>
      <c r="Z550" s="1"/>
      <c r="AA550" s="1"/>
      <c r="AB550" s="8"/>
      <c r="AC550" s="8"/>
      <c r="AD550" s="8"/>
      <c r="AE550" s="8"/>
      <c r="AF550" s="8"/>
      <c r="AG550" s="8"/>
      <c r="AH550" s="8"/>
      <c r="AI550" s="8"/>
      <c r="AJ550" s="8"/>
    </row>
    <row r="551" spans="1:36" ht="15" customHeight="1" x14ac:dyDescent="0.35">
      <c r="A551" s="4" t="s">
        <v>829</v>
      </c>
      <c r="B551" s="1" t="s">
        <v>400</v>
      </c>
      <c r="C551" s="11">
        <v>45001</v>
      </c>
      <c r="D551" s="11" t="s">
        <v>4767</v>
      </c>
      <c r="E551" s="1" t="s">
        <v>14</v>
      </c>
      <c r="F551" s="1" t="s">
        <v>4776</v>
      </c>
      <c r="G551" s="6">
        <f>COUNTIF(F:F,Table2[[#This Row],[Form '#]])</f>
        <v>1</v>
      </c>
      <c r="H551" s="1" t="s">
        <v>1681</v>
      </c>
      <c r="I551" s="1" t="s">
        <v>3864</v>
      </c>
      <c r="J551" s="1" t="s">
        <v>3891</v>
      </c>
      <c r="K551" s="1" t="s">
        <v>3891</v>
      </c>
      <c r="L551" s="1"/>
      <c r="M551" s="6" t="str">
        <f>IF(Table2[[#This Row],[Corrected Form '#
 (If Duplicated)]]="",Table2[[#This Row],[Form '#]],Table2[[#This Row],[Corrected Form '#
 (If Duplicated)]])</f>
        <v>7810-01809</v>
      </c>
      <c r="N551" s="1" t="s">
        <v>49</v>
      </c>
      <c r="O551" s="6" t="str">
        <f>IF(Table2[[#This Row],[POG CONFIRMATION RECEIPT OF ORDER
(DATE &amp; TIME)]]="","No Confirmation","Received Confirmation")</f>
        <v>Received Confirmation</v>
      </c>
      <c r="P551" s="6">
        <f ca="1">TODAY()-Table2[[#This Row],[DATE SENT TO POG]]</f>
        <v>302</v>
      </c>
      <c r="Q551" s="6" t="s">
        <v>5803</v>
      </c>
      <c r="R5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1" s="2" t="str">
        <f>_xlfn.XLOOKUP(Table2[[#This Row],[Adjusted Form '#]],'[2]IN PROGRESS'!$D:$D,'[2]IN PROGRESS'!$M:$M,"Not Found")</f>
        <v>Not Found</v>
      </c>
      <c r="U551" s="2" t="str">
        <f>_xlfn.XLOOKUP(Table2[[#This Row],[Adjusted Form '#]],[1]COMPLETED!$D:$D,[2]COMPLETED!$M:$M,"Not Found")</f>
        <v>Not Found</v>
      </c>
      <c r="V551" s="17" t="str">
        <f>_xlfn.XLOOKUP(Table2[[#This Row],[Adjusted Form '#]],[2]COMPLETED!$D:$D,[2]COMPLETED!$O:$O,"Not Found")</f>
        <v>Not Found</v>
      </c>
      <c r="W551" s="2" t="str">
        <f>_xlfn.XLOOKUP(Table2[[#This Row],[Adjusted Form '#]],[2]BILLED!$D:$D,[2]BILLED!$M:$M,"Not Found")</f>
        <v>1Z5063E0YW42475379</v>
      </c>
      <c r="X551" s="17" t="e">
        <f>_xlfn.XLOOKUP(Table2[[#This Row],[Adjusted Form '#]],[2]BILLED!$D:$D,[1]BILLED!$O:$O,"Not Found")</f>
        <v>#REF!</v>
      </c>
      <c r="Y551" s="17" t="e">
        <f>_xlfn.XLOOKUP(Table2[[#This Row],[Adjusted Form '#]],'[2]REJECTED ORDERS'!$D:$D,'[2]REJECTED ORDERS'!$E:$E)</f>
        <v>#N/A</v>
      </c>
      <c r="Z551" s="1"/>
      <c r="AA551" s="1"/>
      <c r="AB551" s="8"/>
      <c r="AC551" s="8"/>
      <c r="AD551" s="8"/>
      <c r="AE551" s="8"/>
      <c r="AF551" s="8"/>
      <c r="AG551" s="8"/>
      <c r="AH551" s="8"/>
      <c r="AI551" s="8"/>
      <c r="AJ551" s="8"/>
    </row>
    <row r="552" spans="1:36" ht="15" customHeight="1" x14ac:dyDescent="0.35">
      <c r="A552" s="4" t="s">
        <v>830</v>
      </c>
      <c r="B552" s="1" t="s">
        <v>400</v>
      </c>
      <c r="C552" s="11">
        <v>45001</v>
      </c>
      <c r="D552" s="11" t="s">
        <v>4767</v>
      </c>
      <c r="E552" s="1" t="s">
        <v>14</v>
      </c>
      <c r="F552" s="1" t="s">
        <v>4777</v>
      </c>
      <c r="G552" s="6">
        <f>COUNTIF(F:F,Table2[[#This Row],[Form '#]])</f>
        <v>1</v>
      </c>
      <c r="H552" s="1" t="s">
        <v>4778</v>
      </c>
      <c r="I552" s="1" t="s">
        <v>758</v>
      </c>
      <c r="J552" s="1" t="s">
        <v>3891</v>
      </c>
      <c r="K552" s="1" t="s">
        <v>3891</v>
      </c>
      <c r="L552" s="1"/>
      <c r="M552" s="6" t="str">
        <f>IF(Table2[[#This Row],[Corrected Form '#
 (If Duplicated)]]="",Table2[[#This Row],[Form '#]],Table2[[#This Row],[Corrected Form '#
 (If Duplicated)]])</f>
        <v>7810-01886</v>
      </c>
      <c r="N552" s="1" t="s">
        <v>49</v>
      </c>
      <c r="O552" s="6" t="str">
        <f>IF(Table2[[#This Row],[POG CONFIRMATION RECEIPT OF ORDER
(DATE &amp; TIME)]]="","No Confirmation","Received Confirmation")</f>
        <v>Received Confirmation</v>
      </c>
      <c r="P552" s="6">
        <f ca="1">TODAY()-Table2[[#This Row],[DATE SENT TO POG]]</f>
        <v>302</v>
      </c>
      <c r="Q552" s="6" t="s">
        <v>5803</v>
      </c>
      <c r="R5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2" s="2" t="str">
        <f>_xlfn.XLOOKUP(Table2[[#This Row],[Adjusted Form '#]],'[2]IN PROGRESS'!$D:$D,'[2]IN PROGRESS'!$M:$M,"Not Found")</f>
        <v>Not Found</v>
      </c>
      <c r="U552" s="2" t="str">
        <f>_xlfn.XLOOKUP(Table2[[#This Row],[Adjusted Form '#]],[1]COMPLETED!$D:$D,[2]COMPLETED!$M:$M,"Not Found")</f>
        <v>Not Found</v>
      </c>
      <c r="V552" s="17" t="str">
        <f>_xlfn.XLOOKUP(Table2[[#This Row],[Adjusted Form '#]],[2]COMPLETED!$D:$D,[2]COMPLETED!$O:$O,"Not Found")</f>
        <v>Not Found</v>
      </c>
      <c r="W552" s="2" t="str">
        <f>_xlfn.XLOOKUP(Table2[[#This Row],[Adjusted Form '#]],[2]BILLED!$D:$D,[2]BILLED!$M:$M,"Not Found")</f>
        <v>1Z5063E0YW42948751</v>
      </c>
      <c r="X552" s="17" t="e">
        <f>_xlfn.XLOOKUP(Table2[[#This Row],[Adjusted Form '#]],[2]BILLED!$D:$D,[1]BILLED!$O:$O,"Not Found")</f>
        <v>#REF!</v>
      </c>
      <c r="Y552" s="17" t="e">
        <f>_xlfn.XLOOKUP(Table2[[#This Row],[Adjusted Form '#]],'[2]REJECTED ORDERS'!$D:$D,'[2]REJECTED ORDERS'!$E:$E)</f>
        <v>#N/A</v>
      </c>
      <c r="Z552" s="1"/>
      <c r="AA552" s="1"/>
      <c r="AB552" s="8"/>
      <c r="AC552" s="8"/>
      <c r="AD552" s="8"/>
      <c r="AE552" s="8"/>
      <c r="AF552" s="8"/>
      <c r="AG552" s="8"/>
      <c r="AH552" s="8"/>
      <c r="AI552" s="8"/>
      <c r="AJ552" s="8"/>
    </row>
    <row r="553" spans="1:36" ht="15" customHeight="1" x14ac:dyDescent="0.35">
      <c r="A553" s="4" t="s">
        <v>833</v>
      </c>
      <c r="B553" s="1" t="s">
        <v>815</v>
      </c>
      <c r="C553" s="11">
        <v>45002</v>
      </c>
      <c r="D553" s="11" t="s">
        <v>4779</v>
      </c>
      <c r="E553" s="1" t="s">
        <v>21</v>
      </c>
      <c r="F553" s="1" t="s">
        <v>4780</v>
      </c>
      <c r="G553" s="6">
        <f>COUNTIF(F:F,Table2[[#This Row],[Form '#]])</f>
        <v>1</v>
      </c>
      <c r="H553" s="1" t="s">
        <v>4781</v>
      </c>
      <c r="I553" s="1" t="s">
        <v>177</v>
      </c>
      <c r="J553" s="1" t="s">
        <v>3891</v>
      </c>
      <c r="K553" s="1" t="s">
        <v>4011</v>
      </c>
      <c r="L553" s="1"/>
      <c r="M553" s="6" t="str">
        <f>IF(Table2[[#This Row],[Corrected Form '#
 (If Duplicated)]]="",Table2[[#This Row],[Form '#]],Table2[[#This Row],[Corrected Form '#
 (If Duplicated)]])</f>
        <v>7818-20689</v>
      </c>
      <c r="N553" s="1" t="s">
        <v>49</v>
      </c>
      <c r="O553" s="6" t="str">
        <f>IF(Table2[[#This Row],[POG CONFIRMATION RECEIPT OF ORDER
(DATE &amp; TIME)]]="","No Confirmation","Received Confirmation")</f>
        <v>Received Confirmation</v>
      </c>
      <c r="P553" s="6">
        <f ca="1">TODAY()-Table2[[#This Row],[DATE SENT TO POG]]</f>
        <v>301</v>
      </c>
      <c r="Q553" s="6" t="s">
        <v>5803</v>
      </c>
      <c r="R5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3" s="2" t="str">
        <f>_xlfn.XLOOKUP(Table2[[#This Row],[Adjusted Form '#]],'[2]IN PROGRESS'!$D:$D,'[2]IN PROGRESS'!$M:$M,"Not Found")</f>
        <v>Not Found</v>
      </c>
      <c r="U553" s="2" t="str">
        <f>_xlfn.XLOOKUP(Table2[[#This Row],[Adjusted Form '#]],[1]COMPLETED!$D:$D,[2]COMPLETED!$M:$M,"Not Found")</f>
        <v>Not Found</v>
      </c>
      <c r="V553" s="17" t="str">
        <f>_xlfn.XLOOKUP(Table2[[#This Row],[Adjusted Form '#]],[2]COMPLETED!$D:$D,[2]COMPLETED!$O:$O,"Not Found")</f>
        <v>Not Found</v>
      </c>
      <c r="W553" s="2" t="str">
        <f>_xlfn.XLOOKUP(Table2[[#This Row],[Adjusted Form '#]],[2]BILLED!$D:$D,[2]BILLED!$M:$M,"Not Found")</f>
        <v>1Z5063E0YW42091211</v>
      </c>
      <c r="X553" s="17" t="e">
        <f>_xlfn.XLOOKUP(Table2[[#This Row],[Adjusted Form '#]],[2]BILLED!$D:$D,[1]BILLED!$O:$O,"Not Found")</f>
        <v>#REF!</v>
      </c>
      <c r="Y553" s="17" t="e">
        <f>_xlfn.XLOOKUP(Table2[[#This Row],[Adjusted Form '#]],'[2]REJECTED ORDERS'!$D:$D,'[2]REJECTED ORDERS'!$E:$E)</f>
        <v>#N/A</v>
      </c>
      <c r="Z553" s="1"/>
      <c r="AA553" s="1"/>
      <c r="AB553" s="8"/>
      <c r="AC553" s="8"/>
      <c r="AD553" s="8"/>
      <c r="AE553" s="8"/>
      <c r="AF553" s="8"/>
      <c r="AG553" s="8"/>
      <c r="AH553" s="8"/>
      <c r="AI553" s="8"/>
      <c r="AJ553" s="8"/>
    </row>
    <row r="554" spans="1:36" ht="15" customHeight="1" x14ac:dyDescent="0.35">
      <c r="A554" s="4" t="s">
        <v>834</v>
      </c>
      <c r="B554" s="1" t="s">
        <v>815</v>
      </c>
      <c r="C554" s="11">
        <v>45002</v>
      </c>
      <c r="D554" s="11" t="s">
        <v>4779</v>
      </c>
      <c r="E554" s="1" t="s">
        <v>21</v>
      </c>
      <c r="F554" s="1" t="s">
        <v>4782</v>
      </c>
      <c r="G554" s="6">
        <f>COUNTIF(F:F,Table2[[#This Row],[Form '#]])</f>
        <v>1</v>
      </c>
      <c r="H554" s="1" t="s">
        <v>1796</v>
      </c>
      <c r="I554" s="1" t="s">
        <v>758</v>
      </c>
      <c r="J554" s="1" t="s">
        <v>78</v>
      </c>
      <c r="K554" s="1" t="s">
        <v>3853</v>
      </c>
      <c r="L554" s="1"/>
      <c r="M554" s="6" t="str">
        <f>IF(Table2[[#This Row],[Corrected Form '#
 (If Duplicated)]]="",Table2[[#This Row],[Form '#]],Table2[[#This Row],[Corrected Form '#
 (If Duplicated)]])</f>
        <v>7818-25391</v>
      </c>
      <c r="N554" s="1" t="s">
        <v>49</v>
      </c>
      <c r="O554" s="6" t="str">
        <f>IF(Table2[[#This Row],[POG CONFIRMATION RECEIPT OF ORDER
(DATE &amp; TIME)]]="","No Confirmation","Received Confirmation")</f>
        <v>Received Confirmation</v>
      </c>
      <c r="P554" s="6">
        <f ca="1">TODAY()-Table2[[#This Row],[DATE SENT TO POG]]</f>
        <v>301</v>
      </c>
      <c r="Q554" s="6" t="s">
        <v>5803</v>
      </c>
      <c r="R5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4" s="2" t="str">
        <f>_xlfn.XLOOKUP(Table2[[#This Row],[Adjusted Form '#]],'[2]IN PROGRESS'!$D:$D,'[2]IN PROGRESS'!$M:$M,"Not Found")</f>
        <v>Not Found</v>
      </c>
      <c r="U554" s="2" t="str">
        <f>_xlfn.XLOOKUP(Table2[[#This Row],[Adjusted Form '#]],[1]COMPLETED!$D:$D,[2]COMPLETED!$M:$M,"Not Found")</f>
        <v>Not Found</v>
      </c>
      <c r="V554" s="17" t="str">
        <f>_xlfn.XLOOKUP(Table2[[#This Row],[Adjusted Form '#]],[2]COMPLETED!$D:$D,[2]COMPLETED!$O:$O,"Not Found")</f>
        <v>Not Found</v>
      </c>
      <c r="W554" s="2" t="str">
        <f>_xlfn.XLOOKUP(Table2[[#This Row],[Adjusted Form '#]],[2]BILLED!$D:$D,[2]BILLED!$M:$M,"Not Found")</f>
        <v>1Z5063E0YW42019595</v>
      </c>
      <c r="X554" s="17" t="e">
        <f>_xlfn.XLOOKUP(Table2[[#This Row],[Adjusted Form '#]],[2]BILLED!$D:$D,[1]BILLED!$O:$O,"Not Found")</f>
        <v>#REF!</v>
      </c>
      <c r="Y554" s="17" t="e">
        <f>_xlfn.XLOOKUP(Table2[[#This Row],[Adjusted Form '#]],'[2]REJECTED ORDERS'!$D:$D,'[2]REJECTED ORDERS'!$E:$E)</f>
        <v>#N/A</v>
      </c>
      <c r="Z554" s="1"/>
      <c r="AA554" s="1"/>
      <c r="AB554" s="8"/>
      <c r="AC554" s="8"/>
      <c r="AD554" s="8"/>
      <c r="AE554" s="8"/>
      <c r="AF554" s="8"/>
      <c r="AG554" s="8"/>
      <c r="AH554" s="8"/>
      <c r="AI554" s="8"/>
      <c r="AJ554" s="8"/>
    </row>
    <row r="555" spans="1:36" ht="15" customHeight="1" x14ac:dyDescent="0.35">
      <c r="A555" s="4" t="s">
        <v>836</v>
      </c>
      <c r="B555" s="1" t="s">
        <v>815</v>
      </c>
      <c r="C555" s="11">
        <v>45002</v>
      </c>
      <c r="D555" s="11" t="s">
        <v>4779</v>
      </c>
      <c r="E555" s="1" t="s">
        <v>21</v>
      </c>
      <c r="F555" s="1" t="s">
        <v>4783</v>
      </c>
      <c r="G555" s="6">
        <f>COUNTIF(F:F,Table2[[#This Row],[Form '#]])</f>
        <v>1</v>
      </c>
      <c r="H555" s="1" t="s">
        <v>4784</v>
      </c>
      <c r="I555" s="1" t="s">
        <v>127</v>
      </c>
      <c r="J555" s="1" t="s">
        <v>76</v>
      </c>
      <c r="K555" s="1" t="s">
        <v>4011</v>
      </c>
      <c r="L555" s="1"/>
      <c r="M555" s="6" t="str">
        <f>IF(Table2[[#This Row],[Corrected Form '#
 (If Duplicated)]]="",Table2[[#This Row],[Form '#]],Table2[[#This Row],[Corrected Form '#
 (If Duplicated)]])</f>
        <v>7818-16289</v>
      </c>
      <c r="N555" s="1" t="s">
        <v>49</v>
      </c>
      <c r="O555" s="6" t="str">
        <f>IF(Table2[[#This Row],[POG CONFIRMATION RECEIPT OF ORDER
(DATE &amp; TIME)]]="","No Confirmation","Received Confirmation")</f>
        <v>Received Confirmation</v>
      </c>
      <c r="P555" s="6">
        <f ca="1">TODAY()-Table2[[#This Row],[DATE SENT TO POG]]</f>
        <v>301</v>
      </c>
      <c r="Q555" s="6" t="s">
        <v>5803</v>
      </c>
      <c r="R5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5" s="2" t="str">
        <f>_xlfn.XLOOKUP(Table2[[#This Row],[Adjusted Form '#]],'[2]IN PROGRESS'!$D:$D,'[2]IN PROGRESS'!$M:$M,"Not Found")</f>
        <v>Not Found</v>
      </c>
      <c r="U555" s="2" t="str">
        <f>_xlfn.XLOOKUP(Table2[[#This Row],[Adjusted Form '#]],[1]COMPLETED!$D:$D,[2]COMPLETED!$M:$M,"Not Found")</f>
        <v>Not Found</v>
      </c>
      <c r="V555" s="17" t="str">
        <f>_xlfn.XLOOKUP(Table2[[#This Row],[Adjusted Form '#]],[2]COMPLETED!$D:$D,[2]COMPLETED!$O:$O,"Not Found")</f>
        <v>Not Found</v>
      </c>
      <c r="W555" s="2" t="str">
        <f>_xlfn.XLOOKUP(Table2[[#This Row],[Adjusted Form '#]],[2]BILLED!$D:$D,[2]BILLED!$M:$M,"Not Found")</f>
        <v>1Z5063E0YW42873215</v>
      </c>
      <c r="X555" s="17" t="e">
        <f>_xlfn.XLOOKUP(Table2[[#This Row],[Adjusted Form '#]],[2]BILLED!$D:$D,[1]BILLED!$O:$O,"Not Found")</f>
        <v>#REF!</v>
      </c>
      <c r="Y555" s="17" t="e">
        <f>_xlfn.XLOOKUP(Table2[[#This Row],[Adjusted Form '#]],'[2]REJECTED ORDERS'!$D:$D,'[2]REJECTED ORDERS'!$E:$E)</f>
        <v>#N/A</v>
      </c>
      <c r="Z555" s="1"/>
      <c r="AA555" s="1"/>
      <c r="AB555" s="8"/>
      <c r="AC555" s="8"/>
      <c r="AD555" s="8"/>
      <c r="AE555" s="8"/>
      <c r="AF555" s="8"/>
      <c r="AG555" s="8"/>
      <c r="AH555" s="8"/>
      <c r="AI555" s="8"/>
      <c r="AJ555" s="8"/>
    </row>
    <row r="556" spans="1:36" ht="15" customHeight="1" x14ac:dyDescent="0.35">
      <c r="A556" s="4" t="s">
        <v>839</v>
      </c>
      <c r="B556" s="1" t="s">
        <v>1004</v>
      </c>
      <c r="C556" s="11">
        <v>45005</v>
      </c>
      <c r="E556" s="1" t="s">
        <v>73</v>
      </c>
      <c r="F556" s="1" t="s">
        <v>4785</v>
      </c>
      <c r="G556" s="6">
        <f>COUNTIF(F:F,Table2[[#This Row],[Form '#]])</f>
        <v>1</v>
      </c>
      <c r="H556" s="1" t="s">
        <v>4786</v>
      </c>
      <c r="I556" s="1" t="s">
        <v>3852</v>
      </c>
      <c r="J556" s="1" t="s">
        <v>80</v>
      </c>
      <c r="K556" s="1" t="s">
        <v>3853</v>
      </c>
      <c r="L556" s="1"/>
      <c r="M556" s="6" t="str">
        <f>IF(Table2[[#This Row],[Corrected Form '#
 (If Duplicated)]]="",Table2[[#This Row],[Form '#]],Table2[[#This Row],[Corrected Form '#
 (If Duplicated)]])</f>
        <v>7823-02539</v>
      </c>
      <c r="N556" s="1" t="s">
        <v>49</v>
      </c>
      <c r="O556" s="6" t="str">
        <f>IF(Table2[[#This Row],[POG CONFIRMATION RECEIPT OF ORDER
(DATE &amp; TIME)]]="","No Confirmation","Received Confirmation")</f>
        <v>No Confirmation</v>
      </c>
      <c r="P556" s="6">
        <f ca="1">TODAY()-Table2[[#This Row],[DATE SENT TO POG]]</f>
        <v>298</v>
      </c>
      <c r="Q556" s="6" t="s">
        <v>5803</v>
      </c>
      <c r="R5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6" s="2" t="str">
        <f>_xlfn.XLOOKUP(Table2[[#This Row],[Adjusted Form '#]],'[2]IN PROGRESS'!$D:$D,'[2]IN PROGRESS'!$M:$M,"Not Found")</f>
        <v>Not Found</v>
      </c>
      <c r="U556" s="2" t="str">
        <f>_xlfn.XLOOKUP(Table2[[#This Row],[Adjusted Form '#]],[1]COMPLETED!$D:$D,[2]COMPLETED!$M:$M,"Not Found")</f>
        <v>Not Found</v>
      </c>
      <c r="V556" s="17" t="str">
        <f>_xlfn.XLOOKUP(Table2[[#This Row],[Adjusted Form '#]],[2]COMPLETED!$D:$D,[2]COMPLETED!$O:$O,"Not Found")</f>
        <v>Not Found</v>
      </c>
      <c r="W556" s="2" t="str">
        <f>_xlfn.XLOOKUP(Table2[[#This Row],[Adjusted Form '#]],[2]BILLED!$D:$D,[2]BILLED!$M:$M,"Not Found")</f>
        <v>9402 1112 0620 7672 1699 94</v>
      </c>
      <c r="X556" s="17" t="e">
        <f>_xlfn.XLOOKUP(Table2[[#This Row],[Adjusted Form '#]],[2]BILLED!$D:$D,[1]BILLED!$O:$O,"Not Found")</f>
        <v>#REF!</v>
      </c>
      <c r="Y556" s="17" t="e">
        <f>_xlfn.XLOOKUP(Table2[[#This Row],[Adjusted Form '#]],'[2]REJECTED ORDERS'!$D:$D,'[2]REJECTED ORDERS'!$E:$E)</f>
        <v>#N/A</v>
      </c>
      <c r="Z556" s="1"/>
      <c r="AA556" s="1"/>
      <c r="AB556" s="8"/>
      <c r="AC556" s="8"/>
      <c r="AD556" s="8"/>
      <c r="AE556" s="8"/>
      <c r="AF556" s="8"/>
      <c r="AG556" s="8"/>
      <c r="AH556" s="8"/>
      <c r="AI556" s="8"/>
      <c r="AJ556" s="8"/>
    </row>
    <row r="557" spans="1:36" ht="15" customHeight="1" x14ac:dyDescent="0.35">
      <c r="A557" s="4" t="s">
        <v>841</v>
      </c>
      <c r="B557" s="1" t="s">
        <v>1004</v>
      </c>
      <c r="C557" s="11">
        <v>45005</v>
      </c>
      <c r="E557" s="1" t="s">
        <v>73</v>
      </c>
      <c r="F557" s="1" t="s">
        <v>4787</v>
      </c>
      <c r="G557" s="6">
        <f>COUNTIF(F:F,Table2[[#This Row],[Form '#]])</f>
        <v>1</v>
      </c>
      <c r="H557" s="1" t="s">
        <v>4788</v>
      </c>
      <c r="I557" s="1" t="s">
        <v>3891</v>
      </c>
      <c r="J557" s="1" t="s">
        <v>3891</v>
      </c>
      <c r="K557" s="1" t="s">
        <v>3891</v>
      </c>
      <c r="L557" s="1"/>
      <c r="M557" s="6" t="str">
        <f>IF(Table2[[#This Row],[Corrected Form '#
 (If Duplicated)]]="",Table2[[#This Row],[Form '#]],Table2[[#This Row],[Corrected Form '#
 (If Duplicated)]])</f>
        <v>7823-02549</v>
      </c>
      <c r="N557" s="1" t="s">
        <v>49</v>
      </c>
      <c r="O557" s="6" t="str">
        <f>IF(Table2[[#This Row],[POG CONFIRMATION RECEIPT OF ORDER
(DATE &amp; TIME)]]="","No Confirmation","Received Confirmation")</f>
        <v>No Confirmation</v>
      </c>
      <c r="P557" s="6">
        <f ca="1">TODAY()-Table2[[#This Row],[DATE SENT TO POG]]</f>
        <v>298</v>
      </c>
      <c r="Q557" s="6" t="s">
        <v>5803</v>
      </c>
      <c r="R5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7" s="2" t="str">
        <f>_xlfn.XLOOKUP(Table2[[#This Row],[Adjusted Form '#]],'[2]IN PROGRESS'!$D:$D,'[2]IN PROGRESS'!$M:$M,"Not Found")</f>
        <v>Not Found</v>
      </c>
      <c r="U557" s="2" t="str">
        <f>_xlfn.XLOOKUP(Table2[[#This Row],[Adjusted Form '#]],[1]COMPLETED!$D:$D,[2]COMPLETED!$M:$M,"Not Found")</f>
        <v>Not Found</v>
      </c>
      <c r="V557" s="17" t="str">
        <f>_xlfn.XLOOKUP(Table2[[#This Row],[Adjusted Form '#]],[2]COMPLETED!$D:$D,[2]COMPLETED!$O:$O,"Not Found")</f>
        <v>Not Found</v>
      </c>
      <c r="W557" s="2" t="str">
        <f>_xlfn.XLOOKUP(Table2[[#This Row],[Adjusted Form '#]],[2]BILLED!$D:$D,[2]BILLED!$M:$M,"Not Found")</f>
        <v>9402 1112 0620 7688 7573 21</v>
      </c>
      <c r="X557" s="17" t="e">
        <f>_xlfn.XLOOKUP(Table2[[#This Row],[Adjusted Form '#]],[2]BILLED!$D:$D,[1]BILLED!$O:$O,"Not Found")</f>
        <v>#REF!</v>
      </c>
      <c r="Y557" s="17" t="e">
        <f>_xlfn.XLOOKUP(Table2[[#This Row],[Adjusted Form '#]],'[2]REJECTED ORDERS'!$D:$D,'[2]REJECTED ORDERS'!$E:$E)</f>
        <v>#N/A</v>
      </c>
      <c r="Z557" s="1"/>
      <c r="AA557" s="1"/>
      <c r="AB557" s="8"/>
      <c r="AC557" s="8"/>
      <c r="AD557" s="8"/>
      <c r="AE557" s="8"/>
      <c r="AF557" s="8"/>
      <c r="AG557" s="8"/>
      <c r="AH557" s="8"/>
      <c r="AI557" s="8"/>
      <c r="AJ557" s="8"/>
    </row>
    <row r="558" spans="1:36" ht="15" customHeight="1" x14ac:dyDescent="0.35">
      <c r="A558" s="4" t="s">
        <v>843</v>
      </c>
      <c r="B558" s="1" t="s">
        <v>1004</v>
      </c>
      <c r="C558" s="11">
        <v>45005</v>
      </c>
      <c r="E558" s="1" t="s">
        <v>73</v>
      </c>
      <c r="F558" s="1" t="s">
        <v>4789</v>
      </c>
      <c r="G558" s="6">
        <f>COUNTIF(F:F,Table2[[#This Row],[Form '#]])</f>
        <v>1</v>
      </c>
      <c r="H558" s="1" t="s">
        <v>4790</v>
      </c>
      <c r="I558" s="1" t="s">
        <v>3891</v>
      </c>
      <c r="J558" s="1" t="s">
        <v>3891</v>
      </c>
      <c r="K558" s="1" t="s">
        <v>3891</v>
      </c>
      <c r="L558" s="1"/>
      <c r="M558" s="6" t="str">
        <f>IF(Table2[[#This Row],[Corrected Form '#
 (If Duplicated)]]="",Table2[[#This Row],[Form '#]],Table2[[#This Row],[Corrected Form '#
 (If Duplicated)]])</f>
        <v>7823-02550</v>
      </c>
      <c r="N558" s="1" t="s">
        <v>49</v>
      </c>
      <c r="O558" s="6" t="str">
        <f>IF(Table2[[#This Row],[POG CONFIRMATION RECEIPT OF ORDER
(DATE &amp; TIME)]]="","No Confirmation","Received Confirmation")</f>
        <v>No Confirmation</v>
      </c>
      <c r="P558" s="6">
        <f ca="1">TODAY()-Table2[[#This Row],[DATE SENT TO POG]]</f>
        <v>298</v>
      </c>
      <c r="Q558" s="6" t="s">
        <v>5803</v>
      </c>
      <c r="R5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8" s="2" t="str">
        <f>_xlfn.XLOOKUP(Table2[[#This Row],[Adjusted Form '#]],'[2]IN PROGRESS'!$D:$D,'[2]IN PROGRESS'!$M:$M,"Not Found")</f>
        <v>Not Found</v>
      </c>
      <c r="U558" s="2" t="str">
        <f>_xlfn.XLOOKUP(Table2[[#This Row],[Adjusted Form '#]],[1]COMPLETED!$D:$D,[2]COMPLETED!$M:$M,"Not Found")</f>
        <v>Not Found</v>
      </c>
      <c r="V558" s="17" t="str">
        <f>_xlfn.XLOOKUP(Table2[[#This Row],[Adjusted Form '#]],[2]COMPLETED!$D:$D,[2]COMPLETED!$O:$O,"Not Found")</f>
        <v>Not Found</v>
      </c>
      <c r="W558" s="2" t="str">
        <f>_xlfn.XLOOKUP(Table2[[#This Row],[Adjusted Form '#]],[2]BILLED!$D:$D,[2]BILLED!$M:$M,"Not Found")</f>
        <v>9400 1112 0620 7688 7991 56</v>
      </c>
      <c r="X558" s="17" t="e">
        <f>_xlfn.XLOOKUP(Table2[[#This Row],[Adjusted Form '#]],[2]BILLED!$D:$D,[1]BILLED!$O:$O,"Not Found")</f>
        <v>#REF!</v>
      </c>
      <c r="Y558" s="17" t="e">
        <f>_xlfn.XLOOKUP(Table2[[#This Row],[Adjusted Form '#]],'[2]REJECTED ORDERS'!$D:$D,'[2]REJECTED ORDERS'!$E:$E)</f>
        <v>#N/A</v>
      </c>
      <c r="Z558" s="1"/>
      <c r="AA558" s="1"/>
      <c r="AB558" s="8"/>
      <c r="AC558" s="8"/>
      <c r="AD558" s="8"/>
      <c r="AE558" s="8"/>
      <c r="AF558" s="8"/>
      <c r="AG558" s="8"/>
      <c r="AH558" s="8"/>
      <c r="AI558" s="8"/>
      <c r="AJ558" s="8"/>
    </row>
    <row r="559" spans="1:36" ht="15" customHeight="1" x14ac:dyDescent="0.35">
      <c r="A559" s="4" t="s">
        <v>845</v>
      </c>
      <c r="B559" s="1" t="s">
        <v>1778</v>
      </c>
      <c r="C559" s="11">
        <v>45005</v>
      </c>
      <c r="D559" s="11" t="s">
        <v>4791</v>
      </c>
      <c r="E559" s="1" t="s">
        <v>21</v>
      </c>
      <c r="F559" s="1" t="s">
        <v>4792</v>
      </c>
      <c r="G559" s="6">
        <f>COUNTIF(F:F,Table2[[#This Row],[Form '#]])</f>
        <v>1</v>
      </c>
      <c r="H559" s="1" t="s">
        <v>357</v>
      </c>
      <c r="I559" s="1" t="s">
        <v>127</v>
      </c>
      <c r="J559" s="1" t="s">
        <v>74</v>
      </c>
      <c r="K559" s="1" t="s">
        <v>4011</v>
      </c>
      <c r="L559" s="1"/>
      <c r="M559" s="6" t="str">
        <f>IF(Table2[[#This Row],[Corrected Form '#
 (If Duplicated)]]="",Table2[[#This Row],[Form '#]],Table2[[#This Row],[Corrected Form '#
 (If Duplicated)]])</f>
        <v>7818-15947</v>
      </c>
      <c r="N559" s="1" t="s">
        <v>49</v>
      </c>
      <c r="O559" s="6" t="str">
        <f>IF(Table2[[#This Row],[POG CONFIRMATION RECEIPT OF ORDER
(DATE &amp; TIME)]]="","No Confirmation","Received Confirmation")</f>
        <v>Received Confirmation</v>
      </c>
      <c r="P559" s="6">
        <f ca="1">TODAY()-Table2[[#This Row],[DATE SENT TO POG]]</f>
        <v>298</v>
      </c>
      <c r="Q559" s="6" t="s">
        <v>5803</v>
      </c>
      <c r="R5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59" s="2" t="str">
        <f>_xlfn.XLOOKUP(Table2[[#This Row],[Adjusted Form '#]],'[2]IN PROGRESS'!$D:$D,'[2]IN PROGRESS'!$M:$M,"Not Found")</f>
        <v>Not Found</v>
      </c>
      <c r="U559" s="2" t="str">
        <f>_xlfn.XLOOKUP(Table2[[#This Row],[Adjusted Form '#]],[1]COMPLETED!$D:$D,[2]COMPLETED!$M:$M,"Not Found")</f>
        <v>Not Found</v>
      </c>
      <c r="V559" s="17" t="str">
        <f>_xlfn.XLOOKUP(Table2[[#This Row],[Adjusted Form '#]],[2]COMPLETED!$D:$D,[2]COMPLETED!$O:$O,"Not Found")</f>
        <v>Not Found</v>
      </c>
      <c r="W559" s="2" t="str">
        <f>_xlfn.XLOOKUP(Table2[[#This Row],[Adjusted Form '#]],[2]BILLED!$D:$D,[2]BILLED!$M:$M,"Not Found")</f>
        <v>1Z5063E0YW40655526</v>
      </c>
      <c r="X559" s="17" t="e">
        <f>_xlfn.XLOOKUP(Table2[[#This Row],[Adjusted Form '#]],[2]BILLED!$D:$D,[1]BILLED!$O:$O,"Not Found")</f>
        <v>#REF!</v>
      </c>
      <c r="Y559" s="17" t="e">
        <f>_xlfn.XLOOKUP(Table2[[#This Row],[Adjusted Form '#]],'[2]REJECTED ORDERS'!$D:$D,'[2]REJECTED ORDERS'!$E:$E)</f>
        <v>#N/A</v>
      </c>
      <c r="Z559" s="1"/>
      <c r="AA559" s="1"/>
      <c r="AB559" s="8"/>
      <c r="AC559" s="8"/>
      <c r="AD559" s="8"/>
      <c r="AE559" s="8"/>
      <c r="AF559" s="8"/>
      <c r="AG559" s="8"/>
      <c r="AH559" s="8"/>
      <c r="AI559" s="8"/>
      <c r="AJ559" s="8"/>
    </row>
    <row r="560" spans="1:36" ht="15" customHeight="1" x14ac:dyDescent="0.35">
      <c r="A560" s="4" t="s">
        <v>846</v>
      </c>
      <c r="B560" s="1" t="s">
        <v>1778</v>
      </c>
      <c r="C560" s="11">
        <v>45005</v>
      </c>
      <c r="D560" s="11" t="s">
        <v>4791</v>
      </c>
      <c r="E560" s="1" t="s">
        <v>21</v>
      </c>
      <c r="F560" s="1" t="s">
        <v>4793</v>
      </c>
      <c r="G560" s="6">
        <f>COUNTIF(F:F,Table2[[#This Row],[Form '#]])</f>
        <v>1</v>
      </c>
      <c r="H560" s="1" t="s">
        <v>916</v>
      </c>
      <c r="I560" s="1" t="s">
        <v>3852</v>
      </c>
      <c r="J560" s="1" t="s">
        <v>80</v>
      </c>
      <c r="K560" s="1" t="s">
        <v>3853</v>
      </c>
      <c r="L560" s="1"/>
      <c r="M560" s="6" t="str">
        <f>IF(Table2[[#This Row],[Corrected Form '#
 (If Duplicated)]]="",Table2[[#This Row],[Form '#]],Table2[[#This Row],[Corrected Form '#
 (If Duplicated)]])</f>
        <v>7818-16915</v>
      </c>
      <c r="N560" s="1" t="s">
        <v>49</v>
      </c>
      <c r="O560" s="6" t="str">
        <f>IF(Table2[[#This Row],[POG CONFIRMATION RECEIPT OF ORDER
(DATE &amp; TIME)]]="","No Confirmation","Received Confirmation")</f>
        <v>Received Confirmation</v>
      </c>
      <c r="P560" s="6">
        <f ca="1">TODAY()-Table2[[#This Row],[DATE SENT TO POG]]</f>
        <v>298</v>
      </c>
      <c r="Q560" s="6" t="s">
        <v>5803</v>
      </c>
      <c r="R5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0" s="2" t="str">
        <f>_xlfn.XLOOKUP(Table2[[#This Row],[Adjusted Form '#]],'[2]IN PROGRESS'!$D:$D,'[2]IN PROGRESS'!$M:$M,"Not Found")</f>
        <v>Not Found</v>
      </c>
      <c r="U560" s="2" t="str">
        <f>_xlfn.XLOOKUP(Table2[[#This Row],[Adjusted Form '#]],[1]COMPLETED!$D:$D,[2]COMPLETED!$M:$M,"Not Found")</f>
        <v>Not Found</v>
      </c>
      <c r="V560" s="17" t="str">
        <f>_xlfn.XLOOKUP(Table2[[#This Row],[Adjusted Form '#]],[2]COMPLETED!$D:$D,[2]COMPLETED!$O:$O,"Not Found")</f>
        <v>Not Found</v>
      </c>
      <c r="W560" s="2" t="str">
        <f>_xlfn.XLOOKUP(Table2[[#This Row],[Adjusted Form '#]],[2]BILLED!$D:$D,[2]BILLED!$M:$M,"Not Found")</f>
        <v>1Z5063E0YW42524851</v>
      </c>
      <c r="X560" s="17" t="e">
        <f>_xlfn.XLOOKUP(Table2[[#This Row],[Adjusted Form '#]],[2]BILLED!$D:$D,[1]BILLED!$O:$O,"Not Found")</f>
        <v>#REF!</v>
      </c>
      <c r="Y560" s="17" t="e">
        <f>_xlfn.XLOOKUP(Table2[[#This Row],[Adjusted Form '#]],'[2]REJECTED ORDERS'!$D:$D,'[2]REJECTED ORDERS'!$E:$E)</f>
        <v>#N/A</v>
      </c>
      <c r="Z560" s="1"/>
      <c r="AA560" s="1"/>
      <c r="AB560" s="8"/>
      <c r="AC560" s="8"/>
      <c r="AD560" s="8"/>
      <c r="AE560" s="8"/>
      <c r="AF560" s="8"/>
      <c r="AG560" s="8"/>
      <c r="AH560" s="8"/>
      <c r="AI560" s="8"/>
      <c r="AJ560" s="8"/>
    </row>
    <row r="561" spans="1:36" ht="15" customHeight="1" x14ac:dyDescent="0.35">
      <c r="A561" s="4" t="s">
        <v>847</v>
      </c>
      <c r="B561" s="1" t="s">
        <v>1778</v>
      </c>
      <c r="C561" s="11">
        <v>45005</v>
      </c>
      <c r="D561" s="11" t="s">
        <v>4791</v>
      </c>
      <c r="E561" s="1" t="s">
        <v>21</v>
      </c>
      <c r="F561" s="1" t="s">
        <v>4794</v>
      </c>
      <c r="G561" s="6">
        <f>COUNTIF(F:F,Table2[[#This Row],[Form '#]])</f>
        <v>1</v>
      </c>
      <c r="H561" s="1" t="s">
        <v>3067</v>
      </c>
      <c r="I561" s="1" t="s">
        <v>127</v>
      </c>
      <c r="J561" s="1" t="s">
        <v>76</v>
      </c>
      <c r="K561" s="1" t="s">
        <v>3883</v>
      </c>
      <c r="L561" s="1"/>
      <c r="M561" s="6" t="str">
        <f>IF(Table2[[#This Row],[Corrected Form '#
 (If Duplicated)]]="",Table2[[#This Row],[Form '#]],Table2[[#This Row],[Corrected Form '#
 (If Duplicated)]])</f>
        <v>7818-29809</v>
      </c>
      <c r="N561" s="1" t="s">
        <v>49</v>
      </c>
      <c r="O561" s="6" t="str">
        <f>IF(Table2[[#This Row],[POG CONFIRMATION RECEIPT OF ORDER
(DATE &amp; TIME)]]="","No Confirmation","Received Confirmation")</f>
        <v>Received Confirmation</v>
      </c>
      <c r="P561" s="6">
        <f ca="1">TODAY()-Table2[[#This Row],[DATE SENT TO POG]]</f>
        <v>298</v>
      </c>
      <c r="Q561" s="6" t="s">
        <v>5803</v>
      </c>
      <c r="R5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1" s="2" t="str">
        <f>_xlfn.XLOOKUP(Table2[[#This Row],[Adjusted Form '#]],'[2]IN PROGRESS'!$D:$D,'[2]IN PROGRESS'!$M:$M,"Not Found")</f>
        <v>Not Found</v>
      </c>
      <c r="U561" s="2" t="str">
        <f>_xlfn.XLOOKUP(Table2[[#This Row],[Adjusted Form '#]],[1]COMPLETED!$D:$D,[2]COMPLETED!$M:$M,"Not Found")</f>
        <v>Not Found</v>
      </c>
      <c r="V561" s="17" t="str">
        <f>_xlfn.XLOOKUP(Table2[[#This Row],[Adjusted Form '#]],[2]COMPLETED!$D:$D,[2]COMPLETED!$O:$O,"Not Found")</f>
        <v>Not Found</v>
      </c>
      <c r="W561" s="2" t="str">
        <f>_xlfn.XLOOKUP(Table2[[#This Row],[Adjusted Form '#]],[2]BILLED!$D:$D,[2]BILLED!$M:$M,"Not Found")</f>
        <v>1Z5063E0YW40611242</v>
      </c>
      <c r="X561" s="17" t="e">
        <f>_xlfn.XLOOKUP(Table2[[#This Row],[Adjusted Form '#]],[2]BILLED!$D:$D,[1]BILLED!$O:$O,"Not Found")</f>
        <v>#REF!</v>
      </c>
      <c r="Y561" s="17" t="e">
        <f>_xlfn.XLOOKUP(Table2[[#This Row],[Adjusted Form '#]],'[2]REJECTED ORDERS'!$D:$D,'[2]REJECTED ORDERS'!$E:$E)</f>
        <v>#N/A</v>
      </c>
      <c r="Z561" s="1"/>
      <c r="AA561" s="1"/>
      <c r="AB561" s="8"/>
      <c r="AC561" s="8"/>
      <c r="AD561" s="8"/>
      <c r="AE561" s="8"/>
      <c r="AF561" s="8"/>
      <c r="AG561" s="8"/>
      <c r="AH561" s="8"/>
      <c r="AI561" s="8"/>
      <c r="AJ561" s="8"/>
    </row>
    <row r="562" spans="1:36" ht="15" customHeight="1" x14ac:dyDescent="0.35">
      <c r="A562" s="4" t="s">
        <v>848</v>
      </c>
      <c r="B562" s="1" t="s">
        <v>1778</v>
      </c>
      <c r="C562" s="11">
        <v>45005</v>
      </c>
      <c r="D562" s="11" t="s">
        <v>4791</v>
      </c>
      <c r="E562" s="1" t="s">
        <v>21</v>
      </c>
      <c r="F562" s="1" t="s">
        <v>4795</v>
      </c>
      <c r="G562" s="6">
        <f>COUNTIF(F:F,Table2[[#This Row],[Form '#]])</f>
        <v>1</v>
      </c>
      <c r="H562" s="1" t="s">
        <v>4796</v>
      </c>
      <c r="I562" s="1" t="s">
        <v>177</v>
      </c>
      <c r="J562" s="1" t="s">
        <v>75</v>
      </c>
      <c r="K562" s="1" t="s">
        <v>4011</v>
      </c>
      <c r="L562" s="1"/>
      <c r="M562" s="6" t="str">
        <f>IF(Table2[[#This Row],[Corrected Form '#
 (If Duplicated)]]="",Table2[[#This Row],[Form '#]],Table2[[#This Row],[Corrected Form '#
 (If Duplicated)]])</f>
        <v>7818-17412</v>
      </c>
      <c r="N562" s="1" t="s">
        <v>49</v>
      </c>
      <c r="O562" s="6" t="str">
        <f>IF(Table2[[#This Row],[POG CONFIRMATION RECEIPT OF ORDER
(DATE &amp; TIME)]]="","No Confirmation","Received Confirmation")</f>
        <v>Received Confirmation</v>
      </c>
      <c r="P562" s="6">
        <f ca="1">TODAY()-Table2[[#This Row],[DATE SENT TO POG]]</f>
        <v>298</v>
      </c>
      <c r="Q562" s="6" t="s">
        <v>5803</v>
      </c>
      <c r="R5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2" s="2" t="str">
        <f>_xlfn.XLOOKUP(Table2[[#This Row],[Adjusted Form '#]],'[2]IN PROGRESS'!$D:$D,'[2]IN PROGRESS'!$M:$M,"Not Found")</f>
        <v>Not Found</v>
      </c>
      <c r="U562" s="2" t="str">
        <f>_xlfn.XLOOKUP(Table2[[#This Row],[Adjusted Form '#]],[1]COMPLETED!$D:$D,[2]COMPLETED!$M:$M,"Not Found")</f>
        <v>Not Found</v>
      </c>
      <c r="V562" s="17" t="str">
        <f>_xlfn.XLOOKUP(Table2[[#This Row],[Adjusted Form '#]],[2]COMPLETED!$D:$D,[2]COMPLETED!$O:$O,"Not Found")</f>
        <v>Not Found</v>
      </c>
      <c r="W562" s="2" t="str">
        <f>_xlfn.XLOOKUP(Table2[[#This Row],[Adjusted Form '#]],[2]BILLED!$D:$D,[2]BILLED!$M:$M,"Not Found")</f>
        <v>1Z5063E0YW41795409</v>
      </c>
      <c r="X562" s="17" t="e">
        <f>_xlfn.XLOOKUP(Table2[[#This Row],[Adjusted Form '#]],[2]BILLED!$D:$D,[1]BILLED!$O:$O,"Not Found")</f>
        <v>#REF!</v>
      </c>
      <c r="Y562" s="17" t="e">
        <f>_xlfn.XLOOKUP(Table2[[#This Row],[Adjusted Form '#]],'[2]REJECTED ORDERS'!$D:$D,'[2]REJECTED ORDERS'!$E:$E)</f>
        <v>#N/A</v>
      </c>
      <c r="Z562" s="1"/>
      <c r="AA562" s="1"/>
      <c r="AB562" s="8"/>
      <c r="AC562" s="8"/>
      <c r="AD562" s="8"/>
      <c r="AE562" s="8"/>
      <c r="AF562" s="8"/>
      <c r="AG562" s="8"/>
      <c r="AH562" s="8"/>
      <c r="AI562" s="8"/>
      <c r="AJ562" s="8"/>
    </row>
    <row r="563" spans="1:36" ht="15" customHeight="1" x14ac:dyDescent="0.35">
      <c r="A563" s="4" t="s">
        <v>849</v>
      </c>
      <c r="B563" s="1" t="s">
        <v>1778</v>
      </c>
      <c r="C563" s="11">
        <v>45005</v>
      </c>
      <c r="D563" s="11" t="s">
        <v>4791</v>
      </c>
      <c r="E563" s="1" t="s">
        <v>21</v>
      </c>
      <c r="F563" s="1" t="s">
        <v>4797</v>
      </c>
      <c r="G563" s="6">
        <f>COUNTIF(F:F,Table2[[#This Row],[Form '#]])</f>
        <v>1</v>
      </c>
      <c r="H563" s="1" t="s">
        <v>2726</v>
      </c>
      <c r="I563" s="1" t="s">
        <v>28</v>
      </c>
      <c r="J563" s="1" t="s">
        <v>69</v>
      </c>
      <c r="K563" s="1" t="s">
        <v>4631</v>
      </c>
      <c r="L563" s="1"/>
      <c r="M563" s="6" t="str">
        <f>IF(Table2[[#This Row],[Corrected Form '#
 (If Duplicated)]]="",Table2[[#This Row],[Form '#]],Table2[[#This Row],[Corrected Form '#
 (If Duplicated)]])</f>
        <v>7818-25735</v>
      </c>
      <c r="N563" s="1" t="s">
        <v>49</v>
      </c>
      <c r="O563" s="6" t="str">
        <f>IF(Table2[[#This Row],[POG CONFIRMATION RECEIPT OF ORDER
(DATE &amp; TIME)]]="","No Confirmation","Received Confirmation")</f>
        <v>Received Confirmation</v>
      </c>
      <c r="P563" s="6">
        <f ca="1">TODAY()-Table2[[#This Row],[DATE SENT TO POG]]</f>
        <v>298</v>
      </c>
      <c r="Q563" s="6" t="s">
        <v>5803</v>
      </c>
      <c r="R5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3" s="2" t="str">
        <f>_xlfn.XLOOKUP(Table2[[#This Row],[Adjusted Form '#]],'[2]IN PROGRESS'!$D:$D,'[2]IN PROGRESS'!$M:$M,"Not Found")</f>
        <v>Not Found</v>
      </c>
      <c r="U563" s="2" t="str">
        <f>_xlfn.XLOOKUP(Table2[[#This Row],[Adjusted Form '#]],[1]COMPLETED!$D:$D,[2]COMPLETED!$M:$M,"Not Found")</f>
        <v>Not Found</v>
      </c>
      <c r="V563" s="17" t="str">
        <f>_xlfn.XLOOKUP(Table2[[#This Row],[Adjusted Form '#]],[2]COMPLETED!$D:$D,[2]COMPLETED!$O:$O,"Not Found")</f>
        <v>Not Found</v>
      </c>
      <c r="W563" s="2" t="str">
        <f>_xlfn.XLOOKUP(Table2[[#This Row],[Adjusted Form '#]],[2]BILLED!$D:$D,[2]BILLED!$M:$M,"Not Found")</f>
        <v>1Z5063E0YW40912113</v>
      </c>
      <c r="X563" s="17" t="e">
        <f>_xlfn.XLOOKUP(Table2[[#This Row],[Adjusted Form '#]],[2]BILLED!$D:$D,[1]BILLED!$O:$O,"Not Found")</f>
        <v>#REF!</v>
      </c>
      <c r="Y563" s="17" t="e">
        <f>_xlfn.XLOOKUP(Table2[[#This Row],[Adjusted Form '#]],'[2]REJECTED ORDERS'!$D:$D,'[2]REJECTED ORDERS'!$E:$E)</f>
        <v>#N/A</v>
      </c>
      <c r="Z563" s="1"/>
      <c r="AA563" s="1"/>
      <c r="AB563" s="8"/>
      <c r="AC563" s="8"/>
      <c r="AD563" s="8"/>
      <c r="AE563" s="8"/>
      <c r="AF563" s="8"/>
      <c r="AG563" s="8"/>
      <c r="AH563" s="8"/>
      <c r="AI563" s="8"/>
      <c r="AJ563" s="8"/>
    </row>
    <row r="564" spans="1:36" ht="15" customHeight="1" x14ac:dyDescent="0.35">
      <c r="A564" s="4" t="s">
        <v>850</v>
      </c>
      <c r="B564" s="1" t="s">
        <v>1778</v>
      </c>
      <c r="C564" s="11">
        <v>45005</v>
      </c>
      <c r="D564" s="11" t="s">
        <v>4791</v>
      </c>
      <c r="E564" s="1" t="s">
        <v>21</v>
      </c>
      <c r="F564" s="1" t="s">
        <v>4798</v>
      </c>
      <c r="G564" s="6">
        <f>COUNTIF(F:F,Table2[[#This Row],[Form '#]])</f>
        <v>1</v>
      </c>
      <c r="H564" s="1" t="s">
        <v>2030</v>
      </c>
      <c r="I564" s="1" t="s">
        <v>3864</v>
      </c>
      <c r="J564" s="1" t="s">
        <v>78</v>
      </c>
      <c r="K564" s="1" t="s">
        <v>3879</v>
      </c>
      <c r="L564" s="1"/>
      <c r="M564" s="6" t="str">
        <f>IF(Table2[[#This Row],[Corrected Form '#
 (If Duplicated)]]="",Table2[[#This Row],[Form '#]],Table2[[#This Row],[Corrected Form '#
 (If Duplicated)]])</f>
        <v>7818-10674</v>
      </c>
      <c r="N564" s="1" t="s">
        <v>49</v>
      </c>
      <c r="O564" s="6" t="str">
        <f>IF(Table2[[#This Row],[POG CONFIRMATION RECEIPT OF ORDER
(DATE &amp; TIME)]]="","No Confirmation","Received Confirmation")</f>
        <v>Received Confirmation</v>
      </c>
      <c r="P564" s="6">
        <f ca="1">TODAY()-Table2[[#This Row],[DATE SENT TO POG]]</f>
        <v>298</v>
      </c>
      <c r="Q564" s="6" t="s">
        <v>5803</v>
      </c>
      <c r="R5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4" s="2" t="str">
        <f>_xlfn.XLOOKUP(Table2[[#This Row],[Adjusted Form '#]],'[2]IN PROGRESS'!$D:$D,'[2]IN PROGRESS'!$M:$M,"Not Found")</f>
        <v>Not Found</v>
      </c>
      <c r="U564" s="2" t="str">
        <f>_xlfn.XLOOKUP(Table2[[#This Row],[Adjusted Form '#]],[1]COMPLETED!$D:$D,[2]COMPLETED!$M:$M,"Not Found")</f>
        <v>Not Found</v>
      </c>
      <c r="V564" s="17" t="str">
        <f>_xlfn.XLOOKUP(Table2[[#This Row],[Adjusted Form '#]],[2]COMPLETED!$D:$D,[2]COMPLETED!$O:$O,"Not Found")</f>
        <v>Not Found</v>
      </c>
      <c r="W564" s="2" t="str">
        <f>_xlfn.XLOOKUP(Table2[[#This Row],[Adjusted Form '#]],[2]BILLED!$D:$D,[2]BILLED!$M:$M,"Not Found")</f>
        <v>1Z5063E0YW41270387</v>
      </c>
      <c r="X564" s="17" t="e">
        <f>_xlfn.XLOOKUP(Table2[[#This Row],[Adjusted Form '#]],[2]BILLED!$D:$D,[1]BILLED!$O:$O,"Not Found")</f>
        <v>#REF!</v>
      </c>
      <c r="Y564" s="17" t="e">
        <f>_xlfn.XLOOKUP(Table2[[#This Row],[Adjusted Form '#]],'[2]REJECTED ORDERS'!$D:$D,'[2]REJECTED ORDERS'!$E:$E)</f>
        <v>#N/A</v>
      </c>
      <c r="Z564" s="1"/>
      <c r="AA564" s="1"/>
      <c r="AB564" s="8"/>
      <c r="AC564" s="8"/>
      <c r="AD564" s="8"/>
      <c r="AE564" s="8"/>
      <c r="AF564" s="8"/>
      <c r="AG564" s="8"/>
      <c r="AH564" s="8"/>
      <c r="AI564" s="8"/>
      <c r="AJ564" s="8"/>
    </row>
    <row r="565" spans="1:36" ht="15" customHeight="1" x14ac:dyDescent="0.35">
      <c r="A565" s="4" t="s">
        <v>852</v>
      </c>
      <c r="B565" s="1" t="s">
        <v>1702</v>
      </c>
      <c r="C565" s="11">
        <v>45005</v>
      </c>
      <c r="D565" s="11" t="s">
        <v>4799</v>
      </c>
      <c r="E565" s="1" t="s">
        <v>191</v>
      </c>
      <c r="F565" s="1" t="s">
        <v>4800</v>
      </c>
      <c r="G565" s="6">
        <f>COUNTIF(F:F,Table2[[#This Row],[Form '#]])</f>
        <v>1</v>
      </c>
      <c r="H565" s="1" t="s">
        <v>3073</v>
      </c>
      <c r="I565" s="1" t="s">
        <v>3864</v>
      </c>
      <c r="J565" s="1" t="s">
        <v>78</v>
      </c>
      <c r="K565" s="1" t="s">
        <v>3879</v>
      </c>
      <c r="L565" s="1"/>
      <c r="M565" s="6" t="str">
        <f>IF(Table2[[#This Row],[Corrected Form '#
 (If Duplicated)]]="",Table2[[#This Row],[Form '#]],Table2[[#This Row],[Corrected Form '#
 (If Duplicated)]])</f>
        <v>7812-3788</v>
      </c>
      <c r="N565" s="1" t="s">
        <v>49</v>
      </c>
      <c r="O565" s="6" t="str">
        <f>IF(Table2[[#This Row],[POG CONFIRMATION RECEIPT OF ORDER
(DATE &amp; TIME)]]="","No Confirmation","Received Confirmation")</f>
        <v>Received Confirmation</v>
      </c>
      <c r="P565" s="6">
        <f ca="1">TODAY()-Table2[[#This Row],[DATE SENT TO POG]]</f>
        <v>298</v>
      </c>
      <c r="Q565" s="6" t="s">
        <v>5803</v>
      </c>
      <c r="R5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5" s="2" t="str">
        <f>_xlfn.XLOOKUP(Table2[[#This Row],[Adjusted Form '#]],'[2]IN PROGRESS'!$D:$D,'[2]IN PROGRESS'!$M:$M,"Not Found")</f>
        <v>Not Found</v>
      </c>
      <c r="U565" s="2" t="str">
        <f>_xlfn.XLOOKUP(Table2[[#This Row],[Adjusted Form '#]],[1]COMPLETED!$D:$D,[2]COMPLETED!$M:$M,"Not Found")</f>
        <v>Not Found</v>
      </c>
      <c r="V565" s="17" t="str">
        <f>_xlfn.XLOOKUP(Table2[[#This Row],[Adjusted Form '#]],[2]COMPLETED!$D:$D,[2]COMPLETED!$O:$O,"Not Found")</f>
        <v>Not Found</v>
      </c>
      <c r="W565" s="2" t="str">
        <f>_xlfn.XLOOKUP(Table2[[#This Row],[Adjusted Form '#]],[2]BILLED!$D:$D,[2]BILLED!$M:$M,"Not Found")</f>
        <v>1Z5063E0YW41365623</v>
      </c>
      <c r="X565" s="17" t="e">
        <f>_xlfn.XLOOKUP(Table2[[#This Row],[Adjusted Form '#]],[2]BILLED!$D:$D,[1]BILLED!$O:$O,"Not Found")</f>
        <v>#REF!</v>
      </c>
      <c r="Y565" s="17" t="e">
        <f>_xlfn.XLOOKUP(Table2[[#This Row],[Adjusted Form '#]],'[2]REJECTED ORDERS'!$D:$D,'[2]REJECTED ORDERS'!$E:$E)</f>
        <v>#N/A</v>
      </c>
      <c r="Z565" s="1"/>
      <c r="AA565" s="1"/>
      <c r="AB565" s="8"/>
      <c r="AC565" s="8"/>
      <c r="AD565" s="8"/>
      <c r="AE565" s="8"/>
      <c r="AF565" s="8"/>
      <c r="AG565" s="8"/>
      <c r="AH565" s="8"/>
      <c r="AI565" s="8"/>
      <c r="AJ565" s="8"/>
    </row>
    <row r="566" spans="1:36" ht="15" customHeight="1" x14ac:dyDescent="0.35">
      <c r="A566" s="4" t="s">
        <v>853</v>
      </c>
      <c r="B566" s="1" t="s">
        <v>1702</v>
      </c>
      <c r="C566" s="11">
        <v>45005</v>
      </c>
      <c r="D566" s="11" t="s">
        <v>4799</v>
      </c>
      <c r="E566" s="1" t="s">
        <v>191</v>
      </c>
      <c r="F566" s="1" t="s">
        <v>4801</v>
      </c>
      <c r="G566" s="6">
        <f>COUNTIF(F:F,Table2[[#This Row],[Form '#]])</f>
        <v>1</v>
      </c>
      <c r="H566" s="1" t="s">
        <v>3606</v>
      </c>
      <c r="I566" s="1" t="s">
        <v>127</v>
      </c>
      <c r="J566" s="1" t="s">
        <v>76</v>
      </c>
      <c r="K566" s="1" t="s">
        <v>4011</v>
      </c>
      <c r="L566" s="1"/>
      <c r="M566" s="6" t="str">
        <f>IF(Table2[[#This Row],[Corrected Form '#
 (If Duplicated)]]="",Table2[[#This Row],[Form '#]],Table2[[#This Row],[Corrected Form '#
 (If Duplicated)]])</f>
        <v>7812-3785</v>
      </c>
      <c r="N566" s="1" t="s">
        <v>49</v>
      </c>
      <c r="O566" s="6" t="str">
        <f>IF(Table2[[#This Row],[POG CONFIRMATION RECEIPT OF ORDER
(DATE &amp; TIME)]]="","No Confirmation","Received Confirmation")</f>
        <v>Received Confirmation</v>
      </c>
      <c r="P566" s="6">
        <f ca="1">TODAY()-Table2[[#This Row],[DATE SENT TO POG]]</f>
        <v>298</v>
      </c>
      <c r="Q566" s="6" t="s">
        <v>5803</v>
      </c>
      <c r="R5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6" s="2" t="str">
        <f>_xlfn.XLOOKUP(Table2[[#This Row],[Adjusted Form '#]],'[2]IN PROGRESS'!$D:$D,'[2]IN PROGRESS'!$M:$M,"Not Found")</f>
        <v>Not Found</v>
      </c>
      <c r="U566" s="2" t="str">
        <f>_xlfn.XLOOKUP(Table2[[#This Row],[Adjusted Form '#]],[1]COMPLETED!$D:$D,[2]COMPLETED!$M:$M,"Not Found")</f>
        <v>Not Found</v>
      </c>
      <c r="V566" s="17" t="str">
        <f>_xlfn.XLOOKUP(Table2[[#This Row],[Adjusted Form '#]],[2]COMPLETED!$D:$D,[2]COMPLETED!$O:$O,"Not Found")</f>
        <v>Not Found</v>
      </c>
      <c r="W566" s="2" t="str">
        <f>_xlfn.XLOOKUP(Table2[[#This Row],[Adjusted Form '#]],[2]BILLED!$D:$D,[2]BILLED!$M:$M,"Not Found")</f>
        <v>1Z5063E0YW41137405</v>
      </c>
      <c r="X566" s="17" t="e">
        <f>_xlfn.XLOOKUP(Table2[[#This Row],[Adjusted Form '#]],[2]BILLED!$D:$D,[1]BILLED!$O:$O,"Not Found")</f>
        <v>#REF!</v>
      </c>
      <c r="Y566" s="17" t="e">
        <f>_xlfn.XLOOKUP(Table2[[#This Row],[Adjusted Form '#]],'[2]REJECTED ORDERS'!$D:$D,'[2]REJECTED ORDERS'!$E:$E)</f>
        <v>#N/A</v>
      </c>
      <c r="Z566" s="1"/>
      <c r="AA566" s="1"/>
      <c r="AB566" s="8"/>
      <c r="AC566" s="8"/>
      <c r="AD566" s="8"/>
      <c r="AE566" s="8"/>
      <c r="AF566" s="8"/>
      <c r="AG566" s="8"/>
      <c r="AH566" s="8"/>
      <c r="AI566" s="8"/>
      <c r="AJ566" s="8"/>
    </row>
    <row r="567" spans="1:36" ht="15" customHeight="1" x14ac:dyDescent="0.35">
      <c r="A567" s="4" t="s">
        <v>855</v>
      </c>
      <c r="B567" s="1" t="s">
        <v>1702</v>
      </c>
      <c r="C567" s="11">
        <v>45005</v>
      </c>
      <c r="D567" s="11" t="s">
        <v>4799</v>
      </c>
      <c r="E567" s="1" t="s">
        <v>191</v>
      </c>
      <c r="F567" s="1" t="s">
        <v>4802</v>
      </c>
      <c r="G567" s="6">
        <f>COUNTIF(F:F,Table2[[#This Row],[Form '#]])</f>
        <v>1</v>
      </c>
      <c r="H567" s="1" t="s">
        <v>3155</v>
      </c>
      <c r="I567" s="1" t="s">
        <v>127</v>
      </c>
      <c r="J567" s="1" t="s">
        <v>76</v>
      </c>
      <c r="K567" s="1" t="s">
        <v>3883</v>
      </c>
      <c r="L567" s="1"/>
      <c r="M567" s="6" t="str">
        <f>IF(Table2[[#This Row],[Corrected Form '#
 (If Duplicated)]]="",Table2[[#This Row],[Form '#]],Table2[[#This Row],[Corrected Form '#
 (If Duplicated)]])</f>
        <v>7812-03347</v>
      </c>
      <c r="N567" s="1" t="s">
        <v>49</v>
      </c>
      <c r="O567" s="6" t="str">
        <f>IF(Table2[[#This Row],[POG CONFIRMATION RECEIPT OF ORDER
(DATE &amp; TIME)]]="","No Confirmation","Received Confirmation")</f>
        <v>Received Confirmation</v>
      </c>
      <c r="P567" s="6">
        <f ca="1">TODAY()-Table2[[#This Row],[DATE SENT TO POG]]</f>
        <v>298</v>
      </c>
      <c r="Q567" s="6" t="s">
        <v>5803</v>
      </c>
      <c r="R5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7" s="2" t="str">
        <f>_xlfn.XLOOKUP(Table2[[#This Row],[Adjusted Form '#]],'[2]IN PROGRESS'!$D:$D,'[2]IN PROGRESS'!$M:$M,"Not Found")</f>
        <v>Not Found</v>
      </c>
      <c r="U567" s="2" t="str">
        <f>_xlfn.XLOOKUP(Table2[[#This Row],[Adjusted Form '#]],[1]COMPLETED!$D:$D,[2]COMPLETED!$M:$M,"Not Found")</f>
        <v>Not Found</v>
      </c>
      <c r="V567" s="17" t="str">
        <f>_xlfn.XLOOKUP(Table2[[#This Row],[Adjusted Form '#]],[2]COMPLETED!$D:$D,[2]COMPLETED!$O:$O,"Not Found")</f>
        <v>Not Found</v>
      </c>
      <c r="W567" s="2" t="str">
        <f>_xlfn.XLOOKUP(Table2[[#This Row],[Adjusted Form '#]],[2]BILLED!$D:$D,[2]BILLED!$M:$M,"Not Found")</f>
        <v>1Z5063E0YW40897140</v>
      </c>
      <c r="X567" s="17" t="e">
        <f>_xlfn.XLOOKUP(Table2[[#This Row],[Adjusted Form '#]],[2]BILLED!$D:$D,[1]BILLED!$O:$O,"Not Found")</f>
        <v>#REF!</v>
      </c>
      <c r="Y567" s="17" t="e">
        <f>_xlfn.XLOOKUP(Table2[[#This Row],[Adjusted Form '#]],'[2]REJECTED ORDERS'!$D:$D,'[2]REJECTED ORDERS'!$E:$E)</f>
        <v>#N/A</v>
      </c>
      <c r="Z567" s="1"/>
      <c r="AA567" s="1"/>
      <c r="AB567" s="8"/>
      <c r="AC567" s="8"/>
      <c r="AD567" s="8"/>
      <c r="AE567" s="8"/>
      <c r="AF567" s="8"/>
      <c r="AG567" s="8"/>
      <c r="AH567" s="8"/>
      <c r="AI567" s="8"/>
      <c r="AJ567" s="8"/>
    </row>
    <row r="568" spans="1:36" ht="15" customHeight="1" x14ac:dyDescent="0.35">
      <c r="A568" s="4" t="s">
        <v>856</v>
      </c>
      <c r="B568" s="1" t="s">
        <v>1702</v>
      </c>
      <c r="C568" s="11">
        <v>45005</v>
      </c>
      <c r="D568" s="11" t="s">
        <v>4799</v>
      </c>
      <c r="E568" s="1" t="s">
        <v>191</v>
      </c>
      <c r="F568" s="1" t="s">
        <v>4577</v>
      </c>
      <c r="G568" s="6">
        <f>COUNTIF(F:F,Table2[[#This Row],[Form '#]])</f>
        <v>2</v>
      </c>
      <c r="H568" s="1" t="s">
        <v>1364</v>
      </c>
      <c r="I568" s="1" t="s">
        <v>127</v>
      </c>
      <c r="J568" s="1" t="s">
        <v>76</v>
      </c>
      <c r="K568" s="1" t="s">
        <v>4011</v>
      </c>
      <c r="L568" s="1"/>
      <c r="M568" s="6" t="str">
        <f>IF(Table2[[#This Row],[Corrected Form '#
 (If Duplicated)]]="",Table2[[#This Row],[Form '#]],Table2[[#This Row],[Corrected Form '#
 (If Duplicated)]])</f>
        <v>7812-3605</v>
      </c>
      <c r="N568" s="1" t="s">
        <v>49</v>
      </c>
      <c r="O568" s="6" t="str">
        <f>IF(Table2[[#This Row],[POG CONFIRMATION RECEIPT OF ORDER
(DATE &amp; TIME)]]="","No Confirmation","Received Confirmation")</f>
        <v>Received Confirmation</v>
      </c>
      <c r="P568" s="6">
        <f ca="1">TODAY()-Table2[[#This Row],[DATE SENT TO POG]]</f>
        <v>298</v>
      </c>
      <c r="Q568" s="6" t="s">
        <v>5803</v>
      </c>
      <c r="R5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8" s="2" t="str">
        <f>_xlfn.XLOOKUP(Table2[[#This Row],[Adjusted Form '#]],'[2]IN PROGRESS'!$D:$D,'[2]IN PROGRESS'!$M:$M,"Not Found")</f>
        <v>Not Found</v>
      </c>
      <c r="U568" s="2" t="str">
        <f>_xlfn.XLOOKUP(Table2[[#This Row],[Adjusted Form '#]],[1]COMPLETED!$D:$D,[2]COMPLETED!$M:$M,"Not Found")</f>
        <v>Not Found</v>
      </c>
      <c r="V568" s="17" t="str">
        <f>_xlfn.XLOOKUP(Table2[[#This Row],[Adjusted Form '#]],[2]COMPLETED!$D:$D,[2]COMPLETED!$O:$O,"Not Found")</f>
        <v>Not Found</v>
      </c>
      <c r="W568" s="2" t="str">
        <f>_xlfn.XLOOKUP(Table2[[#This Row],[Adjusted Form '#]],[2]BILLED!$D:$D,[2]BILLED!$M:$M,"Not Found")</f>
        <v>1Z5063E0YW40824398</v>
      </c>
      <c r="X568" s="17" t="e">
        <f>_xlfn.XLOOKUP(Table2[[#This Row],[Adjusted Form '#]],[2]BILLED!$D:$D,[1]BILLED!$O:$O,"Not Found")</f>
        <v>#REF!</v>
      </c>
      <c r="Y568" s="17" t="e">
        <f>_xlfn.XLOOKUP(Table2[[#This Row],[Adjusted Form '#]],'[2]REJECTED ORDERS'!$D:$D,'[2]REJECTED ORDERS'!$E:$E)</f>
        <v>#N/A</v>
      </c>
      <c r="Z568" s="1"/>
      <c r="AA568" s="1"/>
      <c r="AB568" s="8"/>
      <c r="AC568" s="8"/>
      <c r="AD568" s="8"/>
      <c r="AE568" s="8"/>
      <c r="AF568" s="8"/>
      <c r="AG568" s="8"/>
      <c r="AH568" s="8"/>
      <c r="AI568" s="8"/>
      <c r="AJ568" s="8"/>
    </row>
    <row r="569" spans="1:36" ht="15" customHeight="1" x14ac:dyDescent="0.35">
      <c r="A569" s="4" t="s">
        <v>857</v>
      </c>
      <c r="B569" s="1" t="s">
        <v>1702</v>
      </c>
      <c r="C569" s="11">
        <v>45005</v>
      </c>
      <c r="D569" s="11" t="s">
        <v>4799</v>
      </c>
      <c r="E569" s="1" t="s">
        <v>191</v>
      </c>
      <c r="F569" s="1" t="s">
        <v>4803</v>
      </c>
      <c r="G569" s="6">
        <f>COUNTIF(F:F,Table2[[#This Row],[Form '#]])</f>
        <v>1</v>
      </c>
      <c r="H569" s="1" t="s">
        <v>4804</v>
      </c>
      <c r="I569" s="1" t="s">
        <v>127</v>
      </c>
      <c r="J569" s="1" t="s">
        <v>76</v>
      </c>
      <c r="K569" s="1" t="s">
        <v>4011</v>
      </c>
      <c r="L569" s="1"/>
      <c r="M569" s="6" t="str">
        <f>IF(Table2[[#This Row],[Corrected Form '#
 (If Duplicated)]]="",Table2[[#This Row],[Form '#]],Table2[[#This Row],[Corrected Form '#
 (If Duplicated)]])</f>
        <v>7812-02076</v>
      </c>
      <c r="N569" s="1" t="s">
        <v>49</v>
      </c>
      <c r="O569" s="6" t="str">
        <f>IF(Table2[[#This Row],[POG CONFIRMATION RECEIPT OF ORDER
(DATE &amp; TIME)]]="","No Confirmation","Received Confirmation")</f>
        <v>Received Confirmation</v>
      </c>
      <c r="P569" s="6">
        <f ca="1">TODAY()-Table2[[#This Row],[DATE SENT TO POG]]</f>
        <v>298</v>
      </c>
      <c r="Q569" s="6" t="s">
        <v>5803</v>
      </c>
      <c r="R5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69" s="2" t="str">
        <f>_xlfn.XLOOKUP(Table2[[#This Row],[Adjusted Form '#]],'[2]IN PROGRESS'!$D:$D,'[2]IN PROGRESS'!$M:$M,"Not Found")</f>
        <v>Not Found</v>
      </c>
      <c r="U569" s="2" t="str">
        <f>_xlfn.XLOOKUP(Table2[[#This Row],[Adjusted Form '#]],[1]COMPLETED!$D:$D,[2]COMPLETED!$M:$M,"Not Found")</f>
        <v>Not Found</v>
      </c>
      <c r="V569" s="17" t="str">
        <f>_xlfn.XLOOKUP(Table2[[#This Row],[Adjusted Form '#]],[2]COMPLETED!$D:$D,[2]COMPLETED!$O:$O,"Not Found")</f>
        <v>Not Found</v>
      </c>
      <c r="W569" s="2" t="str">
        <f>_xlfn.XLOOKUP(Table2[[#This Row],[Adjusted Form '#]],[2]BILLED!$D:$D,[2]BILLED!$M:$M,"Not Found")</f>
        <v>1Z5063E0YW42203779</v>
      </c>
      <c r="X569" s="17" t="e">
        <f>_xlfn.XLOOKUP(Table2[[#This Row],[Adjusted Form '#]],[2]BILLED!$D:$D,[1]BILLED!$O:$O,"Not Found")</f>
        <v>#REF!</v>
      </c>
      <c r="Y569" s="17" t="e">
        <f>_xlfn.XLOOKUP(Table2[[#This Row],[Adjusted Form '#]],'[2]REJECTED ORDERS'!$D:$D,'[2]REJECTED ORDERS'!$E:$E)</f>
        <v>#N/A</v>
      </c>
      <c r="Z569" s="1"/>
      <c r="AA569" s="1"/>
      <c r="AB569" s="8"/>
      <c r="AC569" s="8"/>
      <c r="AD569" s="8"/>
      <c r="AE569" s="8"/>
      <c r="AF569" s="8"/>
      <c r="AG569" s="8"/>
      <c r="AH569" s="8"/>
      <c r="AI569" s="8"/>
      <c r="AJ569" s="8"/>
    </row>
    <row r="570" spans="1:36" ht="15" customHeight="1" x14ac:dyDescent="0.35">
      <c r="A570" s="4" t="s">
        <v>858</v>
      </c>
      <c r="B570" s="1" t="s">
        <v>4805</v>
      </c>
      <c r="C570" s="11">
        <v>45005</v>
      </c>
      <c r="D570" s="11" t="s">
        <v>4799</v>
      </c>
      <c r="E570" s="1" t="s">
        <v>191</v>
      </c>
      <c r="F570" s="1" t="s">
        <v>4806</v>
      </c>
      <c r="G570" s="6">
        <f>COUNTIF(F:F,Table2[[#This Row],[Form '#]])</f>
        <v>1</v>
      </c>
      <c r="H570" s="1" t="s">
        <v>77</v>
      </c>
      <c r="I570" s="1" t="s">
        <v>3864</v>
      </c>
      <c r="J570" s="1" t="s">
        <v>78</v>
      </c>
      <c r="K570" s="1" t="s">
        <v>3879</v>
      </c>
      <c r="L570" s="1"/>
      <c r="M570" s="6" t="str">
        <f>IF(Table2[[#This Row],[Corrected Form '#
 (If Duplicated)]]="",Table2[[#This Row],[Form '#]],Table2[[#This Row],[Corrected Form '#
 (If Duplicated)]])</f>
        <v>7812-12795</v>
      </c>
      <c r="N570" s="1" t="s">
        <v>49</v>
      </c>
      <c r="O570" s="6" t="str">
        <f>IF(Table2[[#This Row],[POG CONFIRMATION RECEIPT OF ORDER
(DATE &amp; TIME)]]="","No Confirmation","Received Confirmation")</f>
        <v>Received Confirmation</v>
      </c>
      <c r="P570" s="6">
        <f ca="1">TODAY()-Table2[[#This Row],[DATE SENT TO POG]]</f>
        <v>298</v>
      </c>
      <c r="Q570" s="6" t="s">
        <v>5802</v>
      </c>
      <c r="R5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57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570" s="2" t="str">
        <f>_xlfn.XLOOKUP(Table2[[#This Row],[Adjusted Form '#]],'[2]IN PROGRESS'!$D:$D,'[2]IN PROGRESS'!$M:$M,"Not Found")</f>
        <v>Not Found</v>
      </c>
      <c r="U570" s="2" t="str">
        <f>_xlfn.XLOOKUP(Table2[[#This Row],[Adjusted Form '#]],[1]COMPLETED!$D:$D,[2]COMPLETED!$M:$M,"Not Found")</f>
        <v>Not Found</v>
      </c>
      <c r="V570" s="17" t="str">
        <f>_xlfn.XLOOKUP(Table2[[#This Row],[Adjusted Form '#]],[2]COMPLETED!$D:$D,[2]COMPLETED!$O:$O,"Not Found")</f>
        <v>Not Found</v>
      </c>
      <c r="W570" s="2" t="str">
        <f>_xlfn.XLOOKUP(Table2[[#This Row],[Adjusted Form '#]],[2]BILLED!$D:$D,[2]BILLED!$M:$M,"Not Found")</f>
        <v>Not Found</v>
      </c>
      <c r="X570" s="17" t="str">
        <f>_xlfn.XLOOKUP(Table2[[#This Row],[Adjusted Form '#]],[2]BILLED!$D:$D,[1]BILLED!$O:$O,"Not Found")</f>
        <v>Not Found</v>
      </c>
      <c r="Y570" s="17" t="e">
        <f>_xlfn.XLOOKUP(Table2[[#This Row],[Adjusted Form '#]],'[2]REJECTED ORDERS'!$D:$D,'[2]REJECTED ORDERS'!$E:$E)</f>
        <v>#N/A</v>
      </c>
      <c r="Z570" s="1"/>
      <c r="AA570" s="1"/>
      <c r="AB570" s="8"/>
      <c r="AC570" s="8"/>
      <c r="AD570" s="8"/>
      <c r="AE570" s="8"/>
      <c r="AF570" s="8"/>
      <c r="AG570" s="8"/>
      <c r="AH570" s="8"/>
      <c r="AI570" s="8"/>
      <c r="AJ570" s="8"/>
    </row>
    <row r="571" spans="1:36" ht="15" customHeight="1" x14ac:dyDescent="0.35">
      <c r="A571" s="4" t="s">
        <v>859</v>
      </c>
      <c r="B571" s="1" t="s">
        <v>3510</v>
      </c>
      <c r="C571" s="11">
        <v>45005</v>
      </c>
      <c r="D571" s="11" t="s">
        <v>4799</v>
      </c>
      <c r="E571" s="1" t="s">
        <v>21</v>
      </c>
      <c r="F571" s="1" t="s">
        <v>4807</v>
      </c>
      <c r="G571" s="6">
        <f>COUNTIF(F:F,Table2[[#This Row],[Form '#]])</f>
        <v>1</v>
      </c>
      <c r="H571" s="1" t="s">
        <v>743</v>
      </c>
      <c r="I571" s="1" t="s">
        <v>3852</v>
      </c>
      <c r="J571" s="1" t="s">
        <v>80</v>
      </c>
      <c r="K571" s="1" t="s">
        <v>3853</v>
      </c>
      <c r="L571" s="1"/>
      <c r="M571" s="6" t="str">
        <f>IF(Table2[[#This Row],[Corrected Form '#
 (If Duplicated)]]="",Table2[[#This Row],[Form '#]],Table2[[#This Row],[Corrected Form '#
 (If Duplicated)]])</f>
        <v>7818-26192</v>
      </c>
      <c r="N571" s="1" t="s">
        <v>49</v>
      </c>
      <c r="O571" s="6" t="str">
        <f>IF(Table2[[#This Row],[POG CONFIRMATION RECEIPT OF ORDER
(DATE &amp; TIME)]]="","No Confirmation","Received Confirmation")</f>
        <v>Received Confirmation</v>
      </c>
      <c r="P571" s="6">
        <f ca="1">TODAY()-Table2[[#This Row],[DATE SENT TO POG]]</f>
        <v>298</v>
      </c>
      <c r="Q571" s="6" t="s">
        <v>5803</v>
      </c>
      <c r="R5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1" s="2" t="str">
        <f>_xlfn.XLOOKUP(Table2[[#This Row],[Adjusted Form '#]],'[2]IN PROGRESS'!$D:$D,'[2]IN PROGRESS'!$M:$M,"Not Found")</f>
        <v>Not Found</v>
      </c>
      <c r="U571" s="2" t="str">
        <f>_xlfn.XLOOKUP(Table2[[#This Row],[Adjusted Form '#]],[1]COMPLETED!$D:$D,[2]COMPLETED!$M:$M,"Not Found")</f>
        <v>Not Found</v>
      </c>
      <c r="V571" s="17" t="str">
        <f>_xlfn.XLOOKUP(Table2[[#This Row],[Adjusted Form '#]],[2]COMPLETED!$D:$D,[2]COMPLETED!$O:$O,"Not Found")</f>
        <v>Not Found</v>
      </c>
      <c r="W571" s="2" t="str">
        <f>_xlfn.XLOOKUP(Table2[[#This Row],[Adjusted Form '#]],[2]BILLED!$D:$D,[2]BILLED!$M:$M,"Not Found")</f>
        <v>1Z5063E0YW40708675</v>
      </c>
      <c r="X571" s="17" t="e">
        <f>_xlfn.XLOOKUP(Table2[[#This Row],[Adjusted Form '#]],[2]BILLED!$D:$D,[1]BILLED!$O:$O,"Not Found")</f>
        <v>#REF!</v>
      </c>
      <c r="Y571" s="17" t="e">
        <f>_xlfn.XLOOKUP(Table2[[#This Row],[Adjusted Form '#]],'[2]REJECTED ORDERS'!$D:$D,'[2]REJECTED ORDERS'!$E:$E)</f>
        <v>#N/A</v>
      </c>
      <c r="Z571" s="1"/>
      <c r="AA571" s="1"/>
      <c r="AB571" s="8"/>
      <c r="AC571" s="8"/>
      <c r="AD571" s="8"/>
      <c r="AE571" s="8"/>
      <c r="AF571" s="8"/>
      <c r="AG571" s="8"/>
      <c r="AH571" s="8"/>
      <c r="AI571" s="8"/>
      <c r="AJ571" s="8"/>
    </row>
    <row r="572" spans="1:36" ht="15" customHeight="1" x14ac:dyDescent="0.35">
      <c r="A572" s="4" t="s">
        <v>860</v>
      </c>
      <c r="B572" s="1" t="s">
        <v>3510</v>
      </c>
      <c r="C572" s="11">
        <v>45005</v>
      </c>
      <c r="D572" s="11" t="s">
        <v>4799</v>
      </c>
      <c r="E572" s="1" t="s">
        <v>21</v>
      </c>
      <c r="F572" s="1" t="s">
        <v>4808</v>
      </c>
      <c r="G572" s="6">
        <f>COUNTIF(F:F,Table2[[#This Row],[Form '#]])</f>
        <v>1</v>
      </c>
      <c r="H572" s="1" t="s">
        <v>1071</v>
      </c>
      <c r="I572" s="1" t="s">
        <v>3852</v>
      </c>
      <c r="J572" s="1" t="s">
        <v>75</v>
      </c>
      <c r="K572" s="1" t="s">
        <v>4011</v>
      </c>
      <c r="L572" s="1"/>
      <c r="M572" s="6" t="str">
        <f>IF(Table2[[#This Row],[Corrected Form '#
 (If Duplicated)]]="",Table2[[#This Row],[Form '#]],Table2[[#This Row],[Corrected Form '#
 (If Duplicated)]])</f>
        <v>7818-25395</v>
      </c>
      <c r="N572" s="1" t="s">
        <v>49</v>
      </c>
      <c r="O572" s="6" t="str">
        <f>IF(Table2[[#This Row],[POG CONFIRMATION RECEIPT OF ORDER
(DATE &amp; TIME)]]="","No Confirmation","Received Confirmation")</f>
        <v>Received Confirmation</v>
      </c>
      <c r="P572" s="6">
        <f ca="1">TODAY()-Table2[[#This Row],[DATE SENT TO POG]]</f>
        <v>298</v>
      </c>
      <c r="Q572" s="6" t="s">
        <v>5803</v>
      </c>
      <c r="R5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2" s="2" t="str">
        <f>_xlfn.XLOOKUP(Table2[[#This Row],[Adjusted Form '#]],'[2]IN PROGRESS'!$D:$D,'[2]IN PROGRESS'!$M:$M,"Not Found")</f>
        <v>Not Found</v>
      </c>
      <c r="U572" s="2" t="str">
        <f>_xlfn.XLOOKUP(Table2[[#This Row],[Adjusted Form '#]],[1]COMPLETED!$D:$D,[2]COMPLETED!$M:$M,"Not Found")</f>
        <v>Not Found</v>
      </c>
      <c r="V572" s="17" t="str">
        <f>_xlfn.XLOOKUP(Table2[[#This Row],[Adjusted Form '#]],[2]COMPLETED!$D:$D,[2]COMPLETED!$O:$O,"Not Found")</f>
        <v>Not Found</v>
      </c>
      <c r="W572" s="2" t="str">
        <f>_xlfn.XLOOKUP(Table2[[#This Row],[Adjusted Form '#]],[2]BILLED!$D:$D,[2]BILLED!$M:$M,"Not Found")</f>
        <v>1Z5063E0YW42860247</v>
      </c>
      <c r="X572" s="17" t="e">
        <f>_xlfn.XLOOKUP(Table2[[#This Row],[Adjusted Form '#]],[2]BILLED!$D:$D,[1]BILLED!$O:$O,"Not Found")</f>
        <v>#REF!</v>
      </c>
      <c r="Y572" s="17" t="e">
        <f>_xlfn.XLOOKUP(Table2[[#This Row],[Adjusted Form '#]],'[2]REJECTED ORDERS'!$D:$D,'[2]REJECTED ORDERS'!$E:$E)</f>
        <v>#N/A</v>
      </c>
      <c r="Z572" s="1"/>
      <c r="AA572" s="1"/>
      <c r="AB572" s="8"/>
      <c r="AC572" s="8"/>
      <c r="AD572" s="8"/>
      <c r="AE572" s="8"/>
      <c r="AF572" s="8"/>
      <c r="AG572" s="8"/>
      <c r="AH572" s="8"/>
      <c r="AI572" s="8"/>
      <c r="AJ572" s="8"/>
    </row>
    <row r="573" spans="1:36" ht="15" customHeight="1" x14ac:dyDescent="0.35">
      <c r="A573" s="4" t="s">
        <v>862</v>
      </c>
      <c r="B573" s="1" t="s">
        <v>4809</v>
      </c>
      <c r="C573" s="11">
        <v>45005</v>
      </c>
      <c r="D573" s="11" t="s">
        <v>4810</v>
      </c>
      <c r="E573" s="1" t="s">
        <v>73</v>
      </c>
      <c r="F573" s="1" t="s">
        <v>4811</v>
      </c>
      <c r="G573" s="6">
        <f>COUNTIF(F:F,Table2[[#This Row],[Form '#]])</f>
        <v>1</v>
      </c>
      <c r="H573" s="1" t="s">
        <v>4812</v>
      </c>
      <c r="I573" s="1" t="s">
        <v>3852</v>
      </c>
      <c r="J573" s="1" t="s">
        <v>75</v>
      </c>
      <c r="K573" s="1" t="s">
        <v>3853</v>
      </c>
      <c r="L573" s="1"/>
      <c r="M573" s="6" t="str">
        <f>IF(Table2[[#This Row],[Corrected Form '#
 (If Duplicated)]]="",Table2[[#This Row],[Form '#]],Table2[[#This Row],[Corrected Form '#
 (If Duplicated)]])</f>
        <v>7823-02281</v>
      </c>
      <c r="N573" s="1" t="s">
        <v>49</v>
      </c>
      <c r="O573" s="6" t="str">
        <f>IF(Table2[[#This Row],[POG CONFIRMATION RECEIPT OF ORDER
(DATE &amp; TIME)]]="","No Confirmation","Received Confirmation")</f>
        <v>Received Confirmation</v>
      </c>
      <c r="P573" s="6">
        <f ca="1">TODAY()-Table2[[#This Row],[DATE SENT TO POG]]</f>
        <v>298</v>
      </c>
      <c r="Q573" s="6" t="s">
        <v>5803</v>
      </c>
      <c r="R5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3" s="2" t="str">
        <f>_xlfn.XLOOKUP(Table2[[#This Row],[Adjusted Form '#]],'[2]IN PROGRESS'!$D:$D,'[2]IN PROGRESS'!$M:$M,"Not Found")</f>
        <v>Not Found</v>
      </c>
      <c r="U573" s="2" t="str">
        <f>_xlfn.XLOOKUP(Table2[[#This Row],[Adjusted Form '#]],[1]COMPLETED!$D:$D,[2]COMPLETED!$M:$M,"Not Found")</f>
        <v>Not Found</v>
      </c>
      <c r="V573" s="17" t="str">
        <f>_xlfn.XLOOKUP(Table2[[#This Row],[Adjusted Form '#]],[2]COMPLETED!$D:$D,[2]COMPLETED!$O:$O,"Not Found")</f>
        <v>Not Found</v>
      </c>
      <c r="W573" s="2" t="str">
        <f>_xlfn.XLOOKUP(Table2[[#This Row],[Adjusted Form '#]],[2]BILLED!$D:$D,[2]BILLED!$M:$M,"Not Found")</f>
        <v>1Z5063E0YW40219668</v>
      </c>
      <c r="X573" s="17" t="e">
        <f>_xlfn.XLOOKUP(Table2[[#This Row],[Adjusted Form '#]],[2]BILLED!$D:$D,[1]BILLED!$O:$O,"Not Found")</f>
        <v>#REF!</v>
      </c>
      <c r="Y573" s="17" t="e">
        <f>_xlfn.XLOOKUP(Table2[[#This Row],[Adjusted Form '#]],'[2]REJECTED ORDERS'!$D:$D,'[2]REJECTED ORDERS'!$E:$E)</f>
        <v>#N/A</v>
      </c>
      <c r="Z573" s="1"/>
      <c r="AA573" s="1"/>
      <c r="AB573" s="8"/>
      <c r="AC573" s="8"/>
      <c r="AD573" s="8"/>
      <c r="AE573" s="8"/>
      <c r="AF573" s="8"/>
      <c r="AG573" s="8"/>
      <c r="AH573" s="8"/>
      <c r="AI573" s="8"/>
      <c r="AJ573" s="8"/>
    </row>
    <row r="574" spans="1:36" ht="15" customHeight="1" x14ac:dyDescent="0.35">
      <c r="A574" s="4" t="s">
        <v>863</v>
      </c>
      <c r="B574" s="1" t="s">
        <v>1900</v>
      </c>
      <c r="C574" s="11">
        <v>45005</v>
      </c>
      <c r="E574" s="1" t="s">
        <v>73</v>
      </c>
      <c r="F574" s="1" t="s">
        <v>4813</v>
      </c>
      <c r="G574" s="6">
        <f>COUNTIF(F:F,Table2[[#This Row],[Form '#]])</f>
        <v>1</v>
      </c>
      <c r="H574" s="1" t="s">
        <v>4814</v>
      </c>
      <c r="I574" s="1" t="s">
        <v>177</v>
      </c>
      <c r="J574" s="1" t="s">
        <v>75</v>
      </c>
      <c r="K574" s="1" t="s">
        <v>3853</v>
      </c>
      <c r="L574" s="1"/>
      <c r="M574" s="6" t="str">
        <f>IF(Table2[[#This Row],[Corrected Form '#
 (If Duplicated)]]="",Table2[[#This Row],[Form '#]],Table2[[#This Row],[Corrected Form '#
 (If Duplicated)]])</f>
        <v>7823-02903</v>
      </c>
      <c r="N574" s="1" t="s">
        <v>49</v>
      </c>
      <c r="O574" s="6" t="str">
        <f>IF(Table2[[#This Row],[POG CONFIRMATION RECEIPT OF ORDER
(DATE &amp; TIME)]]="","No Confirmation","Received Confirmation")</f>
        <v>No Confirmation</v>
      </c>
      <c r="P574" s="6">
        <f ca="1">TODAY()-Table2[[#This Row],[DATE SENT TO POG]]</f>
        <v>298</v>
      </c>
      <c r="Q574" s="6" t="s">
        <v>5803</v>
      </c>
      <c r="R5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4" s="2" t="str">
        <f>_xlfn.XLOOKUP(Table2[[#This Row],[Adjusted Form '#]],'[2]IN PROGRESS'!$D:$D,'[2]IN PROGRESS'!$M:$M,"Not Found")</f>
        <v>Not Found</v>
      </c>
      <c r="U574" s="2" t="str">
        <f>_xlfn.XLOOKUP(Table2[[#This Row],[Adjusted Form '#]],[1]COMPLETED!$D:$D,[2]COMPLETED!$M:$M,"Not Found")</f>
        <v>Not Found</v>
      </c>
      <c r="V574" s="17" t="str">
        <f>_xlfn.XLOOKUP(Table2[[#This Row],[Adjusted Form '#]],[2]COMPLETED!$D:$D,[2]COMPLETED!$O:$O,"Not Found")</f>
        <v>Not Found</v>
      </c>
      <c r="W574" s="2" t="str">
        <f>_xlfn.XLOOKUP(Table2[[#This Row],[Adjusted Form '#]],[2]BILLED!$D:$D,[2]BILLED!$M:$M,"Not Found")</f>
        <v>9402 1112 0620 7118 3196 24</v>
      </c>
      <c r="X574" s="17" t="e">
        <f>_xlfn.XLOOKUP(Table2[[#This Row],[Adjusted Form '#]],[2]BILLED!$D:$D,[1]BILLED!$O:$O,"Not Found")</f>
        <v>#REF!</v>
      </c>
      <c r="Y574" s="17" t="e">
        <f>_xlfn.XLOOKUP(Table2[[#This Row],[Adjusted Form '#]],'[2]REJECTED ORDERS'!$D:$D,'[2]REJECTED ORDERS'!$E:$E)</f>
        <v>#N/A</v>
      </c>
      <c r="Z574" s="1"/>
      <c r="AA574" s="1"/>
      <c r="AB574" s="8"/>
      <c r="AC574" s="8"/>
      <c r="AD574" s="8"/>
      <c r="AE574" s="8"/>
      <c r="AF574" s="8"/>
      <c r="AG574" s="8"/>
      <c r="AH574" s="8"/>
      <c r="AI574" s="8"/>
      <c r="AJ574" s="8"/>
    </row>
    <row r="575" spans="1:36" ht="15" customHeight="1" x14ac:dyDescent="0.35">
      <c r="A575" s="4" t="s">
        <v>864</v>
      </c>
      <c r="B575" s="1" t="s">
        <v>911</v>
      </c>
      <c r="C575" s="11">
        <v>45006</v>
      </c>
      <c r="E575" s="1" t="s">
        <v>48</v>
      </c>
      <c r="F575" s="1" t="s">
        <v>1565</v>
      </c>
      <c r="G575" s="6">
        <f>COUNTIF(F:F,Table2[[#This Row],[Form '#]])</f>
        <v>2</v>
      </c>
      <c r="H575" s="1" t="s">
        <v>1566</v>
      </c>
      <c r="I575" s="1" t="s">
        <v>758</v>
      </c>
      <c r="J575" s="1" t="s">
        <v>78</v>
      </c>
      <c r="K575" s="1" t="s">
        <v>3853</v>
      </c>
      <c r="L575" s="1"/>
      <c r="M575" s="6" t="str">
        <f>IF(Table2[[#This Row],[Corrected Form '#
 (If Duplicated)]]="",Table2[[#This Row],[Form '#]],Table2[[#This Row],[Corrected Form '#
 (If Duplicated)]])</f>
        <v>7819-00001</v>
      </c>
      <c r="N575" s="1" t="s">
        <v>49</v>
      </c>
      <c r="O575" s="6" t="str">
        <f>IF(Table2[[#This Row],[POG CONFIRMATION RECEIPT OF ORDER
(DATE &amp; TIME)]]="","No Confirmation","Received Confirmation")</f>
        <v>No Confirmation</v>
      </c>
      <c r="P575" s="6">
        <f ca="1">TODAY()-Table2[[#This Row],[DATE SENT TO POG]]</f>
        <v>297</v>
      </c>
      <c r="Q575" s="6" t="s">
        <v>5803</v>
      </c>
      <c r="R5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5" s="2" t="str">
        <f>_xlfn.XLOOKUP(Table2[[#This Row],[Adjusted Form '#]],'[2]IN PROGRESS'!$D:$D,'[2]IN PROGRESS'!$M:$M,"Not Found")</f>
        <v>Not Found</v>
      </c>
      <c r="U575" s="2" t="str">
        <f>_xlfn.XLOOKUP(Table2[[#This Row],[Adjusted Form '#]],[1]COMPLETED!$D:$D,[2]COMPLETED!$M:$M,"Not Found")</f>
        <v>Not Found</v>
      </c>
      <c r="V575" s="17" t="str">
        <f>_xlfn.XLOOKUP(Table2[[#This Row],[Adjusted Form '#]],[2]COMPLETED!$D:$D,[2]COMPLETED!$O:$O,"Not Found")</f>
        <v>Not Found</v>
      </c>
      <c r="W575" s="2" t="str">
        <f>_xlfn.XLOOKUP(Table2[[#This Row],[Adjusted Form '#]],[2]BILLED!$D:$D,[2]BILLED!$M:$M,"Not Found")</f>
        <v>9400 1112 0620 7597 0495 95</v>
      </c>
      <c r="X575" s="17" t="e">
        <f>_xlfn.XLOOKUP(Table2[[#This Row],[Adjusted Form '#]],[2]BILLED!$D:$D,[1]BILLED!$O:$O,"Not Found")</f>
        <v>#REF!</v>
      </c>
      <c r="Y575" s="17" t="str">
        <f>_xlfn.XLOOKUP(Table2[[#This Row],[Adjusted Form '#]],'[2]REJECTED ORDERS'!$D:$D,'[2]REJECTED ORDERS'!$E:$E)</f>
        <v>FORM NOT SIGNED</v>
      </c>
      <c r="Z575" s="1"/>
      <c r="AA575" s="1"/>
      <c r="AB575" s="8"/>
      <c r="AC575" s="8"/>
      <c r="AD575" s="8"/>
      <c r="AE575" s="8"/>
      <c r="AF575" s="8"/>
      <c r="AG575" s="8"/>
      <c r="AH575" s="8"/>
      <c r="AI575" s="8"/>
      <c r="AJ575" s="8"/>
    </row>
    <row r="576" spans="1:36" ht="15" customHeight="1" x14ac:dyDescent="0.35">
      <c r="A576" s="4" t="s">
        <v>865</v>
      </c>
      <c r="B576" s="1" t="s">
        <v>3756</v>
      </c>
      <c r="C576" s="11">
        <v>45006</v>
      </c>
      <c r="D576" s="11" t="s">
        <v>4815</v>
      </c>
      <c r="E576" s="1" t="s">
        <v>21</v>
      </c>
      <c r="F576" s="1" t="s">
        <v>4816</v>
      </c>
      <c r="G576" s="6">
        <f>COUNTIF(F:F,Table2[[#This Row],[Form '#]])</f>
        <v>2</v>
      </c>
      <c r="H576" s="1" t="s">
        <v>4817</v>
      </c>
      <c r="I576" s="1" t="s">
        <v>3852</v>
      </c>
      <c r="J576" s="1" t="s">
        <v>80</v>
      </c>
      <c r="K576" s="1" t="s">
        <v>3853</v>
      </c>
      <c r="L576" s="1"/>
      <c r="M576" s="6" t="str">
        <f>IF(Table2[[#This Row],[Corrected Form '#
 (If Duplicated)]]="",Table2[[#This Row],[Form '#]],Table2[[#This Row],[Corrected Form '#
 (If Duplicated)]])</f>
        <v>7818-21960</v>
      </c>
      <c r="N576" s="1" t="s">
        <v>49</v>
      </c>
      <c r="O576" s="6" t="str">
        <f>IF(Table2[[#This Row],[POG CONFIRMATION RECEIPT OF ORDER
(DATE &amp; TIME)]]="","No Confirmation","Received Confirmation")</f>
        <v>Received Confirmation</v>
      </c>
      <c r="P576" s="6">
        <f ca="1">TODAY()-Table2[[#This Row],[DATE SENT TO POG]]</f>
        <v>297</v>
      </c>
      <c r="Q576" s="6" t="s">
        <v>5803</v>
      </c>
      <c r="R5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6" s="2" t="str">
        <f>_xlfn.XLOOKUP(Table2[[#This Row],[Adjusted Form '#]],'[2]IN PROGRESS'!$D:$D,'[2]IN PROGRESS'!$M:$M,"Not Found")</f>
        <v>Not Found</v>
      </c>
      <c r="U576" s="2" t="str">
        <f>_xlfn.XLOOKUP(Table2[[#This Row],[Adjusted Form '#]],[1]COMPLETED!$D:$D,[2]COMPLETED!$M:$M,"Not Found")</f>
        <v>Not Found</v>
      </c>
      <c r="V576" s="17" t="str">
        <f>_xlfn.XLOOKUP(Table2[[#This Row],[Adjusted Form '#]],[2]COMPLETED!$D:$D,[2]COMPLETED!$O:$O,"Not Found")</f>
        <v>Not Found</v>
      </c>
      <c r="W576" s="2" t="str">
        <f>_xlfn.XLOOKUP(Table2[[#This Row],[Adjusted Form '#]],[2]BILLED!$D:$D,[2]BILLED!$M:$M,"Not Found")</f>
        <v>1Z5063E0YW41980735</v>
      </c>
      <c r="X576" s="17" t="e">
        <f>_xlfn.XLOOKUP(Table2[[#This Row],[Adjusted Form '#]],[2]BILLED!$D:$D,[1]BILLED!$O:$O,"Not Found")</f>
        <v>#REF!</v>
      </c>
      <c r="Y576" s="17" t="e">
        <f>_xlfn.XLOOKUP(Table2[[#This Row],[Adjusted Form '#]],'[2]REJECTED ORDERS'!$D:$D,'[2]REJECTED ORDERS'!$E:$E)</f>
        <v>#N/A</v>
      </c>
      <c r="Z576" s="1"/>
      <c r="AA576" s="1"/>
      <c r="AB576" s="8"/>
      <c r="AC576" s="8"/>
      <c r="AD576" s="8"/>
      <c r="AE576" s="8"/>
      <c r="AF576" s="8"/>
      <c r="AG576" s="8"/>
      <c r="AH576" s="8"/>
      <c r="AI576" s="8"/>
      <c r="AJ576" s="8"/>
    </row>
    <row r="577" spans="1:36" ht="15" customHeight="1" x14ac:dyDescent="0.35">
      <c r="A577" s="4" t="s">
        <v>867</v>
      </c>
      <c r="B577" s="1" t="s">
        <v>3756</v>
      </c>
      <c r="C577" s="11">
        <v>45006</v>
      </c>
      <c r="D577" s="11" t="s">
        <v>4815</v>
      </c>
      <c r="E577" s="1" t="s">
        <v>21</v>
      </c>
      <c r="F577" s="1" t="s">
        <v>4818</v>
      </c>
      <c r="G577" s="6">
        <f>COUNTIF(F:F,Table2[[#This Row],[Form '#]])</f>
        <v>1</v>
      </c>
      <c r="H577" s="1" t="s">
        <v>232</v>
      </c>
      <c r="I577" s="1" t="s">
        <v>177</v>
      </c>
      <c r="J577" s="1" t="s">
        <v>75</v>
      </c>
      <c r="K577" s="1" t="s">
        <v>3853</v>
      </c>
      <c r="L577" s="1"/>
      <c r="M577" s="6" t="str">
        <f>IF(Table2[[#This Row],[Corrected Form '#
 (If Duplicated)]]="",Table2[[#This Row],[Form '#]],Table2[[#This Row],[Corrected Form '#
 (If Duplicated)]])</f>
        <v>7818-25189</v>
      </c>
      <c r="N577" s="1" t="s">
        <v>49</v>
      </c>
      <c r="O577" s="6" t="str">
        <f>IF(Table2[[#This Row],[POG CONFIRMATION RECEIPT OF ORDER
(DATE &amp; TIME)]]="","No Confirmation","Received Confirmation")</f>
        <v>Received Confirmation</v>
      </c>
      <c r="P577" s="6">
        <f ca="1">TODAY()-Table2[[#This Row],[DATE SENT TO POG]]</f>
        <v>297</v>
      </c>
      <c r="Q577" s="6" t="s">
        <v>5803</v>
      </c>
      <c r="R5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7" s="2" t="str">
        <f>_xlfn.XLOOKUP(Table2[[#This Row],[Adjusted Form '#]],'[2]IN PROGRESS'!$D:$D,'[2]IN PROGRESS'!$M:$M,"Not Found")</f>
        <v>Not Found</v>
      </c>
      <c r="U577" s="2" t="str">
        <f>_xlfn.XLOOKUP(Table2[[#This Row],[Adjusted Form '#]],[1]COMPLETED!$D:$D,[2]COMPLETED!$M:$M,"Not Found")</f>
        <v>Not Found</v>
      </c>
      <c r="V577" s="17" t="str">
        <f>_xlfn.XLOOKUP(Table2[[#This Row],[Adjusted Form '#]],[2]COMPLETED!$D:$D,[2]COMPLETED!$O:$O,"Not Found")</f>
        <v>Not Found</v>
      </c>
      <c r="W577" s="2" t="str">
        <f>_xlfn.XLOOKUP(Table2[[#This Row],[Adjusted Form '#]],[2]BILLED!$D:$D,[2]BILLED!$M:$M,"Not Found")</f>
        <v>1Z5063E0YW42844354</v>
      </c>
      <c r="X577" s="17" t="e">
        <f>_xlfn.XLOOKUP(Table2[[#This Row],[Adjusted Form '#]],[2]BILLED!$D:$D,[1]BILLED!$O:$O,"Not Found")</f>
        <v>#REF!</v>
      </c>
      <c r="Y577" s="17" t="e">
        <f>_xlfn.XLOOKUP(Table2[[#This Row],[Adjusted Form '#]],'[2]REJECTED ORDERS'!$D:$D,'[2]REJECTED ORDERS'!$E:$E)</f>
        <v>#N/A</v>
      </c>
      <c r="Z577" s="1"/>
      <c r="AA577" s="1"/>
      <c r="AB577" s="8"/>
      <c r="AC577" s="8"/>
      <c r="AD577" s="8"/>
      <c r="AE577" s="8"/>
      <c r="AF577" s="8"/>
      <c r="AG577" s="8"/>
      <c r="AH577" s="8"/>
      <c r="AI577" s="8"/>
      <c r="AJ577" s="8"/>
    </row>
    <row r="578" spans="1:36" ht="15" customHeight="1" x14ac:dyDescent="0.35">
      <c r="A578" s="4" t="s">
        <v>869</v>
      </c>
      <c r="B578" s="1" t="s">
        <v>3756</v>
      </c>
      <c r="C578" s="11">
        <v>45006</v>
      </c>
      <c r="D578" s="11" t="s">
        <v>4815</v>
      </c>
      <c r="E578" s="1" t="s">
        <v>21</v>
      </c>
      <c r="F578" s="1" t="s">
        <v>4819</v>
      </c>
      <c r="G578" s="6">
        <f>COUNTIF(F:F,Table2[[#This Row],[Form '#]])</f>
        <v>1</v>
      </c>
      <c r="H578" s="1" t="s">
        <v>4820</v>
      </c>
      <c r="I578" s="1" t="s">
        <v>127</v>
      </c>
      <c r="J578" s="1" t="s">
        <v>76</v>
      </c>
      <c r="K578" s="1" t="s">
        <v>4011</v>
      </c>
      <c r="L578" s="1"/>
      <c r="M578" s="6" t="str">
        <f>IF(Table2[[#This Row],[Corrected Form '#
 (If Duplicated)]]="",Table2[[#This Row],[Form '#]],Table2[[#This Row],[Corrected Form '#
 (If Duplicated)]])</f>
        <v>7818-25398</v>
      </c>
      <c r="N578" s="1" t="s">
        <v>49</v>
      </c>
      <c r="O578" s="6" t="str">
        <f>IF(Table2[[#This Row],[POG CONFIRMATION RECEIPT OF ORDER
(DATE &amp; TIME)]]="","No Confirmation","Received Confirmation")</f>
        <v>Received Confirmation</v>
      </c>
      <c r="P578" s="6">
        <f ca="1">TODAY()-Table2[[#This Row],[DATE SENT TO POG]]</f>
        <v>297</v>
      </c>
      <c r="Q578" s="6" t="s">
        <v>5803</v>
      </c>
      <c r="R5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8" s="2" t="str">
        <f>_xlfn.XLOOKUP(Table2[[#This Row],[Adjusted Form '#]],'[2]IN PROGRESS'!$D:$D,'[2]IN PROGRESS'!$M:$M,"Not Found")</f>
        <v>Not Found</v>
      </c>
      <c r="U578" s="2" t="str">
        <f>_xlfn.XLOOKUP(Table2[[#This Row],[Adjusted Form '#]],[1]COMPLETED!$D:$D,[2]COMPLETED!$M:$M,"Not Found")</f>
        <v>Not Found</v>
      </c>
      <c r="V578" s="17" t="str">
        <f>_xlfn.XLOOKUP(Table2[[#This Row],[Adjusted Form '#]],[2]COMPLETED!$D:$D,[2]COMPLETED!$O:$O,"Not Found")</f>
        <v>Not Found</v>
      </c>
      <c r="W578" s="2" t="str">
        <f>_xlfn.XLOOKUP(Table2[[#This Row],[Adjusted Form '#]],[2]BILLED!$D:$D,[2]BILLED!$M:$M,"Not Found")</f>
        <v>1Z5063E0YW41599283</v>
      </c>
      <c r="X578" s="17" t="e">
        <f>_xlfn.XLOOKUP(Table2[[#This Row],[Adjusted Form '#]],[2]BILLED!$D:$D,[1]BILLED!$O:$O,"Not Found")</f>
        <v>#REF!</v>
      </c>
      <c r="Y578" s="17" t="e">
        <f>_xlfn.XLOOKUP(Table2[[#This Row],[Adjusted Form '#]],'[2]REJECTED ORDERS'!$D:$D,'[2]REJECTED ORDERS'!$E:$E)</f>
        <v>#N/A</v>
      </c>
      <c r="Z578" s="1"/>
      <c r="AA578" s="1"/>
      <c r="AB578" s="8"/>
      <c r="AC578" s="8"/>
      <c r="AD578" s="8"/>
      <c r="AE578" s="8"/>
      <c r="AF578" s="8"/>
      <c r="AG578" s="8"/>
      <c r="AH578" s="8"/>
      <c r="AI578" s="8"/>
      <c r="AJ578" s="8"/>
    </row>
    <row r="579" spans="1:36" ht="15" customHeight="1" x14ac:dyDescent="0.35">
      <c r="A579" s="4" t="s">
        <v>870</v>
      </c>
      <c r="B579" s="1" t="s">
        <v>1358</v>
      </c>
      <c r="C579" s="11">
        <v>45006</v>
      </c>
      <c r="D579" s="11" t="s">
        <v>4821</v>
      </c>
      <c r="E579" s="1" t="s">
        <v>14</v>
      </c>
      <c r="F579" s="1" t="s">
        <v>4822</v>
      </c>
      <c r="G579" s="6">
        <f>COUNTIF(F:F,Table2[[#This Row],[Form '#]])</f>
        <v>1</v>
      </c>
      <c r="H579" s="1" t="s">
        <v>4823</v>
      </c>
      <c r="I579" s="1" t="s">
        <v>3852</v>
      </c>
      <c r="J579" s="1" t="s">
        <v>3891</v>
      </c>
      <c r="K579" s="1" t="s">
        <v>3853</v>
      </c>
      <c r="L579" s="1"/>
      <c r="M579" s="6" t="str">
        <f>IF(Table2[[#This Row],[Corrected Form '#
 (If Duplicated)]]="",Table2[[#This Row],[Form '#]],Table2[[#This Row],[Corrected Form '#
 (If Duplicated)]])</f>
        <v>7810-01776</v>
      </c>
      <c r="N579" s="1" t="s">
        <v>49</v>
      </c>
      <c r="O579" s="6" t="str">
        <f>IF(Table2[[#This Row],[POG CONFIRMATION RECEIPT OF ORDER
(DATE &amp; TIME)]]="","No Confirmation","Received Confirmation")</f>
        <v>Received Confirmation</v>
      </c>
      <c r="P579" s="6">
        <f ca="1">TODAY()-Table2[[#This Row],[DATE SENT TO POG]]</f>
        <v>297</v>
      </c>
      <c r="Q579" s="6" t="s">
        <v>5803</v>
      </c>
      <c r="R5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79" s="2" t="str">
        <f>_xlfn.XLOOKUP(Table2[[#This Row],[Adjusted Form '#]],'[2]IN PROGRESS'!$D:$D,'[2]IN PROGRESS'!$M:$M,"Not Found")</f>
        <v>Not Found</v>
      </c>
      <c r="U579" s="2" t="str">
        <f>_xlfn.XLOOKUP(Table2[[#This Row],[Adjusted Form '#]],[1]COMPLETED!$D:$D,[2]COMPLETED!$M:$M,"Not Found")</f>
        <v>Not Found</v>
      </c>
      <c r="V579" s="17" t="str">
        <f>_xlfn.XLOOKUP(Table2[[#This Row],[Adjusted Form '#]],[2]COMPLETED!$D:$D,[2]COMPLETED!$O:$O,"Not Found")</f>
        <v>Not Found</v>
      </c>
      <c r="W579" s="2" t="str">
        <f>_xlfn.XLOOKUP(Table2[[#This Row],[Adjusted Form '#]],[2]BILLED!$D:$D,[2]BILLED!$M:$M,"Not Found")</f>
        <v>1Z5063E0YW41365801</v>
      </c>
      <c r="X579" s="17" t="e">
        <f>_xlfn.XLOOKUP(Table2[[#This Row],[Adjusted Form '#]],[2]BILLED!$D:$D,[1]BILLED!$O:$O,"Not Found")</f>
        <v>#REF!</v>
      </c>
      <c r="Y579" s="17" t="e">
        <f>_xlfn.XLOOKUP(Table2[[#This Row],[Adjusted Form '#]],'[2]REJECTED ORDERS'!$D:$D,'[2]REJECTED ORDERS'!$E:$E)</f>
        <v>#N/A</v>
      </c>
      <c r="Z579" s="1"/>
      <c r="AA579" s="1"/>
      <c r="AB579" s="8"/>
      <c r="AC579" s="8"/>
      <c r="AD579" s="8"/>
      <c r="AE579" s="8"/>
      <c r="AF579" s="8"/>
      <c r="AG579" s="8"/>
      <c r="AH579" s="8"/>
      <c r="AI579" s="8"/>
      <c r="AJ579" s="8"/>
    </row>
    <row r="580" spans="1:36" ht="15" customHeight="1" x14ac:dyDescent="0.35">
      <c r="A580" s="4" t="s">
        <v>871</v>
      </c>
      <c r="B580" s="1" t="s">
        <v>1358</v>
      </c>
      <c r="C580" s="11">
        <v>45006</v>
      </c>
      <c r="D580" s="11" t="s">
        <v>4821</v>
      </c>
      <c r="E580" s="1" t="s">
        <v>14</v>
      </c>
      <c r="F580" s="1" t="s">
        <v>4824</v>
      </c>
      <c r="G580" s="6">
        <f>COUNTIF(F:F,Table2[[#This Row],[Form '#]])</f>
        <v>1</v>
      </c>
      <c r="H580" s="1" t="s">
        <v>4825</v>
      </c>
      <c r="I580" s="1" t="s">
        <v>177</v>
      </c>
      <c r="J580" s="1" t="s">
        <v>3891</v>
      </c>
      <c r="K580" s="1" t="s">
        <v>3853</v>
      </c>
      <c r="L580" s="1"/>
      <c r="M580" s="6" t="str">
        <f>IF(Table2[[#This Row],[Corrected Form '#
 (If Duplicated)]]="",Table2[[#This Row],[Form '#]],Table2[[#This Row],[Corrected Form '#
 (If Duplicated)]])</f>
        <v>7810-01829</v>
      </c>
      <c r="N580" s="1" t="s">
        <v>49</v>
      </c>
      <c r="O580" s="6" t="str">
        <f>IF(Table2[[#This Row],[POG CONFIRMATION RECEIPT OF ORDER
(DATE &amp; TIME)]]="","No Confirmation","Received Confirmation")</f>
        <v>Received Confirmation</v>
      </c>
      <c r="P580" s="6">
        <f ca="1">TODAY()-Table2[[#This Row],[DATE SENT TO POG]]</f>
        <v>297</v>
      </c>
      <c r="Q580" s="6" t="s">
        <v>5803</v>
      </c>
      <c r="R5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0" s="2" t="str">
        <f>_xlfn.XLOOKUP(Table2[[#This Row],[Adjusted Form '#]],'[2]IN PROGRESS'!$D:$D,'[2]IN PROGRESS'!$M:$M,"Not Found")</f>
        <v>Not Found</v>
      </c>
      <c r="U580" s="2" t="str">
        <f>_xlfn.XLOOKUP(Table2[[#This Row],[Adjusted Form '#]],[1]COMPLETED!$D:$D,[2]COMPLETED!$M:$M,"Not Found")</f>
        <v>Not Found</v>
      </c>
      <c r="V580" s="17" t="str">
        <f>_xlfn.XLOOKUP(Table2[[#This Row],[Adjusted Form '#]],[2]COMPLETED!$D:$D,[2]COMPLETED!$O:$O,"Not Found")</f>
        <v>Not Found</v>
      </c>
      <c r="W580" s="2" t="str">
        <f>_xlfn.XLOOKUP(Table2[[#This Row],[Adjusted Form '#]],[2]BILLED!$D:$D,[2]BILLED!$M:$M,"Not Found")</f>
        <v>1Z5063E0YW41130519</v>
      </c>
      <c r="X580" s="17" t="e">
        <f>_xlfn.XLOOKUP(Table2[[#This Row],[Adjusted Form '#]],[2]BILLED!$D:$D,[1]BILLED!$O:$O,"Not Found")</f>
        <v>#REF!</v>
      </c>
      <c r="Y580" s="17" t="e">
        <f>_xlfn.XLOOKUP(Table2[[#This Row],[Adjusted Form '#]],'[2]REJECTED ORDERS'!$D:$D,'[2]REJECTED ORDERS'!$E:$E)</f>
        <v>#N/A</v>
      </c>
      <c r="Z580" s="1"/>
      <c r="AA580" s="1"/>
      <c r="AB580" s="8"/>
      <c r="AC580" s="8"/>
      <c r="AD580" s="8"/>
      <c r="AE580" s="8"/>
      <c r="AF580" s="8"/>
      <c r="AG580" s="8"/>
      <c r="AH580" s="8"/>
      <c r="AI580" s="8"/>
      <c r="AJ580" s="8"/>
    </row>
    <row r="581" spans="1:36" ht="15" customHeight="1" x14ac:dyDescent="0.35">
      <c r="A581" s="4" t="s">
        <v>872</v>
      </c>
      <c r="B581" s="1" t="s">
        <v>1358</v>
      </c>
      <c r="C581" s="11">
        <v>45006</v>
      </c>
      <c r="D581" s="11" t="s">
        <v>4821</v>
      </c>
      <c r="E581" s="1" t="s">
        <v>14</v>
      </c>
      <c r="F581" s="1" t="s">
        <v>4826</v>
      </c>
      <c r="G581" s="6">
        <f>COUNTIF(F:F,Table2[[#This Row],[Form '#]])</f>
        <v>1</v>
      </c>
      <c r="H581" s="1" t="s">
        <v>437</v>
      </c>
      <c r="I581" s="1" t="s">
        <v>127</v>
      </c>
      <c r="J581" s="1" t="s">
        <v>3891</v>
      </c>
      <c r="K581" s="1" t="s">
        <v>3891</v>
      </c>
      <c r="L581" s="1"/>
      <c r="M581" s="6" t="str">
        <f>IF(Table2[[#This Row],[Corrected Form '#
 (If Duplicated)]]="",Table2[[#This Row],[Form '#]],Table2[[#This Row],[Corrected Form '#
 (If Duplicated)]])</f>
        <v>7810-00091</v>
      </c>
      <c r="N581" s="1" t="s">
        <v>49</v>
      </c>
      <c r="O581" s="6" t="str">
        <f>IF(Table2[[#This Row],[POG CONFIRMATION RECEIPT OF ORDER
(DATE &amp; TIME)]]="","No Confirmation","Received Confirmation")</f>
        <v>Received Confirmation</v>
      </c>
      <c r="P581" s="6">
        <f ca="1">TODAY()-Table2[[#This Row],[DATE SENT TO POG]]</f>
        <v>297</v>
      </c>
      <c r="Q581" s="6" t="s">
        <v>5803</v>
      </c>
      <c r="R5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1" s="2" t="str">
        <f>_xlfn.XLOOKUP(Table2[[#This Row],[Adjusted Form '#]],'[2]IN PROGRESS'!$D:$D,'[2]IN PROGRESS'!$M:$M,"Not Found")</f>
        <v>Not Found</v>
      </c>
      <c r="U581" s="2" t="str">
        <f>_xlfn.XLOOKUP(Table2[[#This Row],[Adjusted Form '#]],[1]COMPLETED!$D:$D,[2]COMPLETED!$M:$M,"Not Found")</f>
        <v>Not Found</v>
      </c>
      <c r="V581" s="17" t="str">
        <f>_xlfn.XLOOKUP(Table2[[#This Row],[Adjusted Form '#]],[2]COMPLETED!$D:$D,[2]COMPLETED!$O:$O,"Not Found")</f>
        <v>Not Found</v>
      </c>
      <c r="W581" s="2" t="str">
        <f>_xlfn.XLOOKUP(Table2[[#This Row],[Adjusted Form '#]],[2]BILLED!$D:$D,[2]BILLED!$M:$M,"Not Found")</f>
        <v>1Z5063E0YW42028709</v>
      </c>
      <c r="X581" s="17" t="e">
        <f>_xlfn.XLOOKUP(Table2[[#This Row],[Adjusted Form '#]],[2]BILLED!$D:$D,[1]BILLED!$O:$O,"Not Found")</f>
        <v>#REF!</v>
      </c>
      <c r="Y581" s="17" t="e">
        <f>_xlfn.XLOOKUP(Table2[[#This Row],[Adjusted Form '#]],'[2]REJECTED ORDERS'!$D:$D,'[2]REJECTED ORDERS'!$E:$E)</f>
        <v>#N/A</v>
      </c>
      <c r="Z581" s="1"/>
      <c r="AA581" s="1"/>
      <c r="AB581" s="8"/>
      <c r="AC581" s="8"/>
      <c r="AD581" s="8"/>
      <c r="AE581" s="8"/>
      <c r="AF581" s="8"/>
      <c r="AG581" s="8"/>
      <c r="AH581" s="8"/>
      <c r="AI581" s="8"/>
      <c r="AJ581" s="8"/>
    </row>
    <row r="582" spans="1:36" ht="15" customHeight="1" x14ac:dyDescent="0.35">
      <c r="A582" s="4" t="s">
        <v>874</v>
      </c>
      <c r="B582" s="1" t="s">
        <v>1358</v>
      </c>
      <c r="C582" s="11">
        <v>45006</v>
      </c>
      <c r="D582" s="11" t="s">
        <v>4821</v>
      </c>
      <c r="E582" s="1" t="s">
        <v>14</v>
      </c>
      <c r="F582" s="1" t="s">
        <v>4827</v>
      </c>
      <c r="G582" s="6">
        <f>COUNTIF(F:F,Table2[[#This Row],[Form '#]])</f>
        <v>1</v>
      </c>
      <c r="H582" s="1" t="s">
        <v>4828</v>
      </c>
      <c r="I582" s="1" t="s">
        <v>3852</v>
      </c>
      <c r="J582" s="1" t="s">
        <v>3891</v>
      </c>
      <c r="K582" s="1" t="s">
        <v>3853</v>
      </c>
      <c r="L582" s="1"/>
      <c r="M582" s="6" t="str">
        <f>IF(Table2[[#This Row],[Corrected Form '#
 (If Duplicated)]]="",Table2[[#This Row],[Form '#]],Table2[[#This Row],[Corrected Form '#
 (If Duplicated)]])</f>
        <v>7810-01570</v>
      </c>
      <c r="N582" s="1" t="s">
        <v>49</v>
      </c>
      <c r="O582" s="6" t="str">
        <f>IF(Table2[[#This Row],[POG CONFIRMATION RECEIPT OF ORDER
(DATE &amp; TIME)]]="","No Confirmation","Received Confirmation")</f>
        <v>Received Confirmation</v>
      </c>
      <c r="P582" s="6">
        <f ca="1">TODAY()-Table2[[#This Row],[DATE SENT TO POG]]</f>
        <v>297</v>
      </c>
      <c r="Q582" s="6" t="s">
        <v>5803</v>
      </c>
      <c r="R5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2" s="2" t="str">
        <f>_xlfn.XLOOKUP(Table2[[#This Row],[Adjusted Form '#]],'[2]IN PROGRESS'!$D:$D,'[2]IN PROGRESS'!$M:$M,"Not Found")</f>
        <v>Not Found</v>
      </c>
      <c r="U582" s="2" t="str">
        <f>_xlfn.XLOOKUP(Table2[[#This Row],[Adjusted Form '#]],[1]COMPLETED!$D:$D,[2]COMPLETED!$M:$M,"Not Found")</f>
        <v>Not Found</v>
      </c>
      <c r="V582" s="17" t="str">
        <f>_xlfn.XLOOKUP(Table2[[#This Row],[Adjusted Form '#]],[2]COMPLETED!$D:$D,[2]COMPLETED!$O:$O,"Not Found")</f>
        <v>Not Found</v>
      </c>
      <c r="W582" s="2" t="str">
        <f>_xlfn.XLOOKUP(Table2[[#This Row],[Adjusted Form '#]],[2]BILLED!$D:$D,[2]BILLED!$M:$M,"Not Found")</f>
        <v>1Z5063E0YW40897097</v>
      </c>
      <c r="X582" s="17" t="e">
        <f>_xlfn.XLOOKUP(Table2[[#This Row],[Adjusted Form '#]],[2]BILLED!$D:$D,[1]BILLED!$O:$O,"Not Found")</f>
        <v>#REF!</v>
      </c>
      <c r="Y582" s="17" t="e">
        <f>_xlfn.XLOOKUP(Table2[[#This Row],[Adjusted Form '#]],'[2]REJECTED ORDERS'!$D:$D,'[2]REJECTED ORDERS'!$E:$E)</f>
        <v>#N/A</v>
      </c>
      <c r="Z582" s="1"/>
      <c r="AA582" s="1"/>
      <c r="AB582" s="8"/>
      <c r="AC582" s="8"/>
      <c r="AD582" s="8"/>
      <c r="AE582" s="8"/>
      <c r="AF582" s="8"/>
      <c r="AG582" s="8"/>
      <c r="AH582" s="8"/>
      <c r="AI582" s="8"/>
      <c r="AJ582" s="8"/>
    </row>
    <row r="583" spans="1:36" ht="15" customHeight="1" x14ac:dyDescent="0.35">
      <c r="A583" s="4" t="s">
        <v>875</v>
      </c>
      <c r="B583" s="1" t="s">
        <v>1358</v>
      </c>
      <c r="C583" s="11">
        <v>45006</v>
      </c>
      <c r="D583" s="11" t="s">
        <v>4821</v>
      </c>
      <c r="E583" s="1" t="s">
        <v>14</v>
      </c>
      <c r="F583" s="1" t="s">
        <v>4829</v>
      </c>
      <c r="G583" s="6">
        <f>COUNTIF(F:F,Table2[[#This Row],[Form '#]])</f>
        <v>1</v>
      </c>
      <c r="H583" s="1" t="s">
        <v>4830</v>
      </c>
      <c r="I583" s="1" t="s">
        <v>3864</v>
      </c>
      <c r="J583" s="1" t="s">
        <v>3891</v>
      </c>
      <c r="K583" s="1" t="s">
        <v>3879</v>
      </c>
      <c r="L583" s="1"/>
      <c r="M583" s="6" t="str">
        <f>IF(Table2[[#This Row],[Corrected Form '#
 (If Duplicated)]]="",Table2[[#This Row],[Form '#]],Table2[[#This Row],[Corrected Form '#
 (If Duplicated)]])</f>
        <v>7810-00099</v>
      </c>
      <c r="N583" s="1" t="s">
        <v>49</v>
      </c>
      <c r="O583" s="6" t="str">
        <f>IF(Table2[[#This Row],[POG CONFIRMATION RECEIPT OF ORDER
(DATE &amp; TIME)]]="","No Confirmation","Received Confirmation")</f>
        <v>Received Confirmation</v>
      </c>
      <c r="P583" s="6">
        <f ca="1">TODAY()-Table2[[#This Row],[DATE SENT TO POG]]</f>
        <v>297</v>
      </c>
      <c r="Q583" s="6" t="s">
        <v>5803</v>
      </c>
      <c r="R5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3" s="2" t="str">
        <f>_xlfn.XLOOKUP(Table2[[#This Row],[Adjusted Form '#]],'[2]IN PROGRESS'!$D:$D,'[2]IN PROGRESS'!$M:$M,"Not Found")</f>
        <v>Not Found</v>
      </c>
      <c r="U583" s="2" t="str">
        <f>_xlfn.XLOOKUP(Table2[[#This Row],[Adjusted Form '#]],[1]COMPLETED!$D:$D,[2]COMPLETED!$M:$M,"Not Found")</f>
        <v>Not Found</v>
      </c>
      <c r="V583" s="17" t="str">
        <f>_xlfn.XLOOKUP(Table2[[#This Row],[Adjusted Form '#]],[2]COMPLETED!$D:$D,[2]COMPLETED!$O:$O,"Not Found")</f>
        <v>Not Found</v>
      </c>
      <c r="W583" s="2" t="str">
        <f>_xlfn.XLOOKUP(Table2[[#This Row],[Adjusted Form '#]],[2]BILLED!$D:$D,[2]BILLED!$M:$M,"Not Found")</f>
        <v>1Z5063E0YW40963318</v>
      </c>
      <c r="X583" s="17" t="e">
        <f>_xlfn.XLOOKUP(Table2[[#This Row],[Adjusted Form '#]],[2]BILLED!$D:$D,[1]BILLED!$O:$O,"Not Found")</f>
        <v>#REF!</v>
      </c>
      <c r="Y583" s="17" t="e">
        <f>_xlfn.XLOOKUP(Table2[[#This Row],[Adjusted Form '#]],'[2]REJECTED ORDERS'!$D:$D,'[2]REJECTED ORDERS'!$E:$E)</f>
        <v>#N/A</v>
      </c>
      <c r="Z583" s="1"/>
      <c r="AA583" s="1"/>
      <c r="AB583" s="8"/>
      <c r="AC583" s="8"/>
      <c r="AD583" s="8"/>
      <c r="AE583" s="8"/>
      <c r="AF583" s="8"/>
      <c r="AG583" s="8"/>
      <c r="AH583" s="8"/>
      <c r="AI583" s="8"/>
      <c r="AJ583" s="8"/>
    </row>
    <row r="584" spans="1:36" ht="15" customHeight="1" x14ac:dyDescent="0.35">
      <c r="A584" s="4" t="s">
        <v>878</v>
      </c>
      <c r="B584" s="1" t="s">
        <v>1166</v>
      </c>
      <c r="C584" s="11">
        <v>45006</v>
      </c>
      <c r="D584" s="11" t="s">
        <v>4821</v>
      </c>
      <c r="E584" s="1" t="s">
        <v>21</v>
      </c>
      <c r="F584" s="1" t="s">
        <v>4831</v>
      </c>
      <c r="G584" s="6">
        <f>COUNTIF(F:F,Table2[[#This Row],[Form '#]])</f>
        <v>1</v>
      </c>
      <c r="H584" s="1" t="s">
        <v>4832</v>
      </c>
      <c r="I584" s="1" t="s">
        <v>127</v>
      </c>
      <c r="J584" s="1" t="s">
        <v>74</v>
      </c>
      <c r="K584" s="1" t="s">
        <v>4011</v>
      </c>
      <c r="L584" s="1"/>
      <c r="M584" s="6" t="str">
        <f>IF(Table2[[#This Row],[Corrected Form '#
 (If Duplicated)]]="",Table2[[#This Row],[Form '#]],Table2[[#This Row],[Corrected Form '#
 (If Duplicated)]])</f>
        <v>7818-24614</v>
      </c>
      <c r="N584" s="1" t="s">
        <v>49</v>
      </c>
      <c r="O584" s="6" t="str">
        <f>IF(Table2[[#This Row],[POG CONFIRMATION RECEIPT OF ORDER
(DATE &amp; TIME)]]="","No Confirmation","Received Confirmation")</f>
        <v>Received Confirmation</v>
      </c>
      <c r="P584" s="6">
        <f ca="1">TODAY()-Table2[[#This Row],[DATE SENT TO POG]]</f>
        <v>297</v>
      </c>
      <c r="Q584" s="6" t="s">
        <v>5803</v>
      </c>
      <c r="R5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4" s="2" t="str">
        <f>_xlfn.XLOOKUP(Table2[[#This Row],[Adjusted Form '#]],'[2]IN PROGRESS'!$D:$D,'[2]IN PROGRESS'!$M:$M,"Not Found")</f>
        <v>Not Found</v>
      </c>
      <c r="U584" s="2" t="str">
        <f>_xlfn.XLOOKUP(Table2[[#This Row],[Adjusted Form '#]],[1]COMPLETED!$D:$D,[2]COMPLETED!$M:$M,"Not Found")</f>
        <v>Not Found</v>
      </c>
      <c r="V584" s="17" t="str">
        <f>_xlfn.XLOOKUP(Table2[[#This Row],[Adjusted Form '#]],[2]COMPLETED!$D:$D,[2]COMPLETED!$O:$O,"Not Found")</f>
        <v>Not Found</v>
      </c>
      <c r="W584" s="2" t="str">
        <f>_xlfn.XLOOKUP(Table2[[#This Row],[Adjusted Form '#]],[2]BILLED!$D:$D,[2]BILLED!$M:$M,"Not Found")</f>
        <v>1Z5063E0YW42135012</v>
      </c>
      <c r="X584" s="17" t="e">
        <f>_xlfn.XLOOKUP(Table2[[#This Row],[Adjusted Form '#]],[2]BILLED!$D:$D,[1]BILLED!$O:$O,"Not Found")</f>
        <v>#REF!</v>
      </c>
      <c r="Y584" s="17" t="e">
        <f>_xlfn.XLOOKUP(Table2[[#This Row],[Adjusted Form '#]],'[2]REJECTED ORDERS'!$D:$D,'[2]REJECTED ORDERS'!$E:$E)</f>
        <v>#N/A</v>
      </c>
      <c r="Z584" s="1"/>
      <c r="AA584" s="1"/>
      <c r="AB584" s="8"/>
      <c r="AC584" s="8"/>
      <c r="AD584" s="8"/>
      <c r="AE584" s="8"/>
      <c r="AF584" s="8"/>
      <c r="AG584" s="8"/>
      <c r="AH584" s="8"/>
      <c r="AI584" s="8"/>
      <c r="AJ584" s="8"/>
    </row>
    <row r="585" spans="1:36" ht="15" customHeight="1" x14ac:dyDescent="0.35">
      <c r="A585" s="4" t="s">
        <v>879</v>
      </c>
      <c r="B585" s="1" t="s">
        <v>4499</v>
      </c>
      <c r="C585" s="11">
        <v>45006</v>
      </c>
      <c r="D585" s="11" t="s">
        <v>4821</v>
      </c>
      <c r="E585" s="1" t="s">
        <v>21</v>
      </c>
      <c r="F585" s="1" t="s">
        <v>4833</v>
      </c>
      <c r="G585" s="6">
        <f>COUNTIF(F:F,Table2[[#This Row],[Form '#]])</f>
        <v>1</v>
      </c>
      <c r="H585" s="1" t="s">
        <v>635</v>
      </c>
      <c r="I585" s="1" t="s">
        <v>3864</v>
      </c>
      <c r="J585" s="1" t="s">
        <v>78</v>
      </c>
      <c r="K585" s="1" t="s">
        <v>3879</v>
      </c>
      <c r="L585" s="1"/>
      <c r="M585" s="6" t="str">
        <f>IF(Table2[[#This Row],[Corrected Form '#
 (If Duplicated)]]="",Table2[[#This Row],[Form '#]],Table2[[#This Row],[Corrected Form '#
 (If Duplicated)]])</f>
        <v>7818-10824</v>
      </c>
      <c r="N585" s="1" t="s">
        <v>49</v>
      </c>
      <c r="O585" s="6" t="str">
        <f>IF(Table2[[#This Row],[POG CONFIRMATION RECEIPT OF ORDER
(DATE &amp; TIME)]]="","No Confirmation","Received Confirmation")</f>
        <v>Received Confirmation</v>
      </c>
      <c r="P585" s="6">
        <f ca="1">TODAY()-Table2[[#This Row],[DATE SENT TO POG]]</f>
        <v>297</v>
      </c>
      <c r="Q585" s="6" t="s">
        <v>5803</v>
      </c>
      <c r="R5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5" s="2" t="str">
        <f>_xlfn.XLOOKUP(Table2[[#This Row],[Adjusted Form '#]],'[2]IN PROGRESS'!$D:$D,'[2]IN PROGRESS'!$M:$M,"Not Found")</f>
        <v>Not Found</v>
      </c>
      <c r="U585" s="2" t="str">
        <f>_xlfn.XLOOKUP(Table2[[#This Row],[Adjusted Form '#]],[1]COMPLETED!$D:$D,[2]COMPLETED!$M:$M,"Not Found")</f>
        <v>Not Found</v>
      </c>
      <c r="V585" s="17" t="str">
        <f>_xlfn.XLOOKUP(Table2[[#This Row],[Adjusted Form '#]],[2]COMPLETED!$D:$D,[2]COMPLETED!$O:$O,"Not Found")</f>
        <v>Not Found</v>
      </c>
      <c r="W585" s="2" t="str">
        <f>_xlfn.XLOOKUP(Table2[[#This Row],[Adjusted Form '#]],[2]BILLED!$D:$D,[2]BILLED!$M:$M,"Not Found")</f>
        <v>1Z5063E0YW41715932</v>
      </c>
      <c r="X585" s="17" t="e">
        <f>_xlfn.XLOOKUP(Table2[[#This Row],[Adjusted Form '#]],[2]BILLED!$D:$D,[1]BILLED!$O:$O,"Not Found")</f>
        <v>#REF!</v>
      </c>
      <c r="Y585" s="17" t="e">
        <f>_xlfn.XLOOKUP(Table2[[#This Row],[Adjusted Form '#]],'[2]REJECTED ORDERS'!$D:$D,'[2]REJECTED ORDERS'!$E:$E)</f>
        <v>#N/A</v>
      </c>
      <c r="Z585" s="1"/>
      <c r="AA585" s="1"/>
      <c r="AB585" s="8"/>
      <c r="AC585" s="8"/>
      <c r="AD585" s="8"/>
      <c r="AE585" s="8"/>
      <c r="AF585" s="8"/>
      <c r="AG585" s="8"/>
      <c r="AH585" s="8"/>
      <c r="AI585" s="8"/>
      <c r="AJ585" s="8"/>
    </row>
    <row r="586" spans="1:36" ht="15" customHeight="1" x14ac:dyDescent="0.35">
      <c r="A586" s="4" t="s">
        <v>880</v>
      </c>
      <c r="B586" s="1" t="s">
        <v>1514</v>
      </c>
      <c r="C586" s="11">
        <v>45006</v>
      </c>
      <c r="D586" s="11" t="s">
        <v>4834</v>
      </c>
      <c r="E586" s="1" t="s">
        <v>21</v>
      </c>
      <c r="F586" s="1" t="s">
        <v>4835</v>
      </c>
      <c r="G586" s="6">
        <f>COUNTIF(F:F,Table2[[#This Row],[Form '#]])</f>
        <v>1</v>
      </c>
      <c r="H586" s="1" t="s">
        <v>2229</v>
      </c>
      <c r="I586" s="1" t="s">
        <v>127</v>
      </c>
      <c r="J586" s="1" t="s">
        <v>74</v>
      </c>
      <c r="K586" s="1" t="s">
        <v>4011</v>
      </c>
      <c r="L586" s="1"/>
      <c r="M586" s="6" t="str">
        <f>IF(Table2[[#This Row],[Corrected Form '#
 (If Duplicated)]]="",Table2[[#This Row],[Form '#]],Table2[[#This Row],[Corrected Form '#
 (If Duplicated)]])</f>
        <v>7818-10386</v>
      </c>
      <c r="N586" s="1" t="s">
        <v>49</v>
      </c>
      <c r="O586" s="6" t="str">
        <f>IF(Table2[[#This Row],[POG CONFIRMATION RECEIPT OF ORDER
(DATE &amp; TIME)]]="","No Confirmation","Received Confirmation")</f>
        <v>Received Confirmation</v>
      </c>
      <c r="P586" s="6">
        <f ca="1">TODAY()-Table2[[#This Row],[DATE SENT TO POG]]</f>
        <v>297</v>
      </c>
      <c r="Q586" s="6" t="s">
        <v>5803</v>
      </c>
      <c r="R5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6" s="2" t="str">
        <f>_xlfn.XLOOKUP(Table2[[#This Row],[Adjusted Form '#]],'[2]IN PROGRESS'!$D:$D,'[2]IN PROGRESS'!$M:$M,"Not Found")</f>
        <v>Not Found</v>
      </c>
      <c r="U586" s="2" t="str">
        <f>_xlfn.XLOOKUP(Table2[[#This Row],[Adjusted Form '#]],[1]COMPLETED!$D:$D,[2]COMPLETED!$M:$M,"Not Found")</f>
        <v>Not Found</v>
      </c>
      <c r="V586" s="17" t="str">
        <f>_xlfn.XLOOKUP(Table2[[#This Row],[Adjusted Form '#]],[2]COMPLETED!$D:$D,[2]COMPLETED!$O:$O,"Not Found")</f>
        <v>Not Found</v>
      </c>
      <c r="W586" s="2" t="str">
        <f>_xlfn.XLOOKUP(Table2[[#This Row],[Adjusted Form '#]],[2]BILLED!$D:$D,[2]BILLED!$M:$M,"Not Found")</f>
        <v>1Z5063E0YW41445260</v>
      </c>
      <c r="X586" s="17" t="e">
        <f>_xlfn.XLOOKUP(Table2[[#This Row],[Adjusted Form '#]],[2]BILLED!$D:$D,[1]BILLED!$O:$O,"Not Found")</f>
        <v>#REF!</v>
      </c>
      <c r="Y586" s="17" t="e">
        <f>_xlfn.XLOOKUP(Table2[[#This Row],[Adjusted Form '#]],'[2]REJECTED ORDERS'!$D:$D,'[2]REJECTED ORDERS'!$E:$E)</f>
        <v>#N/A</v>
      </c>
      <c r="Z586" s="1"/>
      <c r="AA586" s="1"/>
      <c r="AB586" s="8"/>
      <c r="AC586" s="8"/>
      <c r="AD586" s="8"/>
      <c r="AE586" s="8"/>
      <c r="AF586" s="8"/>
      <c r="AG586" s="8"/>
      <c r="AH586" s="8"/>
      <c r="AI586" s="8"/>
      <c r="AJ586" s="8"/>
    </row>
    <row r="587" spans="1:36" ht="15" customHeight="1" x14ac:dyDescent="0.35">
      <c r="A587" s="4" t="s">
        <v>881</v>
      </c>
      <c r="B587" s="1" t="s">
        <v>1514</v>
      </c>
      <c r="C587" s="11">
        <v>45006</v>
      </c>
      <c r="D587" s="11" t="s">
        <v>4834</v>
      </c>
      <c r="E587" s="1" t="s">
        <v>21</v>
      </c>
      <c r="F587" s="1" t="s">
        <v>4836</v>
      </c>
      <c r="G587" s="6">
        <f>COUNTIF(F:F,Table2[[#This Row],[Form '#]])</f>
        <v>1</v>
      </c>
      <c r="H587" s="1" t="s">
        <v>4837</v>
      </c>
      <c r="I587" s="1" t="s">
        <v>127</v>
      </c>
      <c r="J587" s="1" t="s">
        <v>74</v>
      </c>
      <c r="K587" s="1" t="s">
        <v>4011</v>
      </c>
      <c r="L587" s="1"/>
      <c r="M587" s="6" t="str">
        <f>IF(Table2[[#This Row],[Corrected Form '#
 (If Duplicated)]]="",Table2[[#This Row],[Form '#]],Table2[[#This Row],[Corrected Form '#
 (If Duplicated)]])</f>
        <v>7818-24633</v>
      </c>
      <c r="N587" s="1" t="s">
        <v>49</v>
      </c>
      <c r="O587" s="6" t="str">
        <f>IF(Table2[[#This Row],[POG CONFIRMATION RECEIPT OF ORDER
(DATE &amp; TIME)]]="","No Confirmation","Received Confirmation")</f>
        <v>Received Confirmation</v>
      </c>
      <c r="P587" s="6">
        <f ca="1">TODAY()-Table2[[#This Row],[DATE SENT TO POG]]</f>
        <v>297</v>
      </c>
      <c r="Q587" s="6" t="s">
        <v>5803</v>
      </c>
      <c r="R5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7" s="2" t="str">
        <f>_xlfn.XLOOKUP(Table2[[#This Row],[Adjusted Form '#]],'[2]IN PROGRESS'!$D:$D,'[2]IN PROGRESS'!$M:$M,"Not Found")</f>
        <v>Not Found</v>
      </c>
      <c r="U587" s="2" t="str">
        <f>_xlfn.XLOOKUP(Table2[[#This Row],[Adjusted Form '#]],[1]COMPLETED!$D:$D,[2]COMPLETED!$M:$M,"Not Found")</f>
        <v>Not Found</v>
      </c>
      <c r="V587" s="17" t="str">
        <f>_xlfn.XLOOKUP(Table2[[#This Row],[Adjusted Form '#]],[2]COMPLETED!$D:$D,[2]COMPLETED!$O:$O,"Not Found")</f>
        <v>Not Found</v>
      </c>
      <c r="W587" s="2" t="str">
        <f>_xlfn.XLOOKUP(Table2[[#This Row],[Adjusted Form '#]],[2]BILLED!$D:$D,[2]BILLED!$M:$M,"Not Found")</f>
        <v>1Z5063E0YW40476694</v>
      </c>
      <c r="X587" s="17" t="e">
        <f>_xlfn.XLOOKUP(Table2[[#This Row],[Adjusted Form '#]],[2]BILLED!$D:$D,[1]BILLED!$O:$O,"Not Found")</f>
        <v>#REF!</v>
      </c>
      <c r="Y587" s="17" t="e">
        <f>_xlfn.XLOOKUP(Table2[[#This Row],[Adjusted Form '#]],'[2]REJECTED ORDERS'!$D:$D,'[2]REJECTED ORDERS'!$E:$E)</f>
        <v>#N/A</v>
      </c>
      <c r="Z587" s="1"/>
      <c r="AA587" s="1"/>
      <c r="AB587" s="8"/>
      <c r="AC587" s="8"/>
      <c r="AD587" s="8"/>
      <c r="AE587" s="8"/>
      <c r="AF587" s="8"/>
      <c r="AG587" s="8"/>
      <c r="AH587" s="8"/>
      <c r="AI587" s="8"/>
      <c r="AJ587" s="8"/>
    </row>
    <row r="588" spans="1:36" ht="15" customHeight="1" x14ac:dyDescent="0.35">
      <c r="A588" s="4" t="s">
        <v>882</v>
      </c>
      <c r="B588" s="1" t="s">
        <v>1514</v>
      </c>
      <c r="C588" s="11">
        <v>45006</v>
      </c>
      <c r="D588" s="11" t="s">
        <v>4834</v>
      </c>
      <c r="E588" s="1" t="s">
        <v>21</v>
      </c>
      <c r="F588" s="1" t="s">
        <v>4838</v>
      </c>
      <c r="G588" s="6">
        <f>COUNTIF(F:F,Table2[[#This Row],[Form '#]])</f>
        <v>1</v>
      </c>
      <c r="H588" s="1" t="s">
        <v>4839</v>
      </c>
      <c r="I588" s="1" t="s">
        <v>3852</v>
      </c>
      <c r="J588" s="1" t="s">
        <v>3891</v>
      </c>
      <c r="K588" s="1" t="s">
        <v>4011</v>
      </c>
      <c r="L588" s="1"/>
      <c r="M588" s="6" t="str">
        <f>IF(Table2[[#This Row],[Corrected Form '#
 (If Duplicated)]]="",Table2[[#This Row],[Form '#]],Table2[[#This Row],[Corrected Form '#
 (If Duplicated)]])</f>
        <v>7818-24663</v>
      </c>
      <c r="N588" s="1" t="s">
        <v>49</v>
      </c>
      <c r="O588" s="6" t="str">
        <f>IF(Table2[[#This Row],[POG CONFIRMATION RECEIPT OF ORDER
(DATE &amp; TIME)]]="","No Confirmation","Received Confirmation")</f>
        <v>Received Confirmation</v>
      </c>
      <c r="P588" s="6">
        <f ca="1">TODAY()-Table2[[#This Row],[DATE SENT TO POG]]</f>
        <v>297</v>
      </c>
      <c r="Q588" s="6" t="s">
        <v>5803</v>
      </c>
      <c r="R5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8" s="2" t="str">
        <f>_xlfn.XLOOKUP(Table2[[#This Row],[Adjusted Form '#]],'[2]IN PROGRESS'!$D:$D,'[2]IN PROGRESS'!$M:$M,"Not Found")</f>
        <v>Not Found</v>
      </c>
      <c r="U588" s="2" t="str">
        <f>_xlfn.XLOOKUP(Table2[[#This Row],[Adjusted Form '#]],[1]COMPLETED!$D:$D,[2]COMPLETED!$M:$M,"Not Found")</f>
        <v>Not Found</v>
      </c>
      <c r="V588" s="17" t="str">
        <f>_xlfn.XLOOKUP(Table2[[#This Row],[Adjusted Form '#]],[2]COMPLETED!$D:$D,[2]COMPLETED!$O:$O,"Not Found")</f>
        <v>Not Found</v>
      </c>
      <c r="W588" s="2" t="str">
        <f>_xlfn.XLOOKUP(Table2[[#This Row],[Adjusted Form '#]],[2]BILLED!$D:$D,[2]BILLED!$M:$M,"Not Found")</f>
        <v>1Z5063E0YW41496349</v>
      </c>
      <c r="X588" s="17" t="e">
        <f>_xlfn.XLOOKUP(Table2[[#This Row],[Adjusted Form '#]],[2]BILLED!$D:$D,[1]BILLED!$O:$O,"Not Found")</f>
        <v>#REF!</v>
      </c>
      <c r="Y588" s="17" t="e">
        <f>_xlfn.XLOOKUP(Table2[[#This Row],[Adjusted Form '#]],'[2]REJECTED ORDERS'!$D:$D,'[2]REJECTED ORDERS'!$E:$E)</f>
        <v>#N/A</v>
      </c>
      <c r="Z588" s="1"/>
      <c r="AA588" s="1"/>
      <c r="AB588" s="8"/>
      <c r="AC588" s="8"/>
      <c r="AD588" s="8"/>
      <c r="AE588" s="8"/>
      <c r="AF588" s="8"/>
      <c r="AG588" s="8"/>
      <c r="AH588" s="8"/>
      <c r="AI588" s="8"/>
      <c r="AJ588" s="8"/>
    </row>
    <row r="589" spans="1:36" ht="15" customHeight="1" x14ac:dyDescent="0.35">
      <c r="A589" s="4" t="s">
        <v>884</v>
      </c>
      <c r="B589" s="1" t="s">
        <v>1514</v>
      </c>
      <c r="C589" s="11">
        <v>45006</v>
      </c>
      <c r="D589" s="11" t="s">
        <v>4834</v>
      </c>
      <c r="E589" s="1" t="s">
        <v>21</v>
      </c>
      <c r="F589" s="1" t="s">
        <v>4840</v>
      </c>
      <c r="G589" s="6">
        <f>COUNTIF(F:F,Table2[[#This Row],[Form '#]])</f>
        <v>1</v>
      </c>
      <c r="H589" s="1" t="s">
        <v>4841</v>
      </c>
      <c r="I589" s="1" t="s">
        <v>3852</v>
      </c>
      <c r="J589" s="1" t="s">
        <v>75</v>
      </c>
      <c r="K589" s="1" t="s">
        <v>3853</v>
      </c>
      <c r="L589" s="1"/>
      <c r="M589" s="6" t="str">
        <f>IF(Table2[[#This Row],[Corrected Form '#
 (If Duplicated)]]="",Table2[[#This Row],[Form '#]],Table2[[#This Row],[Corrected Form '#
 (If Duplicated)]])</f>
        <v>7818-24665</v>
      </c>
      <c r="N589" s="1" t="s">
        <v>49</v>
      </c>
      <c r="O589" s="6" t="str">
        <f>IF(Table2[[#This Row],[POG CONFIRMATION RECEIPT OF ORDER
(DATE &amp; TIME)]]="","No Confirmation","Received Confirmation")</f>
        <v>Received Confirmation</v>
      </c>
      <c r="P589" s="6">
        <f ca="1">TODAY()-Table2[[#This Row],[DATE SENT TO POG]]</f>
        <v>297</v>
      </c>
      <c r="Q589" s="6" t="s">
        <v>5803</v>
      </c>
      <c r="R5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89" s="2" t="str">
        <f>_xlfn.XLOOKUP(Table2[[#This Row],[Adjusted Form '#]],'[2]IN PROGRESS'!$D:$D,'[2]IN PROGRESS'!$M:$M,"Not Found")</f>
        <v>Not Found</v>
      </c>
      <c r="U589" s="2" t="str">
        <f>_xlfn.XLOOKUP(Table2[[#This Row],[Adjusted Form '#]],[1]COMPLETED!$D:$D,[2]COMPLETED!$M:$M,"Not Found")</f>
        <v>Not Found</v>
      </c>
      <c r="V589" s="17" t="str">
        <f>_xlfn.XLOOKUP(Table2[[#This Row],[Adjusted Form '#]],[2]COMPLETED!$D:$D,[2]COMPLETED!$O:$O,"Not Found")</f>
        <v>Not Found</v>
      </c>
      <c r="W589" s="2" t="str">
        <f>_xlfn.XLOOKUP(Table2[[#This Row],[Adjusted Form '#]],[2]BILLED!$D:$D,[2]BILLED!$M:$M,"Not Found")</f>
        <v>1Z5063E0YW41766520</v>
      </c>
      <c r="X589" s="17" t="e">
        <f>_xlfn.XLOOKUP(Table2[[#This Row],[Adjusted Form '#]],[2]BILLED!$D:$D,[1]BILLED!$O:$O,"Not Found")</f>
        <v>#REF!</v>
      </c>
      <c r="Y589" s="17" t="e">
        <f>_xlfn.XLOOKUP(Table2[[#This Row],[Adjusted Form '#]],'[2]REJECTED ORDERS'!$D:$D,'[2]REJECTED ORDERS'!$E:$E)</f>
        <v>#N/A</v>
      </c>
      <c r="Z589" s="1"/>
      <c r="AA589" s="1"/>
      <c r="AB589" s="8"/>
      <c r="AC589" s="8"/>
      <c r="AD589" s="8"/>
      <c r="AE589" s="8"/>
      <c r="AF589" s="8"/>
      <c r="AG589" s="8"/>
      <c r="AH589" s="8"/>
      <c r="AI589" s="8"/>
      <c r="AJ589" s="8"/>
    </row>
    <row r="590" spans="1:36" ht="15" customHeight="1" x14ac:dyDescent="0.35">
      <c r="A590" s="4" t="s">
        <v>886</v>
      </c>
      <c r="B590" s="1" t="s">
        <v>1514</v>
      </c>
      <c r="C590" s="11">
        <v>45006</v>
      </c>
      <c r="D590" s="11" t="s">
        <v>4834</v>
      </c>
      <c r="E590" s="1" t="s">
        <v>21</v>
      </c>
      <c r="F590" s="1" t="s">
        <v>4842</v>
      </c>
      <c r="G590" s="6">
        <f>COUNTIF(F:F,Table2[[#This Row],[Form '#]])</f>
        <v>1</v>
      </c>
      <c r="H590" s="1" t="s">
        <v>4843</v>
      </c>
      <c r="I590" s="1" t="s">
        <v>3852</v>
      </c>
      <c r="J590" s="1" t="s">
        <v>3891</v>
      </c>
      <c r="K590" s="1" t="s">
        <v>4430</v>
      </c>
      <c r="L590" s="1"/>
      <c r="M590" s="6" t="str">
        <f>IF(Table2[[#This Row],[Corrected Form '#
 (If Duplicated)]]="",Table2[[#This Row],[Form '#]],Table2[[#This Row],[Corrected Form '#
 (If Duplicated)]])</f>
        <v>7818-24667</v>
      </c>
      <c r="N590" s="1" t="s">
        <v>49</v>
      </c>
      <c r="O590" s="6" t="str">
        <f>IF(Table2[[#This Row],[POG CONFIRMATION RECEIPT OF ORDER
(DATE &amp; TIME)]]="","No Confirmation","Received Confirmation")</f>
        <v>Received Confirmation</v>
      </c>
      <c r="P590" s="6">
        <f ca="1">TODAY()-Table2[[#This Row],[DATE SENT TO POG]]</f>
        <v>297</v>
      </c>
      <c r="Q590" s="6" t="s">
        <v>5803</v>
      </c>
      <c r="R5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0" s="2" t="str">
        <f>_xlfn.XLOOKUP(Table2[[#This Row],[Adjusted Form '#]],'[2]IN PROGRESS'!$D:$D,'[2]IN PROGRESS'!$M:$M,"Not Found")</f>
        <v>Not Found</v>
      </c>
      <c r="U590" s="2" t="str">
        <f>_xlfn.XLOOKUP(Table2[[#This Row],[Adjusted Form '#]],[1]COMPLETED!$D:$D,[2]COMPLETED!$M:$M,"Not Found")</f>
        <v>Not Found</v>
      </c>
      <c r="V590" s="17" t="str">
        <f>_xlfn.XLOOKUP(Table2[[#This Row],[Adjusted Form '#]],[2]COMPLETED!$D:$D,[2]COMPLETED!$O:$O,"Not Found")</f>
        <v>Not Found</v>
      </c>
      <c r="W590" s="2" t="str">
        <f>_xlfn.XLOOKUP(Table2[[#This Row],[Adjusted Form '#]],[2]BILLED!$D:$D,[2]BILLED!$M:$M,"Not Found")</f>
        <v>1Z5063E0YW41262958</v>
      </c>
      <c r="X590" s="17" t="e">
        <f>_xlfn.XLOOKUP(Table2[[#This Row],[Adjusted Form '#]],[2]BILLED!$D:$D,[1]BILLED!$O:$O,"Not Found")</f>
        <v>#REF!</v>
      </c>
      <c r="Y590" s="17" t="e">
        <f>_xlfn.XLOOKUP(Table2[[#This Row],[Adjusted Form '#]],'[2]REJECTED ORDERS'!$D:$D,'[2]REJECTED ORDERS'!$E:$E)</f>
        <v>#N/A</v>
      </c>
      <c r="Z590" s="1"/>
      <c r="AA590" s="1"/>
      <c r="AB590" s="8"/>
      <c r="AC590" s="8"/>
      <c r="AD590" s="8"/>
      <c r="AE590" s="8"/>
      <c r="AF590" s="8"/>
      <c r="AG590" s="8"/>
      <c r="AH590" s="8"/>
      <c r="AI590" s="8"/>
      <c r="AJ590" s="8"/>
    </row>
    <row r="591" spans="1:36" ht="15" customHeight="1" x14ac:dyDescent="0.35">
      <c r="A591" s="4" t="s">
        <v>887</v>
      </c>
      <c r="B591" s="1" t="s">
        <v>3633</v>
      </c>
      <c r="C591" s="11">
        <v>45007</v>
      </c>
      <c r="D591" s="11" t="s">
        <v>4844</v>
      </c>
      <c r="E591" s="1" t="s">
        <v>1592</v>
      </c>
      <c r="F591" s="1" t="s">
        <v>4845</v>
      </c>
      <c r="G591" s="6">
        <f>COUNTIF(F:F,Table2[[#This Row],[Form '#]])</f>
        <v>1</v>
      </c>
      <c r="H591" s="1" t="s">
        <v>4846</v>
      </c>
      <c r="I591" s="1" t="s">
        <v>127</v>
      </c>
      <c r="J591" s="1" t="s">
        <v>71</v>
      </c>
      <c r="K591" s="1" t="s">
        <v>3883</v>
      </c>
      <c r="L591" s="1"/>
      <c r="M591" s="6" t="str">
        <f>IF(Table2[[#This Row],[Corrected Form '#
 (If Duplicated)]]="",Table2[[#This Row],[Form '#]],Table2[[#This Row],[Corrected Form '#
 (If Duplicated)]])</f>
        <v>7811-00196</v>
      </c>
      <c r="N591" s="1" t="s">
        <v>49</v>
      </c>
      <c r="O591" s="6" t="str">
        <f>IF(Table2[[#This Row],[POG CONFIRMATION RECEIPT OF ORDER
(DATE &amp; TIME)]]="","No Confirmation","Received Confirmation")</f>
        <v>Received Confirmation</v>
      </c>
      <c r="P591" s="6">
        <f ca="1">TODAY()-Table2[[#This Row],[DATE SENT TO POG]]</f>
        <v>296</v>
      </c>
      <c r="Q591" s="6" t="s">
        <v>5803</v>
      </c>
      <c r="R5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1" s="2" t="str">
        <f>_xlfn.XLOOKUP(Table2[[#This Row],[Adjusted Form '#]],'[2]IN PROGRESS'!$D:$D,'[2]IN PROGRESS'!$M:$M,"Not Found")</f>
        <v>Not Found</v>
      </c>
      <c r="U591" s="2" t="str">
        <f>_xlfn.XLOOKUP(Table2[[#This Row],[Adjusted Form '#]],[1]COMPLETED!$D:$D,[2]COMPLETED!$M:$M,"Not Found")</f>
        <v>Not Found</v>
      </c>
      <c r="V591" s="17" t="str">
        <f>_xlfn.XLOOKUP(Table2[[#This Row],[Adjusted Form '#]],[2]COMPLETED!$D:$D,[2]COMPLETED!$O:$O,"Not Found")</f>
        <v>Not Found</v>
      </c>
      <c r="W591" s="2" t="str">
        <f>_xlfn.XLOOKUP(Table2[[#This Row],[Adjusted Form '#]],[2]BILLED!$D:$D,[2]BILLED!$M:$M,"Not Found")</f>
        <v>1Z5063E0YW40400265</v>
      </c>
      <c r="X591" s="17" t="e">
        <f>_xlfn.XLOOKUP(Table2[[#This Row],[Adjusted Form '#]],[2]BILLED!$D:$D,[1]BILLED!$O:$O,"Not Found")</f>
        <v>#REF!</v>
      </c>
      <c r="Y591" s="17" t="str">
        <f>_xlfn.XLOOKUP(Table2[[#This Row],[Adjusted Form '#]],'[2]REJECTED ORDERS'!$D:$D,'[2]REJECTED ORDERS'!$E:$E)</f>
        <v>FORM NUMBER ALREADY USED</v>
      </c>
      <c r="Z591" s="1"/>
      <c r="AA591" s="1"/>
      <c r="AB591" s="8"/>
      <c r="AC591" s="8"/>
      <c r="AD591" s="8"/>
      <c r="AE591" s="8"/>
      <c r="AF591" s="8"/>
      <c r="AG591" s="8"/>
      <c r="AH591" s="8"/>
      <c r="AI591" s="8"/>
      <c r="AJ591" s="8"/>
    </row>
    <row r="592" spans="1:36" ht="15" customHeight="1" x14ac:dyDescent="0.35">
      <c r="A592" s="4" t="s">
        <v>889</v>
      </c>
      <c r="B592" s="1" t="s">
        <v>3633</v>
      </c>
      <c r="C592" s="11">
        <v>45007</v>
      </c>
      <c r="D592" s="11" t="s">
        <v>4844</v>
      </c>
      <c r="E592" s="1" t="s">
        <v>1592</v>
      </c>
      <c r="F592" s="1" t="s">
        <v>4847</v>
      </c>
      <c r="G592" s="6">
        <f>COUNTIF(F:F,Table2[[#This Row],[Form '#]])</f>
        <v>1</v>
      </c>
      <c r="H592" s="1" t="s">
        <v>4848</v>
      </c>
      <c r="I592" s="1" t="s">
        <v>3852</v>
      </c>
      <c r="J592" s="1" t="s">
        <v>80</v>
      </c>
      <c r="K592" s="1" t="s">
        <v>4011</v>
      </c>
      <c r="L592" s="1"/>
      <c r="M592" s="6" t="str">
        <f>IF(Table2[[#This Row],[Corrected Form '#
 (If Duplicated)]]="",Table2[[#This Row],[Form '#]],Table2[[#This Row],[Corrected Form '#
 (If Duplicated)]])</f>
        <v>7811-00312</v>
      </c>
      <c r="N592" s="1" t="s">
        <v>49</v>
      </c>
      <c r="O592" s="6" t="str">
        <f>IF(Table2[[#This Row],[POG CONFIRMATION RECEIPT OF ORDER
(DATE &amp; TIME)]]="","No Confirmation","Received Confirmation")</f>
        <v>Received Confirmation</v>
      </c>
      <c r="P592" s="6">
        <f ca="1">TODAY()-Table2[[#This Row],[DATE SENT TO POG]]</f>
        <v>296</v>
      </c>
      <c r="Q592" s="6" t="s">
        <v>5803</v>
      </c>
      <c r="R5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2" s="2" t="str">
        <f>_xlfn.XLOOKUP(Table2[[#This Row],[Adjusted Form '#]],'[2]IN PROGRESS'!$D:$D,'[2]IN PROGRESS'!$M:$M,"Not Found")</f>
        <v>Not Found</v>
      </c>
      <c r="U592" s="2" t="str">
        <f>_xlfn.XLOOKUP(Table2[[#This Row],[Adjusted Form '#]],[1]COMPLETED!$D:$D,[2]COMPLETED!$M:$M,"Not Found")</f>
        <v>Not Found</v>
      </c>
      <c r="V592" s="17" t="str">
        <f>_xlfn.XLOOKUP(Table2[[#This Row],[Adjusted Form '#]],[2]COMPLETED!$D:$D,[2]COMPLETED!$O:$O,"Not Found")</f>
        <v>Not Found</v>
      </c>
      <c r="W592" s="2" t="str">
        <f>_xlfn.XLOOKUP(Table2[[#This Row],[Adjusted Form '#]],[2]BILLED!$D:$D,[2]BILLED!$M:$M,"Not Found")</f>
        <v>1Z5063E0YW42319752</v>
      </c>
      <c r="X592" s="17" t="e">
        <f>_xlfn.XLOOKUP(Table2[[#This Row],[Adjusted Form '#]],[2]BILLED!$D:$D,[1]BILLED!$O:$O,"Not Found")</f>
        <v>#REF!</v>
      </c>
      <c r="Y592" s="17" t="str">
        <f>_xlfn.XLOOKUP(Table2[[#This Row],[Adjusted Form '#]],'[2]REJECTED ORDERS'!$D:$D,'[2]REJECTED ORDERS'!$E:$E)</f>
        <v>FORM NOT SIGNED</v>
      </c>
      <c r="Z592" s="1"/>
      <c r="AA592" s="1"/>
      <c r="AB592" s="8"/>
      <c r="AC592" s="8"/>
      <c r="AD592" s="8"/>
      <c r="AE592" s="8"/>
      <c r="AF592" s="8"/>
      <c r="AG592" s="8"/>
      <c r="AH592" s="8"/>
      <c r="AI592" s="8"/>
      <c r="AJ592" s="8"/>
    </row>
    <row r="593" spans="1:36" ht="15" customHeight="1" x14ac:dyDescent="0.35">
      <c r="A593" s="4" t="s">
        <v>890</v>
      </c>
      <c r="B593" s="1" t="s">
        <v>3633</v>
      </c>
      <c r="C593" s="11">
        <v>45007</v>
      </c>
      <c r="D593" s="11" t="s">
        <v>4844</v>
      </c>
      <c r="E593" s="1" t="s">
        <v>1592</v>
      </c>
      <c r="F593" s="1" t="s">
        <v>4649</v>
      </c>
      <c r="G593" s="6">
        <f>COUNTIF(F:F,Table2[[#This Row],[Form '#]])</f>
        <v>2</v>
      </c>
      <c r="H593" s="1" t="s">
        <v>3490</v>
      </c>
      <c r="I593" s="1" t="s">
        <v>3852</v>
      </c>
      <c r="J593" s="1" t="s">
        <v>4849</v>
      </c>
      <c r="K593" s="1" t="s">
        <v>4849</v>
      </c>
      <c r="L593" s="1"/>
      <c r="M593" s="6" t="str">
        <f>IF(Table2[[#This Row],[Corrected Form '#
 (If Duplicated)]]="",Table2[[#This Row],[Form '#]],Table2[[#This Row],[Corrected Form '#
 (If Duplicated)]])</f>
        <v>7811-00250</v>
      </c>
      <c r="N593" s="1" t="s">
        <v>49</v>
      </c>
      <c r="O593" s="6" t="str">
        <f>IF(Table2[[#This Row],[POG CONFIRMATION RECEIPT OF ORDER
(DATE &amp; TIME)]]="","No Confirmation","Received Confirmation")</f>
        <v>Received Confirmation</v>
      </c>
      <c r="P593" s="6">
        <f ca="1">TODAY()-Table2[[#This Row],[DATE SENT TO POG]]</f>
        <v>296</v>
      </c>
      <c r="Q593" s="6" t="s">
        <v>5803</v>
      </c>
      <c r="R5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3" s="2" t="str">
        <f>_xlfn.XLOOKUP(Table2[[#This Row],[Adjusted Form '#]],'[2]IN PROGRESS'!$D:$D,'[2]IN PROGRESS'!$M:$M,"Not Found")</f>
        <v>Not Found</v>
      </c>
      <c r="U593" s="2" t="str">
        <f>_xlfn.XLOOKUP(Table2[[#This Row],[Adjusted Form '#]],[1]COMPLETED!$D:$D,[2]COMPLETED!$M:$M,"Not Found")</f>
        <v>Not Found</v>
      </c>
      <c r="V593" s="17" t="str">
        <f>_xlfn.XLOOKUP(Table2[[#This Row],[Adjusted Form '#]],[2]COMPLETED!$D:$D,[2]COMPLETED!$O:$O,"Not Found")</f>
        <v>Not Found</v>
      </c>
      <c r="W593" s="2" t="str">
        <f>_xlfn.XLOOKUP(Table2[[#This Row],[Adjusted Form '#]],[2]BILLED!$D:$D,[2]BILLED!$M:$M,"Not Found")</f>
        <v>1Z5063E0YW40332562</v>
      </c>
      <c r="X593" s="17" t="e">
        <f>_xlfn.XLOOKUP(Table2[[#This Row],[Adjusted Form '#]],[2]BILLED!$D:$D,[1]BILLED!$O:$O,"Not Found")</f>
        <v>#REF!</v>
      </c>
      <c r="Y593" s="17" t="str">
        <f>_xlfn.XLOOKUP(Table2[[#This Row],[Adjusted Form '#]],'[2]REJECTED ORDERS'!$D:$D,'[2]REJECTED ORDERS'!$E:$E)</f>
        <v>FORM NUMBER ALREADY USED</v>
      </c>
      <c r="Z593" s="1"/>
      <c r="AA593" s="1"/>
      <c r="AB593" s="8"/>
      <c r="AC593" s="8"/>
      <c r="AD593" s="8"/>
      <c r="AE593" s="8"/>
      <c r="AF593" s="8"/>
      <c r="AG593" s="8"/>
      <c r="AH593" s="8"/>
      <c r="AI593" s="8"/>
      <c r="AJ593" s="8"/>
    </row>
    <row r="594" spans="1:36" ht="15" customHeight="1" x14ac:dyDescent="0.35">
      <c r="A594" s="4" t="s">
        <v>891</v>
      </c>
      <c r="B594" s="1" t="s">
        <v>3633</v>
      </c>
      <c r="C594" s="11">
        <v>45007</v>
      </c>
      <c r="D594" s="11" t="s">
        <v>4844</v>
      </c>
      <c r="E594" s="1" t="s">
        <v>1592</v>
      </c>
      <c r="F594" s="1" t="s">
        <v>4850</v>
      </c>
      <c r="G594" s="6">
        <f>COUNTIF(F:F,Table2[[#This Row],[Form '#]])</f>
        <v>1</v>
      </c>
      <c r="H594" s="1" t="s">
        <v>4851</v>
      </c>
      <c r="I594" s="1" t="s">
        <v>127</v>
      </c>
      <c r="J594" s="1" t="s">
        <v>76</v>
      </c>
      <c r="K594" s="1" t="s">
        <v>4011</v>
      </c>
      <c r="L594" s="1"/>
      <c r="M594" s="6" t="str">
        <f>IF(Table2[[#This Row],[Corrected Form '#
 (If Duplicated)]]="",Table2[[#This Row],[Form '#]],Table2[[#This Row],[Corrected Form '#
 (If Duplicated)]])</f>
        <v>7811-00306</v>
      </c>
      <c r="N594" s="1" t="s">
        <v>49</v>
      </c>
      <c r="O594" s="6" t="str">
        <f>IF(Table2[[#This Row],[POG CONFIRMATION RECEIPT OF ORDER
(DATE &amp; TIME)]]="","No Confirmation","Received Confirmation")</f>
        <v>Received Confirmation</v>
      </c>
      <c r="P594" s="6">
        <f ca="1">TODAY()-Table2[[#This Row],[DATE SENT TO POG]]</f>
        <v>296</v>
      </c>
      <c r="Q594" s="6" t="s">
        <v>5803</v>
      </c>
      <c r="R5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4" s="2" t="str">
        <f>_xlfn.XLOOKUP(Table2[[#This Row],[Adjusted Form '#]],'[2]IN PROGRESS'!$D:$D,'[2]IN PROGRESS'!$M:$M,"Not Found")</f>
        <v>Not Found</v>
      </c>
      <c r="U594" s="2" t="str">
        <f>_xlfn.XLOOKUP(Table2[[#This Row],[Adjusted Form '#]],[1]COMPLETED!$D:$D,[2]COMPLETED!$M:$M,"Not Found")</f>
        <v>Not Found</v>
      </c>
      <c r="V594" s="17" t="str">
        <f>_xlfn.XLOOKUP(Table2[[#This Row],[Adjusted Form '#]],[2]COMPLETED!$D:$D,[2]COMPLETED!$O:$O,"Not Found")</f>
        <v>Not Found</v>
      </c>
      <c r="W594" s="2" t="str">
        <f>_xlfn.XLOOKUP(Table2[[#This Row],[Adjusted Form '#]],[2]BILLED!$D:$D,[2]BILLED!$M:$M,"Not Found")</f>
        <v>1Z5063E0YW42094512</v>
      </c>
      <c r="X594" s="17" t="e">
        <f>_xlfn.XLOOKUP(Table2[[#This Row],[Adjusted Form '#]],[2]BILLED!$D:$D,[1]BILLED!$O:$O,"Not Found")</f>
        <v>#REF!</v>
      </c>
      <c r="Y594" s="17" t="str">
        <f>_xlfn.XLOOKUP(Table2[[#This Row],[Adjusted Form '#]],'[2]REJECTED ORDERS'!$D:$D,'[2]REJECTED ORDERS'!$E:$E)</f>
        <v>FORM NUMBER ALREADY USED</v>
      </c>
      <c r="Z594" s="1"/>
      <c r="AA594" s="1"/>
      <c r="AB594" s="8"/>
      <c r="AC594" s="8"/>
      <c r="AD594" s="8"/>
      <c r="AE594" s="8"/>
      <c r="AF594" s="8"/>
      <c r="AG594" s="8"/>
      <c r="AH594" s="8"/>
      <c r="AI594" s="8"/>
      <c r="AJ594" s="8"/>
    </row>
    <row r="595" spans="1:36" ht="15" customHeight="1" x14ac:dyDescent="0.35">
      <c r="A595" s="4" t="s">
        <v>892</v>
      </c>
      <c r="B595" s="1" t="s">
        <v>3633</v>
      </c>
      <c r="C595" s="11">
        <v>45007</v>
      </c>
      <c r="D595" s="11" t="s">
        <v>4844</v>
      </c>
      <c r="E595" s="1" t="s">
        <v>1592</v>
      </c>
      <c r="F595" s="1" t="s">
        <v>4852</v>
      </c>
      <c r="G595" s="6">
        <f>COUNTIF(F:F,Table2[[#This Row],[Form '#]])</f>
        <v>1</v>
      </c>
      <c r="H595" s="1" t="s">
        <v>4853</v>
      </c>
      <c r="I595" s="1" t="s">
        <v>127</v>
      </c>
      <c r="J595" s="1" t="s">
        <v>76</v>
      </c>
      <c r="K595" s="1" t="s">
        <v>4011</v>
      </c>
      <c r="L595" s="1"/>
      <c r="M595" s="6" t="str">
        <f>IF(Table2[[#This Row],[Corrected Form '#
 (If Duplicated)]]="",Table2[[#This Row],[Form '#]],Table2[[#This Row],[Corrected Form '#
 (If Duplicated)]])</f>
        <v>7811-00322</v>
      </c>
      <c r="N595" s="1" t="s">
        <v>49</v>
      </c>
      <c r="O595" s="6" t="str">
        <f>IF(Table2[[#This Row],[POG CONFIRMATION RECEIPT OF ORDER
(DATE &amp; TIME)]]="","No Confirmation","Received Confirmation")</f>
        <v>Received Confirmation</v>
      </c>
      <c r="P595" s="6">
        <f ca="1">TODAY()-Table2[[#This Row],[DATE SENT TO POG]]</f>
        <v>296</v>
      </c>
      <c r="Q595" s="6" t="s">
        <v>5803</v>
      </c>
      <c r="R5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5" s="2" t="str">
        <f>_xlfn.XLOOKUP(Table2[[#This Row],[Adjusted Form '#]],'[2]IN PROGRESS'!$D:$D,'[2]IN PROGRESS'!$M:$M,"Not Found")</f>
        <v>Not Found</v>
      </c>
      <c r="U595" s="2" t="str">
        <f>_xlfn.XLOOKUP(Table2[[#This Row],[Adjusted Form '#]],[1]COMPLETED!$D:$D,[2]COMPLETED!$M:$M,"Not Found")</f>
        <v>Not Found</v>
      </c>
      <c r="V595" s="17" t="str">
        <f>_xlfn.XLOOKUP(Table2[[#This Row],[Adjusted Form '#]],[2]COMPLETED!$D:$D,[2]COMPLETED!$O:$O,"Not Found")</f>
        <v>Not Found</v>
      </c>
      <c r="W595" s="2" t="str">
        <f>_xlfn.XLOOKUP(Table2[[#This Row],[Adjusted Form '#]],[2]BILLED!$D:$D,[2]BILLED!$M:$M,"Not Found")</f>
        <v>1Z5063E0YW40081333</v>
      </c>
      <c r="X595" s="17" t="e">
        <f>_xlfn.XLOOKUP(Table2[[#This Row],[Adjusted Form '#]],[2]BILLED!$D:$D,[1]BILLED!$O:$O,"Not Found")</f>
        <v>#REF!</v>
      </c>
      <c r="Y595" s="17" t="str">
        <f>_xlfn.XLOOKUP(Table2[[#This Row],[Adjusted Form '#]],'[2]REJECTED ORDERS'!$D:$D,'[2]REJECTED ORDERS'!$E:$E)</f>
        <v>FORM NUMBER ALREADY USED</v>
      </c>
      <c r="Z595" s="1"/>
      <c r="AA595" s="1"/>
      <c r="AB595" s="8"/>
      <c r="AC595" s="8"/>
      <c r="AD595" s="8"/>
      <c r="AE595" s="8"/>
      <c r="AF595" s="8"/>
      <c r="AG595" s="8"/>
      <c r="AH595" s="8"/>
      <c r="AI595" s="8"/>
      <c r="AJ595" s="8"/>
    </row>
    <row r="596" spans="1:36" ht="15" customHeight="1" x14ac:dyDescent="0.35">
      <c r="A596" s="4" t="s">
        <v>893</v>
      </c>
      <c r="B596" s="1" t="s">
        <v>3633</v>
      </c>
      <c r="C596" s="11">
        <v>45007</v>
      </c>
      <c r="D596" s="11" t="s">
        <v>4844</v>
      </c>
      <c r="E596" s="1" t="s">
        <v>1592</v>
      </c>
      <c r="F596" s="1" t="s">
        <v>4646</v>
      </c>
      <c r="G596" s="6">
        <f>COUNTIF(F:F,Table2[[#This Row],[Form '#]])</f>
        <v>2</v>
      </c>
      <c r="H596" s="1" t="s">
        <v>4647</v>
      </c>
      <c r="I596" s="1" t="s">
        <v>127</v>
      </c>
      <c r="J596" s="1" t="s">
        <v>76</v>
      </c>
      <c r="K596" s="1" t="s">
        <v>4854</v>
      </c>
      <c r="L596" s="1"/>
      <c r="M596" s="6" t="str">
        <f>IF(Table2[[#This Row],[Corrected Form '#
 (If Duplicated)]]="",Table2[[#This Row],[Form '#]],Table2[[#This Row],[Corrected Form '#
 (If Duplicated)]])</f>
        <v>7811-00323</v>
      </c>
      <c r="N596" s="1" t="s">
        <v>49</v>
      </c>
      <c r="O596" s="6" t="str">
        <f>IF(Table2[[#This Row],[POG CONFIRMATION RECEIPT OF ORDER
(DATE &amp; TIME)]]="","No Confirmation","Received Confirmation")</f>
        <v>Received Confirmation</v>
      </c>
      <c r="P596" s="6">
        <f ca="1">TODAY()-Table2[[#This Row],[DATE SENT TO POG]]</f>
        <v>296</v>
      </c>
      <c r="Q596" s="6" t="s">
        <v>5803</v>
      </c>
      <c r="R5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6" s="2" t="str">
        <f>_xlfn.XLOOKUP(Table2[[#This Row],[Adjusted Form '#]],'[2]IN PROGRESS'!$D:$D,'[2]IN PROGRESS'!$M:$M,"Not Found")</f>
        <v>Not Found</v>
      </c>
      <c r="U596" s="2" t="str">
        <f>_xlfn.XLOOKUP(Table2[[#This Row],[Adjusted Form '#]],[1]COMPLETED!$D:$D,[2]COMPLETED!$M:$M,"Not Found")</f>
        <v>Not Found</v>
      </c>
      <c r="V596" s="17" t="str">
        <f>_xlfn.XLOOKUP(Table2[[#This Row],[Adjusted Form '#]],[2]COMPLETED!$D:$D,[2]COMPLETED!$O:$O,"Not Found")</f>
        <v>Not Found</v>
      </c>
      <c r="W596" s="2" t="str">
        <f>_xlfn.XLOOKUP(Table2[[#This Row],[Adjusted Form '#]],[2]BILLED!$D:$D,[2]BILLED!$M:$M,"Not Found")</f>
        <v>1Z5063E0YW41827295</v>
      </c>
      <c r="X596" s="17" t="e">
        <f>_xlfn.XLOOKUP(Table2[[#This Row],[Adjusted Form '#]],[2]BILLED!$D:$D,[1]BILLED!$O:$O,"Not Found")</f>
        <v>#REF!</v>
      </c>
      <c r="Y596" s="17" t="str">
        <f>_xlfn.XLOOKUP(Table2[[#This Row],[Adjusted Form '#]],'[2]REJECTED ORDERS'!$D:$D,'[2]REJECTED ORDERS'!$E:$E)</f>
        <v>FORM NUMBER ALREADY USED</v>
      </c>
      <c r="Z596" s="1"/>
      <c r="AA596" s="1"/>
      <c r="AB596" s="8"/>
      <c r="AC596" s="8"/>
      <c r="AD596" s="8"/>
      <c r="AE596" s="8"/>
      <c r="AF596" s="8"/>
      <c r="AG596" s="8"/>
      <c r="AH596" s="8"/>
      <c r="AI596" s="8"/>
      <c r="AJ596" s="8"/>
    </row>
    <row r="597" spans="1:36" ht="15" customHeight="1" x14ac:dyDescent="0.35">
      <c r="A597" s="4" t="s">
        <v>895</v>
      </c>
      <c r="B597" s="1" t="s">
        <v>3056</v>
      </c>
      <c r="C597" s="11">
        <v>45007</v>
      </c>
      <c r="D597" s="11" t="s">
        <v>4855</v>
      </c>
      <c r="E597" s="1" t="s">
        <v>73</v>
      </c>
      <c r="F597" s="1" t="s">
        <v>4856</v>
      </c>
      <c r="G597" s="6">
        <f>COUNTIF(F:F,Table2[[#This Row],[Form '#]])</f>
        <v>1</v>
      </c>
      <c r="H597" s="1" t="s">
        <v>4857</v>
      </c>
      <c r="I597" s="1" t="s">
        <v>3852</v>
      </c>
      <c r="J597" s="1" t="s">
        <v>80</v>
      </c>
      <c r="K597" s="1" t="s">
        <v>4011</v>
      </c>
      <c r="L597" s="1"/>
      <c r="M597" s="6" t="str">
        <f>IF(Table2[[#This Row],[Corrected Form '#
 (If Duplicated)]]="",Table2[[#This Row],[Form '#]],Table2[[#This Row],[Corrected Form '#
 (If Duplicated)]])</f>
        <v>7823-03329</v>
      </c>
      <c r="N597" s="1" t="s">
        <v>49</v>
      </c>
      <c r="O597" s="6" t="str">
        <f>IF(Table2[[#This Row],[POG CONFIRMATION RECEIPT OF ORDER
(DATE &amp; TIME)]]="","No Confirmation","Received Confirmation")</f>
        <v>Received Confirmation</v>
      </c>
      <c r="P597" s="6">
        <f ca="1">TODAY()-Table2[[#This Row],[DATE SENT TO POG]]</f>
        <v>296</v>
      </c>
      <c r="Q597" s="6" t="s">
        <v>5803</v>
      </c>
      <c r="R5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7" s="2" t="str">
        <f>_xlfn.XLOOKUP(Table2[[#This Row],[Adjusted Form '#]],'[2]IN PROGRESS'!$D:$D,'[2]IN PROGRESS'!$M:$M,"Not Found")</f>
        <v>Not Found</v>
      </c>
      <c r="U597" s="2" t="str">
        <f>_xlfn.XLOOKUP(Table2[[#This Row],[Adjusted Form '#]],[1]COMPLETED!$D:$D,[2]COMPLETED!$M:$M,"Not Found")</f>
        <v>Not Found</v>
      </c>
      <c r="V597" s="17" t="str">
        <f>_xlfn.XLOOKUP(Table2[[#This Row],[Adjusted Form '#]],[2]COMPLETED!$D:$D,[2]COMPLETED!$O:$O,"Not Found")</f>
        <v>Not Found</v>
      </c>
      <c r="W597" s="2" t="str">
        <f>_xlfn.XLOOKUP(Table2[[#This Row],[Adjusted Form '#]],[2]BILLED!$D:$D,[2]BILLED!$M:$M,"Not Found")</f>
        <v>1Z5063E0YW41464785</v>
      </c>
      <c r="X597" s="17" t="e">
        <f>_xlfn.XLOOKUP(Table2[[#This Row],[Adjusted Form '#]],[2]BILLED!$D:$D,[1]BILLED!$O:$O,"Not Found")</f>
        <v>#REF!</v>
      </c>
      <c r="Y597" s="17" t="e">
        <f>_xlfn.XLOOKUP(Table2[[#This Row],[Adjusted Form '#]],'[2]REJECTED ORDERS'!$D:$D,'[2]REJECTED ORDERS'!$E:$E)</f>
        <v>#N/A</v>
      </c>
      <c r="Z597" s="1"/>
      <c r="AA597" s="1"/>
      <c r="AB597" s="8"/>
      <c r="AC597" s="8"/>
      <c r="AD597" s="8"/>
      <c r="AE597" s="8"/>
      <c r="AF597" s="8"/>
      <c r="AG597" s="8"/>
      <c r="AH597" s="8"/>
      <c r="AI597" s="8"/>
      <c r="AJ597" s="8"/>
    </row>
    <row r="598" spans="1:36" ht="15" customHeight="1" x14ac:dyDescent="0.35">
      <c r="A598" s="4" t="s">
        <v>897</v>
      </c>
      <c r="B598" s="1" t="s">
        <v>1663</v>
      </c>
      <c r="C598" s="11">
        <v>45007</v>
      </c>
      <c r="D598" s="11" t="s">
        <v>4855</v>
      </c>
      <c r="E598" s="1" t="s">
        <v>191</v>
      </c>
      <c r="F598" s="1" t="s">
        <v>4858</v>
      </c>
      <c r="G598" s="6">
        <f>COUNTIF(F:F,Table2[[#This Row],[Form '#]])</f>
        <v>1</v>
      </c>
      <c r="H598" s="1" t="s">
        <v>4859</v>
      </c>
      <c r="I598" s="1" t="s">
        <v>3852</v>
      </c>
      <c r="J598" s="1" t="s">
        <v>80</v>
      </c>
      <c r="K598" s="1" t="s">
        <v>4011</v>
      </c>
      <c r="L598" s="1"/>
      <c r="M598" s="6" t="str">
        <f>IF(Table2[[#This Row],[Corrected Form '#
 (If Duplicated)]]="",Table2[[#This Row],[Form '#]],Table2[[#This Row],[Corrected Form '#
 (If Duplicated)]])</f>
        <v>7812-02945</v>
      </c>
      <c r="N598" s="1" t="s">
        <v>49</v>
      </c>
      <c r="O598" s="6" t="str">
        <f>IF(Table2[[#This Row],[POG CONFIRMATION RECEIPT OF ORDER
(DATE &amp; TIME)]]="","No Confirmation","Received Confirmation")</f>
        <v>Received Confirmation</v>
      </c>
      <c r="P598" s="6">
        <f ca="1">TODAY()-Table2[[#This Row],[DATE SENT TO POG]]</f>
        <v>296</v>
      </c>
      <c r="Q598" s="6" t="s">
        <v>5803</v>
      </c>
      <c r="R5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8" s="2" t="str">
        <f>_xlfn.XLOOKUP(Table2[[#This Row],[Adjusted Form '#]],'[2]IN PROGRESS'!$D:$D,'[2]IN PROGRESS'!$M:$M,"Not Found")</f>
        <v>Not Found</v>
      </c>
      <c r="U598" s="2" t="str">
        <f>_xlfn.XLOOKUP(Table2[[#This Row],[Adjusted Form '#]],[1]COMPLETED!$D:$D,[2]COMPLETED!$M:$M,"Not Found")</f>
        <v>Not Found</v>
      </c>
      <c r="V598" s="17" t="str">
        <f>_xlfn.XLOOKUP(Table2[[#This Row],[Adjusted Form '#]],[2]COMPLETED!$D:$D,[2]COMPLETED!$O:$O,"Not Found")</f>
        <v>Not Found</v>
      </c>
      <c r="W598" s="2" t="str">
        <f>_xlfn.XLOOKUP(Table2[[#This Row],[Adjusted Form '#]],[2]BILLED!$D:$D,[2]BILLED!$M:$M,"Not Found")</f>
        <v>1Z5063E0YW41814772</v>
      </c>
      <c r="X598" s="17" t="e">
        <f>_xlfn.XLOOKUP(Table2[[#This Row],[Adjusted Form '#]],[2]BILLED!$D:$D,[1]BILLED!$O:$O,"Not Found")</f>
        <v>#REF!</v>
      </c>
      <c r="Y598" s="17" t="e">
        <f>_xlfn.XLOOKUP(Table2[[#This Row],[Adjusted Form '#]],'[2]REJECTED ORDERS'!$D:$D,'[2]REJECTED ORDERS'!$E:$E)</f>
        <v>#N/A</v>
      </c>
      <c r="Z598" s="1"/>
      <c r="AA598" s="1"/>
      <c r="AB598" s="8"/>
      <c r="AC598" s="8"/>
      <c r="AD598" s="8"/>
      <c r="AE598" s="8"/>
      <c r="AF598" s="8"/>
      <c r="AG598" s="8"/>
      <c r="AH598" s="8"/>
      <c r="AI598" s="8"/>
      <c r="AJ598" s="8"/>
    </row>
    <row r="599" spans="1:36" ht="15" customHeight="1" x14ac:dyDescent="0.35">
      <c r="A599" s="4" t="s">
        <v>898</v>
      </c>
      <c r="B599" s="1" t="s">
        <v>1663</v>
      </c>
      <c r="C599" s="11">
        <v>45007</v>
      </c>
      <c r="D599" s="11" t="s">
        <v>4855</v>
      </c>
      <c r="E599" s="1" t="s">
        <v>191</v>
      </c>
      <c r="F599" s="1" t="s">
        <v>4860</v>
      </c>
      <c r="G599" s="6">
        <f>COUNTIF(F:F,Table2[[#This Row],[Form '#]])</f>
        <v>1</v>
      </c>
      <c r="H599" s="1" t="s">
        <v>4861</v>
      </c>
      <c r="I599" s="1" t="s">
        <v>28</v>
      </c>
      <c r="J599" s="1" t="s">
        <v>69</v>
      </c>
      <c r="K599" s="1" t="s">
        <v>4011</v>
      </c>
      <c r="L599" s="1"/>
      <c r="M599" s="6" t="str">
        <f>IF(Table2[[#This Row],[Corrected Form '#
 (If Duplicated)]]="",Table2[[#This Row],[Form '#]],Table2[[#This Row],[Corrected Form '#
 (If Duplicated)]])</f>
        <v>7812-03494</v>
      </c>
      <c r="N599" s="1" t="s">
        <v>49</v>
      </c>
      <c r="O599" s="6" t="str">
        <f>IF(Table2[[#This Row],[POG CONFIRMATION RECEIPT OF ORDER
(DATE &amp; TIME)]]="","No Confirmation","Received Confirmation")</f>
        <v>Received Confirmation</v>
      </c>
      <c r="P599" s="6">
        <f ca="1">TODAY()-Table2[[#This Row],[DATE SENT TO POG]]</f>
        <v>296</v>
      </c>
      <c r="Q599" s="6" t="s">
        <v>5803</v>
      </c>
      <c r="R5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5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599" s="2" t="str">
        <f>_xlfn.XLOOKUP(Table2[[#This Row],[Adjusted Form '#]],'[2]IN PROGRESS'!$D:$D,'[2]IN PROGRESS'!$M:$M,"Not Found")</f>
        <v>Not Found</v>
      </c>
      <c r="U599" s="2" t="str">
        <f>_xlfn.XLOOKUP(Table2[[#This Row],[Adjusted Form '#]],[1]COMPLETED!$D:$D,[2]COMPLETED!$M:$M,"Not Found")</f>
        <v>Not Found</v>
      </c>
      <c r="V599" s="17" t="str">
        <f>_xlfn.XLOOKUP(Table2[[#This Row],[Adjusted Form '#]],[2]COMPLETED!$D:$D,[2]COMPLETED!$O:$O,"Not Found")</f>
        <v>Not Found</v>
      </c>
      <c r="W599" s="2" t="str">
        <f>_xlfn.XLOOKUP(Table2[[#This Row],[Adjusted Form '#]],[2]BILLED!$D:$D,[2]BILLED!$M:$M,"Not Found")</f>
        <v>9400 1112 0620 7731 3753 82</v>
      </c>
      <c r="X599" s="17" t="e">
        <f>_xlfn.XLOOKUP(Table2[[#This Row],[Adjusted Form '#]],[2]BILLED!$D:$D,[1]BILLED!$O:$O,"Not Found")</f>
        <v>#REF!</v>
      </c>
      <c r="Y599" s="17" t="e">
        <f>_xlfn.XLOOKUP(Table2[[#This Row],[Adjusted Form '#]],'[2]REJECTED ORDERS'!$D:$D,'[2]REJECTED ORDERS'!$E:$E)</f>
        <v>#N/A</v>
      </c>
      <c r="Z599" s="1"/>
      <c r="AA599" s="1"/>
      <c r="AB599" s="8"/>
      <c r="AC599" s="8"/>
      <c r="AD599" s="8"/>
      <c r="AE599" s="8"/>
      <c r="AF599" s="8"/>
      <c r="AG599" s="8"/>
      <c r="AH599" s="8"/>
      <c r="AI599" s="8"/>
      <c r="AJ599" s="8"/>
    </row>
    <row r="600" spans="1:36" ht="15" customHeight="1" x14ac:dyDescent="0.35">
      <c r="A600" s="4" t="s">
        <v>901</v>
      </c>
      <c r="B600" s="1" t="s">
        <v>2104</v>
      </c>
      <c r="C600" s="11">
        <v>45007</v>
      </c>
      <c r="D600" s="11" t="s">
        <v>4862</v>
      </c>
      <c r="E600" s="1" t="s">
        <v>191</v>
      </c>
      <c r="F600" s="1" t="s">
        <v>4863</v>
      </c>
      <c r="G600" s="6">
        <f>COUNTIF(F:F,Table2[[#This Row],[Form '#]])</f>
        <v>1</v>
      </c>
      <c r="H600" s="1" t="s">
        <v>4864</v>
      </c>
      <c r="I600" s="1" t="s">
        <v>758</v>
      </c>
      <c r="J600" s="1" t="s">
        <v>3891</v>
      </c>
      <c r="K600" s="1" t="s">
        <v>3891</v>
      </c>
      <c r="L600" s="1"/>
      <c r="M600" s="6" t="str">
        <f>IF(Table2[[#This Row],[Corrected Form '#
 (If Duplicated)]]="",Table2[[#This Row],[Form '#]],Table2[[#This Row],[Corrected Form '#
 (If Duplicated)]])</f>
        <v>7812-3852</v>
      </c>
      <c r="N600" s="1" t="s">
        <v>49</v>
      </c>
      <c r="O600" s="6" t="str">
        <f>IF(Table2[[#This Row],[POG CONFIRMATION RECEIPT OF ORDER
(DATE &amp; TIME)]]="","No Confirmation","Received Confirmation")</f>
        <v>Received Confirmation</v>
      </c>
      <c r="P600" s="6">
        <f ca="1">TODAY()-Table2[[#This Row],[DATE SENT TO POG]]</f>
        <v>296</v>
      </c>
      <c r="Q600" s="6" t="s">
        <v>5803</v>
      </c>
      <c r="R6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0" s="2" t="str">
        <f>_xlfn.XLOOKUP(Table2[[#This Row],[Adjusted Form '#]],'[2]IN PROGRESS'!$D:$D,'[2]IN PROGRESS'!$M:$M,"Not Found")</f>
        <v>Not Found</v>
      </c>
      <c r="U600" s="2" t="str">
        <f>_xlfn.XLOOKUP(Table2[[#This Row],[Adjusted Form '#]],[1]COMPLETED!$D:$D,[2]COMPLETED!$M:$M,"Not Found")</f>
        <v>Not Found</v>
      </c>
      <c r="V600" s="17" t="str">
        <f>_xlfn.XLOOKUP(Table2[[#This Row],[Adjusted Form '#]],[2]COMPLETED!$D:$D,[2]COMPLETED!$O:$O,"Not Found")</f>
        <v>Not Found</v>
      </c>
      <c r="W600" s="2" t="str">
        <f>_xlfn.XLOOKUP(Table2[[#This Row],[Adjusted Form '#]],[2]BILLED!$D:$D,[2]BILLED!$M:$M,"Not Found")</f>
        <v>1Z5063E0YW42050729</v>
      </c>
      <c r="X600" s="17" t="e">
        <f>_xlfn.XLOOKUP(Table2[[#This Row],[Adjusted Form '#]],[2]BILLED!$D:$D,[1]BILLED!$O:$O,"Not Found")</f>
        <v>#REF!</v>
      </c>
      <c r="Y600" s="17" t="e">
        <f>_xlfn.XLOOKUP(Table2[[#This Row],[Adjusted Form '#]],'[2]REJECTED ORDERS'!$D:$D,'[2]REJECTED ORDERS'!$E:$E)</f>
        <v>#N/A</v>
      </c>
      <c r="Z600" s="1"/>
      <c r="AA600" s="1"/>
      <c r="AB600" s="8"/>
      <c r="AC600" s="8"/>
      <c r="AD600" s="8"/>
      <c r="AE600" s="8"/>
      <c r="AF600" s="8"/>
      <c r="AG600" s="8"/>
      <c r="AH600" s="8"/>
      <c r="AI600" s="8"/>
      <c r="AJ600" s="8"/>
    </row>
    <row r="601" spans="1:36" ht="15" customHeight="1" x14ac:dyDescent="0.35">
      <c r="A601" s="4" t="s">
        <v>904</v>
      </c>
      <c r="B601" s="1" t="s">
        <v>1951</v>
      </c>
      <c r="C601" s="11">
        <v>45007</v>
      </c>
      <c r="E601" s="1" t="s">
        <v>21</v>
      </c>
      <c r="F601" s="1" t="s">
        <v>4865</v>
      </c>
      <c r="G601" s="6">
        <f>COUNTIF(F:F,Table2[[#This Row],[Form '#]])</f>
        <v>1</v>
      </c>
      <c r="H601" s="1" t="s">
        <v>4866</v>
      </c>
      <c r="I601" s="1" t="s">
        <v>177</v>
      </c>
      <c r="J601" s="1" t="s">
        <v>75</v>
      </c>
      <c r="K601" s="1" t="s">
        <v>4011</v>
      </c>
      <c r="L601" s="1"/>
      <c r="M601" s="6" t="str">
        <f>IF(Table2[[#This Row],[Corrected Form '#
 (If Duplicated)]]="",Table2[[#This Row],[Form '#]],Table2[[#This Row],[Corrected Form '#
 (If Duplicated)]])</f>
        <v>7818-02736</v>
      </c>
      <c r="N601" s="1" t="s">
        <v>49</v>
      </c>
      <c r="O601" s="6" t="str">
        <f>IF(Table2[[#This Row],[POG CONFIRMATION RECEIPT OF ORDER
(DATE &amp; TIME)]]="","No Confirmation","Received Confirmation")</f>
        <v>No Confirmation</v>
      </c>
      <c r="P601" s="6">
        <f ca="1">TODAY()-Table2[[#This Row],[DATE SENT TO POG]]</f>
        <v>296</v>
      </c>
      <c r="Q601" s="6" t="s">
        <v>5803</v>
      </c>
      <c r="R6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1" s="2" t="str">
        <f>_xlfn.XLOOKUP(Table2[[#This Row],[Adjusted Form '#]],'[2]IN PROGRESS'!$D:$D,'[2]IN PROGRESS'!$M:$M,"Not Found")</f>
        <v>Not Found</v>
      </c>
      <c r="U601" s="2" t="str">
        <f>_xlfn.XLOOKUP(Table2[[#This Row],[Adjusted Form '#]],[1]COMPLETED!$D:$D,[2]COMPLETED!$M:$M,"Not Found")</f>
        <v>Not Found</v>
      </c>
      <c r="V601" s="17" t="str">
        <f>_xlfn.XLOOKUP(Table2[[#This Row],[Adjusted Form '#]],[2]COMPLETED!$D:$D,[2]COMPLETED!$O:$O,"Not Found")</f>
        <v>Not Found</v>
      </c>
      <c r="W601" s="2" t="str">
        <f>_xlfn.XLOOKUP(Table2[[#This Row],[Adjusted Form '#]],[2]BILLED!$D:$D,[2]BILLED!$M:$M,"Not Found")</f>
        <v>9400 1112 0620 7086 0234 88</v>
      </c>
      <c r="X601" s="17" t="e">
        <f>_xlfn.XLOOKUP(Table2[[#This Row],[Adjusted Form '#]],[2]BILLED!$D:$D,[1]BILLED!$O:$O,"Not Found")</f>
        <v>#REF!</v>
      </c>
      <c r="Y601" s="17" t="str">
        <f>_xlfn.XLOOKUP(Table2[[#This Row],[Adjusted Form '#]],'[2]REJECTED ORDERS'!$D:$D,'[2]REJECTED ORDERS'!$E:$E)</f>
        <v>FORM NOT SIGNED</v>
      </c>
      <c r="Z601" s="1"/>
      <c r="AA601" s="1"/>
      <c r="AB601" s="8"/>
      <c r="AC601" s="8"/>
      <c r="AD601" s="8"/>
      <c r="AE601" s="8"/>
      <c r="AF601" s="8"/>
      <c r="AG601" s="8"/>
      <c r="AH601" s="8"/>
      <c r="AI601" s="8"/>
      <c r="AJ601" s="8"/>
    </row>
    <row r="602" spans="1:36" ht="15" customHeight="1" x14ac:dyDescent="0.35">
      <c r="A602" s="4" t="s">
        <v>906</v>
      </c>
      <c r="B602" s="1" t="s">
        <v>4867</v>
      </c>
      <c r="C602" s="11">
        <v>45007</v>
      </c>
      <c r="D602" s="11" t="s">
        <v>4862</v>
      </c>
      <c r="E602" s="1" t="s">
        <v>73</v>
      </c>
      <c r="F602" s="1" t="s">
        <v>4868</v>
      </c>
      <c r="G602" s="6">
        <f>COUNTIF(F:F,Table2[[#This Row],[Form '#]])</f>
        <v>1</v>
      </c>
      <c r="H602" s="1" t="s">
        <v>3445</v>
      </c>
      <c r="I602" s="1" t="s">
        <v>758</v>
      </c>
      <c r="J602" s="1" t="s">
        <v>78</v>
      </c>
      <c r="K602" s="1" t="s">
        <v>3853</v>
      </c>
      <c r="L602" s="1"/>
      <c r="M602" s="6" t="str">
        <f>IF(Table2[[#This Row],[Corrected Form '#
 (If Duplicated)]]="",Table2[[#This Row],[Form '#]],Table2[[#This Row],[Corrected Form '#
 (If Duplicated)]])</f>
        <v>7823-02282</v>
      </c>
      <c r="N602" s="1" t="s">
        <v>49</v>
      </c>
      <c r="O602" s="6" t="str">
        <f>IF(Table2[[#This Row],[POG CONFIRMATION RECEIPT OF ORDER
(DATE &amp; TIME)]]="","No Confirmation","Received Confirmation")</f>
        <v>Received Confirmation</v>
      </c>
      <c r="P602" s="6">
        <f ca="1">TODAY()-Table2[[#This Row],[DATE SENT TO POG]]</f>
        <v>296</v>
      </c>
      <c r="Q602" s="6" t="s">
        <v>5803</v>
      </c>
      <c r="R6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2" s="2" t="str">
        <f>_xlfn.XLOOKUP(Table2[[#This Row],[Adjusted Form '#]],'[2]IN PROGRESS'!$D:$D,'[2]IN PROGRESS'!$M:$M,"Not Found")</f>
        <v>Not Found</v>
      </c>
      <c r="U602" s="2" t="str">
        <f>_xlfn.XLOOKUP(Table2[[#This Row],[Adjusted Form '#]],[1]COMPLETED!$D:$D,[2]COMPLETED!$M:$M,"Not Found")</f>
        <v>Not Found</v>
      </c>
      <c r="V602" s="17" t="str">
        <f>_xlfn.XLOOKUP(Table2[[#This Row],[Adjusted Form '#]],[2]COMPLETED!$D:$D,[2]COMPLETED!$O:$O,"Not Found")</f>
        <v>Not Found</v>
      </c>
      <c r="W602" s="2" t="str">
        <f>_xlfn.XLOOKUP(Table2[[#This Row],[Adjusted Form '#]],[2]BILLED!$D:$D,[2]BILLED!$M:$M,"Not Found")</f>
        <v>1Z5063E0YW41961023</v>
      </c>
      <c r="X602" s="17" t="e">
        <f>_xlfn.XLOOKUP(Table2[[#This Row],[Adjusted Form '#]],[2]BILLED!$D:$D,[1]BILLED!$O:$O,"Not Found")</f>
        <v>#REF!</v>
      </c>
      <c r="Y602" s="17" t="str">
        <f>_xlfn.XLOOKUP(Table2[[#This Row],[Adjusted Form '#]],'[2]REJECTED ORDERS'!$D:$D,'[2]REJECTED ORDERS'!$E:$E)</f>
        <v>FORM NOT SIGNED</v>
      </c>
      <c r="Z602" s="1"/>
      <c r="AA602" s="1"/>
      <c r="AB602" s="8"/>
      <c r="AC602" s="8"/>
      <c r="AD602" s="8"/>
      <c r="AE602" s="8"/>
      <c r="AF602" s="8"/>
      <c r="AG602" s="8"/>
      <c r="AH602" s="8"/>
      <c r="AI602" s="8"/>
      <c r="AJ602" s="8"/>
    </row>
    <row r="603" spans="1:36" ht="15" customHeight="1" x14ac:dyDescent="0.35">
      <c r="A603" s="4" t="s">
        <v>908</v>
      </c>
      <c r="B603" s="1" t="s">
        <v>3611</v>
      </c>
      <c r="C603" s="11">
        <v>45008</v>
      </c>
      <c r="D603" s="11" t="s">
        <v>4869</v>
      </c>
      <c r="E603" s="1" t="s">
        <v>191</v>
      </c>
      <c r="F603" s="1" t="s">
        <v>3594</v>
      </c>
      <c r="G603" s="6">
        <f>COUNTIF(F:F,Table2[[#This Row],[Form '#]])</f>
        <v>1</v>
      </c>
      <c r="H603" s="1" t="s">
        <v>3595</v>
      </c>
      <c r="I603" s="1" t="s">
        <v>3852</v>
      </c>
      <c r="J603" s="1" t="s">
        <v>80</v>
      </c>
      <c r="K603" s="1" t="s">
        <v>3853</v>
      </c>
      <c r="L603" s="1"/>
      <c r="M603" s="6" t="str">
        <f>IF(Table2[[#This Row],[Corrected Form '#
 (If Duplicated)]]="",Table2[[#This Row],[Form '#]],Table2[[#This Row],[Corrected Form '#
 (If Duplicated)]])</f>
        <v>7812-01696</v>
      </c>
      <c r="N603" s="1" t="s">
        <v>49</v>
      </c>
      <c r="O603" s="6" t="str">
        <f>IF(Table2[[#This Row],[POG CONFIRMATION RECEIPT OF ORDER
(DATE &amp; TIME)]]="","No Confirmation","Received Confirmation")</f>
        <v>Received Confirmation</v>
      </c>
      <c r="P603" s="6">
        <f ca="1">TODAY()-Table2[[#This Row],[DATE SENT TO POG]]</f>
        <v>295</v>
      </c>
      <c r="Q603" s="6" t="s">
        <v>5803</v>
      </c>
      <c r="R6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3" s="2" t="str">
        <f>_xlfn.XLOOKUP(Table2[[#This Row],[Adjusted Form '#]],'[2]IN PROGRESS'!$D:$D,'[2]IN PROGRESS'!$M:$M,"Not Found")</f>
        <v>Not Found</v>
      </c>
      <c r="U603" s="2" t="str">
        <f>_xlfn.XLOOKUP(Table2[[#This Row],[Adjusted Form '#]],[1]COMPLETED!$D:$D,[2]COMPLETED!$M:$M,"Not Found")</f>
        <v>Not Found</v>
      </c>
      <c r="V603" s="17" t="str">
        <f>_xlfn.XLOOKUP(Table2[[#This Row],[Adjusted Form '#]],[2]COMPLETED!$D:$D,[2]COMPLETED!$O:$O,"Not Found")</f>
        <v>Not Found</v>
      </c>
      <c r="W603" s="2" t="str">
        <f>_xlfn.XLOOKUP(Table2[[#This Row],[Adjusted Form '#]],[2]BILLED!$D:$D,[2]BILLED!$M:$M,"Not Found")</f>
        <v>1Z5063E0YW41505445</v>
      </c>
      <c r="X603" s="17" t="e">
        <f>_xlfn.XLOOKUP(Table2[[#This Row],[Adjusted Form '#]],[2]BILLED!$D:$D,[1]BILLED!$O:$O,"Not Found")</f>
        <v>#REF!</v>
      </c>
      <c r="Y603" s="17" t="e">
        <f>_xlfn.XLOOKUP(Table2[[#This Row],[Adjusted Form '#]],'[2]REJECTED ORDERS'!$D:$D,'[2]REJECTED ORDERS'!$E:$E)</f>
        <v>#N/A</v>
      </c>
      <c r="Z603" s="1"/>
      <c r="AA603" s="1"/>
      <c r="AB603" s="8"/>
      <c r="AC603" s="8"/>
      <c r="AD603" s="8"/>
      <c r="AE603" s="8"/>
      <c r="AF603" s="8"/>
      <c r="AG603" s="8"/>
      <c r="AH603" s="8"/>
      <c r="AI603" s="8"/>
      <c r="AJ603" s="8"/>
    </row>
    <row r="604" spans="1:36" ht="15" customHeight="1" x14ac:dyDescent="0.35">
      <c r="A604" s="4" t="s">
        <v>910</v>
      </c>
      <c r="B604" s="1" t="s">
        <v>4870</v>
      </c>
      <c r="C604" s="11">
        <v>45008</v>
      </c>
      <c r="D604" s="11" t="s">
        <v>4871</v>
      </c>
      <c r="E604" s="1" t="s">
        <v>21</v>
      </c>
      <c r="F604" s="1" t="s">
        <v>4872</v>
      </c>
      <c r="G604" s="6">
        <f>COUNTIF(F:F,Table2[[#This Row],[Form '#]])</f>
        <v>1</v>
      </c>
      <c r="H604" s="1" t="s">
        <v>4873</v>
      </c>
      <c r="I604" s="1" t="s">
        <v>127</v>
      </c>
      <c r="J604" s="1" t="s">
        <v>74</v>
      </c>
      <c r="K604" s="1" t="s">
        <v>3883</v>
      </c>
      <c r="L604" s="1"/>
      <c r="M604" s="6" t="str">
        <f>IF(Table2[[#This Row],[Corrected Form '#
 (If Duplicated)]]="",Table2[[#This Row],[Form '#]],Table2[[#This Row],[Corrected Form '#
 (If Duplicated)]])</f>
        <v>7818-18719</v>
      </c>
      <c r="N604" s="1" t="s">
        <v>49</v>
      </c>
      <c r="O604" s="6" t="str">
        <f>IF(Table2[[#This Row],[POG CONFIRMATION RECEIPT OF ORDER
(DATE &amp; TIME)]]="","No Confirmation","Received Confirmation")</f>
        <v>Received Confirmation</v>
      </c>
      <c r="P604" s="6">
        <f ca="1">TODAY()-Table2[[#This Row],[DATE SENT TO POG]]</f>
        <v>295</v>
      </c>
      <c r="Q604" s="6" t="s">
        <v>5803</v>
      </c>
      <c r="R6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4" s="2" t="str">
        <f>_xlfn.XLOOKUP(Table2[[#This Row],[Adjusted Form '#]],'[2]IN PROGRESS'!$D:$D,'[2]IN PROGRESS'!$M:$M,"Not Found")</f>
        <v>Not Found</v>
      </c>
      <c r="U604" s="2" t="str">
        <f>_xlfn.XLOOKUP(Table2[[#This Row],[Adjusted Form '#]],[1]COMPLETED!$D:$D,[2]COMPLETED!$M:$M,"Not Found")</f>
        <v>Not Found</v>
      </c>
      <c r="V604" s="17" t="str">
        <f>_xlfn.XLOOKUP(Table2[[#This Row],[Adjusted Form '#]],[2]COMPLETED!$D:$D,[2]COMPLETED!$O:$O,"Not Found")</f>
        <v>Not Found</v>
      </c>
      <c r="W604" s="2" t="str">
        <f>_xlfn.XLOOKUP(Table2[[#This Row],[Adjusted Form '#]],[2]BILLED!$D:$D,[2]BILLED!$M:$M,"Not Found")</f>
        <v>9402 1112 0620 7754 6516 38</v>
      </c>
      <c r="X604" s="17" t="e">
        <f>_xlfn.XLOOKUP(Table2[[#This Row],[Adjusted Form '#]],[2]BILLED!$D:$D,[1]BILLED!$O:$O,"Not Found")</f>
        <v>#REF!</v>
      </c>
      <c r="Y604" s="17" t="e">
        <f>_xlfn.XLOOKUP(Table2[[#This Row],[Adjusted Form '#]],'[2]REJECTED ORDERS'!$D:$D,'[2]REJECTED ORDERS'!$E:$E)</f>
        <v>#N/A</v>
      </c>
      <c r="Z604" s="1"/>
      <c r="AA604" s="1"/>
      <c r="AB604" s="8"/>
      <c r="AC604" s="8"/>
      <c r="AD604" s="8"/>
      <c r="AE604" s="8"/>
      <c r="AF604" s="8"/>
      <c r="AG604" s="8"/>
      <c r="AH604" s="8"/>
      <c r="AI604" s="8"/>
      <c r="AJ604" s="8"/>
    </row>
    <row r="605" spans="1:36" ht="15" customHeight="1" x14ac:dyDescent="0.35">
      <c r="A605" s="4" t="s">
        <v>913</v>
      </c>
      <c r="B605" s="1" t="s">
        <v>4870</v>
      </c>
      <c r="C605" s="11">
        <v>45008</v>
      </c>
      <c r="D605" s="11" t="s">
        <v>4871</v>
      </c>
      <c r="E605" s="1" t="s">
        <v>21</v>
      </c>
      <c r="F605" s="1" t="s">
        <v>4874</v>
      </c>
      <c r="G605" s="6">
        <f>COUNTIF(F:F,Table2[[#This Row],[Form '#]])</f>
        <v>1</v>
      </c>
      <c r="H605" s="1" t="s">
        <v>711</v>
      </c>
      <c r="I605" s="1" t="s">
        <v>177</v>
      </c>
      <c r="J605" s="1" t="s">
        <v>75</v>
      </c>
      <c r="K605" s="1" t="s">
        <v>4011</v>
      </c>
      <c r="L605" s="1"/>
      <c r="M605" s="6" t="str">
        <f>IF(Table2[[#This Row],[Corrected Form '#
 (If Duplicated)]]="",Table2[[#This Row],[Form '#]],Table2[[#This Row],[Corrected Form '#
 (If Duplicated)]])</f>
        <v>7818-23034</v>
      </c>
      <c r="N605" s="1" t="s">
        <v>49</v>
      </c>
      <c r="O605" s="6" t="str">
        <f>IF(Table2[[#This Row],[POG CONFIRMATION RECEIPT OF ORDER
(DATE &amp; TIME)]]="","No Confirmation","Received Confirmation")</f>
        <v>Received Confirmation</v>
      </c>
      <c r="P605" s="6">
        <f ca="1">TODAY()-Table2[[#This Row],[DATE SENT TO POG]]</f>
        <v>295</v>
      </c>
      <c r="Q605" s="6" t="s">
        <v>5803</v>
      </c>
      <c r="R6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5" s="2" t="str">
        <f>_xlfn.XLOOKUP(Table2[[#This Row],[Adjusted Form '#]],'[2]IN PROGRESS'!$D:$D,'[2]IN PROGRESS'!$M:$M,"Not Found")</f>
        <v>Not Found</v>
      </c>
      <c r="U605" s="2" t="str">
        <f>_xlfn.XLOOKUP(Table2[[#This Row],[Adjusted Form '#]],[1]COMPLETED!$D:$D,[2]COMPLETED!$M:$M,"Not Found")</f>
        <v>Not Found</v>
      </c>
      <c r="V605" s="17" t="str">
        <f>_xlfn.XLOOKUP(Table2[[#This Row],[Adjusted Form '#]],[2]COMPLETED!$D:$D,[2]COMPLETED!$O:$O,"Not Found")</f>
        <v>Not Found</v>
      </c>
      <c r="W605" s="2" t="str">
        <f>_xlfn.XLOOKUP(Table2[[#This Row],[Adjusted Form '#]],[2]BILLED!$D:$D,[2]BILLED!$M:$M,"Not Found")</f>
        <v>1Z5063E0YW40843984</v>
      </c>
      <c r="X605" s="17" t="e">
        <f>_xlfn.XLOOKUP(Table2[[#This Row],[Adjusted Form '#]],[2]BILLED!$D:$D,[1]BILLED!$O:$O,"Not Found")</f>
        <v>#REF!</v>
      </c>
      <c r="Y605" s="17" t="e">
        <f>_xlfn.XLOOKUP(Table2[[#This Row],[Adjusted Form '#]],'[2]REJECTED ORDERS'!$D:$D,'[2]REJECTED ORDERS'!$E:$E)</f>
        <v>#N/A</v>
      </c>
      <c r="Z605" s="1"/>
      <c r="AA605" s="1"/>
      <c r="AB605" s="8"/>
      <c r="AC605" s="8"/>
      <c r="AD605" s="8"/>
      <c r="AE605" s="8"/>
      <c r="AF605" s="8"/>
      <c r="AG605" s="8"/>
      <c r="AH605" s="8"/>
      <c r="AI605" s="8"/>
      <c r="AJ605" s="8"/>
    </row>
    <row r="606" spans="1:36" ht="15" customHeight="1" x14ac:dyDescent="0.35">
      <c r="A606" s="4" t="s">
        <v>915</v>
      </c>
      <c r="B606" s="1" t="s">
        <v>4870</v>
      </c>
      <c r="C606" s="11">
        <v>45008</v>
      </c>
      <c r="D606" s="11" t="s">
        <v>4871</v>
      </c>
      <c r="E606" s="1" t="s">
        <v>21</v>
      </c>
      <c r="F606" s="1" t="s">
        <v>4875</v>
      </c>
      <c r="G606" s="6">
        <f>COUNTIF(F:F,Table2[[#This Row],[Form '#]])</f>
        <v>1</v>
      </c>
      <c r="H606" s="1" t="s">
        <v>4876</v>
      </c>
      <c r="I606" s="1" t="s">
        <v>127</v>
      </c>
      <c r="J606" s="1" t="s">
        <v>76</v>
      </c>
      <c r="K606" s="1" t="s">
        <v>3883</v>
      </c>
      <c r="L606" s="1"/>
      <c r="M606" s="6" t="str">
        <f>IF(Table2[[#This Row],[Corrected Form '#
 (If Duplicated)]]="",Table2[[#This Row],[Form '#]],Table2[[#This Row],[Corrected Form '#
 (If Duplicated)]])</f>
        <v>7818-25399</v>
      </c>
      <c r="N606" s="1" t="s">
        <v>49</v>
      </c>
      <c r="O606" s="6" t="str">
        <f>IF(Table2[[#This Row],[POG CONFIRMATION RECEIPT OF ORDER
(DATE &amp; TIME)]]="","No Confirmation","Received Confirmation")</f>
        <v>Received Confirmation</v>
      </c>
      <c r="P606" s="6">
        <f ca="1">TODAY()-Table2[[#This Row],[DATE SENT TO POG]]</f>
        <v>295</v>
      </c>
      <c r="Q606" s="6" t="s">
        <v>5803</v>
      </c>
      <c r="R6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6" s="2" t="str">
        <f>_xlfn.XLOOKUP(Table2[[#This Row],[Adjusted Form '#]],'[2]IN PROGRESS'!$D:$D,'[2]IN PROGRESS'!$M:$M,"Not Found")</f>
        <v>Not Found</v>
      </c>
      <c r="U606" s="2" t="str">
        <f>_xlfn.XLOOKUP(Table2[[#This Row],[Adjusted Form '#]],[1]COMPLETED!$D:$D,[2]COMPLETED!$M:$M,"Not Found")</f>
        <v>Not Found</v>
      </c>
      <c r="V606" s="17" t="str">
        <f>_xlfn.XLOOKUP(Table2[[#This Row],[Adjusted Form '#]],[2]COMPLETED!$D:$D,[2]COMPLETED!$O:$O,"Not Found")</f>
        <v>Not Found</v>
      </c>
      <c r="W606" s="2" t="str">
        <f>_xlfn.XLOOKUP(Table2[[#This Row],[Adjusted Form '#]],[2]BILLED!$D:$D,[2]BILLED!$M:$M,"Not Found")</f>
        <v>9400 1112 0620 7270 3026 72</v>
      </c>
      <c r="X606" s="17" t="e">
        <f>_xlfn.XLOOKUP(Table2[[#This Row],[Adjusted Form '#]],[2]BILLED!$D:$D,[1]BILLED!$O:$O,"Not Found")</f>
        <v>#REF!</v>
      </c>
      <c r="Y606" s="17" t="e">
        <f>_xlfn.XLOOKUP(Table2[[#This Row],[Adjusted Form '#]],'[2]REJECTED ORDERS'!$D:$D,'[2]REJECTED ORDERS'!$E:$E)</f>
        <v>#N/A</v>
      </c>
      <c r="Z606" s="1"/>
      <c r="AA606" s="1"/>
      <c r="AB606" s="8"/>
      <c r="AC606" s="8"/>
      <c r="AD606" s="8"/>
      <c r="AE606" s="8"/>
      <c r="AF606" s="8"/>
      <c r="AG606" s="8"/>
      <c r="AH606" s="8"/>
      <c r="AI606" s="8"/>
      <c r="AJ606" s="8"/>
    </row>
    <row r="607" spans="1:36" ht="15" customHeight="1" x14ac:dyDescent="0.35">
      <c r="A607" s="4" t="s">
        <v>917</v>
      </c>
      <c r="B607" s="1" t="s">
        <v>4870</v>
      </c>
      <c r="C607" s="11">
        <v>45008</v>
      </c>
      <c r="D607" s="11" t="s">
        <v>4871</v>
      </c>
      <c r="E607" s="1" t="s">
        <v>21</v>
      </c>
      <c r="F607" s="1" t="s">
        <v>4877</v>
      </c>
      <c r="G607" s="6">
        <f>COUNTIF(F:F,Table2[[#This Row],[Form '#]])</f>
        <v>1</v>
      </c>
      <c r="H607" s="1" t="s">
        <v>180</v>
      </c>
      <c r="I607" s="1" t="s">
        <v>758</v>
      </c>
      <c r="J607" s="1" t="s">
        <v>78</v>
      </c>
      <c r="K607" s="1" t="s">
        <v>3853</v>
      </c>
      <c r="L607" s="1"/>
      <c r="M607" s="6" t="str">
        <f>IF(Table2[[#This Row],[Corrected Form '#
 (If Duplicated)]]="",Table2[[#This Row],[Form '#]],Table2[[#This Row],[Corrected Form '#
 (If Duplicated)]])</f>
        <v>7818-26096</v>
      </c>
      <c r="N607" s="1" t="s">
        <v>49</v>
      </c>
      <c r="O607" s="6" t="str">
        <f>IF(Table2[[#This Row],[POG CONFIRMATION RECEIPT OF ORDER
(DATE &amp; TIME)]]="","No Confirmation","Received Confirmation")</f>
        <v>Received Confirmation</v>
      </c>
      <c r="P607" s="6">
        <f ca="1">TODAY()-Table2[[#This Row],[DATE SENT TO POG]]</f>
        <v>295</v>
      </c>
      <c r="Q607" s="6" t="s">
        <v>5803</v>
      </c>
      <c r="R6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7" s="2" t="str">
        <f>_xlfn.XLOOKUP(Table2[[#This Row],[Adjusted Form '#]],'[2]IN PROGRESS'!$D:$D,'[2]IN PROGRESS'!$M:$M,"Not Found")</f>
        <v>Not Found</v>
      </c>
      <c r="U607" s="2" t="str">
        <f>_xlfn.XLOOKUP(Table2[[#This Row],[Adjusted Form '#]],[1]COMPLETED!$D:$D,[2]COMPLETED!$M:$M,"Not Found")</f>
        <v>Not Found</v>
      </c>
      <c r="V607" s="17" t="str">
        <f>_xlfn.XLOOKUP(Table2[[#This Row],[Adjusted Form '#]],[2]COMPLETED!$D:$D,[2]COMPLETED!$O:$O,"Not Found")</f>
        <v>Not Found</v>
      </c>
      <c r="W607" s="2" t="str">
        <f>_xlfn.XLOOKUP(Table2[[#This Row],[Adjusted Form '#]],[2]BILLED!$D:$D,[2]BILLED!$M:$M,"Not Found")</f>
        <v>9400 1112 0620 7207 7349 89</v>
      </c>
      <c r="X607" s="17" t="e">
        <f>_xlfn.XLOOKUP(Table2[[#This Row],[Adjusted Form '#]],[2]BILLED!$D:$D,[1]BILLED!$O:$O,"Not Found")</f>
        <v>#REF!</v>
      </c>
      <c r="Y607" s="17" t="e">
        <f>_xlfn.XLOOKUP(Table2[[#This Row],[Adjusted Form '#]],'[2]REJECTED ORDERS'!$D:$D,'[2]REJECTED ORDERS'!$E:$E)</f>
        <v>#N/A</v>
      </c>
      <c r="Z607" s="1"/>
      <c r="AA607" s="1"/>
      <c r="AB607" s="8"/>
      <c r="AC607" s="8"/>
      <c r="AD607" s="8"/>
      <c r="AE607" s="8"/>
      <c r="AF607" s="8"/>
      <c r="AG607" s="8"/>
      <c r="AH607" s="8"/>
      <c r="AI607" s="8"/>
      <c r="AJ607" s="8"/>
    </row>
    <row r="608" spans="1:36" ht="15" customHeight="1" x14ac:dyDescent="0.35">
      <c r="A608" s="4" t="s">
        <v>919</v>
      </c>
      <c r="B608" s="1" t="s">
        <v>4870</v>
      </c>
      <c r="C608" s="11">
        <v>45008</v>
      </c>
      <c r="D608" s="11" t="s">
        <v>4871</v>
      </c>
      <c r="E608" s="1" t="s">
        <v>21</v>
      </c>
      <c r="F608" s="1" t="s">
        <v>4878</v>
      </c>
      <c r="G608" s="6">
        <f>COUNTIF(F:F,Table2[[#This Row],[Form '#]])</f>
        <v>1</v>
      </c>
      <c r="H608" s="1" t="s">
        <v>4879</v>
      </c>
      <c r="I608" s="1" t="s">
        <v>3852</v>
      </c>
      <c r="J608" s="1" t="s">
        <v>80</v>
      </c>
      <c r="K608" s="1" t="s">
        <v>3853</v>
      </c>
      <c r="L608" s="1"/>
      <c r="M608" s="6" t="str">
        <f>IF(Table2[[#This Row],[Corrected Form '#
 (If Duplicated)]]="",Table2[[#This Row],[Form '#]],Table2[[#This Row],[Corrected Form '#
 (If Duplicated)]])</f>
        <v>7818-24941</v>
      </c>
      <c r="N608" s="1" t="s">
        <v>49</v>
      </c>
      <c r="O608" s="6" t="str">
        <f>IF(Table2[[#This Row],[POG CONFIRMATION RECEIPT OF ORDER
(DATE &amp; TIME)]]="","No Confirmation","Received Confirmation")</f>
        <v>Received Confirmation</v>
      </c>
      <c r="P608" s="6">
        <f ca="1">TODAY()-Table2[[#This Row],[DATE SENT TO POG]]</f>
        <v>295</v>
      </c>
      <c r="Q608" s="6" t="s">
        <v>5803</v>
      </c>
      <c r="R6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8" s="2" t="str">
        <f>_xlfn.XLOOKUP(Table2[[#This Row],[Adjusted Form '#]],'[2]IN PROGRESS'!$D:$D,'[2]IN PROGRESS'!$M:$M,"Not Found")</f>
        <v>Not Found</v>
      </c>
      <c r="U608" s="2" t="str">
        <f>_xlfn.XLOOKUP(Table2[[#This Row],[Adjusted Form '#]],[1]COMPLETED!$D:$D,[2]COMPLETED!$M:$M,"Not Found")</f>
        <v>Not Found</v>
      </c>
      <c r="V608" s="17" t="str">
        <f>_xlfn.XLOOKUP(Table2[[#This Row],[Adjusted Form '#]],[2]COMPLETED!$D:$D,[2]COMPLETED!$O:$O,"Not Found")</f>
        <v>Not Found</v>
      </c>
      <c r="W608" s="2" t="str">
        <f>_xlfn.XLOOKUP(Table2[[#This Row],[Adjusted Form '#]],[2]BILLED!$D:$D,[2]BILLED!$M:$M,"Not Found")</f>
        <v>9400 1112 0620 7719 5231 49</v>
      </c>
      <c r="X608" s="17" t="e">
        <f>_xlfn.XLOOKUP(Table2[[#This Row],[Adjusted Form '#]],[2]BILLED!$D:$D,[1]BILLED!$O:$O,"Not Found")</f>
        <v>#REF!</v>
      </c>
      <c r="Y608" s="17" t="e">
        <f>_xlfn.XLOOKUP(Table2[[#This Row],[Adjusted Form '#]],'[2]REJECTED ORDERS'!$D:$D,'[2]REJECTED ORDERS'!$E:$E)</f>
        <v>#N/A</v>
      </c>
      <c r="Z608" s="1"/>
      <c r="AA608" s="1"/>
      <c r="AB608" s="8"/>
      <c r="AC608" s="8"/>
      <c r="AD608" s="8"/>
      <c r="AE608" s="8"/>
      <c r="AF608" s="8"/>
      <c r="AG608" s="8"/>
      <c r="AH608" s="8"/>
      <c r="AI608" s="8"/>
      <c r="AJ608" s="8"/>
    </row>
    <row r="609" spans="1:36" ht="15" customHeight="1" x14ac:dyDescent="0.35">
      <c r="A609" s="4" t="s">
        <v>920</v>
      </c>
      <c r="B609" s="1" t="s">
        <v>4870</v>
      </c>
      <c r="C609" s="11">
        <v>45008</v>
      </c>
      <c r="D609" s="11" t="s">
        <v>4871</v>
      </c>
      <c r="E609" s="1" t="s">
        <v>21</v>
      </c>
      <c r="F609" s="1" t="s">
        <v>4880</v>
      </c>
      <c r="G609" s="6">
        <f>COUNTIF(F:F,Table2[[#This Row],[Form '#]])</f>
        <v>1</v>
      </c>
      <c r="H609" s="1" t="s">
        <v>4881</v>
      </c>
      <c r="I609" s="1" t="s">
        <v>3852</v>
      </c>
      <c r="J609" s="1" t="s">
        <v>80</v>
      </c>
      <c r="K609" s="1" t="s">
        <v>3853</v>
      </c>
      <c r="L609" s="1"/>
      <c r="M609" s="6" t="str">
        <f>IF(Table2[[#This Row],[Corrected Form '#
 (If Duplicated)]]="",Table2[[#This Row],[Form '#]],Table2[[#This Row],[Corrected Form '#
 (If Duplicated)]])</f>
        <v>7818-03993</v>
      </c>
      <c r="N609" s="1" t="s">
        <v>49</v>
      </c>
      <c r="O609" s="6" t="str">
        <f>IF(Table2[[#This Row],[POG CONFIRMATION RECEIPT OF ORDER
(DATE &amp; TIME)]]="","No Confirmation","Received Confirmation")</f>
        <v>Received Confirmation</v>
      </c>
      <c r="P609" s="6">
        <f ca="1">TODAY()-Table2[[#This Row],[DATE SENT TO POG]]</f>
        <v>295</v>
      </c>
      <c r="Q609" s="6" t="s">
        <v>5803</v>
      </c>
      <c r="R6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09" s="2" t="str">
        <f>_xlfn.XLOOKUP(Table2[[#This Row],[Adjusted Form '#]],'[2]IN PROGRESS'!$D:$D,'[2]IN PROGRESS'!$M:$M,"Not Found")</f>
        <v>Not Found</v>
      </c>
      <c r="U609" s="2" t="str">
        <f>_xlfn.XLOOKUP(Table2[[#This Row],[Adjusted Form '#]],[1]COMPLETED!$D:$D,[2]COMPLETED!$M:$M,"Not Found")</f>
        <v>Not Found</v>
      </c>
      <c r="V609" s="17" t="str">
        <f>_xlfn.XLOOKUP(Table2[[#This Row],[Adjusted Form '#]],[2]COMPLETED!$D:$D,[2]COMPLETED!$O:$O,"Not Found")</f>
        <v>Not Found</v>
      </c>
      <c r="W609" s="2" t="str">
        <f>_xlfn.XLOOKUP(Table2[[#This Row],[Adjusted Form '#]],[2]BILLED!$D:$D,[2]BILLED!$M:$M,"Not Found")</f>
        <v>9402 1112 0620 7754 6964 79</v>
      </c>
      <c r="X609" s="17" t="e">
        <f>_xlfn.XLOOKUP(Table2[[#This Row],[Adjusted Form '#]],[2]BILLED!$D:$D,[1]BILLED!$O:$O,"Not Found")</f>
        <v>#REF!</v>
      </c>
      <c r="Y609" s="17" t="e">
        <f>_xlfn.XLOOKUP(Table2[[#This Row],[Adjusted Form '#]],'[2]REJECTED ORDERS'!$D:$D,'[2]REJECTED ORDERS'!$E:$E)</f>
        <v>#N/A</v>
      </c>
      <c r="Z609" s="1"/>
      <c r="AA609" s="1"/>
      <c r="AB609" s="8"/>
      <c r="AC609" s="8"/>
      <c r="AD609" s="8"/>
      <c r="AE609" s="8"/>
      <c r="AF609" s="8"/>
      <c r="AG609" s="8"/>
      <c r="AH609" s="8"/>
      <c r="AI609" s="8"/>
      <c r="AJ609" s="8"/>
    </row>
    <row r="610" spans="1:36" ht="15" customHeight="1" x14ac:dyDescent="0.35">
      <c r="A610" s="4" t="s">
        <v>921</v>
      </c>
      <c r="B610" s="1" t="s">
        <v>4870</v>
      </c>
      <c r="C610" s="11">
        <v>45008</v>
      </c>
      <c r="D610" s="11" t="s">
        <v>4871</v>
      </c>
      <c r="E610" s="1" t="s">
        <v>21</v>
      </c>
      <c r="F610" s="1" t="s">
        <v>4882</v>
      </c>
      <c r="G610" s="6">
        <f>COUNTIF(F:F,Table2[[#This Row],[Form '#]])</f>
        <v>1</v>
      </c>
      <c r="H610" s="1" t="s">
        <v>585</v>
      </c>
      <c r="I610" s="1" t="s">
        <v>3852</v>
      </c>
      <c r="J610" s="1" t="s">
        <v>80</v>
      </c>
      <c r="K610" s="1" t="s">
        <v>3853</v>
      </c>
      <c r="L610" s="1"/>
      <c r="M610" s="6" t="str">
        <f>IF(Table2[[#This Row],[Corrected Form '#
 (If Duplicated)]]="",Table2[[#This Row],[Form '#]],Table2[[#This Row],[Corrected Form '#
 (If Duplicated)]])</f>
        <v>7818-26073</v>
      </c>
      <c r="N610" s="1" t="s">
        <v>49</v>
      </c>
      <c r="O610" s="6" t="str">
        <f>IF(Table2[[#This Row],[POG CONFIRMATION RECEIPT OF ORDER
(DATE &amp; TIME)]]="","No Confirmation","Received Confirmation")</f>
        <v>Received Confirmation</v>
      </c>
      <c r="P610" s="6">
        <f ca="1">TODAY()-Table2[[#This Row],[DATE SENT TO POG]]</f>
        <v>295</v>
      </c>
      <c r="Q610" s="6" t="s">
        <v>5803</v>
      </c>
      <c r="R6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0" s="2" t="str">
        <f>_xlfn.XLOOKUP(Table2[[#This Row],[Adjusted Form '#]],'[2]IN PROGRESS'!$D:$D,'[2]IN PROGRESS'!$M:$M,"Not Found")</f>
        <v>Not Found</v>
      </c>
      <c r="U610" s="2" t="str">
        <f>_xlfn.XLOOKUP(Table2[[#This Row],[Adjusted Form '#]],[1]COMPLETED!$D:$D,[2]COMPLETED!$M:$M,"Not Found")</f>
        <v>Not Found</v>
      </c>
      <c r="V610" s="17" t="str">
        <f>_xlfn.XLOOKUP(Table2[[#This Row],[Adjusted Form '#]],[2]COMPLETED!$D:$D,[2]COMPLETED!$O:$O,"Not Found")</f>
        <v>Not Found</v>
      </c>
      <c r="W610" s="2" t="str">
        <f>_xlfn.XLOOKUP(Table2[[#This Row],[Adjusted Form '#]],[2]BILLED!$D:$D,[2]BILLED!$M:$M,"Not Found")</f>
        <v>1Z5063E0YW40899577</v>
      </c>
      <c r="X610" s="17" t="e">
        <f>_xlfn.XLOOKUP(Table2[[#This Row],[Adjusted Form '#]],[2]BILLED!$D:$D,[1]BILLED!$O:$O,"Not Found")</f>
        <v>#REF!</v>
      </c>
      <c r="Y610" s="17" t="str">
        <f>_xlfn.XLOOKUP(Table2[[#This Row],[Adjusted Form '#]],'[2]REJECTED ORDERS'!$D:$D,'[2]REJECTED ORDERS'!$E:$E)</f>
        <v>FORM NOT SIGNED</v>
      </c>
      <c r="Z610" s="1"/>
      <c r="AA610" s="1"/>
      <c r="AB610" s="8"/>
      <c r="AC610" s="8"/>
      <c r="AD610" s="8"/>
      <c r="AE610" s="8"/>
      <c r="AF610" s="8"/>
      <c r="AG610" s="8"/>
      <c r="AH610" s="8"/>
      <c r="AI610" s="8"/>
      <c r="AJ610" s="8"/>
    </row>
    <row r="611" spans="1:36" ht="15" customHeight="1" x14ac:dyDescent="0.35">
      <c r="A611" s="4" t="s">
        <v>922</v>
      </c>
      <c r="B611" s="1" t="s">
        <v>4870</v>
      </c>
      <c r="C611" s="11">
        <v>45008</v>
      </c>
      <c r="D611" s="11" t="s">
        <v>4871</v>
      </c>
      <c r="E611" s="1" t="s">
        <v>21</v>
      </c>
      <c r="F611" s="1" t="s">
        <v>4883</v>
      </c>
      <c r="G611" s="6">
        <f>COUNTIF(F:F,Table2[[#This Row],[Form '#]])</f>
        <v>2</v>
      </c>
      <c r="H611" s="1" t="s">
        <v>4884</v>
      </c>
      <c r="I611" s="1" t="s">
        <v>106</v>
      </c>
      <c r="J611" s="1" t="s">
        <v>72</v>
      </c>
      <c r="K611" s="1" t="s">
        <v>3891</v>
      </c>
      <c r="L611" s="1"/>
      <c r="M611" s="6" t="str">
        <f>IF(Table2[[#This Row],[Corrected Form '#
 (If Duplicated)]]="",Table2[[#This Row],[Form '#]],Table2[[#This Row],[Corrected Form '#
 (If Duplicated)]])</f>
        <v>7818-23360</v>
      </c>
      <c r="N611" s="1" t="s">
        <v>49</v>
      </c>
      <c r="O611" s="6" t="str">
        <f>IF(Table2[[#This Row],[POG CONFIRMATION RECEIPT OF ORDER
(DATE &amp; TIME)]]="","No Confirmation","Received Confirmation")</f>
        <v>Received Confirmation</v>
      </c>
      <c r="P611" s="6">
        <f ca="1">TODAY()-Table2[[#This Row],[DATE SENT TO POG]]</f>
        <v>295</v>
      </c>
      <c r="Q611" s="6" t="s">
        <v>5803</v>
      </c>
      <c r="R6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1" s="2" t="str">
        <f>_xlfn.XLOOKUP(Table2[[#This Row],[Adjusted Form '#]],'[2]IN PROGRESS'!$D:$D,'[2]IN PROGRESS'!$M:$M,"Not Found")</f>
        <v>Not Found</v>
      </c>
      <c r="U611" s="2" t="str">
        <f>_xlfn.XLOOKUP(Table2[[#This Row],[Adjusted Form '#]],[1]COMPLETED!$D:$D,[2]COMPLETED!$M:$M,"Not Found")</f>
        <v>Not Found</v>
      </c>
      <c r="V611" s="17" t="str">
        <f>_xlfn.XLOOKUP(Table2[[#This Row],[Adjusted Form '#]],[2]COMPLETED!$D:$D,[2]COMPLETED!$O:$O,"Not Found")</f>
        <v>Not Found</v>
      </c>
      <c r="W611" s="2" t="str">
        <f>_xlfn.XLOOKUP(Table2[[#This Row],[Adjusted Form '#]],[2]BILLED!$D:$D,[2]BILLED!$M:$M,"Not Found")</f>
        <v>9402 1112 0620 7022 9174 04</v>
      </c>
      <c r="X611" s="17" t="e">
        <f>_xlfn.XLOOKUP(Table2[[#This Row],[Adjusted Form '#]],[2]BILLED!$D:$D,[1]BILLED!$O:$O,"Not Found")</f>
        <v>#REF!</v>
      </c>
      <c r="Y611" s="17" t="e">
        <f>_xlfn.XLOOKUP(Table2[[#This Row],[Adjusted Form '#]],'[2]REJECTED ORDERS'!$D:$D,'[2]REJECTED ORDERS'!$E:$E)</f>
        <v>#N/A</v>
      </c>
      <c r="Z611" s="1"/>
      <c r="AA611" s="1"/>
      <c r="AB611" s="8"/>
      <c r="AC611" s="8"/>
      <c r="AD611" s="8"/>
      <c r="AE611" s="8"/>
      <c r="AF611" s="8"/>
      <c r="AG611" s="8"/>
      <c r="AH611" s="8"/>
      <c r="AI611" s="8"/>
      <c r="AJ611" s="8"/>
    </row>
    <row r="612" spans="1:36" ht="15" customHeight="1" x14ac:dyDescent="0.35">
      <c r="A612" s="4" t="s">
        <v>924</v>
      </c>
      <c r="B612" s="1" t="s">
        <v>3527</v>
      </c>
      <c r="C612" s="11">
        <v>45009</v>
      </c>
      <c r="D612" s="11" t="s">
        <v>4885</v>
      </c>
      <c r="E612" s="1" t="s">
        <v>21</v>
      </c>
      <c r="F612" s="1" t="s">
        <v>4886</v>
      </c>
      <c r="G612" s="6">
        <f>COUNTIF(F:F,Table2[[#This Row],[Form '#]])</f>
        <v>1</v>
      </c>
      <c r="H612" s="1" t="s">
        <v>4887</v>
      </c>
      <c r="I612" s="1" t="s">
        <v>177</v>
      </c>
      <c r="J612" s="1" t="s">
        <v>75</v>
      </c>
      <c r="K612" s="1" t="s">
        <v>3853</v>
      </c>
      <c r="L612" s="1"/>
      <c r="M612" s="6" t="str">
        <f>IF(Table2[[#This Row],[Corrected Form '#
 (If Duplicated)]]="",Table2[[#This Row],[Form '#]],Table2[[#This Row],[Corrected Form '#
 (If Duplicated)]])</f>
        <v>7818-26607</v>
      </c>
      <c r="N612" s="1" t="s">
        <v>49</v>
      </c>
      <c r="O612" s="6" t="str">
        <f>IF(Table2[[#This Row],[POG CONFIRMATION RECEIPT OF ORDER
(DATE &amp; TIME)]]="","No Confirmation","Received Confirmation")</f>
        <v>Received Confirmation</v>
      </c>
      <c r="P612" s="6">
        <f ca="1">TODAY()-Table2[[#This Row],[DATE SENT TO POG]]</f>
        <v>294</v>
      </c>
      <c r="Q612" s="6" t="s">
        <v>5803</v>
      </c>
      <c r="R6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2" s="2" t="str">
        <f>_xlfn.XLOOKUP(Table2[[#This Row],[Adjusted Form '#]],'[2]IN PROGRESS'!$D:$D,'[2]IN PROGRESS'!$M:$M,"Not Found")</f>
        <v>Not Found</v>
      </c>
      <c r="U612" s="2" t="str">
        <f>_xlfn.XLOOKUP(Table2[[#This Row],[Adjusted Form '#]],[1]COMPLETED!$D:$D,[2]COMPLETED!$M:$M,"Not Found")</f>
        <v>Not Found</v>
      </c>
      <c r="V612" s="17" t="str">
        <f>_xlfn.XLOOKUP(Table2[[#This Row],[Adjusted Form '#]],[2]COMPLETED!$D:$D,[2]COMPLETED!$O:$O,"Not Found")</f>
        <v>Not Found</v>
      </c>
      <c r="W612" s="2" t="str">
        <f>_xlfn.XLOOKUP(Table2[[#This Row],[Adjusted Form '#]],[2]BILLED!$D:$D,[2]BILLED!$M:$M,"Not Found")</f>
        <v>1Z5063E0YW41839933</v>
      </c>
      <c r="X612" s="17" t="e">
        <f>_xlfn.XLOOKUP(Table2[[#This Row],[Adjusted Form '#]],[2]BILLED!$D:$D,[1]BILLED!$O:$O,"Not Found")</f>
        <v>#REF!</v>
      </c>
      <c r="Y612" s="17" t="e">
        <f>_xlfn.XLOOKUP(Table2[[#This Row],[Adjusted Form '#]],'[2]REJECTED ORDERS'!$D:$D,'[2]REJECTED ORDERS'!$E:$E)</f>
        <v>#N/A</v>
      </c>
      <c r="Z612" s="1"/>
      <c r="AA612" s="1"/>
      <c r="AB612" s="8"/>
      <c r="AC612" s="8"/>
      <c r="AD612" s="8"/>
      <c r="AE612" s="8"/>
      <c r="AF612" s="8"/>
      <c r="AG612" s="8"/>
      <c r="AH612" s="8"/>
      <c r="AI612" s="8"/>
      <c r="AJ612" s="8"/>
    </row>
    <row r="613" spans="1:36" ht="15" customHeight="1" x14ac:dyDescent="0.35">
      <c r="A613" s="4" t="s">
        <v>926</v>
      </c>
      <c r="B613" s="1" t="s">
        <v>2283</v>
      </c>
      <c r="C613" s="11">
        <v>45009</v>
      </c>
      <c r="D613" s="11" t="s">
        <v>4885</v>
      </c>
      <c r="E613" s="1" t="s">
        <v>21</v>
      </c>
      <c r="F613" s="1" t="s">
        <v>4888</v>
      </c>
      <c r="G613" s="6">
        <f>COUNTIF(F:F,Table2[[#This Row],[Form '#]])</f>
        <v>1</v>
      </c>
      <c r="H613" s="1" t="s">
        <v>866</v>
      </c>
      <c r="I613" s="1" t="s">
        <v>3864</v>
      </c>
      <c r="J613" s="1" t="s">
        <v>78</v>
      </c>
      <c r="K613" s="1" t="s">
        <v>3879</v>
      </c>
      <c r="L613" s="1"/>
      <c r="M613" s="6" t="str">
        <f>IF(Table2[[#This Row],[Corrected Form '#
 (If Duplicated)]]="",Table2[[#This Row],[Form '#]],Table2[[#This Row],[Corrected Form '#
 (If Duplicated)]])</f>
        <v>7818-20237</v>
      </c>
      <c r="N613" s="1" t="s">
        <v>49</v>
      </c>
      <c r="O613" s="6" t="str">
        <f>IF(Table2[[#This Row],[POG CONFIRMATION RECEIPT OF ORDER
(DATE &amp; TIME)]]="","No Confirmation","Received Confirmation")</f>
        <v>Received Confirmation</v>
      </c>
      <c r="P613" s="6">
        <f ca="1">TODAY()-Table2[[#This Row],[DATE SENT TO POG]]</f>
        <v>294</v>
      </c>
      <c r="Q613" s="6" t="s">
        <v>5803</v>
      </c>
      <c r="R6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3" s="2" t="str">
        <f>_xlfn.XLOOKUP(Table2[[#This Row],[Adjusted Form '#]],'[2]IN PROGRESS'!$D:$D,'[2]IN PROGRESS'!$M:$M,"Not Found")</f>
        <v>Not Found</v>
      </c>
      <c r="U613" s="2" t="str">
        <f>_xlfn.XLOOKUP(Table2[[#This Row],[Adjusted Form '#]],[1]COMPLETED!$D:$D,[2]COMPLETED!$M:$M,"Not Found")</f>
        <v>Not Found</v>
      </c>
      <c r="V613" s="17" t="str">
        <f>_xlfn.XLOOKUP(Table2[[#This Row],[Adjusted Form '#]],[2]COMPLETED!$D:$D,[2]COMPLETED!$O:$O,"Not Found")</f>
        <v>Not Found</v>
      </c>
      <c r="W613" s="2" t="str">
        <f>_xlfn.XLOOKUP(Table2[[#This Row],[Adjusted Form '#]],[2]BILLED!$D:$D,[2]BILLED!$M:$M,"Not Found")</f>
        <v>1Z5063E0YW40552191</v>
      </c>
      <c r="X613" s="17" t="e">
        <f>_xlfn.XLOOKUP(Table2[[#This Row],[Adjusted Form '#]],[2]BILLED!$D:$D,[1]BILLED!$O:$O,"Not Found")</f>
        <v>#REF!</v>
      </c>
      <c r="Y613" s="17" t="e">
        <f>_xlfn.XLOOKUP(Table2[[#This Row],[Adjusted Form '#]],'[2]REJECTED ORDERS'!$D:$D,'[2]REJECTED ORDERS'!$E:$E)</f>
        <v>#N/A</v>
      </c>
      <c r="Z613" s="1"/>
      <c r="AA613" s="1"/>
      <c r="AB613" s="8"/>
      <c r="AC613" s="8"/>
      <c r="AD613" s="8"/>
      <c r="AE613" s="8"/>
      <c r="AF613" s="8"/>
      <c r="AG613" s="8"/>
      <c r="AH613" s="8"/>
      <c r="AI613" s="8"/>
      <c r="AJ613" s="8"/>
    </row>
    <row r="614" spans="1:36" ht="15" customHeight="1" x14ac:dyDescent="0.35">
      <c r="A614" s="4" t="s">
        <v>928</v>
      </c>
      <c r="B614" s="1" t="s">
        <v>443</v>
      </c>
      <c r="C614" s="11">
        <v>45009</v>
      </c>
      <c r="D614" s="11" t="s">
        <v>4889</v>
      </c>
      <c r="E614" s="1" t="s">
        <v>21</v>
      </c>
      <c r="F614" s="1" t="s">
        <v>4890</v>
      </c>
      <c r="G614" s="6">
        <f>COUNTIF(F:F,Table2[[#This Row],[Form '#]])</f>
        <v>1</v>
      </c>
      <c r="H614" s="1" t="s">
        <v>4891</v>
      </c>
      <c r="I614" s="1" t="s">
        <v>177</v>
      </c>
      <c r="J614" s="1" t="s">
        <v>3891</v>
      </c>
      <c r="K614" s="1" t="s">
        <v>4011</v>
      </c>
      <c r="L614" s="1"/>
      <c r="M614" s="6" t="str">
        <f>IF(Table2[[#This Row],[Corrected Form '#
 (If Duplicated)]]="",Table2[[#This Row],[Form '#]],Table2[[#This Row],[Corrected Form '#
 (If Duplicated)]])</f>
        <v>7818-24662</v>
      </c>
      <c r="N614" s="1" t="s">
        <v>49</v>
      </c>
      <c r="O614" s="6" t="str">
        <f>IF(Table2[[#This Row],[POG CONFIRMATION RECEIPT OF ORDER
(DATE &amp; TIME)]]="","No Confirmation","Received Confirmation")</f>
        <v>Received Confirmation</v>
      </c>
      <c r="P614" s="6">
        <f ca="1">TODAY()-Table2[[#This Row],[DATE SENT TO POG]]</f>
        <v>294</v>
      </c>
      <c r="Q614" s="6" t="s">
        <v>5803</v>
      </c>
      <c r="R6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4" s="2" t="str">
        <f>_xlfn.XLOOKUP(Table2[[#This Row],[Adjusted Form '#]],'[2]IN PROGRESS'!$D:$D,'[2]IN PROGRESS'!$M:$M,"Not Found")</f>
        <v>Not Found</v>
      </c>
      <c r="U614" s="2" t="str">
        <f>_xlfn.XLOOKUP(Table2[[#This Row],[Adjusted Form '#]],[1]COMPLETED!$D:$D,[2]COMPLETED!$M:$M,"Not Found")</f>
        <v>Not Found</v>
      </c>
      <c r="V614" s="17" t="str">
        <f>_xlfn.XLOOKUP(Table2[[#This Row],[Adjusted Form '#]],[2]COMPLETED!$D:$D,[2]COMPLETED!$O:$O,"Not Found")</f>
        <v>Not Found</v>
      </c>
      <c r="W614" s="2" t="str">
        <f>_xlfn.XLOOKUP(Table2[[#This Row],[Adjusted Form '#]],[2]BILLED!$D:$D,[2]BILLED!$M:$M,"Not Found")</f>
        <v>9400 1112 0620 7741 8762 13</v>
      </c>
      <c r="X614" s="17" t="e">
        <f>_xlfn.XLOOKUP(Table2[[#This Row],[Adjusted Form '#]],[2]BILLED!$D:$D,[1]BILLED!$O:$O,"Not Found")</f>
        <v>#REF!</v>
      </c>
      <c r="Y614" s="17" t="e">
        <f>_xlfn.XLOOKUP(Table2[[#This Row],[Adjusted Form '#]],'[2]REJECTED ORDERS'!$D:$D,'[2]REJECTED ORDERS'!$E:$E)</f>
        <v>#N/A</v>
      </c>
      <c r="Z614" s="1"/>
      <c r="AA614" s="1"/>
      <c r="AB614" s="8"/>
      <c r="AC614" s="8"/>
      <c r="AD614" s="8"/>
      <c r="AE614" s="8"/>
      <c r="AF614" s="8"/>
      <c r="AG614" s="8"/>
      <c r="AH614" s="8"/>
      <c r="AI614" s="8"/>
      <c r="AJ614" s="8"/>
    </row>
    <row r="615" spans="1:36" ht="15" customHeight="1" x14ac:dyDescent="0.35">
      <c r="A615" s="4" t="s">
        <v>929</v>
      </c>
      <c r="B615" s="1" t="s">
        <v>1041</v>
      </c>
      <c r="C615" s="11">
        <v>45012</v>
      </c>
      <c r="D615" s="11" t="s">
        <v>4892</v>
      </c>
      <c r="E615" s="1" t="s">
        <v>14</v>
      </c>
      <c r="F615" s="1" t="s">
        <v>4893</v>
      </c>
      <c r="G615" s="6">
        <f>COUNTIF(F:F,Table2[[#This Row],[Form '#]])</f>
        <v>1</v>
      </c>
      <c r="H615" s="1" t="s">
        <v>4894</v>
      </c>
      <c r="I615" s="1" t="s">
        <v>3852</v>
      </c>
      <c r="J615" s="1" t="s">
        <v>3891</v>
      </c>
      <c r="K615" s="1" t="s">
        <v>3853</v>
      </c>
      <c r="L615" s="1"/>
      <c r="M615" s="6" t="str">
        <f>IF(Table2[[#This Row],[Corrected Form '#
 (If Duplicated)]]="",Table2[[#This Row],[Form '#]],Table2[[#This Row],[Corrected Form '#
 (If Duplicated)]])</f>
        <v>7810-01888</v>
      </c>
      <c r="N615" s="1" t="s">
        <v>49</v>
      </c>
      <c r="O615" s="6" t="str">
        <f>IF(Table2[[#This Row],[POG CONFIRMATION RECEIPT OF ORDER
(DATE &amp; TIME)]]="","No Confirmation","Received Confirmation")</f>
        <v>Received Confirmation</v>
      </c>
      <c r="P615" s="6">
        <f ca="1">TODAY()-Table2[[#This Row],[DATE SENT TO POG]]</f>
        <v>291</v>
      </c>
      <c r="Q615" s="6" t="s">
        <v>5803</v>
      </c>
      <c r="R6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5" s="2" t="str">
        <f>_xlfn.XLOOKUP(Table2[[#This Row],[Adjusted Form '#]],'[2]IN PROGRESS'!$D:$D,'[2]IN PROGRESS'!$M:$M,"Not Found")</f>
        <v>Not Found</v>
      </c>
      <c r="U615" s="2" t="str">
        <f>_xlfn.XLOOKUP(Table2[[#This Row],[Adjusted Form '#]],[1]COMPLETED!$D:$D,[2]COMPLETED!$M:$M,"Not Found")</f>
        <v>Not Found</v>
      </c>
      <c r="V615" s="17" t="str">
        <f>_xlfn.XLOOKUP(Table2[[#This Row],[Adjusted Form '#]],[2]COMPLETED!$D:$D,[2]COMPLETED!$O:$O,"Not Found")</f>
        <v>Not Found</v>
      </c>
      <c r="W615" s="2" t="str">
        <f>_xlfn.XLOOKUP(Table2[[#This Row],[Adjusted Form '#]],[2]BILLED!$D:$D,[2]BILLED!$M:$M,"Not Found")</f>
        <v>9402 1112 0620 7754 6105 98</v>
      </c>
      <c r="X615" s="17" t="e">
        <f>_xlfn.XLOOKUP(Table2[[#This Row],[Adjusted Form '#]],[2]BILLED!$D:$D,[1]BILLED!$O:$O,"Not Found")</f>
        <v>#REF!</v>
      </c>
      <c r="Y615" s="17" t="e">
        <f>_xlfn.XLOOKUP(Table2[[#This Row],[Adjusted Form '#]],'[2]REJECTED ORDERS'!$D:$D,'[2]REJECTED ORDERS'!$E:$E)</f>
        <v>#N/A</v>
      </c>
      <c r="Z615" s="1"/>
      <c r="AA615" s="1"/>
      <c r="AB615" s="8"/>
      <c r="AC615" s="8"/>
      <c r="AD615" s="8"/>
      <c r="AE615" s="8"/>
      <c r="AF615" s="8"/>
      <c r="AG615" s="8"/>
      <c r="AH615" s="8"/>
      <c r="AI615" s="8"/>
      <c r="AJ615" s="8"/>
    </row>
    <row r="616" spans="1:36" ht="15" customHeight="1" x14ac:dyDescent="0.35">
      <c r="A616" s="4" t="s">
        <v>931</v>
      </c>
      <c r="B616" s="1" t="s">
        <v>1041</v>
      </c>
      <c r="C616" s="11">
        <v>45012</v>
      </c>
      <c r="D616" s="11" t="s">
        <v>4892</v>
      </c>
      <c r="E616" s="1" t="s">
        <v>14</v>
      </c>
      <c r="F616" s="1" t="s">
        <v>4895</v>
      </c>
      <c r="G616" s="6">
        <f>COUNTIF(F:F,Table2[[#This Row],[Form '#]])</f>
        <v>1</v>
      </c>
      <c r="H616" s="1" t="s">
        <v>3387</v>
      </c>
      <c r="I616" s="1" t="s">
        <v>127</v>
      </c>
      <c r="J616" s="1" t="s">
        <v>3891</v>
      </c>
      <c r="K616" s="1" t="s">
        <v>3883</v>
      </c>
      <c r="L616" s="1"/>
      <c r="M616" s="6" t="str">
        <f>IF(Table2[[#This Row],[Corrected Form '#
 (If Duplicated)]]="",Table2[[#This Row],[Form '#]],Table2[[#This Row],[Corrected Form '#
 (If Duplicated)]])</f>
        <v>7810-01773</v>
      </c>
      <c r="N616" s="1" t="s">
        <v>49</v>
      </c>
      <c r="O616" s="6" t="str">
        <f>IF(Table2[[#This Row],[POG CONFIRMATION RECEIPT OF ORDER
(DATE &amp; TIME)]]="","No Confirmation","Received Confirmation")</f>
        <v>Received Confirmation</v>
      </c>
      <c r="P616" s="6">
        <f ca="1">TODAY()-Table2[[#This Row],[DATE SENT TO POG]]</f>
        <v>291</v>
      </c>
      <c r="Q616" s="6" t="s">
        <v>5803</v>
      </c>
      <c r="R6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6" s="2" t="str">
        <f>_xlfn.XLOOKUP(Table2[[#This Row],[Adjusted Form '#]],'[2]IN PROGRESS'!$D:$D,'[2]IN PROGRESS'!$M:$M,"Not Found")</f>
        <v>Not Found</v>
      </c>
      <c r="U616" s="2" t="str">
        <f>_xlfn.XLOOKUP(Table2[[#This Row],[Adjusted Form '#]],[1]COMPLETED!$D:$D,[2]COMPLETED!$M:$M,"Not Found")</f>
        <v>Not Found</v>
      </c>
      <c r="V616" s="17" t="str">
        <f>_xlfn.XLOOKUP(Table2[[#This Row],[Adjusted Form '#]],[2]COMPLETED!$D:$D,[2]COMPLETED!$O:$O,"Not Found")</f>
        <v>Not Found</v>
      </c>
      <c r="W616" s="2" t="str">
        <f>_xlfn.XLOOKUP(Table2[[#This Row],[Adjusted Form '#]],[2]BILLED!$D:$D,[2]BILLED!$M:$M,"Not Found")</f>
        <v>1Z5063E0YW41497893</v>
      </c>
      <c r="X616" s="17" t="e">
        <f>_xlfn.XLOOKUP(Table2[[#This Row],[Adjusted Form '#]],[2]BILLED!$D:$D,[1]BILLED!$O:$O,"Not Found")</f>
        <v>#REF!</v>
      </c>
      <c r="Y616" s="17" t="e">
        <f>_xlfn.XLOOKUP(Table2[[#This Row],[Adjusted Form '#]],'[2]REJECTED ORDERS'!$D:$D,'[2]REJECTED ORDERS'!$E:$E)</f>
        <v>#N/A</v>
      </c>
      <c r="Z616" s="1"/>
      <c r="AA616" s="1"/>
      <c r="AB616" s="8"/>
      <c r="AC616" s="8"/>
      <c r="AD616" s="8"/>
      <c r="AE616" s="8"/>
      <c r="AF616" s="8"/>
      <c r="AG616" s="8"/>
      <c r="AH616" s="8"/>
      <c r="AI616" s="8"/>
      <c r="AJ616" s="8"/>
    </row>
    <row r="617" spans="1:36" ht="15" customHeight="1" x14ac:dyDescent="0.35">
      <c r="A617" s="4" t="s">
        <v>933</v>
      </c>
      <c r="B617" s="1" t="s">
        <v>1041</v>
      </c>
      <c r="C617" s="11">
        <v>45012</v>
      </c>
      <c r="D617" s="11" t="s">
        <v>4892</v>
      </c>
      <c r="E617" s="1" t="s">
        <v>14</v>
      </c>
      <c r="F617" s="1" t="s">
        <v>4896</v>
      </c>
      <c r="G617" s="6">
        <f>COUNTIF(F:F,Table2[[#This Row],[Form '#]])</f>
        <v>1</v>
      </c>
      <c r="H617" s="1" t="s">
        <v>4897</v>
      </c>
      <c r="I617" s="1" t="s">
        <v>177</v>
      </c>
      <c r="J617" s="1" t="s">
        <v>3891</v>
      </c>
      <c r="K617" s="1" t="s">
        <v>3891</v>
      </c>
      <c r="L617" s="1"/>
      <c r="M617" s="6" t="str">
        <f>IF(Table2[[#This Row],[Corrected Form '#
 (If Duplicated)]]="",Table2[[#This Row],[Form '#]],Table2[[#This Row],[Corrected Form '#
 (If Duplicated)]])</f>
        <v>7810-01835</v>
      </c>
      <c r="N617" s="1" t="s">
        <v>49</v>
      </c>
      <c r="O617" s="6" t="str">
        <f>IF(Table2[[#This Row],[POG CONFIRMATION RECEIPT OF ORDER
(DATE &amp; TIME)]]="","No Confirmation","Received Confirmation")</f>
        <v>Received Confirmation</v>
      </c>
      <c r="P617" s="6">
        <f ca="1">TODAY()-Table2[[#This Row],[DATE SENT TO POG]]</f>
        <v>291</v>
      </c>
      <c r="Q617" s="6" t="s">
        <v>5803</v>
      </c>
      <c r="R6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7" s="2" t="str">
        <f>_xlfn.XLOOKUP(Table2[[#This Row],[Adjusted Form '#]],'[2]IN PROGRESS'!$D:$D,'[2]IN PROGRESS'!$M:$M,"Not Found")</f>
        <v>Not Found</v>
      </c>
      <c r="U617" s="2" t="str">
        <f>_xlfn.XLOOKUP(Table2[[#This Row],[Adjusted Form '#]],[1]COMPLETED!$D:$D,[2]COMPLETED!$M:$M,"Not Found")</f>
        <v>Not Found</v>
      </c>
      <c r="V617" s="17" t="str">
        <f>_xlfn.XLOOKUP(Table2[[#This Row],[Adjusted Form '#]],[2]COMPLETED!$D:$D,[2]COMPLETED!$O:$O,"Not Found")</f>
        <v>Not Found</v>
      </c>
      <c r="W617" s="2" t="str">
        <f>_xlfn.XLOOKUP(Table2[[#This Row],[Adjusted Form '#]],[2]BILLED!$D:$D,[2]BILLED!$M:$M,"Not Found")</f>
        <v>1Z5063E0YW42663764</v>
      </c>
      <c r="X617" s="17" t="e">
        <f>_xlfn.XLOOKUP(Table2[[#This Row],[Adjusted Form '#]],[2]BILLED!$D:$D,[1]BILLED!$O:$O,"Not Found")</f>
        <v>#REF!</v>
      </c>
      <c r="Y617" s="17" t="e">
        <f>_xlfn.XLOOKUP(Table2[[#This Row],[Adjusted Form '#]],'[2]REJECTED ORDERS'!$D:$D,'[2]REJECTED ORDERS'!$E:$E)</f>
        <v>#N/A</v>
      </c>
      <c r="Z617" s="1"/>
      <c r="AA617" s="1"/>
      <c r="AB617" s="8"/>
      <c r="AC617" s="8"/>
      <c r="AD617" s="8"/>
      <c r="AE617" s="8"/>
      <c r="AF617" s="8"/>
      <c r="AG617" s="8"/>
      <c r="AH617" s="8"/>
      <c r="AI617" s="8"/>
      <c r="AJ617" s="8"/>
    </row>
    <row r="618" spans="1:36" ht="15" customHeight="1" x14ac:dyDescent="0.35">
      <c r="A618" s="4" t="s">
        <v>934</v>
      </c>
      <c r="B618" s="1" t="s">
        <v>2431</v>
      </c>
      <c r="C618" s="11">
        <v>45012</v>
      </c>
      <c r="D618" s="11" t="s">
        <v>4892</v>
      </c>
      <c r="E618" s="1" t="s">
        <v>21</v>
      </c>
      <c r="F618" s="1" t="s">
        <v>4898</v>
      </c>
      <c r="G618" s="6">
        <f>COUNTIF(F:F,Table2[[#This Row],[Form '#]])</f>
        <v>1</v>
      </c>
      <c r="H618" s="1" t="s">
        <v>167</v>
      </c>
      <c r="I618" s="1" t="s">
        <v>127</v>
      </c>
      <c r="J618" s="1" t="s">
        <v>76</v>
      </c>
      <c r="K618" s="1" t="s">
        <v>4011</v>
      </c>
      <c r="L618" s="1"/>
      <c r="M618" s="6" t="str">
        <f>IF(Table2[[#This Row],[Corrected Form '#
 (If Duplicated)]]="",Table2[[#This Row],[Form '#]],Table2[[#This Row],[Corrected Form '#
 (If Duplicated)]])</f>
        <v>7818-27170</v>
      </c>
      <c r="N618" s="1" t="s">
        <v>49</v>
      </c>
      <c r="O618" s="6" t="str">
        <f>IF(Table2[[#This Row],[POG CONFIRMATION RECEIPT OF ORDER
(DATE &amp; TIME)]]="","No Confirmation","Received Confirmation")</f>
        <v>Received Confirmation</v>
      </c>
      <c r="P618" s="6">
        <f ca="1">TODAY()-Table2[[#This Row],[DATE SENT TO POG]]</f>
        <v>291</v>
      </c>
      <c r="Q618" s="6" t="s">
        <v>5803</v>
      </c>
      <c r="R6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8" s="2" t="str">
        <f>_xlfn.XLOOKUP(Table2[[#This Row],[Adjusted Form '#]],'[2]IN PROGRESS'!$D:$D,'[2]IN PROGRESS'!$M:$M,"Not Found")</f>
        <v>Not Found</v>
      </c>
      <c r="U618" s="2" t="str">
        <f>_xlfn.XLOOKUP(Table2[[#This Row],[Adjusted Form '#]],[1]COMPLETED!$D:$D,[2]COMPLETED!$M:$M,"Not Found")</f>
        <v>Not Found</v>
      </c>
      <c r="V618" s="17" t="str">
        <f>_xlfn.XLOOKUP(Table2[[#This Row],[Adjusted Form '#]],[2]COMPLETED!$D:$D,[2]COMPLETED!$O:$O,"Not Found")</f>
        <v>Not Found</v>
      </c>
      <c r="W618" s="2" t="str">
        <f>_xlfn.XLOOKUP(Table2[[#This Row],[Adjusted Form '#]],[2]BILLED!$D:$D,[2]BILLED!$M:$M,"Not Found")</f>
        <v>1Z5063E0YW40349812</v>
      </c>
      <c r="X618" s="17" t="e">
        <f>_xlfn.XLOOKUP(Table2[[#This Row],[Adjusted Form '#]],[2]BILLED!$D:$D,[1]BILLED!$O:$O,"Not Found")</f>
        <v>#REF!</v>
      </c>
      <c r="Y618" s="17" t="e">
        <f>_xlfn.XLOOKUP(Table2[[#This Row],[Adjusted Form '#]],'[2]REJECTED ORDERS'!$D:$D,'[2]REJECTED ORDERS'!$E:$E)</f>
        <v>#N/A</v>
      </c>
      <c r="Z618" s="1"/>
      <c r="AA618" s="1"/>
      <c r="AB618" s="8"/>
      <c r="AC618" s="8"/>
      <c r="AD618" s="8"/>
      <c r="AE618" s="8"/>
      <c r="AF618" s="8"/>
      <c r="AG618" s="8"/>
      <c r="AH618" s="8"/>
      <c r="AI618" s="8"/>
      <c r="AJ618" s="8"/>
    </row>
    <row r="619" spans="1:36" ht="15" customHeight="1" x14ac:dyDescent="0.35">
      <c r="A619" s="4" t="s">
        <v>936</v>
      </c>
      <c r="B619" s="1" t="s">
        <v>2431</v>
      </c>
      <c r="C619" s="11">
        <v>45012</v>
      </c>
      <c r="D619" s="11" t="s">
        <v>4892</v>
      </c>
      <c r="E619" s="1" t="s">
        <v>21</v>
      </c>
      <c r="F619" s="1" t="s">
        <v>4899</v>
      </c>
      <c r="G619" s="6">
        <f>COUNTIF(F:F,Table2[[#This Row],[Form '#]])</f>
        <v>1</v>
      </c>
      <c r="H619" s="1" t="s">
        <v>2436</v>
      </c>
      <c r="I619" s="1" t="s">
        <v>758</v>
      </c>
      <c r="J619" s="1" t="s">
        <v>78</v>
      </c>
      <c r="K619" s="1" t="s">
        <v>3853</v>
      </c>
      <c r="L619" s="1"/>
      <c r="M619" s="6" t="str">
        <f>IF(Table2[[#This Row],[Corrected Form '#
 (If Duplicated)]]="",Table2[[#This Row],[Form '#]],Table2[[#This Row],[Corrected Form '#
 (If Duplicated)]])</f>
        <v>7818-12695</v>
      </c>
      <c r="N619" s="1" t="s">
        <v>49</v>
      </c>
      <c r="O619" s="6" t="str">
        <f>IF(Table2[[#This Row],[POG CONFIRMATION RECEIPT OF ORDER
(DATE &amp; TIME)]]="","No Confirmation","Received Confirmation")</f>
        <v>Received Confirmation</v>
      </c>
      <c r="P619" s="6">
        <f ca="1">TODAY()-Table2[[#This Row],[DATE SENT TO POG]]</f>
        <v>291</v>
      </c>
      <c r="Q619" s="6" t="s">
        <v>5803</v>
      </c>
      <c r="R6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19" s="2" t="str">
        <f>_xlfn.XLOOKUP(Table2[[#This Row],[Adjusted Form '#]],'[2]IN PROGRESS'!$D:$D,'[2]IN PROGRESS'!$M:$M,"Not Found")</f>
        <v>Not Found</v>
      </c>
      <c r="U619" s="2" t="str">
        <f>_xlfn.XLOOKUP(Table2[[#This Row],[Adjusted Form '#]],[1]COMPLETED!$D:$D,[2]COMPLETED!$M:$M,"Not Found")</f>
        <v>Not Found</v>
      </c>
      <c r="V619" s="17" t="str">
        <f>_xlfn.XLOOKUP(Table2[[#This Row],[Adjusted Form '#]],[2]COMPLETED!$D:$D,[2]COMPLETED!$O:$O,"Not Found")</f>
        <v>Not Found</v>
      </c>
      <c r="W619" s="2" t="str">
        <f>_xlfn.XLOOKUP(Table2[[#This Row],[Adjusted Form '#]],[2]BILLED!$D:$D,[2]BILLED!$M:$M,"Not Found")</f>
        <v>1Z5063E0YW40212987</v>
      </c>
      <c r="X619" s="17" t="e">
        <f>_xlfn.XLOOKUP(Table2[[#This Row],[Adjusted Form '#]],[2]BILLED!$D:$D,[1]BILLED!$O:$O,"Not Found")</f>
        <v>#REF!</v>
      </c>
      <c r="Y619" s="17" t="e">
        <f>_xlfn.XLOOKUP(Table2[[#This Row],[Adjusted Form '#]],'[2]REJECTED ORDERS'!$D:$D,'[2]REJECTED ORDERS'!$E:$E)</f>
        <v>#N/A</v>
      </c>
      <c r="Z619" s="1"/>
      <c r="AA619" s="1"/>
      <c r="AB619" s="8"/>
      <c r="AC619" s="8"/>
      <c r="AD619" s="8"/>
      <c r="AE619" s="8"/>
      <c r="AF619" s="8"/>
      <c r="AG619" s="8"/>
      <c r="AH619" s="8"/>
      <c r="AI619" s="8"/>
      <c r="AJ619" s="8"/>
    </row>
    <row r="620" spans="1:36" ht="15" customHeight="1" x14ac:dyDescent="0.35">
      <c r="A620" s="4" t="s">
        <v>937</v>
      </c>
      <c r="B620" s="1" t="s">
        <v>2431</v>
      </c>
      <c r="C620" s="11">
        <v>45012</v>
      </c>
      <c r="D620" s="11" t="s">
        <v>4892</v>
      </c>
      <c r="E620" s="1" t="s">
        <v>21</v>
      </c>
      <c r="F620" s="1" t="s">
        <v>4900</v>
      </c>
      <c r="G620" s="6">
        <f>COUNTIF(F:F,Table2[[#This Row],[Form '#]])</f>
        <v>1</v>
      </c>
      <c r="H620" s="1" t="s">
        <v>2374</v>
      </c>
      <c r="I620" s="1" t="s">
        <v>758</v>
      </c>
      <c r="J620" s="1" t="s">
        <v>78</v>
      </c>
      <c r="K620" s="1" t="s">
        <v>3853</v>
      </c>
      <c r="L620" s="1"/>
      <c r="M620" s="6" t="str">
        <f>IF(Table2[[#This Row],[Corrected Form '#
 (If Duplicated)]]="",Table2[[#This Row],[Form '#]],Table2[[#This Row],[Corrected Form '#
 (If Duplicated)]])</f>
        <v>7818-16913</v>
      </c>
      <c r="N620" s="1" t="s">
        <v>49</v>
      </c>
      <c r="O620" s="6" t="str">
        <f>IF(Table2[[#This Row],[POG CONFIRMATION RECEIPT OF ORDER
(DATE &amp; TIME)]]="","No Confirmation","Received Confirmation")</f>
        <v>Received Confirmation</v>
      </c>
      <c r="P620" s="6">
        <f ca="1">TODAY()-Table2[[#This Row],[DATE SENT TO POG]]</f>
        <v>291</v>
      </c>
      <c r="Q620" s="6" t="s">
        <v>5803</v>
      </c>
      <c r="R6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0" s="2" t="str">
        <f>_xlfn.XLOOKUP(Table2[[#This Row],[Adjusted Form '#]],'[2]IN PROGRESS'!$D:$D,'[2]IN PROGRESS'!$M:$M,"Not Found")</f>
        <v>Not Found</v>
      </c>
      <c r="U620" s="2" t="str">
        <f>_xlfn.XLOOKUP(Table2[[#This Row],[Adjusted Form '#]],[1]COMPLETED!$D:$D,[2]COMPLETED!$M:$M,"Not Found")</f>
        <v>Not Found</v>
      </c>
      <c r="V620" s="17" t="str">
        <f>_xlfn.XLOOKUP(Table2[[#This Row],[Adjusted Form '#]],[2]COMPLETED!$D:$D,[2]COMPLETED!$O:$O,"Not Found")</f>
        <v>Not Found</v>
      </c>
      <c r="W620" s="2" t="str">
        <f>_xlfn.XLOOKUP(Table2[[#This Row],[Adjusted Form '#]],[2]BILLED!$D:$D,[2]BILLED!$M:$M,"Not Found")</f>
        <v>1Z5063E0YW42741714</v>
      </c>
      <c r="X620" s="17" t="e">
        <f>_xlfn.XLOOKUP(Table2[[#This Row],[Adjusted Form '#]],[2]BILLED!$D:$D,[1]BILLED!$O:$O,"Not Found")</f>
        <v>#REF!</v>
      </c>
      <c r="Y620" s="17" t="e">
        <f>_xlfn.XLOOKUP(Table2[[#This Row],[Adjusted Form '#]],'[2]REJECTED ORDERS'!$D:$D,'[2]REJECTED ORDERS'!$E:$E)</f>
        <v>#N/A</v>
      </c>
      <c r="Z620" s="1"/>
      <c r="AA620" s="1"/>
      <c r="AB620" s="8"/>
      <c r="AC620" s="8"/>
      <c r="AD620" s="8"/>
      <c r="AE620" s="8"/>
      <c r="AF620" s="8"/>
      <c r="AG620" s="8"/>
      <c r="AH620" s="8"/>
      <c r="AI620" s="8"/>
      <c r="AJ620" s="8"/>
    </row>
    <row r="621" spans="1:36" ht="15" customHeight="1" x14ac:dyDescent="0.35">
      <c r="A621" s="4" t="s">
        <v>939</v>
      </c>
      <c r="B621" s="1" t="s">
        <v>2431</v>
      </c>
      <c r="C621" s="11">
        <v>45012</v>
      </c>
      <c r="D621" s="11" t="s">
        <v>4892</v>
      </c>
      <c r="E621" s="1" t="s">
        <v>21</v>
      </c>
      <c r="F621" s="1" t="s">
        <v>4901</v>
      </c>
      <c r="G621" s="6">
        <f>COUNTIF(F:F,Table2[[#This Row],[Form '#]])</f>
        <v>1</v>
      </c>
      <c r="H621" s="1" t="s">
        <v>4902</v>
      </c>
      <c r="I621" s="1" t="s">
        <v>758</v>
      </c>
      <c r="J621" s="1" t="s">
        <v>78</v>
      </c>
      <c r="K621" s="1" t="s">
        <v>3853</v>
      </c>
      <c r="L621" s="1"/>
      <c r="M621" s="6" t="str">
        <f>IF(Table2[[#This Row],[Corrected Form '#
 (If Duplicated)]]="",Table2[[#This Row],[Form '#]],Table2[[#This Row],[Corrected Form '#
 (If Duplicated)]])</f>
        <v>7818-01597</v>
      </c>
      <c r="N621" s="1" t="s">
        <v>49</v>
      </c>
      <c r="O621" s="6" t="str">
        <f>IF(Table2[[#This Row],[POG CONFIRMATION RECEIPT OF ORDER
(DATE &amp; TIME)]]="","No Confirmation","Received Confirmation")</f>
        <v>Received Confirmation</v>
      </c>
      <c r="P621" s="6">
        <f ca="1">TODAY()-Table2[[#This Row],[DATE SENT TO POG]]</f>
        <v>291</v>
      </c>
      <c r="Q621" s="6" t="s">
        <v>5803</v>
      </c>
      <c r="R6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1" s="2" t="str">
        <f>_xlfn.XLOOKUP(Table2[[#This Row],[Adjusted Form '#]],'[2]IN PROGRESS'!$D:$D,'[2]IN PROGRESS'!$M:$M,"Not Found")</f>
        <v>Not Found</v>
      </c>
      <c r="U621" s="2" t="str">
        <f>_xlfn.XLOOKUP(Table2[[#This Row],[Adjusted Form '#]],[1]COMPLETED!$D:$D,[2]COMPLETED!$M:$M,"Not Found")</f>
        <v>Not Found</v>
      </c>
      <c r="V621" s="17" t="str">
        <f>_xlfn.XLOOKUP(Table2[[#This Row],[Adjusted Form '#]],[2]COMPLETED!$D:$D,[2]COMPLETED!$O:$O,"Not Found")</f>
        <v>Not Found</v>
      </c>
      <c r="W621" s="2" t="str">
        <f>_xlfn.XLOOKUP(Table2[[#This Row],[Adjusted Form '#]],[2]BILLED!$D:$D,[2]BILLED!$M:$M,"Not Found")</f>
        <v>1Z5063E0YW41884250</v>
      </c>
      <c r="X621" s="17" t="e">
        <f>_xlfn.XLOOKUP(Table2[[#This Row],[Adjusted Form '#]],[2]BILLED!$D:$D,[1]BILLED!$O:$O,"Not Found")</f>
        <v>#REF!</v>
      </c>
      <c r="Y621" s="17" t="e">
        <f>_xlfn.XLOOKUP(Table2[[#This Row],[Adjusted Form '#]],'[2]REJECTED ORDERS'!$D:$D,'[2]REJECTED ORDERS'!$E:$E)</f>
        <v>#N/A</v>
      </c>
      <c r="Z621" s="1"/>
      <c r="AA621" s="1"/>
      <c r="AB621" s="8"/>
      <c r="AC621" s="8"/>
      <c r="AD621" s="8"/>
      <c r="AE621" s="8"/>
      <c r="AF621" s="8"/>
      <c r="AG621" s="8"/>
      <c r="AH621" s="8"/>
      <c r="AI621" s="8"/>
      <c r="AJ621" s="8"/>
    </row>
    <row r="622" spans="1:36" ht="15" customHeight="1" x14ac:dyDescent="0.35">
      <c r="A622" s="4" t="s">
        <v>940</v>
      </c>
      <c r="B622" s="1" t="s">
        <v>2431</v>
      </c>
      <c r="C622" s="11">
        <v>45012</v>
      </c>
      <c r="D622" s="11" t="s">
        <v>4892</v>
      </c>
      <c r="E622" s="1" t="s">
        <v>21</v>
      </c>
      <c r="F622" s="1" t="s">
        <v>4903</v>
      </c>
      <c r="G622" s="6">
        <f>COUNTIF(F:F,Table2[[#This Row],[Form '#]])</f>
        <v>1</v>
      </c>
      <c r="H622" s="1" t="s">
        <v>4904</v>
      </c>
      <c r="I622" s="1" t="s">
        <v>127</v>
      </c>
      <c r="J622" s="1" t="s">
        <v>71</v>
      </c>
      <c r="K622" s="1" t="s">
        <v>3883</v>
      </c>
      <c r="L622" s="1"/>
      <c r="M622" s="6" t="str">
        <f>IF(Table2[[#This Row],[Corrected Form '#
 (If Duplicated)]]="",Table2[[#This Row],[Form '#]],Table2[[#This Row],[Corrected Form '#
 (If Duplicated)]])</f>
        <v>7818-25376</v>
      </c>
      <c r="N622" s="1" t="s">
        <v>49</v>
      </c>
      <c r="O622" s="6" t="str">
        <f>IF(Table2[[#This Row],[POG CONFIRMATION RECEIPT OF ORDER
(DATE &amp; TIME)]]="","No Confirmation","Received Confirmation")</f>
        <v>Received Confirmation</v>
      </c>
      <c r="P622" s="6">
        <f ca="1">TODAY()-Table2[[#This Row],[DATE SENT TO POG]]</f>
        <v>291</v>
      </c>
      <c r="Q622" s="6" t="s">
        <v>5803</v>
      </c>
      <c r="R6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2" s="2" t="str">
        <f>_xlfn.XLOOKUP(Table2[[#This Row],[Adjusted Form '#]],'[2]IN PROGRESS'!$D:$D,'[2]IN PROGRESS'!$M:$M,"Not Found")</f>
        <v>Not Found</v>
      </c>
      <c r="U622" s="2" t="str">
        <f>_xlfn.XLOOKUP(Table2[[#This Row],[Adjusted Form '#]],[1]COMPLETED!$D:$D,[2]COMPLETED!$M:$M,"Not Found")</f>
        <v>Not Found</v>
      </c>
      <c r="V622" s="17" t="str">
        <f>_xlfn.XLOOKUP(Table2[[#This Row],[Adjusted Form '#]],[2]COMPLETED!$D:$D,[2]COMPLETED!$O:$O,"Not Found")</f>
        <v>Not Found</v>
      </c>
      <c r="W622" s="2" t="str">
        <f>_xlfn.XLOOKUP(Table2[[#This Row],[Adjusted Form '#]],[2]BILLED!$D:$D,[2]BILLED!$M:$M,"Not Found")</f>
        <v>9400 1112 0620 7052 6558 66</v>
      </c>
      <c r="X622" s="17" t="e">
        <f>_xlfn.XLOOKUP(Table2[[#This Row],[Adjusted Form '#]],[2]BILLED!$D:$D,[1]BILLED!$O:$O,"Not Found")</f>
        <v>#REF!</v>
      </c>
      <c r="Y622" s="17" t="e">
        <f>_xlfn.XLOOKUP(Table2[[#This Row],[Adjusted Form '#]],'[2]REJECTED ORDERS'!$D:$D,'[2]REJECTED ORDERS'!$E:$E)</f>
        <v>#N/A</v>
      </c>
      <c r="Z622" s="1"/>
      <c r="AA622" s="1"/>
      <c r="AB622" s="8"/>
      <c r="AC622" s="8"/>
      <c r="AD622" s="8"/>
      <c r="AE622" s="8"/>
      <c r="AF622" s="8"/>
      <c r="AG622" s="8"/>
      <c r="AH622" s="8"/>
      <c r="AI622" s="8"/>
      <c r="AJ622" s="8"/>
    </row>
    <row r="623" spans="1:36" ht="15" customHeight="1" x14ac:dyDescent="0.35">
      <c r="A623" s="4" t="s">
        <v>941</v>
      </c>
      <c r="B623" s="1" t="s">
        <v>2431</v>
      </c>
      <c r="C623" s="11">
        <v>45012</v>
      </c>
      <c r="D623" s="11" t="s">
        <v>4892</v>
      </c>
      <c r="E623" s="1" t="s">
        <v>21</v>
      </c>
      <c r="F623" s="1" t="s">
        <v>4905</v>
      </c>
      <c r="G623" s="6">
        <f>COUNTIF(F:F,Table2[[#This Row],[Form '#]])</f>
        <v>1</v>
      </c>
      <c r="H623" s="1" t="s">
        <v>4906</v>
      </c>
      <c r="I623" s="1" t="s">
        <v>177</v>
      </c>
      <c r="J623" s="1" t="s">
        <v>75</v>
      </c>
      <c r="K623" s="1" t="s">
        <v>3853</v>
      </c>
      <c r="L623" s="1"/>
      <c r="M623" s="6" t="str">
        <f>IF(Table2[[#This Row],[Corrected Form '#
 (If Duplicated)]]="",Table2[[#This Row],[Form '#]],Table2[[#This Row],[Corrected Form '#
 (If Duplicated)]])</f>
        <v>7818-29773</v>
      </c>
      <c r="N623" s="1" t="s">
        <v>49</v>
      </c>
      <c r="O623" s="6" t="str">
        <f>IF(Table2[[#This Row],[POG CONFIRMATION RECEIPT OF ORDER
(DATE &amp; TIME)]]="","No Confirmation","Received Confirmation")</f>
        <v>Received Confirmation</v>
      </c>
      <c r="P623" s="6">
        <f ca="1">TODAY()-Table2[[#This Row],[DATE SENT TO POG]]</f>
        <v>291</v>
      </c>
      <c r="Q623" s="6" t="s">
        <v>5803</v>
      </c>
      <c r="R6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3" s="2" t="str">
        <f>_xlfn.XLOOKUP(Table2[[#This Row],[Adjusted Form '#]],'[2]IN PROGRESS'!$D:$D,'[2]IN PROGRESS'!$M:$M,"Not Found")</f>
        <v>Not Found</v>
      </c>
      <c r="U623" s="2" t="str">
        <f>_xlfn.XLOOKUP(Table2[[#This Row],[Adjusted Form '#]],[1]COMPLETED!$D:$D,[2]COMPLETED!$M:$M,"Not Found")</f>
        <v>Not Found</v>
      </c>
      <c r="V623" s="17" t="str">
        <f>_xlfn.XLOOKUP(Table2[[#This Row],[Adjusted Form '#]],[2]COMPLETED!$D:$D,[2]COMPLETED!$O:$O,"Not Found")</f>
        <v>Not Found</v>
      </c>
      <c r="W623" s="2" t="str">
        <f>_xlfn.XLOOKUP(Table2[[#This Row],[Adjusted Form '#]],[2]BILLED!$D:$D,[2]BILLED!$M:$M,"Not Found")</f>
        <v>1Z5063E0YW40051688</v>
      </c>
      <c r="X623" s="17" t="e">
        <f>_xlfn.XLOOKUP(Table2[[#This Row],[Adjusted Form '#]],[2]BILLED!$D:$D,[1]BILLED!$O:$O,"Not Found")</f>
        <v>#REF!</v>
      </c>
      <c r="Y623" s="17" t="e">
        <f>_xlfn.XLOOKUP(Table2[[#This Row],[Adjusted Form '#]],'[2]REJECTED ORDERS'!$D:$D,'[2]REJECTED ORDERS'!$E:$E)</f>
        <v>#N/A</v>
      </c>
      <c r="Z623" s="1"/>
      <c r="AA623" s="1"/>
      <c r="AB623" s="8"/>
      <c r="AC623" s="8"/>
      <c r="AD623" s="8"/>
      <c r="AE623" s="8"/>
      <c r="AF623" s="8"/>
      <c r="AG623" s="8"/>
      <c r="AH623" s="8"/>
      <c r="AI623" s="8"/>
      <c r="AJ623" s="8"/>
    </row>
    <row r="624" spans="1:36" ht="15" customHeight="1" x14ac:dyDescent="0.35">
      <c r="A624" s="4" t="s">
        <v>943</v>
      </c>
      <c r="B624" s="1" t="s">
        <v>806</v>
      </c>
      <c r="C624" s="11">
        <v>45012</v>
      </c>
      <c r="D624" s="11" t="s">
        <v>4907</v>
      </c>
      <c r="E624" s="1" t="s">
        <v>21</v>
      </c>
      <c r="F624" s="1" t="s">
        <v>4908</v>
      </c>
      <c r="G624" s="6">
        <f>COUNTIF(F:F,Table2[[#This Row],[Form '#]])</f>
        <v>1</v>
      </c>
      <c r="H624" s="1" t="s">
        <v>694</v>
      </c>
      <c r="I624" s="1" t="s">
        <v>3852</v>
      </c>
      <c r="J624" s="1" t="s">
        <v>80</v>
      </c>
      <c r="K624" s="1" t="s">
        <v>3853</v>
      </c>
      <c r="L624" s="1"/>
      <c r="M624" s="6" t="str">
        <f>IF(Table2[[#This Row],[Corrected Form '#
 (If Duplicated)]]="",Table2[[#This Row],[Form '#]],Table2[[#This Row],[Corrected Form '#
 (If Duplicated)]])</f>
        <v>7818-23507</v>
      </c>
      <c r="N624" s="1" t="s">
        <v>49</v>
      </c>
      <c r="O624" s="6" t="str">
        <f>IF(Table2[[#This Row],[POG CONFIRMATION RECEIPT OF ORDER
(DATE &amp; TIME)]]="","No Confirmation","Received Confirmation")</f>
        <v>Received Confirmation</v>
      </c>
      <c r="P624" s="6">
        <f ca="1">TODAY()-Table2[[#This Row],[DATE SENT TO POG]]</f>
        <v>291</v>
      </c>
      <c r="Q624" s="6" t="s">
        <v>5803</v>
      </c>
      <c r="R6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4" s="2" t="str">
        <f>_xlfn.XLOOKUP(Table2[[#This Row],[Adjusted Form '#]],'[2]IN PROGRESS'!$D:$D,'[2]IN PROGRESS'!$M:$M,"Not Found")</f>
        <v>Not Found</v>
      </c>
      <c r="U624" s="2" t="str">
        <f>_xlfn.XLOOKUP(Table2[[#This Row],[Adjusted Form '#]],[1]COMPLETED!$D:$D,[2]COMPLETED!$M:$M,"Not Found")</f>
        <v>Not Found</v>
      </c>
      <c r="V624" s="17" t="str">
        <f>_xlfn.XLOOKUP(Table2[[#This Row],[Adjusted Form '#]],[2]COMPLETED!$D:$D,[2]COMPLETED!$O:$O,"Not Found")</f>
        <v>Not Found</v>
      </c>
      <c r="W624" s="2" t="str">
        <f>_xlfn.XLOOKUP(Table2[[#This Row],[Adjusted Form '#]],[2]BILLED!$D:$D,[2]BILLED!$M:$M,"Not Found")</f>
        <v>9402 1112 0620 7057 7076 98</v>
      </c>
      <c r="X624" s="17" t="e">
        <f>_xlfn.XLOOKUP(Table2[[#This Row],[Adjusted Form '#]],[2]BILLED!$D:$D,[1]BILLED!$O:$O,"Not Found")</f>
        <v>#REF!</v>
      </c>
      <c r="Y624" s="17" t="e">
        <f>_xlfn.XLOOKUP(Table2[[#This Row],[Adjusted Form '#]],'[2]REJECTED ORDERS'!$D:$D,'[2]REJECTED ORDERS'!$E:$E)</f>
        <v>#N/A</v>
      </c>
      <c r="Z624" s="1" t="s">
        <v>5828</v>
      </c>
      <c r="AA624" s="1"/>
      <c r="AB624" s="8"/>
      <c r="AC624" s="8"/>
      <c r="AD624" s="8"/>
      <c r="AE624" s="8"/>
      <c r="AF624" s="8"/>
      <c r="AG624" s="8"/>
      <c r="AH624" s="8"/>
      <c r="AI624" s="8"/>
      <c r="AJ624" s="8"/>
    </row>
    <row r="625" spans="1:36" ht="15" customHeight="1" x14ac:dyDescent="0.35">
      <c r="A625" s="4" t="s">
        <v>944</v>
      </c>
      <c r="B625" s="1" t="s">
        <v>806</v>
      </c>
      <c r="C625" s="11">
        <v>45012</v>
      </c>
      <c r="D625" s="11" t="s">
        <v>4907</v>
      </c>
      <c r="E625" s="1" t="s">
        <v>21</v>
      </c>
      <c r="F625" s="1" t="s">
        <v>4909</v>
      </c>
      <c r="G625" s="6">
        <f>COUNTIF(F:F,Table2[[#This Row],[Form '#]])</f>
        <v>1</v>
      </c>
      <c r="H625" s="1" t="s">
        <v>3115</v>
      </c>
      <c r="I625" s="1" t="s">
        <v>28</v>
      </c>
      <c r="J625" s="1" t="s">
        <v>69</v>
      </c>
      <c r="K625" s="1" t="s">
        <v>4011</v>
      </c>
      <c r="L625" s="1"/>
      <c r="M625" s="6" t="str">
        <f>IF(Table2[[#This Row],[Corrected Form '#
 (If Duplicated)]]="",Table2[[#This Row],[Form '#]],Table2[[#This Row],[Corrected Form '#
 (If Duplicated)]])</f>
        <v>7818-29763</v>
      </c>
      <c r="N625" s="1" t="s">
        <v>49</v>
      </c>
      <c r="O625" s="6" t="str">
        <f>IF(Table2[[#This Row],[POG CONFIRMATION RECEIPT OF ORDER
(DATE &amp; TIME)]]="","No Confirmation","Received Confirmation")</f>
        <v>Received Confirmation</v>
      </c>
      <c r="P625" s="6">
        <f ca="1">TODAY()-Table2[[#This Row],[DATE SENT TO POG]]</f>
        <v>291</v>
      </c>
      <c r="Q625" s="6" t="s">
        <v>5803</v>
      </c>
      <c r="R6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5" s="2" t="str">
        <f>_xlfn.XLOOKUP(Table2[[#This Row],[Adjusted Form '#]],'[2]IN PROGRESS'!$D:$D,'[2]IN PROGRESS'!$M:$M,"Not Found")</f>
        <v>Not Found</v>
      </c>
      <c r="U625" s="2" t="str">
        <f>_xlfn.XLOOKUP(Table2[[#This Row],[Adjusted Form '#]],[1]COMPLETED!$D:$D,[2]COMPLETED!$M:$M,"Not Found")</f>
        <v>Not Found</v>
      </c>
      <c r="V625" s="17" t="str">
        <f>_xlfn.XLOOKUP(Table2[[#This Row],[Adjusted Form '#]],[2]COMPLETED!$D:$D,[2]COMPLETED!$O:$O,"Not Found")</f>
        <v>Not Found</v>
      </c>
      <c r="W625" s="2" t="str">
        <f>_xlfn.XLOOKUP(Table2[[#This Row],[Adjusted Form '#]],[2]BILLED!$D:$D,[2]BILLED!$M:$M,"Not Found")</f>
        <v>9402 1112 0620 7052 6012 43</v>
      </c>
      <c r="X625" s="17" t="e">
        <f>_xlfn.XLOOKUP(Table2[[#This Row],[Adjusted Form '#]],[2]BILLED!$D:$D,[1]BILLED!$O:$O,"Not Found")</f>
        <v>#REF!</v>
      </c>
      <c r="Y625" s="17" t="e">
        <f>_xlfn.XLOOKUP(Table2[[#This Row],[Adjusted Form '#]],'[2]REJECTED ORDERS'!$D:$D,'[2]REJECTED ORDERS'!$E:$E)</f>
        <v>#N/A</v>
      </c>
      <c r="Z625" s="1" t="s">
        <v>5828</v>
      </c>
      <c r="AA625" s="1"/>
      <c r="AB625" s="8"/>
      <c r="AC625" s="8"/>
      <c r="AD625" s="8"/>
      <c r="AE625" s="8"/>
      <c r="AF625" s="8"/>
      <c r="AG625" s="8"/>
      <c r="AH625" s="8"/>
      <c r="AI625" s="8"/>
      <c r="AJ625" s="8"/>
    </row>
    <row r="626" spans="1:36" ht="15" customHeight="1" x14ac:dyDescent="0.35">
      <c r="A626" s="4" t="s">
        <v>945</v>
      </c>
      <c r="B626" s="1" t="s">
        <v>806</v>
      </c>
      <c r="C626" s="11">
        <v>45012</v>
      </c>
      <c r="D626" s="11" t="s">
        <v>4907</v>
      </c>
      <c r="E626" s="1" t="s">
        <v>21</v>
      </c>
      <c r="F626" s="1" t="s">
        <v>4910</v>
      </c>
      <c r="G626" s="6">
        <f>COUNTIF(F:F,Table2[[#This Row],[Form '#]])</f>
        <v>1</v>
      </c>
      <c r="H626" s="1" t="s">
        <v>1779</v>
      </c>
      <c r="I626" s="1" t="s">
        <v>3852</v>
      </c>
      <c r="J626" s="1" t="s">
        <v>80</v>
      </c>
      <c r="K626" s="1" t="s">
        <v>3853</v>
      </c>
      <c r="L626" s="1"/>
      <c r="M626" s="6" t="str">
        <f>IF(Table2[[#This Row],[Corrected Form '#
 (If Duplicated)]]="",Table2[[#This Row],[Form '#]],Table2[[#This Row],[Corrected Form '#
 (If Duplicated)]])</f>
        <v>7818-25397</v>
      </c>
      <c r="N626" s="1" t="s">
        <v>49</v>
      </c>
      <c r="O626" s="6" t="str">
        <f>IF(Table2[[#This Row],[POG CONFIRMATION RECEIPT OF ORDER
(DATE &amp; TIME)]]="","No Confirmation","Received Confirmation")</f>
        <v>Received Confirmation</v>
      </c>
      <c r="P626" s="6">
        <f ca="1">TODAY()-Table2[[#This Row],[DATE SENT TO POG]]</f>
        <v>291</v>
      </c>
      <c r="Q626" s="6" t="s">
        <v>5803</v>
      </c>
      <c r="R6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6" s="2" t="str">
        <f>_xlfn.XLOOKUP(Table2[[#This Row],[Adjusted Form '#]],'[2]IN PROGRESS'!$D:$D,'[2]IN PROGRESS'!$M:$M,"Not Found")</f>
        <v>Not Found</v>
      </c>
      <c r="U626" s="2" t="str">
        <f>_xlfn.XLOOKUP(Table2[[#This Row],[Adjusted Form '#]],[1]COMPLETED!$D:$D,[2]COMPLETED!$M:$M,"Not Found")</f>
        <v>Not Found</v>
      </c>
      <c r="V626" s="17" t="str">
        <f>_xlfn.XLOOKUP(Table2[[#This Row],[Adjusted Form '#]],[2]COMPLETED!$D:$D,[2]COMPLETED!$O:$O,"Not Found")</f>
        <v>Not Found</v>
      </c>
      <c r="W626" s="2" t="str">
        <f>_xlfn.XLOOKUP(Table2[[#This Row],[Adjusted Form '#]],[2]BILLED!$D:$D,[2]BILLED!$M:$M,"Not Found")</f>
        <v>9400 1112 0620 7057 1112 75</v>
      </c>
      <c r="X626" s="17" t="e">
        <f>_xlfn.XLOOKUP(Table2[[#This Row],[Adjusted Form '#]],[2]BILLED!$D:$D,[1]BILLED!$O:$O,"Not Found")</f>
        <v>#REF!</v>
      </c>
      <c r="Y626" s="17" t="e">
        <f>_xlfn.XLOOKUP(Table2[[#This Row],[Adjusted Form '#]],'[2]REJECTED ORDERS'!$D:$D,'[2]REJECTED ORDERS'!$E:$E)</f>
        <v>#N/A</v>
      </c>
      <c r="Z626" s="1" t="s">
        <v>5828</v>
      </c>
      <c r="AA626" s="1"/>
      <c r="AB626" s="8"/>
      <c r="AC626" s="8"/>
      <c r="AD626" s="8"/>
      <c r="AE626" s="8"/>
      <c r="AF626" s="8"/>
      <c r="AG626" s="8"/>
      <c r="AH626" s="8"/>
      <c r="AI626" s="8"/>
      <c r="AJ626" s="8"/>
    </row>
    <row r="627" spans="1:36" ht="15" customHeight="1" x14ac:dyDescent="0.35">
      <c r="A627" s="4" t="s">
        <v>946</v>
      </c>
      <c r="B627" s="1" t="s">
        <v>806</v>
      </c>
      <c r="C627" s="11">
        <v>45012</v>
      </c>
      <c r="D627" s="11" t="s">
        <v>4907</v>
      </c>
      <c r="E627" s="1" t="s">
        <v>21</v>
      </c>
      <c r="F627" s="1" t="s">
        <v>4911</v>
      </c>
      <c r="G627" s="6">
        <f>COUNTIF(F:F,Table2[[#This Row],[Form '#]])</f>
        <v>1</v>
      </c>
      <c r="H627" s="1" t="s">
        <v>3448</v>
      </c>
      <c r="I627" s="1" t="s">
        <v>177</v>
      </c>
      <c r="J627" s="1" t="s">
        <v>75</v>
      </c>
      <c r="K627" s="1" t="s">
        <v>4011</v>
      </c>
      <c r="L627" s="1"/>
      <c r="M627" s="6" t="str">
        <f>IF(Table2[[#This Row],[Corrected Form '#
 (If Duplicated)]]="",Table2[[#This Row],[Form '#]],Table2[[#This Row],[Corrected Form '#
 (If Duplicated)]])</f>
        <v>7818-29764</v>
      </c>
      <c r="N627" s="1" t="s">
        <v>49</v>
      </c>
      <c r="O627" s="6" t="str">
        <f>IF(Table2[[#This Row],[POG CONFIRMATION RECEIPT OF ORDER
(DATE &amp; TIME)]]="","No Confirmation","Received Confirmation")</f>
        <v>Received Confirmation</v>
      </c>
      <c r="P627" s="6">
        <f ca="1">TODAY()-Table2[[#This Row],[DATE SENT TO POG]]</f>
        <v>291</v>
      </c>
      <c r="Q627" s="6" t="s">
        <v>5803</v>
      </c>
      <c r="R6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7" s="2" t="str">
        <f>_xlfn.XLOOKUP(Table2[[#This Row],[Adjusted Form '#]],'[2]IN PROGRESS'!$D:$D,'[2]IN PROGRESS'!$M:$M,"Not Found")</f>
        <v>Not Found</v>
      </c>
      <c r="U627" s="2" t="str">
        <f>_xlfn.XLOOKUP(Table2[[#This Row],[Adjusted Form '#]],[1]COMPLETED!$D:$D,[2]COMPLETED!$M:$M,"Not Found")</f>
        <v>Not Found</v>
      </c>
      <c r="V627" s="17" t="str">
        <f>_xlfn.XLOOKUP(Table2[[#This Row],[Adjusted Form '#]],[2]COMPLETED!$D:$D,[2]COMPLETED!$O:$O,"Not Found")</f>
        <v>Not Found</v>
      </c>
      <c r="W627" s="2" t="str">
        <f>_xlfn.XLOOKUP(Table2[[#This Row],[Adjusted Form '#]],[2]BILLED!$D:$D,[2]BILLED!$M:$M,"Not Found")</f>
        <v>9402 1112 0620 7057 7561 22</v>
      </c>
      <c r="X627" s="17" t="e">
        <f>_xlfn.XLOOKUP(Table2[[#This Row],[Adjusted Form '#]],[2]BILLED!$D:$D,[1]BILLED!$O:$O,"Not Found")</f>
        <v>#REF!</v>
      </c>
      <c r="Y627" s="17" t="e">
        <f>_xlfn.XLOOKUP(Table2[[#This Row],[Adjusted Form '#]],'[2]REJECTED ORDERS'!$D:$D,'[2]REJECTED ORDERS'!$E:$E)</f>
        <v>#N/A</v>
      </c>
      <c r="Z627" s="1" t="s">
        <v>5828</v>
      </c>
      <c r="AA627" s="1"/>
      <c r="AB627" s="8"/>
      <c r="AC627" s="8"/>
      <c r="AD627" s="8"/>
      <c r="AE627" s="8"/>
      <c r="AF627" s="8"/>
      <c r="AG627" s="8"/>
      <c r="AH627" s="8"/>
      <c r="AI627" s="8"/>
      <c r="AJ627" s="8"/>
    </row>
    <row r="628" spans="1:36" ht="15" customHeight="1" x14ac:dyDescent="0.35">
      <c r="A628" s="4" t="s">
        <v>947</v>
      </c>
      <c r="B628" s="1" t="s">
        <v>2915</v>
      </c>
      <c r="C628" s="11">
        <v>45012</v>
      </c>
      <c r="E628" s="1" t="s">
        <v>21</v>
      </c>
      <c r="F628" s="1" t="s">
        <v>4553</v>
      </c>
      <c r="G628" s="6">
        <f>COUNTIF(F:F,Table2[[#This Row],[Form '#]])</f>
        <v>2</v>
      </c>
      <c r="H628" s="1" t="s">
        <v>4554</v>
      </c>
      <c r="I628" s="1" t="s">
        <v>3852</v>
      </c>
      <c r="J628" s="1" t="s">
        <v>75</v>
      </c>
      <c r="K628" s="1" t="s">
        <v>3853</v>
      </c>
      <c r="L628" s="1"/>
      <c r="M628" s="6" t="str">
        <f>IF(Table2[[#This Row],[Corrected Form '#
 (If Duplicated)]]="",Table2[[#This Row],[Form '#]],Table2[[#This Row],[Corrected Form '#
 (If Duplicated)]])</f>
        <v>7818-25172</v>
      </c>
      <c r="N628" s="1" t="s">
        <v>49</v>
      </c>
      <c r="O628" s="6" t="str">
        <f>IF(Table2[[#This Row],[POG CONFIRMATION RECEIPT OF ORDER
(DATE &amp; TIME)]]="","No Confirmation","Received Confirmation")</f>
        <v>No Confirmation</v>
      </c>
      <c r="P628" s="6">
        <f ca="1">TODAY()-Table2[[#This Row],[DATE SENT TO POG]]</f>
        <v>291</v>
      </c>
      <c r="Q628" s="6" t="s">
        <v>5803</v>
      </c>
      <c r="R6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8" s="2" t="str">
        <f>_xlfn.XLOOKUP(Table2[[#This Row],[Adjusted Form '#]],'[2]IN PROGRESS'!$D:$D,'[2]IN PROGRESS'!$M:$M,"Not Found")</f>
        <v>Not Found</v>
      </c>
      <c r="U628" s="2" t="str">
        <f>_xlfn.XLOOKUP(Table2[[#This Row],[Adjusted Form '#]],[1]COMPLETED!$D:$D,[2]COMPLETED!$M:$M,"Not Found")</f>
        <v>Not Found</v>
      </c>
      <c r="V628" s="17" t="str">
        <f>_xlfn.XLOOKUP(Table2[[#This Row],[Adjusted Form '#]],[2]COMPLETED!$D:$D,[2]COMPLETED!$O:$O,"Not Found")</f>
        <v>Not Found</v>
      </c>
      <c r="W628" s="2" t="str">
        <f>_xlfn.XLOOKUP(Table2[[#This Row],[Adjusted Form '#]],[2]BILLED!$D:$D,[2]BILLED!$M:$M,"Not Found")</f>
        <v>1Z5063E0YW41424229</v>
      </c>
      <c r="X628" s="17" t="e">
        <f>_xlfn.XLOOKUP(Table2[[#This Row],[Adjusted Form '#]],[2]BILLED!$D:$D,[1]BILLED!$O:$O,"Not Found")</f>
        <v>#REF!</v>
      </c>
      <c r="Y628" s="17" t="str">
        <f>_xlfn.XLOOKUP(Table2[[#This Row],[Adjusted Form '#]],'[2]REJECTED ORDERS'!$D:$D,'[2]REJECTED ORDERS'!$E:$E)</f>
        <v>FORM NOT SIGNED</v>
      </c>
      <c r="Z628" s="1"/>
      <c r="AA628" s="1"/>
      <c r="AB628" s="8"/>
      <c r="AC628" s="8"/>
      <c r="AD628" s="8"/>
      <c r="AE628" s="8"/>
      <c r="AF628" s="8"/>
      <c r="AG628" s="8"/>
      <c r="AH628" s="8"/>
      <c r="AI628" s="8"/>
      <c r="AJ628" s="8"/>
    </row>
    <row r="629" spans="1:36" ht="15" customHeight="1" x14ac:dyDescent="0.35">
      <c r="A629" s="4" t="s">
        <v>949</v>
      </c>
      <c r="B629" s="1" t="s">
        <v>1245</v>
      </c>
      <c r="C629" s="11">
        <v>45012</v>
      </c>
      <c r="D629" s="11" t="s">
        <v>4912</v>
      </c>
      <c r="E629" s="1" t="s">
        <v>21</v>
      </c>
      <c r="F629" s="1" t="s">
        <v>4913</v>
      </c>
      <c r="G629" s="6">
        <f>COUNTIF(F:F,Table2[[#This Row],[Form '#]])</f>
        <v>1</v>
      </c>
      <c r="H629" s="1" t="s">
        <v>479</v>
      </c>
      <c r="I629" s="1" t="s">
        <v>127</v>
      </c>
      <c r="J629" s="1" t="s">
        <v>74</v>
      </c>
      <c r="K629" s="1" t="s">
        <v>3883</v>
      </c>
      <c r="L629" s="1"/>
      <c r="M629" s="6" t="str">
        <f>IF(Table2[[#This Row],[Corrected Form '#
 (If Duplicated)]]="",Table2[[#This Row],[Form '#]],Table2[[#This Row],[Corrected Form '#
 (If Duplicated)]])</f>
        <v>7818-29843</v>
      </c>
      <c r="N629" s="1" t="s">
        <v>49</v>
      </c>
      <c r="O629" s="6" t="str">
        <f>IF(Table2[[#This Row],[POG CONFIRMATION RECEIPT OF ORDER
(DATE &amp; TIME)]]="","No Confirmation","Received Confirmation")</f>
        <v>Received Confirmation</v>
      </c>
      <c r="P629" s="6">
        <f ca="1">TODAY()-Table2[[#This Row],[DATE SENT TO POG]]</f>
        <v>291</v>
      </c>
      <c r="Q629" s="6" t="s">
        <v>5803</v>
      </c>
      <c r="R6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29" s="2" t="str">
        <f>_xlfn.XLOOKUP(Table2[[#This Row],[Adjusted Form '#]],'[2]IN PROGRESS'!$D:$D,'[2]IN PROGRESS'!$M:$M,"Not Found")</f>
        <v>Not Found</v>
      </c>
      <c r="U629" s="2" t="str">
        <f>_xlfn.XLOOKUP(Table2[[#This Row],[Adjusted Form '#]],[1]COMPLETED!$D:$D,[2]COMPLETED!$M:$M,"Not Found")</f>
        <v>Not Found</v>
      </c>
      <c r="V629" s="17" t="str">
        <f>_xlfn.XLOOKUP(Table2[[#This Row],[Adjusted Form '#]],[2]COMPLETED!$D:$D,[2]COMPLETED!$O:$O,"Not Found")</f>
        <v>Not Found</v>
      </c>
      <c r="W629" s="2" t="str">
        <f>_xlfn.XLOOKUP(Table2[[#This Row],[Adjusted Form '#]],[2]BILLED!$D:$D,[2]BILLED!$M:$M,"Not Found")</f>
        <v>1Z5063E0YW41367998</v>
      </c>
      <c r="X629" s="17" t="e">
        <f>_xlfn.XLOOKUP(Table2[[#This Row],[Adjusted Form '#]],[2]BILLED!$D:$D,[1]BILLED!$O:$O,"Not Found")</f>
        <v>#REF!</v>
      </c>
      <c r="Y629" s="17" t="e">
        <f>_xlfn.XLOOKUP(Table2[[#This Row],[Adjusted Form '#]],'[2]REJECTED ORDERS'!$D:$D,'[2]REJECTED ORDERS'!$E:$E)</f>
        <v>#N/A</v>
      </c>
      <c r="Z629" s="1"/>
      <c r="AA629" s="1"/>
      <c r="AB629" s="8"/>
      <c r="AC629" s="8"/>
      <c r="AD629" s="8"/>
      <c r="AE629" s="8"/>
      <c r="AF629" s="8"/>
      <c r="AG629" s="8"/>
      <c r="AH629" s="8"/>
      <c r="AI629" s="8"/>
      <c r="AJ629" s="8"/>
    </row>
    <row r="630" spans="1:36" ht="15" customHeight="1" x14ac:dyDescent="0.35">
      <c r="A630" s="4" t="s">
        <v>951</v>
      </c>
      <c r="B630" s="1" t="s">
        <v>1245</v>
      </c>
      <c r="C630" s="11">
        <v>45012</v>
      </c>
      <c r="D630" s="11" t="s">
        <v>4912</v>
      </c>
      <c r="E630" s="1" t="s">
        <v>21</v>
      </c>
      <c r="F630" s="1" t="s">
        <v>4914</v>
      </c>
      <c r="G630" s="6">
        <f>COUNTIF(F:F,Table2[[#This Row],[Form '#]])</f>
        <v>1</v>
      </c>
      <c r="H630" s="1" t="s">
        <v>4915</v>
      </c>
      <c r="I630" s="1" t="s">
        <v>177</v>
      </c>
      <c r="J630" s="1" t="s">
        <v>75</v>
      </c>
      <c r="K630" s="1" t="s">
        <v>4011</v>
      </c>
      <c r="L630" s="1"/>
      <c r="M630" s="6" t="str">
        <f>IF(Table2[[#This Row],[Corrected Form '#
 (If Duplicated)]]="",Table2[[#This Row],[Form '#]],Table2[[#This Row],[Corrected Form '#
 (If Duplicated)]])</f>
        <v>7818-22216</v>
      </c>
      <c r="N630" s="1" t="s">
        <v>49</v>
      </c>
      <c r="O630" s="6" t="str">
        <f>IF(Table2[[#This Row],[POG CONFIRMATION RECEIPT OF ORDER
(DATE &amp; TIME)]]="","No Confirmation","Received Confirmation")</f>
        <v>Received Confirmation</v>
      </c>
      <c r="P630" s="6">
        <f ca="1">TODAY()-Table2[[#This Row],[DATE SENT TO POG]]</f>
        <v>291</v>
      </c>
      <c r="Q630" s="6" t="s">
        <v>5803</v>
      </c>
      <c r="R6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0" s="2" t="str">
        <f>_xlfn.XLOOKUP(Table2[[#This Row],[Adjusted Form '#]],'[2]IN PROGRESS'!$D:$D,'[2]IN PROGRESS'!$M:$M,"Not Found")</f>
        <v>Not Found</v>
      </c>
      <c r="U630" s="2" t="str">
        <f>_xlfn.XLOOKUP(Table2[[#This Row],[Adjusted Form '#]],[1]COMPLETED!$D:$D,[2]COMPLETED!$M:$M,"Not Found")</f>
        <v>Not Found</v>
      </c>
      <c r="V630" s="17" t="str">
        <f>_xlfn.XLOOKUP(Table2[[#This Row],[Adjusted Form '#]],[2]COMPLETED!$D:$D,[2]COMPLETED!$O:$O,"Not Found")</f>
        <v>Not Found</v>
      </c>
      <c r="W630" s="2" t="str">
        <f>_xlfn.XLOOKUP(Table2[[#This Row],[Adjusted Form '#]],[2]BILLED!$D:$D,[2]BILLED!$M:$M,"Not Found")</f>
        <v>1Z5063E0YW42561721</v>
      </c>
      <c r="X630" s="17" t="e">
        <f>_xlfn.XLOOKUP(Table2[[#This Row],[Adjusted Form '#]],[2]BILLED!$D:$D,[1]BILLED!$O:$O,"Not Found")</f>
        <v>#REF!</v>
      </c>
      <c r="Y630" s="17" t="e">
        <f>_xlfn.XLOOKUP(Table2[[#This Row],[Adjusted Form '#]],'[2]REJECTED ORDERS'!$D:$D,'[2]REJECTED ORDERS'!$E:$E)</f>
        <v>#N/A</v>
      </c>
      <c r="Z630" s="1"/>
      <c r="AA630" s="1"/>
      <c r="AB630" s="8"/>
      <c r="AC630" s="8"/>
      <c r="AD630" s="8"/>
      <c r="AE630" s="8"/>
      <c r="AF630" s="8"/>
      <c r="AG630" s="8"/>
      <c r="AH630" s="8"/>
      <c r="AI630" s="8"/>
      <c r="AJ630" s="8"/>
    </row>
    <row r="631" spans="1:36" ht="15" customHeight="1" x14ac:dyDescent="0.35">
      <c r="A631" s="4" t="s">
        <v>952</v>
      </c>
      <c r="B631" s="1" t="s">
        <v>1516</v>
      </c>
      <c r="C631" s="11">
        <v>45012</v>
      </c>
      <c r="E631" s="1" t="s">
        <v>21</v>
      </c>
      <c r="F631" s="1" t="s">
        <v>4916</v>
      </c>
      <c r="G631" s="6">
        <f>COUNTIF(F:F,Table2[[#This Row],[Form '#]])</f>
        <v>1</v>
      </c>
      <c r="H631" s="1" t="s">
        <v>2900</v>
      </c>
      <c r="I631" s="1" t="s">
        <v>3864</v>
      </c>
      <c r="J631" s="1" t="s">
        <v>78</v>
      </c>
      <c r="K631" s="1" t="s">
        <v>3879</v>
      </c>
      <c r="L631" s="1"/>
      <c r="M631" s="6" t="str">
        <f>IF(Table2[[#This Row],[Corrected Form '#
 (If Duplicated)]]="",Table2[[#This Row],[Form '#]],Table2[[#This Row],[Corrected Form '#
 (If Duplicated)]])</f>
        <v>7818-29844</v>
      </c>
      <c r="N631" s="1" t="s">
        <v>4917</v>
      </c>
      <c r="O631" s="6" t="str">
        <f>IF(Table2[[#This Row],[POG CONFIRMATION RECEIPT OF ORDER
(DATE &amp; TIME)]]="","No Confirmation","Received Confirmation")</f>
        <v>No Confirmation</v>
      </c>
      <c r="P631" s="6">
        <f ca="1">TODAY()-Table2[[#This Row],[DATE SENT TO POG]]</f>
        <v>291</v>
      </c>
      <c r="Q631" s="6" t="s">
        <v>5803</v>
      </c>
      <c r="R6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1" s="2" t="str">
        <f>_xlfn.XLOOKUP(Table2[[#This Row],[Adjusted Form '#]],'[2]IN PROGRESS'!$D:$D,'[2]IN PROGRESS'!$M:$M,"Not Found")</f>
        <v>Not Found</v>
      </c>
      <c r="U631" s="2" t="str">
        <f>_xlfn.XLOOKUP(Table2[[#This Row],[Adjusted Form '#]],[1]COMPLETED!$D:$D,[2]COMPLETED!$M:$M,"Not Found")</f>
        <v>Not Found</v>
      </c>
      <c r="V631" s="17" t="str">
        <f>_xlfn.XLOOKUP(Table2[[#This Row],[Adjusted Form '#]],[2]COMPLETED!$D:$D,[2]COMPLETED!$O:$O,"Not Found")</f>
        <v>Not Found</v>
      </c>
      <c r="W631" s="2" t="str">
        <f>_xlfn.XLOOKUP(Table2[[#This Row],[Adjusted Form '#]],[2]BILLED!$D:$D,[2]BILLED!$M:$M,"Not Found")</f>
        <v>1Z5063E0YW40153014</v>
      </c>
      <c r="X631" s="17" t="e">
        <f>_xlfn.XLOOKUP(Table2[[#This Row],[Adjusted Form '#]],[2]BILLED!$D:$D,[1]BILLED!$O:$O,"Not Found")</f>
        <v>#REF!</v>
      </c>
      <c r="Y631" s="17" t="e">
        <f>_xlfn.XLOOKUP(Table2[[#This Row],[Adjusted Form '#]],'[2]REJECTED ORDERS'!$D:$D,'[2]REJECTED ORDERS'!$E:$E)</f>
        <v>#N/A</v>
      </c>
      <c r="Z631" s="1"/>
      <c r="AA631" s="1"/>
      <c r="AB631" s="8"/>
      <c r="AC631" s="8"/>
      <c r="AD631" s="8"/>
      <c r="AE631" s="8"/>
      <c r="AF631" s="8"/>
      <c r="AG631" s="8"/>
      <c r="AH631" s="8"/>
      <c r="AI631" s="8"/>
      <c r="AJ631" s="8"/>
    </row>
    <row r="632" spans="1:36" ht="15" customHeight="1" x14ac:dyDescent="0.35">
      <c r="A632" s="4" t="s">
        <v>955</v>
      </c>
      <c r="B632" s="1" t="s">
        <v>3404</v>
      </c>
      <c r="C632" s="11">
        <v>45013</v>
      </c>
      <c r="D632" s="11" t="s">
        <v>4918</v>
      </c>
      <c r="E632" s="1" t="s">
        <v>21</v>
      </c>
      <c r="F632" s="1" t="s">
        <v>4919</v>
      </c>
      <c r="G632" s="6">
        <f>COUNTIF(F:F,Table2[[#This Row],[Form '#]])</f>
        <v>1</v>
      </c>
      <c r="H632" s="1" t="s">
        <v>4920</v>
      </c>
      <c r="I632" s="1" t="s">
        <v>28</v>
      </c>
      <c r="J632" s="1" t="s">
        <v>69</v>
      </c>
      <c r="K632" s="1" t="s">
        <v>4631</v>
      </c>
      <c r="L632" s="1"/>
      <c r="M632" s="6" t="str">
        <f>IF(Table2[[#This Row],[Corrected Form '#
 (If Duplicated)]]="",Table2[[#This Row],[Form '#]],Table2[[#This Row],[Corrected Form '#
 (If Duplicated)]])</f>
        <v>7818-26741</v>
      </c>
      <c r="N632" s="1" t="s">
        <v>49</v>
      </c>
      <c r="O632" s="6" t="str">
        <f>IF(Table2[[#This Row],[POG CONFIRMATION RECEIPT OF ORDER
(DATE &amp; TIME)]]="","No Confirmation","Received Confirmation")</f>
        <v>Received Confirmation</v>
      </c>
      <c r="P632" s="6">
        <f ca="1">TODAY()-Table2[[#This Row],[DATE SENT TO POG]]</f>
        <v>290</v>
      </c>
      <c r="Q632" s="6" t="s">
        <v>5803</v>
      </c>
      <c r="R6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2" s="2" t="str">
        <f>_xlfn.XLOOKUP(Table2[[#This Row],[Adjusted Form '#]],'[2]IN PROGRESS'!$D:$D,'[2]IN PROGRESS'!$M:$M,"Not Found")</f>
        <v>Not Found</v>
      </c>
      <c r="U632" s="2" t="str">
        <f>_xlfn.XLOOKUP(Table2[[#This Row],[Adjusted Form '#]],[1]COMPLETED!$D:$D,[2]COMPLETED!$M:$M,"Not Found")</f>
        <v>Not Found</v>
      </c>
      <c r="V632" s="17" t="str">
        <f>_xlfn.XLOOKUP(Table2[[#This Row],[Adjusted Form '#]],[2]COMPLETED!$D:$D,[2]COMPLETED!$O:$O,"Not Found")</f>
        <v>Not Found</v>
      </c>
      <c r="W632" s="2" t="str">
        <f>_xlfn.XLOOKUP(Table2[[#This Row],[Adjusted Form '#]],[2]BILLED!$D:$D,[2]BILLED!$M:$M,"Not Found")</f>
        <v>1Z5063E0YW40627762</v>
      </c>
      <c r="X632" s="17" t="e">
        <f>_xlfn.XLOOKUP(Table2[[#This Row],[Adjusted Form '#]],[2]BILLED!$D:$D,[1]BILLED!$O:$O,"Not Found")</f>
        <v>#REF!</v>
      </c>
      <c r="Y632" s="17" t="e">
        <f>_xlfn.XLOOKUP(Table2[[#This Row],[Adjusted Form '#]],'[2]REJECTED ORDERS'!$D:$D,'[2]REJECTED ORDERS'!$E:$E)</f>
        <v>#N/A</v>
      </c>
      <c r="Z632" s="1"/>
      <c r="AA632" s="1"/>
      <c r="AB632" s="8"/>
      <c r="AC632" s="8"/>
      <c r="AD632" s="8"/>
      <c r="AE632" s="8"/>
      <c r="AF632" s="8"/>
      <c r="AG632" s="8"/>
      <c r="AH632" s="8"/>
      <c r="AI632" s="8"/>
      <c r="AJ632" s="8"/>
    </row>
    <row r="633" spans="1:36" ht="15" customHeight="1" x14ac:dyDescent="0.35">
      <c r="A633" s="4" t="s">
        <v>957</v>
      </c>
      <c r="B633" s="1" t="s">
        <v>3525</v>
      </c>
      <c r="C633" s="11">
        <v>45013</v>
      </c>
      <c r="D633" s="11" t="s">
        <v>4918</v>
      </c>
      <c r="E633" s="1" t="s">
        <v>191</v>
      </c>
      <c r="F633" s="1" t="s">
        <v>4921</v>
      </c>
      <c r="G633" s="6">
        <f>COUNTIF(F:F,Table2[[#This Row],[Form '#]])</f>
        <v>1</v>
      </c>
      <c r="H633" s="1" t="s">
        <v>4922</v>
      </c>
      <c r="I633" s="1" t="s">
        <v>127</v>
      </c>
      <c r="J633" s="1" t="s">
        <v>74</v>
      </c>
      <c r="K633" s="1" t="s">
        <v>4011</v>
      </c>
      <c r="L633" s="1"/>
      <c r="M633" s="6" t="str">
        <f>IF(Table2[[#This Row],[Corrected Form '#
 (If Duplicated)]]="",Table2[[#This Row],[Form '#]],Table2[[#This Row],[Corrected Form '#
 (If Duplicated)]])</f>
        <v>7812-3662</v>
      </c>
      <c r="N633" s="1" t="s">
        <v>49</v>
      </c>
      <c r="O633" s="6" t="str">
        <f>IF(Table2[[#This Row],[POG CONFIRMATION RECEIPT OF ORDER
(DATE &amp; TIME)]]="","No Confirmation","Received Confirmation")</f>
        <v>Received Confirmation</v>
      </c>
      <c r="P633" s="6">
        <f ca="1">TODAY()-Table2[[#This Row],[DATE SENT TO POG]]</f>
        <v>290</v>
      </c>
      <c r="Q633" s="6" t="s">
        <v>5803</v>
      </c>
      <c r="R6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3" s="2" t="str">
        <f>_xlfn.XLOOKUP(Table2[[#This Row],[Adjusted Form '#]],'[2]IN PROGRESS'!$D:$D,'[2]IN PROGRESS'!$M:$M,"Not Found")</f>
        <v>Not Found</v>
      </c>
      <c r="U633" s="2" t="str">
        <f>_xlfn.XLOOKUP(Table2[[#This Row],[Adjusted Form '#]],[1]COMPLETED!$D:$D,[2]COMPLETED!$M:$M,"Not Found")</f>
        <v>Not Found</v>
      </c>
      <c r="V633" s="17" t="str">
        <f>_xlfn.XLOOKUP(Table2[[#This Row],[Adjusted Form '#]],[2]COMPLETED!$D:$D,[2]COMPLETED!$O:$O,"Not Found")</f>
        <v>Not Found</v>
      </c>
      <c r="W633" s="2" t="str">
        <f>_xlfn.XLOOKUP(Table2[[#This Row],[Adjusted Form '#]],[2]BILLED!$D:$D,[2]BILLED!$M:$M,"Not Found")</f>
        <v>1Z5063E0YW42996673</v>
      </c>
      <c r="X633" s="17" t="e">
        <f>_xlfn.XLOOKUP(Table2[[#This Row],[Adjusted Form '#]],[2]BILLED!$D:$D,[1]BILLED!$O:$O,"Not Found")</f>
        <v>#REF!</v>
      </c>
      <c r="Y633" s="17" t="e">
        <f>_xlfn.XLOOKUP(Table2[[#This Row],[Adjusted Form '#]],'[2]REJECTED ORDERS'!$D:$D,'[2]REJECTED ORDERS'!$E:$E)</f>
        <v>#N/A</v>
      </c>
      <c r="Z633" s="1"/>
      <c r="AA633" s="1"/>
      <c r="AB633" s="8"/>
      <c r="AC633" s="8"/>
      <c r="AD633" s="8"/>
      <c r="AE633" s="8"/>
      <c r="AF633" s="8"/>
      <c r="AG633" s="8"/>
      <c r="AH633" s="8"/>
      <c r="AI633" s="8"/>
      <c r="AJ633" s="8"/>
    </row>
    <row r="634" spans="1:36" ht="15" customHeight="1" x14ac:dyDescent="0.35">
      <c r="A634" s="4" t="s">
        <v>959</v>
      </c>
      <c r="B634" s="1" t="s">
        <v>1737</v>
      </c>
      <c r="C634" s="11">
        <v>45013</v>
      </c>
      <c r="D634" s="11" t="s">
        <v>4918</v>
      </c>
      <c r="E634" s="1" t="s">
        <v>21</v>
      </c>
      <c r="F634" s="1" t="s">
        <v>4923</v>
      </c>
      <c r="G634" s="6">
        <f>COUNTIF(F:F,Table2[[#This Row],[Form '#]])</f>
        <v>1</v>
      </c>
      <c r="H634" s="1" t="s">
        <v>4924</v>
      </c>
      <c r="I634" s="1" t="s">
        <v>3852</v>
      </c>
      <c r="J634" s="1" t="s">
        <v>75</v>
      </c>
      <c r="K634" s="1" t="s">
        <v>3853</v>
      </c>
      <c r="L634" s="1"/>
      <c r="M634" s="6" t="str">
        <f>IF(Table2[[#This Row],[Corrected Form '#
 (If Duplicated)]]="",Table2[[#This Row],[Form '#]],Table2[[#This Row],[Corrected Form '#
 (If Duplicated)]])</f>
        <v>7818-24284</v>
      </c>
      <c r="N634" s="1" t="s">
        <v>49</v>
      </c>
      <c r="O634" s="6" t="str">
        <f>IF(Table2[[#This Row],[POG CONFIRMATION RECEIPT OF ORDER
(DATE &amp; TIME)]]="","No Confirmation","Received Confirmation")</f>
        <v>Received Confirmation</v>
      </c>
      <c r="P634" s="6">
        <f ca="1">TODAY()-Table2[[#This Row],[DATE SENT TO POG]]</f>
        <v>290</v>
      </c>
      <c r="Q634" s="6" t="s">
        <v>5803</v>
      </c>
      <c r="R6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4" s="2" t="str">
        <f>_xlfn.XLOOKUP(Table2[[#This Row],[Adjusted Form '#]],'[2]IN PROGRESS'!$D:$D,'[2]IN PROGRESS'!$M:$M,"Not Found")</f>
        <v>Not Found</v>
      </c>
      <c r="U634" s="2" t="str">
        <f>_xlfn.XLOOKUP(Table2[[#This Row],[Adjusted Form '#]],[1]COMPLETED!$D:$D,[2]COMPLETED!$M:$M,"Not Found")</f>
        <v>Not Found</v>
      </c>
      <c r="V634" s="17" t="str">
        <f>_xlfn.XLOOKUP(Table2[[#This Row],[Adjusted Form '#]],[2]COMPLETED!$D:$D,[2]COMPLETED!$O:$O,"Not Found")</f>
        <v>Not Found</v>
      </c>
      <c r="W634" s="2" t="str">
        <f>_xlfn.XLOOKUP(Table2[[#This Row],[Adjusted Form '#]],[2]BILLED!$D:$D,[2]BILLED!$M:$M,"Not Found")</f>
        <v>1Z5063E0YW41313778</v>
      </c>
      <c r="X634" s="17" t="e">
        <f>_xlfn.XLOOKUP(Table2[[#This Row],[Adjusted Form '#]],[2]BILLED!$D:$D,[1]BILLED!$O:$O,"Not Found")</f>
        <v>#REF!</v>
      </c>
      <c r="Y634" s="17" t="e">
        <f>_xlfn.XLOOKUP(Table2[[#This Row],[Adjusted Form '#]],'[2]REJECTED ORDERS'!$D:$D,'[2]REJECTED ORDERS'!$E:$E)</f>
        <v>#N/A</v>
      </c>
      <c r="Z634" s="1"/>
      <c r="AA634" s="1"/>
      <c r="AB634" s="8"/>
      <c r="AC634" s="8"/>
      <c r="AD634" s="8"/>
      <c r="AE634" s="8"/>
      <c r="AF634" s="8"/>
      <c r="AG634" s="8"/>
      <c r="AH634" s="8"/>
      <c r="AI634" s="8"/>
      <c r="AJ634" s="8"/>
    </row>
    <row r="635" spans="1:36" ht="15" customHeight="1" x14ac:dyDescent="0.35">
      <c r="A635" s="4" t="s">
        <v>961</v>
      </c>
      <c r="B635" s="1" t="s">
        <v>1737</v>
      </c>
      <c r="C635" s="11">
        <v>45013</v>
      </c>
      <c r="D635" s="11" t="s">
        <v>4918</v>
      </c>
      <c r="E635" s="1" t="s">
        <v>21</v>
      </c>
      <c r="F635" s="1" t="s">
        <v>4925</v>
      </c>
      <c r="G635" s="6">
        <f>COUNTIF(F:F,Table2[[#This Row],[Form '#]])</f>
        <v>1</v>
      </c>
      <c r="H635" s="1" t="s">
        <v>2687</v>
      </c>
      <c r="I635" s="1" t="s">
        <v>3852</v>
      </c>
      <c r="J635" s="1" t="s">
        <v>80</v>
      </c>
      <c r="K635" s="1" t="s">
        <v>3853</v>
      </c>
      <c r="L635" s="1"/>
      <c r="M635" s="6" t="str">
        <f>IF(Table2[[#This Row],[Corrected Form '#
 (If Duplicated)]]="",Table2[[#This Row],[Form '#]],Table2[[#This Row],[Corrected Form '#
 (If Duplicated)]])</f>
        <v>7818-26978</v>
      </c>
      <c r="N635" s="1" t="s">
        <v>2490</v>
      </c>
      <c r="O635" s="6" t="str">
        <f>IF(Table2[[#This Row],[POG CONFIRMATION RECEIPT OF ORDER
(DATE &amp; TIME)]]="","No Confirmation","Received Confirmation")</f>
        <v>Received Confirmation</v>
      </c>
      <c r="P635" s="6">
        <f ca="1">TODAY()-Table2[[#This Row],[DATE SENT TO POG]]</f>
        <v>290</v>
      </c>
      <c r="Q635" s="6" t="s">
        <v>5803</v>
      </c>
      <c r="R6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5" s="2" t="str">
        <f>_xlfn.XLOOKUP(Table2[[#This Row],[Adjusted Form '#]],'[2]IN PROGRESS'!$D:$D,'[2]IN PROGRESS'!$M:$M,"Not Found")</f>
        <v>Not Found</v>
      </c>
      <c r="U635" s="2" t="str">
        <f>_xlfn.XLOOKUP(Table2[[#This Row],[Adjusted Form '#]],[1]COMPLETED!$D:$D,[2]COMPLETED!$M:$M,"Not Found")</f>
        <v>Not Found</v>
      </c>
      <c r="V635" s="17" t="str">
        <f>_xlfn.XLOOKUP(Table2[[#This Row],[Adjusted Form '#]],[2]COMPLETED!$D:$D,[2]COMPLETED!$O:$O,"Not Found")</f>
        <v>Not Found</v>
      </c>
      <c r="W635" s="2" t="str">
        <f>_xlfn.XLOOKUP(Table2[[#This Row],[Adjusted Form '#]],[2]BILLED!$D:$D,[2]BILLED!$M:$M,"Not Found")</f>
        <v>1Z5063E0YW40876529</v>
      </c>
      <c r="X635" s="17" t="e">
        <f>_xlfn.XLOOKUP(Table2[[#This Row],[Adjusted Form '#]],[2]BILLED!$D:$D,[1]BILLED!$O:$O,"Not Found")</f>
        <v>#REF!</v>
      </c>
      <c r="Y635" s="17" t="e">
        <f>_xlfn.XLOOKUP(Table2[[#This Row],[Adjusted Form '#]],'[2]REJECTED ORDERS'!$D:$D,'[2]REJECTED ORDERS'!$E:$E)</f>
        <v>#N/A</v>
      </c>
      <c r="Z635" s="1"/>
      <c r="AA635" s="1"/>
      <c r="AB635" s="8"/>
      <c r="AC635" s="8"/>
      <c r="AD635" s="8"/>
      <c r="AE635" s="8"/>
      <c r="AF635" s="8"/>
      <c r="AG635" s="8"/>
      <c r="AH635" s="8"/>
      <c r="AI635" s="8"/>
      <c r="AJ635" s="8"/>
    </row>
    <row r="636" spans="1:36" ht="15" customHeight="1" x14ac:dyDescent="0.35">
      <c r="A636" s="4" t="s">
        <v>962</v>
      </c>
      <c r="B636" s="1" t="s">
        <v>1564</v>
      </c>
      <c r="C636" s="11">
        <v>45013</v>
      </c>
      <c r="D636" s="11" t="s">
        <v>4926</v>
      </c>
      <c r="E636" s="1" t="s">
        <v>21</v>
      </c>
      <c r="F636" s="1" t="s">
        <v>4927</v>
      </c>
      <c r="G636" s="6">
        <f>COUNTIF(F:F,Table2[[#This Row],[Form '#]])</f>
        <v>1</v>
      </c>
      <c r="H636" s="1" t="s">
        <v>394</v>
      </c>
      <c r="I636" s="1" t="s">
        <v>127</v>
      </c>
      <c r="J636" s="1" t="s">
        <v>76</v>
      </c>
      <c r="K636" s="1" t="s">
        <v>3883</v>
      </c>
      <c r="L636" s="1"/>
      <c r="M636" s="6" t="str">
        <f>IF(Table2[[#This Row],[Corrected Form '#
 (If Duplicated)]]="",Table2[[#This Row],[Form '#]],Table2[[#This Row],[Corrected Form '#
 (If Duplicated)]])</f>
        <v>7818-29765</v>
      </c>
      <c r="N636" s="1" t="s">
        <v>49</v>
      </c>
      <c r="O636" s="6" t="str">
        <f>IF(Table2[[#This Row],[POG CONFIRMATION RECEIPT OF ORDER
(DATE &amp; TIME)]]="","No Confirmation","Received Confirmation")</f>
        <v>Received Confirmation</v>
      </c>
      <c r="P636" s="6">
        <f ca="1">TODAY()-Table2[[#This Row],[DATE SENT TO POG]]</f>
        <v>290</v>
      </c>
      <c r="Q636" s="6" t="s">
        <v>5803</v>
      </c>
      <c r="R6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6" s="2" t="str">
        <f>_xlfn.XLOOKUP(Table2[[#This Row],[Adjusted Form '#]],'[2]IN PROGRESS'!$D:$D,'[2]IN PROGRESS'!$M:$M,"Not Found")</f>
        <v>Not Found</v>
      </c>
      <c r="U636" s="2" t="str">
        <f>_xlfn.XLOOKUP(Table2[[#This Row],[Adjusted Form '#]],[1]COMPLETED!$D:$D,[2]COMPLETED!$M:$M,"Not Found")</f>
        <v>Not Found</v>
      </c>
      <c r="V636" s="17" t="str">
        <f>_xlfn.XLOOKUP(Table2[[#This Row],[Adjusted Form '#]],[2]COMPLETED!$D:$D,[2]COMPLETED!$O:$O,"Not Found")</f>
        <v>Not Found</v>
      </c>
      <c r="W636" s="2" t="str">
        <f>_xlfn.XLOOKUP(Table2[[#This Row],[Adjusted Form '#]],[2]BILLED!$D:$D,[2]BILLED!$M:$M,"Not Found")</f>
        <v>1Z5063E0YW41154477</v>
      </c>
      <c r="X636" s="17" t="e">
        <f>_xlfn.XLOOKUP(Table2[[#This Row],[Adjusted Form '#]],[2]BILLED!$D:$D,[1]BILLED!$O:$O,"Not Found")</f>
        <v>#REF!</v>
      </c>
      <c r="Y636" s="17" t="e">
        <f>_xlfn.XLOOKUP(Table2[[#This Row],[Adjusted Form '#]],'[2]REJECTED ORDERS'!$D:$D,'[2]REJECTED ORDERS'!$E:$E)</f>
        <v>#N/A</v>
      </c>
      <c r="Z636" s="1"/>
      <c r="AA636" s="1"/>
      <c r="AB636" s="8"/>
      <c r="AC636" s="8"/>
      <c r="AD636" s="8"/>
      <c r="AE636" s="8"/>
      <c r="AF636" s="8"/>
      <c r="AG636" s="8"/>
      <c r="AH636" s="8"/>
      <c r="AI636" s="8"/>
      <c r="AJ636" s="8"/>
    </row>
    <row r="637" spans="1:36" ht="15" customHeight="1" x14ac:dyDescent="0.35">
      <c r="A637" s="4" t="s">
        <v>963</v>
      </c>
      <c r="B637" s="1" t="s">
        <v>2579</v>
      </c>
      <c r="C637" s="11">
        <v>45013</v>
      </c>
      <c r="D637" s="11" t="s">
        <v>4926</v>
      </c>
      <c r="E637" s="1" t="s">
        <v>21</v>
      </c>
      <c r="F637" s="1" t="s">
        <v>4928</v>
      </c>
      <c r="G637" s="6">
        <f>COUNTIF(F:F,Table2[[#This Row],[Form '#]])</f>
        <v>1</v>
      </c>
      <c r="H637" s="1" t="s">
        <v>3480</v>
      </c>
      <c r="I637" s="1" t="s">
        <v>3852</v>
      </c>
      <c r="J637" s="1" t="s">
        <v>75</v>
      </c>
      <c r="K637" s="1" t="s">
        <v>3853</v>
      </c>
      <c r="L637" s="1"/>
      <c r="M637" s="6" t="str">
        <f>IF(Table2[[#This Row],[Corrected Form '#
 (If Duplicated)]]="",Table2[[#This Row],[Form '#]],Table2[[#This Row],[Corrected Form '#
 (If Duplicated)]])</f>
        <v>7818-26574</v>
      </c>
      <c r="N637" s="1" t="s">
        <v>49</v>
      </c>
      <c r="O637" s="6" t="str">
        <f>IF(Table2[[#This Row],[POG CONFIRMATION RECEIPT OF ORDER
(DATE &amp; TIME)]]="","No Confirmation","Received Confirmation")</f>
        <v>Received Confirmation</v>
      </c>
      <c r="P637" s="6">
        <f ca="1">TODAY()-Table2[[#This Row],[DATE SENT TO POG]]</f>
        <v>290</v>
      </c>
      <c r="Q637" s="6" t="s">
        <v>5803</v>
      </c>
      <c r="R6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7" s="2" t="str">
        <f>_xlfn.XLOOKUP(Table2[[#This Row],[Adjusted Form '#]],'[2]IN PROGRESS'!$D:$D,'[2]IN PROGRESS'!$M:$M,"Not Found")</f>
        <v>Not Found</v>
      </c>
      <c r="U637" s="2" t="str">
        <f>_xlfn.XLOOKUP(Table2[[#This Row],[Adjusted Form '#]],[1]COMPLETED!$D:$D,[2]COMPLETED!$M:$M,"Not Found")</f>
        <v>Not Found</v>
      </c>
      <c r="V637" s="17" t="str">
        <f>_xlfn.XLOOKUP(Table2[[#This Row],[Adjusted Form '#]],[2]COMPLETED!$D:$D,[2]COMPLETED!$O:$O,"Not Found")</f>
        <v>Not Found</v>
      </c>
      <c r="W637" s="2" t="str">
        <f>_xlfn.XLOOKUP(Table2[[#This Row],[Adjusted Form '#]],[2]BILLED!$D:$D,[2]BILLED!$M:$M,"Not Found")</f>
        <v>1Z5063E0YW40208607</v>
      </c>
      <c r="X637" s="17" t="e">
        <f>_xlfn.XLOOKUP(Table2[[#This Row],[Adjusted Form '#]],[2]BILLED!$D:$D,[1]BILLED!$O:$O,"Not Found")</f>
        <v>#REF!</v>
      </c>
      <c r="Y637" s="17" t="e">
        <f>_xlfn.XLOOKUP(Table2[[#This Row],[Adjusted Form '#]],'[2]REJECTED ORDERS'!$D:$D,'[2]REJECTED ORDERS'!$E:$E)</f>
        <v>#N/A</v>
      </c>
      <c r="Z637" s="1"/>
      <c r="AA637" s="1"/>
      <c r="AB637" s="8"/>
      <c r="AC637" s="8"/>
      <c r="AD637" s="8"/>
      <c r="AE637" s="8"/>
      <c r="AF637" s="8"/>
      <c r="AG637" s="8"/>
      <c r="AH637" s="8"/>
      <c r="AI637" s="8"/>
      <c r="AJ637" s="8"/>
    </row>
    <row r="638" spans="1:36" ht="15" customHeight="1" x14ac:dyDescent="0.35">
      <c r="A638" s="4" t="s">
        <v>964</v>
      </c>
      <c r="B638" s="1" t="s">
        <v>2579</v>
      </c>
      <c r="C638" s="11">
        <v>45013</v>
      </c>
      <c r="D638" s="11" t="s">
        <v>4926</v>
      </c>
      <c r="E638" s="1" t="s">
        <v>21</v>
      </c>
      <c r="F638" s="1" t="s">
        <v>4929</v>
      </c>
      <c r="G638" s="6">
        <f>COUNTIF(F:F,Table2[[#This Row],[Form '#]])</f>
        <v>1</v>
      </c>
      <c r="H638" s="1" t="s">
        <v>3174</v>
      </c>
      <c r="I638" s="1" t="s">
        <v>127</v>
      </c>
      <c r="J638" s="1" t="s">
        <v>76</v>
      </c>
      <c r="K638" s="1" t="s">
        <v>3883</v>
      </c>
      <c r="L638" s="1"/>
      <c r="M638" s="6" t="str">
        <f>IF(Table2[[#This Row],[Corrected Form '#
 (If Duplicated)]]="",Table2[[#This Row],[Form '#]],Table2[[#This Row],[Corrected Form '#
 (If Duplicated)]])</f>
        <v>7818-17244</v>
      </c>
      <c r="N638" s="1" t="s">
        <v>49</v>
      </c>
      <c r="O638" s="6" t="str">
        <f>IF(Table2[[#This Row],[POG CONFIRMATION RECEIPT OF ORDER
(DATE &amp; TIME)]]="","No Confirmation","Received Confirmation")</f>
        <v>Received Confirmation</v>
      </c>
      <c r="P638" s="6">
        <f ca="1">TODAY()-Table2[[#This Row],[DATE SENT TO POG]]</f>
        <v>290</v>
      </c>
      <c r="Q638" s="6" t="s">
        <v>5803</v>
      </c>
      <c r="R6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8" s="2" t="str">
        <f>_xlfn.XLOOKUP(Table2[[#This Row],[Adjusted Form '#]],'[2]IN PROGRESS'!$D:$D,'[2]IN PROGRESS'!$M:$M,"Not Found")</f>
        <v>Not Found</v>
      </c>
      <c r="U638" s="2" t="str">
        <f>_xlfn.XLOOKUP(Table2[[#This Row],[Adjusted Form '#]],[1]COMPLETED!$D:$D,[2]COMPLETED!$M:$M,"Not Found")</f>
        <v>Not Found</v>
      </c>
      <c r="V638" s="17" t="str">
        <f>_xlfn.XLOOKUP(Table2[[#This Row],[Adjusted Form '#]],[2]COMPLETED!$D:$D,[2]COMPLETED!$O:$O,"Not Found")</f>
        <v>Not Found</v>
      </c>
      <c r="W638" s="2" t="str">
        <f>_xlfn.XLOOKUP(Table2[[#This Row],[Adjusted Form '#]],[2]BILLED!$D:$D,[2]BILLED!$M:$M,"Not Found")</f>
        <v>1Z5063E0YW40479431</v>
      </c>
      <c r="X638" s="17" t="e">
        <f>_xlfn.XLOOKUP(Table2[[#This Row],[Adjusted Form '#]],[2]BILLED!$D:$D,[1]BILLED!$O:$O,"Not Found")</f>
        <v>#REF!</v>
      </c>
      <c r="Y638" s="17" t="e">
        <f>_xlfn.XLOOKUP(Table2[[#This Row],[Adjusted Form '#]],'[2]REJECTED ORDERS'!$D:$D,'[2]REJECTED ORDERS'!$E:$E)</f>
        <v>#N/A</v>
      </c>
      <c r="Z638" s="1"/>
      <c r="AA638" s="1"/>
      <c r="AB638" s="8"/>
      <c r="AC638" s="8"/>
      <c r="AD638" s="8"/>
      <c r="AE638" s="8"/>
      <c r="AF638" s="8"/>
      <c r="AG638" s="8"/>
      <c r="AH638" s="8"/>
      <c r="AI638" s="8"/>
      <c r="AJ638" s="8"/>
    </row>
    <row r="639" spans="1:36" ht="15" customHeight="1" x14ac:dyDescent="0.35">
      <c r="A639" s="4" t="s">
        <v>965</v>
      </c>
      <c r="B639" s="1" t="s">
        <v>2579</v>
      </c>
      <c r="C639" s="11">
        <v>45013</v>
      </c>
      <c r="D639" s="11" t="s">
        <v>4926</v>
      </c>
      <c r="E639" s="1" t="s">
        <v>21</v>
      </c>
      <c r="F639" s="1" t="s">
        <v>4930</v>
      </c>
      <c r="G639" s="6">
        <f>COUNTIF(F:F,Table2[[#This Row],[Form '#]])</f>
        <v>1</v>
      </c>
      <c r="H639" s="1" t="s">
        <v>1669</v>
      </c>
      <c r="I639" s="1" t="s">
        <v>3852</v>
      </c>
      <c r="J639" s="1" t="s">
        <v>75</v>
      </c>
      <c r="K639" s="1" t="s">
        <v>3853</v>
      </c>
      <c r="L639" s="1"/>
      <c r="M639" s="6" t="str">
        <f>IF(Table2[[#This Row],[Corrected Form '#
 (If Duplicated)]]="",Table2[[#This Row],[Form '#]],Table2[[#This Row],[Corrected Form '#
 (If Duplicated)]])</f>
        <v>7818-18012</v>
      </c>
      <c r="N639" s="1" t="s">
        <v>49</v>
      </c>
      <c r="O639" s="6" t="str">
        <f>IF(Table2[[#This Row],[POG CONFIRMATION RECEIPT OF ORDER
(DATE &amp; TIME)]]="","No Confirmation","Received Confirmation")</f>
        <v>Received Confirmation</v>
      </c>
      <c r="P639" s="6">
        <f ca="1">TODAY()-Table2[[#This Row],[DATE SENT TO POG]]</f>
        <v>290</v>
      </c>
      <c r="Q639" s="6" t="s">
        <v>5803</v>
      </c>
      <c r="R6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39" s="2" t="str">
        <f>_xlfn.XLOOKUP(Table2[[#This Row],[Adjusted Form '#]],'[2]IN PROGRESS'!$D:$D,'[2]IN PROGRESS'!$M:$M,"Not Found")</f>
        <v>Not Found</v>
      </c>
      <c r="U639" s="2" t="str">
        <f>_xlfn.XLOOKUP(Table2[[#This Row],[Adjusted Form '#]],[1]COMPLETED!$D:$D,[2]COMPLETED!$M:$M,"Not Found")</f>
        <v>Not Found</v>
      </c>
      <c r="V639" s="17" t="str">
        <f>_xlfn.XLOOKUP(Table2[[#This Row],[Adjusted Form '#]],[2]COMPLETED!$D:$D,[2]COMPLETED!$O:$O,"Not Found")</f>
        <v>Not Found</v>
      </c>
      <c r="W639" s="2" t="str">
        <f>_xlfn.XLOOKUP(Table2[[#This Row],[Adjusted Form '#]],[2]BILLED!$D:$D,[2]BILLED!$M:$M,"Not Found")</f>
        <v>1Z5063E0YW41247966</v>
      </c>
      <c r="X639" s="17" t="e">
        <f>_xlfn.XLOOKUP(Table2[[#This Row],[Adjusted Form '#]],[2]BILLED!$D:$D,[1]BILLED!$O:$O,"Not Found")</f>
        <v>#REF!</v>
      </c>
      <c r="Y639" s="17" t="e">
        <f>_xlfn.XLOOKUP(Table2[[#This Row],[Adjusted Form '#]],'[2]REJECTED ORDERS'!$D:$D,'[2]REJECTED ORDERS'!$E:$E)</f>
        <v>#N/A</v>
      </c>
      <c r="Z639" s="1"/>
      <c r="AA639" s="1"/>
      <c r="AB639" s="8"/>
      <c r="AC639" s="8"/>
      <c r="AD639" s="8"/>
      <c r="AE639" s="8"/>
      <c r="AF639" s="8"/>
      <c r="AG639" s="8"/>
      <c r="AH639" s="8"/>
      <c r="AI639" s="8"/>
      <c r="AJ639" s="8"/>
    </row>
    <row r="640" spans="1:36" ht="15" customHeight="1" x14ac:dyDescent="0.35">
      <c r="A640" s="4" t="s">
        <v>966</v>
      </c>
      <c r="B640" s="1" t="s">
        <v>2391</v>
      </c>
      <c r="C640" s="11">
        <v>45013</v>
      </c>
      <c r="D640" s="11" t="s">
        <v>4931</v>
      </c>
      <c r="E640" s="1" t="s">
        <v>21</v>
      </c>
      <c r="F640" s="1" t="s">
        <v>4932</v>
      </c>
      <c r="G640" s="6">
        <f>COUNTIF(F:F,Table2[[#This Row],[Form '#]])</f>
        <v>1</v>
      </c>
      <c r="H640" s="1" t="s">
        <v>4933</v>
      </c>
      <c r="I640" s="1" t="s">
        <v>127</v>
      </c>
      <c r="J640" s="1" t="s">
        <v>76</v>
      </c>
      <c r="K640" s="1" t="s">
        <v>3883</v>
      </c>
      <c r="L640" s="1"/>
      <c r="M640" s="6" t="str">
        <f>IF(Table2[[#This Row],[Corrected Form '#
 (If Duplicated)]]="",Table2[[#This Row],[Form '#]],Table2[[#This Row],[Corrected Form '#
 (If Duplicated)]])</f>
        <v>7818-18770</v>
      </c>
      <c r="N640" s="1" t="s">
        <v>49</v>
      </c>
      <c r="O640" s="6" t="str">
        <f>IF(Table2[[#This Row],[POG CONFIRMATION RECEIPT OF ORDER
(DATE &amp; TIME)]]="","No Confirmation","Received Confirmation")</f>
        <v>Received Confirmation</v>
      </c>
      <c r="P640" s="6">
        <f ca="1">TODAY()-Table2[[#This Row],[DATE SENT TO POG]]</f>
        <v>290</v>
      </c>
      <c r="Q640" s="6" t="s">
        <v>5803</v>
      </c>
      <c r="R6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0" s="2" t="str">
        <f>_xlfn.XLOOKUP(Table2[[#This Row],[Adjusted Form '#]],'[2]IN PROGRESS'!$D:$D,'[2]IN PROGRESS'!$M:$M,"Not Found")</f>
        <v>Not Found</v>
      </c>
      <c r="U640" s="2" t="str">
        <f>_xlfn.XLOOKUP(Table2[[#This Row],[Adjusted Form '#]],[1]COMPLETED!$D:$D,[2]COMPLETED!$M:$M,"Not Found")</f>
        <v>Not Found</v>
      </c>
      <c r="V640" s="17" t="str">
        <f>_xlfn.XLOOKUP(Table2[[#This Row],[Adjusted Form '#]],[2]COMPLETED!$D:$D,[2]COMPLETED!$O:$O,"Not Found")</f>
        <v>Not Found</v>
      </c>
      <c r="W640" s="2" t="str">
        <f>_xlfn.XLOOKUP(Table2[[#This Row],[Adjusted Form '#]],[2]BILLED!$D:$D,[2]BILLED!$M:$M,"Not Found")</f>
        <v>1Z5063E0YW42627599</v>
      </c>
      <c r="X640" s="17" t="e">
        <f>_xlfn.XLOOKUP(Table2[[#This Row],[Adjusted Form '#]],[2]BILLED!$D:$D,[1]BILLED!$O:$O,"Not Found")</f>
        <v>#REF!</v>
      </c>
      <c r="Y640" s="17" t="e">
        <f>_xlfn.XLOOKUP(Table2[[#This Row],[Adjusted Form '#]],'[2]REJECTED ORDERS'!$D:$D,'[2]REJECTED ORDERS'!$E:$E)</f>
        <v>#N/A</v>
      </c>
      <c r="Z640" s="1"/>
      <c r="AA640" s="1"/>
      <c r="AB640" s="8"/>
      <c r="AC640" s="8"/>
      <c r="AD640" s="8"/>
      <c r="AE640" s="8"/>
      <c r="AF640" s="8"/>
      <c r="AG640" s="8"/>
      <c r="AH640" s="8"/>
      <c r="AI640" s="8"/>
      <c r="AJ640" s="8"/>
    </row>
    <row r="641" spans="1:36" ht="15" customHeight="1" x14ac:dyDescent="0.35">
      <c r="A641" s="4" t="s">
        <v>967</v>
      </c>
      <c r="B641" s="1" t="s">
        <v>2065</v>
      </c>
      <c r="C641" s="11">
        <v>45014</v>
      </c>
      <c r="D641" s="11" t="s">
        <v>4934</v>
      </c>
      <c r="E641" s="1" t="s">
        <v>14</v>
      </c>
      <c r="F641" s="1" t="s">
        <v>4935</v>
      </c>
      <c r="G641" s="6">
        <f>COUNTIF(F:F,Table2[[#This Row],[Form '#]])</f>
        <v>1</v>
      </c>
      <c r="H641" s="1" t="s">
        <v>3577</v>
      </c>
      <c r="I641" s="1" t="s">
        <v>28</v>
      </c>
      <c r="J641" s="1" t="s">
        <v>4849</v>
      </c>
      <c r="K641" s="1" t="s">
        <v>4011</v>
      </c>
      <c r="L641" s="1"/>
      <c r="M641" s="6" t="str">
        <f>IF(Table2[[#This Row],[Corrected Form '#
 (If Duplicated)]]="",Table2[[#This Row],[Form '#]],Table2[[#This Row],[Corrected Form '#
 (If Duplicated)]])</f>
        <v>7810-01805</v>
      </c>
      <c r="N641" s="1" t="s">
        <v>49</v>
      </c>
      <c r="O641" s="6" t="str">
        <f>IF(Table2[[#This Row],[POG CONFIRMATION RECEIPT OF ORDER
(DATE &amp; TIME)]]="","No Confirmation","Received Confirmation")</f>
        <v>Received Confirmation</v>
      </c>
      <c r="P641" s="6">
        <f ca="1">TODAY()-Table2[[#This Row],[DATE SENT TO POG]]</f>
        <v>289</v>
      </c>
      <c r="Q641" s="6" t="s">
        <v>5803</v>
      </c>
      <c r="R6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1" s="2" t="str">
        <f>_xlfn.XLOOKUP(Table2[[#This Row],[Adjusted Form '#]],'[2]IN PROGRESS'!$D:$D,'[2]IN PROGRESS'!$M:$M,"Not Found")</f>
        <v>Not Found</v>
      </c>
      <c r="U641" s="2" t="str">
        <f>_xlfn.XLOOKUP(Table2[[#This Row],[Adjusted Form '#]],[1]COMPLETED!$D:$D,[2]COMPLETED!$M:$M,"Not Found")</f>
        <v>Not Found</v>
      </c>
      <c r="V641" s="17" t="str">
        <f>_xlfn.XLOOKUP(Table2[[#This Row],[Adjusted Form '#]],[2]COMPLETED!$D:$D,[2]COMPLETED!$O:$O,"Not Found")</f>
        <v>Not Found</v>
      </c>
      <c r="W641" s="2" t="str">
        <f>_xlfn.XLOOKUP(Table2[[#This Row],[Adjusted Form '#]],[2]BILLED!$D:$D,[2]BILLED!$M:$M,"Not Found")</f>
        <v>1Z5063E0YW40370931</v>
      </c>
      <c r="X641" s="17" t="e">
        <f>_xlfn.XLOOKUP(Table2[[#This Row],[Adjusted Form '#]],[2]BILLED!$D:$D,[1]BILLED!$O:$O,"Not Found")</f>
        <v>#REF!</v>
      </c>
      <c r="Y641" s="17" t="e">
        <f>_xlfn.XLOOKUP(Table2[[#This Row],[Adjusted Form '#]],'[2]REJECTED ORDERS'!$D:$D,'[2]REJECTED ORDERS'!$E:$E)</f>
        <v>#N/A</v>
      </c>
      <c r="Z641" s="1"/>
      <c r="AA641" s="1"/>
      <c r="AB641" s="8"/>
      <c r="AC641" s="8"/>
      <c r="AD641" s="8"/>
      <c r="AE641" s="8"/>
      <c r="AF641" s="8"/>
      <c r="AG641" s="8"/>
      <c r="AH641" s="8"/>
      <c r="AI641" s="8"/>
      <c r="AJ641" s="8"/>
    </row>
    <row r="642" spans="1:36" ht="15" customHeight="1" x14ac:dyDescent="0.35">
      <c r="A642" s="4" t="s">
        <v>969</v>
      </c>
      <c r="B642" s="1" t="s">
        <v>1786</v>
      </c>
      <c r="C642" s="11">
        <v>45014</v>
      </c>
      <c r="D642" s="11" t="s">
        <v>4934</v>
      </c>
      <c r="E642" s="1" t="s">
        <v>21</v>
      </c>
      <c r="F642" s="1" t="s">
        <v>4936</v>
      </c>
      <c r="G642" s="6">
        <f>COUNTIF(F:F,Table2[[#This Row],[Form '#]])</f>
        <v>1</v>
      </c>
      <c r="H642" s="1" t="s">
        <v>4937</v>
      </c>
      <c r="I642" s="1" t="s">
        <v>127</v>
      </c>
      <c r="J642" s="1" t="s">
        <v>71</v>
      </c>
      <c r="K642" s="1" t="s">
        <v>3883</v>
      </c>
      <c r="L642" s="1"/>
      <c r="M642" s="6" t="str">
        <f>IF(Table2[[#This Row],[Corrected Form '#
 (If Duplicated)]]="",Table2[[#This Row],[Form '#]],Table2[[#This Row],[Corrected Form '#
 (If Duplicated)]])</f>
        <v>7818-25489</v>
      </c>
      <c r="N642" s="1" t="s">
        <v>49</v>
      </c>
      <c r="O642" s="6" t="str">
        <f>IF(Table2[[#This Row],[POG CONFIRMATION RECEIPT OF ORDER
(DATE &amp; TIME)]]="","No Confirmation","Received Confirmation")</f>
        <v>Received Confirmation</v>
      </c>
      <c r="P642" s="6">
        <f ca="1">TODAY()-Table2[[#This Row],[DATE SENT TO POG]]</f>
        <v>289</v>
      </c>
      <c r="Q642" s="6" t="s">
        <v>5803</v>
      </c>
      <c r="R6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2" s="2" t="str">
        <f>_xlfn.XLOOKUP(Table2[[#This Row],[Adjusted Form '#]],'[2]IN PROGRESS'!$D:$D,'[2]IN PROGRESS'!$M:$M,"Not Found")</f>
        <v>Not Found</v>
      </c>
      <c r="U642" s="2" t="str">
        <f>_xlfn.XLOOKUP(Table2[[#This Row],[Adjusted Form '#]],[1]COMPLETED!$D:$D,[2]COMPLETED!$M:$M,"Not Found")</f>
        <v>Not Found</v>
      </c>
      <c r="V642" s="17" t="str">
        <f>_xlfn.XLOOKUP(Table2[[#This Row],[Adjusted Form '#]],[2]COMPLETED!$D:$D,[2]COMPLETED!$O:$O,"Not Found")</f>
        <v>Not Found</v>
      </c>
      <c r="W642" s="2" t="str">
        <f>_xlfn.XLOOKUP(Table2[[#This Row],[Adjusted Form '#]],[2]BILLED!$D:$D,[2]BILLED!$M:$M,"Not Found")</f>
        <v>1Z5063E0YW40774371</v>
      </c>
      <c r="X642" s="17" t="e">
        <f>_xlfn.XLOOKUP(Table2[[#This Row],[Adjusted Form '#]],[2]BILLED!$D:$D,[1]BILLED!$O:$O,"Not Found")</f>
        <v>#REF!</v>
      </c>
      <c r="Y642" s="17" t="e">
        <f>_xlfn.XLOOKUP(Table2[[#This Row],[Adjusted Form '#]],'[2]REJECTED ORDERS'!$D:$D,'[2]REJECTED ORDERS'!$E:$E)</f>
        <v>#N/A</v>
      </c>
      <c r="Z642" s="1"/>
      <c r="AA642" s="1"/>
      <c r="AB642" s="8"/>
      <c r="AC642" s="8"/>
      <c r="AD642" s="8"/>
      <c r="AE642" s="8"/>
      <c r="AF642" s="8"/>
      <c r="AG642" s="8"/>
      <c r="AH642" s="8"/>
      <c r="AI642" s="8"/>
      <c r="AJ642" s="8"/>
    </row>
    <row r="643" spans="1:36" ht="15" customHeight="1" x14ac:dyDescent="0.35">
      <c r="A643" s="4" t="s">
        <v>971</v>
      </c>
      <c r="B643" s="1" t="s">
        <v>1786</v>
      </c>
      <c r="C643" s="11">
        <v>45014</v>
      </c>
      <c r="D643" s="11" t="s">
        <v>4934</v>
      </c>
      <c r="E643" s="1" t="s">
        <v>21</v>
      </c>
      <c r="F643" s="1" t="s">
        <v>4938</v>
      </c>
      <c r="G643" s="6">
        <f>COUNTIF(F:F,Table2[[#This Row],[Form '#]])</f>
        <v>1</v>
      </c>
      <c r="H643" s="1" t="s">
        <v>4939</v>
      </c>
      <c r="I643" s="1" t="s">
        <v>3864</v>
      </c>
      <c r="J643" s="1" t="s">
        <v>78</v>
      </c>
      <c r="K643" s="1" t="s">
        <v>3879</v>
      </c>
      <c r="L643" s="1"/>
      <c r="M643" s="6" t="str">
        <f>IF(Table2[[#This Row],[Corrected Form '#
 (If Duplicated)]]="",Table2[[#This Row],[Form '#]],Table2[[#This Row],[Corrected Form '#
 (If Duplicated)]])</f>
        <v>7818-25388</v>
      </c>
      <c r="N643" s="1" t="s">
        <v>49</v>
      </c>
      <c r="O643" s="6" t="str">
        <f>IF(Table2[[#This Row],[POG CONFIRMATION RECEIPT OF ORDER
(DATE &amp; TIME)]]="","No Confirmation","Received Confirmation")</f>
        <v>Received Confirmation</v>
      </c>
      <c r="P643" s="6">
        <f ca="1">TODAY()-Table2[[#This Row],[DATE SENT TO POG]]</f>
        <v>289</v>
      </c>
      <c r="Q643" s="6" t="s">
        <v>5803</v>
      </c>
      <c r="R6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3" s="2" t="str">
        <f>_xlfn.XLOOKUP(Table2[[#This Row],[Adjusted Form '#]],'[2]IN PROGRESS'!$D:$D,'[2]IN PROGRESS'!$M:$M,"Not Found")</f>
        <v>Not Found</v>
      </c>
      <c r="U643" s="2" t="str">
        <f>_xlfn.XLOOKUP(Table2[[#This Row],[Adjusted Form '#]],[1]COMPLETED!$D:$D,[2]COMPLETED!$M:$M,"Not Found")</f>
        <v>Not Found</v>
      </c>
      <c r="V643" s="17" t="str">
        <f>_xlfn.XLOOKUP(Table2[[#This Row],[Adjusted Form '#]],[2]COMPLETED!$D:$D,[2]COMPLETED!$O:$O,"Not Found")</f>
        <v>Not Found</v>
      </c>
      <c r="W643" s="2" t="str">
        <f>_xlfn.XLOOKUP(Table2[[#This Row],[Adjusted Form '#]],[2]BILLED!$D:$D,[2]BILLED!$M:$M,"Not Found")</f>
        <v>1Z5063E0YW40459515</v>
      </c>
      <c r="X643" s="17" t="e">
        <f>_xlfn.XLOOKUP(Table2[[#This Row],[Adjusted Form '#]],[2]BILLED!$D:$D,[1]BILLED!$O:$O,"Not Found")</f>
        <v>#REF!</v>
      </c>
      <c r="Y643" s="17" t="e">
        <f>_xlfn.XLOOKUP(Table2[[#This Row],[Adjusted Form '#]],'[2]REJECTED ORDERS'!$D:$D,'[2]REJECTED ORDERS'!$E:$E)</f>
        <v>#N/A</v>
      </c>
      <c r="Z643" s="1"/>
      <c r="AA643" s="1"/>
      <c r="AB643" s="8"/>
      <c r="AC643" s="8"/>
      <c r="AD643" s="8"/>
      <c r="AE643" s="8"/>
      <c r="AF643" s="8"/>
      <c r="AG643" s="8"/>
      <c r="AH643" s="8"/>
      <c r="AI643" s="8"/>
      <c r="AJ643" s="8"/>
    </row>
    <row r="644" spans="1:36" ht="15" customHeight="1" x14ac:dyDescent="0.35">
      <c r="A644" s="4" t="s">
        <v>973</v>
      </c>
      <c r="B644" s="1" t="s">
        <v>1786</v>
      </c>
      <c r="C644" s="11">
        <v>45014</v>
      </c>
      <c r="D644" s="11" t="s">
        <v>4934</v>
      </c>
      <c r="E644" s="1" t="s">
        <v>21</v>
      </c>
      <c r="F644" s="1" t="s">
        <v>4940</v>
      </c>
      <c r="G644" s="6">
        <f>COUNTIF(F:F,Table2[[#This Row],[Form '#]])</f>
        <v>2</v>
      </c>
      <c r="H644" s="1" t="s">
        <v>4941</v>
      </c>
      <c r="I644" s="1" t="s">
        <v>177</v>
      </c>
      <c r="J644" s="1" t="s">
        <v>75</v>
      </c>
      <c r="K644" s="1" t="s">
        <v>3853</v>
      </c>
      <c r="L644" s="1"/>
      <c r="M644" s="6" t="str">
        <f>IF(Table2[[#This Row],[Corrected Form '#
 (If Duplicated)]]="",Table2[[#This Row],[Form '#]],Table2[[#This Row],[Corrected Form '#
 (If Duplicated)]])</f>
        <v>7818-24716</v>
      </c>
      <c r="N644" s="1" t="s">
        <v>49</v>
      </c>
      <c r="O644" s="6" t="str">
        <f>IF(Table2[[#This Row],[POG CONFIRMATION RECEIPT OF ORDER
(DATE &amp; TIME)]]="","No Confirmation","Received Confirmation")</f>
        <v>Received Confirmation</v>
      </c>
      <c r="P644" s="6">
        <f ca="1">TODAY()-Table2[[#This Row],[DATE SENT TO POG]]</f>
        <v>289</v>
      </c>
      <c r="Q644" s="6" t="s">
        <v>5803</v>
      </c>
      <c r="R6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4" s="2" t="str">
        <f>_xlfn.XLOOKUP(Table2[[#This Row],[Adjusted Form '#]],'[2]IN PROGRESS'!$D:$D,'[2]IN PROGRESS'!$M:$M,"Not Found")</f>
        <v>Not Found</v>
      </c>
      <c r="U644" s="2" t="str">
        <f>_xlfn.XLOOKUP(Table2[[#This Row],[Adjusted Form '#]],[1]COMPLETED!$D:$D,[2]COMPLETED!$M:$M,"Not Found")</f>
        <v>Not Found</v>
      </c>
      <c r="V644" s="17" t="str">
        <f>_xlfn.XLOOKUP(Table2[[#This Row],[Adjusted Form '#]],[2]COMPLETED!$D:$D,[2]COMPLETED!$O:$O,"Not Found")</f>
        <v>Not Found</v>
      </c>
      <c r="W644" s="2" t="str">
        <f>_xlfn.XLOOKUP(Table2[[#This Row],[Adjusted Form '#]],[2]BILLED!$D:$D,[2]BILLED!$M:$M,"Not Found")</f>
        <v>1Z5063E0YW41279646</v>
      </c>
      <c r="X644" s="17" t="e">
        <f>_xlfn.XLOOKUP(Table2[[#This Row],[Adjusted Form '#]],[2]BILLED!$D:$D,[1]BILLED!$O:$O,"Not Found")</f>
        <v>#REF!</v>
      </c>
      <c r="Y644" s="17" t="e">
        <f>_xlfn.XLOOKUP(Table2[[#This Row],[Adjusted Form '#]],'[2]REJECTED ORDERS'!$D:$D,'[2]REJECTED ORDERS'!$E:$E)</f>
        <v>#N/A</v>
      </c>
      <c r="Z644" s="1"/>
      <c r="AA644" s="1"/>
      <c r="AB644" s="8"/>
      <c r="AC644" s="8"/>
      <c r="AD644" s="8"/>
      <c r="AE644" s="8"/>
      <c r="AF644" s="8"/>
      <c r="AG644" s="8"/>
      <c r="AH644" s="8"/>
      <c r="AI644" s="8"/>
      <c r="AJ644" s="8"/>
    </row>
    <row r="645" spans="1:36" ht="15" customHeight="1" x14ac:dyDescent="0.35">
      <c r="A645" s="4" t="s">
        <v>974</v>
      </c>
      <c r="B645" s="1" t="s">
        <v>1786</v>
      </c>
      <c r="C645" s="11">
        <v>45014</v>
      </c>
      <c r="D645" s="11" t="s">
        <v>4934</v>
      </c>
      <c r="E645" s="1" t="s">
        <v>21</v>
      </c>
      <c r="F645" s="1" t="s">
        <v>4942</v>
      </c>
      <c r="G645" s="6">
        <f>COUNTIF(F:F,Table2[[#This Row],[Form '#]])</f>
        <v>1</v>
      </c>
      <c r="H645" s="1" t="s">
        <v>4943</v>
      </c>
      <c r="I645" s="1" t="s">
        <v>127</v>
      </c>
      <c r="J645" s="1" t="s">
        <v>76</v>
      </c>
      <c r="K645" s="1" t="s">
        <v>3883</v>
      </c>
      <c r="L645" s="1"/>
      <c r="M645" s="6" t="str">
        <f>IF(Table2[[#This Row],[Corrected Form '#
 (If Duplicated)]]="",Table2[[#This Row],[Form '#]],Table2[[#This Row],[Corrected Form '#
 (If Duplicated)]])</f>
        <v>7818-15316</v>
      </c>
      <c r="N645" s="1" t="s">
        <v>49</v>
      </c>
      <c r="O645" s="6" t="str">
        <f>IF(Table2[[#This Row],[POG CONFIRMATION RECEIPT OF ORDER
(DATE &amp; TIME)]]="","No Confirmation","Received Confirmation")</f>
        <v>Received Confirmation</v>
      </c>
      <c r="P645" s="6">
        <f ca="1">TODAY()-Table2[[#This Row],[DATE SENT TO POG]]</f>
        <v>289</v>
      </c>
      <c r="Q645" s="6" t="s">
        <v>5803</v>
      </c>
      <c r="R6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5" s="2" t="str">
        <f>_xlfn.XLOOKUP(Table2[[#This Row],[Adjusted Form '#]],'[2]IN PROGRESS'!$D:$D,'[2]IN PROGRESS'!$M:$M,"Not Found")</f>
        <v>Not Found</v>
      </c>
      <c r="U645" s="2" t="str">
        <f>_xlfn.XLOOKUP(Table2[[#This Row],[Adjusted Form '#]],[1]COMPLETED!$D:$D,[2]COMPLETED!$M:$M,"Not Found")</f>
        <v>Not Found</v>
      </c>
      <c r="V645" s="17" t="str">
        <f>_xlfn.XLOOKUP(Table2[[#This Row],[Adjusted Form '#]],[2]COMPLETED!$D:$D,[2]COMPLETED!$O:$O,"Not Found")</f>
        <v>Not Found</v>
      </c>
      <c r="W645" s="2" t="str">
        <f>_xlfn.XLOOKUP(Table2[[#This Row],[Adjusted Form '#]],[2]BILLED!$D:$D,[2]BILLED!$M:$M,"Not Found")</f>
        <v>9402 1112 0620 7777 4812 36</v>
      </c>
      <c r="X645" s="17" t="e">
        <f>_xlfn.XLOOKUP(Table2[[#This Row],[Adjusted Form '#]],[2]BILLED!$D:$D,[1]BILLED!$O:$O,"Not Found")</f>
        <v>#REF!</v>
      </c>
      <c r="Y645" s="17" t="str">
        <f>_xlfn.XLOOKUP(Table2[[#This Row],[Adjusted Form '#]],'[2]REJECTED ORDERS'!$D:$D,'[2]REJECTED ORDERS'!$E:$E)</f>
        <v>FORM NOT SIGNED</v>
      </c>
      <c r="Z645" s="1"/>
      <c r="AA645" s="1"/>
      <c r="AB645" s="8"/>
      <c r="AC645" s="8"/>
      <c r="AD645" s="8"/>
      <c r="AE645" s="8"/>
      <c r="AF645" s="8"/>
      <c r="AG645" s="8"/>
      <c r="AH645" s="8"/>
      <c r="AI645" s="8"/>
      <c r="AJ645" s="8"/>
    </row>
    <row r="646" spans="1:36" ht="15" customHeight="1" x14ac:dyDescent="0.35">
      <c r="A646" s="4" t="s">
        <v>976</v>
      </c>
      <c r="B646" s="1" t="s">
        <v>1786</v>
      </c>
      <c r="C646" s="11">
        <v>45014</v>
      </c>
      <c r="D646" s="11" t="s">
        <v>4934</v>
      </c>
      <c r="E646" s="1" t="s">
        <v>21</v>
      </c>
      <c r="F646" s="1" t="s">
        <v>4944</v>
      </c>
      <c r="G646" s="6">
        <f>COUNTIF(F:F,Table2[[#This Row],[Form '#]])</f>
        <v>1</v>
      </c>
      <c r="H646" s="1" t="s">
        <v>4945</v>
      </c>
      <c r="I646" s="1" t="s">
        <v>3864</v>
      </c>
      <c r="J646" s="1" t="s">
        <v>78</v>
      </c>
      <c r="K646" s="1" t="s">
        <v>3879</v>
      </c>
      <c r="L646" s="1"/>
      <c r="M646" s="6" t="str">
        <f>IF(Table2[[#This Row],[Corrected Form '#
 (If Duplicated)]]="",Table2[[#This Row],[Form '#]],Table2[[#This Row],[Corrected Form '#
 (If Duplicated)]])</f>
        <v>7818-23250</v>
      </c>
      <c r="N646" s="1" t="s">
        <v>49</v>
      </c>
      <c r="O646" s="6" t="str">
        <f>IF(Table2[[#This Row],[POG CONFIRMATION RECEIPT OF ORDER
(DATE &amp; TIME)]]="","No Confirmation","Received Confirmation")</f>
        <v>Received Confirmation</v>
      </c>
      <c r="P646" s="6">
        <f ca="1">TODAY()-Table2[[#This Row],[DATE SENT TO POG]]</f>
        <v>289</v>
      </c>
      <c r="Q646" s="6" t="s">
        <v>5803</v>
      </c>
      <c r="R6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6" s="2" t="str">
        <f>_xlfn.XLOOKUP(Table2[[#This Row],[Adjusted Form '#]],'[2]IN PROGRESS'!$D:$D,'[2]IN PROGRESS'!$M:$M,"Not Found")</f>
        <v>Not Found</v>
      </c>
      <c r="U646" s="2" t="str">
        <f>_xlfn.XLOOKUP(Table2[[#This Row],[Adjusted Form '#]],[1]COMPLETED!$D:$D,[2]COMPLETED!$M:$M,"Not Found")</f>
        <v>Not Found</v>
      </c>
      <c r="V646" s="17" t="str">
        <f>_xlfn.XLOOKUP(Table2[[#This Row],[Adjusted Form '#]],[2]COMPLETED!$D:$D,[2]COMPLETED!$O:$O,"Not Found")</f>
        <v>Not Found</v>
      </c>
      <c r="W646" s="2" t="str">
        <f>_xlfn.XLOOKUP(Table2[[#This Row],[Adjusted Form '#]],[2]BILLED!$D:$D,[2]BILLED!$M:$M,"Not Found")</f>
        <v>1Z5063E0YW41137594</v>
      </c>
      <c r="X646" s="17" t="e">
        <f>_xlfn.XLOOKUP(Table2[[#This Row],[Adjusted Form '#]],[2]BILLED!$D:$D,[1]BILLED!$O:$O,"Not Found")</f>
        <v>#REF!</v>
      </c>
      <c r="Y646" s="17" t="e">
        <f>_xlfn.XLOOKUP(Table2[[#This Row],[Adjusted Form '#]],'[2]REJECTED ORDERS'!$D:$D,'[2]REJECTED ORDERS'!$E:$E)</f>
        <v>#N/A</v>
      </c>
      <c r="Z646" s="1"/>
      <c r="AA646" s="1"/>
      <c r="AB646" s="8"/>
      <c r="AC646" s="8"/>
      <c r="AD646" s="8"/>
      <c r="AE646" s="8"/>
      <c r="AF646" s="8"/>
      <c r="AG646" s="8"/>
      <c r="AH646" s="8"/>
      <c r="AI646" s="8"/>
      <c r="AJ646" s="8"/>
    </row>
    <row r="647" spans="1:36" ht="15" customHeight="1" x14ac:dyDescent="0.35">
      <c r="A647" s="4" t="s">
        <v>977</v>
      </c>
      <c r="B647" s="1" t="s">
        <v>3295</v>
      </c>
      <c r="C647" s="11">
        <v>45014</v>
      </c>
      <c r="D647" s="11" t="s">
        <v>4934</v>
      </c>
      <c r="E647" s="1" t="s">
        <v>64</v>
      </c>
      <c r="F647" s="1" t="s">
        <v>4946</v>
      </c>
      <c r="G647" s="6">
        <f>COUNTIF(F:F,Table2[[#This Row],[Form '#]])</f>
        <v>1</v>
      </c>
      <c r="H647" s="1" t="s">
        <v>3647</v>
      </c>
      <c r="I647" s="1" t="s">
        <v>3852</v>
      </c>
      <c r="J647" s="1" t="s">
        <v>75</v>
      </c>
      <c r="K647" s="1" t="s">
        <v>3853</v>
      </c>
      <c r="L647" s="1"/>
      <c r="M647" s="6" t="str">
        <f>IF(Table2[[#This Row],[Corrected Form '#
 (If Duplicated)]]="",Table2[[#This Row],[Form '#]],Table2[[#This Row],[Corrected Form '#
 (If Duplicated)]])</f>
        <v>7824-00366</v>
      </c>
      <c r="N647" s="1" t="s">
        <v>49</v>
      </c>
      <c r="O647" s="6" t="str">
        <f>IF(Table2[[#This Row],[POG CONFIRMATION RECEIPT OF ORDER
(DATE &amp; TIME)]]="","No Confirmation","Received Confirmation")</f>
        <v>Received Confirmation</v>
      </c>
      <c r="P647" s="6">
        <f ca="1">TODAY()-Table2[[#This Row],[DATE SENT TO POG]]</f>
        <v>289</v>
      </c>
      <c r="Q647" s="6" t="s">
        <v>5803</v>
      </c>
      <c r="R6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7" s="2" t="str">
        <f>_xlfn.XLOOKUP(Table2[[#This Row],[Adjusted Form '#]],'[2]IN PROGRESS'!$D:$D,'[2]IN PROGRESS'!$M:$M,"Not Found")</f>
        <v>Not Found</v>
      </c>
      <c r="U647" s="2" t="str">
        <f>_xlfn.XLOOKUP(Table2[[#This Row],[Adjusted Form '#]],[1]COMPLETED!$D:$D,[2]COMPLETED!$M:$M,"Not Found")</f>
        <v>Not Found</v>
      </c>
      <c r="V647" s="17" t="str">
        <f>_xlfn.XLOOKUP(Table2[[#This Row],[Adjusted Form '#]],[2]COMPLETED!$D:$D,[2]COMPLETED!$O:$O,"Not Found")</f>
        <v>Not Found</v>
      </c>
      <c r="W647" s="2" t="str">
        <f>_xlfn.XLOOKUP(Table2[[#This Row],[Adjusted Form '#]],[2]BILLED!$D:$D,[2]BILLED!$M:$M,"Not Found")</f>
        <v>9400 1112 0620 7776 6079 74</v>
      </c>
      <c r="X647" s="17" t="e">
        <f>_xlfn.XLOOKUP(Table2[[#This Row],[Adjusted Form '#]],[2]BILLED!$D:$D,[1]BILLED!$O:$O,"Not Found")</f>
        <v>#REF!</v>
      </c>
      <c r="Y647" s="17" t="e">
        <f>_xlfn.XLOOKUP(Table2[[#This Row],[Adjusted Form '#]],'[2]REJECTED ORDERS'!$D:$D,'[2]REJECTED ORDERS'!$E:$E)</f>
        <v>#N/A</v>
      </c>
      <c r="Z647" s="1"/>
      <c r="AA647" s="1"/>
      <c r="AB647" s="8"/>
      <c r="AC647" s="8"/>
      <c r="AD647" s="8"/>
      <c r="AE647" s="8"/>
      <c r="AF647" s="8"/>
      <c r="AG647" s="8"/>
      <c r="AH647" s="8"/>
      <c r="AI647" s="8"/>
      <c r="AJ647" s="8"/>
    </row>
    <row r="648" spans="1:36" ht="15" customHeight="1" x14ac:dyDescent="0.35">
      <c r="A648" s="4" t="s">
        <v>978</v>
      </c>
      <c r="B648" s="1" t="s">
        <v>3295</v>
      </c>
      <c r="C648" s="11">
        <v>45014</v>
      </c>
      <c r="D648" s="11" t="s">
        <v>4934</v>
      </c>
      <c r="E648" s="1" t="s">
        <v>64</v>
      </c>
      <c r="F648" s="1" t="s">
        <v>4947</v>
      </c>
      <c r="G648" s="6">
        <f>COUNTIF(F:F,Table2[[#This Row],[Form '#]])</f>
        <v>1</v>
      </c>
      <c r="H648" s="1" t="s">
        <v>4948</v>
      </c>
      <c r="I648" s="1" t="s">
        <v>28</v>
      </c>
      <c r="J648" s="1" t="s">
        <v>69</v>
      </c>
      <c r="K648" s="1" t="s">
        <v>4631</v>
      </c>
      <c r="L648" s="1"/>
      <c r="M648" s="6" t="str">
        <f>IF(Table2[[#This Row],[Corrected Form '#
 (If Duplicated)]]="",Table2[[#This Row],[Form '#]],Table2[[#This Row],[Corrected Form '#
 (If Duplicated)]])</f>
        <v>7824-00364</v>
      </c>
      <c r="N648" s="1" t="s">
        <v>49</v>
      </c>
      <c r="O648" s="6" t="str">
        <f>IF(Table2[[#This Row],[POG CONFIRMATION RECEIPT OF ORDER
(DATE &amp; TIME)]]="","No Confirmation","Received Confirmation")</f>
        <v>Received Confirmation</v>
      </c>
      <c r="P648" s="6">
        <f ca="1">TODAY()-Table2[[#This Row],[DATE SENT TO POG]]</f>
        <v>289</v>
      </c>
      <c r="Q648" s="6" t="s">
        <v>5803</v>
      </c>
      <c r="R6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8" s="2" t="str">
        <f>_xlfn.XLOOKUP(Table2[[#This Row],[Adjusted Form '#]],'[2]IN PROGRESS'!$D:$D,'[2]IN PROGRESS'!$M:$M,"Not Found")</f>
        <v>Not Found</v>
      </c>
      <c r="U648" s="2" t="str">
        <f>_xlfn.XLOOKUP(Table2[[#This Row],[Adjusted Form '#]],[1]COMPLETED!$D:$D,[2]COMPLETED!$M:$M,"Not Found")</f>
        <v>Not Found</v>
      </c>
      <c r="V648" s="17" t="str">
        <f>_xlfn.XLOOKUP(Table2[[#This Row],[Adjusted Form '#]],[2]COMPLETED!$D:$D,[2]COMPLETED!$O:$O,"Not Found")</f>
        <v>Not Found</v>
      </c>
      <c r="W648" s="2" t="str">
        <f>_xlfn.XLOOKUP(Table2[[#This Row],[Adjusted Form '#]],[2]BILLED!$D:$D,[2]BILLED!$M:$M,"Not Found")</f>
        <v>1Z5063E0YW41989834</v>
      </c>
      <c r="X648" s="17" t="e">
        <f>_xlfn.XLOOKUP(Table2[[#This Row],[Adjusted Form '#]],[2]BILLED!$D:$D,[1]BILLED!$O:$O,"Not Found")</f>
        <v>#REF!</v>
      </c>
      <c r="Y648" s="17" t="e">
        <f>_xlfn.XLOOKUP(Table2[[#This Row],[Adjusted Form '#]],'[2]REJECTED ORDERS'!$D:$D,'[2]REJECTED ORDERS'!$E:$E)</f>
        <v>#N/A</v>
      </c>
      <c r="Z648" s="1"/>
      <c r="AA648" s="1"/>
      <c r="AB648" s="8"/>
      <c r="AC648" s="8"/>
      <c r="AD648" s="8"/>
      <c r="AE648" s="8"/>
      <c r="AF648" s="8"/>
      <c r="AG648" s="8"/>
      <c r="AH648" s="8"/>
      <c r="AI648" s="8"/>
      <c r="AJ648" s="8"/>
    </row>
    <row r="649" spans="1:36" ht="15" customHeight="1" x14ac:dyDescent="0.35">
      <c r="A649" s="4" t="s">
        <v>980</v>
      </c>
      <c r="B649" s="1" t="s">
        <v>3295</v>
      </c>
      <c r="C649" s="11">
        <v>45014</v>
      </c>
      <c r="D649" s="11" t="s">
        <v>4934</v>
      </c>
      <c r="E649" s="1" t="s">
        <v>64</v>
      </c>
      <c r="F649" s="1" t="s">
        <v>4949</v>
      </c>
      <c r="G649" s="6">
        <f>COUNTIF(F:F,Table2[[#This Row],[Form '#]])</f>
        <v>1</v>
      </c>
      <c r="H649" s="1" t="s">
        <v>4950</v>
      </c>
      <c r="I649" s="1" t="s">
        <v>3864</v>
      </c>
      <c r="J649" s="1" t="s">
        <v>3891</v>
      </c>
      <c r="K649" s="1" t="s">
        <v>3891</v>
      </c>
      <c r="L649" s="1"/>
      <c r="M649" s="6" t="str">
        <f>IF(Table2[[#This Row],[Corrected Form '#
 (If Duplicated)]]="",Table2[[#This Row],[Form '#]],Table2[[#This Row],[Corrected Form '#
 (If Duplicated)]])</f>
        <v>7824-00365</v>
      </c>
      <c r="N649" s="1" t="s">
        <v>49</v>
      </c>
      <c r="O649" s="6" t="str">
        <f>IF(Table2[[#This Row],[POG CONFIRMATION RECEIPT OF ORDER
(DATE &amp; TIME)]]="","No Confirmation","Received Confirmation")</f>
        <v>Received Confirmation</v>
      </c>
      <c r="P649" s="6">
        <f ca="1">TODAY()-Table2[[#This Row],[DATE SENT TO POG]]</f>
        <v>289</v>
      </c>
      <c r="Q649" s="6" t="s">
        <v>5803</v>
      </c>
      <c r="R6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49" s="2" t="str">
        <f>_xlfn.XLOOKUP(Table2[[#This Row],[Adjusted Form '#]],'[2]IN PROGRESS'!$D:$D,'[2]IN PROGRESS'!$M:$M,"Not Found")</f>
        <v>Not Found</v>
      </c>
      <c r="U649" s="2" t="str">
        <f>_xlfn.XLOOKUP(Table2[[#This Row],[Adjusted Form '#]],[1]COMPLETED!$D:$D,[2]COMPLETED!$M:$M,"Not Found")</f>
        <v>Not Found</v>
      </c>
      <c r="V649" s="17" t="str">
        <f>_xlfn.XLOOKUP(Table2[[#This Row],[Adjusted Form '#]],[2]COMPLETED!$D:$D,[2]COMPLETED!$O:$O,"Not Found")</f>
        <v>Not Found</v>
      </c>
      <c r="W649" s="2" t="str">
        <f>_xlfn.XLOOKUP(Table2[[#This Row],[Adjusted Form '#]],[2]BILLED!$D:$D,[2]BILLED!$M:$M,"Not Found")</f>
        <v>1Z5063E0YW42536017</v>
      </c>
      <c r="X649" s="17" t="e">
        <f>_xlfn.XLOOKUP(Table2[[#This Row],[Adjusted Form '#]],[2]BILLED!$D:$D,[1]BILLED!$O:$O,"Not Found")</f>
        <v>#REF!</v>
      </c>
      <c r="Y649" s="17" t="e">
        <f>_xlfn.XLOOKUP(Table2[[#This Row],[Adjusted Form '#]],'[2]REJECTED ORDERS'!$D:$D,'[2]REJECTED ORDERS'!$E:$E)</f>
        <v>#N/A</v>
      </c>
      <c r="Z649" s="1"/>
      <c r="AA649" s="1"/>
      <c r="AB649" s="8"/>
      <c r="AC649" s="8"/>
      <c r="AD649" s="8"/>
      <c r="AE649" s="8"/>
      <c r="AF649" s="8"/>
      <c r="AG649" s="8"/>
      <c r="AH649" s="8"/>
      <c r="AI649" s="8"/>
      <c r="AJ649" s="8"/>
    </row>
    <row r="650" spans="1:36" ht="15" customHeight="1" x14ac:dyDescent="0.35">
      <c r="A650" s="4" t="s">
        <v>981</v>
      </c>
      <c r="B650" s="1" t="s">
        <v>3295</v>
      </c>
      <c r="C650" s="11">
        <v>45014</v>
      </c>
      <c r="D650" s="11" t="s">
        <v>4934</v>
      </c>
      <c r="E650" s="1" t="s">
        <v>64</v>
      </c>
      <c r="F650" s="1" t="s">
        <v>4951</v>
      </c>
      <c r="G650" s="6">
        <f>COUNTIF(F:F,Table2[[#This Row],[Form '#]])</f>
        <v>1</v>
      </c>
      <c r="H650" s="1" t="s">
        <v>4953</v>
      </c>
      <c r="I650" s="1" t="s">
        <v>4952</v>
      </c>
      <c r="J650" s="1" t="s">
        <v>28</v>
      </c>
      <c r="K650" s="1" t="s">
        <v>3891</v>
      </c>
      <c r="L650" s="1"/>
      <c r="M650" s="6" t="str">
        <f>IF(Table2[[#This Row],[Corrected Form '#
 (If Duplicated)]]="",Table2[[#This Row],[Form '#]],Table2[[#This Row],[Corrected Form '#
 (If Duplicated)]])</f>
        <v>7824-00367</v>
      </c>
      <c r="N650" s="1" t="s">
        <v>49</v>
      </c>
      <c r="O650" s="6" t="str">
        <f>IF(Table2[[#This Row],[POG CONFIRMATION RECEIPT OF ORDER
(DATE &amp; TIME)]]="","No Confirmation","Received Confirmation")</f>
        <v>Received Confirmation</v>
      </c>
      <c r="P650" s="6">
        <f ca="1">TODAY()-Table2[[#This Row],[DATE SENT TO POG]]</f>
        <v>289</v>
      </c>
      <c r="Q650" s="6" t="s">
        <v>5803</v>
      </c>
      <c r="R6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0" s="2" t="str">
        <f>_xlfn.XLOOKUP(Table2[[#This Row],[Adjusted Form '#]],'[2]IN PROGRESS'!$D:$D,'[2]IN PROGRESS'!$M:$M,"Not Found")</f>
        <v>Not Found</v>
      </c>
      <c r="U650" s="2" t="str">
        <f>_xlfn.XLOOKUP(Table2[[#This Row],[Adjusted Form '#]],[1]COMPLETED!$D:$D,[2]COMPLETED!$M:$M,"Not Found")</f>
        <v>Not Found</v>
      </c>
      <c r="V650" s="17" t="str">
        <f>_xlfn.XLOOKUP(Table2[[#This Row],[Adjusted Form '#]],[2]COMPLETED!$D:$D,[2]COMPLETED!$O:$O,"Not Found")</f>
        <v>Not Found</v>
      </c>
      <c r="W650" s="2" t="str">
        <f>_xlfn.XLOOKUP(Table2[[#This Row],[Adjusted Form '#]],[2]BILLED!$D:$D,[2]BILLED!$M:$M,"Not Found")</f>
        <v>1Z5063E0YW41803891</v>
      </c>
      <c r="X650" s="17" t="e">
        <f>_xlfn.XLOOKUP(Table2[[#This Row],[Adjusted Form '#]],[2]BILLED!$D:$D,[1]BILLED!$O:$O,"Not Found")</f>
        <v>#REF!</v>
      </c>
      <c r="Y650" s="17" t="e">
        <f>_xlfn.XLOOKUP(Table2[[#This Row],[Adjusted Form '#]],'[2]REJECTED ORDERS'!$D:$D,'[2]REJECTED ORDERS'!$E:$E)</f>
        <v>#N/A</v>
      </c>
      <c r="Z650" s="1"/>
      <c r="AA650" s="1"/>
      <c r="AB650" s="8"/>
      <c r="AC650" s="8"/>
      <c r="AD650" s="8"/>
      <c r="AE650" s="8"/>
      <c r="AF650" s="8"/>
      <c r="AG650" s="8"/>
      <c r="AH650" s="8"/>
      <c r="AI650" s="8"/>
      <c r="AJ650" s="8"/>
    </row>
    <row r="651" spans="1:36" ht="15" customHeight="1" x14ac:dyDescent="0.35">
      <c r="A651" s="4" t="s">
        <v>982</v>
      </c>
      <c r="B651" s="1" t="s">
        <v>3295</v>
      </c>
      <c r="C651" s="11">
        <v>45014</v>
      </c>
      <c r="D651" s="11" t="s">
        <v>4934</v>
      </c>
      <c r="E651" s="1" t="s">
        <v>64</v>
      </c>
      <c r="F651" s="1" t="s">
        <v>4954</v>
      </c>
      <c r="G651" s="6">
        <f>COUNTIF(F:F,Table2[[#This Row],[Form '#]])</f>
        <v>1</v>
      </c>
      <c r="H651" s="1" t="s">
        <v>4955</v>
      </c>
      <c r="I651" s="1" t="s">
        <v>177</v>
      </c>
      <c r="J651" s="1" t="s">
        <v>3891</v>
      </c>
      <c r="K651" s="1" t="s">
        <v>3853</v>
      </c>
      <c r="L651" s="1"/>
      <c r="M651" s="6" t="str">
        <f>IF(Table2[[#This Row],[Corrected Form '#
 (If Duplicated)]]="",Table2[[#This Row],[Form '#]],Table2[[#This Row],[Corrected Form '#
 (If Duplicated)]])</f>
        <v>7824-00368</v>
      </c>
      <c r="N651" s="1" t="s">
        <v>49</v>
      </c>
      <c r="O651" s="6" t="str">
        <f>IF(Table2[[#This Row],[POG CONFIRMATION RECEIPT OF ORDER
(DATE &amp; TIME)]]="","No Confirmation","Received Confirmation")</f>
        <v>Received Confirmation</v>
      </c>
      <c r="P651" s="6">
        <f ca="1">TODAY()-Table2[[#This Row],[DATE SENT TO POG]]</f>
        <v>289</v>
      </c>
      <c r="Q651" s="6" t="s">
        <v>5803</v>
      </c>
      <c r="R6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1" s="2" t="str">
        <f>_xlfn.XLOOKUP(Table2[[#This Row],[Adjusted Form '#]],'[2]IN PROGRESS'!$D:$D,'[2]IN PROGRESS'!$M:$M,"Not Found")</f>
        <v>Not Found</v>
      </c>
      <c r="U651" s="2" t="str">
        <f>_xlfn.XLOOKUP(Table2[[#This Row],[Adjusted Form '#]],[1]COMPLETED!$D:$D,[2]COMPLETED!$M:$M,"Not Found")</f>
        <v>Not Found</v>
      </c>
      <c r="V651" s="17" t="str">
        <f>_xlfn.XLOOKUP(Table2[[#This Row],[Adjusted Form '#]],[2]COMPLETED!$D:$D,[2]COMPLETED!$O:$O,"Not Found")</f>
        <v>Not Found</v>
      </c>
      <c r="W651" s="2" t="str">
        <f>_xlfn.XLOOKUP(Table2[[#This Row],[Adjusted Form '#]],[2]BILLED!$D:$D,[2]BILLED!$M:$M,"Not Found")</f>
        <v>1Z5063E0YW41015064</v>
      </c>
      <c r="X651" s="17" t="e">
        <f>_xlfn.XLOOKUP(Table2[[#This Row],[Adjusted Form '#]],[2]BILLED!$D:$D,[1]BILLED!$O:$O,"Not Found")</f>
        <v>#REF!</v>
      </c>
      <c r="Y651" s="17" t="e">
        <f>_xlfn.XLOOKUP(Table2[[#This Row],[Adjusted Form '#]],'[2]REJECTED ORDERS'!$D:$D,'[2]REJECTED ORDERS'!$E:$E)</f>
        <v>#N/A</v>
      </c>
      <c r="Z651" s="1"/>
      <c r="AA651" s="1"/>
      <c r="AB651" s="8"/>
      <c r="AC651" s="8"/>
      <c r="AD651" s="8"/>
      <c r="AE651" s="8"/>
      <c r="AF651" s="8"/>
      <c r="AG651" s="8"/>
      <c r="AH651" s="8"/>
      <c r="AI651" s="8"/>
      <c r="AJ651" s="8"/>
    </row>
    <row r="652" spans="1:36" ht="15" customHeight="1" x14ac:dyDescent="0.35">
      <c r="A652" s="4" t="s">
        <v>984</v>
      </c>
      <c r="B652" s="1" t="s">
        <v>3295</v>
      </c>
      <c r="C652" s="11">
        <v>45014</v>
      </c>
      <c r="D652" s="11" t="s">
        <v>4934</v>
      </c>
      <c r="E652" s="1" t="s">
        <v>64</v>
      </c>
      <c r="F652" s="1" t="s">
        <v>4956</v>
      </c>
      <c r="G652" s="6">
        <f>COUNTIF(F:F,Table2[[#This Row],[Form '#]])</f>
        <v>1</v>
      </c>
      <c r="H652" s="1" t="s">
        <v>1243</v>
      </c>
      <c r="I652" s="1" t="s">
        <v>177</v>
      </c>
      <c r="J652" s="1" t="s">
        <v>75</v>
      </c>
      <c r="K652" s="1" t="s">
        <v>3853</v>
      </c>
      <c r="L652" s="1"/>
      <c r="M652" s="6" t="str">
        <f>IF(Table2[[#This Row],[Corrected Form '#
 (If Duplicated)]]="",Table2[[#This Row],[Form '#]],Table2[[#This Row],[Corrected Form '#
 (If Duplicated)]])</f>
        <v>7824-00403</v>
      </c>
      <c r="N652" s="1" t="s">
        <v>49</v>
      </c>
      <c r="O652" s="6" t="str">
        <f>IF(Table2[[#This Row],[POG CONFIRMATION RECEIPT OF ORDER
(DATE &amp; TIME)]]="","No Confirmation","Received Confirmation")</f>
        <v>Received Confirmation</v>
      </c>
      <c r="P652" s="6">
        <f ca="1">TODAY()-Table2[[#This Row],[DATE SENT TO POG]]</f>
        <v>289</v>
      </c>
      <c r="Q652" s="6" t="s">
        <v>5803</v>
      </c>
      <c r="R6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2" s="2" t="str">
        <f>_xlfn.XLOOKUP(Table2[[#This Row],[Adjusted Form '#]],'[2]IN PROGRESS'!$D:$D,'[2]IN PROGRESS'!$M:$M,"Not Found")</f>
        <v>Not Found</v>
      </c>
      <c r="U652" s="2" t="str">
        <f>_xlfn.XLOOKUP(Table2[[#This Row],[Adjusted Form '#]],[1]COMPLETED!$D:$D,[2]COMPLETED!$M:$M,"Not Found")</f>
        <v>Not Found</v>
      </c>
      <c r="V652" s="17" t="str">
        <f>_xlfn.XLOOKUP(Table2[[#This Row],[Adjusted Form '#]],[2]COMPLETED!$D:$D,[2]COMPLETED!$O:$O,"Not Found")</f>
        <v>Not Found</v>
      </c>
      <c r="W652" s="2" t="str">
        <f>_xlfn.XLOOKUP(Table2[[#This Row],[Adjusted Form '#]],[2]BILLED!$D:$D,[2]BILLED!$M:$M,"Not Found")</f>
        <v>1Z5063E0YW42213231</v>
      </c>
      <c r="X652" s="17" t="e">
        <f>_xlfn.XLOOKUP(Table2[[#This Row],[Adjusted Form '#]],[2]BILLED!$D:$D,[1]BILLED!$O:$O,"Not Found")</f>
        <v>#REF!</v>
      </c>
      <c r="Y652" s="17" t="e">
        <f>_xlfn.XLOOKUP(Table2[[#This Row],[Adjusted Form '#]],'[2]REJECTED ORDERS'!$D:$D,'[2]REJECTED ORDERS'!$E:$E)</f>
        <v>#N/A</v>
      </c>
      <c r="Z652" s="1"/>
      <c r="AA652" s="1"/>
      <c r="AB652" s="8"/>
      <c r="AC652" s="8"/>
      <c r="AD652" s="8"/>
      <c r="AE652" s="8"/>
      <c r="AF652" s="8"/>
      <c r="AG652" s="8"/>
      <c r="AH652" s="8"/>
      <c r="AI652" s="8"/>
      <c r="AJ652" s="8"/>
    </row>
    <row r="653" spans="1:36" ht="15" customHeight="1" x14ac:dyDescent="0.35">
      <c r="A653" s="4" t="s">
        <v>985</v>
      </c>
      <c r="B653" s="1" t="s">
        <v>3295</v>
      </c>
      <c r="C653" s="11">
        <v>45014</v>
      </c>
      <c r="D653" s="11" t="s">
        <v>4934</v>
      </c>
      <c r="E653" s="1" t="s">
        <v>64</v>
      </c>
      <c r="F653" s="1" t="s">
        <v>4957</v>
      </c>
      <c r="G653" s="6">
        <f>COUNTIF(F:F,Table2[[#This Row],[Form '#]])</f>
        <v>1</v>
      </c>
      <c r="H653" s="1" t="s">
        <v>4958</v>
      </c>
      <c r="I653" s="1" t="s">
        <v>3864</v>
      </c>
      <c r="J653" s="1" t="s">
        <v>3891</v>
      </c>
      <c r="K653" s="1" t="s">
        <v>3891</v>
      </c>
      <c r="L653" s="1"/>
      <c r="M653" s="6" t="str">
        <f>IF(Table2[[#This Row],[Corrected Form '#
 (If Duplicated)]]="",Table2[[#This Row],[Form '#]],Table2[[#This Row],[Corrected Form '#
 (If Duplicated)]])</f>
        <v>7824-00404</v>
      </c>
      <c r="N653" s="1" t="s">
        <v>49</v>
      </c>
      <c r="O653" s="6" t="str">
        <f>IF(Table2[[#This Row],[POG CONFIRMATION RECEIPT OF ORDER
(DATE &amp; TIME)]]="","No Confirmation","Received Confirmation")</f>
        <v>Received Confirmation</v>
      </c>
      <c r="P653" s="6">
        <f ca="1">TODAY()-Table2[[#This Row],[DATE SENT TO POG]]</f>
        <v>289</v>
      </c>
      <c r="Q653" s="6" t="s">
        <v>5803</v>
      </c>
      <c r="R6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3" s="2" t="str">
        <f>_xlfn.XLOOKUP(Table2[[#This Row],[Adjusted Form '#]],'[2]IN PROGRESS'!$D:$D,'[2]IN PROGRESS'!$M:$M,"Not Found")</f>
        <v>Not Found</v>
      </c>
      <c r="U653" s="2" t="str">
        <f>_xlfn.XLOOKUP(Table2[[#This Row],[Adjusted Form '#]],[1]COMPLETED!$D:$D,[2]COMPLETED!$M:$M,"Not Found")</f>
        <v>Not Found</v>
      </c>
      <c r="V653" s="17" t="str">
        <f>_xlfn.XLOOKUP(Table2[[#This Row],[Adjusted Form '#]],[2]COMPLETED!$D:$D,[2]COMPLETED!$O:$O,"Not Found")</f>
        <v>Not Found</v>
      </c>
      <c r="W653" s="2" t="str">
        <f>_xlfn.XLOOKUP(Table2[[#This Row],[Adjusted Form '#]],[2]BILLED!$D:$D,[2]BILLED!$M:$M,"Not Found")</f>
        <v>1Z5063E0YW42029753</v>
      </c>
      <c r="X653" s="17" t="e">
        <f>_xlfn.XLOOKUP(Table2[[#This Row],[Adjusted Form '#]],[2]BILLED!$D:$D,[1]BILLED!$O:$O,"Not Found")</f>
        <v>#REF!</v>
      </c>
      <c r="Y653" s="17" t="e">
        <f>_xlfn.XLOOKUP(Table2[[#This Row],[Adjusted Form '#]],'[2]REJECTED ORDERS'!$D:$D,'[2]REJECTED ORDERS'!$E:$E)</f>
        <v>#N/A</v>
      </c>
      <c r="Z653" s="1"/>
      <c r="AA653" s="1"/>
      <c r="AB653" s="8"/>
      <c r="AC653" s="8"/>
      <c r="AD653" s="8"/>
      <c r="AE653" s="8"/>
      <c r="AF653" s="8"/>
      <c r="AG653" s="8"/>
      <c r="AH653" s="8"/>
      <c r="AI653" s="8"/>
      <c r="AJ653" s="8"/>
    </row>
    <row r="654" spans="1:36" ht="15" customHeight="1" x14ac:dyDescent="0.35">
      <c r="A654" s="4" t="s">
        <v>987</v>
      </c>
      <c r="B654" s="1" t="s">
        <v>3295</v>
      </c>
      <c r="C654" s="11">
        <v>45014</v>
      </c>
      <c r="D654" s="11" t="s">
        <v>4934</v>
      </c>
      <c r="E654" s="1" t="s">
        <v>64</v>
      </c>
      <c r="F654" s="1" t="s">
        <v>4959</v>
      </c>
      <c r="G654" s="6">
        <f>COUNTIF(F:F,Table2[[#This Row],[Form '#]])</f>
        <v>1</v>
      </c>
      <c r="H654" s="1" t="s">
        <v>492</v>
      </c>
      <c r="I654" s="1" t="s">
        <v>106</v>
      </c>
      <c r="J654" s="1" t="s">
        <v>70</v>
      </c>
      <c r="K654" s="1" t="s">
        <v>4011</v>
      </c>
      <c r="L654" s="1"/>
      <c r="M654" s="6" t="str">
        <f>IF(Table2[[#This Row],[Corrected Form '#
 (If Duplicated)]]="",Table2[[#This Row],[Form '#]],Table2[[#This Row],[Corrected Form '#
 (If Duplicated)]])</f>
        <v>7824-00406</v>
      </c>
      <c r="N654" s="1" t="s">
        <v>49</v>
      </c>
      <c r="O654" s="6" t="str">
        <f>IF(Table2[[#This Row],[POG CONFIRMATION RECEIPT OF ORDER
(DATE &amp; TIME)]]="","No Confirmation","Received Confirmation")</f>
        <v>Received Confirmation</v>
      </c>
      <c r="P654" s="6">
        <f ca="1">TODAY()-Table2[[#This Row],[DATE SENT TO POG]]</f>
        <v>289</v>
      </c>
      <c r="Q654" s="6" t="s">
        <v>5803</v>
      </c>
      <c r="R6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4" s="2" t="str">
        <f>_xlfn.XLOOKUP(Table2[[#This Row],[Adjusted Form '#]],'[2]IN PROGRESS'!$D:$D,'[2]IN PROGRESS'!$M:$M,"Not Found")</f>
        <v>Not Found</v>
      </c>
      <c r="U654" s="2" t="str">
        <f>_xlfn.XLOOKUP(Table2[[#This Row],[Adjusted Form '#]],[1]COMPLETED!$D:$D,[2]COMPLETED!$M:$M,"Not Found")</f>
        <v>Not Found</v>
      </c>
      <c r="V654" s="17" t="str">
        <f>_xlfn.XLOOKUP(Table2[[#This Row],[Adjusted Form '#]],[2]COMPLETED!$D:$D,[2]COMPLETED!$O:$O,"Not Found")</f>
        <v>Not Found</v>
      </c>
      <c r="W654" s="2" t="str">
        <f>_xlfn.XLOOKUP(Table2[[#This Row],[Adjusted Form '#]],[2]BILLED!$D:$D,[2]BILLED!$M:$M,"Not Found")</f>
        <v>1Z5063E0YW41269200</v>
      </c>
      <c r="X654" s="17" t="e">
        <f>_xlfn.XLOOKUP(Table2[[#This Row],[Adjusted Form '#]],[2]BILLED!$D:$D,[1]BILLED!$O:$O,"Not Found")</f>
        <v>#REF!</v>
      </c>
      <c r="Y654" s="17" t="e">
        <f>_xlfn.XLOOKUP(Table2[[#This Row],[Adjusted Form '#]],'[2]REJECTED ORDERS'!$D:$D,'[2]REJECTED ORDERS'!$E:$E)</f>
        <v>#N/A</v>
      </c>
      <c r="Z654" s="1"/>
      <c r="AA654" s="1"/>
      <c r="AB654" s="8"/>
      <c r="AC654" s="8"/>
      <c r="AD654" s="8"/>
      <c r="AE654" s="8"/>
      <c r="AF654" s="8"/>
      <c r="AG654" s="8"/>
      <c r="AH654" s="8"/>
      <c r="AI654" s="8"/>
      <c r="AJ654" s="8"/>
    </row>
    <row r="655" spans="1:36" ht="15" customHeight="1" x14ac:dyDescent="0.35">
      <c r="A655" s="4" t="s">
        <v>989</v>
      </c>
      <c r="B655" s="1" t="s">
        <v>3295</v>
      </c>
      <c r="C655" s="11">
        <v>45014</v>
      </c>
      <c r="D655" s="11" t="s">
        <v>4934</v>
      </c>
      <c r="E655" s="1" t="s">
        <v>64</v>
      </c>
      <c r="F655" s="1" t="s">
        <v>4960</v>
      </c>
      <c r="G655" s="6">
        <f>COUNTIF(F:F,Table2[[#This Row],[Form '#]])</f>
        <v>1</v>
      </c>
      <c r="H655" s="1" t="s">
        <v>4961</v>
      </c>
      <c r="I655" s="1" t="s">
        <v>3864</v>
      </c>
      <c r="J655" s="1" t="s">
        <v>3891</v>
      </c>
      <c r="K655" s="1" t="s">
        <v>3891</v>
      </c>
      <c r="L655" s="1"/>
      <c r="M655" s="6" t="str">
        <f>IF(Table2[[#This Row],[Corrected Form '#
 (If Duplicated)]]="",Table2[[#This Row],[Form '#]],Table2[[#This Row],[Corrected Form '#
 (If Duplicated)]])</f>
        <v>7824-00405</v>
      </c>
      <c r="N655" s="1" t="s">
        <v>49</v>
      </c>
      <c r="O655" s="6" t="str">
        <f>IF(Table2[[#This Row],[POG CONFIRMATION RECEIPT OF ORDER
(DATE &amp; TIME)]]="","No Confirmation","Received Confirmation")</f>
        <v>Received Confirmation</v>
      </c>
      <c r="P655" s="6">
        <f ca="1">TODAY()-Table2[[#This Row],[DATE SENT TO POG]]</f>
        <v>289</v>
      </c>
      <c r="Q655" s="6" t="s">
        <v>5803</v>
      </c>
      <c r="R6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5" s="2" t="str">
        <f>_xlfn.XLOOKUP(Table2[[#This Row],[Adjusted Form '#]],'[2]IN PROGRESS'!$D:$D,'[2]IN PROGRESS'!$M:$M,"Not Found")</f>
        <v>Not Found</v>
      </c>
      <c r="U655" s="2" t="str">
        <f>_xlfn.XLOOKUP(Table2[[#This Row],[Adjusted Form '#]],[1]COMPLETED!$D:$D,[2]COMPLETED!$M:$M,"Not Found")</f>
        <v>Not Found</v>
      </c>
      <c r="V655" s="17" t="str">
        <f>_xlfn.XLOOKUP(Table2[[#This Row],[Adjusted Form '#]],[2]COMPLETED!$D:$D,[2]COMPLETED!$O:$O,"Not Found")</f>
        <v>Not Found</v>
      </c>
      <c r="W655" s="2" t="str">
        <f>_xlfn.XLOOKUP(Table2[[#This Row],[Adjusted Form '#]],[2]BILLED!$D:$D,[2]BILLED!$M:$M,"Not Found")</f>
        <v>1Z5063E0YW40189405</v>
      </c>
      <c r="X655" s="17" t="e">
        <f>_xlfn.XLOOKUP(Table2[[#This Row],[Adjusted Form '#]],[2]BILLED!$D:$D,[1]BILLED!$O:$O,"Not Found")</f>
        <v>#REF!</v>
      </c>
      <c r="Y655" s="17" t="e">
        <f>_xlfn.XLOOKUP(Table2[[#This Row],[Adjusted Form '#]],'[2]REJECTED ORDERS'!$D:$D,'[2]REJECTED ORDERS'!$E:$E)</f>
        <v>#N/A</v>
      </c>
      <c r="Z655" s="1"/>
      <c r="AA655" s="1"/>
      <c r="AB655" s="8"/>
      <c r="AC655" s="8"/>
      <c r="AD655" s="8"/>
      <c r="AE655" s="8"/>
      <c r="AF655" s="8"/>
      <c r="AG655" s="8"/>
      <c r="AH655" s="8"/>
      <c r="AI655" s="8"/>
      <c r="AJ655" s="8"/>
    </row>
    <row r="656" spans="1:36" ht="15" customHeight="1" x14ac:dyDescent="0.35">
      <c r="A656" s="4" t="s">
        <v>990</v>
      </c>
      <c r="B656" s="1" t="s">
        <v>3295</v>
      </c>
      <c r="C656" s="11">
        <v>45014</v>
      </c>
      <c r="D656" s="11" t="s">
        <v>4934</v>
      </c>
      <c r="E656" s="1" t="s">
        <v>64</v>
      </c>
      <c r="F656" s="1" t="s">
        <v>4962</v>
      </c>
      <c r="G656" s="6">
        <f>COUNTIF(F:F,Table2[[#This Row],[Form '#]])</f>
        <v>1</v>
      </c>
      <c r="H656" s="1" t="s">
        <v>4963</v>
      </c>
      <c r="I656" s="1" t="s">
        <v>3852</v>
      </c>
      <c r="J656" s="1" t="s">
        <v>80</v>
      </c>
      <c r="K656" s="1" t="s">
        <v>3853</v>
      </c>
      <c r="L656" s="1"/>
      <c r="M656" s="6" t="str">
        <f>IF(Table2[[#This Row],[Corrected Form '#
 (If Duplicated)]]="",Table2[[#This Row],[Form '#]],Table2[[#This Row],[Corrected Form '#
 (If Duplicated)]])</f>
        <v>7824-00407</v>
      </c>
      <c r="N656" s="1" t="s">
        <v>49</v>
      </c>
      <c r="O656" s="6" t="str">
        <f>IF(Table2[[#This Row],[POG CONFIRMATION RECEIPT OF ORDER
(DATE &amp; TIME)]]="","No Confirmation","Received Confirmation")</f>
        <v>Received Confirmation</v>
      </c>
      <c r="P656" s="6">
        <f ca="1">TODAY()-Table2[[#This Row],[DATE SENT TO POG]]</f>
        <v>289</v>
      </c>
      <c r="Q656" s="6" t="s">
        <v>5803</v>
      </c>
      <c r="R6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6" s="2" t="str">
        <f>_xlfn.XLOOKUP(Table2[[#This Row],[Adjusted Form '#]],'[2]IN PROGRESS'!$D:$D,'[2]IN PROGRESS'!$M:$M,"Not Found")</f>
        <v>Not Found</v>
      </c>
      <c r="U656" s="2" t="str">
        <f>_xlfn.XLOOKUP(Table2[[#This Row],[Adjusted Form '#]],[1]COMPLETED!$D:$D,[2]COMPLETED!$M:$M,"Not Found")</f>
        <v>Not Found</v>
      </c>
      <c r="V656" s="17" t="str">
        <f>_xlfn.XLOOKUP(Table2[[#This Row],[Adjusted Form '#]],[2]COMPLETED!$D:$D,[2]COMPLETED!$O:$O,"Not Found")</f>
        <v>Not Found</v>
      </c>
      <c r="W656" s="2" t="str">
        <f>_xlfn.XLOOKUP(Table2[[#This Row],[Adjusted Form '#]],[2]BILLED!$D:$D,[2]BILLED!$M:$M,"Not Found")</f>
        <v>1Z5063E0YW42121241</v>
      </c>
      <c r="X656" s="17" t="e">
        <f>_xlfn.XLOOKUP(Table2[[#This Row],[Adjusted Form '#]],[2]BILLED!$D:$D,[1]BILLED!$O:$O,"Not Found")</f>
        <v>#REF!</v>
      </c>
      <c r="Y656" s="17" t="e">
        <f>_xlfn.XLOOKUP(Table2[[#This Row],[Adjusted Form '#]],'[2]REJECTED ORDERS'!$D:$D,'[2]REJECTED ORDERS'!$E:$E)</f>
        <v>#N/A</v>
      </c>
      <c r="Z656" s="1"/>
      <c r="AA656" s="1"/>
      <c r="AB656" s="8"/>
      <c r="AC656" s="8"/>
      <c r="AD656" s="8"/>
      <c r="AE656" s="8"/>
      <c r="AF656" s="8"/>
      <c r="AG656" s="8"/>
      <c r="AH656" s="8"/>
      <c r="AI656" s="8"/>
      <c r="AJ656" s="8"/>
    </row>
    <row r="657" spans="1:36" ht="15" customHeight="1" x14ac:dyDescent="0.35">
      <c r="A657" s="4" t="s">
        <v>991</v>
      </c>
      <c r="B657" s="1" t="s">
        <v>3295</v>
      </c>
      <c r="C657" s="11">
        <v>45014</v>
      </c>
      <c r="D657" s="11" t="s">
        <v>4934</v>
      </c>
      <c r="E657" s="1" t="s">
        <v>64</v>
      </c>
      <c r="F657" s="1" t="s">
        <v>4964</v>
      </c>
      <c r="G657" s="6">
        <f>COUNTIF(F:F,Table2[[#This Row],[Form '#]])</f>
        <v>1</v>
      </c>
      <c r="H657" s="1" t="s">
        <v>4965</v>
      </c>
      <c r="I657" s="1" t="s">
        <v>3864</v>
      </c>
      <c r="J657" s="1" t="s">
        <v>3891</v>
      </c>
      <c r="K657" s="1" t="s">
        <v>3891</v>
      </c>
      <c r="L657" s="1"/>
      <c r="M657" s="6" t="str">
        <f>IF(Table2[[#This Row],[Corrected Form '#
 (If Duplicated)]]="",Table2[[#This Row],[Form '#]],Table2[[#This Row],[Corrected Form '#
 (If Duplicated)]])</f>
        <v>7824-00369</v>
      </c>
      <c r="N657" s="1" t="s">
        <v>49</v>
      </c>
      <c r="O657" s="6" t="str">
        <f>IF(Table2[[#This Row],[POG CONFIRMATION RECEIPT OF ORDER
(DATE &amp; TIME)]]="","No Confirmation","Received Confirmation")</f>
        <v>Received Confirmation</v>
      </c>
      <c r="P657" s="6">
        <f ca="1">TODAY()-Table2[[#This Row],[DATE SENT TO POG]]</f>
        <v>289</v>
      </c>
      <c r="Q657" s="6" t="s">
        <v>5803</v>
      </c>
      <c r="R6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7" s="2" t="str">
        <f>_xlfn.XLOOKUP(Table2[[#This Row],[Adjusted Form '#]],'[2]IN PROGRESS'!$D:$D,'[2]IN PROGRESS'!$M:$M,"Not Found")</f>
        <v>Not Found</v>
      </c>
      <c r="U657" s="2" t="str">
        <f>_xlfn.XLOOKUP(Table2[[#This Row],[Adjusted Form '#]],[1]COMPLETED!$D:$D,[2]COMPLETED!$M:$M,"Not Found")</f>
        <v>Not Found</v>
      </c>
      <c r="V657" s="17" t="str">
        <f>_xlfn.XLOOKUP(Table2[[#This Row],[Adjusted Form '#]],[2]COMPLETED!$D:$D,[2]COMPLETED!$O:$O,"Not Found")</f>
        <v>Not Found</v>
      </c>
      <c r="W657" s="2" t="str">
        <f>_xlfn.XLOOKUP(Table2[[#This Row],[Adjusted Form '#]],[2]BILLED!$D:$D,[2]BILLED!$M:$M,"Not Found")</f>
        <v>1Z5063E0YW42532306</v>
      </c>
      <c r="X657" s="17" t="e">
        <f>_xlfn.XLOOKUP(Table2[[#This Row],[Adjusted Form '#]],[2]BILLED!$D:$D,[1]BILLED!$O:$O,"Not Found")</f>
        <v>#REF!</v>
      </c>
      <c r="Y657" s="17" t="e">
        <f>_xlfn.XLOOKUP(Table2[[#This Row],[Adjusted Form '#]],'[2]REJECTED ORDERS'!$D:$D,'[2]REJECTED ORDERS'!$E:$E)</f>
        <v>#N/A</v>
      </c>
      <c r="Z657" s="1"/>
      <c r="AA657" s="1"/>
      <c r="AB657" s="8"/>
      <c r="AC657" s="8"/>
      <c r="AD657" s="8"/>
      <c r="AE657" s="8"/>
      <c r="AF657" s="8"/>
      <c r="AG657" s="8"/>
      <c r="AH657" s="8"/>
      <c r="AI657" s="8"/>
      <c r="AJ657" s="8"/>
    </row>
    <row r="658" spans="1:36" ht="15" customHeight="1" x14ac:dyDescent="0.35">
      <c r="A658" s="4" t="s">
        <v>992</v>
      </c>
      <c r="B658" s="1" t="s">
        <v>3295</v>
      </c>
      <c r="C658" s="11">
        <v>45014</v>
      </c>
      <c r="D658" s="11" t="s">
        <v>4934</v>
      </c>
      <c r="E658" s="1" t="s">
        <v>64</v>
      </c>
      <c r="F658" s="1" t="s">
        <v>4966</v>
      </c>
      <c r="G658" s="6">
        <f>COUNTIF(F:F,Table2[[#This Row],[Form '#]])</f>
        <v>1</v>
      </c>
      <c r="H658" s="1" t="s">
        <v>4967</v>
      </c>
      <c r="I658" s="1" t="s">
        <v>3864</v>
      </c>
      <c r="J658" s="1" t="s">
        <v>3891</v>
      </c>
      <c r="K658" s="1" t="s">
        <v>3891</v>
      </c>
      <c r="L658" s="1"/>
      <c r="M658" s="6" t="str">
        <f>IF(Table2[[#This Row],[Corrected Form '#
 (If Duplicated)]]="",Table2[[#This Row],[Form '#]],Table2[[#This Row],[Corrected Form '#
 (If Duplicated)]])</f>
        <v>7824-00408</v>
      </c>
      <c r="N658" s="1" t="s">
        <v>49</v>
      </c>
      <c r="O658" s="6" t="str">
        <f>IF(Table2[[#This Row],[POG CONFIRMATION RECEIPT OF ORDER
(DATE &amp; TIME)]]="","No Confirmation","Received Confirmation")</f>
        <v>Received Confirmation</v>
      </c>
      <c r="P658" s="6">
        <f ca="1">TODAY()-Table2[[#This Row],[DATE SENT TO POG]]</f>
        <v>289</v>
      </c>
      <c r="Q658" s="6" t="s">
        <v>5803</v>
      </c>
      <c r="R6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8" s="2" t="str">
        <f>_xlfn.XLOOKUP(Table2[[#This Row],[Adjusted Form '#]],'[2]IN PROGRESS'!$D:$D,'[2]IN PROGRESS'!$M:$M,"Not Found")</f>
        <v>Not Found</v>
      </c>
      <c r="U658" s="2" t="str">
        <f>_xlfn.XLOOKUP(Table2[[#This Row],[Adjusted Form '#]],[1]COMPLETED!$D:$D,[2]COMPLETED!$M:$M,"Not Found")</f>
        <v>Not Found</v>
      </c>
      <c r="V658" s="17" t="str">
        <f>_xlfn.XLOOKUP(Table2[[#This Row],[Adjusted Form '#]],[2]COMPLETED!$D:$D,[2]COMPLETED!$O:$O,"Not Found")</f>
        <v>Not Found</v>
      </c>
      <c r="W658" s="2" t="str">
        <f>_xlfn.XLOOKUP(Table2[[#This Row],[Adjusted Form '#]],[2]BILLED!$D:$D,[2]BILLED!$M:$M,"Not Found")</f>
        <v>1Z5063E0YW42407148</v>
      </c>
      <c r="X658" s="17" t="e">
        <f>_xlfn.XLOOKUP(Table2[[#This Row],[Adjusted Form '#]],[2]BILLED!$D:$D,[1]BILLED!$O:$O,"Not Found")</f>
        <v>#REF!</v>
      </c>
      <c r="Y658" s="17" t="e">
        <f>_xlfn.XLOOKUP(Table2[[#This Row],[Adjusted Form '#]],'[2]REJECTED ORDERS'!$D:$D,'[2]REJECTED ORDERS'!$E:$E)</f>
        <v>#N/A</v>
      </c>
      <c r="Z658" s="1"/>
      <c r="AA658" s="1"/>
      <c r="AB658" s="8"/>
      <c r="AC658" s="8"/>
      <c r="AD658" s="8"/>
      <c r="AE658" s="8"/>
      <c r="AF658" s="8"/>
      <c r="AG658" s="8"/>
      <c r="AH658" s="8"/>
      <c r="AI658" s="8"/>
      <c r="AJ658" s="8"/>
    </row>
    <row r="659" spans="1:36" ht="15" customHeight="1" x14ac:dyDescent="0.35">
      <c r="A659" s="4" t="s">
        <v>994</v>
      </c>
      <c r="B659" s="1" t="s">
        <v>3295</v>
      </c>
      <c r="C659" s="11">
        <v>45014</v>
      </c>
      <c r="D659" s="11" t="s">
        <v>4934</v>
      </c>
      <c r="E659" s="1" t="s">
        <v>64</v>
      </c>
      <c r="F659" s="1" t="s">
        <v>4968</v>
      </c>
      <c r="G659" s="6">
        <f>COUNTIF(F:F,Table2[[#This Row],[Form '#]])</f>
        <v>1</v>
      </c>
      <c r="H659" s="1" t="s">
        <v>4969</v>
      </c>
      <c r="I659" s="1" t="s">
        <v>127</v>
      </c>
      <c r="J659" s="1" t="s">
        <v>76</v>
      </c>
      <c r="K659" s="1" t="s">
        <v>4011</v>
      </c>
      <c r="L659" s="1"/>
      <c r="M659" s="6" t="str">
        <f>IF(Table2[[#This Row],[Corrected Form '#
 (If Duplicated)]]="",Table2[[#This Row],[Form '#]],Table2[[#This Row],[Corrected Form '#
 (If Duplicated)]])</f>
        <v>7824-00383</v>
      </c>
      <c r="N659" s="1" t="s">
        <v>49</v>
      </c>
      <c r="O659" s="6" t="str">
        <f>IF(Table2[[#This Row],[POG CONFIRMATION RECEIPT OF ORDER
(DATE &amp; TIME)]]="","No Confirmation","Received Confirmation")</f>
        <v>Received Confirmation</v>
      </c>
      <c r="P659" s="6">
        <f ca="1">TODAY()-Table2[[#This Row],[DATE SENT TO POG]]</f>
        <v>289</v>
      </c>
      <c r="Q659" s="6" t="s">
        <v>5803</v>
      </c>
      <c r="R6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59" s="2" t="str">
        <f>_xlfn.XLOOKUP(Table2[[#This Row],[Adjusted Form '#]],'[2]IN PROGRESS'!$D:$D,'[2]IN PROGRESS'!$M:$M,"Not Found")</f>
        <v>Not Found</v>
      </c>
      <c r="U659" s="2" t="str">
        <f>_xlfn.XLOOKUP(Table2[[#This Row],[Adjusted Form '#]],[1]COMPLETED!$D:$D,[2]COMPLETED!$M:$M,"Not Found")</f>
        <v>Not Found</v>
      </c>
      <c r="V659" s="17" t="str">
        <f>_xlfn.XLOOKUP(Table2[[#This Row],[Adjusted Form '#]],[2]COMPLETED!$D:$D,[2]COMPLETED!$O:$O,"Not Found")</f>
        <v>Not Found</v>
      </c>
      <c r="W659" s="2" t="str">
        <f>_xlfn.XLOOKUP(Table2[[#This Row],[Adjusted Form '#]],[2]BILLED!$D:$D,[2]BILLED!$M:$M,"Not Found")</f>
        <v>1Z5063E0YW42302484</v>
      </c>
      <c r="X659" s="17" t="e">
        <f>_xlfn.XLOOKUP(Table2[[#This Row],[Adjusted Form '#]],[2]BILLED!$D:$D,[1]BILLED!$O:$O,"Not Found")</f>
        <v>#REF!</v>
      </c>
      <c r="Y659" s="17" t="e">
        <f>_xlfn.XLOOKUP(Table2[[#This Row],[Adjusted Form '#]],'[2]REJECTED ORDERS'!$D:$D,'[2]REJECTED ORDERS'!$E:$E)</f>
        <v>#N/A</v>
      </c>
      <c r="Z659" s="1"/>
      <c r="AA659" s="1"/>
      <c r="AB659" s="8"/>
      <c r="AC659" s="8"/>
      <c r="AD659" s="8"/>
      <c r="AE659" s="8"/>
      <c r="AF659" s="8"/>
      <c r="AG659" s="8"/>
      <c r="AH659" s="8"/>
      <c r="AI659" s="8"/>
      <c r="AJ659" s="8"/>
    </row>
    <row r="660" spans="1:36" ht="15" customHeight="1" x14ac:dyDescent="0.35">
      <c r="A660" s="4" t="s">
        <v>995</v>
      </c>
      <c r="B660" s="1" t="s">
        <v>3295</v>
      </c>
      <c r="C660" s="11">
        <v>45014</v>
      </c>
      <c r="D660" s="11" t="s">
        <v>4934</v>
      </c>
      <c r="E660" s="1" t="s">
        <v>64</v>
      </c>
      <c r="F660" s="1" t="s">
        <v>4970</v>
      </c>
      <c r="G660" s="6">
        <f>COUNTIF(F:F,Table2[[#This Row],[Form '#]])</f>
        <v>1</v>
      </c>
      <c r="H660" s="1" t="s">
        <v>4971</v>
      </c>
      <c r="I660" s="1" t="s">
        <v>3852</v>
      </c>
      <c r="J660" s="1" t="s">
        <v>80</v>
      </c>
      <c r="K660" s="1" t="s">
        <v>3853</v>
      </c>
      <c r="L660" s="1"/>
      <c r="M660" s="6" t="str">
        <f>IF(Table2[[#This Row],[Corrected Form '#
 (If Duplicated)]]="",Table2[[#This Row],[Form '#]],Table2[[#This Row],[Corrected Form '#
 (If Duplicated)]])</f>
        <v>7824-00401</v>
      </c>
      <c r="N660" s="1" t="s">
        <v>49</v>
      </c>
      <c r="O660" s="6" t="str">
        <f>IF(Table2[[#This Row],[POG CONFIRMATION RECEIPT OF ORDER
(DATE &amp; TIME)]]="","No Confirmation","Received Confirmation")</f>
        <v>Received Confirmation</v>
      </c>
      <c r="P660" s="6">
        <f ca="1">TODAY()-Table2[[#This Row],[DATE SENT TO POG]]</f>
        <v>289</v>
      </c>
      <c r="Q660" s="6" t="s">
        <v>5803</v>
      </c>
      <c r="R6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0" s="2" t="str">
        <f>_xlfn.XLOOKUP(Table2[[#This Row],[Adjusted Form '#]],'[2]IN PROGRESS'!$D:$D,'[2]IN PROGRESS'!$M:$M,"Not Found")</f>
        <v>Not Found</v>
      </c>
      <c r="U660" s="2" t="str">
        <f>_xlfn.XLOOKUP(Table2[[#This Row],[Adjusted Form '#]],[1]COMPLETED!$D:$D,[2]COMPLETED!$M:$M,"Not Found")</f>
        <v>Not Found</v>
      </c>
      <c r="V660" s="17" t="str">
        <f>_xlfn.XLOOKUP(Table2[[#This Row],[Adjusted Form '#]],[2]COMPLETED!$D:$D,[2]COMPLETED!$O:$O,"Not Found")</f>
        <v>Not Found</v>
      </c>
      <c r="W660" s="2" t="str">
        <f>_xlfn.XLOOKUP(Table2[[#This Row],[Adjusted Form '#]],[2]BILLED!$D:$D,[2]BILLED!$M:$M,"Not Found")</f>
        <v>1Z5063E0YW41509316</v>
      </c>
      <c r="X660" s="17" t="e">
        <f>_xlfn.XLOOKUP(Table2[[#This Row],[Adjusted Form '#]],[2]BILLED!$D:$D,[1]BILLED!$O:$O,"Not Found")</f>
        <v>#REF!</v>
      </c>
      <c r="Y660" s="17" t="e">
        <f>_xlfn.XLOOKUP(Table2[[#This Row],[Adjusted Form '#]],'[2]REJECTED ORDERS'!$D:$D,'[2]REJECTED ORDERS'!$E:$E)</f>
        <v>#N/A</v>
      </c>
      <c r="Z660" s="1"/>
      <c r="AA660" s="1"/>
      <c r="AB660" s="8"/>
      <c r="AC660" s="8"/>
      <c r="AD660" s="8"/>
      <c r="AE660" s="8"/>
      <c r="AF660" s="8"/>
      <c r="AG660" s="8"/>
      <c r="AH660" s="8"/>
      <c r="AI660" s="8"/>
      <c r="AJ660" s="8"/>
    </row>
    <row r="661" spans="1:36" ht="15" customHeight="1" x14ac:dyDescent="0.35">
      <c r="A661" s="4" t="s">
        <v>996</v>
      </c>
      <c r="B661" s="1" t="s">
        <v>3295</v>
      </c>
      <c r="C661" s="11">
        <v>45014</v>
      </c>
      <c r="D661" s="11" t="s">
        <v>4934</v>
      </c>
      <c r="E661" s="1" t="s">
        <v>64</v>
      </c>
      <c r="F661" s="1" t="s">
        <v>4972</v>
      </c>
      <c r="G661" s="6">
        <f>COUNTIF(F:F,Table2[[#This Row],[Form '#]])</f>
        <v>1</v>
      </c>
      <c r="H661" s="1" t="s">
        <v>4973</v>
      </c>
      <c r="I661" s="1" t="s">
        <v>177</v>
      </c>
      <c r="J661" s="1" t="s">
        <v>75</v>
      </c>
      <c r="K661" s="1" t="s">
        <v>3853</v>
      </c>
      <c r="L661" s="1"/>
      <c r="M661" s="6" t="str">
        <f>IF(Table2[[#This Row],[Corrected Form '#
 (If Duplicated)]]="",Table2[[#This Row],[Form '#]],Table2[[#This Row],[Corrected Form '#
 (If Duplicated)]])</f>
        <v>7824-00384</v>
      </c>
      <c r="N661" s="1" t="s">
        <v>49</v>
      </c>
      <c r="O661" s="6" t="str">
        <f>IF(Table2[[#This Row],[POG CONFIRMATION RECEIPT OF ORDER
(DATE &amp; TIME)]]="","No Confirmation","Received Confirmation")</f>
        <v>Received Confirmation</v>
      </c>
      <c r="P661" s="6">
        <f ca="1">TODAY()-Table2[[#This Row],[DATE SENT TO POG]]</f>
        <v>289</v>
      </c>
      <c r="Q661" s="6" t="s">
        <v>5803</v>
      </c>
      <c r="R6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1" s="2" t="str">
        <f>_xlfn.XLOOKUP(Table2[[#This Row],[Adjusted Form '#]],'[2]IN PROGRESS'!$D:$D,'[2]IN PROGRESS'!$M:$M,"Not Found")</f>
        <v>Not Found</v>
      </c>
      <c r="U661" s="2" t="str">
        <f>_xlfn.XLOOKUP(Table2[[#This Row],[Adjusted Form '#]],[1]COMPLETED!$D:$D,[2]COMPLETED!$M:$M,"Not Found")</f>
        <v>Not Found</v>
      </c>
      <c r="V661" s="17" t="str">
        <f>_xlfn.XLOOKUP(Table2[[#This Row],[Adjusted Form '#]],[2]COMPLETED!$D:$D,[2]COMPLETED!$O:$O,"Not Found")</f>
        <v>Not Found</v>
      </c>
      <c r="W661" s="2" t="str">
        <f>_xlfn.XLOOKUP(Table2[[#This Row],[Adjusted Form '#]],[2]BILLED!$D:$D,[2]BILLED!$M:$M,"Not Found")</f>
        <v>1Z5063E0YW41732075</v>
      </c>
      <c r="X661" s="17" t="e">
        <f>_xlfn.XLOOKUP(Table2[[#This Row],[Adjusted Form '#]],[2]BILLED!$D:$D,[1]BILLED!$O:$O,"Not Found")</f>
        <v>#REF!</v>
      </c>
      <c r="Y661" s="17" t="e">
        <f>_xlfn.XLOOKUP(Table2[[#This Row],[Adjusted Form '#]],'[2]REJECTED ORDERS'!$D:$D,'[2]REJECTED ORDERS'!$E:$E)</f>
        <v>#N/A</v>
      </c>
      <c r="Z661" s="1"/>
      <c r="AA661" s="1"/>
      <c r="AB661" s="8"/>
      <c r="AC661" s="8"/>
      <c r="AD661" s="8"/>
      <c r="AE661" s="8"/>
      <c r="AF661" s="8"/>
      <c r="AG661" s="8"/>
      <c r="AH661" s="8"/>
      <c r="AI661" s="8"/>
      <c r="AJ661" s="8"/>
    </row>
    <row r="662" spans="1:36" ht="15" customHeight="1" x14ac:dyDescent="0.35">
      <c r="A662" s="4" t="s">
        <v>997</v>
      </c>
      <c r="B662" s="1" t="s">
        <v>3295</v>
      </c>
      <c r="C662" s="11">
        <v>45014</v>
      </c>
      <c r="D662" s="11" t="s">
        <v>4934</v>
      </c>
      <c r="E662" s="1" t="s">
        <v>64</v>
      </c>
      <c r="F662" s="1" t="s">
        <v>4974</v>
      </c>
      <c r="G662" s="6">
        <f>COUNTIF(F:F,Table2[[#This Row],[Form '#]])</f>
        <v>1</v>
      </c>
      <c r="H662" s="1" t="s">
        <v>3624</v>
      </c>
      <c r="I662" s="1" t="s">
        <v>177</v>
      </c>
      <c r="J662" s="1" t="s">
        <v>75</v>
      </c>
      <c r="K662" s="1" t="s">
        <v>3853</v>
      </c>
      <c r="L662" s="1"/>
      <c r="M662" s="6" t="str">
        <f>IF(Table2[[#This Row],[Corrected Form '#
 (If Duplicated)]]="",Table2[[#This Row],[Form '#]],Table2[[#This Row],[Corrected Form '#
 (If Duplicated)]])</f>
        <v>7824-00363</v>
      </c>
      <c r="N662" s="1" t="s">
        <v>49</v>
      </c>
      <c r="O662" s="6" t="str">
        <f>IF(Table2[[#This Row],[POG CONFIRMATION RECEIPT OF ORDER
(DATE &amp; TIME)]]="","No Confirmation","Received Confirmation")</f>
        <v>Received Confirmation</v>
      </c>
      <c r="P662" s="6">
        <f ca="1">TODAY()-Table2[[#This Row],[DATE SENT TO POG]]</f>
        <v>289</v>
      </c>
      <c r="Q662" s="6" t="s">
        <v>5803</v>
      </c>
      <c r="R6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2" s="2" t="str">
        <f>_xlfn.XLOOKUP(Table2[[#This Row],[Adjusted Form '#]],'[2]IN PROGRESS'!$D:$D,'[2]IN PROGRESS'!$M:$M,"Not Found")</f>
        <v>Not Found</v>
      </c>
      <c r="U662" s="2" t="str">
        <f>_xlfn.XLOOKUP(Table2[[#This Row],[Adjusted Form '#]],[1]COMPLETED!$D:$D,[2]COMPLETED!$M:$M,"Not Found")</f>
        <v>Not Found</v>
      </c>
      <c r="V662" s="17" t="str">
        <f>_xlfn.XLOOKUP(Table2[[#This Row],[Adjusted Form '#]],[2]COMPLETED!$D:$D,[2]COMPLETED!$O:$O,"Not Found")</f>
        <v>Not Found</v>
      </c>
      <c r="W662" s="2" t="str">
        <f>_xlfn.XLOOKUP(Table2[[#This Row],[Adjusted Form '#]],[2]BILLED!$D:$D,[2]BILLED!$M:$M,"Not Found")</f>
        <v>1Z5063E0YW42740877</v>
      </c>
      <c r="X662" s="17" t="e">
        <f>_xlfn.XLOOKUP(Table2[[#This Row],[Adjusted Form '#]],[2]BILLED!$D:$D,[1]BILLED!$O:$O,"Not Found")</f>
        <v>#REF!</v>
      </c>
      <c r="Y662" s="17" t="e">
        <f>_xlfn.XLOOKUP(Table2[[#This Row],[Adjusted Form '#]],'[2]REJECTED ORDERS'!$D:$D,'[2]REJECTED ORDERS'!$E:$E)</f>
        <v>#N/A</v>
      </c>
      <c r="Z662" s="1"/>
      <c r="AA662" s="1"/>
      <c r="AB662" s="8"/>
      <c r="AC662" s="8"/>
      <c r="AD662" s="8"/>
      <c r="AE662" s="8"/>
      <c r="AF662" s="8"/>
      <c r="AG662" s="8"/>
      <c r="AH662" s="8"/>
      <c r="AI662" s="8"/>
      <c r="AJ662" s="8"/>
    </row>
    <row r="663" spans="1:36" ht="15" customHeight="1" x14ac:dyDescent="0.35">
      <c r="A663" s="4" t="s">
        <v>1000</v>
      </c>
      <c r="B663" s="1" t="s">
        <v>3295</v>
      </c>
      <c r="C663" s="11">
        <v>45014</v>
      </c>
      <c r="D663" s="11" t="s">
        <v>4934</v>
      </c>
      <c r="E663" s="1" t="s">
        <v>64</v>
      </c>
      <c r="F663" s="1" t="s">
        <v>4975</v>
      </c>
      <c r="G663" s="6">
        <f>COUNTIF(F:F,Table2[[#This Row],[Form '#]])</f>
        <v>1</v>
      </c>
      <c r="H663" s="1" t="s">
        <v>4976</v>
      </c>
      <c r="I663" s="1" t="s">
        <v>177</v>
      </c>
      <c r="J663" s="1" t="s">
        <v>75</v>
      </c>
      <c r="K663" s="1" t="s">
        <v>3853</v>
      </c>
      <c r="L663" s="1"/>
      <c r="M663" s="6" t="str">
        <f>IF(Table2[[#This Row],[Corrected Form '#
 (If Duplicated)]]="",Table2[[#This Row],[Form '#]],Table2[[#This Row],[Corrected Form '#
 (If Duplicated)]])</f>
        <v>7824-00385</v>
      </c>
      <c r="N663" s="1" t="s">
        <v>49</v>
      </c>
      <c r="O663" s="6" t="str">
        <f>IF(Table2[[#This Row],[POG CONFIRMATION RECEIPT OF ORDER
(DATE &amp; TIME)]]="","No Confirmation","Received Confirmation")</f>
        <v>Received Confirmation</v>
      </c>
      <c r="P663" s="6">
        <f ca="1">TODAY()-Table2[[#This Row],[DATE SENT TO POG]]</f>
        <v>289</v>
      </c>
      <c r="Q663" s="6" t="s">
        <v>5803</v>
      </c>
      <c r="R6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3" s="2" t="str">
        <f>_xlfn.XLOOKUP(Table2[[#This Row],[Adjusted Form '#]],'[2]IN PROGRESS'!$D:$D,'[2]IN PROGRESS'!$M:$M,"Not Found")</f>
        <v>Not Found</v>
      </c>
      <c r="U663" s="2" t="str">
        <f>_xlfn.XLOOKUP(Table2[[#This Row],[Adjusted Form '#]],[1]COMPLETED!$D:$D,[2]COMPLETED!$M:$M,"Not Found")</f>
        <v>Not Found</v>
      </c>
      <c r="V663" s="17" t="str">
        <f>_xlfn.XLOOKUP(Table2[[#This Row],[Adjusted Form '#]],[2]COMPLETED!$D:$D,[2]COMPLETED!$O:$O,"Not Found")</f>
        <v>Not Found</v>
      </c>
      <c r="W663" s="2" t="str">
        <f>_xlfn.XLOOKUP(Table2[[#This Row],[Adjusted Form '#]],[2]BILLED!$D:$D,[2]BILLED!$M:$M,"Not Found")</f>
        <v>1Z5063E0YW40245497</v>
      </c>
      <c r="X663" s="17" t="e">
        <f>_xlfn.XLOOKUP(Table2[[#This Row],[Adjusted Form '#]],[2]BILLED!$D:$D,[1]BILLED!$O:$O,"Not Found")</f>
        <v>#REF!</v>
      </c>
      <c r="Y663" s="17" t="e">
        <f>_xlfn.XLOOKUP(Table2[[#This Row],[Adjusted Form '#]],'[2]REJECTED ORDERS'!$D:$D,'[2]REJECTED ORDERS'!$E:$E)</f>
        <v>#N/A</v>
      </c>
      <c r="Z663" s="1"/>
      <c r="AA663" s="1"/>
      <c r="AB663" s="8"/>
      <c r="AC663" s="8"/>
      <c r="AD663" s="8"/>
      <c r="AE663" s="8"/>
      <c r="AF663" s="8"/>
      <c r="AG663" s="8"/>
      <c r="AH663" s="8"/>
      <c r="AI663" s="8"/>
      <c r="AJ663" s="8"/>
    </row>
    <row r="664" spans="1:36" ht="15" customHeight="1" x14ac:dyDescent="0.35">
      <c r="A664" s="4" t="s">
        <v>1003</v>
      </c>
      <c r="B664" s="1" t="s">
        <v>3295</v>
      </c>
      <c r="C664" s="11">
        <v>45014</v>
      </c>
      <c r="D664" s="11" t="s">
        <v>4934</v>
      </c>
      <c r="E664" s="1" t="s">
        <v>64</v>
      </c>
      <c r="F664" s="1" t="s">
        <v>4977</v>
      </c>
      <c r="G664" s="6">
        <f>COUNTIF(F:F,Table2[[#This Row],[Form '#]])</f>
        <v>1</v>
      </c>
      <c r="H664" s="1" t="s">
        <v>4978</v>
      </c>
      <c r="I664" s="1" t="s">
        <v>177</v>
      </c>
      <c r="J664" s="1" t="s">
        <v>75</v>
      </c>
      <c r="K664" s="1" t="s">
        <v>4011</v>
      </c>
      <c r="L664" s="1"/>
      <c r="M664" s="6" t="str">
        <f>IF(Table2[[#This Row],[Corrected Form '#
 (If Duplicated)]]="",Table2[[#This Row],[Form '#]],Table2[[#This Row],[Corrected Form '#
 (If Duplicated)]])</f>
        <v>7824-00382</v>
      </c>
      <c r="N664" s="1" t="s">
        <v>49</v>
      </c>
      <c r="O664" s="6" t="str">
        <f>IF(Table2[[#This Row],[POG CONFIRMATION RECEIPT OF ORDER
(DATE &amp; TIME)]]="","No Confirmation","Received Confirmation")</f>
        <v>Received Confirmation</v>
      </c>
      <c r="P664" s="6">
        <f ca="1">TODAY()-Table2[[#This Row],[DATE SENT TO POG]]</f>
        <v>289</v>
      </c>
      <c r="Q664" s="6" t="s">
        <v>5803</v>
      </c>
      <c r="R6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4" s="2" t="str">
        <f>_xlfn.XLOOKUP(Table2[[#This Row],[Adjusted Form '#]],'[2]IN PROGRESS'!$D:$D,'[2]IN PROGRESS'!$M:$M,"Not Found")</f>
        <v>Not Found</v>
      </c>
      <c r="U664" s="2" t="str">
        <f>_xlfn.XLOOKUP(Table2[[#This Row],[Adjusted Form '#]],[1]COMPLETED!$D:$D,[2]COMPLETED!$M:$M,"Not Found")</f>
        <v>Not Found</v>
      </c>
      <c r="V664" s="17" t="str">
        <f>_xlfn.XLOOKUP(Table2[[#This Row],[Adjusted Form '#]],[2]COMPLETED!$D:$D,[2]COMPLETED!$O:$O,"Not Found")</f>
        <v>Not Found</v>
      </c>
      <c r="W664" s="2" t="str">
        <f>_xlfn.XLOOKUP(Table2[[#This Row],[Adjusted Form '#]],[2]BILLED!$D:$D,[2]BILLED!$M:$M,"Not Found")</f>
        <v>1Z5063E0YW41829373</v>
      </c>
      <c r="X664" s="17" t="e">
        <f>_xlfn.XLOOKUP(Table2[[#This Row],[Adjusted Form '#]],[2]BILLED!$D:$D,[1]BILLED!$O:$O,"Not Found")</f>
        <v>#REF!</v>
      </c>
      <c r="Y664" s="17" t="e">
        <f>_xlfn.XLOOKUP(Table2[[#This Row],[Adjusted Form '#]],'[2]REJECTED ORDERS'!$D:$D,'[2]REJECTED ORDERS'!$E:$E)</f>
        <v>#N/A</v>
      </c>
      <c r="Z664" s="1"/>
      <c r="AA664" s="1"/>
      <c r="AB664" s="8"/>
      <c r="AC664" s="8"/>
      <c r="AD664" s="8"/>
      <c r="AE664" s="8"/>
      <c r="AF664" s="8"/>
      <c r="AG664" s="8"/>
      <c r="AH664" s="8"/>
      <c r="AI664" s="8"/>
      <c r="AJ664" s="8"/>
    </row>
    <row r="665" spans="1:36" ht="15" customHeight="1" x14ac:dyDescent="0.35">
      <c r="A665" s="4" t="s">
        <v>1005</v>
      </c>
      <c r="B665" s="1" t="s">
        <v>3295</v>
      </c>
      <c r="C665" s="11">
        <v>45014</v>
      </c>
      <c r="D665" s="11" t="s">
        <v>4934</v>
      </c>
      <c r="E665" s="1" t="s">
        <v>64</v>
      </c>
      <c r="F665" s="1" t="s">
        <v>4979</v>
      </c>
      <c r="G665" s="6">
        <f>COUNTIF(F:F,Table2[[#This Row],[Form '#]])</f>
        <v>1</v>
      </c>
      <c r="H665" s="1" t="s">
        <v>2362</v>
      </c>
      <c r="I665" s="1" t="s">
        <v>28</v>
      </c>
      <c r="J665" s="1" t="s">
        <v>69</v>
      </c>
      <c r="K665" s="1" t="s">
        <v>4631</v>
      </c>
      <c r="L665" s="1"/>
      <c r="M665" s="6" t="str">
        <f>IF(Table2[[#This Row],[Corrected Form '#
 (If Duplicated)]]="",Table2[[#This Row],[Form '#]],Table2[[#This Row],[Corrected Form '#
 (If Duplicated)]])</f>
        <v>7824-00386</v>
      </c>
      <c r="N665" s="1" t="s">
        <v>49</v>
      </c>
      <c r="O665" s="6" t="str">
        <f>IF(Table2[[#This Row],[POG CONFIRMATION RECEIPT OF ORDER
(DATE &amp; TIME)]]="","No Confirmation","Received Confirmation")</f>
        <v>Received Confirmation</v>
      </c>
      <c r="P665" s="6">
        <f ca="1">TODAY()-Table2[[#This Row],[DATE SENT TO POG]]</f>
        <v>289</v>
      </c>
      <c r="Q665" s="6" t="s">
        <v>5803</v>
      </c>
      <c r="R6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5" s="2" t="str">
        <f>_xlfn.XLOOKUP(Table2[[#This Row],[Adjusted Form '#]],'[2]IN PROGRESS'!$D:$D,'[2]IN PROGRESS'!$M:$M,"Not Found")</f>
        <v>Not Found</v>
      </c>
      <c r="U665" s="2" t="str">
        <f>_xlfn.XLOOKUP(Table2[[#This Row],[Adjusted Form '#]],[1]COMPLETED!$D:$D,[2]COMPLETED!$M:$M,"Not Found")</f>
        <v>Not Found</v>
      </c>
      <c r="V665" s="17" t="str">
        <f>_xlfn.XLOOKUP(Table2[[#This Row],[Adjusted Form '#]],[2]COMPLETED!$D:$D,[2]COMPLETED!$O:$O,"Not Found")</f>
        <v>Not Found</v>
      </c>
      <c r="W665" s="2" t="str">
        <f>_xlfn.XLOOKUP(Table2[[#This Row],[Adjusted Form '#]],[2]BILLED!$D:$D,[2]BILLED!$M:$M,"Not Found")</f>
        <v>1Z5063E0YW42662809</v>
      </c>
      <c r="X665" s="17" t="e">
        <f>_xlfn.XLOOKUP(Table2[[#This Row],[Adjusted Form '#]],[2]BILLED!$D:$D,[1]BILLED!$O:$O,"Not Found")</f>
        <v>#REF!</v>
      </c>
      <c r="Y665" s="17" t="e">
        <f>_xlfn.XLOOKUP(Table2[[#This Row],[Adjusted Form '#]],'[2]REJECTED ORDERS'!$D:$D,'[2]REJECTED ORDERS'!$E:$E)</f>
        <v>#N/A</v>
      </c>
      <c r="Z665" s="1"/>
      <c r="AA665" s="1"/>
      <c r="AB665" s="8"/>
      <c r="AC665" s="8"/>
      <c r="AD665" s="8"/>
      <c r="AE665" s="8"/>
      <c r="AF665" s="8"/>
      <c r="AG665" s="8"/>
      <c r="AH665" s="8"/>
      <c r="AI665" s="8"/>
      <c r="AJ665" s="8"/>
    </row>
    <row r="666" spans="1:36" ht="15" customHeight="1" x14ac:dyDescent="0.35">
      <c r="A666" s="4" t="s">
        <v>1008</v>
      </c>
      <c r="B666" s="1" t="s">
        <v>2891</v>
      </c>
      <c r="C666" s="11">
        <v>45014</v>
      </c>
      <c r="D666" s="11" t="s">
        <v>4980</v>
      </c>
      <c r="E666" s="1" t="s">
        <v>191</v>
      </c>
      <c r="F666" s="1" t="s">
        <v>4981</v>
      </c>
      <c r="G666" s="6">
        <f>COUNTIF(F:F,Table2[[#This Row],[Form '#]])</f>
        <v>1</v>
      </c>
      <c r="H666" s="1" t="s">
        <v>4982</v>
      </c>
      <c r="I666" s="1" t="s">
        <v>28</v>
      </c>
      <c r="J666" s="1" t="s">
        <v>69</v>
      </c>
      <c r="K666" s="1" t="s">
        <v>4631</v>
      </c>
      <c r="L666" s="1"/>
      <c r="M666" s="6" t="str">
        <f>IF(Table2[[#This Row],[Corrected Form '#
 (If Duplicated)]]="",Table2[[#This Row],[Form '#]],Table2[[#This Row],[Corrected Form '#
 (If Duplicated)]])</f>
        <v>7812-3856</v>
      </c>
      <c r="N666" s="1" t="s">
        <v>49</v>
      </c>
      <c r="O666" s="6" t="str">
        <f>IF(Table2[[#This Row],[POG CONFIRMATION RECEIPT OF ORDER
(DATE &amp; TIME)]]="","No Confirmation","Received Confirmation")</f>
        <v>Received Confirmation</v>
      </c>
      <c r="P666" s="6">
        <f ca="1">TODAY()-Table2[[#This Row],[DATE SENT TO POG]]</f>
        <v>289</v>
      </c>
      <c r="Q666" s="6" t="s">
        <v>5803</v>
      </c>
      <c r="R6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6" s="2" t="str">
        <f>_xlfn.XLOOKUP(Table2[[#This Row],[Adjusted Form '#]],'[2]IN PROGRESS'!$D:$D,'[2]IN PROGRESS'!$M:$M,"Not Found")</f>
        <v>Not Found</v>
      </c>
      <c r="U666" s="2" t="str">
        <f>_xlfn.XLOOKUP(Table2[[#This Row],[Adjusted Form '#]],[1]COMPLETED!$D:$D,[2]COMPLETED!$M:$M,"Not Found")</f>
        <v>Not Found</v>
      </c>
      <c r="V666" s="17" t="str">
        <f>_xlfn.XLOOKUP(Table2[[#This Row],[Adjusted Form '#]],[2]COMPLETED!$D:$D,[2]COMPLETED!$O:$O,"Not Found")</f>
        <v>Not Found</v>
      </c>
      <c r="W666" s="2" t="str">
        <f>_xlfn.XLOOKUP(Table2[[#This Row],[Adjusted Form '#]],[2]BILLED!$D:$D,[2]BILLED!$M:$M,"Not Found")</f>
        <v>1Z5063E0YW42447284</v>
      </c>
      <c r="X666" s="17" t="e">
        <f>_xlfn.XLOOKUP(Table2[[#This Row],[Adjusted Form '#]],[2]BILLED!$D:$D,[1]BILLED!$O:$O,"Not Found")</f>
        <v>#REF!</v>
      </c>
      <c r="Y666" s="17" t="e">
        <f>_xlfn.XLOOKUP(Table2[[#This Row],[Adjusted Form '#]],'[2]REJECTED ORDERS'!$D:$D,'[2]REJECTED ORDERS'!$E:$E)</f>
        <v>#N/A</v>
      </c>
      <c r="Z666" s="1"/>
      <c r="AA666" s="1"/>
      <c r="AB666" s="8"/>
      <c r="AC666" s="8"/>
      <c r="AD666" s="8"/>
      <c r="AE666" s="8"/>
      <c r="AF666" s="8"/>
      <c r="AG666" s="8"/>
      <c r="AH666" s="8"/>
      <c r="AI666" s="8"/>
      <c r="AJ666" s="8"/>
    </row>
    <row r="667" spans="1:36" ht="15" customHeight="1" x14ac:dyDescent="0.35">
      <c r="A667" s="4" t="s">
        <v>1009</v>
      </c>
      <c r="B667" s="1" t="s">
        <v>2891</v>
      </c>
      <c r="C667" s="11">
        <v>45014</v>
      </c>
      <c r="D667" s="11" t="s">
        <v>4980</v>
      </c>
      <c r="E667" s="1" t="s">
        <v>191</v>
      </c>
      <c r="F667" s="1" t="s">
        <v>4983</v>
      </c>
      <c r="G667" s="6">
        <f>COUNTIF(F:F,Table2[[#This Row],[Form '#]])</f>
        <v>1</v>
      </c>
      <c r="H667" s="1" t="s">
        <v>4984</v>
      </c>
      <c r="I667" s="1" t="s">
        <v>127</v>
      </c>
      <c r="J667" s="1" t="s">
        <v>3891</v>
      </c>
      <c r="K667" s="1" t="s">
        <v>3883</v>
      </c>
      <c r="L667" s="1"/>
      <c r="M667" s="6" t="str">
        <f>IF(Table2[[#This Row],[Corrected Form '#
 (If Duplicated)]]="",Table2[[#This Row],[Form '#]],Table2[[#This Row],[Corrected Form '#
 (If Duplicated)]])</f>
        <v>7812-03370</v>
      </c>
      <c r="N667" s="1" t="s">
        <v>49</v>
      </c>
      <c r="O667" s="6" t="str">
        <f>IF(Table2[[#This Row],[POG CONFIRMATION RECEIPT OF ORDER
(DATE &amp; TIME)]]="","No Confirmation","Received Confirmation")</f>
        <v>Received Confirmation</v>
      </c>
      <c r="P667" s="6">
        <f ca="1">TODAY()-Table2[[#This Row],[DATE SENT TO POG]]</f>
        <v>289</v>
      </c>
      <c r="Q667" s="6" t="s">
        <v>5803</v>
      </c>
      <c r="R6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7" s="2" t="str">
        <f>_xlfn.XLOOKUP(Table2[[#This Row],[Adjusted Form '#]],'[2]IN PROGRESS'!$D:$D,'[2]IN PROGRESS'!$M:$M,"Not Found")</f>
        <v>Not Found</v>
      </c>
      <c r="U667" s="2" t="str">
        <f>_xlfn.XLOOKUP(Table2[[#This Row],[Adjusted Form '#]],[1]COMPLETED!$D:$D,[2]COMPLETED!$M:$M,"Not Found")</f>
        <v>Not Found</v>
      </c>
      <c r="V667" s="17" t="str">
        <f>_xlfn.XLOOKUP(Table2[[#This Row],[Adjusted Form '#]],[2]COMPLETED!$D:$D,[2]COMPLETED!$O:$O,"Not Found")</f>
        <v>Not Found</v>
      </c>
      <c r="W667" s="2" t="str">
        <f>_xlfn.XLOOKUP(Table2[[#This Row],[Adjusted Form '#]],[2]BILLED!$D:$D,[2]BILLED!$M:$M,"Not Found")</f>
        <v>1Z5063E0YW42226610</v>
      </c>
      <c r="X667" s="17" t="e">
        <f>_xlfn.XLOOKUP(Table2[[#This Row],[Adjusted Form '#]],[2]BILLED!$D:$D,[1]BILLED!$O:$O,"Not Found")</f>
        <v>#REF!</v>
      </c>
      <c r="Y667" s="17" t="e">
        <f>_xlfn.XLOOKUP(Table2[[#This Row],[Adjusted Form '#]],'[2]REJECTED ORDERS'!$D:$D,'[2]REJECTED ORDERS'!$E:$E)</f>
        <v>#N/A</v>
      </c>
      <c r="Z667" s="1"/>
      <c r="AA667" s="1"/>
      <c r="AB667" s="8"/>
      <c r="AC667" s="8"/>
      <c r="AD667" s="8"/>
      <c r="AE667" s="8"/>
      <c r="AF667" s="8"/>
      <c r="AG667" s="8"/>
      <c r="AH667" s="8"/>
      <c r="AI667" s="8"/>
      <c r="AJ667" s="8"/>
    </row>
    <row r="668" spans="1:36" ht="15" customHeight="1" x14ac:dyDescent="0.35">
      <c r="A668" s="4" t="s">
        <v>1011</v>
      </c>
      <c r="B668" s="1" t="s">
        <v>2891</v>
      </c>
      <c r="C668" s="11">
        <v>45014</v>
      </c>
      <c r="D668" s="11" t="s">
        <v>4980</v>
      </c>
      <c r="E668" s="1" t="s">
        <v>191</v>
      </c>
      <c r="F668" s="1" t="s">
        <v>4985</v>
      </c>
      <c r="G668" s="6">
        <f>COUNTIF(F:F,Table2[[#This Row],[Form '#]])</f>
        <v>1</v>
      </c>
      <c r="H668" s="1" t="s">
        <v>4986</v>
      </c>
      <c r="I668" s="1" t="s">
        <v>127</v>
      </c>
      <c r="J668" s="1" t="s">
        <v>74</v>
      </c>
      <c r="K668" s="1" t="s">
        <v>4011</v>
      </c>
      <c r="L668" s="1"/>
      <c r="M668" s="6" t="str">
        <f>IF(Table2[[#This Row],[Corrected Form '#
 (If Duplicated)]]="",Table2[[#This Row],[Form '#]],Table2[[#This Row],[Corrected Form '#
 (If Duplicated)]])</f>
        <v>7812-3583</v>
      </c>
      <c r="N668" s="1" t="s">
        <v>49</v>
      </c>
      <c r="O668" s="6" t="str">
        <f>IF(Table2[[#This Row],[POG CONFIRMATION RECEIPT OF ORDER
(DATE &amp; TIME)]]="","No Confirmation","Received Confirmation")</f>
        <v>Received Confirmation</v>
      </c>
      <c r="P668" s="6">
        <f ca="1">TODAY()-Table2[[#This Row],[DATE SENT TO POG]]</f>
        <v>289</v>
      </c>
      <c r="Q668" s="6" t="s">
        <v>5803</v>
      </c>
      <c r="R6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8" s="2" t="str">
        <f>_xlfn.XLOOKUP(Table2[[#This Row],[Adjusted Form '#]],'[2]IN PROGRESS'!$D:$D,'[2]IN PROGRESS'!$M:$M,"Not Found")</f>
        <v>Not Found</v>
      </c>
      <c r="U668" s="2" t="str">
        <f>_xlfn.XLOOKUP(Table2[[#This Row],[Adjusted Form '#]],[1]COMPLETED!$D:$D,[2]COMPLETED!$M:$M,"Not Found")</f>
        <v>Not Found</v>
      </c>
      <c r="V668" s="17" t="str">
        <f>_xlfn.XLOOKUP(Table2[[#This Row],[Adjusted Form '#]],[2]COMPLETED!$D:$D,[2]COMPLETED!$O:$O,"Not Found")</f>
        <v>Not Found</v>
      </c>
      <c r="W668" s="2" t="str">
        <f>_xlfn.XLOOKUP(Table2[[#This Row],[Adjusted Form '#]],[2]BILLED!$D:$D,[2]BILLED!$M:$M,"Not Found")</f>
        <v>1Z5063E0YW41540200</v>
      </c>
      <c r="X668" s="17" t="e">
        <f>_xlfn.XLOOKUP(Table2[[#This Row],[Adjusted Form '#]],[2]BILLED!$D:$D,[1]BILLED!$O:$O,"Not Found")</f>
        <v>#REF!</v>
      </c>
      <c r="Y668" s="17" t="e">
        <f>_xlfn.XLOOKUP(Table2[[#This Row],[Adjusted Form '#]],'[2]REJECTED ORDERS'!$D:$D,'[2]REJECTED ORDERS'!$E:$E)</f>
        <v>#N/A</v>
      </c>
      <c r="Z668" s="1"/>
      <c r="AA668" s="1"/>
      <c r="AB668" s="8"/>
      <c r="AC668" s="8"/>
      <c r="AD668" s="8"/>
      <c r="AE668" s="8"/>
      <c r="AF668" s="8"/>
      <c r="AG668" s="8"/>
      <c r="AH668" s="8"/>
      <c r="AI668" s="8"/>
      <c r="AJ668" s="8"/>
    </row>
    <row r="669" spans="1:36" ht="15" customHeight="1" x14ac:dyDescent="0.35">
      <c r="A669" s="4" t="s">
        <v>1013</v>
      </c>
      <c r="B669" s="1" t="s">
        <v>2891</v>
      </c>
      <c r="C669" s="11">
        <v>45014</v>
      </c>
      <c r="D669" s="11" t="s">
        <v>4980</v>
      </c>
      <c r="E669" s="1" t="s">
        <v>191</v>
      </c>
      <c r="F669" s="1" t="s">
        <v>4987</v>
      </c>
      <c r="G669" s="6">
        <f>COUNTIF(F:F,Table2[[#This Row],[Form '#]])</f>
        <v>1</v>
      </c>
      <c r="H669" s="1" t="s">
        <v>3658</v>
      </c>
      <c r="I669" s="1" t="s">
        <v>127</v>
      </c>
      <c r="J669" s="1" t="s">
        <v>76</v>
      </c>
      <c r="K669" s="1" t="s">
        <v>4011</v>
      </c>
      <c r="L669" s="1"/>
      <c r="M669" s="6" t="str">
        <f>IF(Table2[[#This Row],[Corrected Form '#
 (If Duplicated)]]="",Table2[[#This Row],[Form '#]],Table2[[#This Row],[Corrected Form '#
 (If Duplicated)]])</f>
        <v>7812-3789</v>
      </c>
      <c r="N669" s="1" t="s">
        <v>49</v>
      </c>
      <c r="O669" s="6" t="str">
        <f>IF(Table2[[#This Row],[POG CONFIRMATION RECEIPT OF ORDER
(DATE &amp; TIME)]]="","No Confirmation","Received Confirmation")</f>
        <v>Received Confirmation</v>
      </c>
      <c r="P669" s="6">
        <f ca="1">TODAY()-Table2[[#This Row],[DATE SENT TO POG]]</f>
        <v>289</v>
      </c>
      <c r="Q669" s="6" t="s">
        <v>5803</v>
      </c>
      <c r="R6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69" s="2" t="str">
        <f>_xlfn.XLOOKUP(Table2[[#This Row],[Adjusted Form '#]],'[2]IN PROGRESS'!$D:$D,'[2]IN PROGRESS'!$M:$M,"Not Found")</f>
        <v>Not Found</v>
      </c>
      <c r="U669" s="2" t="str">
        <f>_xlfn.XLOOKUP(Table2[[#This Row],[Adjusted Form '#]],[1]COMPLETED!$D:$D,[2]COMPLETED!$M:$M,"Not Found")</f>
        <v>Not Found</v>
      </c>
      <c r="V669" s="17" t="str">
        <f>_xlfn.XLOOKUP(Table2[[#This Row],[Adjusted Form '#]],[2]COMPLETED!$D:$D,[2]COMPLETED!$O:$O,"Not Found")</f>
        <v>Not Found</v>
      </c>
      <c r="W669" s="2" t="str">
        <f>_xlfn.XLOOKUP(Table2[[#This Row],[Adjusted Form '#]],[2]BILLED!$D:$D,[2]BILLED!$M:$M,"Not Found")</f>
        <v>1Z5063E0YW42503187</v>
      </c>
      <c r="X669" s="17" t="e">
        <f>_xlfn.XLOOKUP(Table2[[#This Row],[Adjusted Form '#]],[2]BILLED!$D:$D,[1]BILLED!$O:$O,"Not Found")</f>
        <v>#REF!</v>
      </c>
      <c r="Y669" s="17" t="e">
        <f>_xlfn.XLOOKUP(Table2[[#This Row],[Adjusted Form '#]],'[2]REJECTED ORDERS'!$D:$D,'[2]REJECTED ORDERS'!$E:$E)</f>
        <v>#N/A</v>
      </c>
      <c r="Z669" s="1"/>
      <c r="AA669" s="1"/>
      <c r="AB669" s="8"/>
      <c r="AC669" s="8"/>
      <c r="AD669" s="8"/>
      <c r="AE669" s="8"/>
      <c r="AF669" s="8"/>
      <c r="AG669" s="8"/>
      <c r="AH669" s="8"/>
      <c r="AI669" s="8"/>
      <c r="AJ669" s="8"/>
    </row>
    <row r="670" spans="1:36" ht="15" customHeight="1" x14ac:dyDescent="0.35">
      <c r="A670" s="4" t="s">
        <v>1014</v>
      </c>
      <c r="B670" s="1" t="s">
        <v>1329</v>
      </c>
      <c r="C670" s="11">
        <v>45014</v>
      </c>
      <c r="D670" s="11" t="s">
        <v>4988</v>
      </c>
      <c r="E670" s="1" t="s">
        <v>21</v>
      </c>
      <c r="F670" s="1" t="s">
        <v>4989</v>
      </c>
      <c r="G670" s="6">
        <f>COUNTIF(F:F,Table2[[#This Row],[Form '#]])</f>
        <v>1</v>
      </c>
      <c r="H670" s="1" t="s">
        <v>4990</v>
      </c>
      <c r="I670" s="1" t="s">
        <v>3852</v>
      </c>
      <c r="J670" s="1" t="s">
        <v>80</v>
      </c>
      <c r="K670" s="1" t="s">
        <v>3853</v>
      </c>
      <c r="L670" s="1"/>
      <c r="M670" s="6" t="str">
        <f>IF(Table2[[#This Row],[Corrected Form '#
 (If Duplicated)]]="",Table2[[#This Row],[Form '#]],Table2[[#This Row],[Corrected Form '#
 (If Duplicated)]])</f>
        <v>7818-2506</v>
      </c>
      <c r="N670" s="1" t="s">
        <v>49</v>
      </c>
      <c r="O670" s="6" t="str">
        <f>IF(Table2[[#This Row],[POG CONFIRMATION RECEIPT OF ORDER
(DATE &amp; TIME)]]="","No Confirmation","Received Confirmation")</f>
        <v>Received Confirmation</v>
      </c>
      <c r="P670" s="6">
        <f ca="1">TODAY()-Table2[[#This Row],[DATE SENT TO POG]]</f>
        <v>289</v>
      </c>
      <c r="Q670" s="6" t="s">
        <v>5802</v>
      </c>
      <c r="R6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67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670" s="2" t="str">
        <f>_xlfn.XLOOKUP(Table2[[#This Row],[Adjusted Form '#]],'[2]IN PROGRESS'!$D:$D,'[2]IN PROGRESS'!$M:$M,"Not Found")</f>
        <v>Not Found</v>
      </c>
      <c r="U670" s="2" t="str">
        <f>_xlfn.XLOOKUP(Table2[[#This Row],[Adjusted Form '#]],[1]COMPLETED!$D:$D,[2]COMPLETED!$M:$M,"Not Found")</f>
        <v>Not Found</v>
      </c>
      <c r="V670" s="17" t="str">
        <f>_xlfn.XLOOKUP(Table2[[#This Row],[Adjusted Form '#]],[2]COMPLETED!$D:$D,[2]COMPLETED!$O:$O,"Not Found")</f>
        <v>Not Found</v>
      </c>
      <c r="W670" s="2" t="str">
        <f>_xlfn.XLOOKUP(Table2[[#This Row],[Adjusted Form '#]],[2]BILLED!$D:$D,[2]BILLED!$M:$M,"Not Found")</f>
        <v>Not Found</v>
      </c>
      <c r="X670" s="17" t="str">
        <f>_xlfn.XLOOKUP(Table2[[#This Row],[Adjusted Form '#]],[2]BILLED!$D:$D,[1]BILLED!$O:$O,"Not Found")</f>
        <v>Not Found</v>
      </c>
      <c r="Y670" s="17" t="e">
        <f>_xlfn.XLOOKUP(Table2[[#This Row],[Adjusted Form '#]],'[2]REJECTED ORDERS'!$D:$D,'[2]REJECTED ORDERS'!$E:$E)</f>
        <v>#N/A</v>
      </c>
      <c r="Z670" s="1"/>
      <c r="AA670" s="1"/>
      <c r="AB670" s="8"/>
      <c r="AC670" s="8"/>
      <c r="AD670" s="8"/>
      <c r="AE670" s="8"/>
      <c r="AF670" s="8"/>
      <c r="AG670" s="8"/>
      <c r="AH670" s="8"/>
      <c r="AI670" s="8"/>
      <c r="AJ670" s="8"/>
    </row>
    <row r="671" spans="1:36" ht="15" customHeight="1" x14ac:dyDescent="0.35">
      <c r="A671" s="4" t="s">
        <v>1016</v>
      </c>
      <c r="B671" s="1" t="s">
        <v>4991</v>
      </c>
      <c r="C671" s="11">
        <v>45016</v>
      </c>
      <c r="E671" s="1" t="s">
        <v>191</v>
      </c>
      <c r="F671" s="1" t="s">
        <v>4992</v>
      </c>
      <c r="G671" s="6">
        <f>COUNTIF(F:F,Table2[[#This Row],[Form '#]])</f>
        <v>2</v>
      </c>
      <c r="H671" s="1" t="s">
        <v>2954</v>
      </c>
      <c r="I671" s="1" t="s">
        <v>127</v>
      </c>
      <c r="J671" s="1" t="s">
        <v>3891</v>
      </c>
      <c r="K671" s="1" t="s">
        <v>3883</v>
      </c>
      <c r="L671" s="1"/>
      <c r="M671" s="6" t="str">
        <f>IF(Table2[[#This Row],[Corrected Form '#
 (If Duplicated)]]="",Table2[[#This Row],[Form '#]],Table2[[#This Row],[Corrected Form '#
 (If Duplicated)]])</f>
        <v>7812-3938</v>
      </c>
      <c r="N671" s="1" t="s">
        <v>49</v>
      </c>
      <c r="O671" s="6" t="str">
        <f>IF(Table2[[#This Row],[POG CONFIRMATION RECEIPT OF ORDER
(DATE &amp; TIME)]]="","No Confirmation","Received Confirmation")</f>
        <v>No Confirmation</v>
      </c>
      <c r="P671" s="6">
        <f ca="1">TODAY()-Table2[[#This Row],[DATE SENT TO POG]]</f>
        <v>287</v>
      </c>
      <c r="Q671" s="6" t="s">
        <v>5803</v>
      </c>
      <c r="R6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1" s="2" t="str">
        <f>_xlfn.XLOOKUP(Table2[[#This Row],[Adjusted Form '#]],'[2]IN PROGRESS'!$D:$D,'[2]IN PROGRESS'!$M:$M,"Not Found")</f>
        <v>Not Found</v>
      </c>
      <c r="U671" s="2" t="str">
        <f>_xlfn.XLOOKUP(Table2[[#This Row],[Adjusted Form '#]],[1]COMPLETED!$D:$D,[2]COMPLETED!$M:$M,"Not Found")</f>
        <v>Not Found</v>
      </c>
      <c r="V671" s="17" t="str">
        <f>_xlfn.XLOOKUP(Table2[[#This Row],[Adjusted Form '#]],[2]COMPLETED!$D:$D,[2]COMPLETED!$O:$O,"Not Found")</f>
        <v>Not Found</v>
      </c>
      <c r="W671" s="2" t="str">
        <f>_xlfn.XLOOKUP(Table2[[#This Row],[Adjusted Form '#]],[2]BILLED!$D:$D,[2]BILLED!$M:$M,"Not Found")</f>
        <v>9402 1112 0620 7776 6235 76</v>
      </c>
      <c r="X671" s="17" t="e">
        <f>_xlfn.XLOOKUP(Table2[[#This Row],[Adjusted Form '#]],[2]BILLED!$D:$D,[1]BILLED!$O:$O,"Not Found")</f>
        <v>#REF!</v>
      </c>
      <c r="Y671" s="17" t="e">
        <f>_xlfn.XLOOKUP(Table2[[#This Row],[Adjusted Form '#]],'[2]REJECTED ORDERS'!$D:$D,'[2]REJECTED ORDERS'!$E:$E)</f>
        <v>#N/A</v>
      </c>
      <c r="Z671" s="1"/>
      <c r="AA671" s="1"/>
      <c r="AB671" s="8"/>
      <c r="AC671" s="8"/>
      <c r="AD671" s="8"/>
      <c r="AE671" s="8"/>
      <c r="AF671" s="8"/>
      <c r="AG671" s="8"/>
      <c r="AH671" s="8"/>
      <c r="AI671" s="8"/>
      <c r="AJ671" s="8"/>
    </row>
    <row r="672" spans="1:36" ht="15" customHeight="1" x14ac:dyDescent="0.35">
      <c r="A672" s="4" t="s">
        <v>1018</v>
      </c>
      <c r="B672" s="1" t="s">
        <v>466</v>
      </c>
      <c r="C672" s="11">
        <v>45016</v>
      </c>
      <c r="E672" s="1" t="s">
        <v>21</v>
      </c>
      <c r="F672" s="1" t="s">
        <v>4993</v>
      </c>
      <c r="G672" s="6">
        <f>COUNTIF(F:F,Table2[[#This Row],[Form '#]])</f>
        <v>1</v>
      </c>
      <c r="H672" s="1" t="s">
        <v>2705</v>
      </c>
      <c r="I672" s="1" t="s">
        <v>127</v>
      </c>
      <c r="J672" s="1" t="s">
        <v>76</v>
      </c>
      <c r="K672" s="1" t="s">
        <v>4011</v>
      </c>
      <c r="L672" s="1"/>
      <c r="M672" s="6" t="str">
        <f>IF(Table2[[#This Row],[Corrected Form '#
 (If Duplicated)]]="",Table2[[#This Row],[Form '#]],Table2[[#This Row],[Corrected Form '#
 (If Duplicated)]])</f>
        <v>7818-29859</v>
      </c>
      <c r="N672" s="1" t="s">
        <v>49</v>
      </c>
      <c r="O672" s="6" t="str">
        <f>IF(Table2[[#This Row],[POG CONFIRMATION RECEIPT OF ORDER
(DATE &amp; TIME)]]="","No Confirmation","Received Confirmation")</f>
        <v>No Confirmation</v>
      </c>
      <c r="P672" s="6">
        <f ca="1">TODAY()-Table2[[#This Row],[DATE SENT TO POG]]</f>
        <v>287</v>
      </c>
      <c r="Q672" s="6" t="s">
        <v>5803</v>
      </c>
      <c r="R6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2" s="2" t="str">
        <f>_xlfn.XLOOKUP(Table2[[#This Row],[Adjusted Form '#]],'[2]IN PROGRESS'!$D:$D,'[2]IN PROGRESS'!$M:$M,"Not Found")</f>
        <v>Not Found</v>
      </c>
      <c r="U672" s="2" t="str">
        <f>_xlfn.XLOOKUP(Table2[[#This Row],[Adjusted Form '#]],[1]COMPLETED!$D:$D,[2]COMPLETED!$M:$M,"Not Found")</f>
        <v>Not Found</v>
      </c>
      <c r="V672" s="17" t="str">
        <f>_xlfn.XLOOKUP(Table2[[#This Row],[Adjusted Form '#]],[2]COMPLETED!$D:$D,[2]COMPLETED!$O:$O,"Not Found")</f>
        <v>Not Found</v>
      </c>
      <c r="W672" s="2" t="str">
        <f>_xlfn.XLOOKUP(Table2[[#This Row],[Adjusted Form '#]],[2]BILLED!$D:$D,[2]BILLED!$M:$M,"Not Found")</f>
        <v>9402 1112 0620 7741 8484 47</v>
      </c>
      <c r="X672" s="17" t="e">
        <f>_xlfn.XLOOKUP(Table2[[#This Row],[Adjusted Form '#]],[2]BILLED!$D:$D,[1]BILLED!$O:$O,"Not Found")</f>
        <v>#REF!</v>
      </c>
      <c r="Y672" s="17" t="e">
        <f>_xlfn.XLOOKUP(Table2[[#This Row],[Adjusted Form '#]],'[2]REJECTED ORDERS'!$D:$D,'[2]REJECTED ORDERS'!$E:$E)</f>
        <v>#N/A</v>
      </c>
      <c r="Z672" s="1"/>
      <c r="AA672" s="1"/>
      <c r="AB672" s="8"/>
      <c r="AC672" s="8"/>
      <c r="AD672" s="8"/>
      <c r="AE672" s="8"/>
      <c r="AF672" s="8"/>
      <c r="AG672" s="8"/>
      <c r="AH672" s="8"/>
      <c r="AI672" s="8"/>
      <c r="AJ672" s="8"/>
    </row>
    <row r="673" spans="1:36" ht="15" customHeight="1" x14ac:dyDescent="0.35">
      <c r="A673" s="4" t="s">
        <v>1020</v>
      </c>
      <c r="B673" s="1" t="s">
        <v>3611</v>
      </c>
      <c r="C673" s="11">
        <v>45016</v>
      </c>
      <c r="D673" s="11" t="s">
        <v>4994</v>
      </c>
      <c r="E673" s="1" t="s">
        <v>21</v>
      </c>
      <c r="F673" s="1" t="s">
        <v>4995</v>
      </c>
      <c r="G673" s="6">
        <f>COUNTIF(F:F,Table2[[#This Row],[Form '#]])</f>
        <v>1</v>
      </c>
      <c r="H673" s="1" t="s">
        <v>4996</v>
      </c>
      <c r="I673" s="1" t="s">
        <v>127</v>
      </c>
      <c r="J673" s="1" t="s">
        <v>71</v>
      </c>
      <c r="K673" s="1" t="s">
        <v>3883</v>
      </c>
      <c r="L673" s="1"/>
      <c r="M673" s="6" t="str">
        <f>IF(Table2[[#This Row],[Corrected Form '#
 (If Duplicated)]]="",Table2[[#This Row],[Form '#]],Table2[[#This Row],[Corrected Form '#
 (If Duplicated)]])</f>
        <v>7818-21698</v>
      </c>
      <c r="N673" s="1" t="s">
        <v>49</v>
      </c>
      <c r="O673" s="6" t="str">
        <f>IF(Table2[[#This Row],[POG CONFIRMATION RECEIPT OF ORDER
(DATE &amp; TIME)]]="","No Confirmation","Received Confirmation")</f>
        <v>Received Confirmation</v>
      </c>
      <c r="P673" s="6">
        <f ca="1">TODAY()-Table2[[#This Row],[DATE SENT TO POG]]</f>
        <v>287</v>
      </c>
      <c r="Q673" s="6" t="s">
        <v>5803</v>
      </c>
      <c r="R6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3" s="2" t="str">
        <f>_xlfn.XLOOKUP(Table2[[#This Row],[Adjusted Form '#]],'[2]IN PROGRESS'!$D:$D,'[2]IN PROGRESS'!$M:$M,"Not Found")</f>
        <v>Not Found</v>
      </c>
      <c r="U673" s="2" t="str">
        <f>_xlfn.XLOOKUP(Table2[[#This Row],[Adjusted Form '#]],[1]COMPLETED!$D:$D,[2]COMPLETED!$M:$M,"Not Found")</f>
        <v>Not Found</v>
      </c>
      <c r="V673" s="17" t="str">
        <f>_xlfn.XLOOKUP(Table2[[#This Row],[Adjusted Form '#]],[2]COMPLETED!$D:$D,[2]COMPLETED!$O:$O,"Not Found")</f>
        <v>Not Found</v>
      </c>
      <c r="W673" s="2" t="str">
        <f>_xlfn.XLOOKUP(Table2[[#This Row],[Adjusted Form '#]],[2]BILLED!$D:$D,[2]BILLED!$M:$M,"Not Found")</f>
        <v>9402 1112 0620 7776 6696 11</v>
      </c>
      <c r="X673" s="17" t="e">
        <f>_xlfn.XLOOKUP(Table2[[#This Row],[Adjusted Form '#]],[2]BILLED!$D:$D,[1]BILLED!$O:$O,"Not Found")</f>
        <v>#REF!</v>
      </c>
      <c r="Y673" s="17" t="e">
        <f>_xlfn.XLOOKUP(Table2[[#This Row],[Adjusted Form '#]],'[2]REJECTED ORDERS'!$D:$D,'[2]REJECTED ORDERS'!$E:$E)</f>
        <v>#N/A</v>
      </c>
      <c r="Z673" s="1"/>
      <c r="AA673" s="1"/>
      <c r="AB673" s="8"/>
      <c r="AC673" s="8"/>
      <c r="AD673" s="8"/>
      <c r="AE673" s="8"/>
      <c r="AF673" s="8"/>
      <c r="AG673" s="8"/>
      <c r="AH673" s="8"/>
      <c r="AI673" s="8"/>
      <c r="AJ673" s="8"/>
    </row>
    <row r="674" spans="1:36" ht="15" customHeight="1" x14ac:dyDescent="0.35">
      <c r="A674" s="4" t="s">
        <v>1021</v>
      </c>
      <c r="B674" s="1" t="s">
        <v>3611</v>
      </c>
      <c r="C674" s="11">
        <v>45016</v>
      </c>
      <c r="D674" s="11" t="s">
        <v>4994</v>
      </c>
      <c r="E674" s="1" t="s">
        <v>21</v>
      </c>
      <c r="F674" s="1" t="s">
        <v>4997</v>
      </c>
      <c r="G674" s="6">
        <f>COUNTIF(F:F,Table2[[#This Row],[Form '#]])</f>
        <v>1</v>
      </c>
      <c r="H674" s="1" t="s">
        <v>4998</v>
      </c>
      <c r="I674" s="1" t="s">
        <v>177</v>
      </c>
      <c r="J674" s="1" t="s">
        <v>75</v>
      </c>
      <c r="K674" s="1" t="s">
        <v>3853</v>
      </c>
      <c r="L674" s="1"/>
      <c r="M674" s="6" t="str">
        <f>IF(Table2[[#This Row],[Corrected Form '#
 (If Duplicated)]]="",Table2[[#This Row],[Form '#]],Table2[[#This Row],[Corrected Form '#
 (If Duplicated)]])</f>
        <v>7818-26194</v>
      </c>
      <c r="N674" s="1" t="s">
        <v>49</v>
      </c>
      <c r="O674" s="6" t="str">
        <f>IF(Table2[[#This Row],[POG CONFIRMATION RECEIPT OF ORDER
(DATE &amp; TIME)]]="","No Confirmation","Received Confirmation")</f>
        <v>Received Confirmation</v>
      </c>
      <c r="P674" s="6">
        <f ca="1">TODAY()-Table2[[#This Row],[DATE SENT TO POG]]</f>
        <v>287</v>
      </c>
      <c r="Q674" s="6" t="s">
        <v>5803</v>
      </c>
      <c r="R6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67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674" s="2" t="str">
        <f>_xlfn.XLOOKUP(Table2[[#This Row],[Adjusted Form '#]],'[2]IN PROGRESS'!$D:$D,'[2]IN PROGRESS'!$M:$M,"Not Found")</f>
        <v>Not Found</v>
      </c>
      <c r="U674" s="2" t="str">
        <f>_xlfn.XLOOKUP(Table2[[#This Row],[Adjusted Form '#]],[1]COMPLETED!$D:$D,[2]COMPLETED!$M:$M,"Not Found")</f>
        <v>Not Found</v>
      </c>
      <c r="V674" s="17">
        <f>_xlfn.XLOOKUP(Table2[[#This Row],[Adjusted Form '#]],[2]COMPLETED!$D:$D,[2]COMPLETED!$O:$O,"Not Found")</f>
        <v>0</v>
      </c>
      <c r="W674" s="2" t="str">
        <f>_xlfn.XLOOKUP(Table2[[#This Row],[Adjusted Form '#]],[2]BILLED!$D:$D,[2]BILLED!$M:$M,"Not Found")</f>
        <v>Not Found</v>
      </c>
      <c r="X674" s="17" t="str">
        <f>_xlfn.XLOOKUP(Table2[[#This Row],[Adjusted Form '#]],[2]BILLED!$D:$D,[1]BILLED!$O:$O,"Not Found")</f>
        <v>Not Found</v>
      </c>
      <c r="Y674" s="17" t="e">
        <f>_xlfn.XLOOKUP(Table2[[#This Row],[Adjusted Form '#]],'[2]REJECTED ORDERS'!$D:$D,'[2]REJECTED ORDERS'!$E:$E)</f>
        <v>#N/A</v>
      </c>
      <c r="Z674" s="1"/>
      <c r="AA674" s="1"/>
      <c r="AB674" s="8"/>
      <c r="AC674" s="8"/>
      <c r="AD674" s="8"/>
      <c r="AE674" s="8"/>
      <c r="AF674" s="8"/>
      <c r="AG674" s="8"/>
      <c r="AH674" s="8"/>
      <c r="AI674" s="8"/>
      <c r="AJ674" s="8"/>
    </row>
    <row r="675" spans="1:36" ht="15" customHeight="1" x14ac:dyDescent="0.35">
      <c r="A675" s="4" t="s">
        <v>1024</v>
      </c>
      <c r="B675" s="1" t="s">
        <v>3611</v>
      </c>
      <c r="C675" s="11">
        <v>45016</v>
      </c>
      <c r="D675" s="11" t="s">
        <v>4994</v>
      </c>
      <c r="E675" s="1" t="s">
        <v>21</v>
      </c>
      <c r="F675" s="1" t="s">
        <v>4999</v>
      </c>
      <c r="G675" s="6">
        <f>COUNTIF(F:F,Table2[[#This Row],[Form '#]])</f>
        <v>1</v>
      </c>
      <c r="H675" s="1" t="s">
        <v>5000</v>
      </c>
      <c r="I675" s="1" t="s">
        <v>3864</v>
      </c>
      <c r="J675" s="1" t="s">
        <v>78</v>
      </c>
      <c r="K675" s="1" t="s">
        <v>3879</v>
      </c>
      <c r="L675" s="1"/>
      <c r="M675" s="6" t="str">
        <f>IF(Table2[[#This Row],[Corrected Form '#
 (If Duplicated)]]="",Table2[[#This Row],[Form '#]],Table2[[#This Row],[Corrected Form '#
 (If Duplicated)]])</f>
        <v>7818-26573</v>
      </c>
      <c r="N675" s="1" t="s">
        <v>49</v>
      </c>
      <c r="O675" s="6" t="str">
        <f>IF(Table2[[#This Row],[POG CONFIRMATION RECEIPT OF ORDER
(DATE &amp; TIME)]]="","No Confirmation","Received Confirmation")</f>
        <v>Received Confirmation</v>
      </c>
      <c r="P675" s="6">
        <f ca="1">TODAY()-Table2[[#This Row],[DATE SENT TO POG]]</f>
        <v>287</v>
      </c>
      <c r="Q675" s="6" t="s">
        <v>5803</v>
      </c>
      <c r="R6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5" s="2" t="str">
        <f>_xlfn.XLOOKUP(Table2[[#This Row],[Adjusted Form '#]],'[2]IN PROGRESS'!$D:$D,'[2]IN PROGRESS'!$M:$M,"Not Found")</f>
        <v>Not Found</v>
      </c>
      <c r="U675" s="2" t="str">
        <f>_xlfn.XLOOKUP(Table2[[#This Row],[Adjusted Form '#]],[1]COMPLETED!$D:$D,[2]COMPLETED!$M:$M,"Not Found")</f>
        <v>Not Found</v>
      </c>
      <c r="V675" s="17" t="str">
        <f>_xlfn.XLOOKUP(Table2[[#This Row],[Adjusted Form '#]],[2]COMPLETED!$D:$D,[2]COMPLETED!$O:$O,"Not Found")</f>
        <v>Not Found</v>
      </c>
      <c r="W675" s="2" t="str">
        <f>_xlfn.XLOOKUP(Table2[[#This Row],[Adjusted Form '#]],[2]BILLED!$D:$D,[2]BILLED!$M:$M,"Not Found")</f>
        <v>9400 1112 0620 7226 4854 42</v>
      </c>
      <c r="X675" s="17" t="e">
        <f>_xlfn.XLOOKUP(Table2[[#This Row],[Adjusted Form '#]],[2]BILLED!$D:$D,[1]BILLED!$O:$O,"Not Found")</f>
        <v>#REF!</v>
      </c>
      <c r="Y675" s="17" t="e">
        <f>_xlfn.XLOOKUP(Table2[[#This Row],[Adjusted Form '#]],'[2]REJECTED ORDERS'!$D:$D,'[2]REJECTED ORDERS'!$E:$E)</f>
        <v>#N/A</v>
      </c>
      <c r="Z675" s="1"/>
      <c r="AA675" s="1"/>
      <c r="AB675" s="8"/>
      <c r="AC675" s="8"/>
      <c r="AD675" s="8"/>
      <c r="AE675" s="8"/>
      <c r="AF675" s="8"/>
      <c r="AG675" s="8"/>
      <c r="AH675" s="8"/>
      <c r="AI675" s="8"/>
      <c r="AJ675" s="8"/>
    </row>
    <row r="676" spans="1:36" ht="15" customHeight="1" x14ac:dyDescent="0.35">
      <c r="A676" s="4" t="s">
        <v>1025</v>
      </c>
      <c r="B676" s="1" t="s">
        <v>3611</v>
      </c>
      <c r="C676" s="11">
        <v>45016</v>
      </c>
      <c r="D676" s="11" t="s">
        <v>4994</v>
      </c>
      <c r="E676" s="1" t="s">
        <v>21</v>
      </c>
      <c r="F676" s="1" t="s">
        <v>5001</v>
      </c>
      <c r="G676" s="6">
        <f>COUNTIF(F:F,Table2[[#This Row],[Form '#]])</f>
        <v>1</v>
      </c>
      <c r="H676" s="1" t="s">
        <v>5002</v>
      </c>
      <c r="I676" s="1" t="s">
        <v>3852</v>
      </c>
      <c r="J676" s="1" t="s">
        <v>75</v>
      </c>
      <c r="K676" s="1" t="s">
        <v>3853</v>
      </c>
      <c r="L676" s="1"/>
      <c r="M676" s="6" t="str">
        <f>IF(Table2[[#This Row],[Corrected Form '#
 (If Duplicated)]]="",Table2[[#This Row],[Form '#]],Table2[[#This Row],[Corrected Form '#
 (If Duplicated)]])</f>
        <v>7818-23055</v>
      </c>
      <c r="N676" s="1" t="s">
        <v>49</v>
      </c>
      <c r="O676" s="6" t="str">
        <f>IF(Table2[[#This Row],[POG CONFIRMATION RECEIPT OF ORDER
(DATE &amp; TIME)]]="","No Confirmation","Received Confirmation")</f>
        <v>Received Confirmation</v>
      </c>
      <c r="P676" s="6">
        <f ca="1">TODAY()-Table2[[#This Row],[DATE SENT TO POG]]</f>
        <v>287</v>
      </c>
      <c r="Q676" s="6" t="s">
        <v>5803</v>
      </c>
      <c r="R6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6" s="2" t="str">
        <f>_xlfn.XLOOKUP(Table2[[#This Row],[Adjusted Form '#]],'[2]IN PROGRESS'!$D:$D,'[2]IN PROGRESS'!$M:$M,"Not Found")</f>
        <v>Not Found</v>
      </c>
      <c r="U676" s="2" t="str">
        <f>_xlfn.XLOOKUP(Table2[[#This Row],[Adjusted Form '#]],[1]COMPLETED!$D:$D,[2]COMPLETED!$M:$M,"Not Found")</f>
        <v>Not Found</v>
      </c>
      <c r="V676" s="17" t="str">
        <f>_xlfn.XLOOKUP(Table2[[#This Row],[Adjusted Form '#]],[2]COMPLETED!$D:$D,[2]COMPLETED!$O:$O,"Not Found")</f>
        <v>Not Found</v>
      </c>
      <c r="W676" s="2" t="str">
        <f>_xlfn.XLOOKUP(Table2[[#This Row],[Adjusted Form '#]],[2]BILLED!$D:$D,[2]BILLED!$M:$M,"Not Found")</f>
        <v>9400 1112 0620 7776 6871 12</v>
      </c>
      <c r="X676" s="17" t="e">
        <f>_xlfn.XLOOKUP(Table2[[#This Row],[Adjusted Form '#]],[2]BILLED!$D:$D,[1]BILLED!$O:$O,"Not Found")</f>
        <v>#REF!</v>
      </c>
      <c r="Y676" s="17" t="e">
        <f>_xlfn.XLOOKUP(Table2[[#This Row],[Adjusted Form '#]],'[2]REJECTED ORDERS'!$D:$D,'[2]REJECTED ORDERS'!$E:$E)</f>
        <v>#N/A</v>
      </c>
      <c r="Z676" s="1"/>
      <c r="AA676" s="1"/>
      <c r="AB676" s="8"/>
      <c r="AC676" s="8"/>
      <c r="AD676" s="8"/>
      <c r="AE676" s="8"/>
      <c r="AF676" s="8"/>
      <c r="AG676" s="8"/>
      <c r="AH676" s="8"/>
      <c r="AI676" s="8"/>
      <c r="AJ676" s="8"/>
    </row>
    <row r="677" spans="1:36" ht="15" customHeight="1" x14ac:dyDescent="0.35">
      <c r="A677" s="4" t="s">
        <v>1027</v>
      </c>
      <c r="B677" s="1" t="s">
        <v>3611</v>
      </c>
      <c r="C677" s="11">
        <v>45016</v>
      </c>
      <c r="D677" s="11" t="s">
        <v>4994</v>
      </c>
      <c r="E677" s="1" t="s">
        <v>21</v>
      </c>
      <c r="F677" s="1" t="s">
        <v>5003</v>
      </c>
      <c r="G677" s="6">
        <f>COUNTIF(F:F,Table2[[#This Row],[Form '#]])</f>
        <v>1</v>
      </c>
      <c r="H677" s="1" t="s">
        <v>2804</v>
      </c>
      <c r="I677" s="1" t="s">
        <v>127</v>
      </c>
      <c r="J677" s="1" t="s">
        <v>3891</v>
      </c>
      <c r="K677" s="1" t="s">
        <v>3883</v>
      </c>
      <c r="L677" s="1"/>
      <c r="M677" s="6" t="str">
        <f>IF(Table2[[#This Row],[Corrected Form '#
 (If Duplicated)]]="",Table2[[#This Row],[Form '#]],Table2[[#This Row],[Corrected Form '#
 (If Duplicated)]])</f>
        <v>7818-23049</v>
      </c>
      <c r="N677" s="1" t="s">
        <v>49</v>
      </c>
      <c r="O677" s="6" t="str">
        <f>IF(Table2[[#This Row],[POG CONFIRMATION RECEIPT OF ORDER
(DATE &amp; TIME)]]="","No Confirmation","Received Confirmation")</f>
        <v>Received Confirmation</v>
      </c>
      <c r="P677" s="6">
        <f ca="1">TODAY()-Table2[[#This Row],[DATE SENT TO POG]]</f>
        <v>287</v>
      </c>
      <c r="Q677" s="6" t="s">
        <v>5803</v>
      </c>
      <c r="R6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7" s="2" t="str">
        <f>_xlfn.XLOOKUP(Table2[[#This Row],[Adjusted Form '#]],'[2]IN PROGRESS'!$D:$D,'[2]IN PROGRESS'!$M:$M,"Not Found")</f>
        <v>Not Found</v>
      </c>
      <c r="U677" s="2" t="str">
        <f>_xlfn.XLOOKUP(Table2[[#This Row],[Adjusted Form '#]],[1]COMPLETED!$D:$D,[2]COMPLETED!$M:$M,"Not Found")</f>
        <v>Not Found</v>
      </c>
      <c r="V677" s="17" t="str">
        <f>_xlfn.XLOOKUP(Table2[[#This Row],[Adjusted Form '#]],[2]COMPLETED!$D:$D,[2]COMPLETED!$O:$O,"Not Found")</f>
        <v>Not Found</v>
      </c>
      <c r="W677" s="2" t="str">
        <f>_xlfn.XLOOKUP(Table2[[#This Row],[Adjusted Form '#]],[2]BILLED!$D:$D,[2]BILLED!$M:$M,"Not Found")</f>
        <v>1Z5063E0YW41878847</v>
      </c>
      <c r="X677" s="17" t="e">
        <f>_xlfn.XLOOKUP(Table2[[#This Row],[Adjusted Form '#]],[2]BILLED!$D:$D,[1]BILLED!$O:$O,"Not Found")</f>
        <v>#REF!</v>
      </c>
      <c r="Y677" s="17" t="e">
        <f>_xlfn.XLOOKUP(Table2[[#This Row],[Adjusted Form '#]],'[2]REJECTED ORDERS'!$D:$D,'[2]REJECTED ORDERS'!$E:$E)</f>
        <v>#N/A</v>
      </c>
      <c r="Z677" s="1"/>
      <c r="AA677" s="1"/>
      <c r="AB677" s="8"/>
      <c r="AC677" s="8"/>
      <c r="AD677" s="8"/>
      <c r="AE677" s="8"/>
      <c r="AF677" s="8"/>
      <c r="AG677" s="8"/>
      <c r="AH677" s="8"/>
      <c r="AI677" s="8"/>
      <c r="AJ677" s="8"/>
    </row>
    <row r="678" spans="1:36" ht="15" customHeight="1" x14ac:dyDescent="0.35">
      <c r="A678" s="4" t="s">
        <v>1028</v>
      </c>
      <c r="B678" s="1" t="s">
        <v>3611</v>
      </c>
      <c r="C678" s="11">
        <v>45016</v>
      </c>
      <c r="D678" s="11" t="s">
        <v>4994</v>
      </c>
      <c r="E678" s="1" t="s">
        <v>21</v>
      </c>
      <c r="F678" s="1" t="s">
        <v>5004</v>
      </c>
      <c r="G678" s="6">
        <f>COUNTIF(F:F,Table2[[#This Row],[Form '#]])</f>
        <v>1</v>
      </c>
      <c r="H678" s="1" t="s">
        <v>5005</v>
      </c>
      <c r="I678" s="1" t="s">
        <v>127</v>
      </c>
      <c r="J678" s="1" t="s">
        <v>74</v>
      </c>
      <c r="K678" s="1" t="s">
        <v>3883</v>
      </c>
      <c r="L678" s="1"/>
      <c r="M678" s="6" t="str">
        <f>IF(Table2[[#This Row],[Corrected Form '#
 (If Duplicated)]]="",Table2[[#This Row],[Form '#]],Table2[[#This Row],[Corrected Form '#
 (If Duplicated)]])</f>
        <v>7818-23522</v>
      </c>
      <c r="N678" s="1" t="s">
        <v>49</v>
      </c>
      <c r="O678" s="6" t="str">
        <f>IF(Table2[[#This Row],[POG CONFIRMATION RECEIPT OF ORDER
(DATE &amp; TIME)]]="","No Confirmation","Received Confirmation")</f>
        <v>Received Confirmation</v>
      </c>
      <c r="P678" s="6">
        <f ca="1">TODAY()-Table2[[#This Row],[DATE SENT TO POG]]</f>
        <v>287</v>
      </c>
      <c r="Q678" s="6" t="s">
        <v>5803</v>
      </c>
      <c r="R6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8" s="2" t="str">
        <f>_xlfn.XLOOKUP(Table2[[#This Row],[Adjusted Form '#]],'[2]IN PROGRESS'!$D:$D,'[2]IN PROGRESS'!$M:$M,"Not Found")</f>
        <v>Not Found</v>
      </c>
      <c r="U678" s="2" t="str">
        <f>_xlfn.XLOOKUP(Table2[[#This Row],[Adjusted Form '#]],[1]COMPLETED!$D:$D,[2]COMPLETED!$M:$M,"Not Found")</f>
        <v>Not Found</v>
      </c>
      <c r="V678" s="17" t="str">
        <f>_xlfn.XLOOKUP(Table2[[#This Row],[Adjusted Form '#]],[2]COMPLETED!$D:$D,[2]COMPLETED!$O:$O,"Not Found")</f>
        <v>Not Found</v>
      </c>
      <c r="W678" s="2" t="str">
        <f>_xlfn.XLOOKUP(Table2[[#This Row],[Adjusted Form '#]],[2]BILLED!$D:$D,[2]BILLED!$M:$M,"Not Found")</f>
        <v>9400 1112 0620 7211 8120 86</v>
      </c>
      <c r="X678" s="17" t="e">
        <f>_xlfn.XLOOKUP(Table2[[#This Row],[Adjusted Form '#]],[2]BILLED!$D:$D,[1]BILLED!$O:$O,"Not Found")</f>
        <v>#REF!</v>
      </c>
      <c r="Y678" s="17" t="e">
        <f>_xlfn.XLOOKUP(Table2[[#This Row],[Adjusted Form '#]],'[2]REJECTED ORDERS'!$D:$D,'[2]REJECTED ORDERS'!$E:$E)</f>
        <v>#N/A</v>
      </c>
      <c r="Z678" s="1"/>
      <c r="AA678" s="1"/>
      <c r="AB678" s="8"/>
      <c r="AC678" s="8"/>
      <c r="AD678" s="8"/>
      <c r="AE678" s="8"/>
      <c r="AF678" s="8"/>
      <c r="AG678" s="8"/>
      <c r="AH678" s="8"/>
      <c r="AI678" s="8"/>
      <c r="AJ678" s="8"/>
    </row>
    <row r="679" spans="1:36" ht="15" customHeight="1" x14ac:dyDescent="0.35">
      <c r="A679" s="4" t="s">
        <v>1030</v>
      </c>
      <c r="B679" s="1" t="s">
        <v>3611</v>
      </c>
      <c r="C679" s="11">
        <v>45016</v>
      </c>
      <c r="D679" s="11" t="s">
        <v>4994</v>
      </c>
      <c r="E679" s="1" t="s">
        <v>21</v>
      </c>
      <c r="F679" s="1" t="s">
        <v>5006</v>
      </c>
      <c r="G679" s="6">
        <f>COUNTIF(F:F,Table2[[#This Row],[Form '#]])</f>
        <v>1</v>
      </c>
      <c r="H679" s="1" t="s">
        <v>5007</v>
      </c>
      <c r="I679" s="1" t="s">
        <v>3864</v>
      </c>
      <c r="J679" s="1" t="s">
        <v>78</v>
      </c>
      <c r="K679" s="1" t="s">
        <v>3879</v>
      </c>
      <c r="L679" s="1"/>
      <c r="M679" s="6" t="str">
        <f>IF(Table2[[#This Row],[Corrected Form '#
 (If Duplicated)]]="",Table2[[#This Row],[Form '#]],Table2[[#This Row],[Corrected Form '#
 (If Duplicated)]])</f>
        <v>7818-14955</v>
      </c>
      <c r="N679" s="1" t="s">
        <v>49</v>
      </c>
      <c r="O679" s="6" t="str">
        <f>IF(Table2[[#This Row],[POG CONFIRMATION RECEIPT OF ORDER
(DATE &amp; TIME)]]="","No Confirmation","Received Confirmation")</f>
        <v>Received Confirmation</v>
      </c>
      <c r="P679" s="6">
        <f ca="1">TODAY()-Table2[[#This Row],[DATE SENT TO POG]]</f>
        <v>287</v>
      </c>
      <c r="Q679" s="6" t="s">
        <v>5803</v>
      </c>
      <c r="R6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79" s="2" t="str">
        <f>_xlfn.XLOOKUP(Table2[[#This Row],[Adjusted Form '#]],'[2]IN PROGRESS'!$D:$D,'[2]IN PROGRESS'!$M:$M,"Not Found")</f>
        <v>Not Found</v>
      </c>
      <c r="U679" s="2" t="str">
        <f>_xlfn.XLOOKUP(Table2[[#This Row],[Adjusted Form '#]],[1]COMPLETED!$D:$D,[2]COMPLETED!$M:$M,"Not Found")</f>
        <v>Not Found</v>
      </c>
      <c r="V679" s="17" t="str">
        <f>_xlfn.XLOOKUP(Table2[[#This Row],[Adjusted Form '#]],[2]COMPLETED!$D:$D,[2]COMPLETED!$O:$O,"Not Found")</f>
        <v>Not Found</v>
      </c>
      <c r="W679" s="2" t="str">
        <f>_xlfn.XLOOKUP(Table2[[#This Row],[Adjusted Form '#]],[2]BILLED!$D:$D,[2]BILLED!$M:$M,"Not Found")</f>
        <v>9402 1112 0620 7776 6491 25</v>
      </c>
      <c r="X679" s="17" t="e">
        <f>_xlfn.XLOOKUP(Table2[[#This Row],[Adjusted Form '#]],[2]BILLED!$D:$D,[1]BILLED!$O:$O,"Not Found")</f>
        <v>#REF!</v>
      </c>
      <c r="Y679" s="17" t="e">
        <f>_xlfn.XLOOKUP(Table2[[#This Row],[Adjusted Form '#]],'[2]REJECTED ORDERS'!$D:$D,'[2]REJECTED ORDERS'!$E:$E)</f>
        <v>#N/A</v>
      </c>
      <c r="Z679" s="1"/>
      <c r="AA679" s="1"/>
      <c r="AB679" s="8"/>
      <c r="AC679" s="8"/>
      <c r="AD679" s="8"/>
      <c r="AE679" s="8"/>
      <c r="AF679" s="8"/>
      <c r="AG679" s="8"/>
      <c r="AH679" s="8"/>
      <c r="AI679" s="8"/>
      <c r="AJ679" s="8"/>
    </row>
    <row r="680" spans="1:36" ht="15" customHeight="1" x14ac:dyDescent="0.35">
      <c r="A680" s="4" t="s">
        <v>1032</v>
      </c>
      <c r="B680" s="1" t="s">
        <v>3611</v>
      </c>
      <c r="C680" s="11">
        <v>45016</v>
      </c>
      <c r="D680" s="11" t="s">
        <v>4994</v>
      </c>
      <c r="E680" s="1" t="s">
        <v>21</v>
      </c>
      <c r="F680" s="1" t="s">
        <v>5008</v>
      </c>
      <c r="G680" s="6">
        <f>COUNTIF(F:F,Table2[[#This Row],[Form '#]])</f>
        <v>1</v>
      </c>
      <c r="H680" s="1" t="s">
        <v>3069</v>
      </c>
      <c r="I680" s="1" t="s">
        <v>127</v>
      </c>
      <c r="J680" s="1" t="s">
        <v>76</v>
      </c>
      <c r="K680" s="1" t="s">
        <v>4011</v>
      </c>
      <c r="L680" s="1"/>
      <c r="M680" s="6" t="str">
        <f>IF(Table2[[#This Row],[Corrected Form '#
 (If Duplicated)]]="",Table2[[#This Row],[Form '#]],Table2[[#This Row],[Corrected Form '#
 (If Duplicated)]])</f>
        <v>7818-29766</v>
      </c>
      <c r="N680" s="1" t="s">
        <v>49</v>
      </c>
      <c r="O680" s="6" t="str">
        <f>IF(Table2[[#This Row],[POG CONFIRMATION RECEIPT OF ORDER
(DATE &amp; TIME)]]="","No Confirmation","Received Confirmation")</f>
        <v>Received Confirmation</v>
      </c>
      <c r="P680" s="6">
        <f ca="1">TODAY()-Table2[[#This Row],[DATE SENT TO POG]]</f>
        <v>287</v>
      </c>
      <c r="Q680" s="6" t="s">
        <v>5803</v>
      </c>
      <c r="R6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0" s="2" t="str">
        <f>_xlfn.XLOOKUP(Table2[[#This Row],[Adjusted Form '#]],'[2]IN PROGRESS'!$D:$D,'[2]IN PROGRESS'!$M:$M,"Not Found")</f>
        <v>Not Found</v>
      </c>
      <c r="U680" s="2" t="str">
        <f>_xlfn.XLOOKUP(Table2[[#This Row],[Adjusted Form '#]],[1]COMPLETED!$D:$D,[2]COMPLETED!$M:$M,"Not Found")</f>
        <v>Not Found</v>
      </c>
      <c r="V680" s="17" t="str">
        <f>_xlfn.XLOOKUP(Table2[[#This Row],[Adjusted Form '#]],[2]COMPLETED!$D:$D,[2]COMPLETED!$O:$O,"Not Found")</f>
        <v>Not Found</v>
      </c>
      <c r="W680" s="2" t="str">
        <f>_xlfn.XLOOKUP(Table2[[#This Row],[Adjusted Form '#]],[2]BILLED!$D:$D,[2]BILLED!$M:$M,"Not Found")</f>
        <v>9402 1112 0620 7777 4852 89</v>
      </c>
      <c r="X680" s="17" t="e">
        <f>_xlfn.XLOOKUP(Table2[[#This Row],[Adjusted Form '#]],[2]BILLED!$D:$D,[1]BILLED!$O:$O,"Not Found")</f>
        <v>#REF!</v>
      </c>
      <c r="Y680" s="17" t="e">
        <f>_xlfn.XLOOKUP(Table2[[#This Row],[Adjusted Form '#]],'[2]REJECTED ORDERS'!$D:$D,'[2]REJECTED ORDERS'!$E:$E)</f>
        <v>#N/A</v>
      </c>
      <c r="Z680" s="1"/>
      <c r="AA680" s="1"/>
      <c r="AB680" s="8"/>
      <c r="AC680" s="8"/>
      <c r="AD680" s="8"/>
      <c r="AE680" s="8"/>
      <c r="AF680" s="8"/>
      <c r="AG680" s="8"/>
      <c r="AH680" s="8"/>
      <c r="AI680" s="8"/>
      <c r="AJ680" s="8"/>
    </row>
    <row r="681" spans="1:36" ht="15" customHeight="1" x14ac:dyDescent="0.35">
      <c r="A681" s="4" t="s">
        <v>1033</v>
      </c>
      <c r="B681" s="1" t="s">
        <v>3611</v>
      </c>
      <c r="C681" s="11">
        <v>45016</v>
      </c>
      <c r="D681" s="11" t="s">
        <v>4994</v>
      </c>
      <c r="E681" s="1" t="s">
        <v>21</v>
      </c>
      <c r="F681" s="1" t="s">
        <v>5009</v>
      </c>
      <c r="G681" s="6">
        <f>COUNTIF(F:F,Table2[[#This Row],[Form '#]])</f>
        <v>1</v>
      </c>
      <c r="H681" s="1" t="s">
        <v>5010</v>
      </c>
      <c r="I681" s="1" t="s">
        <v>3864</v>
      </c>
      <c r="J681" s="1" t="s">
        <v>78</v>
      </c>
      <c r="K681" s="1" t="s">
        <v>3879</v>
      </c>
      <c r="L681" s="1"/>
      <c r="M681" s="6" t="str">
        <f>IF(Table2[[#This Row],[Corrected Form '#
 (If Duplicated)]]="",Table2[[#This Row],[Form '#]],Table2[[#This Row],[Corrected Form '#
 (If Duplicated)]])</f>
        <v>7818-14956</v>
      </c>
      <c r="N681" s="1" t="s">
        <v>49</v>
      </c>
      <c r="O681" s="6" t="str">
        <f>IF(Table2[[#This Row],[POG CONFIRMATION RECEIPT OF ORDER
(DATE &amp; TIME)]]="","No Confirmation","Received Confirmation")</f>
        <v>Received Confirmation</v>
      </c>
      <c r="P681" s="6">
        <f ca="1">TODAY()-Table2[[#This Row],[DATE SENT TO POG]]</f>
        <v>287</v>
      </c>
      <c r="Q681" s="6" t="s">
        <v>5803</v>
      </c>
      <c r="R6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1" s="2" t="str">
        <f>_xlfn.XLOOKUP(Table2[[#This Row],[Adjusted Form '#]],'[2]IN PROGRESS'!$D:$D,'[2]IN PROGRESS'!$M:$M,"Not Found")</f>
        <v>Not Found</v>
      </c>
      <c r="U681" s="2" t="str">
        <f>_xlfn.XLOOKUP(Table2[[#This Row],[Adjusted Form '#]],[1]COMPLETED!$D:$D,[2]COMPLETED!$M:$M,"Not Found")</f>
        <v>Not Found</v>
      </c>
      <c r="V681" s="17" t="str">
        <f>_xlfn.XLOOKUP(Table2[[#This Row],[Adjusted Form '#]],[2]COMPLETED!$D:$D,[2]COMPLETED!$O:$O,"Not Found")</f>
        <v>Not Found</v>
      </c>
      <c r="W681" s="2" t="str">
        <f>_xlfn.XLOOKUP(Table2[[#This Row],[Adjusted Form '#]],[2]BILLED!$D:$D,[2]BILLED!$M:$M,"Not Found")</f>
        <v>1Z5063E0YW41075802</v>
      </c>
      <c r="X681" s="17" t="e">
        <f>_xlfn.XLOOKUP(Table2[[#This Row],[Adjusted Form '#]],[2]BILLED!$D:$D,[1]BILLED!$O:$O,"Not Found")</f>
        <v>#REF!</v>
      </c>
      <c r="Y681" s="17" t="e">
        <f>_xlfn.XLOOKUP(Table2[[#This Row],[Adjusted Form '#]],'[2]REJECTED ORDERS'!$D:$D,'[2]REJECTED ORDERS'!$E:$E)</f>
        <v>#N/A</v>
      </c>
      <c r="Z681" s="1"/>
      <c r="AA681" s="1"/>
      <c r="AB681" s="8"/>
      <c r="AC681" s="8"/>
      <c r="AD681" s="8"/>
      <c r="AE681" s="8"/>
      <c r="AF681" s="8"/>
      <c r="AG681" s="8"/>
      <c r="AH681" s="8"/>
      <c r="AI681" s="8"/>
      <c r="AJ681" s="8"/>
    </row>
    <row r="682" spans="1:36" ht="15" customHeight="1" x14ac:dyDescent="0.35">
      <c r="A682" s="4" t="s">
        <v>1034</v>
      </c>
      <c r="B682" s="1" t="s">
        <v>3611</v>
      </c>
      <c r="C682" s="11">
        <v>45016</v>
      </c>
      <c r="D682" s="11" t="s">
        <v>4994</v>
      </c>
      <c r="E682" s="1" t="s">
        <v>21</v>
      </c>
      <c r="F682" s="1" t="s">
        <v>5011</v>
      </c>
      <c r="G682" s="6">
        <f>COUNTIF(F:F,Table2[[#This Row],[Form '#]])</f>
        <v>1</v>
      </c>
      <c r="H682" s="1" t="s">
        <v>5012</v>
      </c>
      <c r="I682" s="1" t="s">
        <v>3864</v>
      </c>
      <c r="J682" s="1" t="s">
        <v>78</v>
      </c>
      <c r="K682" s="1" t="s">
        <v>3879</v>
      </c>
      <c r="L682" s="1"/>
      <c r="M682" s="6" t="str">
        <f>IF(Table2[[#This Row],[Corrected Form '#
 (If Duplicated)]]="",Table2[[#This Row],[Form '#]],Table2[[#This Row],[Corrected Form '#
 (If Duplicated)]])</f>
        <v>7818-29767</v>
      </c>
      <c r="N682" s="1" t="s">
        <v>49</v>
      </c>
      <c r="O682" s="6" t="str">
        <f>IF(Table2[[#This Row],[POG CONFIRMATION RECEIPT OF ORDER
(DATE &amp; TIME)]]="","No Confirmation","Received Confirmation")</f>
        <v>Received Confirmation</v>
      </c>
      <c r="P682" s="6">
        <f ca="1">TODAY()-Table2[[#This Row],[DATE SENT TO POG]]</f>
        <v>287</v>
      </c>
      <c r="Q682" s="6" t="s">
        <v>5803</v>
      </c>
      <c r="R6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2" s="2" t="str">
        <f>_xlfn.XLOOKUP(Table2[[#This Row],[Adjusted Form '#]],'[2]IN PROGRESS'!$D:$D,'[2]IN PROGRESS'!$M:$M,"Not Found")</f>
        <v>Not Found</v>
      </c>
      <c r="U682" s="2" t="str">
        <f>_xlfn.XLOOKUP(Table2[[#This Row],[Adjusted Form '#]],[1]COMPLETED!$D:$D,[2]COMPLETED!$M:$M,"Not Found")</f>
        <v>Not Found</v>
      </c>
      <c r="V682" s="17" t="str">
        <f>_xlfn.XLOOKUP(Table2[[#This Row],[Adjusted Form '#]],[2]COMPLETED!$D:$D,[2]COMPLETED!$O:$O,"Not Found")</f>
        <v>Not Found</v>
      </c>
      <c r="W682" s="2" t="str">
        <f>_xlfn.XLOOKUP(Table2[[#This Row],[Adjusted Form '#]],[2]BILLED!$D:$D,[2]BILLED!$M:$M,"Not Found")</f>
        <v>1Z5063E0YW41242569</v>
      </c>
      <c r="X682" s="17" t="e">
        <f>_xlfn.XLOOKUP(Table2[[#This Row],[Adjusted Form '#]],[2]BILLED!$D:$D,[1]BILLED!$O:$O,"Not Found")</f>
        <v>#REF!</v>
      </c>
      <c r="Y682" s="17" t="e">
        <f>_xlfn.XLOOKUP(Table2[[#This Row],[Adjusted Form '#]],'[2]REJECTED ORDERS'!$D:$D,'[2]REJECTED ORDERS'!$E:$E)</f>
        <v>#N/A</v>
      </c>
      <c r="Z682" s="1"/>
      <c r="AA682" s="1"/>
      <c r="AB682" s="8"/>
      <c r="AC682" s="8"/>
      <c r="AD682" s="8"/>
      <c r="AE682" s="8"/>
      <c r="AF682" s="8"/>
      <c r="AG682" s="8"/>
      <c r="AH682" s="8"/>
      <c r="AI682" s="8"/>
      <c r="AJ682" s="8"/>
    </row>
    <row r="683" spans="1:36" ht="15" customHeight="1" x14ac:dyDescent="0.35">
      <c r="A683" s="4" t="s">
        <v>1035</v>
      </c>
      <c r="B683" s="1" t="s">
        <v>3611</v>
      </c>
      <c r="C683" s="11">
        <v>45016</v>
      </c>
      <c r="D683" s="11" t="s">
        <v>4994</v>
      </c>
      <c r="E683" s="1" t="s">
        <v>21</v>
      </c>
      <c r="F683" s="1" t="s">
        <v>5013</v>
      </c>
      <c r="G683" s="6">
        <f>COUNTIF(F:F,Table2[[#This Row],[Form '#]])</f>
        <v>1</v>
      </c>
      <c r="H683" s="1" t="s">
        <v>5014</v>
      </c>
      <c r="I683" s="1" t="s">
        <v>3852</v>
      </c>
      <c r="J683" s="1" t="s">
        <v>80</v>
      </c>
      <c r="K683" s="1" t="s">
        <v>3891</v>
      </c>
      <c r="L683" s="1"/>
      <c r="M683" s="6" t="str">
        <f>IF(Table2[[#This Row],[Corrected Form '#
 (If Duplicated)]]="",Table2[[#This Row],[Form '#]],Table2[[#This Row],[Corrected Form '#
 (If Duplicated)]])</f>
        <v>7818-23105</v>
      </c>
      <c r="N683" s="1" t="s">
        <v>49</v>
      </c>
      <c r="O683" s="6" t="str">
        <f>IF(Table2[[#This Row],[POG CONFIRMATION RECEIPT OF ORDER
(DATE &amp; TIME)]]="","No Confirmation","Received Confirmation")</f>
        <v>Received Confirmation</v>
      </c>
      <c r="P683" s="6">
        <f ca="1">TODAY()-Table2[[#This Row],[DATE SENT TO POG]]</f>
        <v>287</v>
      </c>
      <c r="Q683" s="6" t="s">
        <v>5803</v>
      </c>
      <c r="R6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3" s="2" t="str">
        <f>_xlfn.XLOOKUP(Table2[[#This Row],[Adjusted Form '#]],'[2]IN PROGRESS'!$D:$D,'[2]IN PROGRESS'!$M:$M,"Not Found")</f>
        <v>Not Found</v>
      </c>
      <c r="U683" s="2" t="str">
        <f>_xlfn.XLOOKUP(Table2[[#This Row],[Adjusted Form '#]],[1]COMPLETED!$D:$D,[2]COMPLETED!$M:$M,"Not Found")</f>
        <v>Not Found</v>
      </c>
      <c r="V683" s="17" t="str">
        <f>_xlfn.XLOOKUP(Table2[[#This Row],[Adjusted Form '#]],[2]COMPLETED!$D:$D,[2]COMPLETED!$O:$O,"Not Found")</f>
        <v>Not Found</v>
      </c>
      <c r="W683" s="2" t="str">
        <f>_xlfn.XLOOKUP(Table2[[#This Row],[Adjusted Form '#]],[2]BILLED!$D:$D,[2]BILLED!$M:$M,"Not Found")</f>
        <v>1Z5063E0YW42493742</v>
      </c>
      <c r="X683" s="17" t="e">
        <f>_xlfn.XLOOKUP(Table2[[#This Row],[Adjusted Form '#]],[2]BILLED!$D:$D,[1]BILLED!$O:$O,"Not Found")</f>
        <v>#REF!</v>
      </c>
      <c r="Y683" s="17" t="str">
        <f>_xlfn.XLOOKUP(Table2[[#This Row],[Adjusted Form '#]],'[2]REJECTED ORDERS'!$D:$D,'[2]REJECTED ORDERS'!$E:$E)</f>
        <v>FORM NOT SIGNED</v>
      </c>
      <c r="Z683" s="1"/>
      <c r="AA683" s="1"/>
      <c r="AB683" s="8"/>
      <c r="AC683" s="8"/>
      <c r="AD683" s="8"/>
      <c r="AE683" s="8"/>
      <c r="AF683" s="8"/>
      <c r="AG683" s="8"/>
      <c r="AH683" s="8"/>
      <c r="AI683" s="8"/>
      <c r="AJ683" s="8"/>
    </row>
    <row r="684" spans="1:36" ht="15" customHeight="1" x14ac:dyDescent="0.35">
      <c r="A684" s="4" t="s">
        <v>1036</v>
      </c>
      <c r="B684" s="1" t="s">
        <v>290</v>
      </c>
      <c r="C684" s="11">
        <v>45016</v>
      </c>
      <c r="D684" s="11" t="s">
        <v>5015</v>
      </c>
      <c r="E684" s="1" t="s">
        <v>21</v>
      </c>
      <c r="F684" s="1" t="s">
        <v>5016</v>
      </c>
      <c r="G684" s="6">
        <f>COUNTIF(F:F,Table2[[#This Row],[Form '#]])</f>
        <v>1</v>
      </c>
      <c r="H684" s="1" t="s">
        <v>687</v>
      </c>
      <c r="I684" s="1" t="s">
        <v>127</v>
      </c>
      <c r="J684" s="1" t="s">
        <v>74</v>
      </c>
      <c r="K684" s="1" t="s">
        <v>3883</v>
      </c>
      <c r="L684" s="1"/>
      <c r="M684" s="6" t="str">
        <f>IF(Table2[[#This Row],[Corrected Form '#
 (If Duplicated)]]="",Table2[[#This Row],[Form '#]],Table2[[#This Row],[Corrected Form '#
 (If Duplicated)]])</f>
        <v>7818-07116</v>
      </c>
      <c r="N684" s="1" t="s">
        <v>49</v>
      </c>
      <c r="O684" s="6" t="str">
        <f>IF(Table2[[#This Row],[POG CONFIRMATION RECEIPT OF ORDER
(DATE &amp; TIME)]]="","No Confirmation","Received Confirmation")</f>
        <v>Received Confirmation</v>
      </c>
      <c r="P684" s="6">
        <f ca="1">TODAY()-Table2[[#This Row],[DATE SENT TO POG]]</f>
        <v>287</v>
      </c>
      <c r="Q684" s="6" t="s">
        <v>5803</v>
      </c>
      <c r="R6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4" s="2" t="str">
        <f>_xlfn.XLOOKUP(Table2[[#This Row],[Adjusted Form '#]],'[2]IN PROGRESS'!$D:$D,'[2]IN PROGRESS'!$M:$M,"Not Found")</f>
        <v>Not Found</v>
      </c>
      <c r="U684" s="2" t="str">
        <f>_xlfn.XLOOKUP(Table2[[#This Row],[Adjusted Form '#]],[1]COMPLETED!$D:$D,[2]COMPLETED!$M:$M,"Not Found")</f>
        <v>Not Found</v>
      </c>
      <c r="V684" s="17" t="str">
        <f>_xlfn.XLOOKUP(Table2[[#This Row],[Adjusted Form '#]],[2]COMPLETED!$D:$D,[2]COMPLETED!$O:$O,"Not Found")</f>
        <v>Not Found</v>
      </c>
      <c r="W684" s="2" t="str">
        <f>_xlfn.XLOOKUP(Table2[[#This Row],[Adjusted Form '#]],[2]BILLED!$D:$D,[2]BILLED!$M:$M,"Not Found")</f>
        <v>1Z5063E0YW40603091</v>
      </c>
      <c r="X684" s="17" t="e">
        <f>_xlfn.XLOOKUP(Table2[[#This Row],[Adjusted Form '#]],[2]BILLED!$D:$D,[1]BILLED!$O:$O,"Not Found")</f>
        <v>#REF!</v>
      </c>
      <c r="Y684" s="17" t="e">
        <f>_xlfn.XLOOKUP(Table2[[#This Row],[Adjusted Form '#]],'[2]REJECTED ORDERS'!$D:$D,'[2]REJECTED ORDERS'!$E:$E)</f>
        <v>#N/A</v>
      </c>
      <c r="Z684" s="1"/>
      <c r="AA684" s="1"/>
      <c r="AB684" s="8"/>
      <c r="AC684" s="8"/>
      <c r="AD684" s="8"/>
      <c r="AE684" s="8"/>
      <c r="AF684" s="8"/>
      <c r="AG684" s="8"/>
      <c r="AH684" s="8"/>
      <c r="AI684" s="8"/>
      <c r="AJ684" s="8"/>
    </row>
    <row r="685" spans="1:36" ht="15" customHeight="1" x14ac:dyDescent="0.35">
      <c r="A685" s="4" t="s">
        <v>1038</v>
      </c>
      <c r="B685" s="1" t="s">
        <v>290</v>
      </c>
      <c r="C685" s="11">
        <v>45016</v>
      </c>
      <c r="D685" s="11" t="s">
        <v>5015</v>
      </c>
      <c r="E685" s="1" t="s">
        <v>21</v>
      </c>
      <c r="F685" s="1" t="s">
        <v>5017</v>
      </c>
      <c r="G685" s="6">
        <f>COUNTIF(F:F,Table2[[#This Row],[Form '#]])</f>
        <v>1</v>
      </c>
      <c r="H685" s="1" t="s">
        <v>5018</v>
      </c>
      <c r="I685" s="1" t="s">
        <v>3852</v>
      </c>
      <c r="J685" s="1" t="s">
        <v>80</v>
      </c>
      <c r="K685" s="1" t="s">
        <v>3853</v>
      </c>
      <c r="L685" s="1"/>
      <c r="M685" s="6" t="str">
        <f>IF(Table2[[#This Row],[Corrected Form '#
 (If Duplicated)]]="",Table2[[#This Row],[Form '#]],Table2[[#This Row],[Corrected Form '#
 (If Duplicated)]])</f>
        <v>7818-26549</v>
      </c>
      <c r="N685" s="1" t="s">
        <v>49</v>
      </c>
      <c r="O685" s="6" t="str">
        <f>IF(Table2[[#This Row],[POG CONFIRMATION RECEIPT OF ORDER
(DATE &amp; TIME)]]="","No Confirmation","Received Confirmation")</f>
        <v>Received Confirmation</v>
      </c>
      <c r="P685" s="6">
        <f ca="1">TODAY()-Table2[[#This Row],[DATE SENT TO POG]]</f>
        <v>287</v>
      </c>
      <c r="Q685" s="6" t="s">
        <v>5803</v>
      </c>
      <c r="R6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5" s="2" t="str">
        <f>_xlfn.XLOOKUP(Table2[[#This Row],[Adjusted Form '#]],'[2]IN PROGRESS'!$D:$D,'[2]IN PROGRESS'!$M:$M,"Not Found")</f>
        <v>Not Found</v>
      </c>
      <c r="U685" s="2" t="str">
        <f>_xlfn.XLOOKUP(Table2[[#This Row],[Adjusted Form '#]],[1]COMPLETED!$D:$D,[2]COMPLETED!$M:$M,"Not Found")</f>
        <v>Not Found</v>
      </c>
      <c r="V685" s="17" t="str">
        <f>_xlfn.XLOOKUP(Table2[[#This Row],[Adjusted Form '#]],[2]COMPLETED!$D:$D,[2]COMPLETED!$O:$O,"Not Found")</f>
        <v>Not Found</v>
      </c>
      <c r="W685" s="2" t="str">
        <f>_xlfn.XLOOKUP(Table2[[#This Row],[Adjusted Form '#]],[2]BILLED!$D:$D,[2]BILLED!$M:$M,"Not Found")</f>
        <v>9402 1112 0620 7776 6471 83</v>
      </c>
      <c r="X685" s="17" t="e">
        <f>_xlfn.XLOOKUP(Table2[[#This Row],[Adjusted Form '#]],[2]BILLED!$D:$D,[1]BILLED!$O:$O,"Not Found")</f>
        <v>#REF!</v>
      </c>
      <c r="Y685" s="17" t="e">
        <f>_xlfn.XLOOKUP(Table2[[#This Row],[Adjusted Form '#]],'[2]REJECTED ORDERS'!$D:$D,'[2]REJECTED ORDERS'!$E:$E)</f>
        <v>#N/A</v>
      </c>
      <c r="Z685" s="1"/>
      <c r="AA685" s="1"/>
      <c r="AB685" s="8"/>
      <c r="AC685" s="8"/>
      <c r="AD685" s="8"/>
      <c r="AE685" s="8"/>
      <c r="AF685" s="8"/>
      <c r="AG685" s="8"/>
      <c r="AH685" s="8"/>
      <c r="AI685" s="8"/>
      <c r="AJ685" s="8"/>
    </row>
    <row r="686" spans="1:36" ht="15" customHeight="1" x14ac:dyDescent="0.35">
      <c r="A686" s="4" t="s">
        <v>1040</v>
      </c>
      <c r="B686" s="1" t="s">
        <v>290</v>
      </c>
      <c r="C686" s="11">
        <v>45016</v>
      </c>
      <c r="D686" s="11" t="s">
        <v>5015</v>
      </c>
      <c r="E686" s="1" t="s">
        <v>21</v>
      </c>
      <c r="F686" s="1" t="s">
        <v>5019</v>
      </c>
      <c r="G686" s="6">
        <f>COUNTIF(F:F,Table2[[#This Row],[Form '#]])</f>
        <v>1</v>
      </c>
      <c r="H686" s="1" t="s">
        <v>5020</v>
      </c>
      <c r="I686" s="1" t="s">
        <v>3852</v>
      </c>
      <c r="J686" s="1" t="s">
        <v>80</v>
      </c>
      <c r="K686" s="1" t="s">
        <v>3853</v>
      </c>
      <c r="L686" s="1"/>
      <c r="M686" s="6" t="str">
        <f>IF(Table2[[#This Row],[Corrected Form '#
 (If Duplicated)]]="",Table2[[#This Row],[Form '#]],Table2[[#This Row],[Corrected Form '#
 (If Duplicated)]])</f>
        <v>7818-26548</v>
      </c>
      <c r="N686" s="1" t="s">
        <v>49</v>
      </c>
      <c r="O686" s="6" t="str">
        <f>IF(Table2[[#This Row],[POG CONFIRMATION RECEIPT OF ORDER
(DATE &amp; TIME)]]="","No Confirmation","Received Confirmation")</f>
        <v>Received Confirmation</v>
      </c>
      <c r="P686" s="6">
        <f ca="1">TODAY()-Table2[[#This Row],[DATE SENT TO POG]]</f>
        <v>287</v>
      </c>
      <c r="Q686" s="6" t="s">
        <v>5803</v>
      </c>
      <c r="R6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6" s="2" t="str">
        <f>_xlfn.XLOOKUP(Table2[[#This Row],[Adjusted Form '#]],'[2]IN PROGRESS'!$D:$D,'[2]IN PROGRESS'!$M:$M,"Not Found")</f>
        <v>Not Found</v>
      </c>
      <c r="U686" s="2" t="str">
        <f>_xlfn.XLOOKUP(Table2[[#This Row],[Adjusted Form '#]],[1]COMPLETED!$D:$D,[2]COMPLETED!$M:$M,"Not Found")</f>
        <v>Not Found</v>
      </c>
      <c r="V686" s="17" t="str">
        <f>_xlfn.XLOOKUP(Table2[[#This Row],[Adjusted Form '#]],[2]COMPLETED!$D:$D,[2]COMPLETED!$O:$O,"Not Found")</f>
        <v>Not Found</v>
      </c>
      <c r="W686" s="2" t="str">
        <f>_xlfn.XLOOKUP(Table2[[#This Row],[Adjusted Form '#]],[2]BILLED!$D:$D,[2]BILLED!$M:$M,"Not Found")</f>
        <v>1Z5063E0YW42596186</v>
      </c>
      <c r="X686" s="17" t="e">
        <f>_xlfn.XLOOKUP(Table2[[#This Row],[Adjusted Form '#]],[2]BILLED!$D:$D,[1]BILLED!$O:$O,"Not Found")</f>
        <v>#REF!</v>
      </c>
      <c r="Y686" s="17" t="str">
        <f>_xlfn.XLOOKUP(Table2[[#This Row],[Adjusted Form '#]],'[2]REJECTED ORDERS'!$D:$D,'[2]REJECTED ORDERS'!$E:$E)</f>
        <v>FORM NOT SIGNED</v>
      </c>
      <c r="Z686" s="1"/>
      <c r="AA686" s="1"/>
      <c r="AB686" s="8"/>
      <c r="AC686" s="8"/>
      <c r="AD686" s="8"/>
      <c r="AE686" s="8"/>
      <c r="AF686" s="8"/>
      <c r="AG686" s="8"/>
      <c r="AH686" s="8"/>
      <c r="AI686" s="8"/>
      <c r="AJ686" s="8"/>
    </row>
    <row r="687" spans="1:36" ht="15" customHeight="1" x14ac:dyDescent="0.35">
      <c r="A687" s="4" t="s">
        <v>1043</v>
      </c>
      <c r="B687" s="1" t="s">
        <v>2873</v>
      </c>
      <c r="C687" s="11">
        <v>45016</v>
      </c>
      <c r="D687" s="11" t="s">
        <v>5021</v>
      </c>
      <c r="E687" s="1" t="s">
        <v>21</v>
      </c>
      <c r="F687" s="1" t="s">
        <v>5022</v>
      </c>
      <c r="G687" s="6">
        <f>COUNTIF(F:F,Table2[[#This Row],[Form '#]])</f>
        <v>1</v>
      </c>
      <c r="H687" s="1" t="s">
        <v>5023</v>
      </c>
      <c r="I687" s="1" t="s">
        <v>758</v>
      </c>
      <c r="J687" s="1" t="s">
        <v>78</v>
      </c>
      <c r="K687" s="1" t="s">
        <v>3853</v>
      </c>
      <c r="L687" s="1"/>
      <c r="M687" s="6" t="str">
        <f>IF(Table2[[#This Row],[Corrected Form '#
 (If Duplicated)]]="",Table2[[#This Row],[Form '#]],Table2[[#This Row],[Corrected Form '#
 (If Duplicated)]])</f>
        <v>7823-02042</v>
      </c>
      <c r="N687" s="1" t="s">
        <v>49</v>
      </c>
      <c r="O687" s="6" t="str">
        <f>IF(Table2[[#This Row],[POG CONFIRMATION RECEIPT OF ORDER
(DATE &amp; TIME)]]="","No Confirmation","Received Confirmation")</f>
        <v>Received Confirmation</v>
      </c>
      <c r="P687" s="6">
        <f ca="1">TODAY()-Table2[[#This Row],[DATE SENT TO POG]]</f>
        <v>287</v>
      </c>
      <c r="Q687" s="6" t="s">
        <v>5803</v>
      </c>
      <c r="R6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7" s="2" t="str">
        <f>_xlfn.XLOOKUP(Table2[[#This Row],[Adjusted Form '#]],'[2]IN PROGRESS'!$D:$D,'[2]IN PROGRESS'!$M:$M,"Not Found")</f>
        <v>Not Found</v>
      </c>
      <c r="U687" s="2" t="str">
        <f>_xlfn.XLOOKUP(Table2[[#This Row],[Adjusted Form '#]],[1]COMPLETED!$D:$D,[2]COMPLETED!$M:$M,"Not Found")</f>
        <v>Not Found</v>
      </c>
      <c r="V687" s="17" t="str">
        <f>_xlfn.XLOOKUP(Table2[[#This Row],[Adjusted Form '#]],[2]COMPLETED!$D:$D,[2]COMPLETED!$O:$O,"Not Found")</f>
        <v>Not Found</v>
      </c>
      <c r="W687" s="2" t="str">
        <f>_xlfn.XLOOKUP(Table2[[#This Row],[Adjusted Form '#]],[2]BILLED!$D:$D,[2]BILLED!$M:$M,"Not Found")</f>
        <v>1Z5063E0YW41795454</v>
      </c>
      <c r="X687" s="17" t="e">
        <f>_xlfn.XLOOKUP(Table2[[#This Row],[Adjusted Form '#]],[2]BILLED!$D:$D,[1]BILLED!$O:$O,"Not Found")</f>
        <v>#REF!</v>
      </c>
      <c r="Y687" s="17" t="e">
        <f>_xlfn.XLOOKUP(Table2[[#This Row],[Adjusted Form '#]],'[2]REJECTED ORDERS'!$D:$D,'[2]REJECTED ORDERS'!$E:$E)</f>
        <v>#N/A</v>
      </c>
      <c r="Z687" s="1"/>
      <c r="AA687" s="1"/>
      <c r="AB687" s="8"/>
      <c r="AC687" s="8"/>
      <c r="AD687" s="8"/>
      <c r="AE687" s="8"/>
      <c r="AF687" s="8"/>
      <c r="AG687" s="8"/>
      <c r="AH687" s="8"/>
      <c r="AI687" s="8"/>
      <c r="AJ687" s="8"/>
    </row>
    <row r="688" spans="1:36" ht="15" customHeight="1" x14ac:dyDescent="0.35">
      <c r="A688" s="4" t="s">
        <v>1044</v>
      </c>
      <c r="B688" s="1" t="s">
        <v>3708</v>
      </c>
      <c r="C688" s="11">
        <v>45016</v>
      </c>
      <c r="D688" s="11" t="s">
        <v>5021</v>
      </c>
      <c r="E688" s="1" t="s">
        <v>191</v>
      </c>
      <c r="F688" s="1" t="s">
        <v>5024</v>
      </c>
      <c r="G688" s="6">
        <f>COUNTIF(F:F,Table2[[#This Row],[Form '#]])</f>
        <v>1</v>
      </c>
      <c r="H688" s="1" t="s">
        <v>2513</v>
      </c>
      <c r="I688" s="1" t="s">
        <v>3852</v>
      </c>
      <c r="J688" s="1" t="s">
        <v>80</v>
      </c>
      <c r="K688" s="1" t="s">
        <v>3853</v>
      </c>
      <c r="L688" s="1"/>
      <c r="M688" s="6" t="str">
        <f>IF(Table2[[#This Row],[Corrected Form '#
 (If Duplicated)]]="",Table2[[#This Row],[Form '#]],Table2[[#This Row],[Corrected Form '#
 (If Duplicated)]])</f>
        <v>7812-02947</v>
      </c>
      <c r="N688" s="1" t="s">
        <v>49</v>
      </c>
      <c r="O688" s="6" t="str">
        <f>IF(Table2[[#This Row],[POG CONFIRMATION RECEIPT OF ORDER
(DATE &amp; TIME)]]="","No Confirmation","Received Confirmation")</f>
        <v>Received Confirmation</v>
      </c>
      <c r="P688" s="6">
        <f ca="1">TODAY()-Table2[[#This Row],[DATE SENT TO POG]]</f>
        <v>287</v>
      </c>
      <c r="Q688" s="6" t="s">
        <v>5803</v>
      </c>
      <c r="R6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8" s="2" t="str">
        <f>_xlfn.XLOOKUP(Table2[[#This Row],[Adjusted Form '#]],'[2]IN PROGRESS'!$D:$D,'[2]IN PROGRESS'!$M:$M,"Not Found")</f>
        <v>Not Found</v>
      </c>
      <c r="U688" s="2" t="str">
        <f>_xlfn.XLOOKUP(Table2[[#This Row],[Adjusted Form '#]],[1]COMPLETED!$D:$D,[2]COMPLETED!$M:$M,"Not Found")</f>
        <v>Not Found</v>
      </c>
      <c r="V688" s="17" t="str">
        <f>_xlfn.XLOOKUP(Table2[[#This Row],[Adjusted Form '#]],[2]COMPLETED!$D:$D,[2]COMPLETED!$O:$O,"Not Found")</f>
        <v>Not Found</v>
      </c>
      <c r="W688" s="2" t="str">
        <f>_xlfn.XLOOKUP(Table2[[#This Row],[Adjusted Form '#]],[2]BILLED!$D:$D,[2]BILLED!$M:$M,"Not Found")</f>
        <v>1Z5063E0YW40618996</v>
      </c>
      <c r="X688" s="17" t="e">
        <f>_xlfn.XLOOKUP(Table2[[#This Row],[Adjusted Form '#]],[2]BILLED!$D:$D,[1]BILLED!$O:$O,"Not Found")</f>
        <v>#REF!</v>
      </c>
      <c r="Y688" s="17" t="e">
        <f>_xlfn.XLOOKUP(Table2[[#This Row],[Adjusted Form '#]],'[2]REJECTED ORDERS'!$D:$D,'[2]REJECTED ORDERS'!$E:$E)</f>
        <v>#N/A</v>
      </c>
      <c r="Z688" s="1"/>
      <c r="AA688" s="1"/>
      <c r="AB688" s="8"/>
      <c r="AC688" s="8"/>
      <c r="AD688" s="8"/>
      <c r="AE688" s="8"/>
      <c r="AF688" s="8"/>
      <c r="AG688" s="8"/>
      <c r="AH688" s="8"/>
      <c r="AI688" s="8"/>
      <c r="AJ688" s="8"/>
    </row>
    <row r="689" spans="1:36" ht="15" customHeight="1" x14ac:dyDescent="0.35">
      <c r="A689" s="4" t="s">
        <v>1046</v>
      </c>
      <c r="B689" s="1" t="s">
        <v>3708</v>
      </c>
      <c r="C689" s="11">
        <v>45016</v>
      </c>
      <c r="D689" s="11" t="s">
        <v>5021</v>
      </c>
      <c r="E689" s="1" t="s">
        <v>191</v>
      </c>
      <c r="F689" s="1" t="s">
        <v>5025</v>
      </c>
      <c r="G689" s="6">
        <f>COUNTIF(F:F,Table2[[#This Row],[Form '#]])</f>
        <v>2</v>
      </c>
      <c r="H689" s="1" t="s">
        <v>3507</v>
      </c>
      <c r="I689" s="1" t="s">
        <v>3852</v>
      </c>
      <c r="J689" s="1" t="s">
        <v>3891</v>
      </c>
      <c r="K689" s="1" t="s">
        <v>3891</v>
      </c>
      <c r="L689" s="1"/>
      <c r="M689" s="6" t="str">
        <f>IF(Table2[[#This Row],[Corrected Form '#
 (If Duplicated)]]="",Table2[[#This Row],[Form '#]],Table2[[#This Row],[Corrected Form '#
 (If Duplicated)]])</f>
        <v>7812-3746</v>
      </c>
      <c r="N689" s="1" t="s">
        <v>49</v>
      </c>
      <c r="O689" s="6" t="str">
        <f>IF(Table2[[#This Row],[POG CONFIRMATION RECEIPT OF ORDER
(DATE &amp; TIME)]]="","No Confirmation","Received Confirmation")</f>
        <v>Received Confirmation</v>
      </c>
      <c r="P689" s="6">
        <f ca="1">TODAY()-Table2[[#This Row],[DATE SENT TO POG]]</f>
        <v>287</v>
      </c>
      <c r="Q689" s="6" t="s">
        <v>5803</v>
      </c>
      <c r="R6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89" s="2" t="str">
        <f>_xlfn.XLOOKUP(Table2[[#This Row],[Adjusted Form '#]],'[2]IN PROGRESS'!$D:$D,'[2]IN PROGRESS'!$M:$M,"Not Found")</f>
        <v>Not Found</v>
      </c>
      <c r="U689" s="2" t="str">
        <f>_xlfn.XLOOKUP(Table2[[#This Row],[Adjusted Form '#]],[1]COMPLETED!$D:$D,[2]COMPLETED!$M:$M,"Not Found")</f>
        <v>Not Found</v>
      </c>
      <c r="V689" s="17" t="str">
        <f>_xlfn.XLOOKUP(Table2[[#This Row],[Adjusted Form '#]],[2]COMPLETED!$D:$D,[2]COMPLETED!$O:$O,"Not Found")</f>
        <v>Not Found</v>
      </c>
      <c r="W689" s="2" t="str">
        <f>_xlfn.XLOOKUP(Table2[[#This Row],[Adjusted Form '#]],[2]BILLED!$D:$D,[2]BILLED!$M:$M,"Not Found")</f>
        <v>1Z5063E0YW42482558</v>
      </c>
      <c r="X689" s="17" t="e">
        <f>_xlfn.XLOOKUP(Table2[[#This Row],[Adjusted Form '#]],[2]BILLED!$D:$D,[1]BILLED!$O:$O,"Not Found")</f>
        <v>#REF!</v>
      </c>
      <c r="Y689" s="17" t="str">
        <f>_xlfn.XLOOKUP(Table2[[#This Row],[Adjusted Form '#]],'[2]REJECTED ORDERS'!$D:$D,'[2]REJECTED ORDERS'!$E:$E)</f>
        <v>FORM NOT SIGNED</v>
      </c>
      <c r="Z689" s="1"/>
      <c r="AA689" s="1"/>
      <c r="AB689" s="8"/>
      <c r="AC689" s="8"/>
      <c r="AD689" s="8"/>
      <c r="AE689" s="8"/>
      <c r="AF689" s="8"/>
      <c r="AG689" s="8"/>
      <c r="AH689" s="8"/>
      <c r="AI689" s="8"/>
      <c r="AJ689" s="8"/>
    </row>
    <row r="690" spans="1:36" ht="15" customHeight="1" x14ac:dyDescent="0.35">
      <c r="A690" s="4" t="s">
        <v>1047</v>
      </c>
      <c r="B690" s="1" t="s">
        <v>1909</v>
      </c>
      <c r="C690" s="11">
        <v>45016</v>
      </c>
      <c r="D690" s="11" t="s">
        <v>5026</v>
      </c>
      <c r="E690" s="1" t="s">
        <v>191</v>
      </c>
      <c r="F690" s="1" t="s">
        <v>4992</v>
      </c>
      <c r="G690" s="6">
        <f>COUNTIF(F:F,Table2[[#This Row],[Form '#]])</f>
        <v>2</v>
      </c>
      <c r="H690" s="1" t="s">
        <v>2954</v>
      </c>
      <c r="I690" s="1" t="s">
        <v>127</v>
      </c>
      <c r="J690" s="1" t="s">
        <v>4849</v>
      </c>
      <c r="K690" s="1" t="s">
        <v>3883</v>
      </c>
      <c r="L690" s="1"/>
      <c r="M690" s="6" t="str">
        <f>IF(Table2[[#This Row],[Corrected Form '#
 (If Duplicated)]]="",Table2[[#This Row],[Form '#]],Table2[[#This Row],[Corrected Form '#
 (If Duplicated)]])</f>
        <v>7812-3938</v>
      </c>
      <c r="N690" s="1" t="s">
        <v>49</v>
      </c>
      <c r="O690" s="6" t="str">
        <f>IF(Table2[[#This Row],[POG CONFIRMATION RECEIPT OF ORDER
(DATE &amp; TIME)]]="","No Confirmation","Received Confirmation")</f>
        <v>Received Confirmation</v>
      </c>
      <c r="P690" s="6">
        <f ca="1">TODAY()-Table2[[#This Row],[DATE SENT TO POG]]</f>
        <v>287</v>
      </c>
      <c r="Q690" s="6" t="s">
        <v>5803</v>
      </c>
      <c r="R6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0" s="2" t="str">
        <f>_xlfn.XLOOKUP(Table2[[#This Row],[Adjusted Form '#]],'[2]IN PROGRESS'!$D:$D,'[2]IN PROGRESS'!$M:$M,"Not Found")</f>
        <v>Not Found</v>
      </c>
      <c r="U690" s="2" t="str">
        <f>_xlfn.XLOOKUP(Table2[[#This Row],[Adjusted Form '#]],[1]COMPLETED!$D:$D,[2]COMPLETED!$M:$M,"Not Found")</f>
        <v>Not Found</v>
      </c>
      <c r="V690" s="17" t="str">
        <f>_xlfn.XLOOKUP(Table2[[#This Row],[Adjusted Form '#]],[2]COMPLETED!$D:$D,[2]COMPLETED!$O:$O,"Not Found")</f>
        <v>Not Found</v>
      </c>
      <c r="W690" s="2" t="str">
        <f>_xlfn.XLOOKUP(Table2[[#This Row],[Adjusted Form '#]],[2]BILLED!$D:$D,[2]BILLED!$M:$M,"Not Found")</f>
        <v>9402 1112 0620 7776 6235 76</v>
      </c>
      <c r="X690" s="17" t="e">
        <f>_xlfn.XLOOKUP(Table2[[#This Row],[Adjusted Form '#]],[2]BILLED!$D:$D,[1]BILLED!$O:$O,"Not Found")</f>
        <v>#REF!</v>
      </c>
      <c r="Y690" s="17" t="e">
        <f>_xlfn.XLOOKUP(Table2[[#This Row],[Adjusted Form '#]],'[2]REJECTED ORDERS'!$D:$D,'[2]REJECTED ORDERS'!$E:$E)</f>
        <v>#N/A</v>
      </c>
      <c r="Z690" s="1"/>
      <c r="AA690" s="1"/>
      <c r="AB690" s="8"/>
      <c r="AC690" s="8"/>
      <c r="AD690" s="8"/>
      <c r="AE690" s="8"/>
      <c r="AF690" s="8"/>
      <c r="AG690" s="8"/>
      <c r="AH690" s="8"/>
      <c r="AI690" s="8"/>
      <c r="AJ690" s="8"/>
    </row>
    <row r="691" spans="1:36" ht="15" customHeight="1" x14ac:dyDescent="0.35">
      <c r="A691" s="4" t="s">
        <v>1048</v>
      </c>
      <c r="B691" s="1" t="s">
        <v>238</v>
      </c>
      <c r="C691" s="11">
        <v>45016</v>
      </c>
      <c r="D691" s="11" t="s">
        <v>5026</v>
      </c>
      <c r="E691" s="1" t="s">
        <v>21</v>
      </c>
      <c r="F691" s="1" t="s">
        <v>5027</v>
      </c>
      <c r="G691" s="6">
        <f>COUNTIF(F:F,Table2[[#This Row],[Form '#]])</f>
        <v>1</v>
      </c>
      <c r="H691" s="1" t="s">
        <v>5028</v>
      </c>
      <c r="I691" s="1" t="s">
        <v>28</v>
      </c>
      <c r="J691" s="1" t="s">
        <v>69</v>
      </c>
      <c r="K691" s="1" t="s">
        <v>4631</v>
      </c>
      <c r="L691" s="1"/>
      <c r="M691" s="6" t="str">
        <f>IF(Table2[[#This Row],[Corrected Form '#
 (If Duplicated)]]="",Table2[[#This Row],[Form '#]],Table2[[#This Row],[Corrected Form '#
 (If Duplicated)]])</f>
        <v>7818-22248</v>
      </c>
      <c r="N691" s="1" t="s">
        <v>49</v>
      </c>
      <c r="O691" s="6" t="str">
        <f>IF(Table2[[#This Row],[POG CONFIRMATION RECEIPT OF ORDER
(DATE &amp; TIME)]]="","No Confirmation","Received Confirmation")</f>
        <v>Received Confirmation</v>
      </c>
      <c r="P691" s="6">
        <f ca="1">TODAY()-Table2[[#This Row],[DATE SENT TO POG]]</f>
        <v>287</v>
      </c>
      <c r="Q691" s="6" t="s">
        <v>5803</v>
      </c>
      <c r="R6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1" s="2" t="str">
        <f>_xlfn.XLOOKUP(Table2[[#This Row],[Adjusted Form '#]],'[2]IN PROGRESS'!$D:$D,'[2]IN PROGRESS'!$M:$M,"Not Found")</f>
        <v>Not Found</v>
      </c>
      <c r="U691" s="2" t="str">
        <f>_xlfn.XLOOKUP(Table2[[#This Row],[Adjusted Form '#]],[1]COMPLETED!$D:$D,[2]COMPLETED!$M:$M,"Not Found")</f>
        <v>Not Found</v>
      </c>
      <c r="V691" s="17" t="str">
        <f>_xlfn.XLOOKUP(Table2[[#This Row],[Adjusted Form '#]],[2]COMPLETED!$D:$D,[2]COMPLETED!$O:$O,"Not Found")</f>
        <v>Not Found</v>
      </c>
      <c r="W691" s="2" t="str">
        <f>_xlfn.XLOOKUP(Table2[[#This Row],[Adjusted Form '#]],[2]BILLED!$D:$D,[2]BILLED!$M:$M,"Not Found")</f>
        <v>9402 1112 0620 7777 4678 34</v>
      </c>
      <c r="X691" s="17" t="e">
        <f>_xlfn.XLOOKUP(Table2[[#This Row],[Adjusted Form '#]],[2]BILLED!$D:$D,[1]BILLED!$O:$O,"Not Found")</f>
        <v>#REF!</v>
      </c>
      <c r="Y691" s="17" t="e">
        <f>_xlfn.XLOOKUP(Table2[[#This Row],[Adjusted Form '#]],'[2]REJECTED ORDERS'!$D:$D,'[2]REJECTED ORDERS'!$E:$E)</f>
        <v>#N/A</v>
      </c>
      <c r="Z691" s="1"/>
      <c r="AA691" s="1"/>
      <c r="AB691" s="8"/>
      <c r="AC691" s="8"/>
      <c r="AD691" s="8"/>
      <c r="AE691" s="8"/>
      <c r="AF691" s="8"/>
      <c r="AG691" s="8"/>
      <c r="AH691" s="8"/>
      <c r="AI691" s="8"/>
      <c r="AJ691" s="8"/>
    </row>
    <row r="692" spans="1:36" ht="15" customHeight="1" x14ac:dyDescent="0.35">
      <c r="A692" s="4" t="s">
        <v>1050</v>
      </c>
      <c r="B692" s="1" t="s">
        <v>238</v>
      </c>
      <c r="C692" s="11">
        <v>45016</v>
      </c>
      <c r="D692" s="11" t="s">
        <v>5026</v>
      </c>
      <c r="E692" s="1" t="s">
        <v>21</v>
      </c>
      <c r="F692" s="1" t="s">
        <v>5029</v>
      </c>
      <c r="G692" s="6">
        <f>COUNTIF(F:F,Table2[[#This Row],[Form '#]])</f>
        <v>1</v>
      </c>
      <c r="H692" s="1" t="s">
        <v>2305</v>
      </c>
      <c r="I692" s="1" t="s">
        <v>127</v>
      </c>
      <c r="J692" s="1" t="s">
        <v>76</v>
      </c>
      <c r="K692" s="1" t="s">
        <v>4011</v>
      </c>
      <c r="L692" s="1"/>
      <c r="M692" s="6" t="str">
        <f>IF(Table2[[#This Row],[Corrected Form '#
 (If Duplicated)]]="",Table2[[#This Row],[Form '#]],Table2[[#This Row],[Corrected Form '#
 (If Duplicated)]])</f>
        <v>7818-10776</v>
      </c>
      <c r="N692" s="1" t="s">
        <v>49</v>
      </c>
      <c r="O692" s="6" t="str">
        <f>IF(Table2[[#This Row],[POG CONFIRMATION RECEIPT OF ORDER
(DATE &amp; TIME)]]="","No Confirmation","Received Confirmation")</f>
        <v>Received Confirmation</v>
      </c>
      <c r="P692" s="6">
        <f ca="1">TODAY()-Table2[[#This Row],[DATE SENT TO POG]]</f>
        <v>287</v>
      </c>
      <c r="Q692" s="6" t="s">
        <v>5803</v>
      </c>
      <c r="R6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2" s="2" t="str">
        <f>_xlfn.XLOOKUP(Table2[[#This Row],[Adjusted Form '#]],'[2]IN PROGRESS'!$D:$D,'[2]IN PROGRESS'!$M:$M,"Not Found")</f>
        <v>Not Found</v>
      </c>
      <c r="U692" s="2" t="str">
        <f>_xlfn.XLOOKUP(Table2[[#This Row],[Adjusted Form '#]],[1]COMPLETED!$D:$D,[2]COMPLETED!$M:$M,"Not Found")</f>
        <v>Not Found</v>
      </c>
      <c r="V692" s="17" t="str">
        <f>_xlfn.XLOOKUP(Table2[[#This Row],[Adjusted Form '#]],[2]COMPLETED!$D:$D,[2]COMPLETED!$O:$O,"Not Found")</f>
        <v>Not Found</v>
      </c>
      <c r="W692" s="2" t="str">
        <f>_xlfn.XLOOKUP(Table2[[#This Row],[Adjusted Form '#]],[2]BILLED!$D:$D,[2]BILLED!$M:$M,"Not Found")</f>
        <v>1Z5063E0YW41407677</v>
      </c>
      <c r="X692" s="17" t="e">
        <f>_xlfn.XLOOKUP(Table2[[#This Row],[Adjusted Form '#]],[2]BILLED!$D:$D,[1]BILLED!$O:$O,"Not Found")</f>
        <v>#REF!</v>
      </c>
      <c r="Y692" s="17" t="e">
        <f>_xlfn.XLOOKUP(Table2[[#This Row],[Adjusted Form '#]],'[2]REJECTED ORDERS'!$D:$D,'[2]REJECTED ORDERS'!$E:$E)</f>
        <v>#N/A</v>
      </c>
      <c r="Z692" s="1"/>
      <c r="AA692" s="1"/>
      <c r="AB692" s="8"/>
      <c r="AC692" s="8"/>
      <c r="AD692" s="8"/>
      <c r="AE692" s="8"/>
      <c r="AF692" s="8"/>
      <c r="AG692" s="8"/>
      <c r="AH692" s="8"/>
      <c r="AI692" s="8"/>
      <c r="AJ692" s="8"/>
    </row>
    <row r="693" spans="1:36" ht="15" customHeight="1" x14ac:dyDescent="0.35">
      <c r="A693" s="4" t="s">
        <v>1051</v>
      </c>
      <c r="B693" s="1" t="s">
        <v>238</v>
      </c>
      <c r="C693" s="11">
        <v>45016</v>
      </c>
      <c r="D693" s="11" t="s">
        <v>5026</v>
      </c>
      <c r="E693" s="1" t="s">
        <v>21</v>
      </c>
      <c r="F693" s="1" t="s">
        <v>5030</v>
      </c>
      <c r="G693" s="6">
        <f>COUNTIF(F:F,Table2[[#This Row],[Form '#]])</f>
        <v>1</v>
      </c>
      <c r="H693" s="1" t="s">
        <v>2053</v>
      </c>
      <c r="I693" s="1" t="s">
        <v>127</v>
      </c>
      <c r="J693" s="1" t="s">
        <v>76</v>
      </c>
      <c r="K693" s="1" t="s">
        <v>3883</v>
      </c>
      <c r="L693" s="1"/>
      <c r="M693" s="6" t="str">
        <f>IF(Table2[[#This Row],[Corrected Form '#
 (If Duplicated)]]="",Table2[[#This Row],[Form '#]],Table2[[#This Row],[Corrected Form '#
 (If Duplicated)]])</f>
        <v>7818-21917</v>
      </c>
      <c r="N693" s="1" t="s">
        <v>49</v>
      </c>
      <c r="O693" s="6" t="str">
        <f>IF(Table2[[#This Row],[POG CONFIRMATION RECEIPT OF ORDER
(DATE &amp; TIME)]]="","No Confirmation","Received Confirmation")</f>
        <v>Received Confirmation</v>
      </c>
      <c r="P693" s="6">
        <f ca="1">TODAY()-Table2[[#This Row],[DATE SENT TO POG]]</f>
        <v>287</v>
      </c>
      <c r="Q693" s="6" t="s">
        <v>5803</v>
      </c>
      <c r="R6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3" s="2" t="str">
        <f>_xlfn.XLOOKUP(Table2[[#This Row],[Adjusted Form '#]],'[2]IN PROGRESS'!$D:$D,'[2]IN PROGRESS'!$M:$M,"Not Found")</f>
        <v>Not Found</v>
      </c>
      <c r="U693" s="2" t="str">
        <f>_xlfn.XLOOKUP(Table2[[#This Row],[Adjusted Form '#]],[1]COMPLETED!$D:$D,[2]COMPLETED!$M:$M,"Not Found")</f>
        <v>Not Found</v>
      </c>
      <c r="V693" s="17" t="str">
        <f>_xlfn.XLOOKUP(Table2[[#This Row],[Adjusted Form '#]],[2]COMPLETED!$D:$D,[2]COMPLETED!$O:$O,"Not Found")</f>
        <v>Not Found</v>
      </c>
      <c r="W693" s="2" t="str">
        <f>_xlfn.XLOOKUP(Table2[[#This Row],[Adjusted Form '#]],[2]BILLED!$D:$D,[2]BILLED!$M:$M,"Not Found")</f>
        <v>1Z5063E0YW42991365</v>
      </c>
      <c r="X693" s="17" t="e">
        <f>_xlfn.XLOOKUP(Table2[[#This Row],[Adjusted Form '#]],[2]BILLED!$D:$D,[1]BILLED!$O:$O,"Not Found")</f>
        <v>#REF!</v>
      </c>
      <c r="Y693" s="17" t="e">
        <f>_xlfn.XLOOKUP(Table2[[#This Row],[Adjusted Form '#]],'[2]REJECTED ORDERS'!$D:$D,'[2]REJECTED ORDERS'!$E:$E)</f>
        <v>#N/A</v>
      </c>
      <c r="Z693" s="1"/>
      <c r="AA693" s="1"/>
      <c r="AB693" s="8"/>
      <c r="AC693" s="8"/>
      <c r="AD693" s="8"/>
      <c r="AE693" s="8"/>
      <c r="AF693" s="8"/>
      <c r="AG693" s="8"/>
      <c r="AH693" s="8"/>
      <c r="AI693" s="8"/>
      <c r="AJ693" s="8"/>
    </row>
    <row r="694" spans="1:36" ht="15" customHeight="1" x14ac:dyDescent="0.35">
      <c r="A694" s="4" t="s">
        <v>1052</v>
      </c>
      <c r="B694" s="1" t="s">
        <v>1702</v>
      </c>
      <c r="C694" s="11">
        <v>45019</v>
      </c>
      <c r="D694" s="11" t="s">
        <v>5031</v>
      </c>
      <c r="E694" s="1" t="s">
        <v>21</v>
      </c>
      <c r="F694" s="1" t="s">
        <v>5032</v>
      </c>
      <c r="G694" s="6">
        <f>COUNTIF(F:F,Table2[[#This Row],[Form '#]])</f>
        <v>1</v>
      </c>
      <c r="H694" s="1" t="s">
        <v>2619</v>
      </c>
      <c r="I694" s="1" t="s">
        <v>127</v>
      </c>
      <c r="J694" s="1" t="s">
        <v>76</v>
      </c>
      <c r="K694" s="1" t="s">
        <v>3883</v>
      </c>
      <c r="L694" s="1"/>
      <c r="M694" s="6" t="str">
        <f>IF(Table2[[#This Row],[Corrected Form '#
 (If Duplicated)]]="",Table2[[#This Row],[Form '#]],Table2[[#This Row],[Corrected Form '#
 (If Duplicated)]])</f>
        <v>7818-13883</v>
      </c>
      <c r="N694" s="1" t="s">
        <v>49</v>
      </c>
      <c r="O694" s="6" t="str">
        <f>IF(Table2[[#This Row],[POG CONFIRMATION RECEIPT OF ORDER
(DATE &amp; TIME)]]="","No Confirmation","Received Confirmation")</f>
        <v>Received Confirmation</v>
      </c>
      <c r="P694" s="6">
        <f ca="1">TODAY()-Table2[[#This Row],[DATE SENT TO POG]]</f>
        <v>284</v>
      </c>
      <c r="Q694" s="6" t="s">
        <v>5803</v>
      </c>
      <c r="R6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69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694" s="2" t="str">
        <f>_xlfn.XLOOKUP(Table2[[#This Row],[Adjusted Form '#]],'[2]IN PROGRESS'!$D:$D,'[2]IN PROGRESS'!$M:$M,"Not Found")</f>
        <v>Not Found</v>
      </c>
      <c r="U694" s="2" t="str">
        <f>_xlfn.XLOOKUP(Table2[[#This Row],[Adjusted Form '#]],[1]COMPLETED!$D:$D,[2]COMPLETED!$M:$M,"Not Found")</f>
        <v>Not Found</v>
      </c>
      <c r="V694" s="17">
        <f>_xlfn.XLOOKUP(Table2[[#This Row],[Adjusted Form '#]],[2]COMPLETED!$D:$D,[2]COMPLETED!$O:$O,"Not Found")</f>
        <v>0</v>
      </c>
      <c r="W694" s="2" t="str">
        <f>_xlfn.XLOOKUP(Table2[[#This Row],[Adjusted Form '#]],[2]BILLED!$D:$D,[2]BILLED!$M:$M,"Not Found")</f>
        <v>Not Found</v>
      </c>
      <c r="X694" s="17" t="str">
        <f>_xlfn.XLOOKUP(Table2[[#This Row],[Adjusted Form '#]],[2]BILLED!$D:$D,[1]BILLED!$O:$O,"Not Found")</f>
        <v>Not Found</v>
      </c>
      <c r="Y694" s="17" t="e">
        <f>_xlfn.XLOOKUP(Table2[[#This Row],[Adjusted Form '#]],'[2]REJECTED ORDERS'!$D:$D,'[2]REJECTED ORDERS'!$E:$E)</f>
        <v>#N/A</v>
      </c>
      <c r="Z694" s="1"/>
      <c r="AA694" s="1"/>
      <c r="AB694" s="8"/>
      <c r="AC694" s="8"/>
      <c r="AD694" s="8"/>
      <c r="AE694" s="8"/>
      <c r="AF694" s="8"/>
      <c r="AG694" s="8"/>
      <c r="AH694" s="8"/>
      <c r="AI694" s="8"/>
      <c r="AJ694" s="8"/>
    </row>
    <row r="695" spans="1:36" ht="15" customHeight="1" x14ac:dyDescent="0.35">
      <c r="A695" s="4" t="s">
        <v>1054</v>
      </c>
      <c r="B695" s="1" t="s">
        <v>1702</v>
      </c>
      <c r="C695" s="11">
        <v>45019</v>
      </c>
      <c r="D695" s="11" t="s">
        <v>5031</v>
      </c>
      <c r="E695" s="1" t="s">
        <v>21</v>
      </c>
      <c r="F695" s="1" t="s">
        <v>5033</v>
      </c>
      <c r="G695" s="6">
        <f>COUNTIF(F:F,Table2[[#This Row],[Form '#]])</f>
        <v>1</v>
      </c>
      <c r="H695" s="1" t="s">
        <v>1700</v>
      </c>
      <c r="I695" s="1" t="s">
        <v>127</v>
      </c>
      <c r="J695" s="1" t="s">
        <v>76</v>
      </c>
      <c r="K695" s="1" t="s">
        <v>4011</v>
      </c>
      <c r="L695" s="1"/>
      <c r="M695" s="6" t="str">
        <f>IF(Table2[[#This Row],[Corrected Form '#
 (If Duplicated)]]="",Table2[[#This Row],[Form '#]],Table2[[#This Row],[Corrected Form '#
 (If Duplicated)]])</f>
        <v>7818-25353</v>
      </c>
      <c r="N695" s="1" t="s">
        <v>49</v>
      </c>
      <c r="O695" s="6" t="str">
        <f>IF(Table2[[#This Row],[POG CONFIRMATION RECEIPT OF ORDER
(DATE &amp; TIME)]]="","No Confirmation","Received Confirmation")</f>
        <v>Received Confirmation</v>
      </c>
      <c r="P695" s="6">
        <f ca="1">TODAY()-Table2[[#This Row],[DATE SENT TO POG]]</f>
        <v>284</v>
      </c>
      <c r="Q695" s="6" t="s">
        <v>5803</v>
      </c>
      <c r="R6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5" s="2" t="str">
        <f>_xlfn.XLOOKUP(Table2[[#This Row],[Adjusted Form '#]],'[2]IN PROGRESS'!$D:$D,'[2]IN PROGRESS'!$M:$M,"Not Found")</f>
        <v>Not Found</v>
      </c>
      <c r="U695" s="2" t="str">
        <f>_xlfn.XLOOKUP(Table2[[#This Row],[Adjusted Form '#]],[1]COMPLETED!$D:$D,[2]COMPLETED!$M:$M,"Not Found")</f>
        <v>Not Found</v>
      </c>
      <c r="V695" s="17" t="str">
        <f>_xlfn.XLOOKUP(Table2[[#This Row],[Adjusted Form '#]],[2]COMPLETED!$D:$D,[2]COMPLETED!$O:$O,"Not Found")</f>
        <v>Not Found</v>
      </c>
      <c r="W695" s="2" t="str">
        <f>_xlfn.XLOOKUP(Table2[[#This Row],[Adjusted Form '#]],[2]BILLED!$D:$D,[2]BILLED!$M:$M,"Not Found")</f>
        <v>1Z5063E0YW41897737</v>
      </c>
      <c r="X695" s="17" t="e">
        <f>_xlfn.XLOOKUP(Table2[[#This Row],[Adjusted Form '#]],[2]BILLED!$D:$D,[1]BILLED!$O:$O,"Not Found")</f>
        <v>#REF!</v>
      </c>
      <c r="Y695" s="17" t="e">
        <f>_xlfn.XLOOKUP(Table2[[#This Row],[Adjusted Form '#]],'[2]REJECTED ORDERS'!$D:$D,'[2]REJECTED ORDERS'!$E:$E)</f>
        <v>#N/A</v>
      </c>
      <c r="Z695" s="1"/>
      <c r="AA695" s="1"/>
      <c r="AB695" s="8"/>
      <c r="AC695" s="8"/>
      <c r="AD695" s="8"/>
      <c r="AE695" s="8"/>
      <c r="AF695" s="8"/>
      <c r="AG695" s="8"/>
      <c r="AH695" s="8"/>
      <c r="AI695" s="8"/>
      <c r="AJ695" s="8"/>
    </row>
    <row r="696" spans="1:36" ht="15" customHeight="1" x14ac:dyDescent="0.35">
      <c r="A696" s="4" t="s">
        <v>1055</v>
      </c>
      <c r="B696" s="1" t="s">
        <v>1702</v>
      </c>
      <c r="C696" s="11">
        <v>45019</v>
      </c>
      <c r="D696" s="11" t="s">
        <v>5031</v>
      </c>
      <c r="E696" s="1" t="s">
        <v>21</v>
      </c>
      <c r="F696" s="1" t="s">
        <v>5034</v>
      </c>
      <c r="G696" s="6">
        <f>COUNTIF(F:F,Table2[[#This Row],[Form '#]])</f>
        <v>1</v>
      </c>
      <c r="H696" s="1" t="s">
        <v>2475</v>
      </c>
      <c r="I696" s="1" t="s">
        <v>28</v>
      </c>
      <c r="J696" s="1" t="s">
        <v>69</v>
      </c>
      <c r="K696" s="1" t="s">
        <v>4631</v>
      </c>
      <c r="L696" s="1"/>
      <c r="M696" s="6" t="str">
        <f>IF(Table2[[#This Row],[Corrected Form '#
 (If Duplicated)]]="",Table2[[#This Row],[Form '#]],Table2[[#This Row],[Corrected Form '#
 (If Duplicated)]])</f>
        <v>7818-29886</v>
      </c>
      <c r="N696" s="1" t="s">
        <v>49</v>
      </c>
      <c r="O696" s="6" t="str">
        <f>IF(Table2[[#This Row],[POG CONFIRMATION RECEIPT OF ORDER
(DATE &amp; TIME)]]="","No Confirmation","Received Confirmation")</f>
        <v>Received Confirmation</v>
      </c>
      <c r="P696" s="6">
        <f ca="1">TODAY()-Table2[[#This Row],[DATE SENT TO POG]]</f>
        <v>284</v>
      </c>
      <c r="Q696" s="6" t="s">
        <v>5803</v>
      </c>
      <c r="R6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6" s="2" t="str">
        <f>_xlfn.XLOOKUP(Table2[[#This Row],[Adjusted Form '#]],'[2]IN PROGRESS'!$D:$D,'[2]IN PROGRESS'!$M:$M,"Not Found")</f>
        <v>Not Found</v>
      </c>
      <c r="U696" s="2" t="str">
        <f>_xlfn.XLOOKUP(Table2[[#This Row],[Adjusted Form '#]],[1]COMPLETED!$D:$D,[2]COMPLETED!$M:$M,"Not Found")</f>
        <v>Not Found</v>
      </c>
      <c r="V696" s="17" t="str">
        <f>_xlfn.XLOOKUP(Table2[[#This Row],[Adjusted Form '#]],[2]COMPLETED!$D:$D,[2]COMPLETED!$O:$O,"Not Found")</f>
        <v>Not Found</v>
      </c>
      <c r="W696" s="2" t="str">
        <f>_xlfn.XLOOKUP(Table2[[#This Row],[Adjusted Form '#]],[2]BILLED!$D:$D,[2]BILLED!$M:$M,"Not Found")</f>
        <v>9400 1112 0620 7290 2594 51</v>
      </c>
      <c r="X696" s="17" t="e">
        <f>_xlfn.XLOOKUP(Table2[[#This Row],[Adjusted Form '#]],[2]BILLED!$D:$D,[1]BILLED!$O:$O,"Not Found")</f>
        <v>#REF!</v>
      </c>
      <c r="Y696" s="17" t="e">
        <f>_xlfn.XLOOKUP(Table2[[#This Row],[Adjusted Form '#]],'[2]REJECTED ORDERS'!$D:$D,'[2]REJECTED ORDERS'!$E:$E)</f>
        <v>#N/A</v>
      </c>
      <c r="Z696" s="1"/>
      <c r="AA696" s="1"/>
      <c r="AB696" s="8"/>
      <c r="AC696" s="8"/>
      <c r="AD696" s="8"/>
      <c r="AE696" s="8"/>
      <c r="AF696" s="8"/>
      <c r="AG696" s="8"/>
      <c r="AH696" s="8"/>
      <c r="AI696" s="8"/>
      <c r="AJ696" s="8"/>
    </row>
    <row r="697" spans="1:36" ht="15" customHeight="1" x14ac:dyDescent="0.35">
      <c r="A697" s="4" t="s">
        <v>1056</v>
      </c>
      <c r="B697" s="1" t="s">
        <v>3500</v>
      </c>
      <c r="C697" s="11">
        <v>45019</v>
      </c>
      <c r="D697" s="11" t="s">
        <v>5035</v>
      </c>
      <c r="E697" s="1" t="s">
        <v>73</v>
      </c>
      <c r="F697" s="1" t="s">
        <v>5036</v>
      </c>
      <c r="G697" s="6">
        <f>COUNTIF(F:F,Table2[[#This Row],[Form '#]])</f>
        <v>1</v>
      </c>
      <c r="H697" s="1" t="s">
        <v>5037</v>
      </c>
      <c r="I697" s="1" t="s">
        <v>177</v>
      </c>
      <c r="J697" s="1" t="s">
        <v>75</v>
      </c>
      <c r="K697" s="1" t="s">
        <v>4011</v>
      </c>
      <c r="L697" s="1"/>
      <c r="M697" s="6" t="str">
        <f>IF(Table2[[#This Row],[Corrected Form '#
 (If Duplicated)]]="",Table2[[#This Row],[Form '#]],Table2[[#This Row],[Corrected Form '#
 (If Duplicated)]])</f>
        <v>7823-02774</v>
      </c>
      <c r="N697" s="1" t="s">
        <v>49</v>
      </c>
      <c r="O697" s="6" t="str">
        <f>IF(Table2[[#This Row],[POG CONFIRMATION RECEIPT OF ORDER
(DATE &amp; TIME)]]="","No Confirmation","Received Confirmation")</f>
        <v>Received Confirmation</v>
      </c>
      <c r="P697" s="6">
        <f ca="1">TODAY()-Table2[[#This Row],[DATE SENT TO POG]]</f>
        <v>284</v>
      </c>
      <c r="Q697" s="6" t="s">
        <v>5803</v>
      </c>
      <c r="R6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7" s="2" t="str">
        <f>_xlfn.XLOOKUP(Table2[[#This Row],[Adjusted Form '#]],'[2]IN PROGRESS'!$D:$D,'[2]IN PROGRESS'!$M:$M,"Not Found")</f>
        <v>Not Found</v>
      </c>
      <c r="U697" s="2" t="str">
        <f>_xlfn.XLOOKUP(Table2[[#This Row],[Adjusted Form '#]],[1]COMPLETED!$D:$D,[2]COMPLETED!$M:$M,"Not Found")</f>
        <v>Not Found</v>
      </c>
      <c r="V697" s="17" t="str">
        <f>_xlfn.XLOOKUP(Table2[[#This Row],[Adjusted Form '#]],[2]COMPLETED!$D:$D,[2]COMPLETED!$O:$O,"Not Found")</f>
        <v>Not Found</v>
      </c>
      <c r="W697" s="2" t="str">
        <f>_xlfn.XLOOKUP(Table2[[#This Row],[Adjusted Form '#]],[2]BILLED!$D:$D,[2]BILLED!$M:$M,"Not Found")</f>
        <v>1Z5063E0YW41111227</v>
      </c>
      <c r="X697" s="17" t="e">
        <f>_xlfn.XLOOKUP(Table2[[#This Row],[Adjusted Form '#]],[2]BILLED!$D:$D,[1]BILLED!$O:$O,"Not Found")</f>
        <v>#REF!</v>
      </c>
      <c r="Y697" s="17" t="e">
        <f>_xlfn.XLOOKUP(Table2[[#This Row],[Adjusted Form '#]],'[2]REJECTED ORDERS'!$D:$D,'[2]REJECTED ORDERS'!$E:$E)</f>
        <v>#N/A</v>
      </c>
      <c r="Z697" s="1"/>
      <c r="AA697" s="1"/>
      <c r="AB697" s="8"/>
      <c r="AC697" s="8"/>
      <c r="AD697" s="8"/>
      <c r="AE697" s="8"/>
      <c r="AF697" s="8"/>
      <c r="AG697" s="8"/>
      <c r="AH697" s="8"/>
      <c r="AI697" s="8"/>
      <c r="AJ697" s="8"/>
    </row>
    <row r="698" spans="1:36" ht="15" customHeight="1" x14ac:dyDescent="0.35">
      <c r="A698" s="4" t="s">
        <v>1058</v>
      </c>
      <c r="B698" s="1" t="s">
        <v>801</v>
      </c>
      <c r="C698" s="11">
        <v>45019</v>
      </c>
      <c r="E698" s="1" t="s">
        <v>21</v>
      </c>
      <c r="F698" s="1" t="s">
        <v>5038</v>
      </c>
      <c r="G698" s="6">
        <f>COUNTIF(F:F,Table2[[#This Row],[Form '#]])</f>
        <v>1</v>
      </c>
      <c r="H698" s="1" t="s">
        <v>3587</v>
      </c>
      <c r="I698" s="1" t="s">
        <v>106</v>
      </c>
      <c r="J698" s="1" t="s">
        <v>70</v>
      </c>
      <c r="K698" s="1" t="s">
        <v>4530</v>
      </c>
      <c r="L698" s="1"/>
      <c r="M698" s="6" t="str">
        <f>IF(Table2[[#This Row],[Corrected Form '#
 (If Duplicated)]]="",Table2[[#This Row],[Form '#]],Table2[[#This Row],[Corrected Form '#
 (If Duplicated)]])</f>
        <v>7818-10393</v>
      </c>
      <c r="N698" s="1" t="s">
        <v>49</v>
      </c>
      <c r="O698" s="6" t="str">
        <f>IF(Table2[[#This Row],[POG CONFIRMATION RECEIPT OF ORDER
(DATE &amp; TIME)]]="","No Confirmation","Received Confirmation")</f>
        <v>No Confirmation</v>
      </c>
      <c r="P698" s="6">
        <f ca="1">TODAY()-Table2[[#This Row],[DATE SENT TO POG]]</f>
        <v>284</v>
      </c>
      <c r="Q698" s="6" t="s">
        <v>5803</v>
      </c>
      <c r="R6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8" s="2" t="str">
        <f>_xlfn.XLOOKUP(Table2[[#This Row],[Adjusted Form '#]],'[2]IN PROGRESS'!$D:$D,'[2]IN PROGRESS'!$M:$M,"Not Found")</f>
        <v>Not Found</v>
      </c>
      <c r="U698" s="2" t="str">
        <f>_xlfn.XLOOKUP(Table2[[#This Row],[Adjusted Form '#]],[1]COMPLETED!$D:$D,[2]COMPLETED!$M:$M,"Not Found")</f>
        <v>Not Found</v>
      </c>
      <c r="V698" s="17" t="str">
        <f>_xlfn.XLOOKUP(Table2[[#This Row],[Adjusted Form '#]],[2]COMPLETED!$D:$D,[2]COMPLETED!$O:$O,"Not Found")</f>
        <v>Not Found</v>
      </c>
      <c r="W698" s="2" t="str">
        <f>_xlfn.XLOOKUP(Table2[[#This Row],[Adjusted Form '#]],[2]BILLED!$D:$D,[2]BILLED!$M:$M,"Not Found")</f>
        <v>1Z5063E0YW41699764</v>
      </c>
      <c r="X698" s="17" t="e">
        <f>_xlfn.XLOOKUP(Table2[[#This Row],[Adjusted Form '#]],[2]BILLED!$D:$D,[1]BILLED!$O:$O,"Not Found")</f>
        <v>#REF!</v>
      </c>
      <c r="Y698" s="17" t="e">
        <f>_xlfn.XLOOKUP(Table2[[#This Row],[Adjusted Form '#]],'[2]REJECTED ORDERS'!$D:$D,'[2]REJECTED ORDERS'!$E:$E)</f>
        <v>#N/A</v>
      </c>
      <c r="Z698" s="1"/>
      <c r="AA698" s="1"/>
      <c r="AB698" s="8"/>
      <c r="AC698" s="8"/>
      <c r="AD698" s="8"/>
      <c r="AE698" s="8"/>
      <c r="AF698" s="8"/>
      <c r="AG698" s="8"/>
      <c r="AH698" s="8"/>
      <c r="AI698" s="8"/>
      <c r="AJ698" s="8"/>
    </row>
    <row r="699" spans="1:36" ht="15" customHeight="1" x14ac:dyDescent="0.35">
      <c r="A699" s="4" t="s">
        <v>1060</v>
      </c>
      <c r="B699" s="1" t="s">
        <v>3941</v>
      </c>
      <c r="C699" s="11">
        <v>45020</v>
      </c>
      <c r="D699" s="11" t="s">
        <v>5039</v>
      </c>
      <c r="E699" s="1" t="s">
        <v>73</v>
      </c>
      <c r="F699" s="1" t="s">
        <v>5040</v>
      </c>
      <c r="G699" s="6">
        <f>COUNTIF(F:F,Table2[[#This Row],[Form '#]])</f>
        <v>1</v>
      </c>
      <c r="H699" s="1" t="s">
        <v>5041</v>
      </c>
      <c r="I699" s="1" t="s">
        <v>127</v>
      </c>
      <c r="J699" s="1" t="s">
        <v>71</v>
      </c>
      <c r="K699" s="1" t="s">
        <v>3891</v>
      </c>
      <c r="L699" s="1"/>
      <c r="M699" s="6" t="str">
        <f>IF(Table2[[#This Row],[Corrected Form '#
 (If Duplicated)]]="",Table2[[#This Row],[Form '#]],Table2[[#This Row],[Corrected Form '#
 (If Duplicated)]])</f>
        <v>7823-01242</v>
      </c>
      <c r="N699" s="1" t="s">
        <v>49</v>
      </c>
      <c r="O699" s="6" t="str">
        <f>IF(Table2[[#This Row],[POG CONFIRMATION RECEIPT OF ORDER
(DATE &amp; TIME)]]="","No Confirmation","Received Confirmation")</f>
        <v>Received Confirmation</v>
      </c>
      <c r="P699" s="6">
        <f ca="1">TODAY()-Table2[[#This Row],[DATE SENT TO POG]]</f>
        <v>283</v>
      </c>
      <c r="Q699" s="6" t="s">
        <v>5803</v>
      </c>
      <c r="R6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6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699" s="2" t="str">
        <f>_xlfn.XLOOKUP(Table2[[#This Row],[Adjusted Form '#]],'[2]IN PROGRESS'!$D:$D,'[2]IN PROGRESS'!$M:$M,"Not Found")</f>
        <v>Not Found</v>
      </c>
      <c r="U699" s="2" t="str">
        <f>_xlfn.XLOOKUP(Table2[[#This Row],[Adjusted Form '#]],[1]COMPLETED!$D:$D,[2]COMPLETED!$M:$M,"Not Found")</f>
        <v>Not Found</v>
      </c>
      <c r="V699" s="17" t="str">
        <f>_xlfn.XLOOKUP(Table2[[#This Row],[Adjusted Form '#]],[2]COMPLETED!$D:$D,[2]COMPLETED!$O:$O,"Not Found")</f>
        <v>Not Found</v>
      </c>
      <c r="W699" s="2" t="str">
        <f>_xlfn.XLOOKUP(Table2[[#This Row],[Adjusted Form '#]],[2]BILLED!$D:$D,[2]BILLED!$M:$M,"Not Found")</f>
        <v>9400 1112 0620 7290 2873 93</v>
      </c>
      <c r="X699" s="17" t="e">
        <f>_xlfn.XLOOKUP(Table2[[#This Row],[Adjusted Form '#]],[2]BILLED!$D:$D,[1]BILLED!$O:$O,"Not Found")</f>
        <v>#REF!</v>
      </c>
      <c r="Y699" s="17" t="e">
        <f>_xlfn.XLOOKUP(Table2[[#This Row],[Adjusted Form '#]],'[2]REJECTED ORDERS'!$D:$D,'[2]REJECTED ORDERS'!$E:$E)</f>
        <v>#N/A</v>
      </c>
      <c r="Z699" s="1"/>
      <c r="AA699" s="1"/>
      <c r="AB699" s="8"/>
      <c r="AC699" s="8"/>
      <c r="AD699" s="8"/>
      <c r="AE699" s="8"/>
      <c r="AF699" s="8"/>
      <c r="AG699" s="8"/>
      <c r="AH699" s="8"/>
      <c r="AI699" s="8"/>
      <c r="AJ699" s="8"/>
    </row>
    <row r="700" spans="1:36" ht="15" customHeight="1" x14ac:dyDescent="0.35">
      <c r="A700" s="4" t="s">
        <v>1061</v>
      </c>
      <c r="B700" s="1" t="s">
        <v>249</v>
      </c>
      <c r="C700" s="11">
        <v>45020</v>
      </c>
      <c r="D700" s="11" t="s">
        <v>5039</v>
      </c>
      <c r="E700" s="1" t="s">
        <v>21</v>
      </c>
      <c r="F700" s="1" t="s">
        <v>5042</v>
      </c>
      <c r="G700" s="6">
        <f>COUNTIF(F:F,Table2[[#This Row],[Form '#]])</f>
        <v>3</v>
      </c>
      <c r="H700" s="1" t="s">
        <v>2598</v>
      </c>
      <c r="I700" s="1" t="s">
        <v>28</v>
      </c>
      <c r="J700" s="1" t="s">
        <v>69</v>
      </c>
      <c r="K700" s="1" t="s">
        <v>4631</v>
      </c>
      <c r="L700" s="1"/>
      <c r="M700" s="6" t="str">
        <f>IF(Table2[[#This Row],[Corrected Form '#
 (If Duplicated)]]="",Table2[[#This Row],[Form '#]],Table2[[#This Row],[Corrected Form '#
 (If Duplicated)]])</f>
        <v>7812-01730</v>
      </c>
      <c r="N700" s="1" t="s">
        <v>49</v>
      </c>
      <c r="O700" s="6" t="str">
        <f>IF(Table2[[#This Row],[POG CONFIRMATION RECEIPT OF ORDER
(DATE &amp; TIME)]]="","No Confirmation","Received Confirmation")</f>
        <v>Received Confirmation</v>
      </c>
      <c r="P700" s="6">
        <f ca="1">TODAY()-Table2[[#This Row],[DATE SENT TO POG]]</f>
        <v>283</v>
      </c>
      <c r="Q700" s="6" t="s">
        <v>5803</v>
      </c>
      <c r="R7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0" s="2" t="str">
        <f>_xlfn.XLOOKUP(Table2[[#This Row],[Adjusted Form '#]],'[2]IN PROGRESS'!$D:$D,'[2]IN PROGRESS'!$M:$M,"Not Found")</f>
        <v>Not Found</v>
      </c>
      <c r="U700" s="2" t="str">
        <f>_xlfn.XLOOKUP(Table2[[#This Row],[Adjusted Form '#]],[1]COMPLETED!$D:$D,[2]COMPLETED!$M:$M,"Not Found")</f>
        <v>Not Found</v>
      </c>
      <c r="V700" s="17" t="str">
        <f>_xlfn.XLOOKUP(Table2[[#This Row],[Adjusted Form '#]],[2]COMPLETED!$D:$D,[2]COMPLETED!$O:$O,"Not Found")</f>
        <v>Not Found</v>
      </c>
      <c r="W700" s="2" t="str">
        <f>_xlfn.XLOOKUP(Table2[[#This Row],[Adjusted Form '#]],[2]BILLED!$D:$D,[2]BILLED!$M:$M,"Not Found")</f>
        <v>1Z5063E0YW40529592</v>
      </c>
      <c r="X700" s="17" t="e">
        <f>_xlfn.XLOOKUP(Table2[[#This Row],[Adjusted Form '#]],[2]BILLED!$D:$D,[1]BILLED!$O:$O,"Not Found")</f>
        <v>#REF!</v>
      </c>
      <c r="Y700" s="17" t="str">
        <f>_xlfn.XLOOKUP(Table2[[#This Row],[Adjusted Form '#]],'[2]REJECTED ORDERS'!$D:$D,'[2]REJECTED ORDERS'!$E:$E)</f>
        <v>FORM NOT SIGNED</v>
      </c>
      <c r="Z700" s="1"/>
      <c r="AA700" s="1"/>
      <c r="AB700" s="8"/>
      <c r="AC700" s="8"/>
      <c r="AD700" s="8"/>
      <c r="AE700" s="8"/>
      <c r="AF700" s="8"/>
      <c r="AG700" s="8"/>
      <c r="AH700" s="8"/>
      <c r="AI700" s="8"/>
      <c r="AJ700" s="8"/>
    </row>
    <row r="701" spans="1:36" ht="15" customHeight="1" x14ac:dyDescent="0.35">
      <c r="A701" s="4" t="s">
        <v>1063</v>
      </c>
      <c r="B701" s="1" t="s">
        <v>1579</v>
      </c>
      <c r="C701" s="11">
        <v>45020</v>
      </c>
      <c r="D701" s="11" t="s">
        <v>5043</v>
      </c>
      <c r="E701" s="1" t="s">
        <v>14</v>
      </c>
      <c r="F701" s="1" t="s">
        <v>5044</v>
      </c>
      <c r="G701" s="6">
        <f>COUNTIF(F:F,Table2[[#This Row],[Form '#]])</f>
        <v>1</v>
      </c>
      <c r="H701" s="1" t="s">
        <v>5045</v>
      </c>
      <c r="I701" s="1" t="s">
        <v>3852</v>
      </c>
      <c r="J701" s="1" t="s">
        <v>80</v>
      </c>
      <c r="K701" s="1" t="s">
        <v>4430</v>
      </c>
      <c r="L701" s="1"/>
      <c r="M701" s="6" t="str">
        <f>IF(Table2[[#This Row],[Corrected Form '#
 (If Duplicated)]]="",Table2[[#This Row],[Form '#]],Table2[[#This Row],[Corrected Form '#
 (If Duplicated)]])</f>
        <v>7810-01820</v>
      </c>
      <c r="N701" s="1" t="s">
        <v>49</v>
      </c>
      <c r="O701" s="6" t="str">
        <f>IF(Table2[[#This Row],[POG CONFIRMATION RECEIPT OF ORDER
(DATE &amp; TIME)]]="","No Confirmation","Received Confirmation")</f>
        <v>Received Confirmation</v>
      </c>
      <c r="P701" s="6">
        <f ca="1">TODAY()-Table2[[#This Row],[DATE SENT TO POG]]</f>
        <v>283</v>
      </c>
      <c r="Q701" s="6" t="s">
        <v>5803</v>
      </c>
      <c r="R7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1" s="2" t="str">
        <f>_xlfn.XLOOKUP(Table2[[#This Row],[Adjusted Form '#]],'[2]IN PROGRESS'!$D:$D,'[2]IN PROGRESS'!$M:$M,"Not Found")</f>
        <v>Not Found</v>
      </c>
      <c r="U701" s="2" t="str">
        <f>_xlfn.XLOOKUP(Table2[[#This Row],[Adjusted Form '#]],[1]COMPLETED!$D:$D,[2]COMPLETED!$M:$M,"Not Found")</f>
        <v>Not Found</v>
      </c>
      <c r="V701" s="17" t="str">
        <f>_xlfn.XLOOKUP(Table2[[#This Row],[Adjusted Form '#]],[2]COMPLETED!$D:$D,[2]COMPLETED!$O:$O,"Not Found")</f>
        <v>Not Found</v>
      </c>
      <c r="W701" s="2" t="str">
        <f>_xlfn.XLOOKUP(Table2[[#This Row],[Adjusted Form '#]],[2]BILLED!$D:$D,[2]BILLED!$M:$M,"Not Found")</f>
        <v>1Z5063E0YW40772131</v>
      </c>
      <c r="X701" s="17" t="e">
        <f>_xlfn.XLOOKUP(Table2[[#This Row],[Adjusted Form '#]],[2]BILLED!$D:$D,[1]BILLED!$O:$O,"Not Found")</f>
        <v>#REF!</v>
      </c>
      <c r="Y701" s="17" t="e">
        <f>_xlfn.XLOOKUP(Table2[[#This Row],[Adjusted Form '#]],'[2]REJECTED ORDERS'!$D:$D,'[2]REJECTED ORDERS'!$E:$E)</f>
        <v>#N/A</v>
      </c>
      <c r="Z701" s="1"/>
      <c r="AA701" s="1"/>
      <c r="AB701" s="8"/>
      <c r="AC701" s="8"/>
      <c r="AD701" s="8"/>
      <c r="AE701" s="8"/>
      <c r="AF701" s="8"/>
      <c r="AG701" s="8"/>
      <c r="AH701" s="8"/>
      <c r="AI701" s="8"/>
      <c r="AJ701" s="8"/>
    </row>
    <row r="702" spans="1:36" ht="15" customHeight="1" x14ac:dyDescent="0.35">
      <c r="A702" s="4" t="s">
        <v>1064</v>
      </c>
      <c r="B702" s="1" t="s">
        <v>1579</v>
      </c>
      <c r="C702" s="11">
        <v>45020</v>
      </c>
      <c r="D702" s="11" t="s">
        <v>5043</v>
      </c>
      <c r="E702" s="1" t="s">
        <v>14</v>
      </c>
      <c r="F702" s="1" t="s">
        <v>5046</v>
      </c>
      <c r="G702" s="6">
        <f>COUNTIF(F:F,Table2[[#This Row],[Form '#]])</f>
        <v>1</v>
      </c>
      <c r="H702" s="1" t="s">
        <v>5047</v>
      </c>
      <c r="I702" s="1" t="s">
        <v>3852</v>
      </c>
      <c r="J702" s="1" t="s">
        <v>3891</v>
      </c>
      <c r="K702" s="1" t="s">
        <v>4011</v>
      </c>
      <c r="L702" s="1"/>
      <c r="M702" s="6" t="str">
        <f>IF(Table2[[#This Row],[Corrected Form '#
 (If Duplicated)]]="",Table2[[#This Row],[Form '#]],Table2[[#This Row],[Corrected Form '#
 (If Duplicated)]])</f>
        <v>7810-01877</v>
      </c>
      <c r="N702" s="1" t="s">
        <v>49</v>
      </c>
      <c r="O702" s="6" t="str">
        <f>IF(Table2[[#This Row],[POG CONFIRMATION RECEIPT OF ORDER
(DATE &amp; TIME)]]="","No Confirmation","Received Confirmation")</f>
        <v>Received Confirmation</v>
      </c>
      <c r="P702" s="6">
        <f ca="1">TODAY()-Table2[[#This Row],[DATE SENT TO POG]]</f>
        <v>283</v>
      </c>
      <c r="Q702" s="6" t="s">
        <v>5803</v>
      </c>
      <c r="R7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2" s="2" t="str">
        <f>_xlfn.XLOOKUP(Table2[[#This Row],[Adjusted Form '#]],'[2]IN PROGRESS'!$D:$D,'[2]IN PROGRESS'!$M:$M,"Not Found")</f>
        <v>Not Found</v>
      </c>
      <c r="U702" s="2" t="str">
        <f>_xlfn.XLOOKUP(Table2[[#This Row],[Adjusted Form '#]],[1]COMPLETED!$D:$D,[2]COMPLETED!$M:$M,"Not Found")</f>
        <v>Not Found</v>
      </c>
      <c r="V702" s="17" t="str">
        <f>_xlfn.XLOOKUP(Table2[[#This Row],[Adjusted Form '#]],[2]COMPLETED!$D:$D,[2]COMPLETED!$O:$O,"Not Found")</f>
        <v>Not Found</v>
      </c>
      <c r="W702" s="2" t="str">
        <f>_xlfn.XLOOKUP(Table2[[#This Row],[Adjusted Form '#]],[2]BILLED!$D:$D,[2]BILLED!$M:$M,"Not Found")</f>
        <v>1Z5063E0YW42999232</v>
      </c>
      <c r="X702" s="17" t="e">
        <f>_xlfn.XLOOKUP(Table2[[#This Row],[Adjusted Form '#]],[2]BILLED!$D:$D,[1]BILLED!$O:$O,"Not Found")</f>
        <v>#REF!</v>
      </c>
      <c r="Y702" s="17" t="e">
        <f>_xlfn.XLOOKUP(Table2[[#This Row],[Adjusted Form '#]],'[2]REJECTED ORDERS'!$D:$D,'[2]REJECTED ORDERS'!$E:$E)</f>
        <v>#N/A</v>
      </c>
      <c r="Z702" s="1"/>
      <c r="AA702" s="1"/>
      <c r="AB702" s="8"/>
      <c r="AC702" s="8"/>
      <c r="AD702" s="8"/>
      <c r="AE702" s="8"/>
      <c r="AF702" s="8"/>
      <c r="AG702" s="8"/>
      <c r="AH702" s="8"/>
      <c r="AI702" s="8"/>
      <c r="AJ702" s="8"/>
    </row>
    <row r="703" spans="1:36" ht="15" customHeight="1" x14ac:dyDescent="0.35">
      <c r="A703" s="4" t="s">
        <v>1066</v>
      </c>
      <c r="B703" s="1" t="s">
        <v>1579</v>
      </c>
      <c r="C703" s="11">
        <v>45020</v>
      </c>
      <c r="D703" s="11" t="s">
        <v>5043</v>
      </c>
      <c r="E703" s="1" t="s">
        <v>14</v>
      </c>
      <c r="F703" s="1" t="s">
        <v>5048</v>
      </c>
      <c r="G703" s="6">
        <f>COUNTIF(F:F,Table2[[#This Row],[Form '#]])</f>
        <v>1</v>
      </c>
      <c r="H703" s="1" t="s">
        <v>5049</v>
      </c>
      <c r="I703" s="1" t="s">
        <v>3852</v>
      </c>
      <c r="J703" s="1" t="s">
        <v>3891</v>
      </c>
      <c r="K703" s="1" t="s">
        <v>3853</v>
      </c>
      <c r="L703" s="1"/>
      <c r="M703" s="6" t="str">
        <f>IF(Table2[[#This Row],[Corrected Form '#
 (If Duplicated)]]="",Table2[[#This Row],[Form '#]],Table2[[#This Row],[Corrected Form '#
 (If Duplicated)]])</f>
        <v>7810-01577</v>
      </c>
      <c r="N703" s="1" t="s">
        <v>49</v>
      </c>
      <c r="O703" s="6" t="str">
        <f>IF(Table2[[#This Row],[POG CONFIRMATION RECEIPT OF ORDER
(DATE &amp; TIME)]]="","No Confirmation","Received Confirmation")</f>
        <v>Received Confirmation</v>
      </c>
      <c r="P703" s="6">
        <f ca="1">TODAY()-Table2[[#This Row],[DATE SENT TO POG]]</f>
        <v>283</v>
      </c>
      <c r="Q703" s="6" t="s">
        <v>5803</v>
      </c>
      <c r="R7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3" s="2" t="str">
        <f>_xlfn.XLOOKUP(Table2[[#This Row],[Adjusted Form '#]],'[2]IN PROGRESS'!$D:$D,'[2]IN PROGRESS'!$M:$M,"Not Found")</f>
        <v>Not Found</v>
      </c>
      <c r="U703" s="2" t="str">
        <f>_xlfn.XLOOKUP(Table2[[#This Row],[Adjusted Form '#]],[1]COMPLETED!$D:$D,[2]COMPLETED!$M:$M,"Not Found")</f>
        <v>Not Found</v>
      </c>
      <c r="V703" s="17" t="str">
        <f>_xlfn.XLOOKUP(Table2[[#This Row],[Adjusted Form '#]],[2]COMPLETED!$D:$D,[2]COMPLETED!$O:$O,"Not Found")</f>
        <v>Not Found</v>
      </c>
      <c r="W703" s="2" t="str">
        <f>_xlfn.XLOOKUP(Table2[[#This Row],[Adjusted Form '#]],[2]BILLED!$D:$D,[2]BILLED!$M:$M,"Not Found")</f>
        <v>1Z5063E0YW40636547</v>
      </c>
      <c r="X703" s="17" t="e">
        <f>_xlfn.XLOOKUP(Table2[[#This Row],[Adjusted Form '#]],[2]BILLED!$D:$D,[1]BILLED!$O:$O,"Not Found")</f>
        <v>#REF!</v>
      </c>
      <c r="Y703" s="17" t="e">
        <f>_xlfn.XLOOKUP(Table2[[#This Row],[Adjusted Form '#]],'[2]REJECTED ORDERS'!$D:$D,'[2]REJECTED ORDERS'!$E:$E)</f>
        <v>#N/A</v>
      </c>
      <c r="Z703" s="1"/>
      <c r="AA703" s="1"/>
      <c r="AB703" s="8"/>
      <c r="AC703" s="8"/>
      <c r="AD703" s="8"/>
      <c r="AE703" s="8"/>
      <c r="AF703" s="8"/>
      <c r="AG703" s="8"/>
      <c r="AH703" s="8"/>
      <c r="AI703" s="8"/>
      <c r="AJ703" s="8"/>
    </row>
    <row r="704" spans="1:36" ht="15" customHeight="1" x14ac:dyDescent="0.35">
      <c r="A704" s="4" t="s">
        <v>1067</v>
      </c>
      <c r="B704" s="1" t="s">
        <v>1579</v>
      </c>
      <c r="C704" s="11">
        <v>45020</v>
      </c>
      <c r="D704" s="11" t="s">
        <v>5043</v>
      </c>
      <c r="E704" s="1" t="s">
        <v>14</v>
      </c>
      <c r="F704" s="1" t="s">
        <v>5050</v>
      </c>
      <c r="G704" s="6">
        <f>COUNTIF(F:F,Table2[[#This Row],[Form '#]])</f>
        <v>1</v>
      </c>
      <c r="H704" s="1" t="s">
        <v>5051</v>
      </c>
      <c r="I704" s="1" t="s">
        <v>3864</v>
      </c>
      <c r="J704" s="1" t="s">
        <v>78</v>
      </c>
      <c r="K704" s="1" t="s">
        <v>3879</v>
      </c>
      <c r="L704" s="1"/>
      <c r="M704" s="6" t="str">
        <f>IF(Table2[[#This Row],[Corrected Form '#
 (If Duplicated)]]="",Table2[[#This Row],[Form '#]],Table2[[#This Row],[Corrected Form '#
 (If Duplicated)]])</f>
        <v>7810-01541</v>
      </c>
      <c r="N704" s="1" t="s">
        <v>49</v>
      </c>
      <c r="O704" s="6" t="str">
        <f>IF(Table2[[#This Row],[POG CONFIRMATION RECEIPT OF ORDER
(DATE &amp; TIME)]]="","No Confirmation","Received Confirmation")</f>
        <v>Received Confirmation</v>
      </c>
      <c r="P704" s="6">
        <f ca="1">TODAY()-Table2[[#This Row],[DATE SENT TO POG]]</f>
        <v>283</v>
      </c>
      <c r="Q704" s="6" t="s">
        <v>5803</v>
      </c>
      <c r="R7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4" s="2" t="str">
        <f>_xlfn.XLOOKUP(Table2[[#This Row],[Adjusted Form '#]],'[2]IN PROGRESS'!$D:$D,'[2]IN PROGRESS'!$M:$M,"Not Found")</f>
        <v>Not Found</v>
      </c>
      <c r="U704" s="2" t="str">
        <f>_xlfn.XLOOKUP(Table2[[#This Row],[Adjusted Form '#]],[1]COMPLETED!$D:$D,[2]COMPLETED!$M:$M,"Not Found")</f>
        <v>Not Found</v>
      </c>
      <c r="V704" s="17" t="str">
        <f>_xlfn.XLOOKUP(Table2[[#This Row],[Adjusted Form '#]],[2]COMPLETED!$D:$D,[2]COMPLETED!$O:$O,"Not Found")</f>
        <v>Not Found</v>
      </c>
      <c r="W704" s="2" t="str">
        <f>_xlfn.XLOOKUP(Table2[[#This Row],[Adjusted Form '#]],[2]BILLED!$D:$D,[2]BILLED!$M:$M,"Not Found")</f>
        <v>1Z5063E0YW40188291</v>
      </c>
      <c r="X704" s="17" t="e">
        <f>_xlfn.XLOOKUP(Table2[[#This Row],[Adjusted Form '#]],[2]BILLED!$D:$D,[1]BILLED!$O:$O,"Not Found")</f>
        <v>#REF!</v>
      </c>
      <c r="Y704" s="17" t="e">
        <f>_xlfn.XLOOKUP(Table2[[#This Row],[Adjusted Form '#]],'[2]REJECTED ORDERS'!$D:$D,'[2]REJECTED ORDERS'!$E:$E)</f>
        <v>#N/A</v>
      </c>
      <c r="Z704" s="1"/>
      <c r="AA704" s="1"/>
      <c r="AB704" s="8"/>
      <c r="AC704" s="8"/>
      <c r="AD704" s="8"/>
      <c r="AE704" s="8"/>
      <c r="AF704" s="8"/>
      <c r="AG704" s="8"/>
      <c r="AH704" s="8"/>
      <c r="AI704" s="8"/>
      <c r="AJ704" s="8"/>
    </row>
    <row r="705" spans="1:36" ht="15" customHeight="1" x14ac:dyDescent="0.35">
      <c r="A705" s="4" t="s">
        <v>1068</v>
      </c>
      <c r="B705" s="1" t="s">
        <v>1579</v>
      </c>
      <c r="C705" s="11">
        <v>45020</v>
      </c>
      <c r="D705" s="11" t="s">
        <v>5043</v>
      </c>
      <c r="E705" s="1" t="s">
        <v>14</v>
      </c>
      <c r="F705" s="1" t="s">
        <v>5052</v>
      </c>
      <c r="G705" s="6">
        <f>COUNTIF(F:F,Table2[[#This Row],[Form '#]])</f>
        <v>1</v>
      </c>
      <c r="H705" s="1" t="s">
        <v>5053</v>
      </c>
      <c r="I705" s="1" t="s">
        <v>3864</v>
      </c>
      <c r="J705" s="1" t="s">
        <v>78</v>
      </c>
      <c r="K705" s="1" t="s">
        <v>3879</v>
      </c>
      <c r="L705" s="1"/>
      <c r="M705" s="6" t="str">
        <f>IF(Table2[[#This Row],[Corrected Form '#
 (If Duplicated)]]="",Table2[[#This Row],[Form '#]],Table2[[#This Row],[Corrected Form '#
 (If Duplicated)]])</f>
        <v>7810-3670</v>
      </c>
      <c r="N705" s="1" t="s">
        <v>49</v>
      </c>
      <c r="O705" s="6" t="str">
        <f>IF(Table2[[#This Row],[POG CONFIRMATION RECEIPT OF ORDER
(DATE &amp; TIME)]]="","No Confirmation","Received Confirmation")</f>
        <v>Received Confirmation</v>
      </c>
      <c r="P705" s="6">
        <f ca="1">TODAY()-Table2[[#This Row],[DATE SENT TO POG]]</f>
        <v>283</v>
      </c>
      <c r="Q705" s="6" t="s">
        <v>5802</v>
      </c>
      <c r="R7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70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705" s="2" t="str">
        <f>_xlfn.XLOOKUP(Table2[[#This Row],[Adjusted Form '#]],'[2]IN PROGRESS'!$D:$D,'[2]IN PROGRESS'!$M:$M,"Not Found")</f>
        <v>Not Found</v>
      </c>
      <c r="U705" s="2" t="str">
        <f>_xlfn.XLOOKUP(Table2[[#This Row],[Adjusted Form '#]],[1]COMPLETED!$D:$D,[2]COMPLETED!$M:$M,"Not Found")</f>
        <v>Not Found</v>
      </c>
      <c r="V705" s="17" t="str">
        <f>_xlfn.XLOOKUP(Table2[[#This Row],[Adjusted Form '#]],[2]COMPLETED!$D:$D,[2]COMPLETED!$O:$O,"Not Found")</f>
        <v>Not Found</v>
      </c>
      <c r="W705" s="2" t="str">
        <f>_xlfn.XLOOKUP(Table2[[#This Row],[Adjusted Form '#]],[2]BILLED!$D:$D,[2]BILLED!$M:$M,"Not Found")</f>
        <v>Not Found</v>
      </c>
      <c r="X705" s="17" t="str">
        <f>_xlfn.XLOOKUP(Table2[[#This Row],[Adjusted Form '#]],[2]BILLED!$D:$D,[1]BILLED!$O:$O,"Not Found")</f>
        <v>Not Found</v>
      </c>
      <c r="Y705" s="17" t="e">
        <f>_xlfn.XLOOKUP(Table2[[#This Row],[Adjusted Form '#]],'[2]REJECTED ORDERS'!$D:$D,'[2]REJECTED ORDERS'!$E:$E)</f>
        <v>#N/A</v>
      </c>
      <c r="Z705" s="1"/>
      <c r="AA705" s="1"/>
      <c r="AB705" s="8"/>
      <c r="AC705" s="8"/>
      <c r="AD705" s="8"/>
      <c r="AE705" s="8"/>
      <c r="AF705" s="8"/>
      <c r="AG705" s="8"/>
      <c r="AH705" s="8"/>
      <c r="AI705" s="8"/>
      <c r="AJ705" s="8"/>
    </row>
    <row r="706" spans="1:36" ht="15" customHeight="1" x14ac:dyDescent="0.35">
      <c r="A706" s="4" t="s">
        <v>1069</v>
      </c>
      <c r="B706" s="1" t="s">
        <v>3528</v>
      </c>
      <c r="C706" s="11">
        <v>45020</v>
      </c>
      <c r="D706" s="11" t="s">
        <v>5043</v>
      </c>
      <c r="E706" s="1" t="s">
        <v>21</v>
      </c>
      <c r="F706" s="1" t="s">
        <v>5054</v>
      </c>
      <c r="G706" s="6">
        <f>COUNTIF(F:F,Table2[[#This Row],[Form '#]])</f>
        <v>1</v>
      </c>
      <c r="H706" s="1" t="s">
        <v>5055</v>
      </c>
      <c r="I706" s="1" t="s">
        <v>3864</v>
      </c>
      <c r="J706" s="1" t="s">
        <v>78</v>
      </c>
      <c r="K706" s="1" t="s">
        <v>3879</v>
      </c>
      <c r="L706" s="1"/>
      <c r="M706" s="6" t="str">
        <f>IF(Table2[[#This Row],[Corrected Form '#
 (If Duplicated)]]="",Table2[[#This Row],[Form '#]],Table2[[#This Row],[Corrected Form '#
 (If Duplicated)]])</f>
        <v>7818-24521</v>
      </c>
      <c r="N706" s="1" t="s">
        <v>49</v>
      </c>
      <c r="O706" s="6" t="str">
        <f>IF(Table2[[#This Row],[POG CONFIRMATION RECEIPT OF ORDER
(DATE &amp; TIME)]]="","No Confirmation","Received Confirmation")</f>
        <v>Received Confirmation</v>
      </c>
      <c r="P706" s="6">
        <f ca="1">TODAY()-Table2[[#This Row],[DATE SENT TO POG]]</f>
        <v>283</v>
      </c>
      <c r="Q706" s="6" t="s">
        <v>5803</v>
      </c>
      <c r="R7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6" s="2" t="str">
        <f>_xlfn.XLOOKUP(Table2[[#This Row],[Adjusted Form '#]],'[2]IN PROGRESS'!$D:$D,'[2]IN PROGRESS'!$M:$M,"Not Found")</f>
        <v>Not Found</v>
      </c>
      <c r="U706" s="2" t="str">
        <f>_xlfn.XLOOKUP(Table2[[#This Row],[Adjusted Form '#]],[1]COMPLETED!$D:$D,[2]COMPLETED!$M:$M,"Not Found")</f>
        <v>Not Found</v>
      </c>
      <c r="V706" s="17" t="str">
        <f>_xlfn.XLOOKUP(Table2[[#This Row],[Adjusted Form '#]],[2]COMPLETED!$D:$D,[2]COMPLETED!$O:$O,"Not Found")</f>
        <v>Not Found</v>
      </c>
      <c r="W706" s="2" t="str">
        <f>_xlfn.XLOOKUP(Table2[[#This Row],[Adjusted Form '#]],[2]BILLED!$D:$D,[2]BILLED!$M:$M,"Not Found")</f>
        <v>1Z5063E0YW42584466</v>
      </c>
      <c r="X706" s="17" t="e">
        <f>_xlfn.XLOOKUP(Table2[[#This Row],[Adjusted Form '#]],[2]BILLED!$D:$D,[1]BILLED!$O:$O,"Not Found")</f>
        <v>#REF!</v>
      </c>
      <c r="Y706" s="17" t="e">
        <f>_xlfn.XLOOKUP(Table2[[#This Row],[Adjusted Form '#]],'[2]REJECTED ORDERS'!$D:$D,'[2]REJECTED ORDERS'!$E:$E)</f>
        <v>#N/A</v>
      </c>
      <c r="Z706" s="1"/>
      <c r="AA706" s="1"/>
      <c r="AB706" s="8"/>
      <c r="AC706" s="8"/>
      <c r="AD706" s="8"/>
      <c r="AE706" s="8"/>
      <c r="AF706" s="8"/>
      <c r="AG706" s="8"/>
      <c r="AH706" s="8"/>
      <c r="AI706" s="8"/>
      <c r="AJ706" s="8"/>
    </row>
    <row r="707" spans="1:36" ht="15" customHeight="1" x14ac:dyDescent="0.35">
      <c r="A707" s="4" t="s">
        <v>1070</v>
      </c>
      <c r="B707" s="1" t="s">
        <v>3528</v>
      </c>
      <c r="C707" s="11">
        <v>45020</v>
      </c>
      <c r="D707" s="11" t="s">
        <v>5043</v>
      </c>
      <c r="E707" s="1" t="s">
        <v>21</v>
      </c>
      <c r="F707" s="1" t="s">
        <v>5056</v>
      </c>
      <c r="G707" s="6">
        <f>COUNTIF(F:F,Table2[[#This Row],[Form '#]])</f>
        <v>1</v>
      </c>
      <c r="H707" s="1" t="s">
        <v>3723</v>
      </c>
      <c r="I707" s="1" t="s">
        <v>3864</v>
      </c>
      <c r="J707" s="1" t="s">
        <v>78</v>
      </c>
      <c r="K707" s="1" t="s">
        <v>3879</v>
      </c>
      <c r="L707" s="1"/>
      <c r="M707" s="6" t="str">
        <f>IF(Table2[[#This Row],[Corrected Form '#
 (If Duplicated)]]="",Table2[[#This Row],[Form '#]],Table2[[#This Row],[Corrected Form '#
 (If Duplicated)]])</f>
        <v>7818-26654</v>
      </c>
      <c r="N707" s="1" t="s">
        <v>49</v>
      </c>
      <c r="O707" s="6" t="str">
        <f>IF(Table2[[#This Row],[POG CONFIRMATION RECEIPT OF ORDER
(DATE &amp; TIME)]]="","No Confirmation","Received Confirmation")</f>
        <v>Received Confirmation</v>
      </c>
      <c r="P707" s="6">
        <f ca="1">TODAY()-Table2[[#This Row],[DATE SENT TO POG]]</f>
        <v>283</v>
      </c>
      <c r="Q707" s="6" t="s">
        <v>5803</v>
      </c>
      <c r="R7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7" s="2" t="str">
        <f>_xlfn.XLOOKUP(Table2[[#This Row],[Adjusted Form '#]],'[2]IN PROGRESS'!$D:$D,'[2]IN PROGRESS'!$M:$M,"Not Found")</f>
        <v>Not Found</v>
      </c>
      <c r="U707" s="2" t="str">
        <f>_xlfn.XLOOKUP(Table2[[#This Row],[Adjusted Form '#]],[1]COMPLETED!$D:$D,[2]COMPLETED!$M:$M,"Not Found")</f>
        <v>Not Found</v>
      </c>
      <c r="V707" s="17" t="str">
        <f>_xlfn.XLOOKUP(Table2[[#This Row],[Adjusted Form '#]],[2]COMPLETED!$D:$D,[2]COMPLETED!$O:$O,"Not Found")</f>
        <v>Not Found</v>
      </c>
      <c r="W707" s="2" t="str">
        <f>_xlfn.XLOOKUP(Table2[[#This Row],[Adjusted Form '#]],[2]BILLED!$D:$D,[2]BILLED!$M:$M,"Not Found")</f>
        <v>1Z5063E0YW40313896</v>
      </c>
      <c r="X707" s="17" t="e">
        <f>_xlfn.XLOOKUP(Table2[[#This Row],[Adjusted Form '#]],[2]BILLED!$D:$D,[1]BILLED!$O:$O,"Not Found")</f>
        <v>#REF!</v>
      </c>
      <c r="Y707" s="17" t="e">
        <f>_xlfn.XLOOKUP(Table2[[#This Row],[Adjusted Form '#]],'[2]REJECTED ORDERS'!$D:$D,'[2]REJECTED ORDERS'!$E:$E)</f>
        <v>#N/A</v>
      </c>
      <c r="Z707" s="1"/>
      <c r="AA707" s="1"/>
      <c r="AB707" s="8"/>
      <c r="AC707" s="8"/>
      <c r="AD707" s="8"/>
      <c r="AE707" s="8"/>
      <c r="AF707" s="8"/>
      <c r="AG707" s="8"/>
      <c r="AH707" s="8"/>
      <c r="AI707" s="8"/>
      <c r="AJ707" s="8"/>
    </row>
    <row r="708" spans="1:36" ht="15" customHeight="1" x14ac:dyDescent="0.35">
      <c r="A708" s="4" t="s">
        <v>1072</v>
      </c>
      <c r="B708" s="1" t="s">
        <v>242</v>
      </c>
      <c r="C708" s="11">
        <v>45020</v>
      </c>
      <c r="E708" s="1" t="s">
        <v>3625</v>
      </c>
      <c r="F708" s="1" t="s">
        <v>5057</v>
      </c>
      <c r="G708" s="6">
        <f>COUNTIF(F:F,Table2[[#This Row],[Form '#]])</f>
        <v>1</v>
      </c>
      <c r="H708" s="1" t="s">
        <v>5058</v>
      </c>
      <c r="I708" s="1" t="s">
        <v>127</v>
      </c>
      <c r="J708" s="1" t="s">
        <v>74</v>
      </c>
      <c r="K708" s="1" t="s">
        <v>4206</v>
      </c>
      <c r="L708" s="1"/>
      <c r="M708" s="6" t="str">
        <f>IF(Table2[[#This Row],[Corrected Form '#
 (If Duplicated)]]="",Table2[[#This Row],[Form '#]],Table2[[#This Row],[Corrected Form '#
 (If Duplicated)]])</f>
        <v>7815-00105</v>
      </c>
      <c r="N708" s="1" t="s">
        <v>49</v>
      </c>
      <c r="O708" s="6" t="str">
        <f>IF(Table2[[#This Row],[POG CONFIRMATION RECEIPT OF ORDER
(DATE &amp; TIME)]]="","No Confirmation","Received Confirmation")</f>
        <v>No Confirmation</v>
      </c>
      <c r="P708" s="6">
        <f ca="1">TODAY()-Table2[[#This Row],[DATE SENT TO POG]]</f>
        <v>283</v>
      </c>
      <c r="Q708" s="6" t="s">
        <v>5803</v>
      </c>
      <c r="R7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8" s="2" t="str">
        <f>_xlfn.XLOOKUP(Table2[[#This Row],[Adjusted Form '#]],'[2]IN PROGRESS'!$D:$D,'[2]IN PROGRESS'!$M:$M,"Not Found")</f>
        <v>Not Found</v>
      </c>
      <c r="U708" s="2" t="str">
        <f>_xlfn.XLOOKUP(Table2[[#This Row],[Adjusted Form '#]],[1]COMPLETED!$D:$D,[2]COMPLETED!$M:$M,"Not Found")</f>
        <v>Not Found</v>
      </c>
      <c r="V708" s="17" t="str">
        <f>_xlfn.XLOOKUP(Table2[[#This Row],[Adjusted Form '#]],[2]COMPLETED!$D:$D,[2]COMPLETED!$O:$O,"Not Found")</f>
        <v>Not Found</v>
      </c>
      <c r="W708" s="2" t="str">
        <f>_xlfn.XLOOKUP(Table2[[#This Row],[Adjusted Form '#]],[2]BILLED!$D:$D,[2]BILLED!$M:$M,"Not Found")</f>
        <v>1Z5063E0YW40237684</v>
      </c>
      <c r="X708" s="17" t="e">
        <f>_xlfn.XLOOKUP(Table2[[#This Row],[Adjusted Form '#]],[2]BILLED!$D:$D,[1]BILLED!$O:$O,"Not Found")</f>
        <v>#REF!</v>
      </c>
      <c r="Y708" s="17" t="e">
        <f>_xlfn.XLOOKUP(Table2[[#This Row],[Adjusted Form '#]],'[2]REJECTED ORDERS'!$D:$D,'[2]REJECTED ORDERS'!$E:$E)</f>
        <v>#N/A</v>
      </c>
      <c r="Z708" s="1"/>
      <c r="AA708" s="1"/>
      <c r="AB708" s="8"/>
      <c r="AC708" s="8"/>
      <c r="AD708" s="8"/>
      <c r="AE708" s="8"/>
      <c r="AF708" s="8"/>
      <c r="AG708" s="8"/>
      <c r="AH708" s="8"/>
      <c r="AI708" s="8"/>
      <c r="AJ708" s="8"/>
    </row>
    <row r="709" spans="1:36" ht="15" customHeight="1" x14ac:dyDescent="0.35">
      <c r="A709" s="4" t="s">
        <v>1073</v>
      </c>
      <c r="B709" s="1" t="s">
        <v>242</v>
      </c>
      <c r="C709" s="11">
        <v>45020</v>
      </c>
      <c r="E709" s="1" t="s">
        <v>3625</v>
      </c>
      <c r="F709" s="1" t="s">
        <v>5059</v>
      </c>
      <c r="G709" s="6">
        <f>COUNTIF(F:F,Table2[[#This Row],[Form '#]])</f>
        <v>1</v>
      </c>
      <c r="H709" s="1" t="s">
        <v>5060</v>
      </c>
      <c r="I709" s="1" t="s">
        <v>758</v>
      </c>
      <c r="J709" s="1" t="s">
        <v>78</v>
      </c>
      <c r="K709" s="1" t="s">
        <v>3853</v>
      </c>
      <c r="L709" s="1"/>
      <c r="M709" s="6" t="str">
        <f>IF(Table2[[#This Row],[Corrected Form '#
 (If Duplicated)]]="",Table2[[#This Row],[Form '#]],Table2[[#This Row],[Corrected Form '#
 (If Duplicated)]])</f>
        <v>7815-00101</v>
      </c>
      <c r="N709" s="1" t="s">
        <v>49</v>
      </c>
      <c r="O709" s="6" t="str">
        <f>IF(Table2[[#This Row],[POG CONFIRMATION RECEIPT OF ORDER
(DATE &amp; TIME)]]="","No Confirmation","Received Confirmation")</f>
        <v>No Confirmation</v>
      </c>
      <c r="P709" s="6">
        <f ca="1">TODAY()-Table2[[#This Row],[DATE SENT TO POG]]</f>
        <v>283</v>
      </c>
      <c r="Q709" s="6" t="s">
        <v>5803</v>
      </c>
      <c r="R7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09" s="2" t="str">
        <f>_xlfn.XLOOKUP(Table2[[#This Row],[Adjusted Form '#]],'[2]IN PROGRESS'!$D:$D,'[2]IN PROGRESS'!$M:$M,"Not Found")</f>
        <v>Not Found</v>
      </c>
      <c r="U709" s="2" t="str">
        <f>_xlfn.XLOOKUP(Table2[[#This Row],[Adjusted Form '#]],[1]COMPLETED!$D:$D,[2]COMPLETED!$M:$M,"Not Found")</f>
        <v>Not Found</v>
      </c>
      <c r="V709" s="17" t="str">
        <f>_xlfn.XLOOKUP(Table2[[#This Row],[Adjusted Form '#]],[2]COMPLETED!$D:$D,[2]COMPLETED!$O:$O,"Not Found")</f>
        <v>Not Found</v>
      </c>
      <c r="W709" s="2" t="str">
        <f>_xlfn.XLOOKUP(Table2[[#This Row],[Adjusted Form '#]],[2]BILLED!$D:$D,[2]BILLED!$M:$M,"Not Found")</f>
        <v>1Z5063E0YW42382264</v>
      </c>
      <c r="X709" s="17" t="e">
        <f>_xlfn.XLOOKUP(Table2[[#This Row],[Adjusted Form '#]],[2]BILLED!$D:$D,[1]BILLED!$O:$O,"Not Found")</f>
        <v>#REF!</v>
      </c>
      <c r="Y709" s="17" t="e">
        <f>_xlfn.XLOOKUP(Table2[[#This Row],[Adjusted Form '#]],'[2]REJECTED ORDERS'!$D:$D,'[2]REJECTED ORDERS'!$E:$E)</f>
        <v>#N/A</v>
      </c>
      <c r="Z709" s="1"/>
      <c r="AA709" s="1"/>
      <c r="AB709" s="8"/>
      <c r="AC709" s="8"/>
      <c r="AD709" s="8"/>
      <c r="AE709" s="8"/>
      <c r="AF709" s="8"/>
      <c r="AG709" s="8"/>
      <c r="AH709" s="8"/>
      <c r="AI709" s="8"/>
      <c r="AJ709" s="8"/>
    </row>
    <row r="710" spans="1:36" ht="15" customHeight="1" x14ac:dyDescent="0.35">
      <c r="A710" s="4" t="s">
        <v>1074</v>
      </c>
      <c r="B710" s="1" t="s">
        <v>242</v>
      </c>
      <c r="C710" s="11">
        <v>45020</v>
      </c>
      <c r="D710" s="11" t="s">
        <v>5061</v>
      </c>
      <c r="E710" s="1" t="s">
        <v>3625</v>
      </c>
      <c r="F710" s="1" t="s">
        <v>5062</v>
      </c>
      <c r="G710" s="6">
        <f>COUNTIF(F:F,Table2[[#This Row],[Form '#]])</f>
        <v>1</v>
      </c>
      <c r="H710" s="1" t="s">
        <v>5063</v>
      </c>
      <c r="I710" s="1" t="s">
        <v>28</v>
      </c>
      <c r="J710" s="1" t="s">
        <v>69</v>
      </c>
      <c r="K710" s="1" t="s">
        <v>4631</v>
      </c>
      <c r="L710" s="1"/>
      <c r="M710" s="6" t="str">
        <f>IF(Table2[[#This Row],[Corrected Form '#
 (If Duplicated)]]="",Table2[[#This Row],[Form '#]],Table2[[#This Row],[Corrected Form '#
 (If Duplicated)]])</f>
        <v>7815-00106</v>
      </c>
      <c r="N710" s="1" t="s">
        <v>49</v>
      </c>
      <c r="O710" s="6" t="str">
        <f>IF(Table2[[#This Row],[POG CONFIRMATION RECEIPT OF ORDER
(DATE &amp; TIME)]]="","No Confirmation","Received Confirmation")</f>
        <v>Received Confirmation</v>
      </c>
      <c r="P710" s="6">
        <f ca="1">TODAY()-Table2[[#This Row],[DATE SENT TO POG]]</f>
        <v>283</v>
      </c>
      <c r="Q710" s="6" t="s">
        <v>5803</v>
      </c>
      <c r="R7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0" s="2" t="str">
        <f>_xlfn.XLOOKUP(Table2[[#This Row],[Adjusted Form '#]],'[2]IN PROGRESS'!$D:$D,'[2]IN PROGRESS'!$M:$M,"Not Found")</f>
        <v>Not Found</v>
      </c>
      <c r="U710" s="2" t="str">
        <f>_xlfn.XLOOKUP(Table2[[#This Row],[Adjusted Form '#]],[1]COMPLETED!$D:$D,[2]COMPLETED!$M:$M,"Not Found")</f>
        <v>Not Found</v>
      </c>
      <c r="V710" s="17" t="str">
        <f>_xlfn.XLOOKUP(Table2[[#This Row],[Adjusted Form '#]],[2]COMPLETED!$D:$D,[2]COMPLETED!$O:$O,"Not Found")</f>
        <v>Not Found</v>
      </c>
      <c r="W710" s="2" t="str">
        <f>_xlfn.XLOOKUP(Table2[[#This Row],[Adjusted Form '#]],[2]BILLED!$D:$D,[2]BILLED!$M:$M,"Not Found")</f>
        <v>1Z5063E0YW42090909</v>
      </c>
      <c r="X710" s="17" t="e">
        <f>_xlfn.XLOOKUP(Table2[[#This Row],[Adjusted Form '#]],[2]BILLED!$D:$D,[1]BILLED!$O:$O,"Not Found")</f>
        <v>#REF!</v>
      </c>
      <c r="Y710" s="17" t="e">
        <f>_xlfn.XLOOKUP(Table2[[#This Row],[Adjusted Form '#]],'[2]REJECTED ORDERS'!$D:$D,'[2]REJECTED ORDERS'!$E:$E)</f>
        <v>#N/A</v>
      </c>
      <c r="Z710" s="1"/>
      <c r="AA710" s="1"/>
      <c r="AB710" s="8"/>
      <c r="AC710" s="8"/>
      <c r="AD710" s="8"/>
      <c r="AE710" s="8"/>
      <c r="AF710" s="8"/>
      <c r="AG710" s="8"/>
      <c r="AH710" s="8"/>
      <c r="AI710" s="8"/>
      <c r="AJ710" s="8"/>
    </row>
    <row r="711" spans="1:36" ht="15" customHeight="1" x14ac:dyDescent="0.35">
      <c r="A711" s="4" t="s">
        <v>1076</v>
      </c>
      <c r="B711" s="1" t="s">
        <v>242</v>
      </c>
      <c r="C711" s="11">
        <v>45020</v>
      </c>
      <c r="E711" s="1" t="s">
        <v>3625</v>
      </c>
      <c r="F711" s="1" t="s">
        <v>5064</v>
      </c>
      <c r="G711" s="6">
        <f>COUNTIF(F:F,Table2[[#This Row],[Form '#]])</f>
        <v>1</v>
      </c>
      <c r="H711" s="1" t="s">
        <v>5065</v>
      </c>
      <c r="I711" s="1" t="s">
        <v>177</v>
      </c>
      <c r="J711" s="1" t="s">
        <v>75</v>
      </c>
      <c r="K711" s="1" t="s">
        <v>4011</v>
      </c>
      <c r="L711" s="1"/>
      <c r="M711" s="6" t="str">
        <f>IF(Table2[[#This Row],[Corrected Form '#
 (If Duplicated)]]="",Table2[[#This Row],[Form '#]],Table2[[#This Row],[Corrected Form '#
 (If Duplicated)]])</f>
        <v>7815-00038</v>
      </c>
      <c r="N711" s="1" t="s">
        <v>49</v>
      </c>
      <c r="O711" s="6" t="str">
        <f>IF(Table2[[#This Row],[POG CONFIRMATION RECEIPT OF ORDER
(DATE &amp; TIME)]]="","No Confirmation","Received Confirmation")</f>
        <v>No Confirmation</v>
      </c>
      <c r="P711" s="6">
        <f ca="1">TODAY()-Table2[[#This Row],[DATE SENT TO POG]]</f>
        <v>283</v>
      </c>
      <c r="Q711" s="6" t="s">
        <v>5803</v>
      </c>
      <c r="R7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1" s="2" t="str">
        <f>_xlfn.XLOOKUP(Table2[[#This Row],[Adjusted Form '#]],'[2]IN PROGRESS'!$D:$D,'[2]IN PROGRESS'!$M:$M,"Not Found")</f>
        <v>Not Found</v>
      </c>
      <c r="U711" s="2" t="str">
        <f>_xlfn.XLOOKUP(Table2[[#This Row],[Adjusted Form '#]],[1]COMPLETED!$D:$D,[2]COMPLETED!$M:$M,"Not Found")</f>
        <v>Not Found</v>
      </c>
      <c r="V711" s="17" t="str">
        <f>_xlfn.XLOOKUP(Table2[[#This Row],[Adjusted Form '#]],[2]COMPLETED!$D:$D,[2]COMPLETED!$O:$O,"Not Found")</f>
        <v>Not Found</v>
      </c>
      <c r="W711" s="2" t="str">
        <f>_xlfn.XLOOKUP(Table2[[#This Row],[Adjusted Form '#]],[2]BILLED!$D:$D,[2]BILLED!$M:$M,"Not Found")</f>
        <v>1Z5063E0YW40908342</v>
      </c>
      <c r="X711" s="17" t="e">
        <f>_xlfn.XLOOKUP(Table2[[#This Row],[Adjusted Form '#]],[2]BILLED!$D:$D,[1]BILLED!$O:$O,"Not Found")</f>
        <v>#REF!</v>
      </c>
      <c r="Y711" s="17" t="e">
        <f>_xlfn.XLOOKUP(Table2[[#This Row],[Adjusted Form '#]],'[2]REJECTED ORDERS'!$D:$D,'[2]REJECTED ORDERS'!$E:$E)</f>
        <v>#N/A</v>
      </c>
      <c r="Z711" s="1"/>
      <c r="AA711" s="1"/>
      <c r="AB711" s="8"/>
      <c r="AC711" s="8"/>
      <c r="AD711" s="8"/>
      <c r="AE711" s="8"/>
      <c r="AF711" s="8"/>
      <c r="AG711" s="8"/>
      <c r="AH711" s="8"/>
      <c r="AI711" s="8"/>
      <c r="AJ711" s="8"/>
    </row>
    <row r="712" spans="1:36" ht="15" customHeight="1" x14ac:dyDescent="0.35">
      <c r="A712" s="4" t="s">
        <v>1077</v>
      </c>
      <c r="B712" s="1" t="s">
        <v>3683</v>
      </c>
      <c r="C712" s="11">
        <v>45020</v>
      </c>
      <c r="D712" s="11" t="s">
        <v>5043</v>
      </c>
      <c r="E712" s="1" t="s">
        <v>21</v>
      </c>
      <c r="F712" s="1" t="s">
        <v>5066</v>
      </c>
      <c r="G712" s="6">
        <f>COUNTIF(F:F,Table2[[#This Row],[Form '#]])</f>
        <v>1</v>
      </c>
      <c r="H712" s="1" t="s">
        <v>5067</v>
      </c>
      <c r="I712" s="1" t="s">
        <v>3864</v>
      </c>
      <c r="J712" s="1" t="s">
        <v>78</v>
      </c>
      <c r="K712" s="1" t="s">
        <v>3879</v>
      </c>
      <c r="L712" s="1"/>
      <c r="M712" s="6" t="str">
        <f>IF(Table2[[#This Row],[Corrected Form '#
 (If Duplicated)]]="",Table2[[#This Row],[Form '#]],Table2[[#This Row],[Corrected Form '#
 (If Duplicated)]])</f>
        <v>7818-26038</v>
      </c>
      <c r="N712" s="1" t="s">
        <v>49</v>
      </c>
      <c r="O712" s="6" t="str">
        <f>IF(Table2[[#This Row],[POG CONFIRMATION RECEIPT OF ORDER
(DATE &amp; TIME)]]="","No Confirmation","Received Confirmation")</f>
        <v>Received Confirmation</v>
      </c>
      <c r="P712" s="6">
        <f ca="1">TODAY()-Table2[[#This Row],[DATE SENT TO POG]]</f>
        <v>283</v>
      </c>
      <c r="Q712" s="6" t="s">
        <v>5803</v>
      </c>
      <c r="R7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2" s="2" t="str">
        <f>_xlfn.XLOOKUP(Table2[[#This Row],[Adjusted Form '#]],'[2]IN PROGRESS'!$D:$D,'[2]IN PROGRESS'!$M:$M,"Not Found")</f>
        <v>Not Found</v>
      </c>
      <c r="U712" s="2" t="str">
        <f>_xlfn.XLOOKUP(Table2[[#This Row],[Adjusted Form '#]],[1]COMPLETED!$D:$D,[2]COMPLETED!$M:$M,"Not Found")</f>
        <v>Not Found</v>
      </c>
      <c r="V712" s="17" t="str">
        <f>_xlfn.XLOOKUP(Table2[[#This Row],[Adjusted Form '#]],[2]COMPLETED!$D:$D,[2]COMPLETED!$O:$O,"Not Found")</f>
        <v>Not Found</v>
      </c>
      <c r="W712" s="2" t="str">
        <f>_xlfn.XLOOKUP(Table2[[#This Row],[Adjusted Form '#]],[2]BILLED!$D:$D,[2]BILLED!$M:$M,"Not Found")</f>
        <v>1Z5063E0YW40453977</v>
      </c>
      <c r="X712" s="17" t="e">
        <f>_xlfn.XLOOKUP(Table2[[#This Row],[Adjusted Form '#]],[2]BILLED!$D:$D,[1]BILLED!$O:$O,"Not Found")</f>
        <v>#REF!</v>
      </c>
      <c r="Y712" s="17" t="e">
        <f>_xlfn.XLOOKUP(Table2[[#This Row],[Adjusted Form '#]],'[2]REJECTED ORDERS'!$D:$D,'[2]REJECTED ORDERS'!$E:$E)</f>
        <v>#N/A</v>
      </c>
      <c r="Z712" s="1"/>
      <c r="AA712" s="1"/>
      <c r="AB712" s="8"/>
      <c r="AC712" s="8"/>
      <c r="AD712" s="8"/>
      <c r="AE712" s="8"/>
      <c r="AF712" s="8"/>
      <c r="AG712" s="8"/>
      <c r="AH712" s="8"/>
      <c r="AI712" s="8"/>
      <c r="AJ712" s="8"/>
    </row>
    <row r="713" spans="1:36" ht="15" customHeight="1" x14ac:dyDescent="0.35">
      <c r="A713" s="4" t="s">
        <v>1078</v>
      </c>
      <c r="B713" s="1" t="s">
        <v>5068</v>
      </c>
      <c r="C713" s="11">
        <v>45021</v>
      </c>
      <c r="D713" s="11" t="s">
        <v>5069</v>
      </c>
      <c r="E713" s="1" t="s">
        <v>21</v>
      </c>
      <c r="F713" s="1" t="s">
        <v>5070</v>
      </c>
      <c r="G713" s="6">
        <f>COUNTIF(F:F,Table2[[#This Row],[Form '#]])</f>
        <v>1</v>
      </c>
      <c r="H713" s="1" t="s">
        <v>2301</v>
      </c>
      <c r="I713" s="1" t="s">
        <v>177</v>
      </c>
      <c r="J713" s="1" t="s">
        <v>75</v>
      </c>
      <c r="K713" s="1" t="s">
        <v>3853</v>
      </c>
      <c r="L713" s="1"/>
      <c r="M713" s="6" t="str">
        <f>IF(Table2[[#This Row],[Corrected Form '#
 (If Duplicated)]]="",Table2[[#This Row],[Form '#]],Table2[[#This Row],[Corrected Form '#
 (If Duplicated)]])</f>
        <v>7818-21217</v>
      </c>
      <c r="N713" s="1" t="s">
        <v>49</v>
      </c>
      <c r="O713" s="6" t="str">
        <f>IF(Table2[[#This Row],[POG CONFIRMATION RECEIPT OF ORDER
(DATE &amp; TIME)]]="","No Confirmation","Received Confirmation")</f>
        <v>Received Confirmation</v>
      </c>
      <c r="P713" s="6">
        <f ca="1">TODAY()-Table2[[#This Row],[DATE SENT TO POG]]</f>
        <v>282</v>
      </c>
      <c r="Q713" s="6" t="s">
        <v>5803</v>
      </c>
      <c r="R7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3" s="2" t="str">
        <f>_xlfn.XLOOKUP(Table2[[#This Row],[Adjusted Form '#]],'[2]IN PROGRESS'!$D:$D,'[2]IN PROGRESS'!$M:$M,"Not Found")</f>
        <v>Not Found</v>
      </c>
      <c r="U713" s="2" t="str">
        <f>_xlfn.XLOOKUP(Table2[[#This Row],[Adjusted Form '#]],[1]COMPLETED!$D:$D,[2]COMPLETED!$M:$M,"Not Found")</f>
        <v>Not Found</v>
      </c>
      <c r="V713" s="17" t="str">
        <f>_xlfn.XLOOKUP(Table2[[#This Row],[Adjusted Form '#]],[2]COMPLETED!$D:$D,[2]COMPLETED!$O:$O,"Not Found")</f>
        <v>Not Found</v>
      </c>
      <c r="W713" s="2" t="str">
        <f>_xlfn.XLOOKUP(Table2[[#This Row],[Adjusted Form '#]],[2]BILLED!$D:$D,[2]BILLED!$M:$M,"Not Found")</f>
        <v>1Z5063E0YW42025935</v>
      </c>
      <c r="X713" s="17" t="e">
        <f>_xlfn.XLOOKUP(Table2[[#This Row],[Adjusted Form '#]],[2]BILLED!$D:$D,[1]BILLED!$O:$O,"Not Found")</f>
        <v>#REF!</v>
      </c>
      <c r="Y713" s="17" t="e">
        <f>_xlfn.XLOOKUP(Table2[[#This Row],[Adjusted Form '#]],'[2]REJECTED ORDERS'!$D:$D,'[2]REJECTED ORDERS'!$E:$E)</f>
        <v>#N/A</v>
      </c>
      <c r="Z713" s="1"/>
      <c r="AA713" s="1"/>
      <c r="AB713" s="8"/>
      <c r="AC713" s="8"/>
      <c r="AD713" s="8"/>
      <c r="AE713" s="8"/>
      <c r="AF713" s="8"/>
      <c r="AG713" s="8"/>
      <c r="AH713" s="8"/>
      <c r="AI713" s="8"/>
      <c r="AJ713" s="8"/>
    </row>
    <row r="714" spans="1:36" ht="15" customHeight="1" x14ac:dyDescent="0.35">
      <c r="A714" s="4" t="s">
        <v>1079</v>
      </c>
      <c r="B714" s="1" t="s">
        <v>722</v>
      </c>
      <c r="C714" s="11">
        <v>45021</v>
      </c>
      <c r="D714" s="11" t="s">
        <v>5071</v>
      </c>
      <c r="E714" s="1" t="s">
        <v>21</v>
      </c>
      <c r="F714" s="1" t="s">
        <v>5072</v>
      </c>
      <c r="G714" s="6">
        <f>COUNTIF(F:F,Table2[[#This Row],[Form '#]])</f>
        <v>1</v>
      </c>
      <c r="H714" s="1" t="s">
        <v>1270</v>
      </c>
      <c r="I714" s="1" t="s">
        <v>127</v>
      </c>
      <c r="J714" s="1" t="s">
        <v>76</v>
      </c>
      <c r="K714" s="1" t="s">
        <v>3891</v>
      </c>
      <c r="L714" s="1"/>
      <c r="M714" s="6" t="str">
        <f>IF(Table2[[#This Row],[Corrected Form '#
 (If Duplicated)]]="",Table2[[#This Row],[Form '#]],Table2[[#This Row],[Corrected Form '#
 (If Duplicated)]])</f>
        <v>7818-22418</v>
      </c>
      <c r="N714" s="1" t="s">
        <v>49</v>
      </c>
      <c r="O714" s="6" t="str">
        <f>IF(Table2[[#This Row],[POG CONFIRMATION RECEIPT OF ORDER
(DATE &amp; TIME)]]="","No Confirmation","Received Confirmation")</f>
        <v>Received Confirmation</v>
      </c>
      <c r="P714" s="6">
        <f ca="1">TODAY()-Table2[[#This Row],[DATE SENT TO POG]]</f>
        <v>282</v>
      </c>
      <c r="Q714" s="6" t="s">
        <v>5803</v>
      </c>
      <c r="R7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4" s="2" t="str">
        <f>_xlfn.XLOOKUP(Table2[[#This Row],[Adjusted Form '#]],'[2]IN PROGRESS'!$D:$D,'[2]IN PROGRESS'!$M:$M,"Not Found")</f>
        <v>Not Found</v>
      </c>
      <c r="U714" s="2" t="str">
        <f>_xlfn.XLOOKUP(Table2[[#This Row],[Adjusted Form '#]],[1]COMPLETED!$D:$D,[2]COMPLETED!$M:$M,"Not Found")</f>
        <v>Not Found</v>
      </c>
      <c r="V714" s="17" t="str">
        <f>_xlfn.XLOOKUP(Table2[[#This Row],[Adjusted Form '#]],[2]COMPLETED!$D:$D,[2]COMPLETED!$O:$O,"Not Found")</f>
        <v>Not Found</v>
      </c>
      <c r="W714" s="2" t="str">
        <f>_xlfn.XLOOKUP(Table2[[#This Row],[Adjusted Form '#]],[2]BILLED!$D:$D,[2]BILLED!$M:$M,"Not Found")</f>
        <v>1Z5063E0YW41761329</v>
      </c>
      <c r="X714" s="17" t="e">
        <f>_xlfn.XLOOKUP(Table2[[#This Row],[Adjusted Form '#]],[2]BILLED!$D:$D,[1]BILLED!$O:$O,"Not Found")</f>
        <v>#REF!</v>
      </c>
      <c r="Y714" s="17" t="e">
        <f>_xlfn.XLOOKUP(Table2[[#This Row],[Adjusted Form '#]],'[2]REJECTED ORDERS'!$D:$D,'[2]REJECTED ORDERS'!$E:$E)</f>
        <v>#N/A</v>
      </c>
      <c r="Z714" s="1"/>
      <c r="AA714" s="1"/>
      <c r="AB714" s="8"/>
      <c r="AC714" s="8"/>
      <c r="AD714" s="8"/>
      <c r="AE714" s="8"/>
      <c r="AF714" s="8"/>
      <c r="AG714" s="8"/>
      <c r="AH714" s="8"/>
      <c r="AI714" s="8"/>
      <c r="AJ714" s="8"/>
    </row>
    <row r="715" spans="1:36" ht="15" customHeight="1" x14ac:dyDescent="0.35">
      <c r="A715" s="4" t="s">
        <v>1080</v>
      </c>
      <c r="B715" s="1" t="s">
        <v>722</v>
      </c>
      <c r="C715" s="11">
        <v>45021</v>
      </c>
      <c r="D715" s="11" t="s">
        <v>5071</v>
      </c>
      <c r="E715" s="1" t="s">
        <v>21</v>
      </c>
      <c r="F715" s="1" t="s">
        <v>5073</v>
      </c>
      <c r="G715" s="6">
        <f>COUNTIF(F:F,Table2[[#This Row],[Form '#]])</f>
        <v>1</v>
      </c>
      <c r="H715" s="1" t="s">
        <v>5074</v>
      </c>
      <c r="I715" s="1" t="s">
        <v>177</v>
      </c>
      <c r="J715" s="1" t="s">
        <v>75</v>
      </c>
      <c r="K715" s="1" t="s">
        <v>3853</v>
      </c>
      <c r="L715" s="1"/>
      <c r="M715" s="6" t="str">
        <f>IF(Table2[[#This Row],[Corrected Form '#
 (If Duplicated)]]="",Table2[[#This Row],[Form '#]],Table2[[#This Row],[Corrected Form '#
 (If Duplicated)]])</f>
        <v>7818-17692</v>
      </c>
      <c r="N715" s="1" t="s">
        <v>49</v>
      </c>
      <c r="O715" s="6" t="str">
        <f>IF(Table2[[#This Row],[POG CONFIRMATION RECEIPT OF ORDER
(DATE &amp; TIME)]]="","No Confirmation","Received Confirmation")</f>
        <v>Received Confirmation</v>
      </c>
      <c r="P715" s="6">
        <f ca="1">TODAY()-Table2[[#This Row],[DATE SENT TO POG]]</f>
        <v>282</v>
      </c>
      <c r="Q715" s="6" t="s">
        <v>5803</v>
      </c>
      <c r="R7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5" s="2" t="str">
        <f>_xlfn.XLOOKUP(Table2[[#This Row],[Adjusted Form '#]],'[2]IN PROGRESS'!$D:$D,'[2]IN PROGRESS'!$M:$M,"Not Found")</f>
        <v>Not Found</v>
      </c>
      <c r="U715" s="2" t="str">
        <f>_xlfn.XLOOKUP(Table2[[#This Row],[Adjusted Form '#]],[1]COMPLETED!$D:$D,[2]COMPLETED!$M:$M,"Not Found")</f>
        <v>Not Found</v>
      </c>
      <c r="V715" s="17" t="str">
        <f>_xlfn.XLOOKUP(Table2[[#This Row],[Adjusted Form '#]],[2]COMPLETED!$D:$D,[2]COMPLETED!$O:$O,"Not Found")</f>
        <v>Not Found</v>
      </c>
      <c r="W715" s="2" t="str">
        <f>_xlfn.XLOOKUP(Table2[[#This Row],[Adjusted Form '#]],[2]BILLED!$D:$D,[2]BILLED!$M:$M,"Not Found")</f>
        <v>1Z5063E0YW41849020</v>
      </c>
      <c r="X715" s="17" t="e">
        <f>_xlfn.XLOOKUP(Table2[[#This Row],[Adjusted Form '#]],[2]BILLED!$D:$D,[1]BILLED!$O:$O,"Not Found")</f>
        <v>#REF!</v>
      </c>
      <c r="Y715" s="17" t="e">
        <f>_xlfn.XLOOKUP(Table2[[#This Row],[Adjusted Form '#]],'[2]REJECTED ORDERS'!$D:$D,'[2]REJECTED ORDERS'!$E:$E)</f>
        <v>#N/A</v>
      </c>
      <c r="Z715" s="1"/>
      <c r="AA715" s="1"/>
      <c r="AB715" s="8"/>
      <c r="AC715" s="8"/>
      <c r="AD715" s="8"/>
      <c r="AE715" s="8"/>
      <c r="AF715" s="8"/>
      <c r="AG715" s="8"/>
      <c r="AH715" s="8"/>
      <c r="AI715" s="8"/>
      <c r="AJ715" s="8"/>
    </row>
    <row r="716" spans="1:36" ht="15" customHeight="1" x14ac:dyDescent="0.35">
      <c r="A716" s="4" t="s">
        <v>1081</v>
      </c>
      <c r="B716" s="1" t="s">
        <v>722</v>
      </c>
      <c r="C716" s="11">
        <v>45021</v>
      </c>
      <c r="D716" s="11" t="s">
        <v>5071</v>
      </c>
      <c r="E716" s="1" t="s">
        <v>21</v>
      </c>
      <c r="F716" s="1" t="s">
        <v>5075</v>
      </c>
      <c r="G716" s="6">
        <f>COUNTIF(F:F,Table2[[#This Row],[Form '#]])</f>
        <v>1</v>
      </c>
      <c r="H716" s="1" t="s">
        <v>5076</v>
      </c>
      <c r="I716" s="1" t="s">
        <v>3864</v>
      </c>
      <c r="J716" s="1" t="s">
        <v>78</v>
      </c>
      <c r="K716" s="1" t="s">
        <v>3879</v>
      </c>
      <c r="L716" s="1"/>
      <c r="M716" s="6" t="str">
        <f>IF(Table2[[#This Row],[Corrected Form '#
 (If Duplicated)]]="",Table2[[#This Row],[Form '#]],Table2[[#This Row],[Corrected Form '#
 (If Duplicated)]])</f>
        <v>7818-29768</v>
      </c>
      <c r="N716" s="1" t="s">
        <v>49</v>
      </c>
      <c r="O716" s="6" t="str">
        <f>IF(Table2[[#This Row],[POG CONFIRMATION RECEIPT OF ORDER
(DATE &amp; TIME)]]="","No Confirmation","Received Confirmation")</f>
        <v>Received Confirmation</v>
      </c>
      <c r="P716" s="6">
        <f ca="1">TODAY()-Table2[[#This Row],[DATE SENT TO POG]]</f>
        <v>282</v>
      </c>
      <c r="Q716" s="6" t="s">
        <v>5803</v>
      </c>
      <c r="R7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6" s="2" t="str">
        <f>_xlfn.XLOOKUP(Table2[[#This Row],[Adjusted Form '#]],'[2]IN PROGRESS'!$D:$D,'[2]IN PROGRESS'!$M:$M,"Not Found")</f>
        <v>Not Found</v>
      </c>
      <c r="U716" s="2" t="str">
        <f>_xlfn.XLOOKUP(Table2[[#This Row],[Adjusted Form '#]],[1]COMPLETED!$D:$D,[2]COMPLETED!$M:$M,"Not Found")</f>
        <v>Not Found</v>
      </c>
      <c r="V716" s="17" t="str">
        <f>_xlfn.XLOOKUP(Table2[[#This Row],[Adjusted Form '#]],[2]COMPLETED!$D:$D,[2]COMPLETED!$O:$O,"Not Found")</f>
        <v>Not Found</v>
      </c>
      <c r="W716" s="2" t="str">
        <f>_xlfn.XLOOKUP(Table2[[#This Row],[Adjusted Form '#]],[2]BILLED!$D:$D,[2]BILLED!$M:$M,"Not Found")</f>
        <v>9400 1112 0620 7688 7754 19</v>
      </c>
      <c r="X716" s="17" t="e">
        <f>_xlfn.XLOOKUP(Table2[[#This Row],[Adjusted Form '#]],[2]BILLED!$D:$D,[1]BILLED!$O:$O,"Not Found")</f>
        <v>#REF!</v>
      </c>
      <c r="Y716" s="17" t="e">
        <f>_xlfn.XLOOKUP(Table2[[#This Row],[Adjusted Form '#]],'[2]REJECTED ORDERS'!$D:$D,'[2]REJECTED ORDERS'!$E:$E)</f>
        <v>#N/A</v>
      </c>
      <c r="Z716" s="1"/>
      <c r="AA716" s="1"/>
      <c r="AB716" s="8"/>
      <c r="AC716" s="8"/>
      <c r="AD716" s="8"/>
      <c r="AE716" s="8"/>
      <c r="AF716" s="8"/>
      <c r="AG716" s="8"/>
      <c r="AH716" s="8"/>
      <c r="AI716" s="8"/>
      <c r="AJ716" s="8"/>
    </row>
    <row r="717" spans="1:36" ht="15" customHeight="1" x14ac:dyDescent="0.35">
      <c r="A717" s="4" t="s">
        <v>1082</v>
      </c>
      <c r="B717" s="1" t="s">
        <v>722</v>
      </c>
      <c r="C717" s="11">
        <v>45021</v>
      </c>
      <c r="D717" s="11" t="s">
        <v>5071</v>
      </c>
      <c r="E717" s="1" t="s">
        <v>21</v>
      </c>
      <c r="F717" s="1" t="s">
        <v>5077</v>
      </c>
      <c r="G717" s="6">
        <f>COUNTIF(F:F,Table2[[#This Row],[Form '#]])</f>
        <v>1</v>
      </c>
      <c r="H717" s="1" t="s">
        <v>5078</v>
      </c>
      <c r="I717" s="1" t="s">
        <v>177</v>
      </c>
      <c r="J717" s="1" t="s">
        <v>75</v>
      </c>
      <c r="K717" s="1" t="s">
        <v>3853</v>
      </c>
      <c r="L717" s="1"/>
      <c r="M717" s="6" t="str">
        <f>IF(Table2[[#This Row],[Corrected Form '#
 (If Duplicated)]]="",Table2[[#This Row],[Form '#]],Table2[[#This Row],[Corrected Form '#
 (If Duplicated)]])</f>
        <v>7818-29769</v>
      </c>
      <c r="N717" s="1" t="s">
        <v>49</v>
      </c>
      <c r="O717" s="6" t="str">
        <f>IF(Table2[[#This Row],[POG CONFIRMATION RECEIPT OF ORDER
(DATE &amp; TIME)]]="","No Confirmation","Received Confirmation")</f>
        <v>Received Confirmation</v>
      </c>
      <c r="P717" s="6">
        <f ca="1">TODAY()-Table2[[#This Row],[DATE SENT TO POG]]</f>
        <v>282</v>
      </c>
      <c r="Q717" s="6" t="s">
        <v>5803</v>
      </c>
      <c r="R7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7" s="2" t="str">
        <f>_xlfn.XLOOKUP(Table2[[#This Row],[Adjusted Form '#]],'[2]IN PROGRESS'!$D:$D,'[2]IN PROGRESS'!$M:$M,"Not Found")</f>
        <v>Not Found</v>
      </c>
      <c r="U717" s="2" t="str">
        <f>_xlfn.XLOOKUP(Table2[[#This Row],[Adjusted Form '#]],[1]COMPLETED!$D:$D,[2]COMPLETED!$M:$M,"Not Found")</f>
        <v>Not Found</v>
      </c>
      <c r="V717" s="17" t="str">
        <f>_xlfn.XLOOKUP(Table2[[#This Row],[Adjusted Form '#]],[2]COMPLETED!$D:$D,[2]COMPLETED!$O:$O,"Not Found")</f>
        <v>Not Found</v>
      </c>
      <c r="W717" s="2" t="str">
        <f>_xlfn.XLOOKUP(Table2[[#This Row],[Adjusted Form '#]],[2]BILLED!$D:$D,[2]BILLED!$M:$M,"Not Found")</f>
        <v>9400 1112 0620 9897 0937 04</v>
      </c>
      <c r="X717" s="17" t="e">
        <f>_xlfn.XLOOKUP(Table2[[#This Row],[Adjusted Form '#]],[2]BILLED!$D:$D,[1]BILLED!$O:$O,"Not Found")</f>
        <v>#REF!</v>
      </c>
      <c r="Y717" s="17" t="e">
        <f>_xlfn.XLOOKUP(Table2[[#This Row],[Adjusted Form '#]],'[2]REJECTED ORDERS'!$D:$D,'[2]REJECTED ORDERS'!$E:$E)</f>
        <v>#N/A</v>
      </c>
      <c r="Z717" s="1"/>
      <c r="AA717" s="1"/>
      <c r="AB717" s="8"/>
      <c r="AC717" s="8"/>
      <c r="AD717" s="8"/>
      <c r="AE717" s="8"/>
      <c r="AF717" s="8"/>
      <c r="AG717" s="8"/>
      <c r="AH717" s="8"/>
      <c r="AI717" s="8"/>
      <c r="AJ717" s="8"/>
    </row>
    <row r="718" spans="1:36" ht="15" customHeight="1" x14ac:dyDescent="0.35">
      <c r="A718" s="4" t="s">
        <v>1083</v>
      </c>
      <c r="B718" s="1" t="s">
        <v>722</v>
      </c>
      <c r="C718" s="11">
        <v>45021</v>
      </c>
      <c r="D718" s="11" t="s">
        <v>5071</v>
      </c>
      <c r="E718" s="1" t="s">
        <v>21</v>
      </c>
      <c r="F718" s="1" t="s">
        <v>5079</v>
      </c>
      <c r="G718" s="6">
        <f>COUNTIF(F:F,Table2[[#This Row],[Form '#]])</f>
        <v>1</v>
      </c>
      <c r="H718" s="1" t="s">
        <v>5080</v>
      </c>
      <c r="I718" s="1" t="s">
        <v>3852</v>
      </c>
      <c r="J718" s="1" t="s">
        <v>75</v>
      </c>
      <c r="K718" s="1" t="s">
        <v>3853</v>
      </c>
      <c r="L718" s="1"/>
      <c r="M718" s="6" t="str">
        <f>IF(Table2[[#This Row],[Corrected Form '#
 (If Duplicated)]]="",Table2[[#This Row],[Form '#]],Table2[[#This Row],[Corrected Form '#
 (If Duplicated)]])</f>
        <v>7818-24209</v>
      </c>
      <c r="N718" s="1" t="s">
        <v>49</v>
      </c>
      <c r="O718" s="6" t="str">
        <f>IF(Table2[[#This Row],[POG CONFIRMATION RECEIPT OF ORDER
(DATE &amp; TIME)]]="","No Confirmation","Received Confirmation")</f>
        <v>Received Confirmation</v>
      </c>
      <c r="P718" s="6">
        <f ca="1">TODAY()-Table2[[#This Row],[DATE SENT TO POG]]</f>
        <v>282</v>
      </c>
      <c r="Q718" s="6" t="s">
        <v>5803</v>
      </c>
      <c r="R7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8" s="2" t="str">
        <f>_xlfn.XLOOKUP(Table2[[#This Row],[Adjusted Form '#]],'[2]IN PROGRESS'!$D:$D,'[2]IN PROGRESS'!$M:$M,"Not Found")</f>
        <v>Not Found</v>
      </c>
      <c r="U718" s="2" t="str">
        <f>_xlfn.XLOOKUP(Table2[[#This Row],[Adjusted Form '#]],[1]COMPLETED!$D:$D,[2]COMPLETED!$M:$M,"Not Found")</f>
        <v>Not Found</v>
      </c>
      <c r="V718" s="17" t="str">
        <f>_xlfn.XLOOKUP(Table2[[#This Row],[Adjusted Form '#]],[2]COMPLETED!$D:$D,[2]COMPLETED!$O:$O,"Not Found")</f>
        <v>Not Found</v>
      </c>
      <c r="W718" s="2" t="str">
        <f>_xlfn.XLOOKUP(Table2[[#This Row],[Adjusted Form '#]],[2]BILLED!$D:$D,[2]BILLED!$M:$M,"Not Found")</f>
        <v>1Z5063E0YW42320839</v>
      </c>
      <c r="X718" s="17" t="e">
        <f>_xlfn.XLOOKUP(Table2[[#This Row],[Adjusted Form '#]],[2]BILLED!$D:$D,[1]BILLED!$O:$O,"Not Found")</f>
        <v>#REF!</v>
      </c>
      <c r="Y718" s="17" t="e">
        <f>_xlfn.XLOOKUP(Table2[[#This Row],[Adjusted Form '#]],'[2]REJECTED ORDERS'!$D:$D,'[2]REJECTED ORDERS'!$E:$E)</f>
        <v>#N/A</v>
      </c>
      <c r="Z718" s="1"/>
      <c r="AA718" s="1"/>
      <c r="AB718" s="8"/>
      <c r="AC718" s="8"/>
      <c r="AD718" s="8"/>
      <c r="AE718" s="8"/>
      <c r="AF718" s="8"/>
      <c r="AG718" s="8"/>
      <c r="AH718" s="8"/>
      <c r="AI718" s="8"/>
      <c r="AJ718" s="8"/>
    </row>
    <row r="719" spans="1:36" ht="15" customHeight="1" x14ac:dyDescent="0.35">
      <c r="A719" s="4" t="s">
        <v>1084</v>
      </c>
      <c r="B719" s="1" t="s">
        <v>722</v>
      </c>
      <c r="C719" s="11">
        <v>45021</v>
      </c>
      <c r="D719" s="11" t="s">
        <v>5071</v>
      </c>
      <c r="E719" s="1" t="s">
        <v>21</v>
      </c>
      <c r="F719" s="1" t="s">
        <v>5081</v>
      </c>
      <c r="G719" s="6">
        <f>COUNTIF(F:F,Table2[[#This Row],[Form '#]])</f>
        <v>1</v>
      </c>
      <c r="H719" s="1" t="s">
        <v>5082</v>
      </c>
      <c r="I719" s="1" t="s">
        <v>3864</v>
      </c>
      <c r="J719" s="1" t="s">
        <v>3891</v>
      </c>
      <c r="K719" s="1" t="s">
        <v>3891</v>
      </c>
      <c r="L719" s="1"/>
      <c r="M719" s="6" t="str">
        <f>IF(Table2[[#This Row],[Corrected Form '#
 (If Duplicated)]]="",Table2[[#This Row],[Form '#]],Table2[[#This Row],[Corrected Form '#
 (If Duplicated)]])</f>
        <v>7818-26170</v>
      </c>
      <c r="N719" s="1" t="s">
        <v>49</v>
      </c>
      <c r="O719" s="6" t="str">
        <f>IF(Table2[[#This Row],[POG CONFIRMATION RECEIPT OF ORDER
(DATE &amp; TIME)]]="","No Confirmation","Received Confirmation")</f>
        <v>Received Confirmation</v>
      </c>
      <c r="P719" s="6">
        <f ca="1">TODAY()-Table2[[#This Row],[DATE SENT TO POG]]</f>
        <v>282</v>
      </c>
      <c r="Q719" s="6" t="s">
        <v>5803</v>
      </c>
      <c r="R7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19" s="2" t="str">
        <f>_xlfn.XLOOKUP(Table2[[#This Row],[Adjusted Form '#]],'[2]IN PROGRESS'!$D:$D,'[2]IN PROGRESS'!$M:$M,"Not Found")</f>
        <v>Not Found</v>
      </c>
      <c r="U719" s="2" t="str">
        <f>_xlfn.XLOOKUP(Table2[[#This Row],[Adjusted Form '#]],[1]COMPLETED!$D:$D,[2]COMPLETED!$M:$M,"Not Found")</f>
        <v>Not Found</v>
      </c>
      <c r="V719" s="17" t="str">
        <f>_xlfn.XLOOKUP(Table2[[#This Row],[Adjusted Form '#]],[2]COMPLETED!$D:$D,[2]COMPLETED!$O:$O,"Not Found")</f>
        <v>Not Found</v>
      </c>
      <c r="W719" s="2" t="str">
        <f>_xlfn.XLOOKUP(Table2[[#This Row],[Adjusted Form '#]],[2]BILLED!$D:$D,[2]BILLED!$M:$M,"Not Found")</f>
        <v>1Z5063E0YW41103905</v>
      </c>
      <c r="X719" s="17" t="e">
        <f>_xlfn.XLOOKUP(Table2[[#This Row],[Adjusted Form '#]],[2]BILLED!$D:$D,[1]BILLED!$O:$O,"Not Found")</f>
        <v>#REF!</v>
      </c>
      <c r="Y719" s="17" t="e">
        <f>_xlfn.XLOOKUP(Table2[[#This Row],[Adjusted Form '#]],'[2]REJECTED ORDERS'!$D:$D,'[2]REJECTED ORDERS'!$E:$E)</f>
        <v>#N/A</v>
      </c>
      <c r="Z719" s="1"/>
      <c r="AA719" s="1"/>
      <c r="AB719" s="8"/>
      <c r="AC719" s="8"/>
      <c r="AD719" s="8"/>
      <c r="AE719" s="8"/>
      <c r="AF719" s="8"/>
      <c r="AG719" s="8"/>
      <c r="AH719" s="8"/>
      <c r="AI719" s="8"/>
      <c r="AJ719" s="8"/>
    </row>
    <row r="720" spans="1:36" ht="15" customHeight="1" x14ac:dyDescent="0.35">
      <c r="A720" s="4" t="s">
        <v>1085</v>
      </c>
      <c r="B720" s="1" t="s">
        <v>722</v>
      </c>
      <c r="C720" s="11">
        <v>45021</v>
      </c>
      <c r="D720" s="11" t="s">
        <v>5071</v>
      </c>
      <c r="E720" s="1" t="s">
        <v>21</v>
      </c>
      <c r="F720" s="1" t="s">
        <v>5083</v>
      </c>
      <c r="G720" s="6">
        <f>COUNTIF(F:F,Table2[[#This Row],[Form '#]])</f>
        <v>1</v>
      </c>
      <c r="H720" s="1" t="s">
        <v>2085</v>
      </c>
      <c r="I720" s="1" t="s">
        <v>28</v>
      </c>
      <c r="J720" s="1" t="s">
        <v>69</v>
      </c>
      <c r="K720" s="1" t="s">
        <v>4011</v>
      </c>
      <c r="L720" s="1"/>
      <c r="M720" s="6" t="str">
        <f>IF(Table2[[#This Row],[Corrected Form '#
 (If Duplicated)]]="",Table2[[#This Row],[Form '#]],Table2[[#This Row],[Corrected Form '#
 (If Duplicated)]])</f>
        <v>7818-20159</v>
      </c>
      <c r="N720" s="1" t="s">
        <v>49</v>
      </c>
      <c r="O720" s="6" t="str">
        <f>IF(Table2[[#This Row],[POG CONFIRMATION RECEIPT OF ORDER
(DATE &amp; TIME)]]="","No Confirmation","Received Confirmation")</f>
        <v>Received Confirmation</v>
      </c>
      <c r="P720" s="6">
        <f ca="1">TODAY()-Table2[[#This Row],[DATE SENT TO POG]]</f>
        <v>282</v>
      </c>
      <c r="Q720" s="6" t="s">
        <v>5803</v>
      </c>
      <c r="R7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0" s="2" t="str">
        <f>_xlfn.XLOOKUP(Table2[[#This Row],[Adjusted Form '#]],'[2]IN PROGRESS'!$D:$D,'[2]IN PROGRESS'!$M:$M,"Not Found")</f>
        <v>Not Found</v>
      </c>
      <c r="U720" s="2" t="str">
        <f>_xlfn.XLOOKUP(Table2[[#This Row],[Adjusted Form '#]],[1]COMPLETED!$D:$D,[2]COMPLETED!$M:$M,"Not Found")</f>
        <v>Not Found</v>
      </c>
      <c r="V720" s="17" t="str">
        <f>_xlfn.XLOOKUP(Table2[[#This Row],[Adjusted Form '#]],[2]COMPLETED!$D:$D,[2]COMPLETED!$O:$O,"Not Found")</f>
        <v>Not Found</v>
      </c>
      <c r="W720" s="2" t="str">
        <f>_xlfn.XLOOKUP(Table2[[#This Row],[Adjusted Form '#]],[2]BILLED!$D:$D,[2]BILLED!$M:$M,"Not Found")</f>
        <v>1Z5063E0YW40629466</v>
      </c>
      <c r="X720" s="17" t="e">
        <f>_xlfn.XLOOKUP(Table2[[#This Row],[Adjusted Form '#]],[2]BILLED!$D:$D,[1]BILLED!$O:$O,"Not Found")</f>
        <v>#REF!</v>
      </c>
      <c r="Y720" s="17" t="e">
        <f>_xlfn.XLOOKUP(Table2[[#This Row],[Adjusted Form '#]],'[2]REJECTED ORDERS'!$D:$D,'[2]REJECTED ORDERS'!$E:$E)</f>
        <v>#N/A</v>
      </c>
      <c r="Z720" s="1"/>
      <c r="AA720" s="1"/>
      <c r="AB720" s="8"/>
      <c r="AC720" s="8"/>
      <c r="AD720" s="8"/>
      <c r="AE720" s="8"/>
      <c r="AF720" s="8"/>
      <c r="AG720" s="8"/>
      <c r="AH720" s="8"/>
      <c r="AI720" s="8"/>
      <c r="AJ720" s="8"/>
    </row>
    <row r="721" spans="1:36" ht="15" customHeight="1" x14ac:dyDescent="0.35">
      <c r="A721" s="4" t="s">
        <v>1088</v>
      </c>
      <c r="B721" s="1" t="s">
        <v>3427</v>
      </c>
      <c r="C721" s="11">
        <v>45021</v>
      </c>
      <c r="D721" s="11" t="s">
        <v>5071</v>
      </c>
      <c r="E721" s="1" t="s">
        <v>73</v>
      </c>
      <c r="F721" s="1" t="s">
        <v>5084</v>
      </c>
      <c r="G721" s="6">
        <f>COUNTIF(F:F,Table2[[#This Row],[Form '#]])</f>
        <v>1</v>
      </c>
      <c r="H721" s="1" t="s">
        <v>352</v>
      </c>
      <c r="I721" s="1" t="s">
        <v>127</v>
      </c>
      <c r="J721" s="1" t="s">
        <v>76</v>
      </c>
      <c r="K721" s="1" t="s">
        <v>4011</v>
      </c>
      <c r="L721" s="1"/>
      <c r="M721" s="6" t="str">
        <f>IF(Table2[[#This Row],[Corrected Form '#
 (If Duplicated)]]="",Table2[[#This Row],[Form '#]],Table2[[#This Row],[Corrected Form '#
 (If Duplicated)]])</f>
        <v>7823-02809</v>
      </c>
      <c r="N721" s="1" t="s">
        <v>49</v>
      </c>
      <c r="O721" s="6" t="str">
        <f>IF(Table2[[#This Row],[POG CONFIRMATION RECEIPT OF ORDER
(DATE &amp; TIME)]]="","No Confirmation","Received Confirmation")</f>
        <v>Received Confirmation</v>
      </c>
      <c r="P721" s="6">
        <f ca="1">TODAY()-Table2[[#This Row],[DATE SENT TO POG]]</f>
        <v>282</v>
      </c>
      <c r="Q721" s="6" t="s">
        <v>5803</v>
      </c>
      <c r="R7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1" s="2" t="str">
        <f>_xlfn.XLOOKUP(Table2[[#This Row],[Adjusted Form '#]],'[2]IN PROGRESS'!$D:$D,'[2]IN PROGRESS'!$M:$M,"Not Found")</f>
        <v>Not Found</v>
      </c>
      <c r="U721" s="2" t="str">
        <f>_xlfn.XLOOKUP(Table2[[#This Row],[Adjusted Form '#]],[1]COMPLETED!$D:$D,[2]COMPLETED!$M:$M,"Not Found")</f>
        <v>Not Found</v>
      </c>
      <c r="V721" s="17" t="str">
        <f>_xlfn.XLOOKUP(Table2[[#This Row],[Adjusted Form '#]],[2]COMPLETED!$D:$D,[2]COMPLETED!$O:$O,"Not Found")</f>
        <v>Not Found</v>
      </c>
      <c r="W721" s="2" t="str">
        <f>_xlfn.XLOOKUP(Table2[[#This Row],[Adjusted Form '#]],[2]BILLED!$D:$D,[2]BILLED!$M:$M,"Not Found")</f>
        <v>1Z5063E0YW41338662</v>
      </c>
      <c r="X721" s="17" t="e">
        <f>_xlfn.XLOOKUP(Table2[[#This Row],[Adjusted Form '#]],[2]BILLED!$D:$D,[1]BILLED!$O:$O,"Not Found")</f>
        <v>#REF!</v>
      </c>
      <c r="Y721" s="17" t="e">
        <f>_xlfn.XLOOKUP(Table2[[#This Row],[Adjusted Form '#]],'[2]REJECTED ORDERS'!$D:$D,'[2]REJECTED ORDERS'!$E:$E)</f>
        <v>#N/A</v>
      </c>
      <c r="Z721" s="1"/>
      <c r="AA721" s="1"/>
      <c r="AB721" s="8"/>
      <c r="AC721" s="8"/>
      <c r="AD721" s="8"/>
      <c r="AE721" s="8"/>
      <c r="AF721" s="8"/>
      <c r="AG721" s="8"/>
      <c r="AH721" s="8"/>
      <c r="AI721" s="8"/>
      <c r="AJ721" s="8"/>
    </row>
    <row r="722" spans="1:36" ht="15" customHeight="1" x14ac:dyDescent="0.35">
      <c r="A722" s="4" t="s">
        <v>1090</v>
      </c>
      <c r="B722" s="1" t="s">
        <v>784</v>
      </c>
      <c r="C722" s="11">
        <v>45022</v>
      </c>
      <c r="D722" s="11" t="s">
        <v>5071</v>
      </c>
      <c r="E722" s="1" t="s">
        <v>191</v>
      </c>
      <c r="F722" s="1" t="s">
        <v>5085</v>
      </c>
      <c r="G722" s="6">
        <f>COUNTIF(F:F,Table2[[#This Row],[Form '#]])</f>
        <v>1</v>
      </c>
      <c r="H722" s="1" t="s">
        <v>3044</v>
      </c>
      <c r="I722" s="1" t="s">
        <v>758</v>
      </c>
      <c r="J722" s="1" t="s">
        <v>78</v>
      </c>
      <c r="K722" s="1" t="s">
        <v>3853</v>
      </c>
      <c r="L722" s="1"/>
      <c r="M722" s="6" t="str">
        <f>IF(Table2[[#This Row],[Corrected Form '#
 (If Duplicated)]]="",Table2[[#This Row],[Form '#]],Table2[[#This Row],[Corrected Form '#
 (If Duplicated)]])</f>
        <v>7812-3853</v>
      </c>
      <c r="N722" s="1" t="s">
        <v>49</v>
      </c>
      <c r="O722" s="6" t="str">
        <f>IF(Table2[[#This Row],[POG CONFIRMATION RECEIPT OF ORDER
(DATE &amp; TIME)]]="","No Confirmation","Received Confirmation")</f>
        <v>Received Confirmation</v>
      </c>
      <c r="P722" s="6">
        <f ca="1">TODAY()-Table2[[#This Row],[DATE SENT TO POG]]</f>
        <v>281</v>
      </c>
      <c r="Q722" s="6" t="s">
        <v>5803</v>
      </c>
      <c r="R7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2" s="2" t="str">
        <f>_xlfn.XLOOKUP(Table2[[#This Row],[Adjusted Form '#]],'[2]IN PROGRESS'!$D:$D,'[2]IN PROGRESS'!$M:$M,"Not Found")</f>
        <v>Not Found</v>
      </c>
      <c r="U722" s="2" t="str">
        <f>_xlfn.XLOOKUP(Table2[[#This Row],[Adjusted Form '#]],[1]COMPLETED!$D:$D,[2]COMPLETED!$M:$M,"Not Found")</f>
        <v>Not Found</v>
      </c>
      <c r="V722" s="17" t="str">
        <f>_xlfn.XLOOKUP(Table2[[#This Row],[Adjusted Form '#]],[2]COMPLETED!$D:$D,[2]COMPLETED!$O:$O,"Not Found")</f>
        <v>Not Found</v>
      </c>
      <c r="W722" s="2" t="str">
        <f>_xlfn.XLOOKUP(Table2[[#This Row],[Adjusted Form '#]],[2]BILLED!$D:$D,[2]BILLED!$M:$M,"Not Found")</f>
        <v>1Z5063E0YW41663855</v>
      </c>
      <c r="X722" s="17" t="e">
        <f>_xlfn.XLOOKUP(Table2[[#This Row],[Adjusted Form '#]],[2]BILLED!$D:$D,[1]BILLED!$O:$O,"Not Found")</f>
        <v>#REF!</v>
      </c>
      <c r="Y722" s="17" t="e">
        <f>_xlfn.XLOOKUP(Table2[[#This Row],[Adjusted Form '#]],'[2]REJECTED ORDERS'!$D:$D,'[2]REJECTED ORDERS'!$E:$E)</f>
        <v>#N/A</v>
      </c>
      <c r="Z722" s="1"/>
      <c r="AA722" s="1"/>
      <c r="AB722" s="8"/>
      <c r="AC722" s="8"/>
      <c r="AD722" s="8"/>
      <c r="AE722" s="8"/>
      <c r="AF722" s="8"/>
      <c r="AG722" s="8"/>
      <c r="AH722" s="8"/>
      <c r="AI722" s="8"/>
      <c r="AJ722" s="8"/>
    </row>
    <row r="723" spans="1:36" ht="15" customHeight="1" x14ac:dyDescent="0.35">
      <c r="A723" s="4" t="s">
        <v>1092</v>
      </c>
      <c r="B723" s="1" t="s">
        <v>831</v>
      </c>
      <c r="C723" s="11">
        <v>45022</v>
      </c>
      <c r="D723" s="11" t="s">
        <v>5086</v>
      </c>
      <c r="E723" s="1" t="s">
        <v>191</v>
      </c>
      <c r="F723" s="1" t="s">
        <v>5042</v>
      </c>
      <c r="G723" s="6">
        <f>COUNTIF(F:F,Table2[[#This Row],[Form '#]])</f>
        <v>3</v>
      </c>
      <c r="H723" s="1" t="s">
        <v>2598</v>
      </c>
      <c r="I723" s="1" t="s">
        <v>28</v>
      </c>
      <c r="J723" s="1" t="s">
        <v>69</v>
      </c>
      <c r="K723" s="1" t="s">
        <v>4631</v>
      </c>
      <c r="L723" s="1"/>
      <c r="M723" s="6" t="str">
        <f>IF(Table2[[#This Row],[Corrected Form '#
 (If Duplicated)]]="",Table2[[#This Row],[Form '#]],Table2[[#This Row],[Corrected Form '#
 (If Duplicated)]])</f>
        <v>7812-01730</v>
      </c>
      <c r="N723" s="1" t="s">
        <v>49</v>
      </c>
      <c r="O723" s="6" t="str">
        <f>IF(Table2[[#This Row],[POG CONFIRMATION RECEIPT OF ORDER
(DATE &amp; TIME)]]="","No Confirmation","Received Confirmation")</f>
        <v>Received Confirmation</v>
      </c>
      <c r="P723" s="6">
        <f ca="1">TODAY()-Table2[[#This Row],[DATE SENT TO POG]]</f>
        <v>281</v>
      </c>
      <c r="Q723" s="6" t="s">
        <v>5803</v>
      </c>
      <c r="R7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3" s="2" t="str">
        <f>_xlfn.XLOOKUP(Table2[[#This Row],[Adjusted Form '#]],'[2]IN PROGRESS'!$D:$D,'[2]IN PROGRESS'!$M:$M,"Not Found")</f>
        <v>Not Found</v>
      </c>
      <c r="U723" s="2" t="str">
        <f>_xlfn.XLOOKUP(Table2[[#This Row],[Adjusted Form '#]],[1]COMPLETED!$D:$D,[2]COMPLETED!$M:$M,"Not Found")</f>
        <v>Not Found</v>
      </c>
      <c r="V723" s="17" t="str">
        <f>_xlfn.XLOOKUP(Table2[[#This Row],[Adjusted Form '#]],[2]COMPLETED!$D:$D,[2]COMPLETED!$O:$O,"Not Found")</f>
        <v>Not Found</v>
      </c>
      <c r="W723" s="2" t="str">
        <f>_xlfn.XLOOKUP(Table2[[#This Row],[Adjusted Form '#]],[2]BILLED!$D:$D,[2]BILLED!$M:$M,"Not Found")</f>
        <v>1Z5063E0YW40529592</v>
      </c>
      <c r="X723" s="17" t="e">
        <f>_xlfn.XLOOKUP(Table2[[#This Row],[Adjusted Form '#]],[2]BILLED!$D:$D,[1]BILLED!$O:$O,"Not Found")</f>
        <v>#REF!</v>
      </c>
      <c r="Y723" s="17" t="str">
        <f>_xlfn.XLOOKUP(Table2[[#This Row],[Adjusted Form '#]],'[2]REJECTED ORDERS'!$D:$D,'[2]REJECTED ORDERS'!$E:$E)</f>
        <v>FORM NOT SIGNED</v>
      </c>
      <c r="Z723" s="1"/>
      <c r="AA723" s="1"/>
      <c r="AB723" s="8"/>
      <c r="AC723" s="8"/>
      <c r="AD723" s="8"/>
      <c r="AE723" s="8"/>
      <c r="AF723" s="8"/>
      <c r="AG723" s="8"/>
      <c r="AH723" s="8"/>
      <c r="AI723" s="8"/>
      <c r="AJ723" s="8"/>
    </row>
    <row r="724" spans="1:36" ht="15" customHeight="1" x14ac:dyDescent="0.35">
      <c r="A724" s="4" t="s">
        <v>1093</v>
      </c>
      <c r="B724" s="1" t="s">
        <v>831</v>
      </c>
      <c r="C724" s="11">
        <v>45022</v>
      </c>
      <c r="D724" s="11" t="s">
        <v>5086</v>
      </c>
      <c r="E724" s="1" t="s">
        <v>191</v>
      </c>
      <c r="F724" s="1" t="s">
        <v>5087</v>
      </c>
      <c r="G724" s="6">
        <f>COUNTIF(F:F,Table2[[#This Row],[Form '#]])</f>
        <v>1</v>
      </c>
      <c r="H724" s="1" t="s">
        <v>1138</v>
      </c>
      <c r="I724" s="1" t="s">
        <v>127</v>
      </c>
      <c r="J724" s="1" t="s">
        <v>76</v>
      </c>
      <c r="K724" s="1" t="s">
        <v>3883</v>
      </c>
      <c r="L724" s="1"/>
      <c r="M724" s="6" t="str">
        <f>IF(Table2[[#This Row],[Corrected Form '#
 (If Duplicated)]]="",Table2[[#This Row],[Form '#]],Table2[[#This Row],[Corrected Form '#
 (If Duplicated)]])</f>
        <v>7812-02946</v>
      </c>
      <c r="N724" s="1" t="s">
        <v>49</v>
      </c>
      <c r="O724" s="6" t="str">
        <f>IF(Table2[[#This Row],[POG CONFIRMATION RECEIPT OF ORDER
(DATE &amp; TIME)]]="","No Confirmation","Received Confirmation")</f>
        <v>Received Confirmation</v>
      </c>
      <c r="P724" s="6">
        <f ca="1">TODAY()-Table2[[#This Row],[DATE SENT TO POG]]</f>
        <v>281</v>
      </c>
      <c r="Q724" s="6" t="s">
        <v>5803</v>
      </c>
      <c r="R7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4" s="2" t="str">
        <f>_xlfn.XLOOKUP(Table2[[#This Row],[Adjusted Form '#]],'[2]IN PROGRESS'!$D:$D,'[2]IN PROGRESS'!$M:$M,"Not Found")</f>
        <v>Not Found</v>
      </c>
      <c r="U724" s="2" t="str">
        <f>_xlfn.XLOOKUP(Table2[[#This Row],[Adjusted Form '#]],[1]COMPLETED!$D:$D,[2]COMPLETED!$M:$M,"Not Found")</f>
        <v>Not Found</v>
      </c>
      <c r="V724" s="17" t="str">
        <f>_xlfn.XLOOKUP(Table2[[#This Row],[Adjusted Form '#]],[2]COMPLETED!$D:$D,[2]COMPLETED!$O:$O,"Not Found")</f>
        <v>Not Found</v>
      </c>
      <c r="W724" s="2" t="str">
        <f>_xlfn.XLOOKUP(Table2[[#This Row],[Adjusted Form '#]],[2]BILLED!$D:$D,[2]BILLED!$M:$M,"Not Found")</f>
        <v>1Z5063E0YW41984160</v>
      </c>
      <c r="X724" s="17" t="e">
        <f>_xlfn.XLOOKUP(Table2[[#This Row],[Adjusted Form '#]],[2]BILLED!$D:$D,[1]BILLED!$O:$O,"Not Found")</f>
        <v>#REF!</v>
      </c>
      <c r="Y724" s="17" t="e">
        <f>_xlfn.XLOOKUP(Table2[[#This Row],[Adjusted Form '#]],'[2]REJECTED ORDERS'!$D:$D,'[2]REJECTED ORDERS'!$E:$E)</f>
        <v>#N/A</v>
      </c>
      <c r="Z724" s="1"/>
      <c r="AA724" s="1"/>
      <c r="AB724" s="8"/>
      <c r="AC724" s="8"/>
      <c r="AD724" s="8"/>
      <c r="AE724" s="8"/>
      <c r="AF724" s="8"/>
      <c r="AG724" s="8"/>
      <c r="AH724" s="8"/>
      <c r="AI724" s="8"/>
      <c r="AJ724" s="8"/>
    </row>
    <row r="725" spans="1:36" ht="15" customHeight="1" x14ac:dyDescent="0.35">
      <c r="A725" s="4" t="s">
        <v>1094</v>
      </c>
      <c r="B725" s="1" t="s">
        <v>831</v>
      </c>
      <c r="C725" s="11">
        <v>45022</v>
      </c>
      <c r="D725" s="11" t="s">
        <v>5086</v>
      </c>
      <c r="E725" s="1" t="s">
        <v>191</v>
      </c>
      <c r="F725" s="1" t="s">
        <v>5025</v>
      </c>
      <c r="G725" s="6">
        <f>COUNTIF(F:F,Table2[[#This Row],[Form '#]])</f>
        <v>2</v>
      </c>
      <c r="H725" s="1" t="s">
        <v>3507</v>
      </c>
      <c r="I725" s="1" t="s">
        <v>3852</v>
      </c>
      <c r="J725" s="1" t="s">
        <v>3891</v>
      </c>
      <c r="K725" s="1" t="s">
        <v>3891</v>
      </c>
      <c r="L725" s="1"/>
      <c r="M725" s="6" t="str">
        <f>IF(Table2[[#This Row],[Corrected Form '#
 (If Duplicated)]]="",Table2[[#This Row],[Form '#]],Table2[[#This Row],[Corrected Form '#
 (If Duplicated)]])</f>
        <v>7812-3746</v>
      </c>
      <c r="N725" s="1" t="s">
        <v>49</v>
      </c>
      <c r="O725" s="6" t="str">
        <f>IF(Table2[[#This Row],[POG CONFIRMATION RECEIPT OF ORDER
(DATE &amp; TIME)]]="","No Confirmation","Received Confirmation")</f>
        <v>Received Confirmation</v>
      </c>
      <c r="P725" s="6">
        <f ca="1">TODAY()-Table2[[#This Row],[DATE SENT TO POG]]</f>
        <v>281</v>
      </c>
      <c r="Q725" s="6" t="s">
        <v>5803</v>
      </c>
      <c r="R7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5" s="2" t="str">
        <f>_xlfn.XLOOKUP(Table2[[#This Row],[Adjusted Form '#]],'[2]IN PROGRESS'!$D:$D,'[2]IN PROGRESS'!$M:$M,"Not Found")</f>
        <v>Not Found</v>
      </c>
      <c r="U725" s="2" t="str">
        <f>_xlfn.XLOOKUP(Table2[[#This Row],[Adjusted Form '#]],[1]COMPLETED!$D:$D,[2]COMPLETED!$M:$M,"Not Found")</f>
        <v>Not Found</v>
      </c>
      <c r="V725" s="17" t="str">
        <f>_xlfn.XLOOKUP(Table2[[#This Row],[Adjusted Form '#]],[2]COMPLETED!$D:$D,[2]COMPLETED!$O:$O,"Not Found")</f>
        <v>Not Found</v>
      </c>
      <c r="W725" s="2" t="str">
        <f>_xlfn.XLOOKUP(Table2[[#This Row],[Adjusted Form '#]],[2]BILLED!$D:$D,[2]BILLED!$M:$M,"Not Found")</f>
        <v>1Z5063E0YW42482558</v>
      </c>
      <c r="X725" s="17" t="e">
        <f>_xlfn.XLOOKUP(Table2[[#This Row],[Adjusted Form '#]],[2]BILLED!$D:$D,[1]BILLED!$O:$O,"Not Found")</f>
        <v>#REF!</v>
      </c>
      <c r="Y725" s="17" t="str">
        <f>_xlfn.XLOOKUP(Table2[[#This Row],[Adjusted Form '#]],'[2]REJECTED ORDERS'!$D:$D,'[2]REJECTED ORDERS'!$E:$E)</f>
        <v>FORM NOT SIGNED</v>
      </c>
      <c r="Z725" s="1"/>
      <c r="AA725" s="1"/>
      <c r="AB725" s="8"/>
      <c r="AC725" s="8"/>
      <c r="AD725" s="8"/>
      <c r="AE725" s="8"/>
      <c r="AF725" s="8"/>
      <c r="AG725" s="8"/>
      <c r="AH725" s="8"/>
      <c r="AI725" s="8"/>
      <c r="AJ725" s="8"/>
    </row>
    <row r="726" spans="1:36" ht="15" customHeight="1" x14ac:dyDescent="0.35">
      <c r="A726" s="4" t="s">
        <v>1095</v>
      </c>
      <c r="B726" s="1" t="s">
        <v>1140</v>
      </c>
      <c r="C726" s="11">
        <v>45022</v>
      </c>
      <c r="D726" s="11" t="s">
        <v>5086</v>
      </c>
      <c r="E726" s="1" t="s">
        <v>21</v>
      </c>
      <c r="F726" s="1" t="s">
        <v>5088</v>
      </c>
      <c r="G726" s="6">
        <f>COUNTIF(F:F,Table2[[#This Row],[Form '#]])</f>
        <v>1</v>
      </c>
      <c r="H726" s="1" t="s">
        <v>5078</v>
      </c>
      <c r="I726" s="1" t="s">
        <v>177</v>
      </c>
      <c r="J726" s="1" t="s">
        <v>75</v>
      </c>
      <c r="K726" s="1" t="s">
        <v>3853</v>
      </c>
      <c r="L726" s="1"/>
      <c r="M726" s="6" t="str">
        <f>IF(Table2[[#This Row],[Corrected Form '#
 (If Duplicated)]]="",Table2[[#This Row],[Form '#]],Table2[[#This Row],[Corrected Form '#
 (If Duplicated)]])</f>
        <v>7818-21699</v>
      </c>
      <c r="N726" s="1" t="s">
        <v>49</v>
      </c>
      <c r="O726" s="6" t="str">
        <f>IF(Table2[[#This Row],[POG CONFIRMATION RECEIPT OF ORDER
(DATE &amp; TIME)]]="","No Confirmation","Received Confirmation")</f>
        <v>Received Confirmation</v>
      </c>
      <c r="P726" s="6">
        <f ca="1">TODAY()-Table2[[#This Row],[DATE SENT TO POG]]</f>
        <v>281</v>
      </c>
      <c r="Q726" s="6" t="s">
        <v>5803</v>
      </c>
      <c r="R7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6" s="2" t="str">
        <f>_xlfn.XLOOKUP(Table2[[#This Row],[Adjusted Form '#]],'[2]IN PROGRESS'!$D:$D,'[2]IN PROGRESS'!$M:$M,"Not Found")</f>
        <v>Not Found</v>
      </c>
      <c r="U726" s="2" t="str">
        <f>_xlfn.XLOOKUP(Table2[[#This Row],[Adjusted Form '#]],[1]COMPLETED!$D:$D,[2]COMPLETED!$M:$M,"Not Found")</f>
        <v>Not Found</v>
      </c>
      <c r="V726" s="17" t="str">
        <f>_xlfn.XLOOKUP(Table2[[#This Row],[Adjusted Form '#]],[2]COMPLETED!$D:$D,[2]COMPLETED!$O:$O,"Not Found")</f>
        <v>Not Found</v>
      </c>
      <c r="W726" s="2" t="str">
        <f>_xlfn.XLOOKUP(Table2[[#This Row],[Adjusted Form '#]],[2]BILLED!$D:$D,[2]BILLED!$M:$M,"Not Found")</f>
        <v>1Z5063E0YW41063011</v>
      </c>
      <c r="X726" s="17" t="e">
        <f>_xlfn.XLOOKUP(Table2[[#This Row],[Adjusted Form '#]],[2]BILLED!$D:$D,[1]BILLED!$O:$O,"Not Found")</f>
        <v>#REF!</v>
      </c>
      <c r="Y726" s="17" t="e">
        <f>_xlfn.XLOOKUP(Table2[[#This Row],[Adjusted Form '#]],'[2]REJECTED ORDERS'!$D:$D,'[2]REJECTED ORDERS'!$E:$E)</f>
        <v>#N/A</v>
      </c>
      <c r="Z726" s="1"/>
      <c r="AA726" s="1"/>
      <c r="AB726" s="8"/>
      <c r="AC726" s="8"/>
      <c r="AD726" s="8"/>
      <c r="AE726" s="8"/>
      <c r="AF726" s="8"/>
      <c r="AG726" s="8"/>
      <c r="AH726" s="8"/>
      <c r="AI726" s="8"/>
      <c r="AJ726" s="8"/>
    </row>
    <row r="727" spans="1:36" ht="15" customHeight="1" x14ac:dyDescent="0.35">
      <c r="A727" s="4" t="s">
        <v>1097</v>
      </c>
      <c r="B727" s="1" t="s">
        <v>1140</v>
      </c>
      <c r="C727" s="11">
        <v>45022</v>
      </c>
      <c r="D727" s="11" t="s">
        <v>5086</v>
      </c>
      <c r="E727" s="1" t="s">
        <v>21</v>
      </c>
      <c r="F727" s="1" t="s">
        <v>5089</v>
      </c>
      <c r="G727" s="6">
        <f>COUNTIF(F:F,Table2[[#This Row],[Form '#]])</f>
        <v>1</v>
      </c>
      <c r="H727" s="1" t="s">
        <v>5090</v>
      </c>
      <c r="I727" s="1" t="s">
        <v>3864</v>
      </c>
      <c r="J727" s="1" t="s">
        <v>78</v>
      </c>
      <c r="K727" s="1" t="s">
        <v>3879</v>
      </c>
      <c r="L727" s="1"/>
      <c r="M727" s="6" t="str">
        <f>IF(Table2[[#This Row],[Corrected Form '#
 (If Duplicated)]]="",Table2[[#This Row],[Form '#]],Table2[[#This Row],[Corrected Form '#
 (If Duplicated)]])</f>
        <v>7818-08752</v>
      </c>
      <c r="N727" s="1" t="s">
        <v>49</v>
      </c>
      <c r="O727" s="6" t="str">
        <f>IF(Table2[[#This Row],[POG CONFIRMATION RECEIPT OF ORDER
(DATE &amp; TIME)]]="","No Confirmation","Received Confirmation")</f>
        <v>Received Confirmation</v>
      </c>
      <c r="P727" s="6">
        <f ca="1">TODAY()-Table2[[#This Row],[DATE SENT TO POG]]</f>
        <v>281</v>
      </c>
      <c r="Q727" s="6" t="s">
        <v>5803</v>
      </c>
      <c r="R7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7" s="2" t="str">
        <f>_xlfn.XLOOKUP(Table2[[#This Row],[Adjusted Form '#]],'[2]IN PROGRESS'!$D:$D,'[2]IN PROGRESS'!$M:$M,"Not Found")</f>
        <v>Not Found</v>
      </c>
      <c r="U727" s="2" t="str">
        <f>_xlfn.XLOOKUP(Table2[[#This Row],[Adjusted Form '#]],[1]COMPLETED!$D:$D,[2]COMPLETED!$M:$M,"Not Found")</f>
        <v>Not Found</v>
      </c>
      <c r="V727" s="17" t="str">
        <f>_xlfn.XLOOKUP(Table2[[#This Row],[Adjusted Form '#]],[2]COMPLETED!$D:$D,[2]COMPLETED!$O:$O,"Not Found")</f>
        <v>Not Found</v>
      </c>
      <c r="W727" s="2" t="str">
        <f>_xlfn.XLOOKUP(Table2[[#This Row],[Adjusted Form '#]],[2]BILLED!$D:$D,[2]BILLED!$M:$M,"Not Found")</f>
        <v>1Z5063E0YW41638963</v>
      </c>
      <c r="X727" s="17" t="e">
        <f>_xlfn.XLOOKUP(Table2[[#This Row],[Adjusted Form '#]],[2]BILLED!$D:$D,[1]BILLED!$O:$O,"Not Found")</f>
        <v>#REF!</v>
      </c>
      <c r="Y727" s="17" t="e">
        <f>_xlfn.XLOOKUP(Table2[[#This Row],[Adjusted Form '#]],'[2]REJECTED ORDERS'!$D:$D,'[2]REJECTED ORDERS'!$E:$E)</f>
        <v>#N/A</v>
      </c>
      <c r="Z727" s="1"/>
      <c r="AA727" s="1"/>
      <c r="AB727" s="8"/>
      <c r="AC727" s="8"/>
      <c r="AD727" s="8"/>
      <c r="AE727" s="8"/>
      <c r="AF727" s="8"/>
      <c r="AG727" s="8"/>
      <c r="AH727" s="8"/>
      <c r="AI727" s="8"/>
      <c r="AJ727" s="8"/>
    </row>
    <row r="728" spans="1:36" ht="15" customHeight="1" x14ac:dyDescent="0.35">
      <c r="A728" s="4" t="s">
        <v>1100</v>
      </c>
      <c r="B728" s="1" t="s">
        <v>1140</v>
      </c>
      <c r="C728" s="11">
        <v>45022</v>
      </c>
      <c r="D728" s="11" t="s">
        <v>5086</v>
      </c>
      <c r="E728" s="1" t="s">
        <v>21</v>
      </c>
      <c r="F728" s="1" t="s">
        <v>5091</v>
      </c>
      <c r="G728" s="6">
        <f>COUNTIF(F:F,Table2[[#This Row],[Form '#]])</f>
        <v>1</v>
      </c>
      <c r="H728" s="1" t="s">
        <v>5092</v>
      </c>
      <c r="I728" s="1" t="s">
        <v>3852</v>
      </c>
      <c r="J728" s="1" t="s">
        <v>75</v>
      </c>
      <c r="K728" s="1" t="s">
        <v>4011</v>
      </c>
      <c r="L728" s="1"/>
      <c r="M728" s="6" t="str">
        <f>IF(Table2[[#This Row],[Corrected Form '#
 (If Duplicated)]]="",Table2[[#This Row],[Form '#]],Table2[[#This Row],[Corrected Form '#
 (If Duplicated)]])</f>
        <v>7818-25944</v>
      </c>
      <c r="N728" s="1" t="s">
        <v>49</v>
      </c>
      <c r="O728" s="6" t="str">
        <f>IF(Table2[[#This Row],[POG CONFIRMATION RECEIPT OF ORDER
(DATE &amp; TIME)]]="","No Confirmation","Received Confirmation")</f>
        <v>Received Confirmation</v>
      </c>
      <c r="P728" s="6">
        <f ca="1">TODAY()-Table2[[#This Row],[DATE SENT TO POG]]</f>
        <v>281</v>
      </c>
      <c r="Q728" s="6" t="s">
        <v>5803</v>
      </c>
      <c r="R7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8" s="2" t="str">
        <f>_xlfn.XLOOKUP(Table2[[#This Row],[Adjusted Form '#]],'[2]IN PROGRESS'!$D:$D,'[2]IN PROGRESS'!$M:$M,"Not Found")</f>
        <v>Not Found</v>
      </c>
      <c r="U728" s="2" t="str">
        <f>_xlfn.XLOOKUP(Table2[[#This Row],[Adjusted Form '#]],[1]COMPLETED!$D:$D,[2]COMPLETED!$M:$M,"Not Found")</f>
        <v>Not Found</v>
      </c>
      <c r="V728" s="17">
        <f>_xlfn.XLOOKUP(Table2[[#This Row],[Adjusted Form '#]],[2]COMPLETED!$D:$D,[2]COMPLETED!$O:$O,"Not Found")</f>
        <v>0</v>
      </c>
      <c r="W728" s="2" t="str">
        <f>_xlfn.XLOOKUP(Table2[[#This Row],[Adjusted Form '#]],[2]BILLED!$D:$D,[2]BILLED!$M:$M,"Not Found")</f>
        <v>9400 1112 0620 7086 0054 08</v>
      </c>
      <c r="X728" s="17" t="e">
        <f>_xlfn.XLOOKUP(Table2[[#This Row],[Adjusted Form '#]],[2]BILLED!$D:$D,[1]BILLED!$O:$O,"Not Found")</f>
        <v>#REF!</v>
      </c>
      <c r="Y728" s="17" t="e">
        <f>_xlfn.XLOOKUP(Table2[[#This Row],[Adjusted Form '#]],'[2]REJECTED ORDERS'!$D:$D,'[2]REJECTED ORDERS'!$E:$E)</f>
        <v>#N/A</v>
      </c>
      <c r="Z728" s="1"/>
      <c r="AA728" s="1"/>
      <c r="AB728" s="8"/>
      <c r="AC728" s="8"/>
      <c r="AD728" s="8"/>
      <c r="AE728" s="8"/>
      <c r="AF728" s="8"/>
      <c r="AG728" s="8"/>
      <c r="AH728" s="8"/>
      <c r="AI728" s="8"/>
      <c r="AJ728" s="8"/>
    </row>
    <row r="729" spans="1:36" ht="15" customHeight="1" x14ac:dyDescent="0.35">
      <c r="A729" s="4" t="s">
        <v>1102</v>
      </c>
      <c r="B729" s="1" t="s">
        <v>1140</v>
      </c>
      <c r="C729" s="11">
        <v>45022</v>
      </c>
      <c r="D729" s="11" t="s">
        <v>5086</v>
      </c>
      <c r="E729" s="1" t="s">
        <v>21</v>
      </c>
      <c r="F729" s="1" t="s">
        <v>5093</v>
      </c>
      <c r="G729" s="6">
        <f>COUNTIF(F:F,Table2[[#This Row],[Form '#]])</f>
        <v>1</v>
      </c>
      <c r="H729" s="1" t="s">
        <v>5094</v>
      </c>
      <c r="I729" s="1" t="s">
        <v>177</v>
      </c>
      <c r="J729" s="1" t="s">
        <v>75</v>
      </c>
      <c r="K729" s="1" t="s">
        <v>4011</v>
      </c>
      <c r="L729" s="1"/>
      <c r="M729" s="6" t="str">
        <f>IF(Table2[[#This Row],[Corrected Form '#
 (If Duplicated)]]="",Table2[[#This Row],[Form '#]],Table2[[#This Row],[Corrected Form '#
 (If Duplicated)]])</f>
        <v>7818-27319</v>
      </c>
      <c r="N729" s="1" t="s">
        <v>49</v>
      </c>
      <c r="O729" s="6" t="str">
        <f>IF(Table2[[#This Row],[POG CONFIRMATION RECEIPT OF ORDER
(DATE &amp; TIME)]]="","No Confirmation","Received Confirmation")</f>
        <v>Received Confirmation</v>
      </c>
      <c r="P729" s="6">
        <f ca="1">TODAY()-Table2[[#This Row],[DATE SENT TO POG]]</f>
        <v>281</v>
      </c>
      <c r="Q729" s="6" t="s">
        <v>5803</v>
      </c>
      <c r="R7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29" s="2" t="str">
        <f>_xlfn.XLOOKUP(Table2[[#This Row],[Adjusted Form '#]],'[2]IN PROGRESS'!$D:$D,'[2]IN PROGRESS'!$M:$M,"Not Found")</f>
        <v>Not Found</v>
      </c>
      <c r="U729" s="2" t="str">
        <f>_xlfn.XLOOKUP(Table2[[#This Row],[Adjusted Form '#]],[1]COMPLETED!$D:$D,[2]COMPLETED!$M:$M,"Not Found")</f>
        <v>Not Found</v>
      </c>
      <c r="V729" s="17" t="str">
        <f>_xlfn.XLOOKUP(Table2[[#This Row],[Adjusted Form '#]],[2]COMPLETED!$D:$D,[2]COMPLETED!$O:$O,"Not Found")</f>
        <v>Not Found</v>
      </c>
      <c r="W729" s="2" t="str">
        <f>_xlfn.XLOOKUP(Table2[[#This Row],[Adjusted Form '#]],[2]BILLED!$D:$D,[2]BILLED!$M:$M,"Not Found")</f>
        <v>1Z5063E0YW42765529</v>
      </c>
      <c r="X729" s="17" t="e">
        <f>_xlfn.XLOOKUP(Table2[[#This Row],[Adjusted Form '#]],[2]BILLED!$D:$D,[1]BILLED!$O:$O,"Not Found")</f>
        <v>#REF!</v>
      </c>
      <c r="Y729" s="17" t="e">
        <f>_xlfn.XLOOKUP(Table2[[#This Row],[Adjusted Form '#]],'[2]REJECTED ORDERS'!$D:$D,'[2]REJECTED ORDERS'!$E:$E)</f>
        <v>#N/A</v>
      </c>
      <c r="Z729" s="1"/>
      <c r="AA729" s="1"/>
      <c r="AB729" s="8"/>
      <c r="AC729" s="8"/>
      <c r="AD729" s="8"/>
      <c r="AE729" s="8"/>
      <c r="AF729" s="8"/>
      <c r="AG729" s="8"/>
      <c r="AH729" s="8"/>
      <c r="AI729" s="8"/>
      <c r="AJ729" s="8"/>
    </row>
    <row r="730" spans="1:36" ht="15" customHeight="1" x14ac:dyDescent="0.35">
      <c r="A730" s="4" t="s">
        <v>1103</v>
      </c>
      <c r="B730" s="1" t="s">
        <v>692</v>
      </c>
      <c r="C730" s="11">
        <v>45022</v>
      </c>
      <c r="D730" s="11" t="s">
        <v>5095</v>
      </c>
      <c r="E730" s="1" t="s">
        <v>14</v>
      </c>
      <c r="F730" s="1" t="s">
        <v>5096</v>
      </c>
      <c r="G730" s="6">
        <f>COUNTIF(F:F,Table2[[#This Row],[Form '#]])</f>
        <v>1</v>
      </c>
      <c r="H730" s="1" t="s">
        <v>2789</v>
      </c>
      <c r="I730" s="1" t="s">
        <v>758</v>
      </c>
      <c r="J730" s="1" t="s">
        <v>78</v>
      </c>
      <c r="K730" s="1" t="s">
        <v>3853</v>
      </c>
      <c r="L730" s="1"/>
      <c r="M730" s="6" t="str">
        <f>IF(Table2[[#This Row],[Corrected Form '#
 (If Duplicated)]]="",Table2[[#This Row],[Form '#]],Table2[[#This Row],[Corrected Form '#
 (If Duplicated)]])</f>
        <v>7810-00010</v>
      </c>
      <c r="N730" s="1" t="s">
        <v>49</v>
      </c>
      <c r="O730" s="6" t="str">
        <f>IF(Table2[[#This Row],[POG CONFIRMATION RECEIPT OF ORDER
(DATE &amp; TIME)]]="","No Confirmation","Received Confirmation")</f>
        <v>Received Confirmation</v>
      </c>
      <c r="P730" s="6">
        <f ca="1">TODAY()-Table2[[#This Row],[DATE SENT TO POG]]</f>
        <v>281</v>
      </c>
      <c r="Q730" s="6" t="s">
        <v>5803</v>
      </c>
      <c r="R7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0" s="2" t="str">
        <f>_xlfn.XLOOKUP(Table2[[#This Row],[Adjusted Form '#]],'[2]IN PROGRESS'!$D:$D,'[2]IN PROGRESS'!$M:$M,"Not Found")</f>
        <v>Not Found</v>
      </c>
      <c r="U730" s="2" t="str">
        <f>_xlfn.XLOOKUP(Table2[[#This Row],[Adjusted Form '#]],[1]COMPLETED!$D:$D,[2]COMPLETED!$M:$M,"Not Found")</f>
        <v>Not Found</v>
      </c>
      <c r="V730" s="17" t="str">
        <f>_xlfn.XLOOKUP(Table2[[#This Row],[Adjusted Form '#]],[2]COMPLETED!$D:$D,[2]COMPLETED!$O:$O,"Not Found")</f>
        <v>Not Found</v>
      </c>
      <c r="W730" s="2" t="str">
        <f>_xlfn.XLOOKUP(Table2[[#This Row],[Adjusted Form '#]],[2]BILLED!$D:$D,[2]BILLED!$M:$M,"Not Found")</f>
        <v>1Z5063E0YW40330680</v>
      </c>
      <c r="X730" s="17" t="e">
        <f>_xlfn.XLOOKUP(Table2[[#This Row],[Adjusted Form '#]],[2]BILLED!$D:$D,[1]BILLED!$O:$O,"Not Found")</f>
        <v>#REF!</v>
      </c>
      <c r="Y730" s="17" t="e">
        <f>_xlfn.XLOOKUP(Table2[[#This Row],[Adjusted Form '#]],'[2]REJECTED ORDERS'!$D:$D,'[2]REJECTED ORDERS'!$E:$E)</f>
        <v>#N/A</v>
      </c>
      <c r="Z730" s="1"/>
      <c r="AA730" s="1"/>
      <c r="AB730" s="8"/>
      <c r="AC730" s="8"/>
      <c r="AD730" s="8"/>
      <c r="AE730" s="8"/>
      <c r="AF730" s="8"/>
      <c r="AG730" s="8"/>
      <c r="AH730" s="8"/>
      <c r="AI730" s="8"/>
      <c r="AJ730" s="8"/>
    </row>
    <row r="731" spans="1:36" ht="15" customHeight="1" x14ac:dyDescent="0.35">
      <c r="A731" s="4" t="s">
        <v>1104</v>
      </c>
      <c r="B731" s="1" t="s">
        <v>692</v>
      </c>
      <c r="C731" s="11">
        <v>45022</v>
      </c>
      <c r="D731" s="11" t="s">
        <v>5095</v>
      </c>
      <c r="E731" s="1" t="s">
        <v>14</v>
      </c>
      <c r="F731" s="1" t="s">
        <v>5097</v>
      </c>
      <c r="G731" s="6">
        <f>COUNTIF(F:F,Table2[[#This Row],[Form '#]])</f>
        <v>1</v>
      </c>
      <c r="H731" s="1" t="s">
        <v>5098</v>
      </c>
      <c r="I731" s="1" t="s">
        <v>177</v>
      </c>
      <c r="J731" s="1" t="s">
        <v>75</v>
      </c>
      <c r="K731" s="1" t="s">
        <v>4011</v>
      </c>
      <c r="L731" s="1"/>
      <c r="M731" s="6" t="str">
        <f>IF(Table2[[#This Row],[Corrected Form '#
 (If Duplicated)]]="",Table2[[#This Row],[Form '#]],Table2[[#This Row],[Corrected Form '#
 (If Duplicated)]])</f>
        <v>7810-01895</v>
      </c>
      <c r="N731" s="1" t="s">
        <v>49</v>
      </c>
      <c r="O731" s="6" t="str">
        <f>IF(Table2[[#This Row],[POG CONFIRMATION RECEIPT OF ORDER
(DATE &amp; TIME)]]="","No Confirmation","Received Confirmation")</f>
        <v>Received Confirmation</v>
      </c>
      <c r="P731" s="6">
        <f ca="1">TODAY()-Table2[[#This Row],[DATE SENT TO POG]]</f>
        <v>281</v>
      </c>
      <c r="Q731" s="6" t="s">
        <v>5803</v>
      </c>
      <c r="R7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1" s="2" t="str">
        <f>_xlfn.XLOOKUP(Table2[[#This Row],[Adjusted Form '#]],'[2]IN PROGRESS'!$D:$D,'[2]IN PROGRESS'!$M:$M,"Not Found")</f>
        <v>Not Found</v>
      </c>
      <c r="U731" s="2" t="str">
        <f>_xlfn.XLOOKUP(Table2[[#This Row],[Adjusted Form '#]],[1]COMPLETED!$D:$D,[2]COMPLETED!$M:$M,"Not Found")</f>
        <v>Not Found</v>
      </c>
      <c r="V731" s="17" t="str">
        <f>_xlfn.XLOOKUP(Table2[[#This Row],[Adjusted Form '#]],[2]COMPLETED!$D:$D,[2]COMPLETED!$O:$O,"Not Found")</f>
        <v>Not Found</v>
      </c>
      <c r="W731" s="2" t="str">
        <f>_xlfn.XLOOKUP(Table2[[#This Row],[Adjusted Form '#]],[2]BILLED!$D:$D,[2]BILLED!$M:$M,"Not Found")</f>
        <v>1Z5063E0YW42627722</v>
      </c>
      <c r="X731" s="17" t="e">
        <f>_xlfn.XLOOKUP(Table2[[#This Row],[Adjusted Form '#]],[2]BILLED!$D:$D,[1]BILLED!$O:$O,"Not Found")</f>
        <v>#REF!</v>
      </c>
      <c r="Y731" s="17" t="e">
        <f>_xlfn.XLOOKUP(Table2[[#This Row],[Adjusted Form '#]],'[2]REJECTED ORDERS'!$D:$D,'[2]REJECTED ORDERS'!$E:$E)</f>
        <v>#N/A</v>
      </c>
      <c r="Z731" s="1"/>
      <c r="AA731" s="1"/>
      <c r="AB731" s="8"/>
      <c r="AC731" s="8"/>
      <c r="AD731" s="8"/>
      <c r="AE731" s="8"/>
      <c r="AF731" s="8"/>
      <c r="AG731" s="8"/>
      <c r="AH731" s="8"/>
      <c r="AI731" s="8"/>
      <c r="AJ731" s="8"/>
    </row>
    <row r="732" spans="1:36" ht="15" customHeight="1" x14ac:dyDescent="0.35">
      <c r="A732" s="4" t="s">
        <v>1106</v>
      </c>
      <c r="B732" s="1" t="s">
        <v>692</v>
      </c>
      <c r="C732" s="11">
        <v>45022</v>
      </c>
      <c r="D732" s="11" t="s">
        <v>5095</v>
      </c>
      <c r="E732" s="1" t="s">
        <v>14</v>
      </c>
      <c r="F732" s="1" t="s">
        <v>5099</v>
      </c>
      <c r="G732" s="6">
        <f>COUNTIF(F:F,Table2[[#This Row],[Form '#]])</f>
        <v>1</v>
      </c>
      <c r="H732" s="1" t="s">
        <v>1703</v>
      </c>
      <c r="I732" s="1" t="s">
        <v>3864</v>
      </c>
      <c r="J732" s="1" t="s">
        <v>3891</v>
      </c>
      <c r="K732" s="1" t="s">
        <v>3879</v>
      </c>
      <c r="L732" s="1"/>
      <c r="M732" s="6" t="str">
        <f>IF(Table2[[#This Row],[Corrected Form '#
 (If Duplicated)]]="",Table2[[#This Row],[Form '#]],Table2[[#This Row],[Corrected Form '#
 (If Duplicated)]])</f>
        <v>7810-01851</v>
      </c>
      <c r="N732" s="1" t="s">
        <v>49</v>
      </c>
      <c r="O732" s="6" t="str">
        <f>IF(Table2[[#This Row],[POG CONFIRMATION RECEIPT OF ORDER
(DATE &amp; TIME)]]="","No Confirmation","Received Confirmation")</f>
        <v>Received Confirmation</v>
      </c>
      <c r="P732" s="6">
        <f ca="1">TODAY()-Table2[[#This Row],[DATE SENT TO POG]]</f>
        <v>281</v>
      </c>
      <c r="Q732" s="6" t="s">
        <v>5803</v>
      </c>
      <c r="R7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2" s="2" t="str">
        <f>_xlfn.XLOOKUP(Table2[[#This Row],[Adjusted Form '#]],'[2]IN PROGRESS'!$D:$D,'[2]IN PROGRESS'!$M:$M,"Not Found")</f>
        <v>Not Found</v>
      </c>
      <c r="U732" s="2" t="str">
        <f>_xlfn.XLOOKUP(Table2[[#This Row],[Adjusted Form '#]],[1]COMPLETED!$D:$D,[2]COMPLETED!$M:$M,"Not Found")</f>
        <v>Not Found</v>
      </c>
      <c r="V732" s="17" t="str">
        <f>_xlfn.XLOOKUP(Table2[[#This Row],[Adjusted Form '#]],[2]COMPLETED!$D:$D,[2]COMPLETED!$O:$O,"Not Found")</f>
        <v>Not Found</v>
      </c>
      <c r="W732" s="2" t="str">
        <f>_xlfn.XLOOKUP(Table2[[#This Row],[Adjusted Form '#]],[2]BILLED!$D:$D,[2]BILLED!$M:$M,"Not Found")</f>
        <v>1Z5063E0YW41746748</v>
      </c>
      <c r="X732" s="17" t="e">
        <f>_xlfn.XLOOKUP(Table2[[#This Row],[Adjusted Form '#]],[2]BILLED!$D:$D,[1]BILLED!$O:$O,"Not Found")</f>
        <v>#REF!</v>
      </c>
      <c r="Y732" s="17" t="e">
        <f>_xlfn.XLOOKUP(Table2[[#This Row],[Adjusted Form '#]],'[2]REJECTED ORDERS'!$D:$D,'[2]REJECTED ORDERS'!$E:$E)</f>
        <v>#N/A</v>
      </c>
      <c r="Z732" s="1"/>
      <c r="AA732" s="1"/>
      <c r="AB732" s="8"/>
      <c r="AC732" s="8"/>
      <c r="AD732" s="8"/>
      <c r="AE732" s="8"/>
      <c r="AF732" s="8"/>
      <c r="AG732" s="8"/>
      <c r="AH732" s="8"/>
      <c r="AI732" s="8"/>
      <c r="AJ732" s="8"/>
    </row>
    <row r="733" spans="1:36" ht="15" customHeight="1" x14ac:dyDescent="0.35">
      <c r="A733" s="4" t="s">
        <v>1109</v>
      </c>
      <c r="B733" s="1" t="s">
        <v>692</v>
      </c>
      <c r="C733" s="11">
        <v>45022</v>
      </c>
      <c r="D733" s="11" t="s">
        <v>5095</v>
      </c>
      <c r="E733" s="1" t="s">
        <v>14</v>
      </c>
      <c r="F733" s="1" t="s">
        <v>5100</v>
      </c>
      <c r="G733" s="6">
        <f>COUNTIF(F:F,Table2[[#This Row],[Form '#]])</f>
        <v>1</v>
      </c>
      <c r="H733" s="1" t="s">
        <v>5101</v>
      </c>
      <c r="I733" s="1" t="s">
        <v>3864</v>
      </c>
      <c r="J733" s="1" t="s">
        <v>3891</v>
      </c>
      <c r="K733" s="1" t="s">
        <v>3891</v>
      </c>
      <c r="L733" s="1"/>
      <c r="M733" s="6" t="str">
        <f>IF(Table2[[#This Row],[Corrected Form '#
 (If Duplicated)]]="",Table2[[#This Row],[Form '#]],Table2[[#This Row],[Corrected Form '#
 (If Duplicated)]])</f>
        <v>7810-18966</v>
      </c>
      <c r="N733" s="1" t="s">
        <v>49</v>
      </c>
      <c r="O733" s="6" t="str">
        <f>IF(Table2[[#This Row],[POG CONFIRMATION RECEIPT OF ORDER
(DATE &amp; TIME)]]="","No Confirmation","Received Confirmation")</f>
        <v>Received Confirmation</v>
      </c>
      <c r="P733" s="6">
        <f ca="1">TODAY()-Table2[[#This Row],[DATE SENT TO POG]]</f>
        <v>281</v>
      </c>
      <c r="Q733" s="6" t="s">
        <v>5802</v>
      </c>
      <c r="R7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73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733" s="2" t="str">
        <f>_xlfn.XLOOKUP(Table2[[#This Row],[Adjusted Form '#]],'[2]IN PROGRESS'!$D:$D,'[2]IN PROGRESS'!$M:$M,"Not Found")</f>
        <v>Not Found</v>
      </c>
      <c r="U733" s="2" t="str">
        <f>_xlfn.XLOOKUP(Table2[[#This Row],[Adjusted Form '#]],[1]COMPLETED!$D:$D,[2]COMPLETED!$M:$M,"Not Found")</f>
        <v>Not Found</v>
      </c>
      <c r="V733" s="17" t="str">
        <f>_xlfn.XLOOKUP(Table2[[#This Row],[Adjusted Form '#]],[2]COMPLETED!$D:$D,[2]COMPLETED!$O:$O,"Not Found")</f>
        <v>Not Found</v>
      </c>
      <c r="W733" s="2" t="str">
        <f>_xlfn.XLOOKUP(Table2[[#This Row],[Adjusted Form '#]],[2]BILLED!$D:$D,[2]BILLED!$M:$M,"Not Found")</f>
        <v>Not Found</v>
      </c>
      <c r="X733" s="17" t="str">
        <f>_xlfn.XLOOKUP(Table2[[#This Row],[Adjusted Form '#]],[2]BILLED!$D:$D,[1]BILLED!$O:$O,"Not Found")</f>
        <v>Not Found</v>
      </c>
      <c r="Y733" s="17" t="e">
        <f>_xlfn.XLOOKUP(Table2[[#This Row],[Adjusted Form '#]],'[2]REJECTED ORDERS'!$D:$D,'[2]REJECTED ORDERS'!$E:$E)</f>
        <v>#N/A</v>
      </c>
      <c r="Z733" s="1"/>
      <c r="AA733" s="1"/>
      <c r="AB733" s="8"/>
      <c r="AC733" s="8"/>
      <c r="AD733" s="8"/>
      <c r="AE733" s="8"/>
      <c r="AF733" s="8"/>
      <c r="AG733" s="8"/>
      <c r="AH733" s="8"/>
      <c r="AI733" s="8"/>
      <c r="AJ733" s="8"/>
    </row>
    <row r="734" spans="1:36" ht="15" customHeight="1" x14ac:dyDescent="0.35">
      <c r="A734" s="4" t="s">
        <v>1110</v>
      </c>
      <c r="B734" s="1" t="s">
        <v>692</v>
      </c>
      <c r="C734" s="11">
        <v>45022</v>
      </c>
      <c r="D734" s="11" t="s">
        <v>5095</v>
      </c>
      <c r="E734" s="1" t="s">
        <v>14</v>
      </c>
      <c r="F734" s="1" t="s">
        <v>5102</v>
      </c>
      <c r="G734" s="6">
        <f>COUNTIF(F:F,Table2[[#This Row],[Form '#]])</f>
        <v>2</v>
      </c>
      <c r="H734" s="1" t="s">
        <v>5103</v>
      </c>
      <c r="I734" s="1" t="s">
        <v>106</v>
      </c>
      <c r="J734" s="1" t="s">
        <v>72</v>
      </c>
      <c r="K734" s="1" t="s">
        <v>3891</v>
      </c>
      <c r="L734" s="1"/>
      <c r="M734" s="6" t="str">
        <f>IF(Table2[[#This Row],[Corrected Form '#
 (If Duplicated)]]="",Table2[[#This Row],[Form '#]],Table2[[#This Row],[Corrected Form '#
 (If Duplicated)]])</f>
        <v>7810-01206</v>
      </c>
      <c r="N734" s="1" t="s">
        <v>49</v>
      </c>
      <c r="O734" s="6" t="str">
        <f>IF(Table2[[#This Row],[POG CONFIRMATION RECEIPT OF ORDER
(DATE &amp; TIME)]]="","No Confirmation","Received Confirmation")</f>
        <v>Received Confirmation</v>
      </c>
      <c r="P734" s="6">
        <f ca="1">TODAY()-Table2[[#This Row],[DATE SENT TO POG]]</f>
        <v>281</v>
      </c>
      <c r="Q734" s="6" t="s">
        <v>5803</v>
      </c>
      <c r="R7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4" s="2" t="str">
        <f>_xlfn.XLOOKUP(Table2[[#This Row],[Adjusted Form '#]],'[2]IN PROGRESS'!$D:$D,'[2]IN PROGRESS'!$M:$M,"Not Found")</f>
        <v>Not Found</v>
      </c>
      <c r="U734" s="2" t="str">
        <f>_xlfn.XLOOKUP(Table2[[#This Row],[Adjusted Form '#]],[1]COMPLETED!$D:$D,[2]COMPLETED!$M:$M,"Not Found")</f>
        <v>Not Found</v>
      </c>
      <c r="V734" s="17" t="str">
        <f>_xlfn.XLOOKUP(Table2[[#This Row],[Adjusted Form '#]],[2]COMPLETED!$D:$D,[2]COMPLETED!$O:$O,"Not Found")</f>
        <v>Not Found</v>
      </c>
      <c r="W734" s="2" t="str">
        <f>_xlfn.XLOOKUP(Table2[[#This Row],[Adjusted Form '#]],[2]BILLED!$D:$D,[2]BILLED!$M:$M,"Not Found")</f>
        <v>1Z5063E0YW40853786</v>
      </c>
      <c r="X734" s="17" t="e">
        <f>_xlfn.XLOOKUP(Table2[[#This Row],[Adjusted Form '#]],[2]BILLED!$D:$D,[1]BILLED!$O:$O,"Not Found")</f>
        <v>#REF!</v>
      </c>
      <c r="Y734" s="17" t="e">
        <f>_xlfn.XLOOKUP(Table2[[#This Row],[Adjusted Form '#]],'[2]REJECTED ORDERS'!$D:$D,'[2]REJECTED ORDERS'!$E:$E)</f>
        <v>#N/A</v>
      </c>
      <c r="Z734" s="1"/>
      <c r="AA734" s="1"/>
      <c r="AB734" s="8"/>
      <c r="AC734" s="8"/>
      <c r="AD734" s="8"/>
      <c r="AE734" s="8"/>
      <c r="AF734" s="8"/>
      <c r="AG734" s="8"/>
      <c r="AH734" s="8"/>
      <c r="AI734" s="8"/>
      <c r="AJ734" s="8"/>
    </row>
    <row r="735" spans="1:36" ht="15" customHeight="1" x14ac:dyDescent="0.35">
      <c r="A735" s="4" t="s">
        <v>1112</v>
      </c>
      <c r="B735" s="1" t="s">
        <v>2802</v>
      </c>
      <c r="C735" s="11">
        <v>45022</v>
      </c>
      <c r="D735" s="11" t="s">
        <v>5104</v>
      </c>
      <c r="E735" s="1" t="s">
        <v>73</v>
      </c>
      <c r="F735" s="1" t="s">
        <v>5105</v>
      </c>
      <c r="G735" s="6">
        <f>COUNTIF(F:F,Table2[[#This Row],[Form '#]])</f>
        <v>1</v>
      </c>
      <c r="H735" s="1" t="s">
        <v>5106</v>
      </c>
      <c r="I735" s="1" t="s">
        <v>3852</v>
      </c>
      <c r="J735" s="1" t="s">
        <v>80</v>
      </c>
      <c r="K735" s="1" t="s">
        <v>3853</v>
      </c>
      <c r="L735" s="1"/>
      <c r="M735" s="6" t="str">
        <f>IF(Table2[[#This Row],[Corrected Form '#
 (If Duplicated)]]="",Table2[[#This Row],[Form '#]],Table2[[#This Row],[Corrected Form '#
 (If Duplicated)]])</f>
        <v>7823-03026</v>
      </c>
      <c r="N735" s="1" t="s">
        <v>49</v>
      </c>
      <c r="O735" s="6" t="str">
        <f>IF(Table2[[#This Row],[POG CONFIRMATION RECEIPT OF ORDER
(DATE &amp; TIME)]]="","No Confirmation","Received Confirmation")</f>
        <v>Received Confirmation</v>
      </c>
      <c r="P735" s="6">
        <f ca="1">TODAY()-Table2[[#This Row],[DATE SENT TO POG]]</f>
        <v>281</v>
      </c>
      <c r="Q735" s="6" t="s">
        <v>5803</v>
      </c>
      <c r="R7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5" s="2" t="str">
        <f>_xlfn.XLOOKUP(Table2[[#This Row],[Adjusted Form '#]],'[2]IN PROGRESS'!$D:$D,'[2]IN PROGRESS'!$M:$M,"Not Found")</f>
        <v>Not Found</v>
      </c>
      <c r="U735" s="2" t="str">
        <f>_xlfn.XLOOKUP(Table2[[#This Row],[Adjusted Form '#]],[1]COMPLETED!$D:$D,[2]COMPLETED!$M:$M,"Not Found")</f>
        <v>Not Found</v>
      </c>
      <c r="V735" s="17" t="str">
        <f>_xlfn.XLOOKUP(Table2[[#This Row],[Adjusted Form '#]],[2]COMPLETED!$D:$D,[2]COMPLETED!$O:$O,"Not Found")</f>
        <v>Not Found</v>
      </c>
      <c r="W735" s="2" t="str">
        <f>_xlfn.XLOOKUP(Table2[[#This Row],[Adjusted Form '#]],[2]BILLED!$D:$D,[2]BILLED!$M:$M,"Not Found")</f>
        <v>1Z5063E0YW41747498</v>
      </c>
      <c r="X735" s="17" t="e">
        <f>_xlfn.XLOOKUP(Table2[[#This Row],[Adjusted Form '#]],[2]BILLED!$D:$D,[1]BILLED!$O:$O,"Not Found")</f>
        <v>#REF!</v>
      </c>
      <c r="Y735" s="17" t="e">
        <f>_xlfn.XLOOKUP(Table2[[#This Row],[Adjusted Form '#]],'[2]REJECTED ORDERS'!$D:$D,'[2]REJECTED ORDERS'!$E:$E)</f>
        <v>#N/A</v>
      </c>
      <c r="Z735" s="1"/>
      <c r="AA735" s="1"/>
      <c r="AB735" s="8"/>
      <c r="AC735" s="8"/>
      <c r="AD735" s="8"/>
      <c r="AE735" s="8"/>
      <c r="AF735" s="8"/>
      <c r="AG735" s="8"/>
      <c r="AH735" s="8"/>
      <c r="AI735" s="8"/>
      <c r="AJ735" s="8"/>
    </row>
    <row r="736" spans="1:36" ht="15" customHeight="1" x14ac:dyDescent="0.35">
      <c r="A736" s="4" t="s">
        <v>1113</v>
      </c>
      <c r="B736" s="1" t="s">
        <v>1029</v>
      </c>
      <c r="C736" s="11">
        <v>45022</v>
      </c>
      <c r="D736" s="11" t="s">
        <v>5104</v>
      </c>
      <c r="E736" s="1" t="s">
        <v>21</v>
      </c>
      <c r="F736" s="1" t="s">
        <v>5107</v>
      </c>
      <c r="G736" s="6">
        <f>COUNTIF(F:F,Table2[[#This Row],[Form '#]])</f>
        <v>1</v>
      </c>
      <c r="H736" s="1" t="s">
        <v>3549</v>
      </c>
      <c r="I736" s="1" t="s">
        <v>127</v>
      </c>
      <c r="J736" s="1" t="s">
        <v>76</v>
      </c>
      <c r="K736" s="1" t="s">
        <v>3883</v>
      </c>
      <c r="L736" s="1"/>
      <c r="M736" s="6" t="str">
        <f>IF(Table2[[#This Row],[Corrected Form '#
 (If Duplicated)]]="",Table2[[#This Row],[Form '#]],Table2[[#This Row],[Corrected Form '#
 (If Duplicated)]])</f>
        <v>7818-29401</v>
      </c>
      <c r="N736" s="1" t="s">
        <v>49</v>
      </c>
      <c r="O736" s="6" t="str">
        <f>IF(Table2[[#This Row],[POG CONFIRMATION RECEIPT OF ORDER
(DATE &amp; TIME)]]="","No Confirmation","Received Confirmation")</f>
        <v>Received Confirmation</v>
      </c>
      <c r="P736" s="6">
        <f ca="1">TODAY()-Table2[[#This Row],[DATE SENT TO POG]]</f>
        <v>281</v>
      </c>
      <c r="Q736" s="6" t="s">
        <v>5803</v>
      </c>
      <c r="R7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6" s="2" t="str">
        <f>_xlfn.XLOOKUP(Table2[[#This Row],[Adjusted Form '#]],'[2]IN PROGRESS'!$D:$D,'[2]IN PROGRESS'!$M:$M,"Not Found")</f>
        <v>Not Found</v>
      </c>
      <c r="U736" s="2" t="str">
        <f>_xlfn.XLOOKUP(Table2[[#This Row],[Adjusted Form '#]],[1]COMPLETED!$D:$D,[2]COMPLETED!$M:$M,"Not Found")</f>
        <v>Not Found</v>
      </c>
      <c r="V736" s="17" t="str">
        <f>_xlfn.XLOOKUP(Table2[[#This Row],[Adjusted Form '#]],[2]COMPLETED!$D:$D,[2]COMPLETED!$O:$O,"Not Found")</f>
        <v>Not Found</v>
      </c>
      <c r="W736" s="2" t="str">
        <f>_xlfn.XLOOKUP(Table2[[#This Row],[Adjusted Form '#]],[2]BILLED!$D:$D,[2]BILLED!$M:$M,"Not Found")</f>
        <v>1Z5063E0YW41025151</v>
      </c>
      <c r="X736" s="17" t="e">
        <f>_xlfn.XLOOKUP(Table2[[#This Row],[Adjusted Form '#]],[2]BILLED!$D:$D,[1]BILLED!$O:$O,"Not Found")</f>
        <v>#REF!</v>
      </c>
      <c r="Y736" s="17" t="e">
        <f>_xlfn.XLOOKUP(Table2[[#This Row],[Adjusted Form '#]],'[2]REJECTED ORDERS'!$D:$D,'[2]REJECTED ORDERS'!$E:$E)</f>
        <v>#N/A</v>
      </c>
      <c r="Z736" s="1"/>
      <c r="AA736" s="1"/>
      <c r="AB736" s="8"/>
      <c r="AC736" s="8"/>
      <c r="AD736" s="8"/>
      <c r="AE736" s="8"/>
      <c r="AF736" s="8"/>
      <c r="AG736" s="8"/>
      <c r="AH736" s="8"/>
      <c r="AI736" s="8"/>
      <c r="AJ736" s="8"/>
    </row>
    <row r="737" spans="1:36" ht="15" customHeight="1" x14ac:dyDescent="0.35">
      <c r="A737" s="4" t="s">
        <v>1114</v>
      </c>
      <c r="B737" s="1" t="s">
        <v>1029</v>
      </c>
      <c r="C737" s="11">
        <v>45022</v>
      </c>
      <c r="D737" s="11" t="s">
        <v>5104</v>
      </c>
      <c r="E737" s="1" t="s">
        <v>21</v>
      </c>
      <c r="F737" s="1" t="s">
        <v>5108</v>
      </c>
      <c r="G737" s="6">
        <f>COUNTIF(F:F,Table2[[#This Row],[Form '#]])</f>
        <v>1</v>
      </c>
      <c r="H737" s="1" t="s">
        <v>5109</v>
      </c>
      <c r="I737" s="1" t="s">
        <v>177</v>
      </c>
      <c r="J737" s="1" t="s">
        <v>75</v>
      </c>
      <c r="K737" s="1" t="s">
        <v>3853</v>
      </c>
      <c r="L737" s="1"/>
      <c r="M737" s="6" t="str">
        <f>IF(Table2[[#This Row],[Corrected Form '#
 (If Duplicated)]]="",Table2[[#This Row],[Form '#]],Table2[[#This Row],[Corrected Form '#
 (If Duplicated)]])</f>
        <v>7818-21251</v>
      </c>
      <c r="N737" s="1" t="s">
        <v>49</v>
      </c>
      <c r="O737" s="6" t="str">
        <f>IF(Table2[[#This Row],[POG CONFIRMATION RECEIPT OF ORDER
(DATE &amp; TIME)]]="","No Confirmation","Received Confirmation")</f>
        <v>Received Confirmation</v>
      </c>
      <c r="P737" s="6">
        <f ca="1">TODAY()-Table2[[#This Row],[DATE SENT TO POG]]</f>
        <v>281</v>
      </c>
      <c r="Q737" s="6" t="s">
        <v>5803</v>
      </c>
      <c r="R7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7" s="2" t="str">
        <f>_xlfn.XLOOKUP(Table2[[#This Row],[Adjusted Form '#]],'[2]IN PROGRESS'!$D:$D,'[2]IN PROGRESS'!$M:$M,"Not Found")</f>
        <v>Not Found</v>
      </c>
      <c r="U737" s="2" t="str">
        <f>_xlfn.XLOOKUP(Table2[[#This Row],[Adjusted Form '#]],[1]COMPLETED!$D:$D,[2]COMPLETED!$M:$M,"Not Found")</f>
        <v>Not Found</v>
      </c>
      <c r="V737" s="17" t="str">
        <f>_xlfn.XLOOKUP(Table2[[#This Row],[Adjusted Form '#]],[2]COMPLETED!$D:$D,[2]COMPLETED!$O:$O,"Not Found")</f>
        <v>Not Found</v>
      </c>
      <c r="W737" s="2" t="str">
        <f>_xlfn.XLOOKUP(Table2[[#This Row],[Adjusted Form '#]],[2]BILLED!$D:$D,[2]BILLED!$M:$M,"Not Found")</f>
        <v>1Z5063E0YW40006343</v>
      </c>
      <c r="X737" s="17" t="e">
        <f>_xlfn.XLOOKUP(Table2[[#This Row],[Adjusted Form '#]],[2]BILLED!$D:$D,[1]BILLED!$O:$O,"Not Found")</f>
        <v>#REF!</v>
      </c>
      <c r="Y737" s="17" t="e">
        <f>_xlfn.XLOOKUP(Table2[[#This Row],[Adjusted Form '#]],'[2]REJECTED ORDERS'!$D:$D,'[2]REJECTED ORDERS'!$E:$E)</f>
        <v>#N/A</v>
      </c>
      <c r="Z737" s="1"/>
      <c r="AA737" s="1"/>
      <c r="AB737" s="8"/>
      <c r="AC737" s="8"/>
      <c r="AD737" s="8"/>
      <c r="AE737" s="8"/>
      <c r="AF737" s="8"/>
      <c r="AG737" s="8"/>
      <c r="AH737" s="8"/>
      <c r="AI737" s="8"/>
      <c r="AJ737" s="8"/>
    </row>
    <row r="738" spans="1:36" ht="15" customHeight="1" x14ac:dyDescent="0.35">
      <c r="A738" s="4" t="s">
        <v>1115</v>
      </c>
      <c r="B738" s="1" t="s">
        <v>1029</v>
      </c>
      <c r="C738" s="11">
        <v>45022</v>
      </c>
      <c r="D738" s="11" t="s">
        <v>5104</v>
      </c>
      <c r="E738" s="1" t="s">
        <v>21</v>
      </c>
      <c r="F738" s="1" t="s">
        <v>5110</v>
      </c>
      <c r="G738" s="6">
        <f>COUNTIF(F:F,Table2[[#This Row],[Form '#]])</f>
        <v>1</v>
      </c>
      <c r="H738" s="1" t="s">
        <v>5111</v>
      </c>
      <c r="I738" s="1" t="s">
        <v>758</v>
      </c>
      <c r="J738" s="1" t="s">
        <v>78</v>
      </c>
      <c r="K738" s="1" t="s">
        <v>3853</v>
      </c>
      <c r="L738" s="1"/>
      <c r="M738" s="6" t="str">
        <f>IF(Table2[[#This Row],[Corrected Form '#
 (If Duplicated)]]="",Table2[[#This Row],[Form '#]],Table2[[#This Row],[Corrected Form '#
 (If Duplicated)]])</f>
        <v>7818-27309</v>
      </c>
      <c r="N738" s="1" t="s">
        <v>49</v>
      </c>
      <c r="O738" s="6" t="str">
        <f>IF(Table2[[#This Row],[POG CONFIRMATION RECEIPT OF ORDER
(DATE &amp; TIME)]]="","No Confirmation","Received Confirmation")</f>
        <v>Received Confirmation</v>
      </c>
      <c r="P738" s="6">
        <f ca="1">TODAY()-Table2[[#This Row],[DATE SENT TO POG]]</f>
        <v>281</v>
      </c>
      <c r="Q738" s="6" t="s">
        <v>5803</v>
      </c>
      <c r="R7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8" s="2" t="str">
        <f>_xlfn.XLOOKUP(Table2[[#This Row],[Adjusted Form '#]],'[2]IN PROGRESS'!$D:$D,'[2]IN PROGRESS'!$M:$M,"Not Found")</f>
        <v>Not Found</v>
      </c>
      <c r="U738" s="2" t="str">
        <f>_xlfn.XLOOKUP(Table2[[#This Row],[Adjusted Form '#]],[1]COMPLETED!$D:$D,[2]COMPLETED!$M:$M,"Not Found")</f>
        <v>Not Found</v>
      </c>
      <c r="V738" s="17" t="str">
        <f>_xlfn.XLOOKUP(Table2[[#This Row],[Adjusted Form '#]],[2]COMPLETED!$D:$D,[2]COMPLETED!$O:$O,"Not Found")</f>
        <v>Not Found</v>
      </c>
      <c r="W738" s="2" t="str">
        <f>_xlfn.XLOOKUP(Table2[[#This Row],[Adjusted Form '#]],[2]BILLED!$D:$D,[2]BILLED!$M:$M,"Not Found")</f>
        <v>1Z5063E0YW41811202</v>
      </c>
      <c r="X738" s="17" t="e">
        <f>_xlfn.XLOOKUP(Table2[[#This Row],[Adjusted Form '#]],[2]BILLED!$D:$D,[1]BILLED!$O:$O,"Not Found")</f>
        <v>#REF!</v>
      </c>
      <c r="Y738" s="17" t="e">
        <f>_xlfn.XLOOKUP(Table2[[#This Row],[Adjusted Form '#]],'[2]REJECTED ORDERS'!$D:$D,'[2]REJECTED ORDERS'!$E:$E)</f>
        <v>#N/A</v>
      </c>
      <c r="Z738" s="1"/>
      <c r="AA738" s="1"/>
      <c r="AB738" s="8"/>
      <c r="AC738" s="8"/>
      <c r="AD738" s="8"/>
      <c r="AE738" s="8"/>
      <c r="AF738" s="8"/>
      <c r="AG738" s="8"/>
      <c r="AH738" s="8"/>
      <c r="AI738" s="8"/>
      <c r="AJ738" s="8"/>
    </row>
    <row r="739" spans="1:36" ht="15" customHeight="1" x14ac:dyDescent="0.35">
      <c r="A739" s="4" t="s">
        <v>1116</v>
      </c>
      <c r="B739" s="1" t="s">
        <v>998</v>
      </c>
      <c r="C739" s="11">
        <v>45022</v>
      </c>
      <c r="E739" s="1" t="s">
        <v>21</v>
      </c>
      <c r="F739" s="1" t="s">
        <v>5112</v>
      </c>
      <c r="G739" s="6">
        <f>COUNTIF(F:F,Table2[[#This Row],[Form '#]])</f>
        <v>1</v>
      </c>
      <c r="H739" s="1" t="s">
        <v>4382</v>
      </c>
      <c r="I739" s="1" t="s">
        <v>177</v>
      </c>
      <c r="J739" s="1" t="s">
        <v>69</v>
      </c>
      <c r="K739" s="1" t="s">
        <v>3853</v>
      </c>
      <c r="L739" s="1"/>
      <c r="M739" s="6" t="str">
        <f>IF(Table2[[#This Row],[Corrected Form '#
 (If Duplicated)]]="",Table2[[#This Row],[Form '#]],Table2[[#This Row],[Corrected Form '#
 (If Duplicated)]])</f>
        <v>7818-29402</v>
      </c>
      <c r="N739" s="1" t="s">
        <v>49</v>
      </c>
      <c r="O739" s="6" t="str">
        <f>IF(Table2[[#This Row],[POG CONFIRMATION RECEIPT OF ORDER
(DATE &amp; TIME)]]="","No Confirmation","Received Confirmation")</f>
        <v>No Confirmation</v>
      </c>
      <c r="P739" s="6">
        <f ca="1">TODAY()-Table2[[#This Row],[DATE SENT TO POG]]</f>
        <v>281</v>
      </c>
      <c r="Q739" s="6" t="s">
        <v>5803</v>
      </c>
      <c r="R7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39" s="2" t="str">
        <f>_xlfn.XLOOKUP(Table2[[#This Row],[Adjusted Form '#]],'[2]IN PROGRESS'!$D:$D,'[2]IN PROGRESS'!$M:$M,"Not Found")</f>
        <v>Not Found</v>
      </c>
      <c r="U739" s="2" t="str">
        <f>_xlfn.XLOOKUP(Table2[[#This Row],[Adjusted Form '#]],[1]COMPLETED!$D:$D,[2]COMPLETED!$M:$M,"Not Found")</f>
        <v>Not Found</v>
      </c>
      <c r="V739" s="17" t="str">
        <f>_xlfn.XLOOKUP(Table2[[#This Row],[Adjusted Form '#]],[2]COMPLETED!$D:$D,[2]COMPLETED!$O:$O,"Not Found")</f>
        <v>Not Found</v>
      </c>
      <c r="W739" s="2" t="str">
        <f>_xlfn.XLOOKUP(Table2[[#This Row],[Adjusted Form '#]],[2]BILLED!$D:$D,[2]BILLED!$M:$M,"Not Found")</f>
        <v>9402 1112 0620 7777 4005 34</v>
      </c>
      <c r="X739" s="17" t="e">
        <f>_xlfn.XLOOKUP(Table2[[#This Row],[Adjusted Form '#]],[2]BILLED!$D:$D,[1]BILLED!$O:$O,"Not Found")</f>
        <v>#REF!</v>
      </c>
      <c r="Y739" s="17" t="str">
        <f>_xlfn.XLOOKUP(Table2[[#This Row],[Adjusted Form '#]],'[2]REJECTED ORDERS'!$D:$D,'[2]REJECTED ORDERS'!$E:$E)</f>
        <v>FORM NUMBER ALREADY USED</v>
      </c>
      <c r="Z739" s="1"/>
      <c r="AA739" s="1"/>
      <c r="AB739" s="8"/>
      <c r="AC739" s="8"/>
      <c r="AD739" s="8"/>
      <c r="AE739" s="8"/>
      <c r="AF739" s="8"/>
      <c r="AG739" s="8"/>
      <c r="AH739" s="8"/>
      <c r="AI739" s="8"/>
      <c r="AJ739" s="8"/>
    </row>
    <row r="740" spans="1:36" ht="15" customHeight="1" x14ac:dyDescent="0.35">
      <c r="A740" s="4" t="s">
        <v>1119</v>
      </c>
      <c r="B740" s="1" t="s">
        <v>673</v>
      </c>
      <c r="C740" s="11">
        <v>45022</v>
      </c>
      <c r="D740" s="11" t="s">
        <v>5113</v>
      </c>
      <c r="E740" s="1" t="s">
        <v>21</v>
      </c>
      <c r="F740" s="1" t="s">
        <v>5114</v>
      </c>
      <c r="G740" s="6">
        <f>COUNTIF(F:F,Table2[[#This Row],[Form '#]])</f>
        <v>1</v>
      </c>
      <c r="H740" s="1" t="s">
        <v>5115</v>
      </c>
      <c r="I740" s="1" t="s">
        <v>3852</v>
      </c>
      <c r="J740" s="1" t="s">
        <v>75</v>
      </c>
      <c r="K740" s="1" t="s">
        <v>4430</v>
      </c>
      <c r="L740" s="1"/>
      <c r="M740" s="6" t="str">
        <f>IF(Table2[[#This Row],[Corrected Form '#
 (If Duplicated)]]="",Table2[[#This Row],[Form '#]],Table2[[#This Row],[Corrected Form '#
 (If Duplicated)]])</f>
        <v>7818-22023</v>
      </c>
      <c r="N740" s="1" t="s">
        <v>49</v>
      </c>
      <c r="O740" s="6" t="str">
        <f>IF(Table2[[#This Row],[POG CONFIRMATION RECEIPT OF ORDER
(DATE &amp; TIME)]]="","No Confirmation","Received Confirmation")</f>
        <v>Received Confirmation</v>
      </c>
      <c r="P740" s="6">
        <f ca="1">TODAY()-Table2[[#This Row],[DATE SENT TO POG]]</f>
        <v>281</v>
      </c>
      <c r="Q740" s="6" t="s">
        <v>5803</v>
      </c>
      <c r="R7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0" s="2" t="str">
        <f>_xlfn.XLOOKUP(Table2[[#This Row],[Adjusted Form '#]],'[2]IN PROGRESS'!$D:$D,'[2]IN PROGRESS'!$M:$M,"Not Found")</f>
        <v>Not Found</v>
      </c>
      <c r="U740" s="2" t="str">
        <f>_xlfn.XLOOKUP(Table2[[#This Row],[Adjusted Form '#]],[1]COMPLETED!$D:$D,[2]COMPLETED!$M:$M,"Not Found")</f>
        <v>Not Found</v>
      </c>
      <c r="V740" s="17" t="str">
        <f>_xlfn.XLOOKUP(Table2[[#This Row],[Adjusted Form '#]],[2]COMPLETED!$D:$D,[2]COMPLETED!$O:$O,"Not Found")</f>
        <v>Not Found</v>
      </c>
      <c r="W740" s="2" t="str">
        <f>_xlfn.XLOOKUP(Table2[[#This Row],[Adjusted Form '#]],[2]BILLED!$D:$D,[2]BILLED!$M:$M,"Not Found")</f>
        <v>1Z5063E0YW41711534</v>
      </c>
      <c r="X740" s="17" t="e">
        <f>_xlfn.XLOOKUP(Table2[[#This Row],[Adjusted Form '#]],[2]BILLED!$D:$D,[1]BILLED!$O:$O,"Not Found")</f>
        <v>#REF!</v>
      </c>
      <c r="Y740" s="17" t="e">
        <f>_xlfn.XLOOKUP(Table2[[#This Row],[Adjusted Form '#]],'[2]REJECTED ORDERS'!$D:$D,'[2]REJECTED ORDERS'!$E:$E)</f>
        <v>#N/A</v>
      </c>
      <c r="Z740" s="1"/>
      <c r="AA740" s="1"/>
      <c r="AB740" s="8"/>
      <c r="AC740" s="8"/>
      <c r="AD740" s="8"/>
      <c r="AE740" s="8"/>
      <c r="AF740" s="8"/>
      <c r="AG740" s="8"/>
      <c r="AH740" s="8"/>
      <c r="AI740" s="8"/>
      <c r="AJ740" s="8"/>
    </row>
    <row r="741" spans="1:36" ht="15" customHeight="1" x14ac:dyDescent="0.35">
      <c r="A741" s="4" t="s">
        <v>1121</v>
      </c>
      <c r="B741" s="1" t="s">
        <v>673</v>
      </c>
      <c r="C741" s="11">
        <v>45022</v>
      </c>
      <c r="D741" s="11" t="s">
        <v>5113</v>
      </c>
      <c r="E741" s="1" t="s">
        <v>21</v>
      </c>
      <c r="F741" s="1" t="s">
        <v>5116</v>
      </c>
      <c r="G741" s="6">
        <f>COUNTIF(F:F,Table2[[#This Row],[Form '#]])</f>
        <v>1</v>
      </c>
      <c r="H741" s="1" t="s">
        <v>401</v>
      </c>
      <c r="I741" s="1" t="s">
        <v>3864</v>
      </c>
      <c r="J741" s="1" t="s">
        <v>78</v>
      </c>
      <c r="K741" s="1" t="s">
        <v>3879</v>
      </c>
      <c r="L741" s="1"/>
      <c r="M741" s="6" t="str">
        <f>IF(Table2[[#This Row],[Corrected Form '#
 (If Duplicated)]]="",Table2[[#This Row],[Form '#]],Table2[[#This Row],[Corrected Form '#
 (If Duplicated)]])</f>
        <v>7818-15603</v>
      </c>
      <c r="N741" s="1" t="s">
        <v>49</v>
      </c>
      <c r="O741" s="6" t="str">
        <f>IF(Table2[[#This Row],[POG CONFIRMATION RECEIPT OF ORDER
(DATE &amp; TIME)]]="","No Confirmation","Received Confirmation")</f>
        <v>Received Confirmation</v>
      </c>
      <c r="P741" s="6">
        <f ca="1">TODAY()-Table2[[#This Row],[DATE SENT TO POG]]</f>
        <v>281</v>
      </c>
      <c r="Q741" s="6" t="s">
        <v>5803</v>
      </c>
      <c r="R7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1" s="2" t="str">
        <f>_xlfn.XLOOKUP(Table2[[#This Row],[Adjusted Form '#]],'[2]IN PROGRESS'!$D:$D,'[2]IN PROGRESS'!$M:$M,"Not Found")</f>
        <v>Not Found</v>
      </c>
      <c r="U741" s="2" t="str">
        <f>_xlfn.XLOOKUP(Table2[[#This Row],[Adjusted Form '#]],[1]COMPLETED!$D:$D,[2]COMPLETED!$M:$M,"Not Found")</f>
        <v>Not Found</v>
      </c>
      <c r="V741" s="17" t="str">
        <f>_xlfn.XLOOKUP(Table2[[#This Row],[Adjusted Form '#]],[2]COMPLETED!$D:$D,[2]COMPLETED!$O:$O,"Not Found")</f>
        <v>Not Found</v>
      </c>
      <c r="W741" s="2" t="str">
        <f>_xlfn.XLOOKUP(Table2[[#This Row],[Adjusted Form '#]],[2]BILLED!$D:$D,[2]BILLED!$M:$M,"Not Found")</f>
        <v>1Z5063E0YW42627188</v>
      </c>
      <c r="X741" s="17" t="e">
        <f>_xlfn.XLOOKUP(Table2[[#This Row],[Adjusted Form '#]],[2]BILLED!$D:$D,[1]BILLED!$O:$O,"Not Found")</f>
        <v>#REF!</v>
      </c>
      <c r="Y741" s="17" t="e">
        <f>_xlfn.XLOOKUP(Table2[[#This Row],[Adjusted Form '#]],'[2]REJECTED ORDERS'!$D:$D,'[2]REJECTED ORDERS'!$E:$E)</f>
        <v>#N/A</v>
      </c>
      <c r="Z741" s="1"/>
      <c r="AA741" s="1"/>
      <c r="AB741" s="8"/>
      <c r="AC741" s="8"/>
      <c r="AD741" s="8"/>
      <c r="AE741" s="8"/>
      <c r="AF741" s="8"/>
      <c r="AG741" s="8"/>
      <c r="AH741" s="8"/>
      <c r="AI741" s="8"/>
      <c r="AJ741" s="8"/>
    </row>
    <row r="742" spans="1:36" ht="15" customHeight="1" x14ac:dyDescent="0.35">
      <c r="A742" s="4" t="s">
        <v>1122</v>
      </c>
      <c r="B742" s="1" t="s">
        <v>709</v>
      </c>
      <c r="C742" s="11">
        <v>45023</v>
      </c>
      <c r="D742" s="11" t="s">
        <v>5117</v>
      </c>
      <c r="E742" s="1" t="s">
        <v>21</v>
      </c>
      <c r="F742" s="1" t="s">
        <v>5118</v>
      </c>
      <c r="G742" s="6">
        <f>COUNTIF(F:F,Table2[[#This Row],[Form '#]])</f>
        <v>1</v>
      </c>
      <c r="H742" s="1" t="s">
        <v>5119</v>
      </c>
      <c r="I742" s="1" t="s">
        <v>127</v>
      </c>
      <c r="J742" s="1" t="s">
        <v>76</v>
      </c>
      <c r="K742" s="1" t="s">
        <v>4011</v>
      </c>
      <c r="L742" s="1"/>
      <c r="M742" s="6" t="str">
        <f>IF(Table2[[#This Row],[Corrected Form '#
 (If Duplicated)]]="",Table2[[#This Row],[Form '#]],Table2[[#This Row],[Corrected Form '#
 (If Duplicated)]])</f>
        <v>7818-15458</v>
      </c>
      <c r="N742" s="1" t="s">
        <v>49</v>
      </c>
      <c r="O742" s="6" t="str">
        <f>IF(Table2[[#This Row],[POG CONFIRMATION RECEIPT OF ORDER
(DATE &amp; TIME)]]="","No Confirmation","Received Confirmation")</f>
        <v>Received Confirmation</v>
      </c>
      <c r="P742" s="6">
        <f ca="1">TODAY()-Table2[[#This Row],[DATE SENT TO POG]]</f>
        <v>280</v>
      </c>
      <c r="Q742" s="6" t="s">
        <v>5803</v>
      </c>
      <c r="R7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2" s="2" t="str">
        <f>_xlfn.XLOOKUP(Table2[[#This Row],[Adjusted Form '#]],'[2]IN PROGRESS'!$D:$D,'[2]IN PROGRESS'!$M:$M,"Not Found")</f>
        <v>Not Found</v>
      </c>
      <c r="U742" s="2" t="str">
        <f>_xlfn.XLOOKUP(Table2[[#This Row],[Adjusted Form '#]],[1]COMPLETED!$D:$D,[2]COMPLETED!$M:$M,"Not Found")</f>
        <v>Not Found</v>
      </c>
      <c r="V742" s="17" t="str">
        <f>_xlfn.XLOOKUP(Table2[[#This Row],[Adjusted Form '#]],[2]COMPLETED!$D:$D,[2]COMPLETED!$O:$O,"Not Found")</f>
        <v>Not Found</v>
      </c>
      <c r="W742" s="2" t="str">
        <f>_xlfn.XLOOKUP(Table2[[#This Row],[Adjusted Form '#]],[2]BILLED!$D:$D,[2]BILLED!$M:$M,"Not Found")</f>
        <v>1Z5063E0YW40694636</v>
      </c>
      <c r="X742" s="17" t="e">
        <f>_xlfn.XLOOKUP(Table2[[#This Row],[Adjusted Form '#]],[2]BILLED!$D:$D,[1]BILLED!$O:$O,"Not Found")</f>
        <v>#REF!</v>
      </c>
      <c r="Y742" s="17" t="e">
        <f>_xlfn.XLOOKUP(Table2[[#This Row],[Adjusted Form '#]],'[2]REJECTED ORDERS'!$D:$D,'[2]REJECTED ORDERS'!$E:$E)</f>
        <v>#N/A</v>
      </c>
      <c r="Z742" s="1"/>
      <c r="AA742" s="1"/>
      <c r="AB742" s="8"/>
      <c r="AC742" s="8"/>
      <c r="AD742" s="8"/>
      <c r="AE742" s="8"/>
      <c r="AF742" s="8"/>
      <c r="AG742" s="8"/>
      <c r="AH742" s="8"/>
      <c r="AI742" s="8"/>
      <c r="AJ742" s="8"/>
    </row>
    <row r="743" spans="1:36" ht="15" customHeight="1" x14ac:dyDescent="0.35">
      <c r="A743" s="4" t="s">
        <v>1123</v>
      </c>
      <c r="B743" s="1" t="s">
        <v>337</v>
      </c>
      <c r="C743" s="11">
        <v>45023</v>
      </c>
      <c r="D743" s="11" t="s">
        <v>5117</v>
      </c>
      <c r="E743" s="1" t="s">
        <v>14</v>
      </c>
      <c r="F743" s="1" t="s">
        <v>5120</v>
      </c>
      <c r="G743" s="6">
        <f>COUNTIF(F:F,Table2[[#This Row],[Form '#]])</f>
        <v>1</v>
      </c>
      <c r="H743" s="1" t="s">
        <v>5121</v>
      </c>
      <c r="I743" s="1" t="s">
        <v>3852</v>
      </c>
      <c r="J743" s="1" t="s">
        <v>80</v>
      </c>
      <c r="K743" s="1" t="s">
        <v>4430</v>
      </c>
      <c r="L743" s="1"/>
      <c r="M743" s="6" t="str">
        <f>IF(Table2[[#This Row],[Corrected Form '#
 (If Duplicated)]]="",Table2[[#This Row],[Form '#]],Table2[[#This Row],[Corrected Form '#
 (If Duplicated)]])</f>
        <v>7810-01578</v>
      </c>
      <c r="N743" s="1" t="s">
        <v>49</v>
      </c>
      <c r="O743" s="6" t="str">
        <f>IF(Table2[[#This Row],[POG CONFIRMATION RECEIPT OF ORDER
(DATE &amp; TIME)]]="","No Confirmation","Received Confirmation")</f>
        <v>Received Confirmation</v>
      </c>
      <c r="P743" s="6">
        <f ca="1">TODAY()-Table2[[#This Row],[DATE SENT TO POG]]</f>
        <v>280</v>
      </c>
      <c r="Q743" s="6" t="s">
        <v>5803</v>
      </c>
      <c r="R7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3" s="2" t="str">
        <f>_xlfn.XLOOKUP(Table2[[#This Row],[Adjusted Form '#]],'[2]IN PROGRESS'!$D:$D,'[2]IN PROGRESS'!$M:$M,"Not Found")</f>
        <v>Not Found</v>
      </c>
      <c r="U743" s="2" t="str">
        <f>_xlfn.XLOOKUP(Table2[[#This Row],[Adjusted Form '#]],[1]COMPLETED!$D:$D,[2]COMPLETED!$M:$M,"Not Found")</f>
        <v>Not Found</v>
      </c>
      <c r="V743" s="17" t="str">
        <f>_xlfn.XLOOKUP(Table2[[#This Row],[Adjusted Form '#]],[2]COMPLETED!$D:$D,[2]COMPLETED!$O:$O,"Not Found")</f>
        <v>Not Found</v>
      </c>
      <c r="W743" s="2" t="str">
        <f>_xlfn.XLOOKUP(Table2[[#This Row],[Adjusted Form '#]],[2]BILLED!$D:$D,[2]BILLED!$M:$M,"Not Found")</f>
        <v>1Z5063E0YW40784299</v>
      </c>
      <c r="X743" s="17" t="e">
        <f>_xlfn.XLOOKUP(Table2[[#This Row],[Adjusted Form '#]],[2]BILLED!$D:$D,[1]BILLED!$O:$O,"Not Found")</f>
        <v>#REF!</v>
      </c>
      <c r="Y743" s="17" t="e">
        <f>_xlfn.XLOOKUP(Table2[[#This Row],[Adjusted Form '#]],'[2]REJECTED ORDERS'!$D:$D,'[2]REJECTED ORDERS'!$E:$E)</f>
        <v>#N/A</v>
      </c>
      <c r="Z743" s="1"/>
      <c r="AA743" s="1"/>
      <c r="AB743" s="8"/>
      <c r="AC743" s="8"/>
      <c r="AD743" s="8"/>
      <c r="AE743" s="8"/>
      <c r="AF743" s="8"/>
      <c r="AG743" s="8"/>
      <c r="AH743" s="8"/>
      <c r="AI743" s="8"/>
      <c r="AJ743" s="8"/>
    </row>
    <row r="744" spans="1:36" ht="15" customHeight="1" x14ac:dyDescent="0.35">
      <c r="A744" s="4" t="s">
        <v>1124</v>
      </c>
      <c r="B744" s="1" t="s">
        <v>337</v>
      </c>
      <c r="C744" s="11">
        <v>45023</v>
      </c>
      <c r="D744" s="11" t="s">
        <v>5117</v>
      </c>
      <c r="E744" s="1" t="s">
        <v>14</v>
      </c>
      <c r="F744" s="1" t="s">
        <v>5122</v>
      </c>
      <c r="G744" s="6">
        <f>COUNTIF(F:F,Table2[[#This Row],[Form '#]])</f>
        <v>1</v>
      </c>
      <c r="H744" s="1" t="s">
        <v>5123</v>
      </c>
      <c r="I744" s="1" t="s">
        <v>3852</v>
      </c>
      <c r="J744" s="1" t="s">
        <v>3891</v>
      </c>
      <c r="K744" s="1" t="s">
        <v>3891</v>
      </c>
      <c r="L744" s="1"/>
      <c r="M744" s="6" t="str">
        <f>IF(Table2[[#This Row],[Corrected Form '#
 (If Duplicated)]]="",Table2[[#This Row],[Form '#]],Table2[[#This Row],[Corrected Form '#
 (If Duplicated)]])</f>
        <v>7810-01900</v>
      </c>
      <c r="N744" s="1" t="s">
        <v>49</v>
      </c>
      <c r="O744" s="6" t="str">
        <f>IF(Table2[[#This Row],[POG CONFIRMATION RECEIPT OF ORDER
(DATE &amp; TIME)]]="","No Confirmation","Received Confirmation")</f>
        <v>Received Confirmation</v>
      </c>
      <c r="P744" s="6">
        <f ca="1">TODAY()-Table2[[#This Row],[DATE SENT TO POG]]</f>
        <v>280</v>
      </c>
      <c r="Q744" s="6" t="s">
        <v>5803</v>
      </c>
      <c r="R7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4" s="2" t="str">
        <f>_xlfn.XLOOKUP(Table2[[#This Row],[Adjusted Form '#]],'[2]IN PROGRESS'!$D:$D,'[2]IN PROGRESS'!$M:$M,"Not Found")</f>
        <v>Not Found</v>
      </c>
      <c r="U744" s="2" t="str">
        <f>_xlfn.XLOOKUP(Table2[[#This Row],[Adjusted Form '#]],[1]COMPLETED!$D:$D,[2]COMPLETED!$M:$M,"Not Found")</f>
        <v>Not Found</v>
      </c>
      <c r="V744" s="17" t="str">
        <f>_xlfn.XLOOKUP(Table2[[#This Row],[Adjusted Form '#]],[2]COMPLETED!$D:$D,[2]COMPLETED!$O:$O,"Not Found")</f>
        <v>Not Found</v>
      </c>
      <c r="W744" s="2" t="str">
        <f>_xlfn.XLOOKUP(Table2[[#This Row],[Adjusted Form '#]],[2]BILLED!$D:$D,[2]BILLED!$M:$M,"Not Found")</f>
        <v>1Z5063E0YW41566166</v>
      </c>
      <c r="X744" s="17" t="e">
        <f>_xlfn.XLOOKUP(Table2[[#This Row],[Adjusted Form '#]],[2]BILLED!$D:$D,[1]BILLED!$O:$O,"Not Found")</f>
        <v>#REF!</v>
      </c>
      <c r="Y744" s="17" t="e">
        <f>_xlfn.XLOOKUP(Table2[[#This Row],[Adjusted Form '#]],'[2]REJECTED ORDERS'!$D:$D,'[2]REJECTED ORDERS'!$E:$E)</f>
        <v>#N/A</v>
      </c>
      <c r="Z744" s="1"/>
      <c r="AA744" s="1"/>
      <c r="AB744" s="8"/>
      <c r="AC744" s="8"/>
      <c r="AD744" s="8"/>
      <c r="AE744" s="8"/>
      <c r="AF744" s="8"/>
      <c r="AG744" s="8"/>
      <c r="AH744" s="8"/>
      <c r="AI744" s="8"/>
      <c r="AJ744" s="8"/>
    </row>
    <row r="745" spans="1:36" ht="15" customHeight="1" x14ac:dyDescent="0.35">
      <c r="A745" s="4" t="s">
        <v>1125</v>
      </c>
      <c r="B745" s="1" t="s">
        <v>337</v>
      </c>
      <c r="C745" s="11">
        <v>45023</v>
      </c>
      <c r="D745" s="11" t="s">
        <v>5117</v>
      </c>
      <c r="E745" s="1" t="s">
        <v>14</v>
      </c>
      <c r="F745" s="1" t="s">
        <v>5124</v>
      </c>
      <c r="G745" s="6">
        <f>COUNTIF(F:F,Table2[[#This Row],[Form '#]])</f>
        <v>1</v>
      </c>
      <c r="H745" s="1" t="s">
        <v>5125</v>
      </c>
      <c r="I745" s="1" t="s">
        <v>3864</v>
      </c>
      <c r="J745" s="1" t="s">
        <v>78</v>
      </c>
      <c r="K745" s="1" t="s">
        <v>3891</v>
      </c>
      <c r="L745" s="1"/>
      <c r="M745" s="6" t="str">
        <f>IF(Table2[[#This Row],[Corrected Form '#
 (If Duplicated)]]="",Table2[[#This Row],[Form '#]],Table2[[#This Row],[Corrected Form '#
 (If Duplicated)]])</f>
        <v>7810-01412</v>
      </c>
      <c r="N745" s="1" t="s">
        <v>49</v>
      </c>
      <c r="O745" s="6" t="str">
        <f>IF(Table2[[#This Row],[POG CONFIRMATION RECEIPT OF ORDER
(DATE &amp; TIME)]]="","No Confirmation","Received Confirmation")</f>
        <v>Received Confirmation</v>
      </c>
      <c r="P745" s="6">
        <f ca="1">TODAY()-Table2[[#This Row],[DATE SENT TO POG]]</f>
        <v>280</v>
      </c>
      <c r="Q745" s="6" t="s">
        <v>5803</v>
      </c>
      <c r="R7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5" s="2" t="str">
        <f>_xlfn.XLOOKUP(Table2[[#This Row],[Adjusted Form '#]],'[2]IN PROGRESS'!$D:$D,'[2]IN PROGRESS'!$M:$M,"Not Found")</f>
        <v>Not Found</v>
      </c>
      <c r="U745" s="2" t="str">
        <f>_xlfn.XLOOKUP(Table2[[#This Row],[Adjusted Form '#]],[1]COMPLETED!$D:$D,[2]COMPLETED!$M:$M,"Not Found")</f>
        <v>Not Found</v>
      </c>
      <c r="V745" s="17" t="str">
        <f>_xlfn.XLOOKUP(Table2[[#This Row],[Adjusted Form '#]],[2]COMPLETED!$D:$D,[2]COMPLETED!$O:$O,"Not Found")</f>
        <v>Not Found</v>
      </c>
      <c r="W745" s="2" t="str">
        <f>_xlfn.XLOOKUP(Table2[[#This Row],[Adjusted Form '#]],[2]BILLED!$D:$D,[2]BILLED!$M:$M,"Not Found")</f>
        <v>1Z5063E0YW40841351</v>
      </c>
      <c r="X745" s="17" t="e">
        <f>_xlfn.XLOOKUP(Table2[[#This Row],[Adjusted Form '#]],[2]BILLED!$D:$D,[1]BILLED!$O:$O,"Not Found")</f>
        <v>#REF!</v>
      </c>
      <c r="Y745" s="17" t="e">
        <f>_xlfn.XLOOKUP(Table2[[#This Row],[Adjusted Form '#]],'[2]REJECTED ORDERS'!$D:$D,'[2]REJECTED ORDERS'!$E:$E)</f>
        <v>#N/A</v>
      </c>
      <c r="Z745" s="1"/>
      <c r="AA745" s="1"/>
      <c r="AB745" s="8"/>
      <c r="AC745" s="8"/>
      <c r="AD745" s="8"/>
      <c r="AE745" s="8"/>
      <c r="AF745" s="8"/>
      <c r="AG745" s="8"/>
      <c r="AH745" s="8"/>
      <c r="AI745" s="8"/>
      <c r="AJ745" s="8"/>
    </row>
    <row r="746" spans="1:36" ht="15" customHeight="1" x14ac:dyDescent="0.35">
      <c r="A746" s="4" t="s">
        <v>1127</v>
      </c>
      <c r="B746" s="1" t="s">
        <v>337</v>
      </c>
      <c r="C746" s="11">
        <v>45023</v>
      </c>
      <c r="D746" s="11" t="s">
        <v>5117</v>
      </c>
      <c r="E746" s="1" t="s">
        <v>14</v>
      </c>
      <c r="F746" s="1" t="s">
        <v>5126</v>
      </c>
      <c r="G746" s="6">
        <f>COUNTIF(F:F,Table2[[#This Row],[Form '#]])</f>
        <v>1</v>
      </c>
      <c r="H746" s="1" t="s">
        <v>2782</v>
      </c>
      <c r="I746" s="1" t="s">
        <v>3864</v>
      </c>
      <c r="J746" s="1" t="s">
        <v>78</v>
      </c>
      <c r="K746" s="1" t="s">
        <v>3879</v>
      </c>
      <c r="L746" s="1"/>
      <c r="M746" s="6" t="str">
        <f>IF(Table2[[#This Row],[Corrected Form '#
 (If Duplicated)]]="",Table2[[#This Row],[Form '#]],Table2[[#This Row],[Corrected Form '#
 (If Duplicated)]])</f>
        <v>7810-01894</v>
      </c>
      <c r="N746" s="1" t="s">
        <v>49</v>
      </c>
      <c r="O746" s="6" t="str">
        <f>IF(Table2[[#This Row],[POG CONFIRMATION RECEIPT OF ORDER
(DATE &amp; TIME)]]="","No Confirmation","Received Confirmation")</f>
        <v>Received Confirmation</v>
      </c>
      <c r="P746" s="6">
        <f ca="1">TODAY()-Table2[[#This Row],[DATE SENT TO POG]]</f>
        <v>280</v>
      </c>
      <c r="Q746" s="6" t="s">
        <v>5803</v>
      </c>
      <c r="R7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6" s="2" t="str">
        <f>_xlfn.XLOOKUP(Table2[[#This Row],[Adjusted Form '#]],'[2]IN PROGRESS'!$D:$D,'[2]IN PROGRESS'!$M:$M,"Not Found")</f>
        <v>Not Found</v>
      </c>
      <c r="U746" s="2" t="str">
        <f>_xlfn.XLOOKUP(Table2[[#This Row],[Adjusted Form '#]],[1]COMPLETED!$D:$D,[2]COMPLETED!$M:$M,"Not Found")</f>
        <v>Not Found</v>
      </c>
      <c r="V746" s="17" t="str">
        <f>_xlfn.XLOOKUP(Table2[[#This Row],[Adjusted Form '#]],[2]COMPLETED!$D:$D,[2]COMPLETED!$O:$O,"Not Found")</f>
        <v>Not Found</v>
      </c>
      <c r="W746" s="2" t="str">
        <f>_xlfn.XLOOKUP(Table2[[#This Row],[Adjusted Form '#]],[2]BILLED!$D:$D,[2]BILLED!$M:$M,"Not Found")</f>
        <v>1Z5063E0YW42040516</v>
      </c>
      <c r="X746" s="17" t="e">
        <f>_xlfn.XLOOKUP(Table2[[#This Row],[Adjusted Form '#]],[2]BILLED!$D:$D,[1]BILLED!$O:$O,"Not Found")</f>
        <v>#REF!</v>
      </c>
      <c r="Y746" s="17" t="e">
        <f>_xlfn.XLOOKUP(Table2[[#This Row],[Adjusted Form '#]],'[2]REJECTED ORDERS'!$D:$D,'[2]REJECTED ORDERS'!$E:$E)</f>
        <v>#N/A</v>
      </c>
      <c r="Z746" s="1"/>
      <c r="AA746" s="1"/>
      <c r="AB746" s="8"/>
      <c r="AC746" s="8"/>
      <c r="AD746" s="8"/>
      <c r="AE746" s="8"/>
      <c r="AF746" s="8"/>
      <c r="AG746" s="8"/>
      <c r="AH746" s="8"/>
      <c r="AI746" s="8"/>
      <c r="AJ746" s="8"/>
    </row>
    <row r="747" spans="1:36" ht="15" customHeight="1" x14ac:dyDescent="0.35">
      <c r="A747" s="4" t="s">
        <v>1128</v>
      </c>
      <c r="B747" s="1" t="s">
        <v>1361</v>
      </c>
      <c r="C747" s="11">
        <v>45023</v>
      </c>
      <c r="D747" s="11" t="s">
        <v>5127</v>
      </c>
      <c r="E747" s="1" t="s">
        <v>21</v>
      </c>
      <c r="F747" s="1" t="s">
        <v>5128</v>
      </c>
      <c r="G747" s="6">
        <f>COUNTIF(F:F,Table2[[#This Row],[Form '#]])</f>
        <v>1</v>
      </c>
      <c r="H747" s="1" t="s">
        <v>5129</v>
      </c>
      <c r="I747" s="1" t="s">
        <v>3864</v>
      </c>
      <c r="J747" s="1" t="s">
        <v>78</v>
      </c>
      <c r="K747" s="1" t="s">
        <v>3879</v>
      </c>
      <c r="L747" s="1"/>
      <c r="M747" s="6" t="str">
        <f>IF(Table2[[#This Row],[Corrected Form '#
 (If Duplicated)]]="",Table2[[#This Row],[Form '#]],Table2[[#This Row],[Corrected Form '#
 (If Duplicated)]])</f>
        <v>7818-24288</v>
      </c>
      <c r="N747" s="1" t="s">
        <v>49</v>
      </c>
      <c r="O747" s="6" t="str">
        <f>IF(Table2[[#This Row],[POG CONFIRMATION RECEIPT OF ORDER
(DATE &amp; TIME)]]="","No Confirmation","Received Confirmation")</f>
        <v>Received Confirmation</v>
      </c>
      <c r="P747" s="6">
        <f ca="1">TODAY()-Table2[[#This Row],[DATE SENT TO POG]]</f>
        <v>280</v>
      </c>
      <c r="Q747" s="6" t="s">
        <v>5803</v>
      </c>
      <c r="R7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7" s="2" t="str">
        <f>_xlfn.XLOOKUP(Table2[[#This Row],[Adjusted Form '#]],'[2]IN PROGRESS'!$D:$D,'[2]IN PROGRESS'!$M:$M,"Not Found")</f>
        <v>Not Found</v>
      </c>
      <c r="U747" s="2" t="str">
        <f>_xlfn.XLOOKUP(Table2[[#This Row],[Adjusted Form '#]],[1]COMPLETED!$D:$D,[2]COMPLETED!$M:$M,"Not Found")</f>
        <v>Not Found</v>
      </c>
      <c r="V747" s="17" t="str">
        <f>_xlfn.XLOOKUP(Table2[[#This Row],[Adjusted Form '#]],[2]COMPLETED!$D:$D,[2]COMPLETED!$O:$O,"Not Found")</f>
        <v>Not Found</v>
      </c>
      <c r="W747" s="2" t="str">
        <f>_xlfn.XLOOKUP(Table2[[#This Row],[Adjusted Form '#]],[2]BILLED!$D:$D,[2]BILLED!$M:$M,"Not Found")</f>
        <v>1Z5063E0YW41586117</v>
      </c>
      <c r="X747" s="17" t="e">
        <f>_xlfn.XLOOKUP(Table2[[#This Row],[Adjusted Form '#]],[2]BILLED!$D:$D,[1]BILLED!$O:$O,"Not Found")</f>
        <v>#REF!</v>
      </c>
      <c r="Y747" s="17" t="e">
        <f>_xlfn.XLOOKUP(Table2[[#This Row],[Adjusted Form '#]],'[2]REJECTED ORDERS'!$D:$D,'[2]REJECTED ORDERS'!$E:$E)</f>
        <v>#N/A</v>
      </c>
      <c r="Z747" s="1"/>
      <c r="AA747" s="1"/>
      <c r="AB747" s="8"/>
      <c r="AC747" s="8"/>
      <c r="AD747" s="8"/>
      <c r="AE747" s="8"/>
      <c r="AF747" s="8"/>
      <c r="AG747" s="8"/>
      <c r="AH747" s="8"/>
      <c r="AI747" s="8"/>
      <c r="AJ747" s="8"/>
    </row>
    <row r="748" spans="1:36" ht="15" customHeight="1" x14ac:dyDescent="0.35">
      <c r="A748" s="4" t="s">
        <v>1129</v>
      </c>
      <c r="B748" s="1" t="s">
        <v>1361</v>
      </c>
      <c r="C748" s="11">
        <v>45023</v>
      </c>
      <c r="D748" s="11" t="s">
        <v>5127</v>
      </c>
      <c r="E748" s="1" t="s">
        <v>21</v>
      </c>
      <c r="F748" s="1" t="s">
        <v>5130</v>
      </c>
      <c r="G748" s="6">
        <f>COUNTIF(F:F,Table2[[#This Row],[Form '#]])</f>
        <v>1</v>
      </c>
      <c r="H748" s="1" t="s">
        <v>5131</v>
      </c>
      <c r="I748" s="1" t="s">
        <v>3852</v>
      </c>
      <c r="J748" s="1" t="s">
        <v>80</v>
      </c>
      <c r="K748" s="1" t="s">
        <v>3891</v>
      </c>
      <c r="L748" s="1"/>
      <c r="M748" s="6" t="str">
        <f>IF(Table2[[#This Row],[Corrected Form '#
 (If Duplicated)]]="",Table2[[#This Row],[Form '#]],Table2[[#This Row],[Corrected Form '#
 (If Duplicated)]])</f>
        <v>7818-26171</v>
      </c>
      <c r="N748" s="1" t="s">
        <v>49</v>
      </c>
      <c r="O748" s="6" t="str">
        <f>IF(Table2[[#This Row],[POG CONFIRMATION RECEIPT OF ORDER
(DATE &amp; TIME)]]="","No Confirmation","Received Confirmation")</f>
        <v>Received Confirmation</v>
      </c>
      <c r="P748" s="6">
        <f ca="1">TODAY()-Table2[[#This Row],[DATE SENT TO POG]]</f>
        <v>280</v>
      </c>
      <c r="Q748" s="6" t="s">
        <v>5803</v>
      </c>
      <c r="R7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8" s="2" t="str">
        <f>_xlfn.XLOOKUP(Table2[[#This Row],[Adjusted Form '#]],'[2]IN PROGRESS'!$D:$D,'[2]IN PROGRESS'!$M:$M,"Not Found")</f>
        <v>Not Found</v>
      </c>
      <c r="U748" s="2" t="str">
        <f>_xlfn.XLOOKUP(Table2[[#This Row],[Adjusted Form '#]],[1]COMPLETED!$D:$D,[2]COMPLETED!$M:$M,"Not Found")</f>
        <v>Not Found</v>
      </c>
      <c r="V748" s="17" t="str">
        <f>_xlfn.XLOOKUP(Table2[[#This Row],[Adjusted Form '#]],[2]COMPLETED!$D:$D,[2]COMPLETED!$O:$O,"Not Found")</f>
        <v>Not Found</v>
      </c>
      <c r="W748" s="2" t="str">
        <f>_xlfn.XLOOKUP(Table2[[#This Row],[Adjusted Form '#]],[2]BILLED!$D:$D,[2]BILLED!$M:$M,"Not Found")</f>
        <v>1Z5063E0YW42290738</v>
      </c>
      <c r="X748" s="17" t="e">
        <f>_xlfn.XLOOKUP(Table2[[#This Row],[Adjusted Form '#]],[2]BILLED!$D:$D,[1]BILLED!$O:$O,"Not Found")</f>
        <v>#REF!</v>
      </c>
      <c r="Y748" s="17" t="e">
        <f>_xlfn.XLOOKUP(Table2[[#This Row],[Adjusted Form '#]],'[2]REJECTED ORDERS'!$D:$D,'[2]REJECTED ORDERS'!$E:$E)</f>
        <v>#N/A</v>
      </c>
      <c r="Z748" s="1"/>
      <c r="AA748" s="1"/>
      <c r="AB748" s="8"/>
      <c r="AC748" s="8"/>
      <c r="AD748" s="8"/>
      <c r="AE748" s="8"/>
      <c r="AF748" s="8"/>
      <c r="AG748" s="8"/>
      <c r="AH748" s="8"/>
      <c r="AI748" s="8"/>
      <c r="AJ748" s="8"/>
    </row>
    <row r="749" spans="1:36" ht="15" customHeight="1" x14ac:dyDescent="0.35">
      <c r="A749" s="4" t="s">
        <v>1131</v>
      </c>
      <c r="B749" s="1" t="s">
        <v>2744</v>
      </c>
      <c r="C749" s="11">
        <v>45026</v>
      </c>
      <c r="D749" s="11" t="s">
        <v>5132</v>
      </c>
      <c r="E749" s="1" t="s">
        <v>191</v>
      </c>
      <c r="F749" s="1" t="s">
        <v>5042</v>
      </c>
      <c r="G749" s="6">
        <f>COUNTIF(F:F,Table2[[#This Row],[Form '#]])</f>
        <v>3</v>
      </c>
      <c r="H749" s="1" t="s">
        <v>2598</v>
      </c>
      <c r="I749" s="1" t="s">
        <v>28</v>
      </c>
      <c r="J749" s="1" t="s">
        <v>69</v>
      </c>
      <c r="K749" s="1" t="s">
        <v>4631</v>
      </c>
      <c r="L749" s="1"/>
      <c r="M749" s="6" t="str">
        <f>IF(Table2[[#This Row],[Corrected Form '#
 (If Duplicated)]]="",Table2[[#This Row],[Form '#]],Table2[[#This Row],[Corrected Form '#
 (If Duplicated)]])</f>
        <v>7812-01730</v>
      </c>
      <c r="N749" s="1" t="s">
        <v>49</v>
      </c>
      <c r="O749" s="6" t="str">
        <f>IF(Table2[[#This Row],[POG CONFIRMATION RECEIPT OF ORDER
(DATE &amp; TIME)]]="","No Confirmation","Received Confirmation")</f>
        <v>Received Confirmation</v>
      </c>
      <c r="P749" s="6">
        <f ca="1">TODAY()-Table2[[#This Row],[DATE SENT TO POG]]</f>
        <v>277</v>
      </c>
      <c r="Q749" s="6" t="s">
        <v>5803</v>
      </c>
      <c r="R7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49" s="2" t="str">
        <f>_xlfn.XLOOKUP(Table2[[#This Row],[Adjusted Form '#]],'[2]IN PROGRESS'!$D:$D,'[2]IN PROGRESS'!$M:$M,"Not Found")</f>
        <v>Not Found</v>
      </c>
      <c r="U749" s="2" t="str">
        <f>_xlfn.XLOOKUP(Table2[[#This Row],[Adjusted Form '#]],[1]COMPLETED!$D:$D,[2]COMPLETED!$M:$M,"Not Found")</f>
        <v>Not Found</v>
      </c>
      <c r="V749" s="17" t="str">
        <f>_xlfn.XLOOKUP(Table2[[#This Row],[Adjusted Form '#]],[2]COMPLETED!$D:$D,[2]COMPLETED!$O:$O,"Not Found")</f>
        <v>Not Found</v>
      </c>
      <c r="W749" s="2" t="str">
        <f>_xlfn.XLOOKUP(Table2[[#This Row],[Adjusted Form '#]],[2]BILLED!$D:$D,[2]BILLED!$M:$M,"Not Found")</f>
        <v>1Z5063E0YW40529592</v>
      </c>
      <c r="X749" s="17" t="e">
        <f>_xlfn.XLOOKUP(Table2[[#This Row],[Adjusted Form '#]],[2]BILLED!$D:$D,[1]BILLED!$O:$O,"Not Found")</f>
        <v>#REF!</v>
      </c>
      <c r="Y749" s="17" t="str">
        <f>_xlfn.XLOOKUP(Table2[[#This Row],[Adjusted Form '#]],'[2]REJECTED ORDERS'!$D:$D,'[2]REJECTED ORDERS'!$E:$E)</f>
        <v>FORM NOT SIGNED</v>
      </c>
      <c r="Z749" s="1"/>
      <c r="AA749" s="1"/>
      <c r="AB749" s="8"/>
      <c r="AC749" s="8"/>
      <c r="AD749" s="8"/>
      <c r="AE749" s="8"/>
      <c r="AF749" s="8"/>
      <c r="AG749" s="8"/>
      <c r="AH749" s="8"/>
      <c r="AI749" s="8"/>
      <c r="AJ749" s="8"/>
    </row>
    <row r="750" spans="1:36" ht="15" customHeight="1" x14ac:dyDescent="0.35">
      <c r="A750" s="4" t="s">
        <v>1134</v>
      </c>
      <c r="B750" s="1" t="s">
        <v>784</v>
      </c>
      <c r="C750" s="11">
        <v>45026</v>
      </c>
      <c r="D750" s="11" t="s">
        <v>5132</v>
      </c>
      <c r="E750" s="1" t="s">
        <v>73</v>
      </c>
      <c r="F750" s="1" t="s">
        <v>4397</v>
      </c>
      <c r="G750" s="6">
        <f>COUNTIF(F:F,Table2[[#This Row],[Form '#]])</f>
        <v>2</v>
      </c>
      <c r="H750" s="1" t="s">
        <v>247</v>
      </c>
      <c r="I750" s="1" t="s">
        <v>127</v>
      </c>
      <c r="J750" s="1" t="s">
        <v>76</v>
      </c>
      <c r="K750" s="1" t="s">
        <v>4011</v>
      </c>
      <c r="L750" s="1"/>
      <c r="M750" s="6" t="str">
        <f>IF(Table2[[#This Row],[Corrected Form '#
 (If Duplicated)]]="",Table2[[#This Row],[Form '#]],Table2[[#This Row],[Corrected Form '#
 (If Duplicated)]])</f>
        <v>7823-02181</v>
      </c>
      <c r="N750" s="1" t="s">
        <v>49</v>
      </c>
      <c r="O750" s="6" t="str">
        <f>IF(Table2[[#This Row],[POG CONFIRMATION RECEIPT OF ORDER
(DATE &amp; TIME)]]="","No Confirmation","Received Confirmation")</f>
        <v>Received Confirmation</v>
      </c>
      <c r="P750" s="6">
        <f ca="1">TODAY()-Table2[[#This Row],[DATE SENT TO POG]]</f>
        <v>277</v>
      </c>
      <c r="Q750" s="6" t="s">
        <v>5803</v>
      </c>
      <c r="R7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0" s="2" t="str">
        <f>_xlfn.XLOOKUP(Table2[[#This Row],[Adjusted Form '#]],'[2]IN PROGRESS'!$D:$D,'[2]IN PROGRESS'!$M:$M,"Not Found")</f>
        <v>Not Found</v>
      </c>
      <c r="U750" s="2" t="str">
        <f>_xlfn.XLOOKUP(Table2[[#This Row],[Adjusted Form '#]],[1]COMPLETED!$D:$D,[2]COMPLETED!$M:$M,"Not Found")</f>
        <v>Not Found</v>
      </c>
      <c r="V750" s="17" t="str">
        <f>_xlfn.XLOOKUP(Table2[[#This Row],[Adjusted Form '#]],[2]COMPLETED!$D:$D,[2]COMPLETED!$O:$O,"Not Found")</f>
        <v>Not Found</v>
      </c>
      <c r="W750" s="2" t="str">
        <f>_xlfn.XLOOKUP(Table2[[#This Row],[Adjusted Form '#]],[2]BILLED!$D:$D,[2]BILLED!$M:$M,"Not Found")</f>
        <v>1Z5063E0YW42509047</v>
      </c>
      <c r="X750" s="17" t="e">
        <f>_xlfn.XLOOKUP(Table2[[#This Row],[Adjusted Form '#]],[2]BILLED!$D:$D,[1]BILLED!$O:$O,"Not Found")</f>
        <v>#REF!</v>
      </c>
      <c r="Y750" s="17" t="e">
        <f>_xlfn.XLOOKUP(Table2[[#This Row],[Adjusted Form '#]],'[2]REJECTED ORDERS'!$D:$D,'[2]REJECTED ORDERS'!$E:$E)</f>
        <v>#N/A</v>
      </c>
      <c r="Z750" s="1"/>
      <c r="AA750" s="1"/>
      <c r="AB750" s="8"/>
      <c r="AC750" s="8"/>
      <c r="AD750" s="8"/>
      <c r="AE750" s="8"/>
      <c r="AF750" s="8"/>
      <c r="AG750" s="8"/>
      <c r="AH750" s="8"/>
      <c r="AI750" s="8"/>
      <c r="AJ750" s="8"/>
    </row>
    <row r="751" spans="1:36" ht="15" customHeight="1" x14ac:dyDescent="0.35">
      <c r="A751" s="4" t="s">
        <v>1136</v>
      </c>
      <c r="B751" s="1" t="s">
        <v>1019</v>
      </c>
      <c r="C751" s="11">
        <v>45026</v>
      </c>
      <c r="D751" s="11" t="s">
        <v>5132</v>
      </c>
      <c r="E751" s="1" t="s">
        <v>21</v>
      </c>
      <c r="F751" s="1" t="s">
        <v>5133</v>
      </c>
      <c r="G751" s="6">
        <f>COUNTIF(F:F,Table2[[#This Row],[Form '#]])</f>
        <v>1</v>
      </c>
      <c r="H751" s="1" t="s">
        <v>5134</v>
      </c>
      <c r="I751" s="1" t="s">
        <v>127</v>
      </c>
      <c r="J751" s="1" t="s">
        <v>76</v>
      </c>
      <c r="K751" s="1" t="s">
        <v>4011</v>
      </c>
      <c r="L751" s="1"/>
      <c r="M751" s="6" t="str">
        <f>IF(Table2[[#This Row],[Corrected Form '#
 (If Duplicated)]]="",Table2[[#This Row],[Form '#]],Table2[[#This Row],[Corrected Form '#
 (If Duplicated)]])</f>
        <v>7818-17394</v>
      </c>
      <c r="N751" s="1" t="s">
        <v>49</v>
      </c>
      <c r="O751" s="6" t="str">
        <f>IF(Table2[[#This Row],[POG CONFIRMATION RECEIPT OF ORDER
(DATE &amp; TIME)]]="","No Confirmation","Received Confirmation")</f>
        <v>Received Confirmation</v>
      </c>
      <c r="P751" s="6">
        <f ca="1">TODAY()-Table2[[#This Row],[DATE SENT TO POG]]</f>
        <v>277</v>
      </c>
      <c r="Q751" s="6" t="s">
        <v>5803</v>
      </c>
      <c r="R7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1" s="2" t="str">
        <f>_xlfn.XLOOKUP(Table2[[#This Row],[Adjusted Form '#]],'[2]IN PROGRESS'!$D:$D,'[2]IN PROGRESS'!$M:$M,"Not Found")</f>
        <v>Not Found</v>
      </c>
      <c r="U751" s="2" t="str">
        <f>_xlfn.XLOOKUP(Table2[[#This Row],[Adjusted Form '#]],[1]COMPLETED!$D:$D,[2]COMPLETED!$M:$M,"Not Found")</f>
        <v>Not Found</v>
      </c>
      <c r="V751" s="17" t="str">
        <f>_xlfn.XLOOKUP(Table2[[#This Row],[Adjusted Form '#]],[2]COMPLETED!$D:$D,[2]COMPLETED!$O:$O,"Not Found")</f>
        <v>Not Found</v>
      </c>
      <c r="W751" s="2" t="str">
        <f>_xlfn.XLOOKUP(Table2[[#This Row],[Adjusted Form '#]],[2]BILLED!$D:$D,[2]BILLED!$M:$M,"Not Found")</f>
        <v>9402 1112 0620 7209 4583 24</v>
      </c>
      <c r="X751" s="17" t="e">
        <f>_xlfn.XLOOKUP(Table2[[#This Row],[Adjusted Form '#]],[2]BILLED!$D:$D,[1]BILLED!$O:$O,"Not Found")</f>
        <v>#REF!</v>
      </c>
      <c r="Y751" s="17" t="e">
        <f>_xlfn.XLOOKUP(Table2[[#This Row],[Adjusted Form '#]],'[2]REJECTED ORDERS'!$D:$D,'[2]REJECTED ORDERS'!$E:$E)</f>
        <v>#N/A</v>
      </c>
      <c r="Z751" s="1"/>
      <c r="AA751" s="1"/>
      <c r="AB751" s="8"/>
      <c r="AC751" s="8"/>
      <c r="AD751" s="8"/>
      <c r="AE751" s="8"/>
      <c r="AF751" s="8"/>
      <c r="AG751" s="8"/>
      <c r="AH751" s="8"/>
      <c r="AI751" s="8"/>
      <c r="AJ751" s="8"/>
    </row>
    <row r="752" spans="1:36" ht="15" customHeight="1" x14ac:dyDescent="0.35">
      <c r="A752" s="4" t="s">
        <v>1137</v>
      </c>
      <c r="B752" s="1" t="s">
        <v>1019</v>
      </c>
      <c r="C752" s="11">
        <v>45026</v>
      </c>
      <c r="D752" s="11" t="s">
        <v>5132</v>
      </c>
      <c r="E752" s="1" t="s">
        <v>21</v>
      </c>
      <c r="F752" s="1" t="s">
        <v>5135</v>
      </c>
      <c r="G752" s="6">
        <f>COUNTIF(F:F,Table2[[#This Row],[Form '#]])</f>
        <v>1</v>
      </c>
      <c r="H752" s="1" t="s">
        <v>1915</v>
      </c>
      <c r="I752" s="1" t="s">
        <v>3864</v>
      </c>
      <c r="J752" s="1" t="s">
        <v>78</v>
      </c>
      <c r="K752" s="1" t="s">
        <v>3879</v>
      </c>
      <c r="L752" s="1"/>
      <c r="M752" s="6" t="str">
        <f>IF(Table2[[#This Row],[Corrected Form '#
 (If Duplicated)]]="",Table2[[#This Row],[Form '#]],Table2[[#This Row],[Corrected Form '#
 (If Duplicated)]])</f>
        <v>7818-25197</v>
      </c>
      <c r="N752" s="1" t="s">
        <v>49</v>
      </c>
      <c r="O752" s="6" t="str">
        <f>IF(Table2[[#This Row],[POG CONFIRMATION RECEIPT OF ORDER
(DATE &amp; TIME)]]="","No Confirmation","Received Confirmation")</f>
        <v>Received Confirmation</v>
      </c>
      <c r="P752" s="6">
        <f ca="1">TODAY()-Table2[[#This Row],[DATE SENT TO POG]]</f>
        <v>277</v>
      </c>
      <c r="Q752" s="6" t="s">
        <v>5803</v>
      </c>
      <c r="R7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2" s="2" t="str">
        <f>_xlfn.XLOOKUP(Table2[[#This Row],[Adjusted Form '#]],'[2]IN PROGRESS'!$D:$D,'[2]IN PROGRESS'!$M:$M,"Not Found")</f>
        <v>Not Found</v>
      </c>
      <c r="U752" s="2" t="str">
        <f>_xlfn.XLOOKUP(Table2[[#This Row],[Adjusted Form '#]],[1]COMPLETED!$D:$D,[2]COMPLETED!$M:$M,"Not Found")</f>
        <v>Not Found</v>
      </c>
      <c r="V752" s="17" t="str">
        <f>_xlfn.XLOOKUP(Table2[[#This Row],[Adjusted Form '#]],[2]COMPLETED!$D:$D,[2]COMPLETED!$O:$O,"Not Found")</f>
        <v>Not Found</v>
      </c>
      <c r="W752" s="2" t="str">
        <f>_xlfn.XLOOKUP(Table2[[#This Row],[Adjusted Form '#]],[2]BILLED!$D:$D,[2]BILLED!$M:$M,"Not Found")</f>
        <v>1Z5063E0YW40649720</v>
      </c>
      <c r="X752" s="17" t="e">
        <f>_xlfn.XLOOKUP(Table2[[#This Row],[Adjusted Form '#]],[2]BILLED!$D:$D,[1]BILLED!$O:$O,"Not Found")</f>
        <v>#REF!</v>
      </c>
      <c r="Y752" s="17" t="e">
        <f>_xlfn.XLOOKUP(Table2[[#This Row],[Adjusted Form '#]],'[2]REJECTED ORDERS'!$D:$D,'[2]REJECTED ORDERS'!$E:$E)</f>
        <v>#N/A</v>
      </c>
      <c r="Z752" s="1"/>
      <c r="AA752" s="1"/>
      <c r="AB752" s="8"/>
      <c r="AC752" s="8"/>
      <c r="AD752" s="8"/>
      <c r="AE752" s="8"/>
      <c r="AF752" s="8"/>
      <c r="AG752" s="8"/>
      <c r="AH752" s="8"/>
      <c r="AI752" s="8"/>
      <c r="AJ752" s="8"/>
    </row>
    <row r="753" spans="1:36" ht="15" customHeight="1" x14ac:dyDescent="0.35">
      <c r="A753" s="4" t="s">
        <v>8216</v>
      </c>
      <c r="B753" s="1" t="s">
        <v>1019</v>
      </c>
      <c r="C753" s="11">
        <v>45026</v>
      </c>
      <c r="D753" s="11" t="s">
        <v>5132</v>
      </c>
      <c r="E753" s="1" t="s">
        <v>21</v>
      </c>
      <c r="F753" s="1" t="s">
        <v>5136</v>
      </c>
      <c r="G753" s="6">
        <f>COUNTIF(F:F,Table2[[#This Row],[Form '#]])</f>
        <v>1</v>
      </c>
      <c r="H753" s="1" t="s">
        <v>3488</v>
      </c>
      <c r="I753" s="1" t="s">
        <v>177</v>
      </c>
      <c r="J753" s="1" t="s">
        <v>3891</v>
      </c>
      <c r="K753" s="1" t="s">
        <v>3853</v>
      </c>
      <c r="L753" s="1"/>
      <c r="M753" s="6" t="str">
        <f>IF(Table2[[#This Row],[Corrected Form '#
 (If Duplicated)]]="",Table2[[#This Row],[Form '#]],Table2[[#This Row],[Corrected Form '#
 (If Duplicated)]])</f>
        <v>7818-22469</v>
      </c>
      <c r="N753" s="1" t="s">
        <v>49</v>
      </c>
      <c r="O753" s="6" t="str">
        <f>IF(Table2[[#This Row],[POG CONFIRMATION RECEIPT OF ORDER
(DATE &amp; TIME)]]="","No Confirmation","Received Confirmation")</f>
        <v>Received Confirmation</v>
      </c>
      <c r="P753" s="6">
        <f ca="1">TODAY()-Table2[[#This Row],[DATE SENT TO POG]]</f>
        <v>277</v>
      </c>
      <c r="Q753" s="6" t="s">
        <v>5803</v>
      </c>
      <c r="R7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3" s="2" t="str">
        <f>_xlfn.XLOOKUP(Table2[[#This Row],[Adjusted Form '#]],'[2]IN PROGRESS'!$D:$D,'[2]IN PROGRESS'!$M:$M,"Not Found")</f>
        <v>Not Found</v>
      </c>
      <c r="U753" s="2" t="str">
        <f>_xlfn.XLOOKUP(Table2[[#This Row],[Adjusted Form '#]],[1]COMPLETED!$D:$D,[2]COMPLETED!$M:$M,"Not Found")</f>
        <v>Not Found</v>
      </c>
      <c r="V753" s="17" t="str">
        <f>_xlfn.XLOOKUP(Table2[[#This Row],[Adjusted Form '#]],[2]COMPLETED!$D:$D,[2]COMPLETED!$O:$O,"Not Found")</f>
        <v>Not Found</v>
      </c>
      <c r="W753" s="2" t="str">
        <f>_xlfn.XLOOKUP(Table2[[#This Row],[Adjusted Form '#]],[2]BILLED!$D:$D,[2]BILLED!$M:$M,"Not Found")</f>
        <v>1Z5063E0YW40244747</v>
      </c>
      <c r="X753" s="17" t="e">
        <f>_xlfn.XLOOKUP(Table2[[#This Row],[Adjusted Form '#]],[2]BILLED!$D:$D,[1]BILLED!$O:$O,"Not Found")</f>
        <v>#REF!</v>
      </c>
      <c r="Y753" s="17" t="e">
        <f>_xlfn.XLOOKUP(Table2[[#This Row],[Adjusted Form '#]],'[2]REJECTED ORDERS'!$D:$D,'[2]REJECTED ORDERS'!$E:$E)</f>
        <v>#N/A</v>
      </c>
      <c r="Z753" s="1"/>
      <c r="AA753" s="1"/>
      <c r="AB753" s="8"/>
      <c r="AC753" s="8"/>
      <c r="AD753" s="8"/>
      <c r="AE753" s="8"/>
      <c r="AF753" s="8"/>
      <c r="AG753" s="8"/>
      <c r="AH753" s="8"/>
      <c r="AI753" s="8"/>
      <c r="AJ753" s="8"/>
    </row>
    <row r="754" spans="1:36" ht="15" customHeight="1" x14ac:dyDescent="0.35">
      <c r="A754" s="4" t="s">
        <v>8217</v>
      </c>
      <c r="B754" s="1" t="s">
        <v>1019</v>
      </c>
      <c r="C754" s="11">
        <v>45026</v>
      </c>
      <c r="D754" s="11" t="s">
        <v>5132</v>
      </c>
      <c r="E754" s="1" t="s">
        <v>21</v>
      </c>
      <c r="F754" s="1" t="s">
        <v>5137</v>
      </c>
      <c r="G754" s="6">
        <f>COUNTIF(F:F,Table2[[#This Row],[Form '#]])</f>
        <v>1</v>
      </c>
      <c r="H754" s="1" t="s">
        <v>3547</v>
      </c>
      <c r="I754" s="1" t="s">
        <v>177</v>
      </c>
      <c r="J754" s="1" t="s">
        <v>75</v>
      </c>
      <c r="K754" s="1" t="s">
        <v>3853</v>
      </c>
      <c r="L754" s="1"/>
      <c r="M754" s="6" t="str">
        <f>IF(Table2[[#This Row],[Corrected Form '#
 (If Duplicated)]]="",Table2[[#This Row],[Form '#]],Table2[[#This Row],[Corrected Form '#
 (If Duplicated)]])</f>
        <v>7818-12700</v>
      </c>
      <c r="N754" s="1" t="s">
        <v>49</v>
      </c>
      <c r="O754" s="6" t="str">
        <f>IF(Table2[[#This Row],[POG CONFIRMATION RECEIPT OF ORDER
(DATE &amp; TIME)]]="","No Confirmation","Received Confirmation")</f>
        <v>Received Confirmation</v>
      </c>
      <c r="P754" s="6">
        <f ca="1">TODAY()-Table2[[#This Row],[DATE SENT TO POG]]</f>
        <v>277</v>
      </c>
      <c r="Q754" s="6" t="s">
        <v>5803</v>
      </c>
      <c r="R7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4" s="2" t="str">
        <f>_xlfn.XLOOKUP(Table2[[#This Row],[Adjusted Form '#]],'[2]IN PROGRESS'!$D:$D,'[2]IN PROGRESS'!$M:$M,"Not Found")</f>
        <v>Not Found</v>
      </c>
      <c r="U754" s="2" t="str">
        <f>_xlfn.XLOOKUP(Table2[[#This Row],[Adjusted Form '#]],[1]COMPLETED!$D:$D,[2]COMPLETED!$M:$M,"Not Found")</f>
        <v>Not Found</v>
      </c>
      <c r="V754" s="17" t="str">
        <f>_xlfn.XLOOKUP(Table2[[#This Row],[Adjusted Form '#]],[2]COMPLETED!$D:$D,[2]COMPLETED!$O:$O,"Not Found")</f>
        <v>Not Found</v>
      </c>
      <c r="W754" s="2" t="str">
        <f>_xlfn.XLOOKUP(Table2[[#This Row],[Adjusted Form '#]],[2]BILLED!$D:$D,[2]BILLED!$M:$M,"Not Found")</f>
        <v>9400 1112 0620 7087 3120 62</v>
      </c>
      <c r="X754" s="17" t="e">
        <f>_xlfn.XLOOKUP(Table2[[#This Row],[Adjusted Form '#]],[2]BILLED!$D:$D,[1]BILLED!$O:$O,"Not Found")</f>
        <v>#REF!</v>
      </c>
      <c r="Y754" s="17" t="e">
        <f>_xlfn.XLOOKUP(Table2[[#This Row],[Adjusted Form '#]],'[2]REJECTED ORDERS'!$D:$D,'[2]REJECTED ORDERS'!$E:$E)</f>
        <v>#N/A</v>
      </c>
      <c r="Z754" s="1"/>
      <c r="AA754" s="1"/>
      <c r="AB754" s="8"/>
      <c r="AC754" s="8"/>
      <c r="AD754" s="8"/>
      <c r="AE754" s="8"/>
      <c r="AF754" s="8"/>
      <c r="AG754" s="8"/>
      <c r="AH754" s="8"/>
      <c r="AI754" s="8"/>
      <c r="AJ754" s="8"/>
    </row>
    <row r="755" spans="1:36" ht="15" customHeight="1" x14ac:dyDescent="0.35">
      <c r="A755" s="4" t="s">
        <v>8218</v>
      </c>
      <c r="B755" s="1" t="s">
        <v>1019</v>
      </c>
      <c r="C755" s="11">
        <v>45026</v>
      </c>
      <c r="D755" s="11" t="s">
        <v>5132</v>
      </c>
      <c r="E755" s="1" t="s">
        <v>21</v>
      </c>
      <c r="F755" s="1" t="s">
        <v>4940</v>
      </c>
      <c r="G755" s="6">
        <f>COUNTIF(F:F,Table2[[#This Row],[Form '#]])</f>
        <v>2</v>
      </c>
      <c r="H755" s="1" t="s">
        <v>4941</v>
      </c>
      <c r="I755" s="1" t="s">
        <v>177</v>
      </c>
      <c r="J755" s="1" t="s">
        <v>75</v>
      </c>
      <c r="K755" s="1" t="s">
        <v>3853</v>
      </c>
      <c r="L755" s="1"/>
      <c r="M755" s="6" t="str">
        <f>IF(Table2[[#This Row],[Corrected Form '#
 (If Duplicated)]]="",Table2[[#This Row],[Form '#]],Table2[[#This Row],[Corrected Form '#
 (If Duplicated)]])</f>
        <v>7818-24716</v>
      </c>
      <c r="N755" s="1" t="s">
        <v>49</v>
      </c>
      <c r="O755" s="6" t="str">
        <f>IF(Table2[[#This Row],[POG CONFIRMATION RECEIPT OF ORDER
(DATE &amp; TIME)]]="","No Confirmation","Received Confirmation")</f>
        <v>Received Confirmation</v>
      </c>
      <c r="P755" s="6">
        <f ca="1">TODAY()-Table2[[#This Row],[DATE SENT TO POG]]</f>
        <v>277</v>
      </c>
      <c r="Q755" s="6" t="s">
        <v>5803</v>
      </c>
      <c r="R7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5" s="2" t="str">
        <f>_xlfn.XLOOKUP(Table2[[#This Row],[Adjusted Form '#]],'[2]IN PROGRESS'!$D:$D,'[2]IN PROGRESS'!$M:$M,"Not Found")</f>
        <v>Not Found</v>
      </c>
      <c r="U755" s="2" t="str">
        <f>_xlfn.XLOOKUP(Table2[[#This Row],[Adjusted Form '#]],[1]COMPLETED!$D:$D,[2]COMPLETED!$M:$M,"Not Found")</f>
        <v>Not Found</v>
      </c>
      <c r="V755" s="17" t="str">
        <f>_xlfn.XLOOKUP(Table2[[#This Row],[Adjusted Form '#]],[2]COMPLETED!$D:$D,[2]COMPLETED!$O:$O,"Not Found")</f>
        <v>Not Found</v>
      </c>
      <c r="W755" s="2" t="str">
        <f>_xlfn.XLOOKUP(Table2[[#This Row],[Adjusted Form '#]],[2]BILLED!$D:$D,[2]BILLED!$M:$M,"Not Found")</f>
        <v>1Z5063E0YW41279646</v>
      </c>
      <c r="X755" s="17" t="e">
        <f>_xlfn.XLOOKUP(Table2[[#This Row],[Adjusted Form '#]],[2]BILLED!$D:$D,[1]BILLED!$O:$O,"Not Found")</f>
        <v>#REF!</v>
      </c>
      <c r="Y755" s="17" t="e">
        <f>_xlfn.XLOOKUP(Table2[[#This Row],[Adjusted Form '#]],'[2]REJECTED ORDERS'!$D:$D,'[2]REJECTED ORDERS'!$E:$E)</f>
        <v>#N/A</v>
      </c>
      <c r="Z755" s="1"/>
      <c r="AA755" s="1"/>
      <c r="AB755" s="8"/>
      <c r="AC755" s="8"/>
      <c r="AD755" s="8"/>
      <c r="AE755" s="8"/>
      <c r="AF755" s="8"/>
      <c r="AG755" s="8"/>
      <c r="AH755" s="8"/>
      <c r="AI755" s="8"/>
      <c r="AJ755" s="8"/>
    </row>
    <row r="756" spans="1:36" ht="15" customHeight="1" x14ac:dyDescent="0.35">
      <c r="A756" s="4" t="s">
        <v>8219</v>
      </c>
      <c r="B756" s="1" t="s">
        <v>5138</v>
      </c>
      <c r="C756" s="11">
        <v>45026</v>
      </c>
      <c r="D756" s="11" t="s">
        <v>5132</v>
      </c>
      <c r="E756" s="1" t="s">
        <v>21</v>
      </c>
      <c r="F756" s="1" t="s">
        <v>5139</v>
      </c>
      <c r="G756" s="6">
        <f>COUNTIF(F:F,Table2[[#This Row],[Form '#]])</f>
        <v>1</v>
      </c>
      <c r="H756" s="1" t="s">
        <v>5140</v>
      </c>
      <c r="I756" s="1" t="s">
        <v>28</v>
      </c>
      <c r="J756" s="1" t="s">
        <v>69</v>
      </c>
      <c r="K756" s="1" t="s">
        <v>4631</v>
      </c>
      <c r="L756" s="1"/>
      <c r="M756" s="6" t="str">
        <f>IF(Table2[[#This Row],[Corrected Form '#
 (If Duplicated)]]="",Table2[[#This Row],[Form '#]],Table2[[#This Row],[Corrected Form '#
 (If Duplicated)]])</f>
        <v>7818-29403</v>
      </c>
      <c r="N756" s="1" t="s">
        <v>49</v>
      </c>
      <c r="O756" s="6" t="str">
        <f>IF(Table2[[#This Row],[POG CONFIRMATION RECEIPT OF ORDER
(DATE &amp; TIME)]]="","No Confirmation","Received Confirmation")</f>
        <v>Received Confirmation</v>
      </c>
      <c r="P756" s="6">
        <f ca="1">TODAY()-Table2[[#This Row],[DATE SENT TO POG]]</f>
        <v>277</v>
      </c>
      <c r="Q756" s="6" t="s">
        <v>5803</v>
      </c>
      <c r="R7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6" s="2" t="str">
        <f>_xlfn.XLOOKUP(Table2[[#This Row],[Adjusted Form '#]],'[2]IN PROGRESS'!$D:$D,'[2]IN PROGRESS'!$M:$M,"Not Found")</f>
        <v>Not Found</v>
      </c>
      <c r="U756" s="2" t="str">
        <f>_xlfn.XLOOKUP(Table2[[#This Row],[Adjusted Form '#]],[1]COMPLETED!$D:$D,[2]COMPLETED!$M:$M,"Not Found")</f>
        <v>Not Found</v>
      </c>
      <c r="V756" s="17" t="str">
        <f>_xlfn.XLOOKUP(Table2[[#This Row],[Adjusted Form '#]],[2]COMPLETED!$D:$D,[2]COMPLETED!$O:$O,"Not Found")</f>
        <v>Not Found</v>
      </c>
      <c r="W756" s="2" t="str">
        <f>_xlfn.XLOOKUP(Table2[[#This Row],[Adjusted Form '#]],[2]BILLED!$D:$D,[2]BILLED!$M:$M,"Not Found")</f>
        <v>1Z5063E0YW42706306</v>
      </c>
      <c r="X756" s="17" t="e">
        <f>_xlfn.XLOOKUP(Table2[[#This Row],[Adjusted Form '#]],[2]BILLED!$D:$D,[1]BILLED!$O:$O,"Not Found")</f>
        <v>#REF!</v>
      </c>
      <c r="Y756" s="17" t="e">
        <f>_xlfn.XLOOKUP(Table2[[#This Row],[Adjusted Form '#]],'[2]REJECTED ORDERS'!$D:$D,'[2]REJECTED ORDERS'!$E:$E)</f>
        <v>#N/A</v>
      </c>
      <c r="Z756" s="1"/>
      <c r="AA756" s="1"/>
      <c r="AB756" s="8"/>
      <c r="AC756" s="8"/>
      <c r="AD756" s="8"/>
      <c r="AE756" s="8"/>
      <c r="AF756" s="8"/>
      <c r="AG756" s="8"/>
      <c r="AH756" s="8"/>
      <c r="AI756" s="8"/>
      <c r="AJ756" s="8"/>
    </row>
    <row r="757" spans="1:36" ht="15" customHeight="1" x14ac:dyDescent="0.35">
      <c r="A757" s="4" t="s">
        <v>1141</v>
      </c>
      <c r="B757" s="1" t="s">
        <v>1879</v>
      </c>
      <c r="C757" s="11">
        <v>45027</v>
      </c>
      <c r="D757" s="11" t="s">
        <v>5141</v>
      </c>
      <c r="E757" s="1" t="s">
        <v>21</v>
      </c>
      <c r="F757" s="1" t="s">
        <v>5142</v>
      </c>
      <c r="G757" s="6">
        <f>COUNTIF(F:F,Table2[[#This Row],[Form '#]])</f>
        <v>1</v>
      </c>
      <c r="H757" s="1" t="s">
        <v>1725</v>
      </c>
      <c r="I757" s="1" t="s">
        <v>177</v>
      </c>
      <c r="J757" s="1" t="s">
        <v>75</v>
      </c>
      <c r="K757" s="1" t="s">
        <v>4011</v>
      </c>
      <c r="L757" s="1"/>
      <c r="M757" s="6" t="str">
        <f>IF(Table2[[#This Row],[Corrected Form '#
 (If Duplicated)]]="",Table2[[#This Row],[Form '#]],Table2[[#This Row],[Corrected Form '#
 (If Duplicated)]])</f>
        <v>7818-26655</v>
      </c>
      <c r="N757" s="1" t="s">
        <v>49</v>
      </c>
      <c r="O757" s="6" t="str">
        <f>IF(Table2[[#This Row],[POG CONFIRMATION RECEIPT OF ORDER
(DATE &amp; TIME)]]="","No Confirmation","Received Confirmation")</f>
        <v>Received Confirmation</v>
      </c>
      <c r="P757" s="6">
        <f ca="1">TODAY()-Table2[[#This Row],[DATE SENT TO POG]]</f>
        <v>276</v>
      </c>
      <c r="Q757" s="6" t="s">
        <v>5803</v>
      </c>
      <c r="R7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7" s="2" t="str">
        <f>_xlfn.XLOOKUP(Table2[[#This Row],[Adjusted Form '#]],'[2]IN PROGRESS'!$D:$D,'[2]IN PROGRESS'!$M:$M,"Not Found")</f>
        <v>Not Found</v>
      </c>
      <c r="U757" s="2" t="str">
        <f>_xlfn.XLOOKUP(Table2[[#This Row],[Adjusted Form '#]],[1]COMPLETED!$D:$D,[2]COMPLETED!$M:$M,"Not Found")</f>
        <v>Not Found</v>
      </c>
      <c r="V757" s="17" t="str">
        <f>_xlfn.XLOOKUP(Table2[[#This Row],[Adjusted Form '#]],[2]COMPLETED!$D:$D,[2]COMPLETED!$O:$O,"Not Found")</f>
        <v>Not Found</v>
      </c>
      <c r="W757" s="2" t="str">
        <f>_xlfn.XLOOKUP(Table2[[#This Row],[Adjusted Form '#]],[2]BILLED!$D:$D,[2]BILLED!$M:$M,"Not Found")</f>
        <v>1Z5063E0YW41467700</v>
      </c>
      <c r="X757" s="17" t="e">
        <f>_xlfn.XLOOKUP(Table2[[#This Row],[Adjusted Form '#]],[2]BILLED!$D:$D,[1]BILLED!$O:$O,"Not Found")</f>
        <v>#REF!</v>
      </c>
      <c r="Y757" s="17" t="e">
        <f>_xlfn.XLOOKUP(Table2[[#This Row],[Adjusted Form '#]],'[2]REJECTED ORDERS'!$D:$D,'[2]REJECTED ORDERS'!$E:$E)</f>
        <v>#N/A</v>
      </c>
      <c r="Z757" s="1"/>
      <c r="AA757" s="1"/>
      <c r="AB757" s="8"/>
      <c r="AC757" s="8"/>
      <c r="AD757" s="8"/>
      <c r="AE757" s="8"/>
      <c r="AF757" s="8"/>
      <c r="AG757" s="8"/>
      <c r="AH757" s="8"/>
      <c r="AI757" s="8"/>
      <c r="AJ757" s="8"/>
    </row>
    <row r="758" spans="1:36" ht="15" customHeight="1" x14ac:dyDescent="0.35">
      <c r="A758" s="4" t="s">
        <v>1143</v>
      </c>
      <c r="B758" s="1" t="s">
        <v>2875</v>
      </c>
      <c r="C758" s="11">
        <v>45027</v>
      </c>
      <c r="E758" s="1" t="s">
        <v>73</v>
      </c>
      <c r="F758" s="1" t="s">
        <v>5143</v>
      </c>
      <c r="G758" s="6">
        <f>COUNTIF(F:F,Table2[[#This Row],[Form '#]])</f>
        <v>1</v>
      </c>
      <c r="H758" s="1" t="s">
        <v>5144</v>
      </c>
      <c r="I758" s="1" t="s">
        <v>3864</v>
      </c>
      <c r="J758" s="1" t="s">
        <v>78</v>
      </c>
      <c r="K758" s="1" t="s">
        <v>3879</v>
      </c>
      <c r="L758" s="1"/>
      <c r="M758" s="6" t="str">
        <f>IF(Table2[[#This Row],[Corrected Form '#
 (If Duplicated)]]="",Table2[[#This Row],[Form '#]],Table2[[#This Row],[Corrected Form '#
 (If Duplicated)]])</f>
        <v>7823-01663</v>
      </c>
      <c r="N758" s="1" t="s">
        <v>49</v>
      </c>
      <c r="O758" s="6" t="str">
        <f>IF(Table2[[#This Row],[POG CONFIRMATION RECEIPT OF ORDER
(DATE &amp; TIME)]]="","No Confirmation","Received Confirmation")</f>
        <v>No Confirmation</v>
      </c>
      <c r="P758" s="6">
        <f ca="1">TODAY()-Table2[[#This Row],[DATE SENT TO POG]]</f>
        <v>276</v>
      </c>
      <c r="Q758" s="6" t="s">
        <v>5803</v>
      </c>
      <c r="R7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8" s="2" t="str">
        <f>_xlfn.XLOOKUP(Table2[[#This Row],[Adjusted Form '#]],'[2]IN PROGRESS'!$D:$D,'[2]IN PROGRESS'!$M:$M,"Not Found")</f>
        <v>Not Found</v>
      </c>
      <c r="U758" s="2" t="str">
        <f>_xlfn.XLOOKUP(Table2[[#This Row],[Adjusted Form '#]],[1]COMPLETED!$D:$D,[2]COMPLETED!$M:$M,"Not Found")</f>
        <v>Not Found</v>
      </c>
      <c r="V758" s="17" t="str">
        <f>_xlfn.XLOOKUP(Table2[[#This Row],[Adjusted Form '#]],[2]COMPLETED!$D:$D,[2]COMPLETED!$O:$O,"Not Found")</f>
        <v>Not Found</v>
      </c>
      <c r="W758" s="2" t="str">
        <f>_xlfn.XLOOKUP(Table2[[#This Row],[Adjusted Form '#]],[2]BILLED!$D:$D,[2]BILLED!$M:$M,"Not Found")</f>
        <v>9400 1112 0620 7057 1748 67</v>
      </c>
      <c r="X758" s="17" t="e">
        <f>_xlfn.XLOOKUP(Table2[[#This Row],[Adjusted Form '#]],[2]BILLED!$D:$D,[1]BILLED!$O:$O,"Not Found")</f>
        <v>#REF!</v>
      </c>
      <c r="Y758" s="17" t="e">
        <f>_xlfn.XLOOKUP(Table2[[#This Row],[Adjusted Form '#]],'[2]REJECTED ORDERS'!$D:$D,'[2]REJECTED ORDERS'!$E:$E)</f>
        <v>#N/A</v>
      </c>
      <c r="Z758" s="1"/>
      <c r="AA758" s="1"/>
      <c r="AB758" s="8"/>
      <c r="AC758" s="8"/>
      <c r="AD758" s="8"/>
      <c r="AE758" s="8"/>
      <c r="AF758" s="8"/>
      <c r="AG758" s="8"/>
      <c r="AH758" s="8"/>
      <c r="AI758" s="8"/>
      <c r="AJ758" s="8"/>
    </row>
    <row r="759" spans="1:36" ht="15" customHeight="1" x14ac:dyDescent="0.35">
      <c r="A759" s="4" t="s">
        <v>1145</v>
      </c>
      <c r="B759" s="1" t="s">
        <v>968</v>
      </c>
      <c r="C759" s="11">
        <v>45027</v>
      </c>
      <c r="E759" s="1" t="s">
        <v>21</v>
      </c>
      <c r="F759" s="1" t="s">
        <v>5145</v>
      </c>
      <c r="G759" s="6">
        <f>COUNTIF(F:F,Table2[[#This Row],[Form '#]])</f>
        <v>1</v>
      </c>
      <c r="H759" s="1" t="s">
        <v>5146</v>
      </c>
      <c r="I759" s="1" t="s">
        <v>3864</v>
      </c>
      <c r="J759" s="1" t="s">
        <v>78</v>
      </c>
      <c r="K759" s="1" t="s">
        <v>3879</v>
      </c>
      <c r="L759" s="1"/>
      <c r="M759" s="6" t="str">
        <f>IF(Table2[[#This Row],[Corrected Form '#
 (If Duplicated)]]="",Table2[[#This Row],[Form '#]],Table2[[#This Row],[Corrected Form '#
 (If Duplicated)]])</f>
        <v>7818-29862</v>
      </c>
      <c r="N759" s="1" t="s">
        <v>49</v>
      </c>
      <c r="O759" s="6" t="str">
        <f>IF(Table2[[#This Row],[POG CONFIRMATION RECEIPT OF ORDER
(DATE &amp; TIME)]]="","No Confirmation","Received Confirmation")</f>
        <v>No Confirmation</v>
      </c>
      <c r="P759" s="6">
        <f ca="1">TODAY()-Table2[[#This Row],[DATE SENT TO POG]]</f>
        <v>276</v>
      </c>
      <c r="Q759" s="6" t="s">
        <v>5803</v>
      </c>
      <c r="R7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59" s="2" t="str">
        <f>_xlfn.XLOOKUP(Table2[[#This Row],[Adjusted Form '#]],'[2]IN PROGRESS'!$D:$D,'[2]IN PROGRESS'!$M:$M,"Not Found")</f>
        <v>Not Found</v>
      </c>
      <c r="U759" s="2" t="str">
        <f>_xlfn.XLOOKUP(Table2[[#This Row],[Adjusted Form '#]],[1]COMPLETED!$D:$D,[2]COMPLETED!$M:$M,"Not Found")</f>
        <v>Not Found</v>
      </c>
      <c r="V759" s="17" t="str">
        <f>_xlfn.XLOOKUP(Table2[[#This Row],[Adjusted Form '#]],[2]COMPLETED!$D:$D,[2]COMPLETED!$O:$O,"Not Found")</f>
        <v>Not Found</v>
      </c>
      <c r="W759" s="2" t="str">
        <f>_xlfn.XLOOKUP(Table2[[#This Row],[Adjusted Form '#]],[2]BILLED!$D:$D,[2]BILLED!$M:$M,"Not Found")</f>
        <v>1Z5063E0YW41738702</v>
      </c>
      <c r="X759" s="17" t="e">
        <f>_xlfn.XLOOKUP(Table2[[#This Row],[Adjusted Form '#]],[2]BILLED!$D:$D,[1]BILLED!$O:$O,"Not Found")</f>
        <v>#REF!</v>
      </c>
      <c r="Y759" s="17" t="e">
        <f>_xlfn.XLOOKUP(Table2[[#This Row],[Adjusted Form '#]],'[2]REJECTED ORDERS'!$D:$D,'[2]REJECTED ORDERS'!$E:$E)</f>
        <v>#N/A</v>
      </c>
      <c r="Z759" s="1"/>
      <c r="AA759" s="1"/>
      <c r="AB759" s="8"/>
      <c r="AC759" s="8"/>
      <c r="AD759" s="8"/>
      <c r="AE759" s="8"/>
      <c r="AF759" s="8"/>
      <c r="AG759" s="8"/>
      <c r="AH759" s="8"/>
      <c r="AI759" s="8"/>
      <c r="AJ759" s="8"/>
    </row>
    <row r="760" spans="1:36" ht="15" customHeight="1" x14ac:dyDescent="0.35">
      <c r="A760" s="4" t="s">
        <v>1146</v>
      </c>
      <c r="B760" s="1" t="s">
        <v>968</v>
      </c>
      <c r="C760" s="11">
        <v>45027</v>
      </c>
      <c r="E760" s="1" t="s">
        <v>21</v>
      </c>
      <c r="F760" s="1" t="s">
        <v>5147</v>
      </c>
      <c r="G760" s="6">
        <f>COUNTIF(F:F,Table2[[#This Row],[Form '#]])</f>
        <v>1</v>
      </c>
      <c r="H760" s="1" t="s">
        <v>5148</v>
      </c>
      <c r="I760" s="1" t="s">
        <v>106</v>
      </c>
      <c r="J760" s="1" t="s">
        <v>72</v>
      </c>
      <c r="K760" s="1" t="s">
        <v>4530</v>
      </c>
      <c r="L760" s="1"/>
      <c r="M760" s="6" t="str">
        <f>IF(Table2[[#This Row],[Corrected Form '#
 (If Duplicated)]]="",Table2[[#This Row],[Form '#]],Table2[[#This Row],[Corrected Form '#
 (If Duplicated)]])</f>
        <v>7818-23781</v>
      </c>
      <c r="N760" s="1" t="s">
        <v>49</v>
      </c>
      <c r="O760" s="6" t="str">
        <f>IF(Table2[[#This Row],[POG CONFIRMATION RECEIPT OF ORDER
(DATE &amp; TIME)]]="","No Confirmation","Received Confirmation")</f>
        <v>No Confirmation</v>
      </c>
      <c r="P760" s="6">
        <f ca="1">TODAY()-Table2[[#This Row],[DATE SENT TO POG]]</f>
        <v>276</v>
      </c>
      <c r="Q760" s="6" t="s">
        <v>5803</v>
      </c>
      <c r="R7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0" s="2" t="str">
        <f>_xlfn.XLOOKUP(Table2[[#This Row],[Adjusted Form '#]],'[2]IN PROGRESS'!$D:$D,'[2]IN PROGRESS'!$M:$M,"Not Found")</f>
        <v>Not Found</v>
      </c>
      <c r="U760" s="2" t="str">
        <f>_xlfn.XLOOKUP(Table2[[#This Row],[Adjusted Form '#]],[1]COMPLETED!$D:$D,[2]COMPLETED!$M:$M,"Not Found")</f>
        <v>Not Found</v>
      </c>
      <c r="V760" s="17" t="str">
        <f>_xlfn.XLOOKUP(Table2[[#This Row],[Adjusted Form '#]],[2]COMPLETED!$D:$D,[2]COMPLETED!$O:$O,"Not Found")</f>
        <v>Not Found</v>
      </c>
      <c r="W760" s="2" t="str">
        <f>_xlfn.XLOOKUP(Table2[[#This Row],[Adjusted Form '#]],[2]BILLED!$D:$D,[2]BILLED!$M:$M,"Not Found")</f>
        <v>1Z5063E0YW41850876</v>
      </c>
      <c r="X760" s="17" t="e">
        <f>_xlfn.XLOOKUP(Table2[[#This Row],[Adjusted Form '#]],[2]BILLED!$D:$D,[1]BILLED!$O:$O,"Not Found")</f>
        <v>#REF!</v>
      </c>
      <c r="Y760" s="17" t="e">
        <f>_xlfn.XLOOKUP(Table2[[#This Row],[Adjusted Form '#]],'[2]REJECTED ORDERS'!$D:$D,'[2]REJECTED ORDERS'!$E:$E)</f>
        <v>#N/A</v>
      </c>
      <c r="Z760" s="1"/>
      <c r="AA760" s="1"/>
      <c r="AB760" s="8"/>
      <c r="AC760" s="8"/>
      <c r="AD760" s="8"/>
      <c r="AE760" s="8"/>
      <c r="AF760" s="8"/>
      <c r="AG760" s="8"/>
      <c r="AH760" s="8"/>
      <c r="AI760" s="8"/>
      <c r="AJ760" s="8"/>
    </row>
    <row r="761" spans="1:36" ht="15" customHeight="1" x14ac:dyDescent="0.35">
      <c r="A761" s="4" t="s">
        <v>1147</v>
      </c>
      <c r="B761" s="1" t="s">
        <v>968</v>
      </c>
      <c r="C761" s="11">
        <v>45027</v>
      </c>
      <c r="E761" s="1" t="s">
        <v>21</v>
      </c>
      <c r="F761" s="1" t="s">
        <v>5149</v>
      </c>
      <c r="G761" s="6">
        <f>COUNTIF(F:F,Table2[[#This Row],[Form '#]])</f>
        <v>1</v>
      </c>
      <c r="H761" s="1" t="s">
        <v>5150</v>
      </c>
      <c r="I761" s="1" t="s">
        <v>3852</v>
      </c>
      <c r="J761" s="1" t="s">
        <v>80</v>
      </c>
      <c r="K761" s="1" t="s">
        <v>3853</v>
      </c>
      <c r="L761" s="1"/>
      <c r="M761" s="6" t="str">
        <f>IF(Table2[[#This Row],[Corrected Form '#
 (If Duplicated)]]="",Table2[[#This Row],[Form '#]],Table2[[#This Row],[Corrected Form '#
 (If Duplicated)]])</f>
        <v>7818-17588</v>
      </c>
      <c r="N761" s="1" t="s">
        <v>49</v>
      </c>
      <c r="O761" s="6" t="str">
        <f>IF(Table2[[#This Row],[POG CONFIRMATION RECEIPT OF ORDER
(DATE &amp; TIME)]]="","No Confirmation","Received Confirmation")</f>
        <v>No Confirmation</v>
      </c>
      <c r="P761" s="6">
        <f ca="1">TODAY()-Table2[[#This Row],[DATE SENT TO POG]]</f>
        <v>276</v>
      </c>
      <c r="Q761" s="6" t="s">
        <v>5803</v>
      </c>
      <c r="R7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1" s="2" t="str">
        <f>_xlfn.XLOOKUP(Table2[[#This Row],[Adjusted Form '#]],'[2]IN PROGRESS'!$D:$D,'[2]IN PROGRESS'!$M:$M,"Not Found")</f>
        <v>Not Found</v>
      </c>
      <c r="U761" s="2" t="str">
        <f>_xlfn.XLOOKUP(Table2[[#This Row],[Adjusted Form '#]],[1]COMPLETED!$D:$D,[2]COMPLETED!$M:$M,"Not Found")</f>
        <v>Not Found</v>
      </c>
      <c r="V761" s="17" t="str">
        <f>_xlfn.XLOOKUP(Table2[[#This Row],[Adjusted Form '#]],[2]COMPLETED!$D:$D,[2]COMPLETED!$O:$O,"Not Found")</f>
        <v>Not Found</v>
      </c>
      <c r="W761" s="2" t="str">
        <f>_xlfn.XLOOKUP(Table2[[#This Row],[Adjusted Form '#]],[2]BILLED!$D:$D,[2]BILLED!$M:$M,"Not Found")</f>
        <v>1Z5063E0YW40511501</v>
      </c>
      <c r="X761" s="17" t="e">
        <f>_xlfn.XLOOKUP(Table2[[#This Row],[Adjusted Form '#]],[2]BILLED!$D:$D,[1]BILLED!$O:$O,"Not Found")</f>
        <v>#REF!</v>
      </c>
      <c r="Y761" s="17" t="e">
        <f>_xlfn.XLOOKUP(Table2[[#This Row],[Adjusted Form '#]],'[2]REJECTED ORDERS'!$D:$D,'[2]REJECTED ORDERS'!$E:$E)</f>
        <v>#N/A</v>
      </c>
      <c r="Z761" s="1"/>
      <c r="AA761" s="1"/>
      <c r="AB761" s="8"/>
      <c r="AC761" s="8"/>
      <c r="AD761" s="8"/>
      <c r="AE761" s="8"/>
      <c r="AF761" s="8"/>
      <c r="AG761" s="8"/>
      <c r="AH761" s="8"/>
      <c r="AI761" s="8"/>
      <c r="AJ761" s="8"/>
    </row>
    <row r="762" spans="1:36" ht="15" customHeight="1" x14ac:dyDescent="0.35">
      <c r="A762" s="4" t="s">
        <v>1148</v>
      </c>
      <c r="B762" s="1" t="s">
        <v>968</v>
      </c>
      <c r="C762" s="11">
        <v>45027</v>
      </c>
      <c r="E762" s="1" t="s">
        <v>21</v>
      </c>
      <c r="F762" s="1" t="s">
        <v>5151</v>
      </c>
      <c r="G762" s="6">
        <f>COUNTIF(F:F,Table2[[#This Row],[Form '#]])</f>
        <v>1</v>
      </c>
      <c r="H762" s="1" t="s">
        <v>5152</v>
      </c>
      <c r="I762" s="1" t="s">
        <v>758</v>
      </c>
      <c r="J762" s="1" t="s">
        <v>78</v>
      </c>
      <c r="K762" s="1" t="s">
        <v>3853</v>
      </c>
      <c r="L762" s="1"/>
      <c r="M762" s="6" t="str">
        <f>IF(Table2[[#This Row],[Corrected Form '#
 (If Duplicated)]]="",Table2[[#This Row],[Form '#]],Table2[[#This Row],[Corrected Form '#
 (If Duplicated)]])</f>
        <v>7818-23314</v>
      </c>
      <c r="N762" s="1" t="s">
        <v>49</v>
      </c>
      <c r="O762" s="6" t="str">
        <f>IF(Table2[[#This Row],[POG CONFIRMATION RECEIPT OF ORDER
(DATE &amp; TIME)]]="","No Confirmation","Received Confirmation")</f>
        <v>No Confirmation</v>
      </c>
      <c r="P762" s="6">
        <f ca="1">TODAY()-Table2[[#This Row],[DATE SENT TO POG]]</f>
        <v>276</v>
      </c>
      <c r="Q762" s="6" t="s">
        <v>5803</v>
      </c>
      <c r="R7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2" s="2" t="str">
        <f>_xlfn.XLOOKUP(Table2[[#This Row],[Adjusted Form '#]],'[2]IN PROGRESS'!$D:$D,'[2]IN PROGRESS'!$M:$M,"Not Found")</f>
        <v>Not Found</v>
      </c>
      <c r="U762" s="2" t="str">
        <f>_xlfn.XLOOKUP(Table2[[#This Row],[Adjusted Form '#]],[1]COMPLETED!$D:$D,[2]COMPLETED!$M:$M,"Not Found")</f>
        <v>Not Found</v>
      </c>
      <c r="V762" s="17" t="str">
        <f>_xlfn.XLOOKUP(Table2[[#This Row],[Adjusted Form '#]],[2]COMPLETED!$D:$D,[2]COMPLETED!$O:$O,"Not Found")</f>
        <v>Not Found</v>
      </c>
      <c r="W762" s="2" t="str">
        <f>_xlfn.XLOOKUP(Table2[[#This Row],[Adjusted Form '#]],[2]BILLED!$D:$D,[2]BILLED!$M:$M,"Not Found")</f>
        <v>1Z5063E0YW42868249</v>
      </c>
      <c r="X762" s="17" t="e">
        <f>_xlfn.XLOOKUP(Table2[[#This Row],[Adjusted Form '#]],[2]BILLED!$D:$D,[1]BILLED!$O:$O,"Not Found")</f>
        <v>#REF!</v>
      </c>
      <c r="Y762" s="17" t="str">
        <f>_xlfn.XLOOKUP(Table2[[#This Row],[Adjusted Form '#]],'[2]REJECTED ORDERS'!$D:$D,'[2]REJECTED ORDERS'!$E:$E)</f>
        <v>FORM NOT SIGNED</v>
      </c>
      <c r="Z762" s="1"/>
      <c r="AA762" s="1"/>
      <c r="AB762" s="8"/>
      <c r="AC762" s="8"/>
      <c r="AD762" s="8"/>
      <c r="AE762" s="8"/>
      <c r="AF762" s="8"/>
      <c r="AG762" s="8"/>
      <c r="AH762" s="8"/>
      <c r="AI762" s="8"/>
      <c r="AJ762" s="8"/>
    </row>
    <row r="763" spans="1:36" ht="15" customHeight="1" x14ac:dyDescent="0.35">
      <c r="A763" s="4" t="s">
        <v>1150</v>
      </c>
      <c r="B763" s="1" t="s">
        <v>2622</v>
      </c>
      <c r="C763" s="11">
        <v>45028</v>
      </c>
      <c r="D763" s="11" t="s">
        <v>5153</v>
      </c>
      <c r="E763" s="1" t="s">
        <v>1592</v>
      </c>
      <c r="F763" s="1" t="s">
        <v>3663</v>
      </c>
      <c r="G763" s="6">
        <f>COUNTIF(F:F,Table2[[#This Row],[Form '#]])</f>
        <v>1</v>
      </c>
      <c r="H763" s="1" t="s">
        <v>3664</v>
      </c>
      <c r="I763" s="1" t="s">
        <v>127</v>
      </c>
      <c r="J763" s="1" t="s">
        <v>74</v>
      </c>
      <c r="K763" s="1" t="s">
        <v>4011</v>
      </c>
      <c r="L763" s="1"/>
      <c r="M763" s="6" t="str">
        <f>IF(Table2[[#This Row],[Corrected Form '#
 (If Duplicated)]]="",Table2[[#This Row],[Form '#]],Table2[[#This Row],[Corrected Form '#
 (If Duplicated)]])</f>
        <v>7811-00076</v>
      </c>
      <c r="N763" s="1" t="s">
        <v>49</v>
      </c>
      <c r="O763" s="6" t="str">
        <f>IF(Table2[[#This Row],[POG CONFIRMATION RECEIPT OF ORDER
(DATE &amp; TIME)]]="","No Confirmation","Received Confirmation")</f>
        <v>Received Confirmation</v>
      </c>
      <c r="P763" s="6">
        <f ca="1">TODAY()-Table2[[#This Row],[DATE SENT TO POG]]</f>
        <v>275</v>
      </c>
      <c r="Q763" s="6" t="s">
        <v>5803</v>
      </c>
      <c r="R7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3" s="2" t="str">
        <f>_xlfn.XLOOKUP(Table2[[#This Row],[Adjusted Form '#]],'[2]IN PROGRESS'!$D:$D,'[2]IN PROGRESS'!$M:$M,"Not Found")</f>
        <v>Not Found</v>
      </c>
      <c r="U763" s="2" t="str">
        <f>_xlfn.XLOOKUP(Table2[[#This Row],[Adjusted Form '#]],[1]COMPLETED!$D:$D,[2]COMPLETED!$M:$M,"Not Found")</f>
        <v>Not Found</v>
      </c>
      <c r="V763" s="17" t="str">
        <f>_xlfn.XLOOKUP(Table2[[#This Row],[Adjusted Form '#]],[2]COMPLETED!$D:$D,[2]COMPLETED!$O:$O,"Not Found")</f>
        <v>Not Found</v>
      </c>
      <c r="W763" s="2" t="str">
        <f>_xlfn.XLOOKUP(Table2[[#This Row],[Adjusted Form '#]],[2]BILLED!$D:$D,[2]BILLED!$M:$M,"Not Found")</f>
        <v>1Z5063E0YW40337861</v>
      </c>
      <c r="X763" s="17" t="e">
        <f>_xlfn.XLOOKUP(Table2[[#This Row],[Adjusted Form '#]],[2]BILLED!$D:$D,[1]BILLED!$O:$O,"Not Found")</f>
        <v>#REF!</v>
      </c>
      <c r="Y763" s="17" t="str">
        <f>_xlfn.XLOOKUP(Table2[[#This Row],[Adjusted Form '#]],'[2]REJECTED ORDERS'!$D:$D,'[2]REJECTED ORDERS'!$E:$E)</f>
        <v>FORM NOT SIGNED</v>
      </c>
      <c r="Z763" s="1"/>
      <c r="AA763" s="1"/>
      <c r="AB763" s="8"/>
      <c r="AC763" s="8"/>
      <c r="AD763" s="8"/>
      <c r="AE763" s="8"/>
      <c r="AF763" s="8"/>
      <c r="AG763" s="8"/>
      <c r="AH763" s="8"/>
      <c r="AI763" s="8"/>
      <c r="AJ763" s="8"/>
    </row>
    <row r="764" spans="1:36" ht="15" customHeight="1" x14ac:dyDescent="0.35">
      <c r="A764" s="4" t="s">
        <v>1151</v>
      </c>
      <c r="B764" s="1" t="s">
        <v>5154</v>
      </c>
      <c r="C764" s="11">
        <v>45028</v>
      </c>
      <c r="D764" s="11" t="s">
        <v>5155</v>
      </c>
      <c r="E764" s="1" t="s">
        <v>21</v>
      </c>
      <c r="F764" s="1" t="s">
        <v>5156</v>
      </c>
      <c r="G764" s="6">
        <f>COUNTIF(F:F,Table2[[#This Row],[Form '#]])</f>
        <v>1</v>
      </c>
      <c r="H764" s="1" t="s">
        <v>3071</v>
      </c>
      <c r="I764" s="1" t="s">
        <v>3852</v>
      </c>
      <c r="J764" s="1" t="s">
        <v>80</v>
      </c>
      <c r="K764" s="1" t="s">
        <v>3853</v>
      </c>
      <c r="L764" s="1"/>
      <c r="M764" s="6" t="str">
        <f>IF(Table2[[#This Row],[Corrected Form '#
 (If Duplicated)]]="",Table2[[#This Row],[Form '#]],Table2[[#This Row],[Corrected Form '#
 (If Duplicated)]])</f>
        <v>7818-11705</v>
      </c>
      <c r="N764" s="1" t="s">
        <v>49</v>
      </c>
      <c r="O764" s="6" t="str">
        <f>IF(Table2[[#This Row],[POG CONFIRMATION RECEIPT OF ORDER
(DATE &amp; TIME)]]="","No Confirmation","Received Confirmation")</f>
        <v>Received Confirmation</v>
      </c>
      <c r="P764" s="6">
        <f ca="1">TODAY()-Table2[[#This Row],[DATE SENT TO POG]]</f>
        <v>275</v>
      </c>
      <c r="Q764" s="6" t="s">
        <v>5803</v>
      </c>
      <c r="R7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4" s="2" t="str">
        <f>_xlfn.XLOOKUP(Table2[[#This Row],[Adjusted Form '#]],'[2]IN PROGRESS'!$D:$D,'[2]IN PROGRESS'!$M:$M,"Not Found")</f>
        <v>Not Found</v>
      </c>
      <c r="U764" s="2" t="str">
        <f>_xlfn.XLOOKUP(Table2[[#This Row],[Adjusted Form '#]],[1]COMPLETED!$D:$D,[2]COMPLETED!$M:$M,"Not Found")</f>
        <v>Not Found</v>
      </c>
      <c r="V764" s="17" t="str">
        <f>_xlfn.XLOOKUP(Table2[[#This Row],[Adjusted Form '#]],[2]COMPLETED!$D:$D,[2]COMPLETED!$O:$O,"Not Found")</f>
        <v>Not Found</v>
      </c>
      <c r="W764" s="2" t="str">
        <f>_xlfn.XLOOKUP(Table2[[#This Row],[Adjusted Form '#]],[2]BILLED!$D:$D,[2]BILLED!$M:$M,"Not Found")</f>
        <v>1Z5063E0YW42328411</v>
      </c>
      <c r="X764" s="17" t="e">
        <f>_xlfn.XLOOKUP(Table2[[#This Row],[Adjusted Form '#]],[2]BILLED!$D:$D,[1]BILLED!$O:$O,"Not Found")</f>
        <v>#REF!</v>
      </c>
      <c r="Y764" s="17" t="e">
        <f>_xlfn.XLOOKUP(Table2[[#This Row],[Adjusted Form '#]],'[2]REJECTED ORDERS'!$D:$D,'[2]REJECTED ORDERS'!$E:$E)</f>
        <v>#N/A</v>
      </c>
      <c r="Z764" s="1"/>
      <c r="AA764" s="1"/>
      <c r="AB764" s="8"/>
      <c r="AC764" s="8"/>
      <c r="AD764" s="8"/>
      <c r="AE764" s="8"/>
      <c r="AF764" s="8"/>
      <c r="AG764" s="8"/>
      <c r="AH764" s="8"/>
      <c r="AI764" s="8"/>
      <c r="AJ764" s="8"/>
    </row>
    <row r="765" spans="1:36" ht="15" customHeight="1" x14ac:dyDescent="0.35">
      <c r="A765" s="4" t="s">
        <v>1153</v>
      </c>
      <c r="B765" s="1" t="s">
        <v>5154</v>
      </c>
      <c r="C765" s="11">
        <v>45028</v>
      </c>
      <c r="D765" s="11" t="s">
        <v>5155</v>
      </c>
      <c r="E765" s="1" t="s">
        <v>21</v>
      </c>
      <c r="F765" s="1" t="s">
        <v>5157</v>
      </c>
      <c r="G765" s="6">
        <f>COUNTIF(F:F,Table2[[#This Row],[Form '#]])</f>
        <v>1</v>
      </c>
      <c r="H765" s="1" t="s">
        <v>3264</v>
      </c>
      <c r="I765" s="1" t="s">
        <v>3852</v>
      </c>
      <c r="J765" s="1" t="s">
        <v>80</v>
      </c>
      <c r="K765" s="1" t="s">
        <v>3853</v>
      </c>
      <c r="L765" s="1"/>
      <c r="M765" s="6" t="str">
        <f>IF(Table2[[#This Row],[Corrected Form '#
 (If Duplicated)]]="",Table2[[#This Row],[Form '#]],Table2[[#This Row],[Corrected Form '#
 (If Duplicated)]])</f>
        <v>7818-28335</v>
      </c>
      <c r="N765" s="1" t="s">
        <v>49</v>
      </c>
      <c r="O765" s="6" t="str">
        <f>IF(Table2[[#This Row],[POG CONFIRMATION RECEIPT OF ORDER
(DATE &amp; TIME)]]="","No Confirmation","Received Confirmation")</f>
        <v>Received Confirmation</v>
      </c>
      <c r="P765" s="6">
        <f ca="1">TODAY()-Table2[[#This Row],[DATE SENT TO POG]]</f>
        <v>275</v>
      </c>
      <c r="Q765" s="6" t="s">
        <v>5803</v>
      </c>
      <c r="R7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5" s="2" t="str">
        <f>_xlfn.XLOOKUP(Table2[[#This Row],[Adjusted Form '#]],'[2]IN PROGRESS'!$D:$D,'[2]IN PROGRESS'!$M:$M,"Not Found")</f>
        <v>Not Found</v>
      </c>
      <c r="U765" s="2" t="str">
        <f>_xlfn.XLOOKUP(Table2[[#This Row],[Adjusted Form '#]],[1]COMPLETED!$D:$D,[2]COMPLETED!$M:$M,"Not Found")</f>
        <v>Not Found</v>
      </c>
      <c r="V765" s="17" t="str">
        <f>_xlfn.XLOOKUP(Table2[[#This Row],[Adjusted Form '#]],[2]COMPLETED!$D:$D,[2]COMPLETED!$O:$O,"Not Found")</f>
        <v>Not Found</v>
      </c>
      <c r="W765" s="2" t="str">
        <f>_xlfn.XLOOKUP(Table2[[#This Row],[Adjusted Form '#]],[2]BILLED!$D:$D,[2]BILLED!$M:$M,"Not Found")</f>
        <v>1Z5063E0YW40367150</v>
      </c>
      <c r="X765" s="17" t="e">
        <f>_xlfn.XLOOKUP(Table2[[#This Row],[Adjusted Form '#]],[2]BILLED!$D:$D,[1]BILLED!$O:$O,"Not Found")</f>
        <v>#REF!</v>
      </c>
      <c r="Y765" s="17" t="e">
        <f>_xlfn.XLOOKUP(Table2[[#This Row],[Adjusted Form '#]],'[2]REJECTED ORDERS'!$D:$D,'[2]REJECTED ORDERS'!$E:$E)</f>
        <v>#N/A</v>
      </c>
      <c r="Z765" s="1"/>
      <c r="AA765" s="1"/>
      <c r="AB765" s="8"/>
      <c r="AC765" s="8"/>
      <c r="AD765" s="8"/>
      <c r="AE765" s="8"/>
      <c r="AF765" s="8"/>
      <c r="AG765" s="8"/>
      <c r="AH765" s="8"/>
      <c r="AI765" s="8"/>
      <c r="AJ765" s="8"/>
    </row>
    <row r="766" spans="1:36" ht="15" customHeight="1" x14ac:dyDescent="0.35">
      <c r="A766" s="4" t="s">
        <v>1154</v>
      </c>
      <c r="B766" s="1" t="s">
        <v>415</v>
      </c>
      <c r="C766" s="11">
        <v>45028</v>
      </c>
      <c r="D766" s="11" t="s">
        <v>5155</v>
      </c>
      <c r="E766" s="1" t="s">
        <v>14</v>
      </c>
      <c r="F766" s="1" t="s">
        <v>5158</v>
      </c>
      <c r="G766" s="6">
        <f>COUNTIF(F:F,Table2[[#This Row],[Form '#]])</f>
        <v>2</v>
      </c>
      <c r="H766" s="1" t="s">
        <v>1349</v>
      </c>
      <c r="I766" s="1" t="s">
        <v>127</v>
      </c>
      <c r="J766" s="1" t="s">
        <v>74</v>
      </c>
      <c r="K766" s="1" t="s">
        <v>3883</v>
      </c>
      <c r="L766" s="1"/>
      <c r="M766" s="6" t="str">
        <f>IF(Table2[[#This Row],[Corrected Form '#
 (If Duplicated)]]="",Table2[[#This Row],[Form '#]],Table2[[#This Row],[Corrected Form '#
 (If Duplicated)]])</f>
        <v>7810-01853</v>
      </c>
      <c r="N766" s="1" t="s">
        <v>49</v>
      </c>
      <c r="O766" s="6" t="str">
        <f>IF(Table2[[#This Row],[POG CONFIRMATION RECEIPT OF ORDER
(DATE &amp; TIME)]]="","No Confirmation","Received Confirmation")</f>
        <v>Received Confirmation</v>
      </c>
      <c r="P766" s="6">
        <f ca="1">TODAY()-Table2[[#This Row],[DATE SENT TO POG]]</f>
        <v>275</v>
      </c>
      <c r="Q766" s="6" t="s">
        <v>5803</v>
      </c>
      <c r="R7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6" s="2" t="str">
        <f>_xlfn.XLOOKUP(Table2[[#This Row],[Adjusted Form '#]],'[2]IN PROGRESS'!$D:$D,'[2]IN PROGRESS'!$M:$M,"Not Found")</f>
        <v>Not Found</v>
      </c>
      <c r="U766" s="2" t="str">
        <f>_xlfn.XLOOKUP(Table2[[#This Row],[Adjusted Form '#]],[1]COMPLETED!$D:$D,[2]COMPLETED!$M:$M,"Not Found")</f>
        <v>Not Found</v>
      </c>
      <c r="V766" s="17" t="str">
        <f>_xlfn.XLOOKUP(Table2[[#This Row],[Adjusted Form '#]],[2]COMPLETED!$D:$D,[2]COMPLETED!$O:$O,"Not Found")</f>
        <v>Not Found</v>
      </c>
      <c r="W766" s="2" t="str">
        <f>_xlfn.XLOOKUP(Table2[[#This Row],[Adjusted Form '#]],[2]BILLED!$D:$D,[2]BILLED!$M:$M,"Not Found")</f>
        <v>1Z5063E0YW40420976</v>
      </c>
      <c r="X766" s="17" t="e">
        <f>_xlfn.XLOOKUP(Table2[[#This Row],[Adjusted Form '#]],[2]BILLED!$D:$D,[1]BILLED!$O:$O,"Not Found")</f>
        <v>#REF!</v>
      </c>
      <c r="Y766" s="17" t="e">
        <f>_xlfn.XLOOKUP(Table2[[#This Row],[Adjusted Form '#]],'[2]REJECTED ORDERS'!$D:$D,'[2]REJECTED ORDERS'!$E:$E)</f>
        <v>#N/A</v>
      </c>
      <c r="Z766" s="1"/>
      <c r="AA766" s="1"/>
      <c r="AB766" s="8"/>
      <c r="AC766" s="8"/>
      <c r="AD766" s="8"/>
      <c r="AE766" s="8"/>
      <c r="AF766" s="8"/>
      <c r="AG766" s="8"/>
      <c r="AH766" s="8"/>
      <c r="AI766" s="8"/>
      <c r="AJ766" s="8"/>
    </row>
    <row r="767" spans="1:36" ht="15" customHeight="1" x14ac:dyDescent="0.35">
      <c r="A767" s="4" t="s">
        <v>1156</v>
      </c>
      <c r="B767" s="1" t="s">
        <v>415</v>
      </c>
      <c r="C767" s="11">
        <v>45028</v>
      </c>
      <c r="D767" s="11" t="s">
        <v>5155</v>
      </c>
      <c r="E767" s="1" t="s">
        <v>14</v>
      </c>
      <c r="F767" s="1" t="s">
        <v>5159</v>
      </c>
      <c r="G767" s="6">
        <f>COUNTIF(F:F,Table2[[#This Row],[Form '#]])</f>
        <v>1</v>
      </c>
      <c r="H767" s="1" t="s">
        <v>643</v>
      </c>
      <c r="I767" s="1" t="s">
        <v>3864</v>
      </c>
      <c r="J767" s="1" t="s">
        <v>3891</v>
      </c>
      <c r="K767" s="1" t="s">
        <v>3891</v>
      </c>
      <c r="L767" s="1"/>
      <c r="M767" s="6" t="str">
        <f>IF(Table2[[#This Row],[Corrected Form '#
 (If Duplicated)]]="",Table2[[#This Row],[Form '#]],Table2[[#This Row],[Corrected Form '#
 (If Duplicated)]])</f>
        <v>7810-01897</v>
      </c>
      <c r="N767" s="1" t="s">
        <v>49</v>
      </c>
      <c r="O767" s="6" t="str">
        <f>IF(Table2[[#This Row],[POG CONFIRMATION RECEIPT OF ORDER
(DATE &amp; TIME)]]="","No Confirmation","Received Confirmation")</f>
        <v>Received Confirmation</v>
      </c>
      <c r="P767" s="6">
        <f ca="1">TODAY()-Table2[[#This Row],[DATE SENT TO POG]]</f>
        <v>275</v>
      </c>
      <c r="Q767" s="6" t="s">
        <v>5803</v>
      </c>
      <c r="R7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7" s="2" t="str">
        <f>_xlfn.XLOOKUP(Table2[[#This Row],[Adjusted Form '#]],'[2]IN PROGRESS'!$D:$D,'[2]IN PROGRESS'!$M:$M,"Not Found")</f>
        <v>Not Found</v>
      </c>
      <c r="U767" s="2" t="str">
        <f>_xlfn.XLOOKUP(Table2[[#This Row],[Adjusted Form '#]],[1]COMPLETED!$D:$D,[2]COMPLETED!$M:$M,"Not Found")</f>
        <v>Not Found</v>
      </c>
      <c r="V767" s="17" t="str">
        <f>_xlfn.XLOOKUP(Table2[[#This Row],[Adjusted Form '#]],[2]COMPLETED!$D:$D,[2]COMPLETED!$O:$O,"Not Found")</f>
        <v>Not Found</v>
      </c>
      <c r="W767" s="2" t="str">
        <f>_xlfn.XLOOKUP(Table2[[#This Row],[Adjusted Form '#]],[2]BILLED!$D:$D,[2]BILLED!$M:$M,"Not Found")</f>
        <v>1Z5063E0YW41538151</v>
      </c>
      <c r="X767" s="17" t="e">
        <f>_xlfn.XLOOKUP(Table2[[#This Row],[Adjusted Form '#]],[2]BILLED!$D:$D,[1]BILLED!$O:$O,"Not Found")</f>
        <v>#REF!</v>
      </c>
      <c r="Y767" s="17" t="e">
        <f>_xlfn.XLOOKUP(Table2[[#This Row],[Adjusted Form '#]],'[2]REJECTED ORDERS'!$D:$D,'[2]REJECTED ORDERS'!$E:$E)</f>
        <v>#N/A</v>
      </c>
      <c r="Z767" s="1"/>
      <c r="AA767" s="1"/>
      <c r="AB767" s="8"/>
      <c r="AC767" s="8"/>
      <c r="AD767" s="8"/>
      <c r="AE767" s="8"/>
      <c r="AF767" s="8"/>
      <c r="AG767" s="8"/>
      <c r="AH767" s="8"/>
      <c r="AI767" s="8"/>
      <c r="AJ767" s="8"/>
    </row>
    <row r="768" spans="1:36" ht="15" customHeight="1" x14ac:dyDescent="0.35">
      <c r="A768" s="4" t="s">
        <v>1157</v>
      </c>
      <c r="B768" s="1" t="s">
        <v>415</v>
      </c>
      <c r="C768" s="11">
        <v>45028</v>
      </c>
      <c r="D768" s="11" t="s">
        <v>5155</v>
      </c>
      <c r="E768" s="1" t="s">
        <v>14</v>
      </c>
      <c r="F768" s="1" t="s">
        <v>5158</v>
      </c>
      <c r="G768" s="6">
        <f>COUNTIF(F:F,Table2[[#This Row],[Form '#]])</f>
        <v>2</v>
      </c>
      <c r="H768" s="1" t="s">
        <v>5160</v>
      </c>
      <c r="I768" s="1" t="s">
        <v>3852</v>
      </c>
      <c r="J768" s="1" t="s">
        <v>75</v>
      </c>
      <c r="K768" s="1" t="s">
        <v>4011</v>
      </c>
      <c r="L768" s="1"/>
      <c r="M768" s="6" t="str">
        <f>IF(Table2[[#This Row],[Corrected Form '#
 (If Duplicated)]]="",Table2[[#This Row],[Form '#]],Table2[[#This Row],[Corrected Form '#
 (If Duplicated)]])</f>
        <v>7810-01853</v>
      </c>
      <c r="N768" s="1" t="s">
        <v>49</v>
      </c>
      <c r="O768" s="6" t="str">
        <f>IF(Table2[[#This Row],[POG CONFIRMATION RECEIPT OF ORDER
(DATE &amp; TIME)]]="","No Confirmation","Received Confirmation")</f>
        <v>Received Confirmation</v>
      </c>
      <c r="P768" s="6">
        <f ca="1">TODAY()-Table2[[#This Row],[DATE SENT TO POG]]</f>
        <v>275</v>
      </c>
      <c r="Q768" s="6" t="s">
        <v>5803</v>
      </c>
      <c r="R7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68" s="2" t="str">
        <f>_xlfn.XLOOKUP(Table2[[#This Row],[Adjusted Form '#]],'[2]IN PROGRESS'!$D:$D,'[2]IN PROGRESS'!$M:$M,"Not Found")</f>
        <v>Not Found</v>
      </c>
      <c r="U768" s="2" t="str">
        <f>_xlfn.XLOOKUP(Table2[[#This Row],[Adjusted Form '#]],[1]COMPLETED!$D:$D,[2]COMPLETED!$M:$M,"Not Found")</f>
        <v>Not Found</v>
      </c>
      <c r="V768" s="17" t="str">
        <f>_xlfn.XLOOKUP(Table2[[#This Row],[Adjusted Form '#]],[2]COMPLETED!$D:$D,[2]COMPLETED!$O:$O,"Not Found")</f>
        <v>Not Found</v>
      </c>
      <c r="W768" s="2" t="str">
        <f>_xlfn.XLOOKUP(Table2[[#This Row],[Adjusted Form '#]],[2]BILLED!$D:$D,[2]BILLED!$M:$M,"Not Found")</f>
        <v>1Z5063E0YW40420976</v>
      </c>
      <c r="X768" s="17" t="e">
        <f>_xlfn.XLOOKUP(Table2[[#This Row],[Adjusted Form '#]],[2]BILLED!$D:$D,[1]BILLED!$O:$O,"Not Found")</f>
        <v>#REF!</v>
      </c>
      <c r="Y768" s="17" t="e">
        <f>_xlfn.XLOOKUP(Table2[[#This Row],[Adjusted Form '#]],'[2]REJECTED ORDERS'!$D:$D,'[2]REJECTED ORDERS'!$E:$E)</f>
        <v>#N/A</v>
      </c>
      <c r="Z768" s="1"/>
      <c r="AA768" s="1"/>
      <c r="AB768" s="8"/>
      <c r="AC768" s="8"/>
      <c r="AD768" s="8"/>
      <c r="AE768" s="8"/>
      <c r="AF768" s="8"/>
      <c r="AG768" s="8"/>
      <c r="AH768" s="8"/>
      <c r="AI768" s="8"/>
      <c r="AJ768" s="8"/>
    </row>
    <row r="769" spans="1:36" ht="15" customHeight="1" x14ac:dyDescent="0.35">
      <c r="A769" s="4" t="s">
        <v>1159</v>
      </c>
      <c r="B769" s="1" t="s">
        <v>3525</v>
      </c>
      <c r="C769" s="11">
        <v>45029</v>
      </c>
      <c r="D769" s="11" t="s">
        <v>5161</v>
      </c>
      <c r="E769" s="1" t="s">
        <v>21</v>
      </c>
      <c r="F769" s="1" t="s">
        <v>5162</v>
      </c>
      <c r="G769" s="6">
        <f>COUNTIF(F:F,Table2[[#This Row],[Form '#]])</f>
        <v>1</v>
      </c>
      <c r="H769" s="1" t="s">
        <v>1135</v>
      </c>
      <c r="I769" s="1" t="s">
        <v>106</v>
      </c>
      <c r="J769" s="1" t="s">
        <v>72</v>
      </c>
      <c r="K769" s="1" t="s">
        <v>4011</v>
      </c>
      <c r="L769" s="1"/>
      <c r="M769" s="6" t="str">
        <f>IF(Table2[[#This Row],[Corrected Form '#
 (If Duplicated)]]="",Table2[[#This Row],[Form '#]],Table2[[#This Row],[Corrected Form '#
 (If Duplicated)]])</f>
        <v>7818-22668</v>
      </c>
      <c r="N769" s="1" t="s">
        <v>49</v>
      </c>
      <c r="O769" s="6" t="str">
        <f>IF(Table2[[#This Row],[POG CONFIRMATION RECEIPT OF ORDER
(DATE &amp; TIME)]]="","No Confirmation","Received Confirmation")</f>
        <v>Received Confirmation</v>
      </c>
      <c r="P769" s="6">
        <f ca="1">TODAY()-Table2[[#This Row],[DATE SENT TO POG]]</f>
        <v>274</v>
      </c>
      <c r="Q769" s="9" t="s">
        <v>6025</v>
      </c>
      <c r="R7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76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769" s="2" t="str">
        <f>_xlfn.XLOOKUP(Table2[[#This Row],[Adjusted Form '#]],'[2]IN PROGRESS'!$D:$D,'[2]IN PROGRESS'!$M:$M,"Not Found")</f>
        <v>Not Found</v>
      </c>
      <c r="U769" s="2" t="str">
        <f>_xlfn.XLOOKUP(Table2[[#This Row],[Adjusted Form '#]],[1]COMPLETED!$D:$D,[2]COMPLETED!$M:$M,"Not Found")</f>
        <v>Not Found</v>
      </c>
      <c r="V769" s="17" t="str">
        <f>_xlfn.XLOOKUP(Table2[[#This Row],[Adjusted Form '#]],[2]COMPLETED!$D:$D,[2]COMPLETED!$O:$O,"Not Found")</f>
        <v>Not Found</v>
      </c>
      <c r="W769" s="2" t="str">
        <f>_xlfn.XLOOKUP(Table2[[#This Row],[Adjusted Form '#]],[2]BILLED!$D:$D,[2]BILLED!$M:$M,"Not Found")</f>
        <v>Not Found</v>
      </c>
      <c r="X769" s="17" t="str">
        <f>_xlfn.XLOOKUP(Table2[[#This Row],[Adjusted Form '#]],[2]BILLED!$D:$D,[1]BILLED!$O:$O,"Not Found")</f>
        <v>Not Found</v>
      </c>
      <c r="Y769" s="17" t="e">
        <f>_xlfn.XLOOKUP(Table2[[#This Row],[Adjusted Form '#]],'[2]REJECTED ORDERS'!$D:$D,'[2]REJECTED ORDERS'!$E:$E)</f>
        <v>#N/A</v>
      </c>
      <c r="Z769" s="1"/>
      <c r="AA769" s="1"/>
      <c r="AB769" s="8"/>
      <c r="AC769" s="8"/>
      <c r="AD769" s="8"/>
      <c r="AE769" s="8"/>
      <c r="AF769" s="8"/>
      <c r="AG769" s="8"/>
      <c r="AH769" s="8"/>
      <c r="AI769" s="8"/>
      <c r="AJ769" s="8"/>
    </row>
    <row r="770" spans="1:36" ht="15" customHeight="1" x14ac:dyDescent="0.35">
      <c r="A770" s="4" t="s">
        <v>1160</v>
      </c>
      <c r="B770" s="1" t="s">
        <v>3525</v>
      </c>
      <c r="C770" s="11">
        <v>45029</v>
      </c>
      <c r="D770" s="11" t="s">
        <v>5161</v>
      </c>
      <c r="E770" s="1" t="s">
        <v>21</v>
      </c>
      <c r="F770" s="1" t="s">
        <v>5163</v>
      </c>
      <c r="G770" s="6">
        <f>COUNTIF(F:F,Table2[[#This Row],[Form '#]])</f>
        <v>1</v>
      </c>
      <c r="H770" s="1" t="s">
        <v>5164</v>
      </c>
      <c r="I770" s="1" t="s">
        <v>177</v>
      </c>
      <c r="J770" s="1" t="s">
        <v>75</v>
      </c>
      <c r="K770" s="1" t="s">
        <v>3853</v>
      </c>
      <c r="L770" s="1"/>
      <c r="M770" s="6" t="str">
        <f>IF(Table2[[#This Row],[Corrected Form '#
 (If Duplicated)]]="",Table2[[#This Row],[Form '#]],Table2[[#This Row],[Corrected Form '#
 (If Duplicated)]])</f>
        <v>7818-20776</v>
      </c>
      <c r="N770" s="1" t="s">
        <v>49</v>
      </c>
      <c r="O770" s="6" t="str">
        <f>IF(Table2[[#This Row],[POG CONFIRMATION RECEIPT OF ORDER
(DATE &amp; TIME)]]="","No Confirmation","Received Confirmation")</f>
        <v>Received Confirmation</v>
      </c>
      <c r="P770" s="6">
        <f ca="1">TODAY()-Table2[[#This Row],[DATE SENT TO POG]]</f>
        <v>274</v>
      </c>
      <c r="Q770" s="6" t="s">
        <v>5803</v>
      </c>
      <c r="R7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0" s="2" t="str">
        <f>_xlfn.XLOOKUP(Table2[[#This Row],[Adjusted Form '#]],'[2]IN PROGRESS'!$D:$D,'[2]IN PROGRESS'!$M:$M,"Not Found")</f>
        <v>Not Found</v>
      </c>
      <c r="U770" s="2" t="str">
        <f>_xlfn.XLOOKUP(Table2[[#This Row],[Adjusted Form '#]],[1]COMPLETED!$D:$D,[2]COMPLETED!$M:$M,"Not Found")</f>
        <v>Not Found</v>
      </c>
      <c r="V770" s="17" t="str">
        <f>_xlfn.XLOOKUP(Table2[[#This Row],[Adjusted Form '#]],[2]COMPLETED!$D:$D,[2]COMPLETED!$O:$O,"Not Found")</f>
        <v>Not Found</v>
      </c>
      <c r="W770" s="2" t="str">
        <f>_xlfn.XLOOKUP(Table2[[#This Row],[Adjusted Form '#]],[2]BILLED!$D:$D,[2]BILLED!$M:$M,"Not Found")</f>
        <v>1Z5063E0YW41065108</v>
      </c>
      <c r="X770" s="17" t="e">
        <f>_xlfn.XLOOKUP(Table2[[#This Row],[Adjusted Form '#]],[2]BILLED!$D:$D,[1]BILLED!$O:$O,"Not Found")</f>
        <v>#REF!</v>
      </c>
      <c r="Y770" s="17" t="e">
        <f>_xlfn.XLOOKUP(Table2[[#This Row],[Adjusted Form '#]],'[2]REJECTED ORDERS'!$D:$D,'[2]REJECTED ORDERS'!$E:$E)</f>
        <v>#N/A</v>
      </c>
      <c r="Z770" s="1"/>
      <c r="AA770" s="1"/>
      <c r="AB770" s="8"/>
      <c r="AC770" s="8"/>
      <c r="AD770" s="8"/>
      <c r="AE770" s="8"/>
      <c r="AF770" s="8"/>
      <c r="AG770" s="8"/>
      <c r="AH770" s="8"/>
      <c r="AI770" s="8"/>
      <c r="AJ770" s="8"/>
    </row>
    <row r="771" spans="1:36" ht="15" customHeight="1" x14ac:dyDescent="0.35">
      <c r="A771" s="4" t="s">
        <v>1161</v>
      </c>
      <c r="B771" s="1" t="s">
        <v>3525</v>
      </c>
      <c r="C771" s="11">
        <v>45029</v>
      </c>
      <c r="D771" s="11" t="s">
        <v>5161</v>
      </c>
      <c r="E771" s="1" t="s">
        <v>21</v>
      </c>
      <c r="F771" s="1" t="s">
        <v>5165</v>
      </c>
      <c r="G771" s="6">
        <f>COUNTIF(F:F,Table2[[#This Row],[Form '#]])</f>
        <v>1</v>
      </c>
      <c r="H771" s="1" t="s">
        <v>5166</v>
      </c>
      <c r="I771" s="1" t="s">
        <v>127</v>
      </c>
      <c r="J771" s="1" t="s">
        <v>76</v>
      </c>
      <c r="K771" s="1" t="s">
        <v>3883</v>
      </c>
      <c r="L771" s="1"/>
      <c r="M771" s="6" t="str">
        <f>IF(Table2[[#This Row],[Corrected Form '#
 (If Duplicated)]]="",Table2[[#This Row],[Form '#]],Table2[[#This Row],[Corrected Form '#
 (If Duplicated)]])</f>
        <v>7818-03992</v>
      </c>
      <c r="N771" s="1" t="s">
        <v>49</v>
      </c>
      <c r="O771" s="6" t="str">
        <f>IF(Table2[[#This Row],[POG CONFIRMATION RECEIPT OF ORDER
(DATE &amp; TIME)]]="","No Confirmation","Received Confirmation")</f>
        <v>Received Confirmation</v>
      </c>
      <c r="P771" s="6">
        <f ca="1">TODAY()-Table2[[#This Row],[DATE SENT TO POG]]</f>
        <v>274</v>
      </c>
      <c r="Q771" s="6" t="s">
        <v>5803</v>
      </c>
      <c r="R7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1" s="2" t="str">
        <f>_xlfn.XLOOKUP(Table2[[#This Row],[Adjusted Form '#]],'[2]IN PROGRESS'!$D:$D,'[2]IN PROGRESS'!$M:$M,"Not Found")</f>
        <v>Not Found</v>
      </c>
      <c r="U771" s="2" t="str">
        <f>_xlfn.XLOOKUP(Table2[[#This Row],[Adjusted Form '#]],[1]COMPLETED!$D:$D,[2]COMPLETED!$M:$M,"Not Found")</f>
        <v>Not Found</v>
      </c>
      <c r="V771" s="17" t="str">
        <f>_xlfn.XLOOKUP(Table2[[#This Row],[Adjusted Form '#]],[2]COMPLETED!$D:$D,[2]COMPLETED!$O:$O,"Not Found")</f>
        <v>Not Found</v>
      </c>
      <c r="W771" s="2" t="str">
        <f>_xlfn.XLOOKUP(Table2[[#This Row],[Adjusted Form '#]],[2]BILLED!$D:$D,[2]BILLED!$M:$M,"Not Found")</f>
        <v>1Z5063E0YW40654705</v>
      </c>
      <c r="X771" s="17" t="e">
        <f>_xlfn.XLOOKUP(Table2[[#This Row],[Adjusted Form '#]],[2]BILLED!$D:$D,[1]BILLED!$O:$O,"Not Found")</f>
        <v>#REF!</v>
      </c>
      <c r="Y771" s="17" t="e">
        <f>_xlfn.XLOOKUP(Table2[[#This Row],[Adjusted Form '#]],'[2]REJECTED ORDERS'!$D:$D,'[2]REJECTED ORDERS'!$E:$E)</f>
        <v>#N/A</v>
      </c>
      <c r="Z771" s="1"/>
      <c r="AA771" s="1"/>
      <c r="AB771" s="8"/>
      <c r="AC771" s="8"/>
      <c r="AD771" s="8"/>
      <c r="AE771" s="8"/>
      <c r="AF771" s="8"/>
      <c r="AG771" s="8"/>
      <c r="AH771" s="8"/>
      <c r="AI771" s="8"/>
      <c r="AJ771" s="8"/>
    </row>
    <row r="772" spans="1:36" ht="15" customHeight="1" x14ac:dyDescent="0.35">
      <c r="A772" s="4" t="s">
        <v>1162</v>
      </c>
      <c r="B772" s="1" t="s">
        <v>3525</v>
      </c>
      <c r="C772" s="11">
        <v>45029</v>
      </c>
      <c r="D772" s="11" t="s">
        <v>5161</v>
      </c>
      <c r="E772" s="1" t="s">
        <v>21</v>
      </c>
      <c r="F772" s="1" t="s">
        <v>5167</v>
      </c>
      <c r="G772" s="6">
        <f>COUNTIF(F:F,Table2[[#This Row],[Form '#]])</f>
        <v>1</v>
      </c>
      <c r="H772" s="1" t="s">
        <v>899</v>
      </c>
      <c r="I772" s="1" t="s">
        <v>758</v>
      </c>
      <c r="J772" s="1" t="s">
        <v>78</v>
      </c>
      <c r="K772" s="1" t="s">
        <v>3853</v>
      </c>
      <c r="L772" s="1"/>
      <c r="M772" s="6" t="str">
        <f>IF(Table2[[#This Row],[Corrected Form '#
 (If Duplicated)]]="",Table2[[#This Row],[Form '#]],Table2[[#This Row],[Corrected Form '#
 (If Duplicated)]])</f>
        <v>7818-01156</v>
      </c>
      <c r="N772" s="1" t="s">
        <v>49</v>
      </c>
      <c r="O772" s="6" t="str">
        <f>IF(Table2[[#This Row],[POG CONFIRMATION RECEIPT OF ORDER
(DATE &amp; TIME)]]="","No Confirmation","Received Confirmation")</f>
        <v>Received Confirmation</v>
      </c>
      <c r="P772" s="6">
        <f ca="1">TODAY()-Table2[[#This Row],[DATE SENT TO POG]]</f>
        <v>274</v>
      </c>
      <c r="Q772" s="6" t="s">
        <v>5803</v>
      </c>
      <c r="R7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2" s="2" t="str">
        <f>_xlfn.XLOOKUP(Table2[[#This Row],[Adjusted Form '#]],'[2]IN PROGRESS'!$D:$D,'[2]IN PROGRESS'!$M:$M,"Not Found")</f>
        <v>Not Found</v>
      </c>
      <c r="U772" s="2" t="str">
        <f>_xlfn.XLOOKUP(Table2[[#This Row],[Adjusted Form '#]],[1]COMPLETED!$D:$D,[2]COMPLETED!$M:$M,"Not Found")</f>
        <v>Not Found</v>
      </c>
      <c r="V772" s="17" t="str">
        <f>_xlfn.XLOOKUP(Table2[[#This Row],[Adjusted Form '#]],[2]COMPLETED!$D:$D,[2]COMPLETED!$O:$O,"Not Found")</f>
        <v>Not Found</v>
      </c>
      <c r="W772" s="2" t="str">
        <f>_xlfn.XLOOKUP(Table2[[#This Row],[Adjusted Form '#]],[2]BILLED!$D:$D,[2]BILLED!$M:$M,"Not Found")</f>
        <v>1Z5063E0YW40136104</v>
      </c>
      <c r="X772" s="17" t="e">
        <f>_xlfn.XLOOKUP(Table2[[#This Row],[Adjusted Form '#]],[2]BILLED!$D:$D,[1]BILLED!$O:$O,"Not Found")</f>
        <v>#REF!</v>
      </c>
      <c r="Y772" s="17" t="e">
        <f>_xlfn.XLOOKUP(Table2[[#This Row],[Adjusted Form '#]],'[2]REJECTED ORDERS'!$D:$D,'[2]REJECTED ORDERS'!$E:$E)</f>
        <v>#N/A</v>
      </c>
      <c r="Z772" s="1"/>
      <c r="AA772" s="1"/>
      <c r="AB772" s="8"/>
      <c r="AC772" s="8"/>
      <c r="AD772" s="8"/>
      <c r="AE772" s="8"/>
      <c r="AF772" s="8"/>
      <c r="AG772" s="8"/>
      <c r="AH772" s="8"/>
      <c r="AI772" s="8"/>
      <c r="AJ772" s="8"/>
    </row>
    <row r="773" spans="1:36" ht="15" customHeight="1" x14ac:dyDescent="0.35">
      <c r="A773" s="4" t="s">
        <v>1163</v>
      </c>
      <c r="B773" s="1" t="s">
        <v>3525</v>
      </c>
      <c r="C773" s="11">
        <v>45029</v>
      </c>
      <c r="D773" s="11" t="s">
        <v>5161</v>
      </c>
      <c r="E773" s="1" t="s">
        <v>21</v>
      </c>
      <c r="F773" s="1" t="s">
        <v>5168</v>
      </c>
      <c r="G773" s="6">
        <f>COUNTIF(F:F,Table2[[#This Row],[Form '#]])</f>
        <v>1</v>
      </c>
      <c r="H773" s="1" t="s">
        <v>5169</v>
      </c>
      <c r="I773" s="1" t="s">
        <v>177</v>
      </c>
      <c r="J773" s="1" t="s">
        <v>80</v>
      </c>
      <c r="K773" s="1" t="s">
        <v>3853</v>
      </c>
      <c r="L773" s="1"/>
      <c r="M773" s="6" t="str">
        <f>IF(Table2[[#This Row],[Corrected Form '#
 (If Duplicated)]]="",Table2[[#This Row],[Form '#]],Table2[[#This Row],[Corrected Form '#
 (If Duplicated)]])</f>
        <v>7818-25356</v>
      </c>
      <c r="N773" s="1" t="s">
        <v>49</v>
      </c>
      <c r="O773" s="6" t="str">
        <f>IF(Table2[[#This Row],[POG CONFIRMATION RECEIPT OF ORDER
(DATE &amp; TIME)]]="","No Confirmation","Received Confirmation")</f>
        <v>Received Confirmation</v>
      </c>
      <c r="P773" s="6">
        <f ca="1">TODAY()-Table2[[#This Row],[DATE SENT TO POG]]</f>
        <v>274</v>
      </c>
      <c r="Q773" s="6" t="s">
        <v>5803</v>
      </c>
      <c r="R7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3" s="2" t="str">
        <f>_xlfn.XLOOKUP(Table2[[#This Row],[Adjusted Form '#]],'[2]IN PROGRESS'!$D:$D,'[2]IN PROGRESS'!$M:$M,"Not Found")</f>
        <v>Not Found</v>
      </c>
      <c r="U773" s="2" t="str">
        <f>_xlfn.XLOOKUP(Table2[[#This Row],[Adjusted Form '#]],[1]COMPLETED!$D:$D,[2]COMPLETED!$M:$M,"Not Found")</f>
        <v>Not Found</v>
      </c>
      <c r="V773" s="17" t="str">
        <f>_xlfn.XLOOKUP(Table2[[#This Row],[Adjusted Form '#]],[2]COMPLETED!$D:$D,[2]COMPLETED!$O:$O,"Not Found")</f>
        <v>Not Found</v>
      </c>
      <c r="W773" s="2" t="str">
        <f>_xlfn.XLOOKUP(Table2[[#This Row],[Adjusted Form '#]],[2]BILLED!$D:$D,[2]BILLED!$M:$M,"Not Found")</f>
        <v>1Z5063E0YW40248743</v>
      </c>
      <c r="X773" s="17" t="e">
        <f>_xlfn.XLOOKUP(Table2[[#This Row],[Adjusted Form '#]],[2]BILLED!$D:$D,[1]BILLED!$O:$O,"Not Found")</f>
        <v>#REF!</v>
      </c>
      <c r="Y773" s="17" t="e">
        <f>_xlfn.XLOOKUP(Table2[[#This Row],[Adjusted Form '#]],'[2]REJECTED ORDERS'!$D:$D,'[2]REJECTED ORDERS'!$E:$E)</f>
        <v>#N/A</v>
      </c>
      <c r="Z773" s="1"/>
      <c r="AA773" s="1"/>
      <c r="AB773" s="8"/>
      <c r="AC773" s="8"/>
      <c r="AD773" s="8"/>
      <c r="AE773" s="8"/>
      <c r="AF773" s="8"/>
      <c r="AG773" s="8"/>
      <c r="AH773" s="8"/>
      <c r="AI773" s="8"/>
      <c r="AJ773" s="8"/>
    </row>
    <row r="774" spans="1:36" ht="15" customHeight="1" x14ac:dyDescent="0.35">
      <c r="A774" s="4" t="s">
        <v>1164</v>
      </c>
      <c r="B774" s="1" t="s">
        <v>3091</v>
      </c>
      <c r="C774" s="11">
        <v>45029</v>
      </c>
      <c r="D774" s="11" t="s">
        <v>5170</v>
      </c>
      <c r="E774" s="1" t="s">
        <v>21</v>
      </c>
      <c r="F774" s="1" t="s">
        <v>5171</v>
      </c>
      <c r="G774" s="6">
        <f>COUNTIF(F:F,Table2[[#This Row],[Form '#]])</f>
        <v>1</v>
      </c>
      <c r="H774" s="1" t="s">
        <v>1644</v>
      </c>
      <c r="I774" s="1" t="s">
        <v>28</v>
      </c>
      <c r="J774" s="1" t="s">
        <v>80</v>
      </c>
      <c r="K774" s="1" t="s">
        <v>4011</v>
      </c>
      <c r="L774" s="1"/>
      <c r="M774" s="6" t="str">
        <f>IF(Table2[[#This Row],[Corrected Form '#
 (If Duplicated)]]="",Table2[[#This Row],[Form '#]],Table2[[#This Row],[Corrected Form '#
 (If Duplicated)]])</f>
        <v>7818-29441</v>
      </c>
      <c r="N774" s="1" t="s">
        <v>49</v>
      </c>
      <c r="O774" s="6" t="str">
        <f>IF(Table2[[#This Row],[POG CONFIRMATION RECEIPT OF ORDER
(DATE &amp; TIME)]]="","No Confirmation","Received Confirmation")</f>
        <v>Received Confirmation</v>
      </c>
      <c r="P774" s="6">
        <f ca="1">TODAY()-Table2[[#This Row],[DATE SENT TO POG]]</f>
        <v>274</v>
      </c>
      <c r="Q774" s="6" t="s">
        <v>5803</v>
      </c>
      <c r="R7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4" s="2" t="str">
        <f>_xlfn.XLOOKUP(Table2[[#This Row],[Adjusted Form '#]],'[2]IN PROGRESS'!$D:$D,'[2]IN PROGRESS'!$M:$M,"Not Found")</f>
        <v>Not Found</v>
      </c>
      <c r="U774" s="2" t="str">
        <f>_xlfn.XLOOKUP(Table2[[#This Row],[Adjusted Form '#]],[1]COMPLETED!$D:$D,[2]COMPLETED!$M:$M,"Not Found")</f>
        <v>Not Found</v>
      </c>
      <c r="V774" s="17" t="str">
        <f>_xlfn.XLOOKUP(Table2[[#This Row],[Adjusted Form '#]],[2]COMPLETED!$D:$D,[2]COMPLETED!$O:$O,"Not Found")</f>
        <v>Not Found</v>
      </c>
      <c r="W774" s="2" t="str">
        <f>_xlfn.XLOOKUP(Table2[[#This Row],[Adjusted Form '#]],[2]BILLED!$D:$D,[2]BILLED!$M:$M,"Not Found")</f>
        <v>1Z5063E0YW41203271</v>
      </c>
      <c r="X774" s="17" t="e">
        <f>_xlfn.XLOOKUP(Table2[[#This Row],[Adjusted Form '#]],[2]BILLED!$D:$D,[1]BILLED!$O:$O,"Not Found")</f>
        <v>#REF!</v>
      </c>
      <c r="Y774" s="17" t="e">
        <f>_xlfn.XLOOKUP(Table2[[#This Row],[Adjusted Form '#]],'[2]REJECTED ORDERS'!$D:$D,'[2]REJECTED ORDERS'!$E:$E)</f>
        <v>#N/A</v>
      </c>
      <c r="Z774" s="1"/>
      <c r="AA774" s="1"/>
      <c r="AB774" s="8"/>
      <c r="AC774" s="8"/>
      <c r="AD774" s="8"/>
      <c r="AE774" s="8"/>
      <c r="AF774" s="8"/>
      <c r="AG774" s="8"/>
      <c r="AH774" s="8"/>
      <c r="AI774" s="8"/>
      <c r="AJ774" s="8"/>
    </row>
    <row r="775" spans="1:36" ht="15" customHeight="1" x14ac:dyDescent="0.35">
      <c r="A775" s="4" t="s">
        <v>1165</v>
      </c>
      <c r="B775" s="1" t="s">
        <v>2535</v>
      </c>
      <c r="C775" s="11">
        <v>45029</v>
      </c>
      <c r="D775" s="11" t="s">
        <v>5170</v>
      </c>
      <c r="E775" s="1" t="s">
        <v>21</v>
      </c>
      <c r="F775" s="1" t="s">
        <v>5172</v>
      </c>
      <c r="G775" s="6">
        <f>COUNTIF(F:F,Table2[[#This Row],[Form '#]])</f>
        <v>1</v>
      </c>
      <c r="H775" s="1" t="s">
        <v>3248</v>
      </c>
      <c r="I775" s="1" t="s">
        <v>177</v>
      </c>
      <c r="J775" s="1" t="s">
        <v>75</v>
      </c>
      <c r="K775" s="1" t="s">
        <v>4011</v>
      </c>
      <c r="L775" s="1"/>
      <c r="M775" s="6" t="str">
        <f>IF(Table2[[#This Row],[Corrected Form '#
 (If Duplicated)]]="",Table2[[#This Row],[Form '#]],Table2[[#This Row],[Corrected Form '#
 (If Duplicated)]])</f>
        <v>7818-29772</v>
      </c>
      <c r="N775" s="1" t="s">
        <v>49</v>
      </c>
      <c r="O775" s="6" t="str">
        <f>IF(Table2[[#This Row],[POG CONFIRMATION RECEIPT OF ORDER
(DATE &amp; TIME)]]="","No Confirmation","Received Confirmation")</f>
        <v>Received Confirmation</v>
      </c>
      <c r="P775" s="6">
        <f ca="1">TODAY()-Table2[[#This Row],[DATE SENT TO POG]]</f>
        <v>274</v>
      </c>
      <c r="Q775" s="6" t="s">
        <v>5803</v>
      </c>
      <c r="R7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5" s="2" t="str">
        <f>_xlfn.XLOOKUP(Table2[[#This Row],[Adjusted Form '#]],'[2]IN PROGRESS'!$D:$D,'[2]IN PROGRESS'!$M:$M,"Not Found")</f>
        <v>Not Found</v>
      </c>
      <c r="U775" s="2" t="str">
        <f>_xlfn.XLOOKUP(Table2[[#This Row],[Adjusted Form '#]],[1]COMPLETED!$D:$D,[2]COMPLETED!$M:$M,"Not Found")</f>
        <v>Not Found</v>
      </c>
      <c r="V775" s="17" t="str">
        <f>_xlfn.XLOOKUP(Table2[[#This Row],[Adjusted Form '#]],[2]COMPLETED!$D:$D,[2]COMPLETED!$O:$O,"Not Found")</f>
        <v>Not Found</v>
      </c>
      <c r="W775" s="2" t="str">
        <f>_xlfn.XLOOKUP(Table2[[#This Row],[Adjusted Form '#]],[2]BILLED!$D:$D,[2]BILLED!$M:$M,"Not Found")</f>
        <v>1Z5063E0YW42360653</v>
      </c>
      <c r="X775" s="17" t="e">
        <f>_xlfn.XLOOKUP(Table2[[#This Row],[Adjusted Form '#]],[2]BILLED!$D:$D,[1]BILLED!$O:$O,"Not Found")</f>
        <v>#REF!</v>
      </c>
      <c r="Y775" s="17" t="e">
        <f>_xlfn.XLOOKUP(Table2[[#This Row],[Adjusted Form '#]],'[2]REJECTED ORDERS'!$D:$D,'[2]REJECTED ORDERS'!$E:$E)</f>
        <v>#N/A</v>
      </c>
      <c r="Z775" s="1"/>
      <c r="AA775" s="1"/>
      <c r="AB775" s="8"/>
      <c r="AC775" s="8"/>
      <c r="AD775" s="8"/>
      <c r="AE775" s="8"/>
      <c r="AF775" s="8"/>
      <c r="AG775" s="8"/>
      <c r="AH775" s="8"/>
      <c r="AI775" s="8"/>
      <c r="AJ775" s="8"/>
    </row>
    <row r="776" spans="1:36" ht="15" customHeight="1" x14ac:dyDescent="0.35">
      <c r="A776" s="4" t="s">
        <v>1167</v>
      </c>
      <c r="B776" s="1" t="s">
        <v>2535</v>
      </c>
      <c r="C776" s="11">
        <v>45029</v>
      </c>
      <c r="D776" s="11" t="s">
        <v>5170</v>
      </c>
      <c r="E776" s="1" t="s">
        <v>21</v>
      </c>
      <c r="F776" s="1" t="s">
        <v>5173</v>
      </c>
      <c r="G776" s="6">
        <f>COUNTIF(F:F,Table2[[#This Row],[Form '#]])</f>
        <v>2</v>
      </c>
      <c r="H776" s="1" t="s">
        <v>769</v>
      </c>
      <c r="I776" s="1" t="s">
        <v>106</v>
      </c>
      <c r="J776" s="1" t="s">
        <v>72</v>
      </c>
      <c r="K776" s="1" t="s">
        <v>4530</v>
      </c>
      <c r="L776" s="1"/>
      <c r="M776" s="6" t="str">
        <f>IF(Table2[[#This Row],[Corrected Form '#
 (If Duplicated)]]="",Table2[[#This Row],[Form '#]],Table2[[#This Row],[Corrected Form '#
 (If Duplicated)]])</f>
        <v>7818-14649</v>
      </c>
      <c r="N776" s="1" t="s">
        <v>49</v>
      </c>
      <c r="O776" s="6" t="str">
        <f>IF(Table2[[#This Row],[POG CONFIRMATION RECEIPT OF ORDER
(DATE &amp; TIME)]]="","No Confirmation","Received Confirmation")</f>
        <v>Received Confirmation</v>
      </c>
      <c r="P776" s="6">
        <f ca="1">TODAY()-Table2[[#This Row],[DATE SENT TO POG]]</f>
        <v>274</v>
      </c>
      <c r="Q776" s="6" t="s">
        <v>5803</v>
      </c>
      <c r="R7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77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776" s="2" t="str">
        <f>_xlfn.XLOOKUP(Table2[[#This Row],[Adjusted Form '#]],'[2]IN PROGRESS'!$D:$D,'[2]IN PROGRESS'!$M:$M,"Not Found")</f>
        <v>Not Found</v>
      </c>
      <c r="U776" s="2" t="str">
        <f>_xlfn.XLOOKUP(Table2[[#This Row],[Adjusted Form '#]],[1]COMPLETED!$D:$D,[2]COMPLETED!$M:$M,"Not Found")</f>
        <v>Not Found</v>
      </c>
      <c r="V776" s="17">
        <f>_xlfn.XLOOKUP(Table2[[#This Row],[Adjusted Form '#]],[2]COMPLETED!$D:$D,[2]COMPLETED!$O:$O,"Not Found")</f>
        <v>0</v>
      </c>
      <c r="W776" s="2" t="str">
        <f>_xlfn.XLOOKUP(Table2[[#This Row],[Adjusted Form '#]],[2]BILLED!$D:$D,[2]BILLED!$M:$M,"Not Found")</f>
        <v>Not Found</v>
      </c>
      <c r="X776" s="17" t="str">
        <f>_xlfn.XLOOKUP(Table2[[#This Row],[Adjusted Form '#]],[2]BILLED!$D:$D,[1]BILLED!$O:$O,"Not Found")</f>
        <v>Not Found</v>
      </c>
      <c r="Y776" s="17" t="e">
        <f>_xlfn.XLOOKUP(Table2[[#This Row],[Adjusted Form '#]],'[2]REJECTED ORDERS'!$D:$D,'[2]REJECTED ORDERS'!$E:$E)</f>
        <v>#N/A</v>
      </c>
      <c r="Z776" s="1"/>
      <c r="AA776" s="1"/>
      <c r="AB776" s="8"/>
      <c r="AC776" s="8"/>
      <c r="AD776" s="8"/>
      <c r="AE776" s="8"/>
      <c r="AF776" s="8"/>
      <c r="AG776" s="8"/>
      <c r="AH776" s="8"/>
      <c r="AI776" s="8"/>
      <c r="AJ776" s="8"/>
    </row>
    <row r="777" spans="1:36" ht="15" customHeight="1" x14ac:dyDescent="0.35">
      <c r="A777" s="4" t="s">
        <v>1169</v>
      </c>
      <c r="B777" s="1" t="s">
        <v>2535</v>
      </c>
      <c r="C777" s="11">
        <v>45029</v>
      </c>
      <c r="D777" s="11" t="s">
        <v>5170</v>
      </c>
      <c r="E777" s="1" t="s">
        <v>21</v>
      </c>
      <c r="F777" s="1" t="s">
        <v>5174</v>
      </c>
      <c r="G777" s="6">
        <f>COUNTIF(F:F,Table2[[#This Row],[Form '#]])</f>
        <v>1</v>
      </c>
      <c r="H777" s="1" t="s">
        <v>5175</v>
      </c>
      <c r="I777" s="1" t="s">
        <v>3864</v>
      </c>
      <c r="J777" s="1" t="s">
        <v>3891</v>
      </c>
      <c r="K777" s="1" t="s">
        <v>3891</v>
      </c>
      <c r="L777" s="1"/>
      <c r="M777" s="6" t="str">
        <f>IF(Table2[[#This Row],[Corrected Form '#
 (If Duplicated)]]="",Table2[[#This Row],[Form '#]],Table2[[#This Row],[Corrected Form '#
 (If Duplicated)]])</f>
        <v>7818-25908</v>
      </c>
      <c r="N777" s="1" t="s">
        <v>49</v>
      </c>
      <c r="O777" s="6" t="str">
        <f>IF(Table2[[#This Row],[POG CONFIRMATION RECEIPT OF ORDER
(DATE &amp; TIME)]]="","No Confirmation","Received Confirmation")</f>
        <v>Received Confirmation</v>
      </c>
      <c r="P777" s="6">
        <f ca="1">TODAY()-Table2[[#This Row],[DATE SENT TO POG]]</f>
        <v>274</v>
      </c>
      <c r="Q777" s="6" t="s">
        <v>5803</v>
      </c>
      <c r="R7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7" s="2" t="str">
        <f>_xlfn.XLOOKUP(Table2[[#This Row],[Adjusted Form '#]],'[2]IN PROGRESS'!$D:$D,'[2]IN PROGRESS'!$M:$M,"Not Found")</f>
        <v>Not Found</v>
      </c>
      <c r="U777" s="2" t="str">
        <f>_xlfn.XLOOKUP(Table2[[#This Row],[Adjusted Form '#]],[1]COMPLETED!$D:$D,[2]COMPLETED!$M:$M,"Not Found")</f>
        <v>Not Found</v>
      </c>
      <c r="V777" s="17" t="str">
        <f>_xlfn.XLOOKUP(Table2[[#This Row],[Adjusted Form '#]],[2]COMPLETED!$D:$D,[2]COMPLETED!$O:$O,"Not Found")</f>
        <v>Not Found</v>
      </c>
      <c r="W777" s="2" t="str">
        <f>_xlfn.XLOOKUP(Table2[[#This Row],[Adjusted Form '#]],[2]BILLED!$D:$D,[2]BILLED!$M:$M,"Not Found")</f>
        <v>1Z5063E0YW41680925</v>
      </c>
      <c r="X777" s="17" t="e">
        <f>_xlfn.XLOOKUP(Table2[[#This Row],[Adjusted Form '#]],[2]BILLED!$D:$D,[1]BILLED!$O:$O,"Not Found")</f>
        <v>#REF!</v>
      </c>
      <c r="Y777" s="17" t="e">
        <f>_xlfn.XLOOKUP(Table2[[#This Row],[Adjusted Form '#]],'[2]REJECTED ORDERS'!$D:$D,'[2]REJECTED ORDERS'!$E:$E)</f>
        <v>#N/A</v>
      </c>
      <c r="Z777" s="1"/>
      <c r="AA777" s="1"/>
      <c r="AB777" s="8"/>
      <c r="AC777" s="8"/>
      <c r="AD777" s="8"/>
      <c r="AE777" s="8"/>
      <c r="AF777" s="8"/>
      <c r="AG777" s="8"/>
      <c r="AH777" s="8"/>
      <c r="AI777" s="8"/>
      <c r="AJ777" s="8"/>
    </row>
    <row r="778" spans="1:36" ht="15" customHeight="1" x14ac:dyDescent="0.35">
      <c r="A778" s="4" t="s">
        <v>1172</v>
      </c>
      <c r="B778" s="1" t="s">
        <v>2535</v>
      </c>
      <c r="C778" s="11">
        <v>45029</v>
      </c>
      <c r="D778" s="11" t="s">
        <v>5170</v>
      </c>
      <c r="E778" s="1" t="s">
        <v>21</v>
      </c>
      <c r="F778" s="1" t="s">
        <v>5176</v>
      </c>
      <c r="G778" s="6">
        <f>COUNTIF(F:F,Table2[[#This Row],[Form '#]])</f>
        <v>1</v>
      </c>
      <c r="H778" s="1" t="s">
        <v>2311</v>
      </c>
      <c r="I778" s="1" t="s">
        <v>127</v>
      </c>
      <c r="J778" s="1" t="s">
        <v>76</v>
      </c>
      <c r="K778" s="1" t="s">
        <v>3891</v>
      </c>
      <c r="L778" s="1"/>
      <c r="M778" s="6" t="str">
        <f>IF(Table2[[#This Row],[Corrected Form '#
 (If Duplicated)]]="",Table2[[#This Row],[Form '#]],Table2[[#This Row],[Corrected Form '#
 (If Duplicated)]])</f>
        <v>7818-07086</v>
      </c>
      <c r="N778" s="1" t="s">
        <v>49</v>
      </c>
      <c r="O778" s="6" t="str">
        <f>IF(Table2[[#This Row],[POG CONFIRMATION RECEIPT OF ORDER
(DATE &amp; TIME)]]="","No Confirmation","Received Confirmation")</f>
        <v>Received Confirmation</v>
      </c>
      <c r="P778" s="6">
        <f ca="1">TODAY()-Table2[[#This Row],[DATE SENT TO POG]]</f>
        <v>274</v>
      </c>
      <c r="Q778" s="6" t="s">
        <v>5803</v>
      </c>
      <c r="R7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8" s="2" t="str">
        <f>_xlfn.XLOOKUP(Table2[[#This Row],[Adjusted Form '#]],'[2]IN PROGRESS'!$D:$D,'[2]IN PROGRESS'!$M:$M,"Not Found")</f>
        <v>Not Found</v>
      </c>
      <c r="U778" s="2" t="str">
        <f>_xlfn.XLOOKUP(Table2[[#This Row],[Adjusted Form '#]],[1]COMPLETED!$D:$D,[2]COMPLETED!$M:$M,"Not Found")</f>
        <v>Not Found</v>
      </c>
      <c r="V778" s="17" t="str">
        <f>_xlfn.XLOOKUP(Table2[[#This Row],[Adjusted Form '#]],[2]COMPLETED!$D:$D,[2]COMPLETED!$O:$O,"Not Found")</f>
        <v>Not Found</v>
      </c>
      <c r="W778" s="2" t="str">
        <f>_xlfn.XLOOKUP(Table2[[#This Row],[Adjusted Form '#]],[2]BILLED!$D:$D,[2]BILLED!$M:$M,"Not Found")</f>
        <v>1Z5063E0YW41114886</v>
      </c>
      <c r="X778" s="17" t="e">
        <f>_xlfn.XLOOKUP(Table2[[#This Row],[Adjusted Form '#]],[2]BILLED!$D:$D,[1]BILLED!$O:$O,"Not Found")</f>
        <v>#REF!</v>
      </c>
      <c r="Y778" s="17" t="e">
        <f>_xlfn.XLOOKUP(Table2[[#This Row],[Adjusted Form '#]],'[2]REJECTED ORDERS'!$D:$D,'[2]REJECTED ORDERS'!$E:$E)</f>
        <v>#N/A</v>
      </c>
      <c r="Z778" s="1"/>
      <c r="AA778" s="1"/>
      <c r="AB778" s="8"/>
      <c r="AC778" s="8"/>
      <c r="AD778" s="8"/>
      <c r="AE778" s="8"/>
      <c r="AF778" s="8"/>
      <c r="AG778" s="8"/>
      <c r="AH778" s="8"/>
      <c r="AI778" s="8"/>
      <c r="AJ778" s="8"/>
    </row>
    <row r="779" spans="1:36" ht="15" customHeight="1" x14ac:dyDescent="0.35">
      <c r="A779" s="4" t="s">
        <v>1173</v>
      </c>
      <c r="B779" s="1" t="s">
        <v>2535</v>
      </c>
      <c r="C779" s="11">
        <v>45029</v>
      </c>
      <c r="D779" s="11" t="s">
        <v>5170</v>
      </c>
      <c r="E779" s="1" t="s">
        <v>21</v>
      </c>
      <c r="F779" s="1" t="s">
        <v>5177</v>
      </c>
      <c r="G779" s="6">
        <f>COUNTIF(F:F,Table2[[#This Row],[Form '#]])</f>
        <v>1</v>
      </c>
      <c r="H779" s="1" t="s">
        <v>5178</v>
      </c>
      <c r="I779" s="1" t="s">
        <v>177</v>
      </c>
      <c r="J779" s="1" t="s">
        <v>75</v>
      </c>
      <c r="K779" s="1" t="s">
        <v>4011</v>
      </c>
      <c r="L779" s="1"/>
      <c r="M779" s="6" t="str">
        <f>IF(Table2[[#This Row],[Corrected Form '#
 (If Duplicated)]]="",Table2[[#This Row],[Form '#]],Table2[[#This Row],[Corrected Form '#
 (If Duplicated)]])</f>
        <v>7818-07088</v>
      </c>
      <c r="N779" s="1" t="s">
        <v>49</v>
      </c>
      <c r="O779" s="6" t="str">
        <f>IF(Table2[[#This Row],[POG CONFIRMATION RECEIPT OF ORDER
(DATE &amp; TIME)]]="","No Confirmation","Received Confirmation")</f>
        <v>Received Confirmation</v>
      </c>
      <c r="P779" s="6">
        <f ca="1">TODAY()-Table2[[#This Row],[DATE SENT TO POG]]</f>
        <v>274</v>
      </c>
      <c r="Q779" s="6" t="s">
        <v>5803</v>
      </c>
      <c r="R7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79" s="2" t="str">
        <f>_xlfn.XLOOKUP(Table2[[#This Row],[Adjusted Form '#]],'[2]IN PROGRESS'!$D:$D,'[2]IN PROGRESS'!$M:$M,"Not Found")</f>
        <v>Not Found</v>
      </c>
      <c r="U779" s="2" t="str">
        <f>_xlfn.XLOOKUP(Table2[[#This Row],[Adjusted Form '#]],[1]COMPLETED!$D:$D,[2]COMPLETED!$M:$M,"Not Found")</f>
        <v>Not Found</v>
      </c>
      <c r="V779" s="17" t="str">
        <f>_xlfn.XLOOKUP(Table2[[#This Row],[Adjusted Form '#]],[2]COMPLETED!$D:$D,[2]COMPLETED!$O:$O,"Not Found")</f>
        <v>Not Found</v>
      </c>
      <c r="W779" s="2" t="str">
        <f>_xlfn.XLOOKUP(Table2[[#This Row],[Adjusted Form '#]],[2]BILLED!$D:$D,[2]BILLED!$M:$M,"Not Found")</f>
        <v>1Z5063E0YW41956093</v>
      </c>
      <c r="X779" s="17" t="e">
        <f>_xlfn.XLOOKUP(Table2[[#This Row],[Adjusted Form '#]],[2]BILLED!$D:$D,[1]BILLED!$O:$O,"Not Found")</f>
        <v>#REF!</v>
      </c>
      <c r="Y779" s="17" t="e">
        <f>_xlfn.XLOOKUP(Table2[[#This Row],[Adjusted Form '#]],'[2]REJECTED ORDERS'!$D:$D,'[2]REJECTED ORDERS'!$E:$E)</f>
        <v>#N/A</v>
      </c>
      <c r="Z779" s="1"/>
      <c r="AA779" s="1"/>
      <c r="AB779" s="8"/>
      <c r="AC779" s="8"/>
      <c r="AD779" s="8"/>
      <c r="AE779" s="8"/>
      <c r="AF779" s="8"/>
      <c r="AG779" s="8"/>
      <c r="AH779" s="8"/>
      <c r="AI779" s="8"/>
      <c r="AJ779" s="8"/>
    </row>
    <row r="780" spans="1:36" ht="15" customHeight="1" x14ac:dyDescent="0.35">
      <c r="A780" s="4" t="s">
        <v>1175</v>
      </c>
      <c r="B780" s="1" t="s">
        <v>470</v>
      </c>
      <c r="C780" s="11">
        <v>45030</v>
      </c>
      <c r="D780" s="11" t="s">
        <v>5179</v>
      </c>
      <c r="E780" s="1" t="s">
        <v>21</v>
      </c>
      <c r="F780" s="1" t="s">
        <v>5180</v>
      </c>
      <c r="G780" s="6">
        <f>COUNTIF(F:F,Table2[[#This Row],[Form '#]])</f>
        <v>1</v>
      </c>
      <c r="H780" s="1" t="s">
        <v>2013</v>
      </c>
      <c r="I780" s="1" t="s">
        <v>3864</v>
      </c>
      <c r="J780" s="1" t="s">
        <v>78</v>
      </c>
      <c r="K780" s="1" t="s">
        <v>3879</v>
      </c>
      <c r="L780" s="1"/>
      <c r="M780" s="6" t="str">
        <f>IF(Table2[[#This Row],[Corrected Form '#
 (If Duplicated)]]="",Table2[[#This Row],[Form '#]],Table2[[#This Row],[Corrected Form '#
 (If Duplicated)]])</f>
        <v>7818-12664</v>
      </c>
      <c r="N780" s="1" t="s">
        <v>49</v>
      </c>
      <c r="O780" s="6" t="str">
        <f>IF(Table2[[#This Row],[POG CONFIRMATION RECEIPT OF ORDER
(DATE &amp; TIME)]]="","No Confirmation","Received Confirmation")</f>
        <v>Received Confirmation</v>
      </c>
      <c r="P780" s="6">
        <f ca="1">TODAY()-Table2[[#This Row],[DATE SENT TO POG]]</f>
        <v>273</v>
      </c>
      <c r="Q780" s="6" t="s">
        <v>5803</v>
      </c>
      <c r="R7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0" s="2" t="str">
        <f>_xlfn.XLOOKUP(Table2[[#This Row],[Adjusted Form '#]],'[2]IN PROGRESS'!$D:$D,'[2]IN PROGRESS'!$M:$M,"Not Found")</f>
        <v>Not Found</v>
      </c>
      <c r="U780" s="2" t="str">
        <f>_xlfn.XLOOKUP(Table2[[#This Row],[Adjusted Form '#]],[1]COMPLETED!$D:$D,[2]COMPLETED!$M:$M,"Not Found")</f>
        <v>Not Found</v>
      </c>
      <c r="V780" s="17" t="str">
        <f>_xlfn.XLOOKUP(Table2[[#This Row],[Adjusted Form '#]],[2]COMPLETED!$D:$D,[2]COMPLETED!$O:$O,"Not Found")</f>
        <v>Not Found</v>
      </c>
      <c r="W780" s="2" t="str">
        <f>_xlfn.XLOOKUP(Table2[[#This Row],[Adjusted Form '#]],[2]BILLED!$D:$D,[2]BILLED!$M:$M,"Not Found")</f>
        <v>1Z5063E0YW42275479</v>
      </c>
      <c r="X780" s="17" t="e">
        <f>_xlfn.XLOOKUP(Table2[[#This Row],[Adjusted Form '#]],[2]BILLED!$D:$D,[1]BILLED!$O:$O,"Not Found")</f>
        <v>#REF!</v>
      </c>
      <c r="Y780" s="17" t="e">
        <f>_xlfn.XLOOKUP(Table2[[#This Row],[Adjusted Form '#]],'[2]REJECTED ORDERS'!$D:$D,'[2]REJECTED ORDERS'!$E:$E)</f>
        <v>#N/A</v>
      </c>
      <c r="Z780" s="1"/>
      <c r="AA780" s="1"/>
      <c r="AB780" s="8"/>
      <c r="AC780" s="8"/>
      <c r="AD780" s="8"/>
      <c r="AE780" s="8"/>
      <c r="AF780" s="8"/>
      <c r="AG780" s="8"/>
      <c r="AH780" s="8"/>
      <c r="AI780" s="8"/>
      <c r="AJ780" s="8"/>
    </row>
    <row r="781" spans="1:36" ht="15" customHeight="1" x14ac:dyDescent="0.35">
      <c r="A781" s="4" t="s">
        <v>1177</v>
      </c>
      <c r="B781" s="1" t="s">
        <v>2802</v>
      </c>
      <c r="C781" s="11">
        <v>45030</v>
      </c>
      <c r="D781" s="11" t="s">
        <v>5181</v>
      </c>
      <c r="E781" s="1" t="s">
        <v>191</v>
      </c>
      <c r="F781" s="1" t="s">
        <v>5182</v>
      </c>
      <c r="G781" s="6">
        <f>COUNTIF(F:F,Table2[[#This Row],[Form '#]])</f>
        <v>2</v>
      </c>
      <c r="H781" s="1" t="s">
        <v>5183</v>
      </c>
      <c r="I781" s="1" t="s">
        <v>127</v>
      </c>
      <c r="J781" s="1" t="s">
        <v>74</v>
      </c>
      <c r="K781" s="1" t="s">
        <v>4011</v>
      </c>
      <c r="L781" s="1"/>
      <c r="M781" s="6" t="str">
        <f>IF(Table2[[#This Row],[Corrected Form '#
 (If Duplicated)]]="",Table2[[#This Row],[Form '#]],Table2[[#This Row],[Corrected Form '#
 (If Duplicated)]])</f>
        <v>7812-03385</v>
      </c>
      <c r="N781" s="1" t="s">
        <v>49</v>
      </c>
      <c r="O781" s="6" t="str">
        <f>IF(Table2[[#This Row],[POG CONFIRMATION RECEIPT OF ORDER
(DATE &amp; TIME)]]="","No Confirmation","Received Confirmation")</f>
        <v>Received Confirmation</v>
      </c>
      <c r="P781" s="6">
        <f ca="1">TODAY()-Table2[[#This Row],[DATE SENT TO POG]]</f>
        <v>273</v>
      </c>
      <c r="Q781" s="6" t="s">
        <v>5803</v>
      </c>
      <c r="R7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1" s="2" t="str">
        <f>_xlfn.XLOOKUP(Table2[[#This Row],[Adjusted Form '#]],'[2]IN PROGRESS'!$D:$D,'[2]IN PROGRESS'!$M:$M,"Not Found")</f>
        <v>Not Found</v>
      </c>
      <c r="U781" s="2" t="str">
        <f>_xlfn.XLOOKUP(Table2[[#This Row],[Adjusted Form '#]],[1]COMPLETED!$D:$D,[2]COMPLETED!$M:$M,"Not Found")</f>
        <v>Not Found</v>
      </c>
      <c r="V781" s="17" t="str">
        <f>_xlfn.XLOOKUP(Table2[[#This Row],[Adjusted Form '#]],[2]COMPLETED!$D:$D,[2]COMPLETED!$O:$O,"Not Found")</f>
        <v>Not Found</v>
      </c>
      <c r="W781" s="2" t="str">
        <f>_xlfn.XLOOKUP(Table2[[#This Row],[Adjusted Form '#]],[2]BILLED!$D:$D,[2]BILLED!$M:$M,"Not Found")</f>
        <v>1Z5063E0YW40078598</v>
      </c>
      <c r="X781" s="17" t="e">
        <f>_xlfn.XLOOKUP(Table2[[#This Row],[Adjusted Form '#]],[2]BILLED!$D:$D,[1]BILLED!$O:$O,"Not Found")</f>
        <v>#REF!</v>
      </c>
      <c r="Y781" s="17" t="e">
        <f>_xlfn.XLOOKUP(Table2[[#This Row],[Adjusted Form '#]],'[2]REJECTED ORDERS'!$D:$D,'[2]REJECTED ORDERS'!$E:$E)</f>
        <v>#N/A</v>
      </c>
      <c r="Z781" s="1"/>
      <c r="AA781" s="1"/>
      <c r="AB781" s="8"/>
      <c r="AC781" s="8"/>
      <c r="AD781" s="8"/>
      <c r="AE781" s="8"/>
      <c r="AF781" s="8"/>
      <c r="AG781" s="8"/>
      <c r="AH781" s="8"/>
      <c r="AI781" s="8"/>
      <c r="AJ781" s="8"/>
    </row>
    <row r="782" spans="1:36" ht="15" customHeight="1" x14ac:dyDescent="0.35">
      <c r="A782" s="4" t="s">
        <v>1179</v>
      </c>
      <c r="B782" s="1" t="s">
        <v>1854</v>
      </c>
      <c r="C782" s="11">
        <v>45030</v>
      </c>
      <c r="D782" s="11" t="s">
        <v>5181</v>
      </c>
      <c r="E782" s="1" t="s">
        <v>21</v>
      </c>
      <c r="F782" s="1" t="s">
        <v>5184</v>
      </c>
      <c r="G782" s="6">
        <f>COUNTIF(F:F,Table2[[#This Row],[Form '#]])</f>
        <v>1</v>
      </c>
      <c r="H782" s="1" t="s">
        <v>2648</v>
      </c>
      <c r="I782" s="1" t="s">
        <v>3864</v>
      </c>
      <c r="J782" s="1" t="s">
        <v>78</v>
      </c>
      <c r="K782" s="1" t="s">
        <v>3879</v>
      </c>
      <c r="L782" s="1"/>
      <c r="M782" s="6" t="str">
        <f>IF(Table2[[#This Row],[Corrected Form '#
 (If Duplicated)]]="",Table2[[#This Row],[Form '#]],Table2[[#This Row],[Corrected Form '#
 (If Duplicated)]])</f>
        <v>7818-05508</v>
      </c>
      <c r="N782" s="1" t="s">
        <v>49</v>
      </c>
      <c r="O782" s="6" t="str">
        <f>IF(Table2[[#This Row],[POG CONFIRMATION RECEIPT OF ORDER
(DATE &amp; TIME)]]="","No Confirmation","Received Confirmation")</f>
        <v>Received Confirmation</v>
      </c>
      <c r="P782" s="6">
        <f ca="1">TODAY()-Table2[[#This Row],[DATE SENT TO POG]]</f>
        <v>273</v>
      </c>
      <c r="Q782" s="6" t="s">
        <v>5803</v>
      </c>
      <c r="R7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2" s="2" t="str">
        <f>_xlfn.XLOOKUP(Table2[[#This Row],[Adjusted Form '#]],'[2]IN PROGRESS'!$D:$D,'[2]IN PROGRESS'!$M:$M,"Not Found")</f>
        <v>Not Found</v>
      </c>
      <c r="U782" s="2" t="str">
        <f>_xlfn.XLOOKUP(Table2[[#This Row],[Adjusted Form '#]],[1]COMPLETED!$D:$D,[2]COMPLETED!$M:$M,"Not Found")</f>
        <v>Not Found</v>
      </c>
      <c r="V782" s="17" t="str">
        <f>_xlfn.XLOOKUP(Table2[[#This Row],[Adjusted Form '#]],[2]COMPLETED!$D:$D,[2]COMPLETED!$O:$O,"Not Found")</f>
        <v>Not Found</v>
      </c>
      <c r="W782" s="2" t="str">
        <f>_xlfn.XLOOKUP(Table2[[#This Row],[Adjusted Form '#]],[2]BILLED!$D:$D,[2]BILLED!$M:$M,"Not Found")</f>
        <v>1Z5063E0YW42062190</v>
      </c>
      <c r="X782" s="17" t="e">
        <f>_xlfn.XLOOKUP(Table2[[#This Row],[Adjusted Form '#]],[2]BILLED!$D:$D,[1]BILLED!$O:$O,"Not Found")</f>
        <v>#REF!</v>
      </c>
      <c r="Y782" s="17" t="e">
        <f>_xlfn.XLOOKUP(Table2[[#This Row],[Adjusted Form '#]],'[2]REJECTED ORDERS'!$D:$D,'[2]REJECTED ORDERS'!$E:$E)</f>
        <v>#N/A</v>
      </c>
      <c r="Z782" s="1"/>
      <c r="AA782" s="1"/>
      <c r="AB782" s="8"/>
      <c r="AC782" s="8"/>
      <c r="AD782" s="8"/>
      <c r="AE782" s="8"/>
      <c r="AF782" s="8"/>
      <c r="AG782" s="8"/>
      <c r="AH782" s="8"/>
      <c r="AI782" s="8"/>
      <c r="AJ782" s="8"/>
    </row>
    <row r="783" spans="1:36" ht="15" customHeight="1" x14ac:dyDescent="0.35">
      <c r="A783" s="4" t="s">
        <v>1180</v>
      </c>
      <c r="B783" s="1" t="s">
        <v>1854</v>
      </c>
      <c r="C783" s="11">
        <v>45030</v>
      </c>
      <c r="D783" s="11" t="s">
        <v>5181</v>
      </c>
      <c r="E783" s="1" t="s">
        <v>21</v>
      </c>
      <c r="F783" s="1" t="s">
        <v>5185</v>
      </c>
      <c r="G783" s="6">
        <f>COUNTIF(F:F,Table2[[#This Row],[Form '#]])</f>
        <v>1</v>
      </c>
      <c r="H783" s="1" t="s">
        <v>5186</v>
      </c>
      <c r="I783" s="1" t="s">
        <v>127</v>
      </c>
      <c r="J783" s="1" t="s">
        <v>76</v>
      </c>
      <c r="K783" s="1" t="s">
        <v>3883</v>
      </c>
      <c r="L783" s="1"/>
      <c r="M783" s="6" t="str">
        <f>IF(Table2[[#This Row],[Corrected Form '#
 (If Duplicated)]]="",Table2[[#This Row],[Form '#]],Table2[[#This Row],[Corrected Form '#
 (If Duplicated)]])</f>
        <v>7818-19272</v>
      </c>
      <c r="N783" s="1" t="s">
        <v>49</v>
      </c>
      <c r="O783" s="6" t="str">
        <f>IF(Table2[[#This Row],[POG CONFIRMATION RECEIPT OF ORDER
(DATE &amp; TIME)]]="","No Confirmation","Received Confirmation")</f>
        <v>Received Confirmation</v>
      </c>
      <c r="P783" s="6">
        <f ca="1">TODAY()-Table2[[#This Row],[DATE SENT TO POG]]</f>
        <v>273</v>
      </c>
      <c r="Q783" s="6" t="s">
        <v>5803</v>
      </c>
      <c r="R7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3" s="2" t="str">
        <f>_xlfn.XLOOKUP(Table2[[#This Row],[Adjusted Form '#]],'[2]IN PROGRESS'!$D:$D,'[2]IN PROGRESS'!$M:$M,"Not Found")</f>
        <v>Not Found</v>
      </c>
      <c r="U783" s="2" t="str">
        <f>_xlfn.XLOOKUP(Table2[[#This Row],[Adjusted Form '#]],[1]COMPLETED!$D:$D,[2]COMPLETED!$M:$M,"Not Found")</f>
        <v>Not Found</v>
      </c>
      <c r="V783" s="17" t="str">
        <f>_xlfn.XLOOKUP(Table2[[#This Row],[Adjusted Form '#]],[2]COMPLETED!$D:$D,[2]COMPLETED!$O:$O,"Not Found")</f>
        <v>Not Found</v>
      </c>
      <c r="W783" s="2" t="str">
        <f>_xlfn.XLOOKUP(Table2[[#This Row],[Adjusted Form '#]],[2]BILLED!$D:$D,[2]BILLED!$M:$M,"Not Found")</f>
        <v>1Z5063E0YW40619413</v>
      </c>
      <c r="X783" s="17" t="e">
        <f>_xlfn.XLOOKUP(Table2[[#This Row],[Adjusted Form '#]],[2]BILLED!$D:$D,[1]BILLED!$O:$O,"Not Found")</f>
        <v>#REF!</v>
      </c>
      <c r="Y783" s="17" t="e">
        <f>_xlfn.XLOOKUP(Table2[[#This Row],[Adjusted Form '#]],'[2]REJECTED ORDERS'!$D:$D,'[2]REJECTED ORDERS'!$E:$E)</f>
        <v>#N/A</v>
      </c>
      <c r="Z783" s="1"/>
      <c r="AA783" s="1"/>
      <c r="AB783" s="8"/>
      <c r="AC783" s="8"/>
      <c r="AD783" s="8"/>
      <c r="AE783" s="8"/>
      <c r="AF783" s="8"/>
      <c r="AG783" s="8"/>
      <c r="AH783" s="8"/>
      <c r="AI783" s="8"/>
      <c r="AJ783" s="8"/>
    </row>
    <row r="784" spans="1:36" ht="15" customHeight="1" x14ac:dyDescent="0.35">
      <c r="A784" s="4" t="s">
        <v>1181</v>
      </c>
      <c r="B784" s="1" t="s">
        <v>2242</v>
      </c>
      <c r="C784" s="11">
        <v>45033</v>
      </c>
      <c r="D784" s="11" t="s">
        <v>5187</v>
      </c>
      <c r="E784" s="1" t="s">
        <v>191</v>
      </c>
      <c r="F784" s="1" t="s">
        <v>5188</v>
      </c>
      <c r="G784" s="6">
        <f>COUNTIF(F:F,Table2[[#This Row],[Form '#]])</f>
        <v>1</v>
      </c>
      <c r="H784" s="1" t="s">
        <v>5189</v>
      </c>
      <c r="I784" s="1" t="s">
        <v>3852</v>
      </c>
      <c r="J784" s="1" t="s">
        <v>75</v>
      </c>
      <c r="K784" s="1" t="s">
        <v>3853</v>
      </c>
      <c r="L784" s="1"/>
      <c r="M784" s="6" t="str">
        <f>IF(Table2[[#This Row],[Corrected Form '#
 (If Duplicated)]]="",Table2[[#This Row],[Form '#]],Table2[[#This Row],[Corrected Form '#
 (If Duplicated)]])</f>
        <v>7812-02208</v>
      </c>
      <c r="N784" s="1" t="s">
        <v>49</v>
      </c>
      <c r="O784" s="6" t="str">
        <f>IF(Table2[[#This Row],[POG CONFIRMATION RECEIPT OF ORDER
(DATE &amp; TIME)]]="","No Confirmation","Received Confirmation")</f>
        <v>Received Confirmation</v>
      </c>
      <c r="P784" s="6">
        <f ca="1">TODAY()-Table2[[#This Row],[DATE SENT TO POG]]</f>
        <v>270</v>
      </c>
      <c r="Q784" s="6" t="s">
        <v>5803</v>
      </c>
      <c r="R7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4" s="2" t="str">
        <f>_xlfn.XLOOKUP(Table2[[#This Row],[Adjusted Form '#]],'[2]IN PROGRESS'!$D:$D,'[2]IN PROGRESS'!$M:$M,"Not Found")</f>
        <v>Not Found</v>
      </c>
      <c r="U784" s="2" t="str">
        <f>_xlfn.XLOOKUP(Table2[[#This Row],[Adjusted Form '#]],[1]COMPLETED!$D:$D,[2]COMPLETED!$M:$M,"Not Found")</f>
        <v>Not Found</v>
      </c>
      <c r="V784" s="17" t="str">
        <f>_xlfn.XLOOKUP(Table2[[#This Row],[Adjusted Form '#]],[2]COMPLETED!$D:$D,[2]COMPLETED!$O:$O,"Not Found")</f>
        <v>Not Found</v>
      </c>
      <c r="W784" s="2" t="str">
        <f>_xlfn.XLOOKUP(Table2[[#This Row],[Adjusted Form '#]],[2]BILLED!$D:$D,[2]BILLED!$M:$M,"Not Found")</f>
        <v>1Z5063E0YW42883946</v>
      </c>
      <c r="X784" s="17" t="e">
        <f>_xlfn.XLOOKUP(Table2[[#This Row],[Adjusted Form '#]],[2]BILLED!$D:$D,[1]BILLED!$O:$O,"Not Found")</f>
        <v>#REF!</v>
      </c>
      <c r="Y784" s="17" t="e">
        <f>_xlfn.XLOOKUP(Table2[[#This Row],[Adjusted Form '#]],'[2]REJECTED ORDERS'!$D:$D,'[2]REJECTED ORDERS'!$E:$E)</f>
        <v>#N/A</v>
      </c>
      <c r="Z784" s="1"/>
      <c r="AA784" s="1"/>
      <c r="AB784" s="8"/>
      <c r="AC784" s="8"/>
      <c r="AD784" s="8"/>
      <c r="AE784" s="8"/>
      <c r="AF784" s="8"/>
      <c r="AG784" s="8"/>
      <c r="AH784" s="8"/>
      <c r="AI784" s="8"/>
      <c r="AJ784" s="8"/>
    </row>
    <row r="785" spans="1:36" ht="15" customHeight="1" x14ac:dyDescent="0.35">
      <c r="A785" s="4" t="s">
        <v>1183</v>
      </c>
      <c r="B785" s="1" t="s">
        <v>2242</v>
      </c>
      <c r="C785" s="11">
        <v>45033</v>
      </c>
      <c r="D785" s="11" t="s">
        <v>5187</v>
      </c>
      <c r="E785" s="1" t="s">
        <v>191</v>
      </c>
      <c r="F785" s="1" t="s">
        <v>5190</v>
      </c>
      <c r="G785" s="6">
        <f>COUNTIF(F:F,Table2[[#This Row],[Form '#]])</f>
        <v>1</v>
      </c>
      <c r="H785" s="1" t="s">
        <v>2745</v>
      </c>
      <c r="I785" s="1" t="s">
        <v>177</v>
      </c>
      <c r="J785" s="1" t="s">
        <v>75</v>
      </c>
      <c r="K785" s="1" t="s">
        <v>3853</v>
      </c>
      <c r="L785" s="1"/>
      <c r="M785" s="6" t="str">
        <f>IF(Table2[[#This Row],[Corrected Form '#
 (If Duplicated)]]="",Table2[[#This Row],[Form '#]],Table2[[#This Row],[Corrected Form '#
 (If Duplicated)]])</f>
        <v>7812-00392</v>
      </c>
      <c r="N785" s="1" t="s">
        <v>49</v>
      </c>
      <c r="O785" s="6" t="str">
        <f>IF(Table2[[#This Row],[POG CONFIRMATION RECEIPT OF ORDER
(DATE &amp; TIME)]]="","No Confirmation","Received Confirmation")</f>
        <v>Received Confirmation</v>
      </c>
      <c r="P785" s="6">
        <f ca="1">TODAY()-Table2[[#This Row],[DATE SENT TO POG]]</f>
        <v>270</v>
      </c>
      <c r="Q785" s="6" t="s">
        <v>5803</v>
      </c>
      <c r="R7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5" s="2" t="str">
        <f>_xlfn.XLOOKUP(Table2[[#This Row],[Adjusted Form '#]],'[2]IN PROGRESS'!$D:$D,'[2]IN PROGRESS'!$M:$M,"Not Found")</f>
        <v>Not Found</v>
      </c>
      <c r="U785" s="2" t="str">
        <f>_xlfn.XLOOKUP(Table2[[#This Row],[Adjusted Form '#]],[1]COMPLETED!$D:$D,[2]COMPLETED!$M:$M,"Not Found")</f>
        <v>Not Found</v>
      </c>
      <c r="V785" s="17" t="str">
        <f>_xlfn.XLOOKUP(Table2[[#This Row],[Adjusted Form '#]],[2]COMPLETED!$D:$D,[2]COMPLETED!$O:$O,"Not Found")</f>
        <v>Not Found</v>
      </c>
      <c r="W785" s="2" t="str">
        <f>_xlfn.XLOOKUP(Table2[[#This Row],[Adjusted Form '#]],[2]BILLED!$D:$D,[2]BILLED!$M:$M,"Not Found")</f>
        <v>1Z5063E0YW40672089</v>
      </c>
      <c r="X785" s="17" t="e">
        <f>_xlfn.XLOOKUP(Table2[[#This Row],[Adjusted Form '#]],[2]BILLED!$D:$D,[1]BILLED!$O:$O,"Not Found")</f>
        <v>#REF!</v>
      </c>
      <c r="Y785" s="17" t="e">
        <f>_xlfn.XLOOKUP(Table2[[#This Row],[Adjusted Form '#]],'[2]REJECTED ORDERS'!$D:$D,'[2]REJECTED ORDERS'!$E:$E)</f>
        <v>#N/A</v>
      </c>
      <c r="Z785" s="1"/>
      <c r="AA785" s="1"/>
      <c r="AB785" s="8"/>
      <c r="AC785" s="8"/>
      <c r="AD785" s="8"/>
      <c r="AE785" s="8"/>
      <c r="AF785" s="8"/>
      <c r="AG785" s="8"/>
      <c r="AH785" s="8"/>
      <c r="AI785" s="8"/>
      <c r="AJ785" s="8"/>
    </row>
    <row r="786" spans="1:36" ht="15" customHeight="1" x14ac:dyDescent="0.35">
      <c r="A786" s="4" t="s">
        <v>1184</v>
      </c>
      <c r="B786" s="1" t="s">
        <v>2242</v>
      </c>
      <c r="C786" s="11">
        <v>45033</v>
      </c>
      <c r="D786" s="11" t="s">
        <v>5187</v>
      </c>
      <c r="E786" s="1" t="s">
        <v>191</v>
      </c>
      <c r="F786" s="1" t="s">
        <v>5191</v>
      </c>
      <c r="G786" s="6">
        <f>COUNTIF(F:F,Table2[[#This Row],[Form '#]])</f>
        <v>1</v>
      </c>
      <c r="H786" s="1" t="s">
        <v>2974</v>
      </c>
      <c r="I786" s="1" t="s">
        <v>758</v>
      </c>
      <c r="J786" s="1" t="s">
        <v>78</v>
      </c>
      <c r="K786" s="1" t="s">
        <v>3853</v>
      </c>
      <c r="L786" s="1"/>
      <c r="M786" s="6" t="str">
        <f>IF(Table2[[#This Row],[Corrected Form '#
 (If Duplicated)]]="",Table2[[#This Row],[Form '#]],Table2[[#This Row],[Corrected Form '#
 (If Duplicated)]])</f>
        <v>7812-0308</v>
      </c>
      <c r="N786" s="1" t="s">
        <v>49</v>
      </c>
      <c r="O786" s="6" t="str">
        <f>IF(Table2[[#This Row],[POG CONFIRMATION RECEIPT OF ORDER
(DATE &amp; TIME)]]="","No Confirmation","Received Confirmation")</f>
        <v>Received Confirmation</v>
      </c>
      <c r="P786" s="6">
        <f ca="1">TODAY()-Table2[[#This Row],[DATE SENT TO POG]]</f>
        <v>270</v>
      </c>
      <c r="Q786" s="6" t="s">
        <v>5802</v>
      </c>
      <c r="R7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78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786" s="2" t="str">
        <f>_xlfn.XLOOKUP(Table2[[#This Row],[Adjusted Form '#]],'[2]IN PROGRESS'!$D:$D,'[2]IN PROGRESS'!$M:$M,"Not Found")</f>
        <v>Not Found</v>
      </c>
      <c r="U786" s="2" t="str">
        <f>_xlfn.XLOOKUP(Table2[[#This Row],[Adjusted Form '#]],[1]COMPLETED!$D:$D,[2]COMPLETED!$M:$M,"Not Found")</f>
        <v>Not Found</v>
      </c>
      <c r="V786" s="17" t="str">
        <f>_xlfn.XLOOKUP(Table2[[#This Row],[Adjusted Form '#]],[2]COMPLETED!$D:$D,[2]COMPLETED!$O:$O,"Not Found")</f>
        <v>Not Found</v>
      </c>
      <c r="W786" s="2" t="str">
        <f>_xlfn.XLOOKUP(Table2[[#This Row],[Adjusted Form '#]],[2]BILLED!$D:$D,[2]BILLED!$M:$M,"Not Found")</f>
        <v>Not Found</v>
      </c>
      <c r="X786" s="17" t="str">
        <f>_xlfn.XLOOKUP(Table2[[#This Row],[Adjusted Form '#]],[2]BILLED!$D:$D,[1]BILLED!$O:$O,"Not Found")</f>
        <v>Not Found</v>
      </c>
      <c r="Y786" s="17" t="e">
        <f>_xlfn.XLOOKUP(Table2[[#This Row],[Adjusted Form '#]],'[2]REJECTED ORDERS'!$D:$D,'[2]REJECTED ORDERS'!$E:$E)</f>
        <v>#N/A</v>
      </c>
      <c r="Z786" s="1"/>
      <c r="AA786" s="1"/>
      <c r="AB786" s="8"/>
      <c r="AC786" s="8"/>
      <c r="AD786" s="8"/>
      <c r="AE786" s="8"/>
      <c r="AF786" s="8"/>
      <c r="AG786" s="8"/>
      <c r="AH786" s="8"/>
      <c r="AI786" s="8"/>
      <c r="AJ786" s="8"/>
    </row>
    <row r="787" spans="1:36" ht="15" customHeight="1" x14ac:dyDescent="0.35">
      <c r="A787" s="4" t="s">
        <v>1185</v>
      </c>
      <c r="B787" s="1" t="s">
        <v>2242</v>
      </c>
      <c r="C787" s="11">
        <v>45033</v>
      </c>
      <c r="D787" s="11" t="s">
        <v>5187</v>
      </c>
      <c r="E787" s="1" t="s">
        <v>191</v>
      </c>
      <c r="F787" s="1" t="s">
        <v>5192</v>
      </c>
      <c r="G787" s="6">
        <f>COUNTIF(F:F,Table2[[#This Row],[Form '#]])</f>
        <v>1</v>
      </c>
      <c r="H787" s="1" t="s">
        <v>5193</v>
      </c>
      <c r="I787" s="1" t="s">
        <v>3864</v>
      </c>
      <c r="J787" s="1" t="s">
        <v>78</v>
      </c>
      <c r="K787" s="1" t="s">
        <v>3879</v>
      </c>
      <c r="L787" s="1"/>
      <c r="M787" s="6" t="str">
        <f>IF(Table2[[#This Row],[Corrected Form '#
 (If Duplicated)]]="",Table2[[#This Row],[Form '#]],Table2[[#This Row],[Corrected Form '#
 (If Duplicated)]])</f>
        <v>7812-03118</v>
      </c>
      <c r="N787" s="1" t="s">
        <v>49</v>
      </c>
      <c r="O787" s="6" t="str">
        <f>IF(Table2[[#This Row],[POG CONFIRMATION RECEIPT OF ORDER
(DATE &amp; TIME)]]="","No Confirmation","Received Confirmation")</f>
        <v>Received Confirmation</v>
      </c>
      <c r="P787" s="6">
        <f ca="1">TODAY()-Table2[[#This Row],[DATE SENT TO POG]]</f>
        <v>270</v>
      </c>
      <c r="Q787" s="6" t="s">
        <v>5803</v>
      </c>
      <c r="R7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7" s="2" t="str">
        <f>_xlfn.XLOOKUP(Table2[[#This Row],[Adjusted Form '#]],'[2]IN PROGRESS'!$D:$D,'[2]IN PROGRESS'!$M:$M,"Not Found")</f>
        <v>Not Found</v>
      </c>
      <c r="U787" s="2" t="str">
        <f>_xlfn.XLOOKUP(Table2[[#This Row],[Adjusted Form '#]],[1]COMPLETED!$D:$D,[2]COMPLETED!$M:$M,"Not Found")</f>
        <v>Not Found</v>
      </c>
      <c r="V787" s="17" t="str">
        <f>_xlfn.XLOOKUP(Table2[[#This Row],[Adjusted Form '#]],[2]COMPLETED!$D:$D,[2]COMPLETED!$O:$O,"Not Found")</f>
        <v>Not Found</v>
      </c>
      <c r="W787" s="2" t="str">
        <f>_xlfn.XLOOKUP(Table2[[#This Row],[Adjusted Form '#]],[2]BILLED!$D:$D,[2]BILLED!$M:$M,"Not Found")</f>
        <v>1Z5063E0YW41596919</v>
      </c>
      <c r="X787" s="17" t="e">
        <f>_xlfn.XLOOKUP(Table2[[#This Row],[Adjusted Form '#]],[2]BILLED!$D:$D,[1]BILLED!$O:$O,"Not Found")</f>
        <v>#REF!</v>
      </c>
      <c r="Y787" s="17" t="e">
        <f>_xlfn.XLOOKUP(Table2[[#This Row],[Adjusted Form '#]],'[2]REJECTED ORDERS'!$D:$D,'[2]REJECTED ORDERS'!$E:$E)</f>
        <v>#N/A</v>
      </c>
      <c r="Z787" s="1"/>
      <c r="AA787" s="1"/>
      <c r="AB787" s="8"/>
      <c r="AC787" s="8"/>
      <c r="AD787" s="8"/>
      <c r="AE787" s="8"/>
      <c r="AF787" s="8"/>
      <c r="AG787" s="8"/>
      <c r="AH787" s="8"/>
      <c r="AI787" s="8"/>
      <c r="AJ787" s="8"/>
    </row>
    <row r="788" spans="1:36" ht="15" customHeight="1" x14ac:dyDescent="0.35">
      <c r="A788" s="4" t="s">
        <v>1186</v>
      </c>
      <c r="B788" s="1" t="s">
        <v>2242</v>
      </c>
      <c r="C788" s="11">
        <v>45033</v>
      </c>
      <c r="D788" s="11" t="s">
        <v>5187</v>
      </c>
      <c r="E788" s="1" t="s">
        <v>191</v>
      </c>
      <c r="F788" s="1" t="s">
        <v>5194</v>
      </c>
      <c r="G788" s="6">
        <f>COUNTIF(F:F,Table2[[#This Row],[Form '#]])</f>
        <v>1</v>
      </c>
      <c r="H788" s="1" t="s">
        <v>1922</v>
      </c>
      <c r="I788" s="1" t="s">
        <v>3864</v>
      </c>
      <c r="J788" s="1" t="s">
        <v>78</v>
      </c>
      <c r="K788" s="1" t="s">
        <v>3879</v>
      </c>
      <c r="L788" s="1"/>
      <c r="M788" s="6" t="str">
        <f>IF(Table2[[#This Row],[Corrected Form '#
 (If Duplicated)]]="",Table2[[#This Row],[Form '#]],Table2[[#This Row],[Corrected Form '#
 (If Duplicated)]])</f>
        <v>7812-03117</v>
      </c>
      <c r="N788" s="1" t="s">
        <v>49</v>
      </c>
      <c r="O788" s="6" t="str">
        <f>IF(Table2[[#This Row],[POG CONFIRMATION RECEIPT OF ORDER
(DATE &amp; TIME)]]="","No Confirmation","Received Confirmation")</f>
        <v>Received Confirmation</v>
      </c>
      <c r="P788" s="6">
        <f ca="1">TODAY()-Table2[[#This Row],[DATE SENT TO POG]]</f>
        <v>270</v>
      </c>
      <c r="Q788" s="6" t="s">
        <v>5803</v>
      </c>
      <c r="R7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8" s="2" t="str">
        <f>_xlfn.XLOOKUP(Table2[[#This Row],[Adjusted Form '#]],'[2]IN PROGRESS'!$D:$D,'[2]IN PROGRESS'!$M:$M,"Not Found")</f>
        <v>Not Found</v>
      </c>
      <c r="U788" s="2" t="str">
        <f>_xlfn.XLOOKUP(Table2[[#This Row],[Adjusted Form '#]],[1]COMPLETED!$D:$D,[2]COMPLETED!$M:$M,"Not Found")</f>
        <v>Not Found</v>
      </c>
      <c r="V788" s="17" t="str">
        <f>_xlfn.XLOOKUP(Table2[[#This Row],[Adjusted Form '#]],[2]COMPLETED!$D:$D,[2]COMPLETED!$O:$O,"Not Found")</f>
        <v>Not Found</v>
      </c>
      <c r="W788" s="2" t="str">
        <f>_xlfn.XLOOKUP(Table2[[#This Row],[Adjusted Form '#]],[2]BILLED!$D:$D,[2]BILLED!$M:$M,"Not Found")</f>
        <v>1Z5063E0YW40445904</v>
      </c>
      <c r="X788" s="17" t="e">
        <f>_xlfn.XLOOKUP(Table2[[#This Row],[Adjusted Form '#]],[2]BILLED!$D:$D,[1]BILLED!$O:$O,"Not Found")</f>
        <v>#REF!</v>
      </c>
      <c r="Y788" s="17" t="e">
        <f>_xlfn.XLOOKUP(Table2[[#This Row],[Adjusted Form '#]],'[2]REJECTED ORDERS'!$D:$D,'[2]REJECTED ORDERS'!$E:$E)</f>
        <v>#N/A</v>
      </c>
      <c r="Z788" s="1"/>
      <c r="AA788" s="1"/>
      <c r="AB788" s="8"/>
      <c r="AC788" s="8"/>
      <c r="AD788" s="8"/>
      <c r="AE788" s="8"/>
      <c r="AF788" s="8"/>
      <c r="AG788" s="8"/>
      <c r="AH788" s="8"/>
      <c r="AI788" s="8"/>
      <c r="AJ788" s="8"/>
    </row>
    <row r="789" spans="1:36" ht="15" customHeight="1" x14ac:dyDescent="0.35">
      <c r="A789" s="4" t="s">
        <v>1187</v>
      </c>
      <c r="B789" s="1" t="s">
        <v>2242</v>
      </c>
      <c r="C789" s="11">
        <v>45033</v>
      </c>
      <c r="D789" s="11" t="s">
        <v>5187</v>
      </c>
      <c r="E789" s="1" t="s">
        <v>191</v>
      </c>
      <c r="F789" s="1" t="s">
        <v>5182</v>
      </c>
      <c r="G789" s="6">
        <f>COUNTIF(F:F,Table2[[#This Row],[Form '#]])</f>
        <v>2</v>
      </c>
      <c r="H789" s="1" t="s">
        <v>5183</v>
      </c>
      <c r="I789" s="1" t="s">
        <v>127</v>
      </c>
      <c r="J789" s="1" t="s">
        <v>74</v>
      </c>
      <c r="K789" s="1" t="s">
        <v>4011</v>
      </c>
      <c r="L789" s="1"/>
      <c r="M789" s="6" t="str">
        <f>IF(Table2[[#This Row],[Corrected Form '#
 (If Duplicated)]]="",Table2[[#This Row],[Form '#]],Table2[[#This Row],[Corrected Form '#
 (If Duplicated)]])</f>
        <v>7812-03385</v>
      </c>
      <c r="N789" s="1" t="s">
        <v>49</v>
      </c>
      <c r="O789" s="6" t="str">
        <f>IF(Table2[[#This Row],[POG CONFIRMATION RECEIPT OF ORDER
(DATE &amp; TIME)]]="","No Confirmation","Received Confirmation")</f>
        <v>Received Confirmation</v>
      </c>
      <c r="P789" s="6">
        <f ca="1">TODAY()-Table2[[#This Row],[DATE SENT TO POG]]</f>
        <v>270</v>
      </c>
      <c r="Q789" s="6" t="s">
        <v>5803</v>
      </c>
      <c r="R7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89" s="2" t="str">
        <f>_xlfn.XLOOKUP(Table2[[#This Row],[Adjusted Form '#]],'[2]IN PROGRESS'!$D:$D,'[2]IN PROGRESS'!$M:$M,"Not Found")</f>
        <v>Not Found</v>
      </c>
      <c r="U789" s="2" t="str">
        <f>_xlfn.XLOOKUP(Table2[[#This Row],[Adjusted Form '#]],[1]COMPLETED!$D:$D,[2]COMPLETED!$M:$M,"Not Found")</f>
        <v>Not Found</v>
      </c>
      <c r="V789" s="17" t="str">
        <f>_xlfn.XLOOKUP(Table2[[#This Row],[Adjusted Form '#]],[2]COMPLETED!$D:$D,[2]COMPLETED!$O:$O,"Not Found")</f>
        <v>Not Found</v>
      </c>
      <c r="W789" s="2" t="str">
        <f>_xlfn.XLOOKUP(Table2[[#This Row],[Adjusted Form '#]],[2]BILLED!$D:$D,[2]BILLED!$M:$M,"Not Found")</f>
        <v>1Z5063E0YW40078598</v>
      </c>
      <c r="X789" s="17" t="e">
        <f>_xlfn.XLOOKUP(Table2[[#This Row],[Adjusted Form '#]],[2]BILLED!$D:$D,[1]BILLED!$O:$O,"Not Found")</f>
        <v>#REF!</v>
      </c>
      <c r="Y789" s="17" t="e">
        <f>_xlfn.XLOOKUP(Table2[[#This Row],[Adjusted Form '#]],'[2]REJECTED ORDERS'!$D:$D,'[2]REJECTED ORDERS'!$E:$E)</f>
        <v>#N/A</v>
      </c>
      <c r="Z789" s="1"/>
      <c r="AA789" s="1"/>
      <c r="AB789" s="8"/>
      <c r="AC789" s="8"/>
      <c r="AD789" s="8"/>
      <c r="AE789" s="8"/>
      <c r="AF789" s="8"/>
      <c r="AG789" s="8"/>
      <c r="AH789" s="8"/>
      <c r="AI789" s="8"/>
      <c r="AJ789" s="8"/>
    </row>
    <row r="790" spans="1:36" ht="15" customHeight="1" x14ac:dyDescent="0.35">
      <c r="A790" s="4" t="s">
        <v>1188</v>
      </c>
      <c r="B790" s="1" t="s">
        <v>2242</v>
      </c>
      <c r="C790" s="11">
        <v>45033</v>
      </c>
      <c r="D790" s="11" t="s">
        <v>5187</v>
      </c>
      <c r="E790" s="1" t="s">
        <v>191</v>
      </c>
      <c r="F790" s="1" t="s">
        <v>5195</v>
      </c>
      <c r="G790" s="6">
        <f>COUNTIF(F:F,Table2[[#This Row],[Form '#]])</f>
        <v>1</v>
      </c>
      <c r="H790" s="1" t="s">
        <v>5196</v>
      </c>
      <c r="I790" s="1" t="s">
        <v>3864</v>
      </c>
      <c r="J790" s="1" t="s">
        <v>3891</v>
      </c>
      <c r="K790" s="1" t="s">
        <v>3891</v>
      </c>
      <c r="L790" s="1"/>
      <c r="M790" s="6" t="str">
        <f>IF(Table2[[#This Row],[Corrected Form '#
 (If Duplicated)]]="",Table2[[#This Row],[Form '#]],Table2[[#This Row],[Corrected Form '#
 (If Duplicated)]])</f>
        <v>7812-00397</v>
      </c>
      <c r="N790" s="1" t="s">
        <v>49</v>
      </c>
      <c r="O790" s="6" t="str">
        <f>IF(Table2[[#This Row],[POG CONFIRMATION RECEIPT OF ORDER
(DATE &amp; TIME)]]="","No Confirmation","Received Confirmation")</f>
        <v>Received Confirmation</v>
      </c>
      <c r="P790" s="6">
        <f ca="1">TODAY()-Table2[[#This Row],[DATE SENT TO POG]]</f>
        <v>270</v>
      </c>
      <c r="Q790" s="6" t="s">
        <v>5803</v>
      </c>
      <c r="R7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0" s="2" t="str">
        <f>_xlfn.XLOOKUP(Table2[[#This Row],[Adjusted Form '#]],'[2]IN PROGRESS'!$D:$D,'[2]IN PROGRESS'!$M:$M,"Not Found")</f>
        <v>Not Found</v>
      </c>
      <c r="U790" s="2" t="str">
        <f>_xlfn.XLOOKUP(Table2[[#This Row],[Adjusted Form '#]],[1]COMPLETED!$D:$D,[2]COMPLETED!$M:$M,"Not Found")</f>
        <v>Not Found</v>
      </c>
      <c r="V790" s="17" t="str">
        <f>_xlfn.XLOOKUP(Table2[[#This Row],[Adjusted Form '#]],[2]COMPLETED!$D:$D,[2]COMPLETED!$O:$O,"Not Found")</f>
        <v>Not Found</v>
      </c>
      <c r="W790" s="2" t="str">
        <f>_xlfn.XLOOKUP(Table2[[#This Row],[Adjusted Form '#]],[2]BILLED!$D:$D,[2]BILLED!$M:$M,"Not Found")</f>
        <v>1Z5063E0YW40863793</v>
      </c>
      <c r="X790" s="17" t="e">
        <f>_xlfn.XLOOKUP(Table2[[#This Row],[Adjusted Form '#]],[2]BILLED!$D:$D,[1]BILLED!$O:$O,"Not Found")</f>
        <v>#REF!</v>
      </c>
      <c r="Y790" s="17" t="e">
        <f>_xlfn.XLOOKUP(Table2[[#This Row],[Adjusted Form '#]],'[2]REJECTED ORDERS'!$D:$D,'[2]REJECTED ORDERS'!$E:$E)</f>
        <v>#N/A</v>
      </c>
      <c r="Z790" s="1"/>
      <c r="AA790" s="1"/>
      <c r="AB790" s="8"/>
      <c r="AC790" s="8"/>
      <c r="AD790" s="8"/>
      <c r="AE790" s="8"/>
      <c r="AF790" s="8"/>
      <c r="AG790" s="8"/>
      <c r="AH790" s="8"/>
      <c r="AI790" s="8"/>
      <c r="AJ790" s="8"/>
    </row>
    <row r="791" spans="1:36" ht="15" customHeight="1" x14ac:dyDescent="0.35">
      <c r="A791" s="4" t="s">
        <v>1189</v>
      </c>
      <c r="B791" s="1" t="s">
        <v>2242</v>
      </c>
      <c r="C791" s="11">
        <v>45033</v>
      </c>
      <c r="D791" s="11" t="s">
        <v>5187</v>
      </c>
      <c r="E791" s="1" t="s">
        <v>191</v>
      </c>
      <c r="F791" s="1" t="s">
        <v>5197</v>
      </c>
      <c r="G791" s="6">
        <f>COUNTIF(F:F,Table2[[#This Row],[Form '#]])</f>
        <v>1</v>
      </c>
      <c r="H791" s="1" t="s">
        <v>5198</v>
      </c>
      <c r="I791" s="1" t="s">
        <v>3891</v>
      </c>
      <c r="J791" s="1" t="s">
        <v>3891</v>
      </c>
      <c r="K791" s="1" t="s">
        <v>3891</v>
      </c>
      <c r="L791" s="1"/>
      <c r="M791" s="6" t="str">
        <f>IF(Table2[[#This Row],[Corrected Form '#
 (If Duplicated)]]="",Table2[[#This Row],[Form '#]],Table2[[#This Row],[Corrected Form '#
 (If Duplicated)]])</f>
        <v>7812-3752</v>
      </c>
      <c r="N791" s="1" t="s">
        <v>49</v>
      </c>
      <c r="O791" s="6" t="str">
        <f>IF(Table2[[#This Row],[POG CONFIRMATION RECEIPT OF ORDER
(DATE &amp; TIME)]]="","No Confirmation","Received Confirmation")</f>
        <v>Received Confirmation</v>
      </c>
      <c r="P791" s="6">
        <f ca="1">TODAY()-Table2[[#This Row],[DATE SENT TO POG]]</f>
        <v>270</v>
      </c>
      <c r="Q791" s="6" t="s">
        <v>5803</v>
      </c>
      <c r="R7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1" s="2" t="str">
        <f>_xlfn.XLOOKUP(Table2[[#This Row],[Adjusted Form '#]],'[2]IN PROGRESS'!$D:$D,'[2]IN PROGRESS'!$M:$M,"Not Found")</f>
        <v>Not Found</v>
      </c>
      <c r="U791" s="2" t="str">
        <f>_xlfn.XLOOKUP(Table2[[#This Row],[Adjusted Form '#]],[1]COMPLETED!$D:$D,[2]COMPLETED!$M:$M,"Not Found")</f>
        <v>Not Found</v>
      </c>
      <c r="V791" s="17" t="str">
        <f>_xlfn.XLOOKUP(Table2[[#This Row],[Adjusted Form '#]],[2]COMPLETED!$D:$D,[2]COMPLETED!$O:$O,"Not Found")</f>
        <v>Not Found</v>
      </c>
      <c r="W791" s="2" t="str">
        <f>_xlfn.XLOOKUP(Table2[[#This Row],[Adjusted Form '#]],[2]BILLED!$D:$D,[2]BILLED!$M:$M,"Not Found")</f>
        <v>1Z5063E0YW42370044</v>
      </c>
      <c r="X791" s="17" t="e">
        <f>_xlfn.XLOOKUP(Table2[[#This Row],[Adjusted Form '#]],[2]BILLED!$D:$D,[1]BILLED!$O:$O,"Not Found")</f>
        <v>#REF!</v>
      </c>
      <c r="Y791" s="17" t="e">
        <f>_xlfn.XLOOKUP(Table2[[#This Row],[Adjusted Form '#]],'[2]REJECTED ORDERS'!$D:$D,'[2]REJECTED ORDERS'!$E:$E)</f>
        <v>#N/A</v>
      </c>
      <c r="Z791" s="1"/>
      <c r="AA791" s="1"/>
      <c r="AB791" s="8"/>
      <c r="AC791" s="8"/>
      <c r="AD791" s="8"/>
      <c r="AE791" s="8"/>
      <c r="AF791" s="8"/>
      <c r="AG791" s="8"/>
      <c r="AH791" s="8"/>
      <c r="AI791" s="8"/>
      <c r="AJ791" s="8"/>
    </row>
    <row r="792" spans="1:36" ht="15" customHeight="1" x14ac:dyDescent="0.35">
      <c r="A792" s="4" t="s">
        <v>1191</v>
      </c>
      <c r="B792" s="1" t="s">
        <v>2242</v>
      </c>
      <c r="C792" s="11">
        <v>45033</v>
      </c>
      <c r="D792" s="11" t="s">
        <v>5187</v>
      </c>
      <c r="E792" s="1" t="s">
        <v>191</v>
      </c>
      <c r="F792" s="1" t="s">
        <v>5199</v>
      </c>
      <c r="G792" s="6">
        <f>COUNTIF(F:F,Table2[[#This Row],[Form '#]])</f>
        <v>1</v>
      </c>
      <c r="H792" s="1" t="s">
        <v>5200</v>
      </c>
      <c r="I792" s="1" t="s">
        <v>3891</v>
      </c>
      <c r="J792" s="1" t="s">
        <v>3891</v>
      </c>
      <c r="K792" s="1" t="s">
        <v>3891</v>
      </c>
      <c r="L792" s="1"/>
      <c r="M792" s="6" t="str">
        <f>IF(Table2[[#This Row],[Corrected Form '#
 (If Duplicated)]]="",Table2[[#This Row],[Form '#]],Table2[[#This Row],[Corrected Form '#
 (If Duplicated)]])</f>
        <v>7812-01272</v>
      </c>
      <c r="N792" s="1" t="s">
        <v>49</v>
      </c>
      <c r="O792" s="6" t="str">
        <f>IF(Table2[[#This Row],[POG CONFIRMATION RECEIPT OF ORDER
(DATE &amp; TIME)]]="","No Confirmation","Received Confirmation")</f>
        <v>Received Confirmation</v>
      </c>
      <c r="P792" s="6">
        <f ca="1">TODAY()-Table2[[#This Row],[DATE SENT TO POG]]</f>
        <v>270</v>
      </c>
      <c r="Q792" s="6" t="s">
        <v>5803</v>
      </c>
      <c r="R7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2" s="2" t="str">
        <f>_xlfn.XLOOKUP(Table2[[#This Row],[Adjusted Form '#]],'[2]IN PROGRESS'!$D:$D,'[2]IN PROGRESS'!$M:$M,"Not Found")</f>
        <v>Not Found</v>
      </c>
      <c r="U792" s="2" t="str">
        <f>_xlfn.XLOOKUP(Table2[[#This Row],[Adjusted Form '#]],[1]COMPLETED!$D:$D,[2]COMPLETED!$M:$M,"Not Found")</f>
        <v>Not Found</v>
      </c>
      <c r="V792" s="17" t="str">
        <f>_xlfn.XLOOKUP(Table2[[#This Row],[Adjusted Form '#]],[2]COMPLETED!$D:$D,[2]COMPLETED!$O:$O,"Not Found")</f>
        <v>Not Found</v>
      </c>
      <c r="W792" s="2" t="str">
        <f>_xlfn.XLOOKUP(Table2[[#This Row],[Adjusted Form '#]],[2]BILLED!$D:$D,[2]BILLED!$M:$M,"Not Found")</f>
        <v>1Z5063E0YW41633913</v>
      </c>
      <c r="X792" s="17" t="e">
        <f>_xlfn.XLOOKUP(Table2[[#This Row],[Adjusted Form '#]],[2]BILLED!$D:$D,[1]BILLED!$O:$O,"Not Found")</f>
        <v>#REF!</v>
      </c>
      <c r="Y792" s="17" t="e">
        <f>_xlfn.XLOOKUP(Table2[[#This Row],[Adjusted Form '#]],'[2]REJECTED ORDERS'!$D:$D,'[2]REJECTED ORDERS'!$E:$E)</f>
        <v>#N/A</v>
      </c>
      <c r="Z792" s="1"/>
      <c r="AA792" s="1"/>
      <c r="AB792" s="8"/>
      <c r="AC792" s="8"/>
      <c r="AD792" s="8"/>
      <c r="AE792" s="8"/>
      <c r="AF792" s="8"/>
      <c r="AG792" s="8"/>
      <c r="AH792" s="8"/>
      <c r="AI792" s="8"/>
      <c r="AJ792" s="8"/>
    </row>
    <row r="793" spans="1:36" ht="15" customHeight="1" x14ac:dyDescent="0.35">
      <c r="A793" s="4" t="s">
        <v>1192</v>
      </c>
      <c r="B793" s="1" t="s">
        <v>2242</v>
      </c>
      <c r="C793" s="11">
        <v>45033</v>
      </c>
      <c r="D793" s="11" t="s">
        <v>5187</v>
      </c>
      <c r="E793" s="1" t="s">
        <v>191</v>
      </c>
      <c r="F793" s="1" t="s">
        <v>5201</v>
      </c>
      <c r="G793" s="6">
        <f>COUNTIF(F:F,Table2[[#This Row],[Form '#]])</f>
        <v>1</v>
      </c>
      <c r="H793" s="1" t="s">
        <v>5090</v>
      </c>
      <c r="I793" s="1" t="s">
        <v>3864</v>
      </c>
      <c r="J793" s="1" t="s">
        <v>78</v>
      </c>
      <c r="K793" s="1" t="s">
        <v>3891</v>
      </c>
      <c r="L793" s="1"/>
      <c r="M793" s="6" t="str">
        <f>IF(Table2[[#This Row],[Corrected Form '#
 (If Duplicated)]]="",Table2[[#This Row],[Form '#]],Table2[[#This Row],[Corrected Form '#
 (If Duplicated)]])</f>
        <v>7812-08752</v>
      </c>
      <c r="N793" s="1" t="s">
        <v>49</v>
      </c>
      <c r="O793" s="6" t="str">
        <f>IF(Table2[[#This Row],[POG CONFIRMATION RECEIPT OF ORDER
(DATE &amp; TIME)]]="","No Confirmation","Received Confirmation")</f>
        <v>Received Confirmation</v>
      </c>
      <c r="P793" s="6">
        <f ca="1">TODAY()-Table2[[#This Row],[DATE SENT TO POG]]</f>
        <v>270</v>
      </c>
      <c r="Q793" s="6" t="s">
        <v>5802</v>
      </c>
      <c r="R7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79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793" s="2" t="str">
        <f>_xlfn.XLOOKUP(Table2[[#This Row],[Adjusted Form '#]],'[2]IN PROGRESS'!$D:$D,'[2]IN PROGRESS'!$M:$M,"Not Found")</f>
        <v>Not Found</v>
      </c>
      <c r="U793" s="2" t="str">
        <f>_xlfn.XLOOKUP(Table2[[#This Row],[Adjusted Form '#]],[1]COMPLETED!$D:$D,[2]COMPLETED!$M:$M,"Not Found")</f>
        <v>Not Found</v>
      </c>
      <c r="V793" s="17" t="str">
        <f>_xlfn.XLOOKUP(Table2[[#This Row],[Adjusted Form '#]],[2]COMPLETED!$D:$D,[2]COMPLETED!$O:$O,"Not Found")</f>
        <v>Not Found</v>
      </c>
      <c r="W793" s="2" t="str">
        <f>_xlfn.XLOOKUP(Table2[[#This Row],[Adjusted Form '#]],[2]BILLED!$D:$D,[2]BILLED!$M:$M,"Not Found")</f>
        <v>Not Found</v>
      </c>
      <c r="X793" s="17" t="str">
        <f>_xlfn.XLOOKUP(Table2[[#This Row],[Adjusted Form '#]],[2]BILLED!$D:$D,[1]BILLED!$O:$O,"Not Found")</f>
        <v>Not Found</v>
      </c>
      <c r="Y793" s="17" t="e">
        <f>_xlfn.XLOOKUP(Table2[[#This Row],[Adjusted Form '#]],'[2]REJECTED ORDERS'!$D:$D,'[2]REJECTED ORDERS'!$E:$E)</f>
        <v>#N/A</v>
      </c>
      <c r="Z793" s="1"/>
      <c r="AA793" s="1"/>
      <c r="AB793" s="8"/>
      <c r="AC793" s="8"/>
      <c r="AD793" s="8"/>
      <c r="AE793" s="8"/>
      <c r="AF793" s="8"/>
      <c r="AG793" s="8"/>
      <c r="AH793" s="8"/>
      <c r="AI793" s="8"/>
      <c r="AJ793" s="8"/>
    </row>
    <row r="794" spans="1:36" ht="15" customHeight="1" x14ac:dyDescent="0.35">
      <c r="A794" s="4" t="s">
        <v>1194</v>
      </c>
      <c r="B794" s="1" t="s">
        <v>630</v>
      </c>
      <c r="C794" s="11">
        <v>45033</v>
      </c>
      <c r="D794" s="11" t="s">
        <v>5187</v>
      </c>
      <c r="E794" s="1" t="s">
        <v>21</v>
      </c>
      <c r="F794" s="1" t="s">
        <v>5202</v>
      </c>
      <c r="G794" s="6">
        <f>COUNTIF(F:F,Table2[[#This Row],[Form '#]])</f>
        <v>1</v>
      </c>
      <c r="H794" s="1" t="s">
        <v>2457</v>
      </c>
      <c r="I794" s="1" t="s">
        <v>127</v>
      </c>
      <c r="J794" s="1" t="s">
        <v>76</v>
      </c>
      <c r="K794" s="1" t="s">
        <v>3883</v>
      </c>
      <c r="L794" s="1"/>
      <c r="M794" s="6" t="str">
        <f>IF(Table2[[#This Row],[Corrected Form '#
 (If Duplicated)]]="",Table2[[#This Row],[Form '#]],Table2[[#This Row],[Corrected Form '#
 (If Duplicated)]])</f>
        <v>7818-11548</v>
      </c>
      <c r="N794" s="1" t="s">
        <v>49</v>
      </c>
      <c r="O794" s="6" t="str">
        <f>IF(Table2[[#This Row],[POG CONFIRMATION RECEIPT OF ORDER
(DATE &amp; TIME)]]="","No Confirmation","Received Confirmation")</f>
        <v>Received Confirmation</v>
      </c>
      <c r="P794" s="6">
        <f ca="1">TODAY()-Table2[[#This Row],[DATE SENT TO POG]]</f>
        <v>270</v>
      </c>
      <c r="Q794" s="6" t="s">
        <v>5803</v>
      </c>
      <c r="R7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4" s="2" t="str">
        <f>_xlfn.XLOOKUP(Table2[[#This Row],[Adjusted Form '#]],'[2]IN PROGRESS'!$D:$D,'[2]IN PROGRESS'!$M:$M,"Not Found")</f>
        <v>Not Found</v>
      </c>
      <c r="U794" s="2" t="str">
        <f>_xlfn.XLOOKUP(Table2[[#This Row],[Adjusted Form '#]],[1]COMPLETED!$D:$D,[2]COMPLETED!$M:$M,"Not Found")</f>
        <v>Not Found</v>
      </c>
      <c r="V794" s="17" t="str">
        <f>_xlfn.XLOOKUP(Table2[[#This Row],[Adjusted Form '#]],[2]COMPLETED!$D:$D,[2]COMPLETED!$O:$O,"Not Found")</f>
        <v>Not Found</v>
      </c>
      <c r="W794" s="2" t="str">
        <f>_xlfn.XLOOKUP(Table2[[#This Row],[Adjusted Form '#]],[2]BILLED!$D:$D,[2]BILLED!$M:$M,"Not Found")</f>
        <v>1Z5063E0YW42742428</v>
      </c>
      <c r="X794" s="17" t="e">
        <f>_xlfn.XLOOKUP(Table2[[#This Row],[Adjusted Form '#]],[2]BILLED!$D:$D,[1]BILLED!$O:$O,"Not Found")</f>
        <v>#REF!</v>
      </c>
      <c r="Y794" s="17" t="e">
        <f>_xlfn.XLOOKUP(Table2[[#This Row],[Adjusted Form '#]],'[2]REJECTED ORDERS'!$D:$D,'[2]REJECTED ORDERS'!$E:$E)</f>
        <v>#N/A</v>
      </c>
      <c r="Z794" s="1"/>
      <c r="AA794" s="1"/>
      <c r="AB794" s="8"/>
      <c r="AC794" s="8"/>
      <c r="AD794" s="8"/>
      <c r="AE794" s="8"/>
      <c r="AF794" s="8"/>
      <c r="AG794" s="8"/>
      <c r="AH794" s="8"/>
      <c r="AI794" s="8"/>
      <c r="AJ794" s="8"/>
    </row>
    <row r="795" spans="1:36" ht="15" customHeight="1" x14ac:dyDescent="0.35">
      <c r="A795" s="4" t="s">
        <v>1195</v>
      </c>
      <c r="B795" s="1" t="s">
        <v>630</v>
      </c>
      <c r="C795" s="11">
        <v>45033</v>
      </c>
      <c r="D795" s="11" t="s">
        <v>5187</v>
      </c>
      <c r="E795" s="1" t="s">
        <v>21</v>
      </c>
      <c r="F795" s="1" t="s">
        <v>5203</v>
      </c>
      <c r="G795" s="6">
        <f>COUNTIF(F:F,Table2[[#This Row],[Form '#]])</f>
        <v>1</v>
      </c>
      <c r="H795" s="1" t="s">
        <v>5204</v>
      </c>
      <c r="I795" s="1" t="s">
        <v>3852</v>
      </c>
      <c r="J795" s="1" t="s">
        <v>75</v>
      </c>
      <c r="K795" s="1" t="s">
        <v>3853</v>
      </c>
      <c r="L795" s="1"/>
      <c r="M795" s="6" t="str">
        <f>IF(Table2[[#This Row],[Corrected Form '#
 (If Duplicated)]]="",Table2[[#This Row],[Form '#]],Table2[[#This Row],[Corrected Form '#
 (If Duplicated)]])</f>
        <v>7818-24324</v>
      </c>
      <c r="N795" s="1" t="s">
        <v>49</v>
      </c>
      <c r="O795" s="6" t="str">
        <f>IF(Table2[[#This Row],[POG CONFIRMATION RECEIPT OF ORDER
(DATE &amp; TIME)]]="","No Confirmation","Received Confirmation")</f>
        <v>Received Confirmation</v>
      </c>
      <c r="P795" s="6">
        <f ca="1">TODAY()-Table2[[#This Row],[DATE SENT TO POG]]</f>
        <v>270</v>
      </c>
      <c r="Q795" s="6" t="s">
        <v>5803</v>
      </c>
      <c r="R7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5" s="2" t="str">
        <f>_xlfn.XLOOKUP(Table2[[#This Row],[Adjusted Form '#]],'[2]IN PROGRESS'!$D:$D,'[2]IN PROGRESS'!$M:$M,"Not Found")</f>
        <v>Not Found</v>
      </c>
      <c r="U795" s="2" t="str">
        <f>_xlfn.XLOOKUP(Table2[[#This Row],[Adjusted Form '#]],[1]COMPLETED!$D:$D,[2]COMPLETED!$M:$M,"Not Found")</f>
        <v>Not Found</v>
      </c>
      <c r="V795" s="17" t="str">
        <f>_xlfn.XLOOKUP(Table2[[#This Row],[Adjusted Form '#]],[2]COMPLETED!$D:$D,[2]COMPLETED!$O:$O,"Not Found")</f>
        <v>Not Found</v>
      </c>
      <c r="W795" s="2" t="str">
        <f>_xlfn.XLOOKUP(Table2[[#This Row],[Adjusted Form '#]],[2]BILLED!$D:$D,[2]BILLED!$M:$M,"Not Found")</f>
        <v>1Z5063E0YW41055342</v>
      </c>
      <c r="X795" s="17" t="e">
        <f>_xlfn.XLOOKUP(Table2[[#This Row],[Adjusted Form '#]],[2]BILLED!$D:$D,[1]BILLED!$O:$O,"Not Found")</f>
        <v>#REF!</v>
      </c>
      <c r="Y795" s="17" t="e">
        <f>_xlfn.XLOOKUP(Table2[[#This Row],[Adjusted Form '#]],'[2]REJECTED ORDERS'!$D:$D,'[2]REJECTED ORDERS'!$E:$E)</f>
        <v>#N/A</v>
      </c>
      <c r="Z795" s="1"/>
      <c r="AA795" s="1"/>
      <c r="AB795" s="8"/>
      <c r="AC795" s="8"/>
      <c r="AD795" s="8"/>
      <c r="AE795" s="8"/>
      <c r="AF795" s="8"/>
      <c r="AG795" s="8"/>
      <c r="AH795" s="8"/>
      <c r="AI795" s="8"/>
      <c r="AJ795" s="8"/>
    </row>
    <row r="796" spans="1:36" ht="15" customHeight="1" x14ac:dyDescent="0.35">
      <c r="A796" s="4" t="s">
        <v>1196</v>
      </c>
      <c r="B796" s="1" t="s">
        <v>630</v>
      </c>
      <c r="C796" s="11">
        <v>45033</v>
      </c>
      <c r="D796" s="11" t="s">
        <v>5187</v>
      </c>
      <c r="E796" s="1" t="s">
        <v>21</v>
      </c>
      <c r="F796" s="1" t="s">
        <v>5205</v>
      </c>
      <c r="G796" s="6">
        <f>COUNTIF(F:F,Table2[[#This Row],[Form '#]])</f>
        <v>1</v>
      </c>
      <c r="H796" s="1" t="s">
        <v>5206</v>
      </c>
      <c r="I796" s="1" t="s">
        <v>3852</v>
      </c>
      <c r="J796" s="1" t="s">
        <v>75</v>
      </c>
      <c r="K796" s="1" t="s">
        <v>4011</v>
      </c>
      <c r="L796" s="1"/>
      <c r="M796" s="6" t="str">
        <f>IF(Table2[[#This Row],[Corrected Form '#
 (If Duplicated)]]="",Table2[[#This Row],[Form '#]],Table2[[#This Row],[Corrected Form '#
 (If Duplicated)]])</f>
        <v>7818-03118</v>
      </c>
      <c r="N796" s="1" t="s">
        <v>49</v>
      </c>
      <c r="O796" s="6" t="str">
        <f>IF(Table2[[#This Row],[POG CONFIRMATION RECEIPT OF ORDER
(DATE &amp; TIME)]]="","No Confirmation","Received Confirmation")</f>
        <v>Received Confirmation</v>
      </c>
      <c r="P796" s="6">
        <f ca="1">TODAY()-Table2[[#This Row],[DATE SENT TO POG]]</f>
        <v>270</v>
      </c>
      <c r="Q796" s="6" t="s">
        <v>5803</v>
      </c>
      <c r="R7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6" s="2" t="str">
        <f>_xlfn.XLOOKUP(Table2[[#This Row],[Adjusted Form '#]],'[2]IN PROGRESS'!$D:$D,'[2]IN PROGRESS'!$M:$M,"Not Found")</f>
        <v>Not Found</v>
      </c>
      <c r="U796" s="2" t="str">
        <f>_xlfn.XLOOKUP(Table2[[#This Row],[Adjusted Form '#]],[1]COMPLETED!$D:$D,[2]COMPLETED!$M:$M,"Not Found")</f>
        <v>Not Found</v>
      </c>
      <c r="V796" s="17" t="str">
        <f>_xlfn.XLOOKUP(Table2[[#This Row],[Adjusted Form '#]],[2]COMPLETED!$D:$D,[2]COMPLETED!$O:$O,"Not Found")</f>
        <v>Not Found</v>
      </c>
      <c r="W796" s="2" t="str">
        <f>_xlfn.XLOOKUP(Table2[[#This Row],[Adjusted Form '#]],[2]BILLED!$D:$D,[2]BILLED!$M:$M,"Not Found")</f>
        <v>1Z5063E0YW42087717</v>
      </c>
      <c r="X796" s="17" t="e">
        <f>_xlfn.XLOOKUP(Table2[[#This Row],[Adjusted Form '#]],[2]BILLED!$D:$D,[1]BILLED!$O:$O,"Not Found")</f>
        <v>#REF!</v>
      </c>
      <c r="Y796" s="17" t="e">
        <f>_xlfn.XLOOKUP(Table2[[#This Row],[Adjusted Form '#]],'[2]REJECTED ORDERS'!$D:$D,'[2]REJECTED ORDERS'!$E:$E)</f>
        <v>#N/A</v>
      </c>
      <c r="Z796" s="1"/>
      <c r="AA796" s="1"/>
      <c r="AB796" s="8"/>
      <c r="AC796" s="8"/>
      <c r="AD796" s="8"/>
      <c r="AE796" s="8"/>
      <c r="AF796" s="8"/>
      <c r="AG796" s="8"/>
      <c r="AH796" s="8"/>
      <c r="AI796" s="8"/>
      <c r="AJ796" s="8"/>
    </row>
    <row r="797" spans="1:36" ht="15" customHeight="1" x14ac:dyDescent="0.35">
      <c r="A797" s="4" t="s">
        <v>1197</v>
      </c>
      <c r="B797" s="1" t="s">
        <v>630</v>
      </c>
      <c r="C797" s="11">
        <v>45033</v>
      </c>
      <c r="D797" s="11" t="s">
        <v>5187</v>
      </c>
      <c r="E797" s="1" t="s">
        <v>21</v>
      </c>
      <c r="F797" s="1" t="s">
        <v>5207</v>
      </c>
      <c r="G797" s="6">
        <f>COUNTIF(F:F,Table2[[#This Row],[Form '#]])</f>
        <v>1</v>
      </c>
      <c r="H797" s="1" t="s">
        <v>3218</v>
      </c>
      <c r="I797" s="1" t="s">
        <v>3852</v>
      </c>
      <c r="J797" s="1" t="s">
        <v>80</v>
      </c>
      <c r="K797" s="1" t="s">
        <v>3853</v>
      </c>
      <c r="L797" s="1"/>
      <c r="M797" s="6" t="str">
        <f>IF(Table2[[#This Row],[Corrected Form '#
 (If Duplicated)]]="",Table2[[#This Row],[Form '#]],Table2[[#This Row],[Corrected Form '#
 (If Duplicated)]])</f>
        <v>7818-28383</v>
      </c>
      <c r="N797" s="1" t="s">
        <v>49</v>
      </c>
      <c r="O797" s="6" t="str">
        <f>IF(Table2[[#This Row],[POG CONFIRMATION RECEIPT OF ORDER
(DATE &amp; TIME)]]="","No Confirmation","Received Confirmation")</f>
        <v>Received Confirmation</v>
      </c>
      <c r="P797" s="6">
        <f ca="1">TODAY()-Table2[[#This Row],[DATE SENT TO POG]]</f>
        <v>270</v>
      </c>
      <c r="Q797" s="6" t="s">
        <v>5803</v>
      </c>
      <c r="R7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7" s="2" t="str">
        <f>_xlfn.XLOOKUP(Table2[[#This Row],[Adjusted Form '#]],'[2]IN PROGRESS'!$D:$D,'[2]IN PROGRESS'!$M:$M,"Not Found")</f>
        <v>Not Found</v>
      </c>
      <c r="U797" s="2" t="str">
        <f>_xlfn.XLOOKUP(Table2[[#This Row],[Adjusted Form '#]],[1]COMPLETED!$D:$D,[2]COMPLETED!$M:$M,"Not Found")</f>
        <v>Not Found</v>
      </c>
      <c r="V797" s="17" t="str">
        <f>_xlfn.XLOOKUP(Table2[[#This Row],[Adjusted Form '#]],[2]COMPLETED!$D:$D,[2]COMPLETED!$O:$O,"Not Found")</f>
        <v>Not Found</v>
      </c>
      <c r="W797" s="2" t="str">
        <f>_xlfn.XLOOKUP(Table2[[#This Row],[Adjusted Form '#]],[2]BILLED!$D:$D,[2]BILLED!$M:$M,"Not Found")</f>
        <v>1Z5063E0YW41580382</v>
      </c>
      <c r="X797" s="17" t="e">
        <f>_xlfn.XLOOKUP(Table2[[#This Row],[Adjusted Form '#]],[2]BILLED!$D:$D,[1]BILLED!$O:$O,"Not Found")</f>
        <v>#REF!</v>
      </c>
      <c r="Y797" s="17" t="e">
        <f>_xlfn.XLOOKUP(Table2[[#This Row],[Adjusted Form '#]],'[2]REJECTED ORDERS'!$D:$D,'[2]REJECTED ORDERS'!$E:$E)</f>
        <v>#N/A</v>
      </c>
      <c r="Z797" s="1"/>
      <c r="AA797" s="1"/>
      <c r="AB797" s="8"/>
      <c r="AC797" s="8"/>
      <c r="AD797" s="8"/>
      <c r="AE797" s="8"/>
      <c r="AF797" s="8"/>
      <c r="AG797" s="8"/>
      <c r="AH797" s="8"/>
      <c r="AI797" s="8"/>
      <c r="AJ797" s="8"/>
    </row>
    <row r="798" spans="1:36" ht="15" customHeight="1" x14ac:dyDescent="0.35">
      <c r="A798" s="4" t="s">
        <v>1198</v>
      </c>
      <c r="B798" s="1" t="s">
        <v>630</v>
      </c>
      <c r="C798" s="11">
        <v>45033</v>
      </c>
      <c r="D798" s="11" t="s">
        <v>5187</v>
      </c>
      <c r="E798" s="1" t="s">
        <v>21</v>
      </c>
      <c r="F798" s="1" t="s">
        <v>5208</v>
      </c>
      <c r="G798" s="6">
        <f>COUNTIF(F:F,Table2[[#This Row],[Form '#]])</f>
        <v>1</v>
      </c>
      <c r="H798" s="1" t="s">
        <v>5209</v>
      </c>
      <c r="I798" s="1" t="s">
        <v>3864</v>
      </c>
      <c r="J798" s="1" t="s">
        <v>78</v>
      </c>
      <c r="K798" s="1" t="s">
        <v>3879</v>
      </c>
      <c r="L798" s="1"/>
      <c r="M798" s="6" t="str">
        <f>IF(Table2[[#This Row],[Corrected Form '#
 (If Duplicated)]]="",Table2[[#This Row],[Form '#]],Table2[[#This Row],[Corrected Form '#
 (If Duplicated)]])</f>
        <v>7818-24294</v>
      </c>
      <c r="N798" s="1" t="s">
        <v>49</v>
      </c>
      <c r="O798" s="6" t="str">
        <f>IF(Table2[[#This Row],[POG CONFIRMATION RECEIPT OF ORDER
(DATE &amp; TIME)]]="","No Confirmation","Received Confirmation")</f>
        <v>Received Confirmation</v>
      </c>
      <c r="P798" s="6">
        <f ca="1">TODAY()-Table2[[#This Row],[DATE SENT TO POG]]</f>
        <v>270</v>
      </c>
      <c r="Q798" s="6" t="s">
        <v>5803</v>
      </c>
      <c r="R7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8" s="2" t="str">
        <f>_xlfn.XLOOKUP(Table2[[#This Row],[Adjusted Form '#]],'[2]IN PROGRESS'!$D:$D,'[2]IN PROGRESS'!$M:$M,"Not Found")</f>
        <v>Not Found</v>
      </c>
      <c r="U798" s="2" t="str">
        <f>_xlfn.XLOOKUP(Table2[[#This Row],[Adjusted Form '#]],[1]COMPLETED!$D:$D,[2]COMPLETED!$M:$M,"Not Found")</f>
        <v>Not Found</v>
      </c>
      <c r="V798" s="17" t="str">
        <f>_xlfn.XLOOKUP(Table2[[#This Row],[Adjusted Form '#]],[2]COMPLETED!$D:$D,[2]COMPLETED!$O:$O,"Not Found")</f>
        <v>Not Found</v>
      </c>
      <c r="W798" s="2" t="str">
        <f>_xlfn.XLOOKUP(Table2[[#This Row],[Adjusted Form '#]],[2]BILLED!$D:$D,[2]BILLED!$M:$M,"Not Found")</f>
        <v>1Z5063E0YW42207104</v>
      </c>
      <c r="X798" s="17" t="e">
        <f>_xlfn.XLOOKUP(Table2[[#This Row],[Adjusted Form '#]],[2]BILLED!$D:$D,[1]BILLED!$O:$O,"Not Found")</f>
        <v>#REF!</v>
      </c>
      <c r="Y798" s="17" t="e">
        <f>_xlfn.XLOOKUP(Table2[[#This Row],[Adjusted Form '#]],'[2]REJECTED ORDERS'!$D:$D,'[2]REJECTED ORDERS'!$E:$E)</f>
        <v>#N/A</v>
      </c>
      <c r="Z798" s="1"/>
      <c r="AA798" s="1"/>
      <c r="AB798" s="8"/>
      <c r="AC798" s="8"/>
      <c r="AD798" s="8"/>
      <c r="AE798" s="8"/>
      <c r="AF798" s="8"/>
      <c r="AG798" s="8"/>
      <c r="AH798" s="8"/>
      <c r="AI798" s="8"/>
      <c r="AJ798" s="8"/>
    </row>
    <row r="799" spans="1:36" ht="15" customHeight="1" x14ac:dyDescent="0.35">
      <c r="A799" s="4" t="s">
        <v>1199</v>
      </c>
      <c r="B799" s="1" t="s">
        <v>630</v>
      </c>
      <c r="C799" s="11">
        <v>45033</v>
      </c>
      <c r="D799" s="11" t="s">
        <v>5187</v>
      </c>
      <c r="E799" s="1" t="s">
        <v>21</v>
      </c>
      <c r="F799" s="1" t="s">
        <v>5210</v>
      </c>
      <c r="G799" s="6">
        <f>COUNTIF(F:F,Table2[[#This Row],[Form '#]])</f>
        <v>1</v>
      </c>
      <c r="H799" s="1" t="s">
        <v>5211</v>
      </c>
      <c r="I799" s="1" t="s">
        <v>3864</v>
      </c>
      <c r="J799" s="1" t="s">
        <v>3891</v>
      </c>
      <c r="K799" s="1" t="s">
        <v>3891</v>
      </c>
      <c r="L799" s="1"/>
      <c r="M799" s="6" t="str">
        <f>IF(Table2[[#This Row],[Corrected Form '#
 (If Duplicated)]]="",Table2[[#This Row],[Form '#]],Table2[[#This Row],[Corrected Form '#
 (If Duplicated)]])</f>
        <v>7818-22981</v>
      </c>
      <c r="N799" s="1" t="s">
        <v>49</v>
      </c>
      <c r="O799" s="6" t="str">
        <f>IF(Table2[[#This Row],[POG CONFIRMATION RECEIPT OF ORDER
(DATE &amp; TIME)]]="","No Confirmation","Received Confirmation")</f>
        <v>Received Confirmation</v>
      </c>
      <c r="P799" s="6">
        <f ca="1">TODAY()-Table2[[#This Row],[DATE SENT TO POG]]</f>
        <v>270</v>
      </c>
      <c r="Q799" s="6" t="s">
        <v>5803</v>
      </c>
      <c r="R7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7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799" s="2" t="str">
        <f>_xlfn.XLOOKUP(Table2[[#This Row],[Adjusted Form '#]],'[2]IN PROGRESS'!$D:$D,'[2]IN PROGRESS'!$M:$M,"Not Found")</f>
        <v>Not Found</v>
      </c>
      <c r="U799" s="2" t="str">
        <f>_xlfn.XLOOKUP(Table2[[#This Row],[Adjusted Form '#]],[1]COMPLETED!$D:$D,[2]COMPLETED!$M:$M,"Not Found")</f>
        <v>Not Found</v>
      </c>
      <c r="V799" s="17" t="str">
        <f>_xlfn.XLOOKUP(Table2[[#This Row],[Adjusted Form '#]],[2]COMPLETED!$D:$D,[2]COMPLETED!$O:$O,"Not Found")</f>
        <v>Not Found</v>
      </c>
      <c r="W799" s="2" t="str">
        <f>_xlfn.XLOOKUP(Table2[[#This Row],[Adjusted Form '#]],[2]BILLED!$D:$D,[2]BILLED!$M:$M,"Not Found")</f>
        <v>1Z5063E0YW42612489</v>
      </c>
      <c r="X799" s="17" t="e">
        <f>_xlfn.XLOOKUP(Table2[[#This Row],[Adjusted Form '#]],[2]BILLED!$D:$D,[1]BILLED!$O:$O,"Not Found")</f>
        <v>#REF!</v>
      </c>
      <c r="Y799" s="17" t="e">
        <f>_xlfn.XLOOKUP(Table2[[#This Row],[Adjusted Form '#]],'[2]REJECTED ORDERS'!$D:$D,'[2]REJECTED ORDERS'!$E:$E)</f>
        <v>#N/A</v>
      </c>
      <c r="Z799" s="1"/>
      <c r="AA799" s="1"/>
      <c r="AB799" s="8"/>
      <c r="AC799" s="8"/>
      <c r="AD799" s="8"/>
      <c r="AE799" s="8"/>
      <c r="AF799" s="8"/>
      <c r="AG799" s="8"/>
      <c r="AH799" s="8"/>
      <c r="AI799" s="8"/>
      <c r="AJ799" s="8"/>
    </row>
    <row r="800" spans="1:36" ht="15" customHeight="1" x14ac:dyDescent="0.35">
      <c r="A800" s="4" t="s">
        <v>1200</v>
      </c>
      <c r="B800" s="1" t="s">
        <v>630</v>
      </c>
      <c r="C800" s="11">
        <v>45033</v>
      </c>
      <c r="D800" s="11" t="s">
        <v>5187</v>
      </c>
      <c r="E800" s="1" t="s">
        <v>21</v>
      </c>
      <c r="F800" s="1" t="s">
        <v>5212</v>
      </c>
      <c r="G800" s="6">
        <f>COUNTIF(F:F,Table2[[#This Row],[Form '#]])</f>
        <v>1</v>
      </c>
      <c r="H800" s="1" t="s">
        <v>2571</v>
      </c>
      <c r="I800" s="1" t="s">
        <v>127</v>
      </c>
      <c r="J800" s="1" t="s">
        <v>76</v>
      </c>
      <c r="K800" s="1" t="s">
        <v>3883</v>
      </c>
      <c r="L800" s="1"/>
      <c r="M800" s="6" t="str">
        <f>IF(Table2[[#This Row],[Corrected Form '#
 (If Duplicated)]]="",Table2[[#This Row],[Form '#]],Table2[[#This Row],[Corrected Form '#
 (If Duplicated)]])</f>
        <v>7818-10396</v>
      </c>
      <c r="N800" s="1" t="s">
        <v>49</v>
      </c>
      <c r="O800" s="6" t="str">
        <f>IF(Table2[[#This Row],[POG CONFIRMATION RECEIPT OF ORDER
(DATE &amp; TIME)]]="","No Confirmation","Received Confirmation")</f>
        <v>Received Confirmation</v>
      </c>
      <c r="P800" s="6">
        <f ca="1">TODAY()-Table2[[#This Row],[DATE SENT TO POG]]</f>
        <v>270</v>
      </c>
      <c r="Q800" s="6" t="s">
        <v>5803</v>
      </c>
      <c r="R8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0" s="2" t="str">
        <f>_xlfn.XLOOKUP(Table2[[#This Row],[Adjusted Form '#]],'[2]IN PROGRESS'!$D:$D,'[2]IN PROGRESS'!$M:$M,"Not Found")</f>
        <v>Not Found</v>
      </c>
      <c r="U800" s="2" t="str">
        <f>_xlfn.XLOOKUP(Table2[[#This Row],[Adjusted Form '#]],[1]COMPLETED!$D:$D,[2]COMPLETED!$M:$M,"Not Found")</f>
        <v>Not Found</v>
      </c>
      <c r="V800" s="17" t="str">
        <f>_xlfn.XLOOKUP(Table2[[#This Row],[Adjusted Form '#]],[2]COMPLETED!$D:$D,[2]COMPLETED!$O:$O,"Not Found")</f>
        <v>Not Found</v>
      </c>
      <c r="W800" s="2" t="str">
        <f>_xlfn.XLOOKUP(Table2[[#This Row],[Adjusted Form '#]],[2]BILLED!$D:$D,[2]BILLED!$M:$M,"Not Found")</f>
        <v>1Z5063E0YW41164626</v>
      </c>
      <c r="X800" s="17" t="e">
        <f>_xlfn.XLOOKUP(Table2[[#This Row],[Adjusted Form '#]],[2]BILLED!$D:$D,[1]BILLED!$O:$O,"Not Found")</f>
        <v>#REF!</v>
      </c>
      <c r="Y800" s="17" t="e">
        <f>_xlfn.XLOOKUP(Table2[[#This Row],[Adjusted Form '#]],'[2]REJECTED ORDERS'!$D:$D,'[2]REJECTED ORDERS'!$E:$E)</f>
        <v>#N/A</v>
      </c>
      <c r="Z800" s="1"/>
      <c r="AA800" s="1"/>
      <c r="AB800" s="8"/>
      <c r="AC800" s="8"/>
      <c r="AD800" s="8"/>
      <c r="AE800" s="8"/>
      <c r="AF800" s="8"/>
      <c r="AG800" s="8"/>
      <c r="AH800" s="8"/>
      <c r="AI800" s="8"/>
      <c r="AJ800" s="8"/>
    </row>
    <row r="801" spans="1:36" ht="15" customHeight="1" x14ac:dyDescent="0.35">
      <c r="A801" s="4" t="s">
        <v>1201</v>
      </c>
      <c r="B801" s="1" t="s">
        <v>630</v>
      </c>
      <c r="C801" s="11">
        <v>45033</v>
      </c>
      <c r="D801" s="11" t="s">
        <v>5187</v>
      </c>
      <c r="E801" s="1" t="s">
        <v>21</v>
      </c>
      <c r="F801" s="1" t="s">
        <v>5213</v>
      </c>
      <c r="G801" s="6">
        <f>COUNTIF(F:F,Table2[[#This Row],[Form '#]])</f>
        <v>1</v>
      </c>
      <c r="H801" s="1" t="s">
        <v>5214</v>
      </c>
      <c r="I801" s="1" t="s">
        <v>3864</v>
      </c>
      <c r="J801" s="1" t="s">
        <v>78</v>
      </c>
      <c r="K801" s="1" t="s">
        <v>3879</v>
      </c>
      <c r="L801" s="1"/>
      <c r="M801" s="6" t="str">
        <f>IF(Table2[[#This Row],[Corrected Form '#
 (If Duplicated)]]="",Table2[[#This Row],[Form '#]],Table2[[#This Row],[Corrected Form '#
 (If Duplicated)]])</f>
        <v>7818-24457</v>
      </c>
      <c r="N801" s="1" t="s">
        <v>49</v>
      </c>
      <c r="O801" s="6" t="str">
        <f>IF(Table2[[#This Row],[POG CONFIRMATION RECEIPT OF ORDER
(DATE &amp; TIME)]]="","No Confirmation","Received Confirmation")</f>
        <v>Received Confirmation</v>
      </c>
      <c r="P801" s="6">
        <f ca="1">TODAY()-Table2[[#This Row],[DATE SENT TO POG]]</f>
        <v>270</v>
      </c>
      <c r="Q801" s="6" t="s">
        <v>5803</v>
      </c>
      <c r="R8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1" s="2" t="str">
        <f>_xlfn.XLOOKUP(Table2[[#This Row],[Adjusted Form '#]],'[2]IN PROGRESS'!$D:$D,'[2]IN PROGRESS'!$M:$M,"Not Found")</f>
        <v>Not Found</v>
      </c>
      <c r="U801" s="2" t="str">
        <f>_xlfn.XLOOKUP(Table2[[#This Row],[Adjusted Form '#]],[1]COMPLETED!$D:$D,[2]COMPLETED!$M:$M,"Not Found")</f>
        <v>Not Found</v>
      </c>
      <c r="V801" s="17" t="str">
        <f>_xlfn.XLOOKUP(Table2[[#This Row],[Adjusted Form '#]],[2]COMPLETED!$D:$D,[2]COMPLETED!$O:$O,"Not Found")</f>
        <v>Not Found</v>
      </c>
      <c r="W801" s="2" t="str">
        <f>_xlfn.XLOOKUP(Table2[[#This Row],[Adjusted Form '#]],[2]BILLED!$D:$D,[2]BILLED!$M:$M,"Not Found")</f>
        <v>9402 1112 0620 7283 6006 88</v>
      </c>
      <c r="X801" s="17" t="e">
        <f>_xlfn.XLOOKUP(Table2[[#This Row],[Adjusted Form '#]],[2]BILLED!$D:$D,[1]BILLED!$O:$O,"Not Found")</f>
        <v>#REF!</v>
      </c>
      <c r="Y801" s="17" t="e">
        <f>_xlfn.XLOOKUP(Table2[[#This Row],[Adjusted Form '#]],'[2]REJECTED ORDERS'!$D:$D,'[2]REJECTED ORDERS'!$E:$E)</f>
        <v>#N/A</v>
      </c>
      <c r="Z801" s="1"/>
      <c r="AA801" s="1"/>
      <c r="AB801" s="8"/>
      <c r="AC801" s="8"/>
      <c r="AD801" s="8"/>
      <c r="AE801" s="8"/>
      <c r="AF801" s="8"/>
      <c r="AG801" s="8"/>
      <c r="AH801" s="8"/>
      <c r="AI801" s="8"/>
      <c r="AJ801" s="8"/>
    </row>
    <row r="802" spans="1:36" ht="15" customHeight="1" x14ac:dyDescent="0.35">
      <c r="A802" s="4" t="s">
        <v>1202</v>
      </c>
      <c r="B802" s="1" t="s">
        <v>630</v>
      </c>
      <c r="C802" s="11">
        <v>45033</v>
      </c>
      <c r="D802" s="11" t="s">
        <v>5187</v>
      </c>
      <c r="E802" s="1" t="s">
        <v>21</v>
      </c>
      <c r="F802" s="1" t="s">
        <v>5215</v>
      </c>
      <c r="G802" s="6">
        <f>COUNTIF(F:F,Table2[[#This Row],[Form '#]])</f>
        <v>1</v>
      </c>
      <c r="H802" s="1" t="s">
        <v>552</v>
      </c>
      <c r="I802" s="1" t="s">
        <v>28</v>
      </c>
      <c r="J802" s="1" t="s">
        <v>69</v>
      </c>
      <c r="K802" s="1" t="s">
        <v>4631</v>
      </c>
      <c r="L802" s="1"/>
      <c r="M802" s="6" t="str">
        <f>IF(Table2[[#This Row],[Corrected Form '#
 (If Duplicated)]]="",Table2[[#This Row],[Form '#]],Table2[[#This Row],[Corrected Form '#
 (If Duplicated)]])</f>
        <v>7818-25080</v>
      </c>
      <c r="N802" s="1" t="s">
        <v>49</v>
      </c>
      <c r="O802" s="6" t="str">
        <f>IF(Table2[[#This Row],[POG CONFIRMATION RECEIPT OF ORDER
(DATE &amp; TIME)]]="","No Confirmation","Received Confirmation")</f>
        <v>Received Confirmation</v>
      </c>
      <c r="P802" s="6">
        <f ca="1">TODAY()-Table2[[#This Row],[DATE SENT TO POG]]</f>
        <v>270</v>
      </c>
      <c r="Q802" s="6" t="s">
        <v>5803</v>
      </c>
      <c r="R8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2" s="2" t="str">
        <f>_xlfn.XLOOKUP(Table2[[#This Row],[Adjusted Form '#]],'[2]IN PROGRESS'!$D:$D,'[2]IN PROGRESS'!$M:$M,"Not Found")</f>
        <v>Not Found</v>
      </c>
      <c r="U802" s="2" t="str">
        <f>_xlfn.XLOOKUP(Table2[[#This Row],[Adjusted Form '#]],[1]COMPLETED!$D:$D,[2]COMPLETED!$M:$M,"Not Found")</f>
        <v>Not Found</v>
      </c>
      <c r="V802" s="17" t="str">
        <f>_xlfn.XLOOKUP(Table2[[#This Row],[Adjusted Form '#]],[2]COMPLETED!$D:$D,[2]COMPLETED!$O:$O,"Not Found")</f>
        <v>Not Found</v>
      </c>
      <c r="W802" s="2" t="str">
        <f>_xlfn.XLOOKUP(Table2[[#This Row],[Adjusted Form '#]],[2]BILLED!$D:$D,[2]BILLED!$M:$M,"Not Found")</f>
        <v>1Z5063E0YW41625637</v>
      </c>
      <c r="X802" s="17" t="e">
        <f>_xlfn.XLOOKUP(Table2[[#This Row],[Adjusted Form '#]],[2]BILLED!$D:$D,[1]BILLED!$O:$O,"Not Found")</f>
        <v>#REF!</v>
      </c>
      <c r="Y802" s="17" t="e">
        <f>_xlfn.XLOOKUP(Table2[[#This Row],[Adjusted Form '#]],'[2]REJECTED ORDERS'!$D:$D,'[2]REJECTED ORDERS'!$E:$E)</f>
        <v>#N/A</v>
      </c>
      <c r="Z802" s="1"/>
      <c r="AA802" s="1"/>
      <c r="AB802" s="8"/>
      <c r="AC802" s="8"/>
      <c r="AD802" s="8"/>
      <c r="AE802" s="8"/>
      <c r="AF802" s="8"/>
      <c r="AG802" s="8"/>
      <c r="AH802" s="8"/>
      <c r="AI802" s="8"/>
      <c r="AJ802" s="8"/>
    </row>
    <row r="803" spans="1:36" ht="15" customHeight="1" x14ac:dyDescent="0.35">
      <c r="A803" s="4" t="s">
        <v>1203</v>
      </c>
      <c r="B803" s="1" t="s">
        <v>630</v>
      </c>
      <c r="C803" s="11">
        <v>45033</v>
      </c>
      <c r="D803" s="11" t="s">
        <v>5187</v>
      </c>
      <c r="E803" s="1" t="s">
        <v>21</v>
      </c>
      <c r="F803" s="1" t="s">
        <v>5216</v>
      </c>
      <c r="G803" s="6">
        <f>COUNTIF(F:F,Table2[[#This Row],[Form '#]])</f>
        <v>1</v>
      </c>
      <c r="H803" s="1" t="s">
        <v>5217</v>
      </c>
      <c r="I803" s="1" t="s">
        <v>127</v>
      </c>
      <c r="J803" s="1" t="s">
        <v>76</v>
      </c>
      <c r="K803" s="1" t="s">
        <v>3883</v>
      </c>
      <c r="L803" s="1"/>
      <c r="M803" s="6" t="str">
        <f>IF(Table2[[#This Row],[Corrected Form '#
 (If Duplicated)]]="",Table2[[#This Row],[Form '#]],Table2[[#This Row],[Corrected Form '#
 (If Duplicated)]])</f>
        <v>7818-25120</v>
      </c>
      <c r="N803" s="1" t="s">
        <v>49</v>
      </c>
      <c r="O803" s="6" t="str">
        <f>IF(Table2[[#This Row],[POG CONFIRMATION RECEIPT OF ORDER
(DATE &amp; TIME)]]="","No Confirmation","Received Confirmation")</f>
        <v>Received Confirmation</v>
      </c>
      <c r="P803" s="6">
        <f ca="1">TODAY()-Table2[[#This Row],[DATE SENT TO POG]]</f>
        <v>270</v>
      </c>
      <c r="Q803" s="6" t="s">
        <v>5803</v>
      </c>
      <c r="R8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3" s="2" t="str">
        <f>_xlfn.XLOOKUP(Table2[[#This Row],[Adjusted Form '#]],'[2]IN PROGRESS'!$D:$D,'[2]IN PROGRESS'!$M:$M,"Not Found")</f>
        <v>Not Found</v>
      </c>
      <c r="U803" s="2" t="str">
        <f>_xlfn.XLOOKUP(Table2[[#This Row],[Adjusted Form '#]],[1]COMPLETED!$D:$D,[2]COMPLETED!$M:$M,"Not Found")</f>
        <v>Not Found</v>
      </c>
      <c r="V803" s="17" t="str">
        <f>_xlfn.XLOOKUP(Table2[[#This Row],[Adjusted Form '#]],[2]COMPLETED!$D:$D,[2]COMPLETED!$O:$O,"Not Found")</f>
        <v>Not Found</v>
      </c>
      <c r="W803" s="2" t="str">
        <f>_xlfn.XLOOKUP(Table2[[#This Row],[Adjusted Form '#]],[2]BILLED!$D:$D,[2]BILLED!$M:$M,"Not Found")</f>
        <v>1Z5063E0YW40189058</v>
      </c>
      <c r="X803" s="17" t="e">
        <f>_xlfn.XLOOKUP(Table2[[#This Row],[Adjusted Form '#]],[2]BILLED!$D:$D,[1]BILLED!$O:$O,"Not Found")</f>
        <v>#REF!</v>
      </c>
      <c r="Y803" s="17" t="e">
        <f>_xlfn.XLOOKUP(Table2[[#This Row],[Adjusted Form '#]],'[2]REJECTED ORDERS'!$D:$D,'[2]REJECTED ORDERS'!$E:$E)</f>
        <v>#N/A</v>
      </c>
      <c r="Z803" s="1"/>
      <c r="AA803" s="1"/>
      <c r="AB803" s="8"/>
      <c r="AC803" s="8"/>
      <c r="AD803" s="8"/>
      <c r="AE803" s="8"/>
      <c r="AF803" s="8"/>
      <c r="AG803" s="8"/>
      <c r="AH803" s="8"/>
      <c r="AI803" s="8"/>
      <c r="AJ803" s="8"/>
    </row>
    <row r="804" spans="1:36" ht="15" customHeight="1" x14ac:dyDescent="0.35">
      <c r="A804" s="4" t="s">
        <v>1204</v>
      </c>
      <c r="B804" s="1" t="s">
        <v>3631</v>
      </c>
      <c r="C804" s="11">
        <v>45033</v>
      </c>
      <c r="D804" s="11" t="s">
        <v>5218</v>
      </c>
      <c r="E804" s="1" t="s">
        <v>64</v>
      </c>
      <c r="F804" s="1" t="s">
        <v>5219</v>
      </c>
      <c r="G804" s="6">
        <f>COUNTIF(F:F,Table2[[#This Row],[Form '#]])</f>
        <v>1</v>
      </c>
      <c r="H804" s="1" t="s">
        <v>2718</v>
      </c>
      <c r="I804" s="1" t="s">
        <v>3852</v>
      </c>
      <c r="J804" s="1" t="s">
        <v>80</v>
      </c>
      <c r="K804" s="1" t="s">
        <v>3853</v>
      </c>
      <c r="L804" s="1"/>
      <c r="M804" s="6" t="str">
        <f>IF(Table2[[#This Row],[Corrected Form '#
 (If Duplicated)]]="",Table2[[#This Row],[Form '#]],Table2[[#This Row],[Corrected Form '#
 (If Duplicated)]])</f>
        <v>7824-00381</v>
      </c>
      <c r="N804" s="1" t="s">
        <v>49</v>
      </c>
      <c r="O804" s="6" t="str">
        <f>IF(Table2[[#This Row],[POG CONFIRMATION RECEIPT OF ORDER
(DATE &amp; TIME)]]="","No Confirmation","Received Confirmation")</f>
        <v>Received Confirmation</v>
      </c>
      <c r="P804" s="6">
        <f ca="1">TODAY()-Table2[[#This Row],[DATE SENT TO POG]]</f>
        <v>270</v>
      </c>
      <c r="Q804" s="6" t="s">
        <v>5803</v>
      </c>
      <c r="R8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4" s="2" t="str">
        <f>_xlfn.XLOOKUP(Table2[[#This Row],[Adjusted Form '#]],'[2]IN PROGRESS'!$D:$D,'[2]IN PROGRESS'!$M:$M,"Not Found")</f>
        <v>Not Found</v>
      </c>
      <c r="U804" s="2" t="str">
        <f>_xlfn.XLOOKUP(Table2[[#This Row],[Adjusted Form '#]],[1]COMPLETED!$D:$D,[2]COMPLETED!$M:$M,"Not Found")</f>
        <v>Not Found</v>
      </c>
      <c r="V804" s="17" t="str">
        <f>_xlfn.XLOOKUP(Table2[[#This Row],[Adjusted Form '#]],[2]COMPLETED!$D:$D,[2]COMPLETED!$O:$O,"Not Found")</f>
        <v>Not Found</v>
      </c>
      <c r="W804" s="2" t="str">
        <f>_xlfn.XLOOKUP(Table2[[#This Row],[Adjusted Form '#]],[2]BILLED!$D:$D,[2]BILLED!$M:$M,"Not Found")</f>
        <v>1Z5063E0YW41761909</v>
      </c>
      <c r="X804" s="17" t="e">
        <f>_xlfn.XLOOKUP(Table2[[#This Row],[Adjusted Form '#]],[2]BILLED!$D:$D,[1]BILLED!$O:$O,"Not Found")</f>
        <v>#REF!</v>
      </c>
      <c r="Y804" s="17" t="e">
        <f>_xlfn.XLOOKUP(Table2[[#This Row],[Adjusted Form '#]],'[2]REJECTED ORDERS'!$D:$D,'[2]REJECTED ORDERS'!$E:$E)</f>
        <v>#N/A</v>
      </c>
      <c r="Z804" s="1"/>
      <c r="AA804" s="1"/>
      <c r="AB804" s="8"/>
      <c r="AC804" s="8"/>
      <c r="AD804" s="8"/>
      <c r="AE804" s="8"/>
      <c r="AF804" s="8"/>
      <c r="AG804" s="8"/>
      <c r="AH804" s="8"/>
      <c r="AI804" s="8"/>
      <c r="AJ804" s="8"/>
    </row>
    <row r="805" spans="1:36" ht="15" customHeight="1" x14ac:dyDescent="0.35">
      <c r="A805" s="4" t="s">
        <v>1205</v>
      </c>
      <c r="B805" s="1" t="s">
        <v>3761</v>
      </c>
      <c r="C805" s="11">
        <v>45034</v>
      </c>
      <c r="D805" s="11" t="s">
        <v>5220</v>
      </c>
      <c r="E805" s="1" t="s">
        <v>21</v>
      </c>
      <c r="F805" s="1" t="s">
        <v>5221</v>
      </c>
      <c r="G805" s="6">
        <f>COUNTIF(F:F,Table2[[#This Row],[Form '#]])</f>
        <v>1</v>
      </c>
      <c r="H805" s="1" t="s">
        <v>5222</v>
      </c>
      <c r="I805" s="1" t="s">
        <v>3852</v>
      </c>
      <c r="J805" s="1" t="s">
        <v>80</v>
      </c>
      <c r="K805" s="1" t="s">
        <v>3853</v>
      </c>
      <c r="L805" s="1"/>
      <c r="M805" s="6" t="str">
        <f>IF(Table2[[#This Row],[Corrected Form '#
 (If Duplicated)]]="",Table2[[#This Row],[Form '#]],Table2[[#This Row],[Corrected Form '#
 (If Duplicated)]])</f>
        <v>7818-29411</v>
      </c>
      <c r="N805" s="1" t="s">
        <v>49</v>
      </c>
      <c r="O805" s="6" t="str">
        <f>IF(Table2[[#This Row],[POG CONFIRMATION RECEIPT OF ORDER
(DATE &amp; TIME)]]="","No Confirmation","Received Confirmation")</f>
        <v>Received Confirmation</v>
      </c>
      <c r="P805" s="6">
        <f ca="1">TODAY()-Table2[[#This Row],[DATE SENT TO POG]]</f>
        <v>269</v>
      </c>
      <c r="Q805" s="6" t="s">
        <v>5803</v>
      </c>
      <c r="R8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5" s="2" t="str">
        <f>_xlfn.XLOOKUP(Table2[[#This Row],[Adjusted Form '#]],'[2]IN PROGRESS'!$D:$D,'[2]IN PROGRESS'!$M:$M,"Not Found")</f>
        <v>Not Found</v>
      </c>
      <c r="U805" s="2" t="str">
        <f>_xlfn.XLOOKUP(Table2[[#This Row],[Adjusted Form '#]],[1]COMPLETED!$D:$D,[2]COMPLETED!$M:$M,"Not Found")</f>
        <v>Not Found</v>
      </c>
      <c r="V805" s="17" t="str">
        <f>_xlfn.XLOOKUP(Table2[[#This Row],[Adjusted Form '#]],[2]COMPLETED!$D:$D,[2]COMPLETED!$O:$O,"Not Found")</f>
        <v>Not Found</v>
      </c>
      <c r="W805" s="2" t="str">
        <f>_xlfn.XLOOKUP(Table2[[#This Row],[Adjusted Form '#]],[2]BILLED!$D:$D,[2]BILLED!$M:$M,"Not Found")</f>
        <v>1Z5063E0YW41442978</v>
      </c>
      <c r="X805" s="17" t="e">
        <f>_xlfn.XLOOKUP(Table2[[#This Row],[Adjusted Form '#]],[2]BILLED!$D:$D,[1]BILLED!$O:$O,"Not Found")</f>
        <v>#REF!</v>
      </c>
      <c r="Y805" s="17" t="e">
        <f>_xlfn.XLOOKUP(Table2[[#This Row],[Adjusted Form '#]],'[2]REJECTED ORDERS'!$D:$D,'[2]REJECTED ORDERS'!$E:$E)</f>
        <v>#N/A</v>
      </c>
      <c r="Z805" s="1"/>
      <c r="AA805" s="1"/>
      <c r="AB805" s="8"/>
      <c r="AC805" s="8"/>
      <c r="AD805" s="8"/>
      <c r="AE805" s="8"/>
      <c r="AF805" s="8"/>
      <c r="AG805" s="8"/>
      <c r="AH805" s="8"/>
      <c r="AI805" s="8"/>
      <c r="AJ805" s="8"/>
    </row>
    <row r="806" spans="1:36" ht="15" customHeight="1" x14ac:dyDescent="0.35">
      <c r="A806" s="4" t="s">
        <v>1206</v>
      </c>
      <c r="B806" s="1" t="s">
        <v>3761</v>
      </c>
      <c r="C806" s="11">
        <v>45034</v>
      </c>
      <c r="D806" s="11" t="s">
        <v>5220</v>
      </c>
      <c r="E806" s="1" t="s">
        <v>21</v>
      </c>
      <c r="F806" s="1" t="s">
        <v>5223</v>
      </c>
      <c r="G806" s="6">
        <f>COUNTIF(F:F,Table2[[#This Row],[Form '#]])</f>
        <v>1</v>
      </c>
      <c r="H806" s="1" t="s">
        <v>5224</v>
      </c>
      <c r="I806" s="1" t="s">
        <v>3864</v>
      </c>
      <c r="J806" s="1" t="s">
        <v>78</v>
      </c>
      <c r="K806" s="1" t="s">
        <v>3879</v>
      </c>
      <c r="L806" s="1"/>
      <c r="M806" s="6" t="str">
        <f>IF(Table2[[#This Row],[Corrected Form '#
 (If Duplicated)]]="",Table2[[#This Row],[Form '#]],Table2[[#This Row],[Corrected Form '#
 (If Duplicated)]])</f>
        <v>7818-24452</v>
      </c>
      <c r="N806" s="1" t="s">
        <v>49</v>
      </c>
      <c r="O806" s="6" t="str">
        <f>IF(Table2[[#This Row],[POG CONFIRMATION RECEIPT OF ORDER
(DATE &amp; TIME)]]="","No Confirmation","Received Confirmation")</f>
        <v>Received Confirmation</v>
      </c>
      <c r="P806" s="6">
        <f ca="1">TODAY()-Table2[[#This Row],[DATE SENT TO POG]]</f>
        <v>269</v>
      </c>
      <c r="Q806" s="6" t="s">
        <v>5803</v>
      </c>
      <c r="R8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6" s="2" t="str">
        <f>_xlfn.XLOOKUP(Table2[[#This Row],[Adjusted Form '#]],'[2]IN PROGRESS'!$D:$D,'[2]IN PROGRESS'!$M:$M,"Not Found")</f>
        <v>Not Found</v>
      </c>
      <c r="U806" s="2" t="str">
        <f>_xlfn.XLOOKUP(Table2[[#This Row],[Adjusted Form '#]],[1]COMPLETED!$D:$D,[2]COMPLETED!$M:$M,"Not Found")</f>
        <v>Not Found</v>
      </c>
      <c r="V806" s="17" t="str">
        <f>_xlfn.XLOOKUP(Table2[[#This Row],[Adjusted Form '#]],[2]COMPLETED!$D:$D,[2]COMPLETED!$O:$O,"Not Found")</f>
        <v>Not Found</v>
      </c>
      <c r="W806" s="2" t="str">
        <f>_xlfn.XLOOKUP(Table2[[#This Row],[Adjusted Form '#]],[2]BILLED!$D:$D,[2]BILLED!$M:$M,"Not Found")</f>
        <v>1Z5063E0YW40009573</v>
      </c>
      <c r="X806" s="17" t="e">
        <f>_xlfn.XLOOKUP(Table2[[#This Row],[Adjusted Form '#]],[2]BILLED!$D:$D,[1]BILLED!$O:$O,"Not Found")</f>
        <v>#REF!</v>
      </c>
      <c r="Y806" s="17" t="e">
        <f>_xlfn.XLOOKUP(Table2[[#This Row],[Adjusted Form '#]],'[2]REJECTED ORDERS'!$D:$D,'[2]REJECTED ORDERS'!$E:$E)</f>
        <v>#N/A</v>
      </c>
      <c r="Z806" s="1"/>
      <c r="AA806" s="1"/>
      <c r="AB806" s="8"/>
      <c r="AC806" s="8"/>
      <c r="AD806" s="8"/>
      <c r="AE806" s="8"/>
      <c r="AF806" s="8"/>
      <c r="AG806" s="8"/>
      <c r="AH806" s="8"/>
      <c r="AI806" s="8"/>
      <c r="AJ806" s="8"/>
    </row>
    <row r="807" spans="1:36" ht="15" customHeight="1" x14ac:dyDescent="0.35">
      <c r="A807" s="4" t="s">
        <v>1207</v>
      </c>
      <c r="B807" s="1" t="s">
        <v>1372</v>
      </c>
      <c r="C807" s="11">
        <v>45034</v>
      </c>
      <c r="D807" s="11" t="s">
        <v>5225</v>
      </c>
      <c r="E807" s="1" t="s">
        <v>21</v>
      </c>
      <c r="F807" s="1" t="s">
        <v>5226</v>
      </c>
      <c r="G807" s="6">
        <f>COUNTIF(F:F,Table2[[#This Row],[Form '#]])</f>
        <v>1</v>
      </c>
      <c r="H807" s="1" t="s">
        <v>5227</v>
      </c>
      <c r="I807" s="1" t="s">
        <v>3852</v>
      </c>
      <c r="J807" s="1" t="s">
        <v>80</v>
      </c>
      <c r="K807" s="1" t="s">
        <v>4430</v>
      </c>
      <c r="L807" s="1"/>
      <c r="M807" s="6" t="str">
        <f>IF(Table2[[#This Row],[Corrected Form '#
 (If Duplicated)]]="",Table2[[#This Row],[Form '#]],Table2[[#This Row],[Corrected Form '#
 (If Duplicated)]])</f>
        <v>7818-19959</v>
      </c>
      <c r="N807" s="1" t="s">
        <v>49</v>
      </c>
      <c r="O807" s="6" t="str">
        <f>IF(Table2[[#This Row],[POG CONFIRMATION RECEIPT OF ORDER
(DATE &amp; TIME)]]="","No Confirmation","Received Confirmation")</f>
        <v>Received Confirmation</v>
      </c>
      <c r="P807" s="6">
        <f ca="1">TODAY()-Table2[[#This Row],[DATE SENT TO POG]]</f>
        <v>269</v>
      </c>
      <c r="Q807" s="6" t="s">
        <v>5803</v>
      </c>
      <c r="R8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7" s="2" t="str">
        <f>_xlfn.XLOOKUP(Table2[[#This Row],[Adjusted Form '#]],'[2]IN PROGRESS'!$D:$D,'[2]IN PROGRESS'!$M:$M,"Not Found")</f>
        <v>Not Found</v>
      </c>
      <c r="U807" s="2" t="str">
        <f>_xlfn.XLOOKUP(Table2[[#This Row],[Adjusted Form '#]],[1]COMPLETED!$D:$D,[2]COMPLETED!$M:$M,"Not Found")</f>
        <v>Not Found</v>
      </c>
      <c r="V807" s="17" t="str">
        <f>_xlfn.XLOOKUP(Table2[[#This Row],[Adjusted Form '#]],[2]COMPLETED!$D:$D,[2]COMPLETED!$O:$O,"Not Found")</f>
        <v>Not Found</v>
      </c>
      <c r="W807" s="2" t="str">
        <f>_xlfn.XLOOKUP(Table2[[#This Row],[Adjusted Form '#]],[2]BILLED!$D:$D,[2]BILLED!$M:$M,"Not Found")</f>
        <v>1Z5063E0YW42527867</v>
      </c>
      <c r="X807" s="17" t="e">
        <f>_xlfn.XLOOKUP(Table2[[#This Row],[Adjusted Form '#]],[2]BILLED!$D:$D,[1]BILLED!$O:$O,"Not Found")</f>
        <v>#REF!</v>
      </c>
      <c r="Y807" s="17" t="e">
        <f>_xlfn.XLOOKUP(Table2[[#This Row],[Adjusted Form '#]],'[2]REJECTED ORDERS'!$D:$D,'[2]REJECTED ORDERS'!$E:$E)</f>
        <v>#N/A</v>
      </c>
      <c r="Z807" s="1"/>
      <c r="AA807" s="1"/>
      <c r="AB807" s="8"/>
      <c r="AC807" s="8"/>
      <c r="AD807" s="8"/>
      <c r="AE807" s="8"/>
      <c r="AF807" s="8"/>
      <c r="AG807" s="8"/>
      <c r="AH807" s="8"/>
      <c r="AI807" s="8"/>
      <c r="AJ807" s="8"/>
    </row>
    <row r="808" spans="1:36" ht="15" customHeight="1" x14ac:dyDescent="0.35">
      <c r="A808" s="4" t="s">
        <v>1210</v>
      </c>
      <c r="B808" s="1" t="s">
        <v>5228</v>
      </c>
      <c r="C808" s="11">
        <v>45035</v>
      </c>
      <c r="D808" s="11" t="s">
        <v>5229</v>
      </c>
      <c r="E808" s="1" t="s">
        <v>21</v>
      </c>
      <c r="F808" s="1" t="s">
        <v>5230</v>
      </c>
      <c r="G808" s="6">
        <f>COUNTIF(F:F,Table2[[#This Row],[Form '#]])</f>
        <v>1</v>
      </c>
      <c r="H808" s="1" t="s">
        <v>5231</v>
      </c>
      <c r="I808" s="1" t="s">
        <v>127</v>
      </c>
      <c r="J808" s="1" t="s">
        <v>76</v>
      </c>
      <c r="K808" s="1" t="s">
        <v>4011</v>
      </c>
      <c r="L808" s="1"/>
      <c r="M808" s="6" t="str">
        <f>IF(Table2[[#This Row],[Corrected Form '#
 (If Duplicated)]]="",Table2[[#This Row],[Form '#]],Table2[[#This Row],[Corrected Form '#
 (If Duplicated)]])</f>
        <v>7818-26190</v>
      </c>
      <c r="N808" s="1" t="s">
        <v>49</v>
      </c>
      <c r="O808" s="6" t="str">
        <f>IF(Table2[[#This Row],[POG CONFIRMATION RECEIPT OF ORDER
(DATE &amp; TIME)]]="","No Confirmation","Received Confirmation")</f>
        <v>Received Confirmation</v>
      </c>
      <c r="P808" s="6">
        <f ca="1">TODAY()-Table2[[#This Row],[DATE SENT TO POG]]</f>
        <v>268</v>
      </c>
      <c r="Q808" s="6" t="s">
        <v>5803</v>
      </c>
      <c r="R8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8" s="2" t="str">
        <f>_xlfn.XLOOKUP(Table2[[#This Row],[Adjusted Form '#]],'[2]IN PROGRESS'!$D:$D,'[2]IN PROGRESS'!$M:$M,"Not Found")</f>
        <v>Not Found</v>
      </c>
      <c r="U808" s="2" t="str">
        <f>_xlfn.XLOOKUP(Table2[[#This Row],[Adjusted Form '#]],[1]COMPLETED!$D:$D,[2]COMPLETED!$M:$M,"Not Found")</f>
        <v>Not Found</v>
      </c>
      <c r="V808" s="17" t="str">
        <f>_xlfn.XLOOKUP(Table2[[#This Row],[Adjusted Form '#]],[2]COMPLETED!$D:$D,[2]COMPLETED!$O:$O,"Not Found")</f>
        <v>Not Found</v>
      </c>
      <c r="W808" s="2" t="str">
        <f>_xlfn.XLOOKUP(Table2[[#This Row],[Adjusted Form '#]],[2]BILLED!$D:$D,[2]BILLED!$M:$M,"Not Found")</f>
        <v>1Z5063E0YW41229673</v>
      </c>
      <c r="X808" s="17" t="e">
        <f>_xlfn.XLOOKUP(Table2[[#This Row],[Adjusted Form '#]],[2]BILLED!$D:$D,[1]BILLED!$O:$O,"Not Found")</f>
        <v>#REF!</v>
      </c>
      <c r="Y808" s="17" t="str">
        <f>_xlfn.XLOOKUP(Table2[[#This Row],[Adjusted Form '#]],'[2]REJECTED ORDERS'!$D:$D,'[2]REJECTED ORDERS'!$E:$E)</f>
        <v>FORM NOT SIGNED</v>
      </c>
      <c r="Z808" s="1"/>
      <c r="AA808" s="1"/>
      <c r="AB808" s="8"/>
      <c r="AC808" s="8"/>
      <c r="AD808" s="8"/>
      <c r="AE808" s="8"/>
      <c r="AF808" s="8"/>
      <c r="AG808" s="8"/>
      <c r="AH808" s="8"/>
      <c r="AI808" s="8"/>
      <c r="AJ808" s="8"/>
    </row>
    <row r="809" spans="1:36" ht="15" customHeight="1" x14ac:dyDescent="0.35">
      <c r="A809" s="4" t="s">
        <v>1212</v>
      </c>
      <c r="B809" s="1" t="s">
        <v>5228</v>
      </c>
      <c r="C809" s="11">
        <v>45035</v>
      </c>
      <c r="D809" s="11" t="s">
        <v>5229</v>
      </c>
      <c r="E809" s="1" t="s">
        <v>21</v>
      </c>
      <c r="F809" s="1" t="s">
        <v>5232</v>
      </c>
      <c r="G809" s="6">
        <f>COUNTIF(F:F,Table2[[#This Row],[Form '#]])</f>
        <v>1</v>
      </c>
      <c r="H809" s="1" t="s">
        <v>5233</v>
      </c>
      <c r="I809" s="1" t="s">
        <v>3864</v>
      </c>
      <c r="J809" s="1" t="s">
        <v>78</v>
      </c>
      <c r="K809" s="1" t="s">
        <v>3879</v>
      </c>
      <c r="L809" s="1"/>
      <c r="M809" s="6" t="str">
        <f>IF(Table2[[#This Row],[Corrected Form '#
 (If Duplicated)]]="",Table2[[#This Row],[Form '#]],Table2[[#This Row],[Corrected Form '#
 (If Duplicated)]])</f>
        <v>7818-29863</v>
      </c>
      <c r="N809" s="1" t="s">
        <v>49</v>
      </c>
      <c r="O809" s="6" t="str">
        <f>IF(Table2[[#This Row],[POG CONFIRMATION RECEIPT OF ORDER
(DATE &amp; TIME)]]="","No Confirmation","Received Confirmation")</f>
        <v>Received Confirmation</v>
      </c>
      <c r="P809" s="6">
        <f ca="1">TODAY()-Table2[[#This Row],[DATE SENT TO POG]]</f>
        <v>268</v>
      </c>
      <c r="Q809" s="6" t="s">
        <v>5803</v>
      </c>
      <c r="R8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09" s="2" t="str">
        <f>_xlfn.XLOOKUP(Table2[[#This Row],[Adjusted Form '#]],'[2]IN PROGRESS'!$D:$D,'[2]IN PROGRESS'!$M:$M,"Not Found")</f>
        <v>Not Found</v>
      </c>
      <c r="U809" s="2" t="str">
        <f>_xlfn.XLOOKUP(Table2[[#This Row],[Adjusted Form '#]],[1]COMPLETED!$D:$D,[2]COMPLETED!$M:$M,"Not Found")</f>
        <v>Not Found</v>
      </c>
      <c r="V809" s="17" t="str">
        <f>_xlfn.XLOOKUP(Table2[[#This Row],[Adjusted Form '#]],[2]COMPLETED!$D:$D,[2]COMPLETED!$O:$O,"Not Found")</f>
        <v>Not Found</v>
      </c>
      <c r="W809" s="2" t="str">
        <f>_xlfn.XLOOKUP(Table2[[#This Row],[Adjusted Form '#]],[2]BILLED!$D:$D,[2]BILLED!$M:$M,"Not Found")</f>
        <v>1Z5063E0YW41246869</v>
      </c>
      <c r="X809" s="17" t="e">
        <f>_xlfn.XLOOKUP(Table2[[#This Row],[Adjusted Form '#]],[2]BILLED!$D:$D,[1]BILLED!$O:$O,"Not Found")</f>
        <v>#REF!</v>
      </c>
      <c r="Y809" s="17" t="e">
        <f>_xlfn.XLOOKUP(Table2[[#This Row],[Adjusted Form '#]],'[2]REJECTED ORDERS'!$D:$D,'[2]REJECTED ORDERS'!$E:$E)</f>
        <v>#N/A</v>
      </c>
      <c r="Z809" s="1"/>
      <c r="AA809" s="1"/>
      <c r="AB809" s="8"/>
      <c r="AC809" s="8"/>
      <c r="AD809" s="8"/>
      <c r="AE809" s="8"/>
      <c r="AF809" s="8"/>
      <c r="AG809" s="8"/>
      <c r="AH809" s="8"/>
      <c r="AI809" s="8"/>
      <c r="AJ809" s="8"/>
    </row>
    <row r="810" spans="1:36" ht="15" customHeight="1" x14ac:dyDescent="0.35">
      <c r="A810" s="4" t="s">
        <v>1214</v>
      </c>
      <c r="B810" s="1" t="s">
        <v>5228</v>
      </c>
      <c r="C810" s="11">
        <v>45035</v>
      </c>
      <c r="D810" s="11" t="s">
        <v>5229</v>
      </c>
      <c r="E810" s="1" t="s">
        <v>21</v>
      </c>
      <c r="F810" s="1" t="s">
        <v>5234</v>
      </c>
      <c r="G810" s="6">
        <f>COUNTIF(F:F,Table2[[#This Row],[Form '#]])</f>
        <v>2</v>
      </c>
      <c r="H810" s="1" t="s">
        <v>484</v>
      </c>
      <c r="I810" s="1" t="s">
        <v>106</v>
      </c>
      <c r="J810" s="1" t="s">
        <v>72</v>
      </c>
      <c r="K810" s="1" t="s">
        <v>4530</v>
      </c>
      <c r="L810" s="1"/>
      <c r="M810" s="6" t="str">
        <f>IF(Table2[[#This Row],[Corrected Form '#
 (If Duplicated)]]="",Table2[[#This Row],[Form '#]],Table2[[#This Row],[Corrected Form '#
 (If Duplicated)]])</f>
        <v>7818-22685</v>
      </c>
      <c r="N810" s="1" t="s">
        <v>49</v>
      </c>
      <c r="O810" s="6" t="str">
        <f>IF(Table2[[#This Row],[POG CONFIRMATION RECEIPT OF ORDER
(DATE &amp; TIME)]]="","No Confirmation","Received Confirmation")</f>
        <v>Received Confirmation</v>
      </c>
      <c r="P810" s="6">
        <f ca="1">TODAY()-Table2[[#This Row],[DATE SENT TO POG]]</f>
        <v>268</v>
      </c>
      <c r="Q810" s="6" t="s">
        <v>5803</v>
      </c>
      <c r="R8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0" s="2" t="str">
        <f>_xlfn.XLOOKUP(Table2[[#This Row],[Adjusted Form '#]],'[2]IN PROGRESS'!$D:$D,'[2]IN PROGRESS'!$M:$M,"Not Found")</f>
        <v>Not Found</v>
      </c>
      <c r="U810" s="2" t="str">
        <f>_xlfn.XLOOKUP(Table2[[#This Row],[Adjusted Form '#]],[1]COMPLETED!$D:$D,[2]COMPLETED!$M:$M,"Not Found")</f>
        <v>Not Found</v>
      </c>
      <c r="V810" s="17" t="str">
        <f>_xlfn.XLOOKUP(Table2[[#This Row],[Adjusted Form '#]],[2]COMPLETED!$D:$D,[2]COMPLETED!$O:$O,"Not Found")</f>
        <v>Not Found</v>
      </c>
      <c r="W810" s="2" t="str">
        <f>_xlfn.XLOOKUP(Table2[[#This Row],[Adjusted Form '#]],[2]BILLED!$D:$D,[2]BILLED!$M:$M,"Not Found")</f>
        <v>1Z5063E0YW41412652</v>
      </c>
      <c r="X810" s="17" t="e">
        <f>_xlfn.XLOOKUP(Table2[[#This Row],[Adjusted Form '#]],[2]BILLED!$D:$D,[1]BILLED!$O:$O,"Not Found")</f>
        <v>#REF!</v>
      </c>
      <c r="Y810" s="17" t="e">
        <f>_xlfn.XLOOKUP(Table2[[#This Row],[Adjusted Form '#]],'[2]REJECTED ORDERS'!$D:$D,'[2]REJECTED ORDERS'!$E:$E)</f>
        <v>#N/A</v>
      </c>
      <c r="Z810" s="1"/>
      <c r="AA810" s="1"/>
      <c r="AB810" s="8"/>
      <c r="AC810" s="8"/>
      <c r="AD810" s="8"/>
      <c r="AE810" s="8"/>
      <c r="AF810" s="8"/>
      <c r="AG810" s="8"/>
      <c r="AH810" s="8"/>
      <c r="AI810" s="8"/>
      <c r="AJ810" s="8"/>
    </row>
    <row r="811" spans="1:36" ht="15" customHeight="1" x14ac:dyDescent="0.35">
      <c r="A811" s="4" t="s">
        <v>1215</v>
      </c>
      <c r="B811" s="1" t="s">
        <v>1998</v>
      </c>
      <c r="C811" s="11">
        <v>45035</v>
      </c>
      <c r="D811" s="11" t="s">
        <v>5235</v>
      </c>
      <c r="E811" s="1" t="s">
        <v>191</v>
      </c>
      <c r="F811" s="1" t="s">
        <v>5236</v>
      </c>
      <c r="G811" s="6">
        <f>COUNTIF(F:F,Table2[[#This Row],[Form '#]])</f>
        <v>1</v>
      </c>
      <c r="H811" s="1" t="s">
        <v>5237</v>
      </c>
      <c r="I811" s="1" t="s">
        <v>3852</v>
      </c>
      <c r="J811" s="1" t="s">
        <v>75</v>
      </c>
      <c r="K811" s="1" t="s">
        <v>3853</v>
      </c>
      <c r="L811" s="1"/>
      <c r="M811" s="6" t="str">
        <f>IF(Table2[[#This Row],[Corrected Form '#
 (If Duplicated)]]="",Table2[[#This Row],[Form '#]],Table2[[#This Row],[Corrected Form '#
 (If Duplicated)]])</f>
        <v>7812-3846</v>
      </c>
      <c r="N811" s="1" t="s">
        <v>49</v>
      </c>
      <c r="O811" s="6" t="str">
        <f>IF(Table2[[#This Row],[POG CONFIRMATION RECEIPT OF ORDER
(DATE &amp; TIME)]]="","No Confirmation","Received Confirmation")</f>
        <v>Received Confirmation</v>
      </c>
      <c r="P811" s="6">
        <f ca="1">TODAY()-Table2[[#This Row],[DATE SENT TO POG]]</f>
        <v>268</v>
      </c>
      <c r="Q811" s="6" t="s">
        <v>5803</v>
      </c>
      <c r="R8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1" s="2" t="str">
        <f>_xlfn.XLOOKUP(Table2[[#This Row],[Adjusted Form '#]],'[2]IN PROGRESS'!$D:$D,'[2]IN PROGRESS'!$M:$M,"Not Found")</f>
        <v>Not Found</v>
      </c>
      <c r="U811" s="2" t="str">
        <f>_xlfn.XLOOKUP(Table2[[#This Row],[Adjusted Form '#]],[1]COMPLETED!$D:$D,[2]COMPLETED!$M:$M,"Not Found")</f>
        <v>Not Found</v>
      </c>
      <c r="V811" s="17" t="str">
        <f>_xlfn.XLOOKUP(Table2[[#This Row],[Adjusted Form '#]],[2]COMPLETED!$D:$D,[2]COMPLETED!$O:$O,"Not Found")</f>
        <v>Not Found</v>
      </c>
      <c r="W811" s="2" t="str">
        <f>_xlfn.XLOOKUP(Table2[[#This Row],[Adjusted Form '#]],[2]BILLED!$D:$D,[2]BILLED!$M:$M,"Not Found")</f>
        <v>1Z5063E0YW42863173</v>
      </c>
      <c r="X811" s="17" t="e">
        <f>_xlfn.XLOOKUP(Table2[[#This Row],[Adjusted Form '#]],[2]BILLED!$D:$D,[1]BILLED!$O:$O,"Not Found")</f>
        <v>#REF!</v>
      </c>
      <c r="Y811" s="17" t="e">
        <f>_xlfn.XLOOKUP(Table2[[#This Row],[Adjusted Form '#]],'[2]REJECTED ORDERS'!$D:$D,'[2]REJECTED ORDERS'!$E:$E)</f>
        <v>#N/A</v>
      </c>
      <c r="Z811" s="1"/>
      <c r="AA811" s="1"/>
      <c r="AB811" s="8"/>
      <c r="AC811" s="8"/>
      <c r="AD811" s="8"/>
      <c r="AE811" s="8"/>
      <c r="AF811" s="8"/>
      <c r="AG811" s="8"/>
      <c r="AH811" s="8"/>
      <c r="AI811" s="8"/>
      <c r="AJ811" s="8"/>
    </row>
    <row r="812" spans="1:36" ht="15" customHeight="1" x14ac:dyDescent="0.35">
      <c r="A812" s="4" t="s">
        <v>1218</v>
      </c>
      <c r="B812" s="1" t="s">
        <v>1998</v>
      </c>
      <c r="C812" s="11">
        <v>45035</v>
      </c>
      <c r="D812" s="11" t="s">
        <v>5235</v>
      </c>
      <c r="E812" s="1" t="s">
        <v>191</v>
      </c>
      <c r="F812" s="1" t="s">
        <v>5238</v>
      </c>
      <c r="G812" s="6">
        <f>COUNTIF(F:F,Table2[[#This Row],[Form '#]])</f>
        <v>1</v>
      </c>
      <c r="H812" s="1" t="s">
        <v>3235</v>
      </c>
      <c r="I812" s="1" t="s">
        <v>3852</v>
      </c>
      <c r="J812" s="1" t="s">
        <v>80</v>
      </c>
      <c r="K812" s="1" t="s">
        <v>3853</v>
      </c>
      <c r="L812" s="1"/>
      <c r="M812" s="6" t="str">
        <f>IF(Table2[[#This Row],[Corrected Form '#
 (If Duplicated)]]="",Table2[[#This Row],[Form '#]],Table2[[#This Row],[Corrected Form '#
 (If Duplicated)]])</f>
        <v>7812-3863</v>
      </c>
      <c r="N812" s="1" t="s">
        <v>49</v>
      </c>
      <c r="O812" s="6" t="str">
        <f>IF(Table2[[#This Row],[POG CONFIRMATION RECEIPT OF ORDER
(DATE &amp; TIME)]]="","No Confirmation","Received Confirmation")</f>
        <v>Received Confirmation</v>
      </c>
      <c r="P812" s="6">
        <f ca="1">TODAY()-Table2[[#This Row],[DATE SENT TO POG]]</f>
        <v>268</v>
      </c>
      <c r="Q812" s="6" t="s">
        <v>5803</v>
      </c>
      <c r="R8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2" s="2" t="str">
        <f>_xlfn.XLOOKUP(Table2[[#This Row],[Adjusted Form '#]],'[2]IN PROGRESS'!$D:$D,'[2]IN PROGRESS'!$M:$M,"Not Found")</f>
        <v>Not Found</v>
      </c>
      <c r="U812" s="2" t="str">
        <f>_xlfn.XLOOKUP(Table2[[#This Row],[Adjusted Form '#]],[1]COMPLETED!$D:$D,[2]COMPLETED!$M:$M,"Not Found")</f>
        <v>Not Found</v>
      </c>
      <c r="V812" s="17" t="str">
        <f>_xlfn.XLOOKUP(Table2[[#This Row],[Adjusted Form '#]],[2]COMPLETED!$D:$D,[2]COMPLETED!$O:$O,"Not Found")</f>
        <v>Not Found</v>
      </c>
      <c r="W812" s="2" t="str">
        <f>_xlfn.XLOOKUP(Table2[[#This Row],[Adjusted Form '#]],[2]BILLED!$D:$D,[2]BILLED!$M:$M,"Not Found")</f>
        <v>1Z5063E0YW42982839</v>
      </c>
      <c r="X812" s="17" t="e">
        <f>_xlfn.XLOOKUP(Table2[[#This Row],[Adjusted Form '#]],[2]BILLED!$D:$D,[1]BILLED!$O:$O,"Not Found")</f>
        <v>#REF!</v>
      </c>
      <c r="Y812" s="17" t="e">
        <f>_xlfn.XLOOKUP(Table2[[#This Row],[Adjusted Form '#]],'[2]REJECTED ORDERS'!$D:$D,'[2]REJECTED ORDERS'!$E:$E)</f>
        <v>#N/A</v>
      </c>
      <c r="Z812" s="1"/>
      <c r="AA812" s="1"/>
      <c r="AB812" s="8"/>
      <c r="AC812" s="8"/>
      <c r="AD812" s="8"/>
      <c r="AE812" s="8"/>
      <c r="AF812" s="8"/>
      <c r="AG812" s="8"/>
      <c r="AH812" s="8"/>
      <c r="AI812" s="8"/>
      <c r="AJ812" s="8"/>
    </row>
    <row r="813" spans="1:36" ht="15" customHeight="1" x14ac:dyDescent="0.35">
      <c r="A813" s="4" t="s">
        <v>1219</v>
      </c>
      <c r="B813" s="1" t="s">
        <v>1010</v>
      </c>
      <c r="C813" s="11">
        <v>45035</v>
      </c>
      <c r="D813" s="11" t="s">
        <v>5239</v>
      </c>
      <c r="E813" s="1" t="s">
        <v>21</v>
      </c>
      <c r="F813" s="1" t="s">
        <v>5240</v>
      </c>
      <c r="G813" s="6">
        <f>COUNTIF(F:F,Table2[[#This Row],[Form '#]])</f>
        <v>1</v>
      </c>
      <c r="H813" s="1" t="s">
        <v>5241</v>
      </c>
      <c r="I813" s="1" t="s">
        <v>177</v>
      </c>
      <c r="J813" s="1" t="s">
        <v>75</v>
      </c>
      <c r="K813" s="1" t="s">
        <v>3853</v>
      </c>
      <c r="L813" s="1"/>
      <c r="M813" s="6" t="str">
        <f>IF(Table2[[#This Row],[Corrected Form '#
 (If Duplicated)]]="",Table2[[#This Row],[Form '#]],Table2[[#This Row],[Corrected Form '#
 (If Duplicated)]])</f>
        <v>7818-24299</v>
      </c>
      <c r="N813" s="1" t="s">
        <v>49</v>
      </c>
      <c r="O813" s="6" t="str">
        <f>IF(Table2[[#This Row],[POG CONFIRMATION RECEIPT OF ORDER
(DATE &amp; TIME)]]="","No Confirmation","Received Confirmation")</f>
        <v>Received Confirmation</v>
      </c>
      <c r="P813" s="6">
        <f ca="1">TODAY()-Table2[[#This Row],[DATE SENT TO POG]]</f>
        <v>268</v>
      </c>
      <c r="Q813" s="6" t="s">
        <v>5803</v>
      </c>
      <c r="R8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3" s="2" t="str">
        <f>_xlfn.XLOOKUP(Table2[[#This Row],[Adjusted Form '#]],'[2]IN PROGRESS'!$D:$D,'[2]IN PROGRESS'!$M:$M,"Not Found")</f>
        <v>Not Found</v>
      </c>
      <c r="U813" s="2" t="str">
        <f>_xlfn.XLOOKUP(Table2[[#This Row],[Adjusted Form '#]],[1]COMPLETED!$D:$D,[2]COMPLETED!$M:$M,"Not Found")</f>
        <v>Not Found</v>
      </c>
      <c r="V813" s="17" t="str">
        <f>_xlfn.XLOOKUP(Table2[[#This Row],[Adjusted Form '#]],[2]COMPLETED!$D:$D,[2]COMPLETED!$O:$O,"Not Found")</f>
        <v>Not Found</v>
      </c>
      <c r="W813" s="2" t="str">
        <f>_xlfn.XLOOKUP(Table2[[#This Row],[Adjusted Form '#]],[2]BILLED!$D:$D,[2]BILLED!$M:$M,"Not Found")</f>
        <v>1Z5063E0YW40860045</v>
      </c>
      <c r="X813" s="17" t="e">
        <f>_xlfn.XLOOKUP(Table2[[#This Row],[Adjusted Form '#]],[2]BILLED!$D:$D,[1]BILLED!$O:$O,"Not Found")</f>
        <v>#REF!</v>
      </c>
      <c r="Y813" s="17" t="e">
        <f>_xlfn.XLOOKUP(Table2[[#This Row],[Adjusted Form '#]],'[2]REJECTED ORDERS'!$D:$D,'[2]REJECTED ORDERS'!$E:$E)</f>
        <v>#N/A</v>
      </c>
      <c r="Z813" s="1"/>
      <c r="AA813" s="1"/>
      <c r="AB813" s="8"/>
      <c r="AC813" s="8"/>
      <c r="AD813" s="8"/>
      <c r="AE813" s="8"/>
      <c r="AF813" s="8"/>
      <c r="AG813" s="8"/>
      <c r="AH813" s="8"/>
      <c r="AI813" s="8"/>
      <c r="AJ813" s="8"/>
    </row>
    <row r="814" spans="1:36" ht="15" customHeight="1" x14ac:dyDescent="0.35">
      <c r="A814" s="4" t="s">
        <v>1220</v>
      </c>
      <c r="B814" s="1" t="s">
        <v>1010</v>
      </c>
      <c r="C814" s="11">
        <v>45035</v>
      </c>
      <c r="D814" s="11" t="s">
        <v>5239</v>
      </c>
      <c r="E814" s="1" t="s">
        <v>21</v>
      </c>
      <c r="F814" s="1" t="s">
        <v>5242</v>
      </c>
      <c r="G814" s="6">
        <f>COUNTIF(F:F,Table2[[#This Row],[Form '#]])</f>
        <v>1</v>
      </c>
      <c r="H814" s="1" t="s">
        <v>5243</v>
      </c>
      <c r="I814" s="1" t="s">
        <v>177</v>
      </c>
      <c r="J814" s="1" t="s">
        <v>75</v>
      </c>
      <c r="K814" s="1" t="s">
        <v>4011</v>
      </c>
      <c r="L814" s="1"/>
      <c r="M814" s="6" t="str">
        <f>IF(Table2[[#This Row],[Corrected Form '#
 (If Duplicated)]]="",Table2[[#This Row],[Form '#]],Table2[[#This Row],[Corrected Form '#
 (If Duplicated)]])</f>
        <v>7818-07549</v>
      </c>
      <c r="N814" s="1" t="s">
        <v>49</v>
      </c>
      <c r="O814" s="6" t="str">
        <f>IF(Table2[[#This Row],[POG CONFIRMATION RECEIPT OF ORDER
(DATE &amp; TIME)]]="","No Confirmation","Received Confirmation")</f>
        <v>Received Confirmation</v>
      </c>
      <c r="P814" s="6">
        <f ca="1">TODAY()-Table2[[#This Row],[DATE SENT TO POG]]</f>
        <v>268</v>
      </c>
      <c r="Q814" s="6" t="s">
        <v>5803</v>
      </c>
      <c r="R8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4" s="2" t="str">
        <f>_xlfn.XLOOKUP(Table2[[#This Row],[Adjusted Form '#]],'[2]IN PROGRESS'!$D:$D,'[2]IN PROGRESS'!$M:$M,"Not Found")</f>
        <v>Not Found</v>
      </c>
      <c r="U814" s="2" t="str">
        <f>_xlfn.XLOOKUP(Table2[[#This Row],[Adjusted Form '#]],[1]COMPLETED!$D:$D,[2]COMPLETED!$M:$M,"Not Found")</f>
        <v>Not Found</v>
      </c>
      <c r="V814" s="17" t="str">
        <f>_xlfn.XLOOKUP(Table2[[#This Row],[Adjusted Form '#]],[2]COMPLETED!$D:$D,[2]COMPLETED!$O:$O,"Not Found")</f>
        <v>Not Found</v>
      </c>
      <c r="W814" s="2" t="str">
        <f>_xlfn.XLOOKUP(Table2[[#This Row],[Adjusted Form '#]],[2]BILLED!$D:$D,[2]BILLED!$M:$M,"Not Found")</f>
        <v>1Z5063E0YW42360448</v>
      </c>
      <c r="X814" s="17" t="e">
        <f>_xlfn.XLOOKUP(Table2[[#This Row],[Adjusted Form '#]],[2]BILLED!$D:$D,[1]BILLED!$O:$O,"Not Found")</f>
        <v>#REF!</v>
      </c>
      <c r="Y814" s="17" t="e">
        <f>_xlfn.XLOOKUP(Table2[[#This Row],[Adjusted Form '#]],'[2]REJECTED ORDERS'!$D:$D,'[2]REJECTED ORDERS'!$E:$E)</f>
        <v>#N/A</v>
      </c>
      <c r="Z814" s="1"/>
      <c r="AA814" s="1"/>
      <c r="AB814" s="8"/>
      <c r="AC814" s="8"/>
      <c r="AD814" s="8"/>
      <c r="AE814" s="8"/>
      <c r="AF814" s="8"/>
      <c r="AG814" s="8"/>
      <c r="AH814" s="8"/>
      <c r="AI814" s="8"/>
      <c r="AJ814" s="8"/>
    </row>
    <row r="815" spans="1:36" ht="15" customHeight="1" x14ac:dyDescent="0.35">
      <c r="A815" s="4" t="s">
        <v>1221</v>
      </c>
      <c r="B815" s="1" t="s">
        <v>1010</v>
      </c>
      <c r="C815" s="11">
        <v>45035</v>
      </c>
      <c r="D815" s="11" t="s">
        <v>5239</v>
      </c>
      <c r="E815" s="1" t="s">
        <v>21</v>
      </c>
      <c r="F815" s="1" t="s">
        <v>5244</v>
      </c>
      <c r="G815" s="6">
        <f>COUNTIF(F:F,Table2[[#This Row],[Form '#]])</f>
        <v>1</v>
      </c>
      <c r="H815" s="1" t="s">
        <v>5245</v>
      </c>
      <c r="I815" s="1" t="s">
        <v>177</v>
      </c>
      <c r="J815" s="1" t="s">
        <v>75</v>
      </c>
      <c r="K815" s="1" t="s">
        <v>3853</v>
      </c>
      <c r="L815" s="1"/>
      <c r="M815" s="6" t="str">
        <f>IF(Table2[[#This Row],[Corrected Form '#
 (If Duplicated)]]="",Table2[[#This Row],[Form '#]],Table2[[#This Row],[Corrected Form '#
 (If Duplicated)]])</f>
        <v>7818-25335</v>
      </c>
      <c r="N815" s="1" t="s">
        <v>49</v>
      </c>
      <c r="O815" s="6" t="str">
        <f>IF(Table2[[#This Row],[POG CONFIRMATION RECEIPT OF ORDER
(DATE &amp; TIME)]]="","No Confirmation","Received Confirmation")</f>
        <v>Received Confirmation</v>
      </c>
      <c r="P815" s="6">
        <f ca="1">TODAY()-Table2[[#This Row],[DATE SENT TO POG]]</f>
        <v>268</v>
      </c>
      <c r="Q815" s="6" t="s">
        <v>5803</v>
      </c>
      <c r="R8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5" s="2" t="str">
        <f>_xlfn.XLOOKUP(Table2[[#This Row],[Adjusted Form '#]],'[2]IN PROGRESS'!$D:$D,'[2]IN PROGRESS'!$M:$M,"Not Found")</f>
        <v>Not Found</v>
      </c>
      <c r="U815" s="2" t="str">
        <f>_xlfn.XLOOKUP(Table2[[#This Row],[Adjusted Form '#]],[1]COMPLETED!$D:$D,[2]COMPLETED!$M:$M,"Not Found")</f>
        <v>Not Found</v>
      </c>
      <c r="V815" s="17" t="str">
        <f>_xlfn.XLOOKUP(Table2[[#This Row],[Adjusted Form '#]],[2]COMPLETED!$D:$D,[2]COMPLETED!$O:$O,"Not Found")</f>
        <v>Not Found</v>
      </c>
      <c r="W815" s="2" t="str">
        <f>_xlfn.XLOOKUP(Table2[[#This Row],[Adjusted Form '#]],[2]BILLED!$D:$D,[2]BILLED!$M:$M,"Not Found")</f>
        <v>1Z5063E0YW40558033</v>
      </c>
      <c r="X815" s="17" t="e">
        <f>_xlfn.XLOOKUP(Table2[[#This Row],[Adjusted Form '#]],[2]BILLED!$D:$D,[1]BILLED!$O:$O,"Not Found")</f>
        <v>#REF!</v>
      </c>
      <c r="Y815" s="17" t="e">
        <f>_xlfn.XLOOKUP(Table2[[#This Row],[Adjusted Form '#]],'[2]REJECTED ORDERS'!$D:$D,'[2]REJECTED ORDERS'!$E:$E)</f>
        <v>#N/A</v>
      </c>
      <c r="Z815" s="1"/>
      <c r="AA815" s="1"/>
      <c r="AB815" s="8"/>
      <c r="AC815" s="8"/>
      <c r="AD815" s="8"/>
      <c r="AE815" s="8"/>
      <c r="AF815" s="8"/>
      <c r="AG815" s="8"/>
      <c r="AH815" s="8"/>
      <c r="AI815" s="8"/>
      <c r="AJ815" s="8"/>
    </row>
    <row r="816" spans="1:36" ht="15" customHeight="1" x14ac:dyDescent="0.35">
      <c r="A816" s="4" t="s">
        <v>1222</v>
      </c>
      <c r="B816" s="1" t="s">
        <v>1010</v>
      </c>
      <c r="C816" s="11">
        <v>45035</v>
      </c>
      <c r="D816" s="11" t="s">
        <v>5239</v>
      </c>
      <c r="E816" s="1" t="s">
        <v>21</v>
      </c>
      <c r="F816" s="1" t="s">
        <v>5246</v>
      </c>
      <c r="G816" s="6">
        <f>COUNTIF(F:F,Table2[[#This Row],[Form '#]])</f>
        <v>1</v>
      </c>
      <c r="H816" s="1" t="s">
        <v>2198</v>
      </c>
      <c r="I816" s="1" t="s">
        <v>3852</v>
      </c>
      <c r="J816" s="1" t="s">
        <v>80</v>
      </c>
      <c r="K816" s="1" t="s">
        <v>3853</v>
      </c>
      <c r="L816" s="1"/>
      <c r="M816" s="6" t="str">
        <f>IF(Table2[[#This Row],[Corrected Form '#
 (If Duplicated)]]="",Table2[[#This Row],[Form '#]],Table2[[#This Row],[Corrected Form '#
 (If Duplicated)]])</f>
        <v>7818-21744</v>
      </c>
      <c r="N816" s="1" t="s">
        <v>49</v>
      </c>
      <c r="O816" s="6" t="str">
        <f>IF(Table2[[#This Row],[POG CONFIRMATION RECEIPT OF ORDER
(DATE &amp; TIME)]]="","No Confirmation","Received Confirmation")</f>
        <v>Received Confirmation</v>
      </c>
      <c r="P816" s="6">
        <f ca="1">TODAY()-Table2[[#This Row],[DATE SENT TO POG]]</f>
        <v>268</v>
      </c>
      <c r="Q816" s="6" t="s">
        <v>5803</v>
      </c>
      <c r="R8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6" s="2" t="str">
        <f>_xlfn.XLOOKUP(Table2[[#This Row],[Adjusted Form '#]],'[2]IN PROGRESS'!$D:$D,'[2]IN PROGRESS'!$M:$M,"Not Found")</f>
        <v>Not Found</v>
      </c>
      <c r="U816" s="2" t="str">
        <f>_xlfn.XLOOKUP(Table2[[#This Row],[Adjusted Form '#]],[1]COMPLETED!$D:$D,[2]COMPLETED!$M:$M,"Not Found")</f>
        <v>Not Found</v>
      </c>
      <c r="V816" s="17" t="str">
        <f>_xlfn.XLOOKUP(Table2[[#This Row],[Adjusted Form '#]],[2]COMPLETED!$D:$D,[2]COMPLETED!$O:$O,"Not Found")</f>
        <v>Not Found</v>
      </c>
      <c r="W816" s="2" t="str">
        <f>_xlfn.XLOOKUP(Table2[[#This Row],[Adjusted Form '#]],[2]BILLED!$D:$D,[2]BILLED!$M:$M,"Not Found")</f>
        <v>1Z5063E0YW40494932</v>
      </c>
      <c r="X816" s="17" t="e">
        <f>_xlfn.XLOOKUP(Table2[[#This Row],[Adjusted Form '#]],[2]BILLED!$D:$D,[1]BILLED!$O:$O,"Not Found")</f>
        <v>#REF!</v>
      </c>
      <c r="Y816" s="17" t="e">
        <f>_xlfn.XLOOKUP(Table2[[#This Row],[Adjusted Form '#]],'[2]REJECTED ORDERS'!$D:$D,'[2]REJECTED ORDERS'!$E:$E)</f>
        <v>#N/A</v>
      </c>
      <c r="Z816" s="1"/>
      <c r="AA816" s="1"/>
      <c r="AB816" s="8"/>
      <c r="AC816" s="8"/>
      <c r="AD816" s="8"/>
      <c r="AE816" s="8"/>
      <c r="AF816" s="8"/>
      <c r="AG816" s="8"/>
      <c r="AH816" s="8"/>
      <c r="AI816" s="8"/>
      <c r="AJ816" s="8"/>
    </row>
    <row r="817" spans="1:36" ht="15" customHeight="1" x14ac:dyDescent="0.35">
      <c r="A817" s="4" t="s">
        <v>1223</v>
      </c>
      <c r="B817" s="1" t="s">
        <v>1010</v>
      </c>
      <c r="C817" s="11">
        <v>45035</v>
      </c>
      <c r="D817" s="11" t="s">
        <v>5239</v>
      </c>
      <c r="E817" s="1" t="s">
        <v>21</v>
      </c>
      <c r="F817" s="1" t="s">
        <v>5247</v>
      </c>
      <c r="G817" s="6">
        <f>COUNTIF(F:F,Table2[[#This Row],[Form '#]])</f>
        <v>1</v>
      </c>
      <c r="H817" s="1" t="s">
        <v>5248</v>
      </c>
      <c r="I817" s="1" t="s">
        <v>127</v>
      </c>
      <c r="J817" s="1" t="s">
        <v>74</v>
      </c>
      <c r="K817" s="1" t="s">
        <v>3891</v>
      </c>
      <c r="L817" s="1"/>
      <c r="M817" s="6" t="str">
        <f>IF(Table2[[#This Row],[Corrected Form '#
 (If Duplicated)]]="",Table2[[#This Row],[Form '#]],Table2[[#This Row],[Corrected Form '#
 (If Duplicated)]])</f>
        <v>7818-29448</v>
      </c>
      <c r="N817" s="1" t="s">
        <v>49</v>
      </c>
      <c r="O817" s="6" t="str">
        <f>IF(Table2[[#This Row],[POG CONFIRMATION RECEIPT OF ORDER
(DATE &amp; TIME)]]="","No Confirmation","Received Confirmation")</f>
        <v>Received Confirmation</v>
      </c>
      <c r="P817" s="6">
        <f ca="1">TODAY()-Table2[[#This Row],[DATE SENT TO POG]]</f>
        <v>268</v>
      </c>
      <c r="Q817" s="6" t="s">
        <v>5803</v>
      </c>
      <c r="R8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7" s="2" t="str">
        <f>_xlfn.XLOOKUP(Table2[[#This Row],[Adjusted Form '#]],'[2]IN PROGRESS'!$D:$D,'[2]IN PROGRESS'!$M:$M,"Not Found")</f>
        <v>Not Found</v>
      </c>
      <c r="U817" s="2" t="str">
        <f>_xlfn.XLOOKUP(Table2[[#This Row],[Adjusted Form '#]],[1]COMPLETED!$D:$D,[2]COMPLETED!$M:$M,"Not Found")</f>
        <v>Not Found</v>
      </c>
      <c r="V817" s="17" t="str">
        <f>_xlfn.XLOOKUP(Table2[[#This Row],[Adjusted Form '#]],[2]COMPLETED!$D:$D,[2]COMPLETED!$O:$O,"Not Found")</f>
        <v>Not Found</v>
      </c>
      <c r="W817" s="2" t="str">
        <f>_xlfn.XLOOKUP(Table2[[#This Row],[Adjusted Form '#]],[2]BILLED!$D:$D,[2]BILLED!$M:$M,"Not Found")</f>
        <v>1Z5063E0YW40486290</v>
      </c>
      <c r="X817" s="17" t="e">
        <f>_xlfn.XLOOKUP(Table2[[#This Row],[Adjusted Form '#]],[2]BILLED!$D:$D,[1]BILLED!$O:$O,"Not Found")</f>
        <v>#REF!</v>
      </c>
      <c r="Y817" s="17" t="e">
        <f>_xlfn.XLOOKUP(Table2[[#This Row],[Adjusted Form '#]],'[2]REJECTED ORDERS'!$D:$D,'[2]REJECTED ORDERS'!$E:$E)</f>
        <v>#N/A</v>
      </c>
      <c r="Z817" s="1"/>
      <c r="AA817" s="1"/>
      <c r="AB817" s="8"/>
      <c r="AC817" s="8"/>
      <c r="AD817" s="8"/>
      <c r="AE817" s="8"/>
      <c r="AF817" s="8"/>
      <c r="AG817" s="8"/>
      <c r="AH817" s="8"/>
      <c r="AI817" s="8"/>
      <c r="AJ817" s="8"/>
    </row>
    <row r="818" spans="1:36" ht="15" customHeight="1" x14ac:dyDescent="0.35">
      <c r="A818" s="4" t="s">
        <v>1225</v>
      </c>
      <c r="B818" s="1" t="s">
        <v>1010</v>
      </c>
      <c r="C818" s="11">
        <v>45035</v>
      </c>
      <c r="D818" s="11" t="s">
        <v>5239</v>
      </c>
      <c r="E818" s="1" t="s">
        <v>21</v>
      </c>
      <c r="F818" s="1" t="s">
        <v>5249</v>
      </c>
      <c r="G818" s="6">
        <f>COUNTIF(F:F,Table2[[#This Row],[Form '#]])</f>
        <v>1</v>
      </c>
      <c r="H818" s="1" t="s">
        <v>5250</v>
      </c>
      <c r="I818" s="1" t="s">
        <v>3864</v>
      </c>
      <c r="J818" s="1" t="s">
        <v>78</v>
      </c>
      <c r="K818" s="1" t="s">
        <v>3879</v>
      </c>
      <c r="L818" s="1"/>
      <c r="M818" s="6" t="str">
        <f>IF(Table2[[#This Row],[Corrected Form '#
 (If Duplicated)]]="",Table2[[#This Row],[Form '#]],Table2[[#This Row],[Corrected Form '#
 (If Duplicated)]])</f>
        <v>7818-10398</v>
      </c>
      <c r="N818" s="1" t="s">
        <v>49</v>
      </c>
      <c r="O818" s="6" t="str">
        <f>IF(Table2[[#This Row],[POG CONFIRMATION RECEIPT OF ORDER
(DATE &amp; TIME)]]="","No Confirmation","Received Confirmation")</f>
        <v>Received Confirmation</v>
      </c>
      <c r="P818" s="6">
        <f ca="1">TODAY()-Table2[[#This Row],[DATE SENT TO POG]]</f>
        <v>268</v>
      </c>
      <c r="Q818" s="6" t="s">
        <v>5803</v>
      </c>
      <c r="R8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8" s="2" t="str">
        <f>_xlfn.XLOOKUP(Table2[[#This Row],[Adjusted Form '#]],'[2]IN PROGRESS'!$D:$D,'[2]IN PROGRESS'!$M:$M,"Not Found")</f>
        <v>Not Found</v>
      </c>
      <c r="U818" s="2" t="str">
        <f>_xlfn.XLOOKUP(Table2[[#This Row],[Adjusted Form '#]],[1]COMPLETED!$D:$D,[2]COMPLETED!$M:$M,"Not Found")</f>
        <v>Not Found</v>
      </c>
      <c r="V818" s="17" t="str">
        <f>_xlfn.XLOOKUP(Table2[[#This Row],[Adjusted Form '#]],[2]COMPLETED!$D:$D,[2]COMPLETED!$O:$O,"Not Found")</f>
        <v>Not Found</v>
      </c>
      <c r="W818" s="2" t="str">
        <f>_xlfn.XLOOKUP(Table2[[#This Row],[Adjusted Form '#]],[2]BILLED!$D:$D,[2]BILLED!$M:$M,"Not Found")</f>
        <v>1Z5063E0YW42869711</v>
      </c>
      <c r="X818" s="17" t="e">
        <f>_xlfn.XLOOKUP(Table2[[#This Row],[Adjusted Form '#]],[2]BILLED!$D:$D,[1]BILLED!$O:$O,"Not Found")</f>
        <v>#REF!</v>
      </c>
      <c r="Y818" s="17" t="e">
        <f>_xlfn.XLOOKUP(Table2[[#This Row],[Adjusted Form '#]],'[2]REJECTED ORDERS'!$D:$D,'[2]REJECTED ORDERS'!$E:$E)</f>
        <v>#N/A</v>
      </c>
      <c r="Z818" s="1"/>
      <c r="AA818" s="1"/>
      <c r="AB818" s="8"/>
      <c r="AC818" s="8"/>
      <c r="AD818" s="8"/>
      <c r="AE818" s="8"/>
      <c r="AF818" s="8"/>
      <c r="AG818" s="8"/>
      <c r="AH818" s="8"/>
      <c r="AI818" s="8"/>
      <c r="AJ818" s="8"/>
    </row>
    <row r="819" spans="1:36" ht="15" customHeight="1" x14ac:dyDescent="0.35">
      <c r="A819" s="4" t="s">
        <v>1227</v>
      </c>
      <c r="B819" s="1" t="s">
        <v>1010</v>
      </c>
      <c r="C819" s="11">
        <v>45035</v>
      </c>
      <c r="D819" s="11" t="s">
        <v>5239</v>
      </c>
      <c r="E819" s="1" t="s">
        <v>21</v>
      </c>
      <c r="F819" s="1" t="s">
        <v>5251</v>
      </c>
      <c r="G819" s="6">
        <f>COUNTIF(F:F,Table2[[#This Row],[Form '#]])</f>
        <v>1</v>
      </c>
      <c r="H819" s="1" t="s">
        <v>5252</v>
      </c>
      <c r="I819" s="1" t="s">
        <v>3864</v>
      </c>
      <c r="J819" s="1" t="s">
        <v>78</v>
      </c>
      <c r="K819" s="1" t="s">
        <v>3879</v>
      </c>
      <c r="L819" s="1"/>
      <c r="M819" s="6" t="str">
        <f>IF(Table2[[#This Row],[Corrected Form '#
 (If Duplicated)]]="",Table2[[#This Row],[Form '#]],Table2[[#This Row],[Corrected Form '#
 (If Duplicated)]])</f>
        <v>7818-26141</v>
      </c>
      <c r="N819" s="1" t="s">
        <v>49</v>
      </c>
      <c r="O819" s="6" t="str">
        <f>IF(Table2[[#This Row],[POG CONFIRMATION RECEIPT OF ORDER
(DATE &amp; TIME)]]="","No Confirmation","Received Confirmation")</f>
        <v>Received Confirmation</v>
      </c>
      <c r="P819" s="6">
        <f ca="1">TODAY()-Table2[[#This Row],[DATE SENT TO POG]]</f>
        <v>268</v>
      </c>
      <c r="Q819" s="6" t="s">
        <v>5803</v>
      </c>
      <c r="R8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19" s="2" t="str">
        <f>_xlfn.XLOOKUP(Table2[[#This Row],[Adjusted Form '#]],'[2]IN PROGRESS'!$D:$D,'[2]IN PROGRESS'!$M:$M,"Not Found")</f>
        <v>Not Found</v>
      </c>
      <c r="U819" s="2" t="str">
        <f>_xlfn.XLOOKUP(Table2[[#This Row],[Adjusted Form '#]],[1]COMPLETED!$D:$D,[2]COMPLETED!$M:$M,"Not Found")</f>
        <v>Not Found</v>
      </c>
      <c r="V819" s="17" t="str">
        <f>_xlfn.XLOOKUP(Table2[[#This Row],[Adjusted Form '#]],[2]COMPLETED!$D:$D,[2]COMPLETED!$O:$O,"Not Found")</f>
        <v>Not Found</v>
      </c>
      <c r="W819" s="2" t="str">
        <f>_xlfn.XLOOKUP(Table2[[#This Row],[Adjusted Form '#]],[2]BILLED!$D:$D,[2]BILLED!$M:$M,"Not Found")</f>
        <v>1Z5063E0YW41334086</v>
      </c>
      <c r="X819" s="17" t="e">
        <f>_xlfn.XLOOKUP(Table2[[#This Row],[Adjusted Form '#]],[2]BILLED!$D:$D,[1]BILLED!$O:$O,"Not Found")</f>
        <v>#REF!</v>
      </c>
      <c r="Y819" s="17" t="e">
        <f>_xlfn.XLOOKUP(Table2[[#This Row],[Adjusted Form '#]],'[2]REJECTED ORDERS'!$D:$D,'[2]REJECTED ORDERS'!$E:$E)</f>
        <v>#N/A</v>
      </c>
      <c r="Z819" s="1"/>
      <c r="AA819" s="1"/>
      <c r="AB819" s="8"/>
      <c r="AC819" s="8"/>
      <c r="AD819" s="8"/>
      <c r="AE819" s="8"/>
      <c r="AF819" s="8"/>
      <c r="AG819" s="8"/>
      <c r="AH819" s="8"/>
      <c r="AI819" s="8"/>
      <c r="AJ819" s="8"/>
    </row>
    <row r="820" spans="1:36" ht="15" customHeight="1" x14ac:dyDescent="0.35">
      <c r="A820" s="4" t="s">
        <v>1229</v>
      </c>
      <c r="B820" s="1" t="s">
        <v>1010</v>
      </c>
      <c r="C820" s="11">
        <v>45035</v>
      </c>
      <c r="D820" s="11" t="s">
        <v>5253</v>
      </c>
      <c r="E820" s="1" t="s">
        <v>21</v>
      </c>
      <c r="F820" s="1" t="s">
        <v>5254</v>
      </c>
      <c r="G820" s="6">
        <f>COUNTIF(F:F,Table2[[#This Row],[Form '#]])</f>
        <v>1</v>
      </c>
      <c r="H820" s="1" t="s">
        <v>5255</v>
      </c>
      <c r="I820" s="1" t="s">
        <v>3891</v>
      </c>
      <c r="J820" s="1" t="s">
        <v>3891</v>
      </c>
      <c r="K820" s="1" t="s">
        <v>4631</v>
      </c>
      <c r="L820" s="1"/>
      <c r="M820" s="6" t="str">
        <f>IF(Table2[[#This Row],[Corrected Form '#
 (If Duplicated)]]="",Table2[[#This Row],[Form '#]],Table2[[#This Row],[Corrected Form '#
 (If Duplicated)]])</f>
        <v>7818-10397</v>
      </c>
      <c r="N820" s="1" t="s">
        <v>49</v>
      </c>
      <c r="O820" s="6" t="str">
        <f>IF(Table2[[#This Row],[POG CONFIRMATION RECEIPT OF ORDER
(DATE &amp; TIME)]]="","No Confirmation","Received Confirmation")</f>
        <v>Received Confirmation</v>
      </c>
      <c r="P820" s="6">
        <f ca="1">TODAY()-Table2[[#This Row],[DATE SENT TO POG]]</f>
        <v>268</v>
      </c>
      <c r="Q820" s="6" t="s">
        <v>5803</v>
      </c>
      <c r="R8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0" s="2" t="str">
        <f>_xlfn.XLOOKUP(Table2[[#This Row],[Adjusted Form '#]],'[2]IN PROGRESS'!$D:$D,'[2]IN PROGRESS'!$M:$M,"Not Found")</f>
        <v>Not Found</v>
      </c>
      <c r="U820" s="2" t="str">
        <f>_xlfn.XLOOKUP(Table2[[#This Row],[Adjusted Form '#]],[1]COMPLETED!$D:$D,[2]COMPLETED!$M:$M,"Not Found")</f>
        <v>Not Found</v>
      </c>
      <c r="V820" s="17" t="str">
        <f>_xlfn.XLOOKUP(Table2[[#This Row],[Adjusted Form '#]],[2]COMPLETED!$D:$D,[2]COMPLETED!$O:$O,"Not Found")</f>
        <v>Not Found</v>
      </c>
      <c r="W820" s="2" t="str">
        <f>_xlfn.XLOOKUP(Table2[[#This Row],[Adjusted Form '#]],[2]BILLED!$D:$D,[2]BILLED!$M:$M,"Not Found")</f>
        <v>1Z5063E0YW41547669</v>
      </c>
      <c r="X820" s="17" t="e">
        <f>_xlfn.XLOOKUP(Table2[[#This Row],[Adjusted Form '#]],[2]BILLED!$D:$D,[1]BILLED!$O:$O,"Not Found")</f>
        <v>#REF!</v>
      </c>
      <c r="Y820" s="17" t="e">
        <f>_xlfn.XLOOKUP(Table2[[#This Row],[Adjusted Form '#]],'[2]REJECTED ORDERS'!$D:$D,'[2]REJECTED ORDERS'!$E:$E)</f>
        <v>#N/A</v>
      </c>
      <c r="Z820" s="1"/>
      <c r="AA820" s="1"/>
      <c r="AB820" s="8"/>
      <c r="AC820" s="8"/>
      <c r="AD820" s="8"/>
      <c r="AE820" s="8"/>
      <c r="AF820" s="8"/>
      <c r="AG820" s="8"/>
      <c r="AH820" s="8"/>
      <c r="AI820" s="8"/>
      <c r="AJ820" s="8"/>
    </row>
    <row r="821" spans="1:36" ht="15" customHeight="1" x14ac:dyDescent="0.35">
      <c r="A821" s="4" t="s">
        <v>1230</v>
      </c>
      <c r="B821" s="1" t="s">
        <v>2102</v>
      </c>
      <c r="C821" s="11">
        <v>45035</v>
      </c>
      <c r="D821" s="11" t="s">
        <v>5239</v>
      </c>
      <c r="E821" s="1" t="s">
        <v>21</v>
      </c>
      <c r="F821" s="1" t="s">
        <v>5256</v>
      </c>
      <c r="G821" s="6">
        <f>COUNTIF(F:F,Table2[[#This Row],[Form '#]])</f>
        <v>1</v>
      </c>
      <c r="H821" s="1" t="s">
        <v>5257</v>
      </c>
      <c r="I821" s="1" t="s">
        <v>127</v>
      </c>
      <c r="J821" s="1" t="s">
        <v>3891</v>
      </c>
      <c r="K821" s="1" t="s">
        <v>3891</v>
      </c>
      <c r="L821" s="1"/>
      <c r="M821" s="6" t="str">
        <f>IF(Table2[[#This Row],[Corrected Form '#
 (If Duplicated)]]="",Table2[[#This Row],[Form '#]],Table2[[#This Row],[Corrected Form '#
 (If Duplicated)]])</f>
        <v>7818-04213</v>
      </c>
      <c r="N821" s="1" t="s">
        <v>49</v>
      </c>
      <c r="O821" s="6" t="str">
        <f>IF(Table2[[#This Row],[POG CONFIRMATION RECEIPT OF ORDER
(DATE &amp; TIME)]]="","No Confirmation","Received Confirmation")</f>
        <v>Received Confirmation</v>
      </c>
      <c r="P821" s="6">
        <f ca="1">TODAY()-Table2[[#This Row],[DATE SENT TO POG]]</f>
        <v>268</v>
      </c>
      <c r="Q821" s="6" t="s">
        <v>5803</v>
      </c>
      <c r="R8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1" s="2" t="str">
        <f>_xlfn.XLOOKUP(Table2[[#This Row],[Adjusted Form '#]],'[2]IN PROGRESS'!$D:$D,'[2]IN PROGRESS'!$M:$M,"Not Found")</f>
        <v>Not Found</v>
      </c>
      <c r="U821" s="2" t="str">
        <f>_xlfn.XLOOKUP(Table2[[#This Row],[Adjusted Form '#]],[1]COMPLETED!$D:$D,[2]COMPLETED!$M:$M,"Not Found")</f>
        <v>Not Found</v>
      </c>
      <c r="V821" s="17" t="str">
        <f>_xlfn.XLOOKUP(Table2[[#This Row],[Adjusted Form '#]],[2]COMPLETED!$D:$D,[2]COMPLETED!$O:$O,"Not Found")</f>
        <v>Not Found</v>
      </c>
      <c r="W821" s="2" t="str">
        <f>_xlfn.XLOOKUP(Table2[[#This Row],[Adjusted Form '#]],[2]BILLED!$D:$D,[2]BILLED!$M:$M,"Not Found")</f>
        <v>1Z5063E0YW42116720</v>
      </c>
      <c r="X821" s="17" t="e">
        <f>_xlfn.XLOOKUP(Table2[[#This Row],[Adjusted Form '#]],[2]BILLED!$D:$D,[1]BILLED!$O:$O,"Not Found")</f>
        <v>#REF!</v>
      </c>
      <c r="Y821" s="17" t="e">
        <f>_xlfn.XLOOKUP(Table2[[#This Row],[Adjusted Form '#]],'[2]REJECTED ORDERS'!$D:$D,'[2]REJECTED ORDERS'!$E:$E)</f>
        <v>#N/A</v>
      </c>
      <c r="Z821" s="1"/>
      <c r="AA821" s="1"/>
      <c r="AB821" s="8"/>
      <c r="AC821" s="8"/>
      <c r="AD821" s="8"/>
      <c r="AE821" s="8"/>
      <c r="AF821" s="8"/>
      <c r="AG821" s="8"/>
      <c r="AH821" s="8"/>
      <c r="AI821" s="8"/>
      <c r="AJ821" s="8"/>
    </row>
    <row r="822" spans="1:36" ht="15" customHeight="1" x14ac:dyDescent="0.35">
      <c r="A822" s="4" t="s">
        <v>1232</v>
      </c>
      <c r="B822" s="1" t="s">
        <v>3661</v>
      </c>
      <c r="C822" s="11">
        <v>45036</v>
      </c>
      <c r="D822" s="11" t="s">
        <v>5258</v>
      </c>
      <c r="E822" s="1" t="s">
        <v>21</v>
      </c>
      <c r="F822" s="1" t="s">
        <v>5259</v>
      </c>
      <c r="G822" s="6">
        <f>COUNTIF(F:F,Table2[[#This Row],[Form '#]])</f>
        <v>1</v>
      </c>
      <c r="H822" s="1" t="s">
        <v>5260</v>
      </c>
      <c r="I822" s="1" t="s">
        <v>127</v>
      </c>
      <c r="J822" s="1" t="s">
        <v>76</v>
      </c>
      <c r="K822" s="1" t="s">
        <v>3883</v>
      </c>
      <c r="L822" s="1"/>
      <c r="M822" s="6" t="str">
        <f>IF(Table2[[#This Row],[Corrected Form '#
 (If Duplicated)]]="",Table2[[#This Row],[Form '#]],Table2[[#This Row],[Corrected Form '#
 (If Duplicated)]])</f>
        <v>7818-25979</v>
      </c>
      <c r="N822" s="1" t="s">
        <v>49</v>
      </c>
      <c r="O822" s="6" t="str">
        <f>IF(Table2[[#This Row],[POG CONFIRMATION RECEIPT OF ORDER
(DATE &amp; TIME)]]="","No Confirmation","Received Confirmation")</f>
        <v>Received Confirmation</v>
      </c>
      <c r="P822" s="6">
        <f ca="1">TODAY()-Table2[[#This Row],[DATE SENT TO POG]]</f>
        <v>267</v>
      </c>
      <c r="Q822" s="6" t="s">
        <v>5803</v>
      </c>
      <c r="R8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2" s="2" t="str">
        <f>_xlfn.XLOOKUP(Table2[[#This Row],[Adjusted Form '#]],'[2]IN PROGRESS'!$D:$D,'[2]IN PROGRESS'!$M:$M,"Not Found")</f>
        <v>Not Found</v>
      </c>
      <c r="U822" s="2" t="str">
        <f>_xlfn.XLOOKUP(Table2[[#This Row],[Adjusted Form '#]],[1]COMPLETED!$D:$D,[2]COMPLETED!$M:$M,"Not Found")</f>
        <v>Not Found</v>
      </c>
      <c r="V822" s="17" t="str">
        <f>_xlfn.XLOOKUP(Table2[[#This Row],[Adjusted Form '#]],[2]COMPLETED!$D:$D,[2]COMPLETED!$O:$O,"Not Found")</f>
        <v>Not Found</v>
      </c>
      <c r="W822" s="2" t="str">
        <f>_xlfn.XLOOKUP(Table2[[#This Row],[Adjusted Form '#]],[2]BILLED!$D:$D,[2]BILLED!$M:$M,"Not Found")</f>
        <v>1Z5063E0YW41514953</v>
      </c>
      <c r="X822" s="17" t="e">
        <f>_xlfn.XLOOKUP(Table2[[#This Row],[Adjusted Form '#]],[2]BILLED!$D:$D,[1]BILLED!$O:$O,"Not Found")</f>
        <v>#REF!</v>
      </c>
      <c r="Y822" s="17" t="e">
        <f>_xlfn.XLOOKUP(Table2[[#This Row],[Adjusted Form '#]],'[2]REJECTED ORDERS'!$D:$D,'[2]REJECTED ORDERS'!$E:$E)</f>
        <v>#N/A</v>
      </c>
      <c r="Z822" s="1"/>
      <c r="AA822" s="1"/>
      <c r="AB822" s="8"/>
      <c r="AC822" s="8"/>
      <c r="AD822" s="8"/>
      <c r="AE822" s="8"/>
      <c r="AF822" s="8"/>
      <c r="AG822" s="8"/>
      <c r="AH822" s="8"/>
      <c r="AI822" s="8"/>
      <c r="AJ822" s="8"/>
    </row>
    <row r="823" spans="1:36" ht="15" customHeight="1" x14ac:dyDescent="0.35">
      <c r="A823" s="4" t="s">
        <v>1233</v>
      </c>
      <c r="B823" s="1" t="s">
        <v>3661</v>
      </c>
      <c r="C823" s="11">
        <v>45036</v>
      </c>
      <c r="D823" s="11" t="s">
        <v>5258</v>
      </c>
      <c r="E823" s="1" t="s">
        <v>21</v>
      </c>
      <c r="F823" s="1" t="s">
        <v>5261</v>
      </c>
      <c r="G823" s="6">
        <f>COUNTIF(F:F,Table2[[#This Row],[Form '#]])</f>
        <v>1</v>
      </c>
      <c r="H823" s="1" t="s">
        <v>5262</v>
      </c>
      <c r="I823" s="1" t="s">
        <v>3864</v>
      </c>
      <c r="J823" s="1" t="s">
        <v>78</v>
      </c>
      <c r="K823" s="1" t="s">
        <v>3879</v>
      </c>
      <c r="L823" s="1"/>
      <c r="M823" s="6" t="str">
        <f>IF(Table2[[#This Row],[Corrected Form '#
 (If Duplicated)]]="",Table2[[#This Row],[Form '#]],Table2[[#This Row],[Corrected Form '#
 (If Duplicated)]])</f>
        <v>7818-07834</v>
      </c>
      <c r="N823" s="1" t="s">
        <v>49</v>
      </c>
      <c r="O823" s="6" t="str">
        <f>IF(Table2[[#This Row],[POG CONFIRMATION RECEIPT OF ORDER
(DATE &amp; TIME)]]="","No Confirmation","Received Confirmation")</f>
        <v>Received Confirmation</v>
      </c>
      <c r="P823" s="6">
        <f ca="1">TODAY()-Table2[[#This Row],[DATE SENT TO POG]]</f>
        <v>267</v>
      </c>
      <c r="Q823" s="6" t="s">
        <v>5803</v>
      </c>
      <c r="R8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3" s="2" t="str">
        <f>_xlfn.XLOOKUP(Table2[[#This Row],[Adjusted Form '#]],'[2]IN PROGRESS'!$D:$D,'[2]IN PROGRESS'!$M:$M,"Not Found")</f>
        <v>Not Found</v>
      </c>
      <c r="U823" s="2" t="str">
        <f>_xlfn.XLOOKUP(Table2[[#This Row],[Adjusted Form '#]],[1]COMPLETED!$D:$D,[2]COMPLETED!$M:$M,"Not Found")</f>
        <v>Not Found</v>
      </c>
      <c r="V823" s="17" t="str">
        <f>_xlfn.XLOOKUP(Table2[[#This Row],[Adjusted Form '#]],[2]COMPLETED!$D:$D,[2]COMPLETED!$O:$O,"Not Found")</f>
        <v>Not Found</v>
      </c>
      <c r="W823" s="2" t="str">
        <f>_xlfn.XLOOKUP(Table2[[#This Row],[Adjusted Form '#]],[2]BILLED!$D:$D,[2]BILLED!$M:$M,"Not Found")</f>
        <v>1Z5063E0YW41875528</v>
      </c>
      <c r="X823" s="17" t="e">
        <f>_xlfn.XLOOKUP(Table2[[#This Row],[Adjusted Form '#]],[2]BILLED!$D:$D,[1]BILLED!$O:$O,"Not Found")</f>
        <v>#REF!</v>
      </c>
      <c r="Y823" s="17" t="e">
        <f>_xlfn.XLOOKUP(Table2[[#This Row],[Adjusted Form '#]],'[2]REJECTED ORDERS'!$D:$D,'[2]REJECTED ORDERS'!$E:$E)</f>
        <v>#N/A</v>
      </c>
      <c r="Z823" s="1"/>
      <c r="AA823" s="1"/>
      <c r="AB823" s="8"/>
      <c r="AC823" s="8"/>
      <c r="AD823" s="8"/>
      <c r="AE823" s="8"/>
      <c r="AF823" s="8"/>
      <c r="AG823" s="8"/>
      <c r="AH823" s="8"/>
      <c r="AI823" s="8"/>
      <c r="AJ823" s="8"/>
    </row>
    <row r="824" spans="1:36" ht="15" customHeight="1" x14ac:dyDescent="0.35">
      <c r="A824" s="4" t="s">
        <v>1234</v>
      </c>
      <c r="B824" s="1" t="s">
        <v>3661</v>
      </c>
      <c r="C824" s="11">
        <v>45036</v>
      </c>
      <c r="D824" s="11" t="s">
        <v>5258</v>
      </c>
      <c r="E824" s="1" t="s">
        <v>21</v>
      </c>
      <c r="F824" s="1" t="s">
        <v>5263</v>
      </c>
      <c r="G824" s="6">
        <f>COUNTIF(F:F,Table2[[#This Row],[Form '#]])</f>
        <v>1</v>
      </c>
      <c r="H824" s="1" t="s">
        <v>5264</v>
      </c>
      <c r="I824" s="1" t="s">
        <v>3852</v>
      </c>
      <c r="J824" s="1" t="s">
        <v>75</v>
      </c>
      <c r="K824" s="1" t="s">
        <v>3853</v>
      </c>
      <c r="L824" s="1"/>
      <c r="M824" s="6" t="str">
        <f>IF(Table2[[#This Row],[Corrected Form '#
 (If Duplicated)]]="",Table2[[#This Row],[Form '#]],Table2[[#This Row],[Corrected Form '#
 (If Duplicated)]])</f>
        <v>7818-15225</v>
      </c>
      <c r="N824" s="1" t="s">
        <v>49</v>
      </c>
      <c r="O824" s="6" t="str">
        <f>IF(Table2[[#This Row],[POG CONFIRMATION RECEIPT OF ORDER
(DATE &amp; TIME)]]="","No Confirmation","Received Confirmation")</f>
        <v>Received Confirmation</v>
      </c>
      <c r="P824" s="6">
        <f ca="1">TODAY()-Table2[[#This Row],[DATE SENT TO POG]]</f>
        <v>267</v>
      </c>
      <c r="Q824" s="6" t="s">
        <v>5803</v>
      </c>
      <c r="R8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4" s="2" t="str">
        <f>_xlfn.XLOOKUP(Table2[[#This Row],[Adjusted Form '#]],'[2]IN PROGRESS'!$D:$D,'[2]IN PROGRESS'!$M:$M,"Not Found")</f>
        <v>Not Found</v>
      </c>
      <c r="U824" s="2" t="str">
        <f>_xlfn.XLOOKUP(Table2[[#This Row],[Adjusted Form '#]],[1]COMPLETED!$D:$D,[2]COMPLETED!$M:$M,"Not Found")</f>
        <v>Not Found</v>
      </c>
      <c r="V824" s="17" t="str">
        <f>_xlfn.XLOOKUP(Table2[[#This Row],[Adjusted Form '#]],[2]COMPLETED!$D:$D,[2]COMPLETED!$O:$O,"Not Found")</f>
        <v>Not Found</v>
      </c>
      <c r="W824" s="2" t="str">
        <f>_xlfn.XLOOKUP(Table2[[#This Row],[Adjusted Form '#]],[2]BILLED!$D:$D,[2]BILLED!$M:$M,"Not Found")</f>
        <v>1Z5063E0YW40603439</v>
      </c>
      <c r="X824" s="17" t="e">
        <f>_xlfn.XLOOKUP(Table2[[#This Row],[Adjusted Form '#]],[2]BILLED!$D:$D,[1]BILLED!$O:$O,"Not Found")</f>
        <v>#REF!</v>
      </c>
      <c r="Y824" s="17" t="e">
        <f>_xlfn.XLOOKUP(Table2[[#This Row],[Adjusted Form '#]],'[2]REJECTED ORDERS'!$D:$D,'[2]REJECTED ORDERS'!$E:$E)</f>
        <v>#N/A</v>
      </c>
      <c r="Z824" s="1"/>
      <c r="AA824" s="1"/>
      <c r="AB824" s="8"/>
      <c r="AC824" s="8"/>
      <c r="AD824" s="8"/>
      <c r="AE824" s="8"/>
      <c r="AF824" s="8"/>
      <c r="AG824" s="8"/>
      <c r="AH824" s="8"/>
      <c r="AI824" s="8"/>
      <c r="AJ824" s="8"/>
    </row>
    <row r="825" spans="1:36" ht="15" customHeight="1" x14ac:dyDescent="0.35">
      <c r="A825" s="4" t="s">
        <v>1235</v>
      </c>
      <c r="B825" s="1" t="s">
        <v>3661</v>
      </c>
      <c r="C825" s="11">
        <v>45036</v>
      </c>
      <c r="D825" s="11" t="s">
        <v>5258</v>
      </c>
      <c r="E825" s="1" t="s">
        <v>21</v>
      </c>
      <c r="F825" s="1" t="s">
        <v>5265</v>
      </c>
      <c r="G825" s="6">
        <f>COUNTIF(F:F,Table2[[#This Row],[Form '#]])</f>
        <v>1</v>
      </c>
      <c r="H825" s="1" t="s">
        <v>5266</v>
      </c>
      <c r="I825" s="1" t="s">
        <v>3864</v>
      </c>
      <c r="J825" s="1" t="s">
        <v>78</v>
      </c>
      <c r="K825" s="1" t="s">
        <v>3879</v>
      </c>
      <c r="L825" s="1"/>
      <c r="M825" s="6" t="str">
        <f>IF(Table2[[#This Row],[Corrected Form '#
 (If Duplicated)]]="",Table2[[#This Row],[Form '#]],Table2[[#This Row],[Corrected Form '#
 (If Duplicated)]])</f>
        <v>7818-23258</v>
      </c>
      <c r="N825" s="1" t="s">
        <v>49</v>
      </c>
      <c r="O825" s="6" t="str">
        <f>IF(Table2[[#This Row],[POG CONFIRMATION RECEIPT OF ORDER
(DATE &amp; TIME)]]="","No Confirmation","Received Confirmation")</f>
        <v>Received Confirmation</v>
      </c>
      <c r="P825" s="6">
        <f ca="1">TODAY()-Table2[[#This Row],[DATE SENT TO POG]]</f>
        <v>267</v>
      </c>
      <c r="Q825" s="6" t="s">
        <v>5803</v>
      </c>
      <c r="R8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5" s="2" t="str">
        <f>_xlfn.XLOOKUP(Table2[[#This Row],[Adjusted Form '#]],'[2]IN PROGRESS'!$D:$D,'[2]IN PROGRESS'!$M:$M,"Not Found")</f>
        <v>Not Found</v>
      </c>
      <c r="U825" s="2" t="str">
        <f>_xlfn.XLOOKUP(Table2[[#This Row],[Adjusted Form '#]],[1]COMPLETED!$D:$D,[2]COMPLETED!$M:$M,"Not Found")</f>
        <v>Not Found</v>
      </c>
      <c r="V825" s="17" t="str">
        <f>_xlfn.XLOOKUP(Table2[[#This Row],[Adjusted Form '#]],[2]COMPLETED!$D:$D,[2]COMPLETED!$O:$O,"Not Found")</f>
        <v>Not Found</v>
      </c>
      <c r="W825" s="2" t="str">
        <f>_xlfn.XLOOKUP(Table2[[#This Row],[Adjusted Form '#]],[2]BILLED!$D:$D,[2]BILLED!$M:$M,"Not Found")</f>
        <v>1Z5063E0YW40775101</v>
      </c>
      <c r="X825" s="17" t="e">
        <f>_xlfn.XLOOKUP(Table2[[#This Row],[Adjusted Form '#]],[2]BILLED!$D:$D,[1]BILLED!$O:$O,"Not Found")</f>
        <v>#REF!</v>
      </c>
      <c r="Y825" s="17" t="e">
        <f>_xlfn.XLOOKUP(Table2[[#This Row],[Adjusted Form '#]],'[2]REJECTED ORDERS'!$D:$D,'[2]REJECTED ORDERS'!$E:$E)</f>
        <v>#N/A</v>
      </c>
      <c r="Z825" s="1"/>
      <c r="AA825" s="1"/>
      <c r="AB825" s="8"/>
      <c r="AC825" s="8"/>
      <c r="AD825" s="8"/>
      <c r="AE825" s="8"/>
      <c r="AF825" s="8"/>
      <c r="AG825" s="8"/>
      <c r="AH825" s="8"/>
      <c r="AI825" s="8"/>
      <c r="AJ825" s="8"/>
    </row>
    <row r="826" spans="1:36" ht="15" customHeight="1" x14ac:dyDescent="0.35">
      <c r="A826" s="4" t="s">
        <v>1237</v>
      </c>
      <c r="B826" s="1" t="s">
        <v>3661</v>
      </c>
      <c r="C826" s="11">
        <v>45036</v>
      </c>
      <c r="D826" s="11" t="s">
        <v>5258</v>
      </c>
      <c r="E826" s="1" t="s">
        <v>21</v>
      </c>
      <c r="F826" s="1" t="s">
        <v>5267</v>
      </c>
      <c r="G826" s="6">
        <f>COUNTIF(F:F,Table2[[#This Row],[Form '#]])</f>
        <v>1</v>
      </c>
      <c r="H826" s="1" t="s">
        <v>5268</v>
      </c>
      <c r="I826" s="1" t="s">
        <v>3852</v>
      </c>
      <c r="J826" s="1" t="s">
        <v>80</v>
      </c>
      <c r="K826" s="1" t="s">
        <v>4430</v>
      </c>
      <c r="L826" s="1"/>
      <c r="M826" s="6" t="str">
        <f>IF(Table2[[#This Row],[Corrected Form '#
 (If Duplicated)]]="",Table2[[#This Row],[Form '#]],Table2[[#This Row],[Corrected Form '#
 (If Duplicated)]])</f>
        <v>7818-08728</v>
      </c>
      <c r="N826" s="1" t="s">
        <v>49</v>
      </c>
      <c r="O826" s="6" t="str">
        <f>IF(Table2[[#This Row],[POG CONFIRMATION RECEIPT OF ORDER
(DATE &amp; TIME)]]="","No Confirmation","Received Confirmation")</f>
        <v>Received Confirmation</v>
      </c>
      <c r="P826" s="6">
        <f ca="1">TODAY()-Table2[[#This Row],[DATE SENT TO POG]]</f>
        <v>267</v>
      </c>
      <c r="Q826" s="6" t="s">
        <v>5803</v>
      </c>
      <c r="R8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6" s="2" t="str">
        <f>_xlfn.XLOOKUP(Table2[[#This Row],[Adjusted Form '#]],'[2]IN PROGRESS'!$D:$D,'[2]IN PROGRESS'!$M:$M,"Not Found")</f>
        <v>Not Found</v>
      </c>
      <c r="U826" s="2" t="str">
        <f>_xlfn.XLOOKUP(Table2[[#This Row],[Adjusted Form '#]],[1]COMPLETED!$D:$D,[2]COMPLETED!$M:$M,"Not Found")</f>
        <v>Not Found</v>
      </c>
      <c r="V826" s="17" t="str">
        <f>_xlfn.XLOOKUP(Table2[[#This Row],[Adjusted Form '#]],[2]COMPLETED!$D:$D,[2]COMPLETED!$O:$O,"Not Found")</f>
        <v>Not Found</v>
      </c>
      <c r="W826" s="2" t="str">
        <f>_xlfn.XLOOKUP(Table2[[#This Row],[Adjusted Form '#]],[2]BILLED!$D:$D,[2]BILLED!$M:$M,"Not Found")</f>
        <v>1Z5063E0YW40155227</v>
      </c>
      <c r="X826" s="17" t="e">
        <f>_xlfn.XLOOKUP(Table2[[#This Row],[Adjusted Form '#]],[2]BILLED!$D:$D,[1]BILLED!$O:$O,"Not Found")</f>
        <v>#REF!</v>
      </c>
      <c r="Y826" s="17" t="e">
        <f>_xlfn.XLOOKUP(Table2[[#This Row],[Adjusted Form '#]],'[2]REJECTED ORDERS'!$D:$D,'[2]REJECTED ORDERS'!$E:$E)</f>
        <v>#N/A</v>
      </c>
      <c r="Z826" s="1"/>
      <c r="AA826" s="1"/>
      <c r="AB826" s="8"/>
      <c r="AC826" s="8"/>
      <c r="AD826" s="8"/>
      <c r="AE826" s="8"/>
      <c r="AF826" s="8"/>
      <c r="AG826" s="8"/>
      <c r="AH826" s="8"/>
      <c r="AI826" s="8"/>
      <c r="AJ826" s="8"/>
    </row>
    <row r="827" spans="1:36" ht="15" customHeight="1" x14ac:dyDescent="0.35">
      <c r="A827" s="4" t="s">
        <v>1238</v>
      </c>
      <c r="B827" s="1" t="s">
        <v>3661</v>
      </c>
      <c r="C827" s="11">
        <v>45036</v>
      </c>
      <c r="D827" s="11" t="s">
        <v>5258</v>
      </c>
      <c r="E827" s="1" t="s">
        <v>21</v>
      </c>
      <c r="F827" s="1" t="s">
        <v>5269</v>
      </c>
      <c r="G827" s="6">
        <f>COUNTIF(F:F,Table2[[#This Row],[Form '#]])</f>
        <v>1</v>
      </c>
      <c r="H827" s="1" t="s">
        <v>5270</v>
      </c>
      <c r="I827" s="1" t="s">
        <v>3864</v>
      </c>
      <c r="J827" s="1" t="s">
        <v>78</v>
      </c>
      <c r="K827" s="1" t="s">
        <v>3879</v>
      </c>
      <c r="L827" s="1"/>
      <c r="M827" s="6" t="str">
        <f>IF(Table2[[#This Row],[Corrected Form '#
 (If Duplicated)]]="",Table2[[#This Row],[Form '#]],Table2[[#This Row],[Corrected Form '#
 (If Duplicated)]])</f>
        <v>7818-24828</v>
      </c>
      <c r="N827" s="1" t="s">
        <v>49</v>
      </c>
      <c r="O827" s="6" t="str">
        <f>IF(Table2[[#This Row],[POG CONFIRMATION RECEIPT OF ORDER
(DATE &amp; TIME)]]="","No Confirmation","Received Confirmation")</f>
        <v>Received Confirmation</v>
      </c>
      <c r="P827" s="6">
        <f ca="1">TODAY()-Table2[[#This Row],[DATE SENT TO POG]]</f>
        <v>267</v>
      </c>
      <c r="Q827" s="6" t="s">
        <v>5803</v>
      </c>
      <c r="R8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7" s="2" t="str">
        <f>_xlfn.XLOOKUP(Table2[[#This Row],[Adjusted Form '#]],'[2]IN PROGRESS'!$D:$D,'[2]IN PROGRESS'!$M:$M,"Not Found")</f>
        <v>Not Found</v>
      </c>
      <c r="U827" s="2" t="str">
        <f>_xlfn.XLOOKUP(Table2[[#This Row],[Adjusted Form '#]],[1]COMPLETED!$D:$D,[2]COMPLETED!$M:$M,"Not Found")</f>
        <v>Not Found</v>
      </c>
      <c r="V827" s="17" t="str">
        <f>_xlfn.XLOOKUP(Table2[[#This Row],[Adjusted Form '#]],[2]COMPLETED!$D:$D,[2]COMPLETED!$O:$O,"Not Found")</f>
        <v>Not Found</v>
      </c>
      <c r="W827" s="2" t="str">
        <f>_xlfn.XLOOKUP(Table2[[#This Row],[Adjusted Form '#]],[2]BILLED!$D:$D,[2]BILLED!$M:$M,"Not Found")</f>
        <v>1Z5063E0YW40968920</v>
      </c>
      <c r="X827" s="17" t="e">
        <f>_xlfn.XLOOKUP(Table2[[#This Row],[Adjusted Form '#]],[2]BILLED!$D:$D,[1]BILLED!$O:$O,"Not Found")</f>
        <v>#REF!</v>
      </c>
      <c r="Y827" s="17" t="e">
        <f>_xlfn.XLOOKUP(Table2[[#This Row],[Adjusted Form '#]],'[2]REJECTED ORDERS'!$D:$D,'[2]REJECTED ORDERS'!$E:$E)</f>
        <v>#N/A</v>
      </c>
      <c r="Z827" s="1"/>
      <c r="AA827" s="1"/>
      <c r="AB827" s="8"/>
      <c r="AC827" s="8"/>
      <c r="AD827" s="8"/>
      <c r="AE827" s="8"/>
      <c r="AF827" s="8"/>
      <c r="AG827" s="8"/>
      <c r="AH827" s="8"/>
      <c r="AI827" s="8"/>
      <c r="AJ827" s="8"/>
    </row>
    <row r="828" spans="1:36" ht="15" customHeight="1" x14ac:dyDescent="0.35">
      <c r="A828" s="4" t="s">
        <v>1239</v>
      </c>
      <c r="B828" s="1" t="s">
        <v>3661</v>
      </c>
      <c r="C828" s="11">
        <v>45036</v>
      </c>
      <c r="D828" s="11" t="s">
        <v>5258</v>
      </c>
      <c r="E828" s="1" t="s">
        <v>21</v>
      </c>
      <c r="F828" s="1" t="s">
        <v>5271</v>
      </c>
      <c r="G828" s="6">
        <f>COUNTIF(F:F,Table2[[#This Row],[Form '#]])</f>
        <v>1</v>
      </c>
      <c r="H828" s="1" t="s">
        <v>5272</v>
      </c>
      <c r="I828" s="1" t="s">
        <v>127</v>
      </c>
      <c r="J828" s="1" t="s">
        <v>74</v>
      </c>
      <c r="K828" s="1" t="s">
        <v>3883</v>
      </c>
      <c r="L828" s="1"/>
      <c r="M828" s="6" t="str">
        <f>IF(Table2[[#This Row],[Corrected Form '#
 (If Duplicated)]]="",Table2[[#This Row],[Form '#]],Table2[[#This Row],[Corrected Form '#
 (If Duplicated)]])</f>
        <v>7818-29758</v>
      </c>
      <c r="N828" s="1" t="s">
        <v>49</v>
      </c>
      <c r="O828" s="6" t="str">
        <f>IF(Table2[[#This Row],[POG CONFIRMATION RECEIPT OF ORDER
(DATE &amp; TIME)]]="","No Confirmation","Received Confirmation")</f>
        <v>Received Confirmation</v>
      </c>
      <c r="P828" s="6">
        <f ca="1">TODAY()-Table2[[#This Row],[DATE SENT TO POG]]</f>
        <v>267</v>
      </c>
      <c r="Q828" s="6" t="s">
        <v>5803</v>
      </c>
      <c r="R8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8" s="2" t="str">
        <f>_xlfn.XLOOKUP(Table2[[#This Row],[Adjusted Form '#]],'[2]IN PROGRESS'!$D:$D,'[2]IN PROGRESS'!$M:$M,"Not Found")</f>
        <v>Not Found</v>
      </c>
      <c r="U828" s="2" t="str">
        <f>_xlfn.XLOOKUP(Table2[[#This Row],[Adjusted Form '#]],[1]COMPLETED!$D:$D,[2]COMPLETED!$M:$M,"Not Found")</f>
        <v>Not Found</v>
      </c>
      <c r="V828" s="17" t="str">
        <f>_xlfn.XLOOKUP(Table2[[#This Row],[Adjusted Form '#]],[2]COMPLETED!$D:$D,[2]COMPLETED!$O:$O,"Not Found")</f>
        <v>Not Found</v>
      </c>
      <c r="W828" s="2" t="str">
        <f>_xlfn.XLOOKUP(Table2[[#This Row],[Adjusted Form '#]],[2]BILLED!$D:$D,[2]BILLED!$M:$M,"Not Found")</f>
        <v>1Z5063E0YW41362877</v>
      </c>
      <c r="X828" s="17" t="e">
        <f>_xlfn.XLOOKUP(Table2[[#This Row],[Adjusted Form '#]],[2]BILLED!$D:$D,[1]BILLED!$O:$O,"Not Found")</f>
        <v>#REF!</v>
      </c>
      <c r="Y828" s="17" t="e">
        <f>_xlfn.XLOOKUP(Table2[[#This Row],[Adjusted Form '#]],'[2]REJECTED ORDERS'!$D:$D,'[2]REJECTED ORDERS'!$E:$E)</f>
        <v>#N/A</v>
      </c>
      <c r="Z828" s="1"/>
      <c r="AA828" s="1"/>
      <c r="AB828" s="8"/>
      <c r="AC828" s="8"/>
      <c r="AD828" s="8"/>
      <c r="AE828" s="8"/>
      <c r="AF828" s="8"/>
      <c r="AG828" s="8"/>
      <c r="AH828" s="8"/>
      <c r="AI828" s="8"/>
      <c r="AJ828" s="8"/>
    </row>
    <row r="829" spans="1:36" ht="15" customHeight="1" x14ac:dyDescent="0.35">
      <c r="A829" s="4" t="s">
        <v>1241</v>
      </c>
      <c r="B829" s="1" t="s">
        <v>3661</v>
      </c>
      <c r="C829" s="11">
        <v>45036</v>
      </c>
      <c r="D829" s="11" t="s">
        <v>5258</v>
      </c>
      <c r="E829" s="1" t="s">
        <v>21</v>
      </c>
      <c r="F829" s="1" t="s">
        <v>5273</v>
      </c>
      <c r="G829" s="6">
        <f>COUNTIF(F:F,Table2[[#This Row],[Form '#]])</f>
        <v>1</v>
      </c>
      <c r="H829" s="1" t="s">
        <v>1256</v>
      </c>
      <c r="I829" s="1" t="s">
        <v>177</v>
      </c>
      <c r="J829" s="1" t="s">
        <v>75</v>
      </c>
      <c r="K829" s="1" t="s">
        <v>3853</v>
      </c>
      <c r="L829" s="1"/>
      <c r="M829" s="6" t="str">
        <f>IF(Table2[[#This Row],[Corrected Form '#
 (If Duplicated)]]="",Table2[[#This Row],[Form '#]],Table2[[#This Row],[Corrected Form '#
 (If Duplicated)]])</f>
        <v>7818-22686</v>
      </c>
      <c r="N829" s="1" t="s">
        <v>49</v>
      </c>
      <c r="O829" s="6" t="str">
        <f>IF(Table2[[#This Row],[POG CONFIRMATION RECEIPT OF ORDER
(DATE &amp; TIME)]]="","No Confirmation","Received Confirmation")</f>
        <v>Received Confirmation</v>
      </c>
      <c r="P829" s="6">
        <f ca="1">TODAY()-Table2[[#This Row],[DATE SENT TO POG]]</f>
        <v>267</v>
      </c>
      <c r="Q829" s="6" t="s">
        <v>5803</v>
      </c>
      <c r="R8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29" s="2" t="str">
        <f>_xlfn.XLOOKUP(Table2[[#This Row],[Adjusted Form '#]],'[2]IN PROGRESS'!$D:$D,'[2]IN PROGRESS'!$M:$M,"Not Found")</f>
        <v>Not Found</v>
      </c>
      <c r="U829" s="2" t="str">
        <f>_xlfn.XLOOKUP(Table2[[#This Row],[Adjusted Form '#]],[1]COMPLETED!$D:$D,[2]COMPLETED!$M:$M,"Not Found")</f>
        <v>Not Found</v>
      </c>
      <c r="V829" s="17" t="str">
        <f>_xlfn.XLOOKUP(Table2[[#This Row],[Adjusted Form '#]],[2]COMPLETED!$D:$D,[2]COMPLETED!$O:$O,"Not Found")</f>
        <v>Not Found</v>
      </c>
      <c r="W829" s="2" t="str">
        <f>_xlfn.XLOOKUP(Table2[[#This Row],[Adjusted Form '#]],[2]BILLED!$D:$D,[2]BILLED!$M:$M,"Not Found")</f>
        <v>9400 1112 0620 9507 4313 84</v>
      </c>
      <c r="X829" s="17" t="e">
        <f>_xlfn.XLOOKUP(Table2[[#This Row],[Adjusted Form '#]],[2]BILLED!$D:$D,[1]BILLED!$O:$O,"Not Found")</f>
        <v>#REF!</v>
      </c>
      <c r="Y829" s="17" t="str">
        <f>_xlfn.XLOOKUP(Table2[[#This Row],[Adjusted Form '#]],'[2]REJECTED ORDERS'!$D:$D,'[2]REJECTED ORDERS'!$E:$E)</f>
        <v>FORM NOT SIGNED</v>
      </c>
      <c r="Z829" s="1"/>
      <c r="AA829" s="1"/>
      <c r="AB829" s="8"/>
      <c r="AC829" s="8"/>
      <c r="AD829" s="8"/>
      <c r="AE829" s="8"/>
      <c r="AF829" s="8"/>
      <c r="AG829" s="8"/>
      <c r="AH829" s="8"/>
      <c r="AI829" s="8"/>
      <c r="AJ829" s="8"/>
    </row>
    <row r="830" spans="1:36" ht="15" customHeight="1" x14ac:dyDescent="0.35">
      <c r="A830" s="4" t="s">
        <v>1244</v>
      </c>
      <c r="B830" s="1" t="s">
        <v>3661</v>
      </c>
      <c r="C830" s="11">
        <v>45036</v>
      </c>
      <c r="D830" s="11" t="s">
        <v>5258</v>
      </c>
      <c r="E830" s="1" t="s">
        <v>21</v>
      </c>
      <c r="F830" s="1" t="s">
        <v>5274</v>
      </c>
      <c r="G830" s="6">
        <f>COUNTIF(F:F,Table2[[#This Row],[Form '#]])</f>
        <v>1</v>
      </c>
      <c r="H830" s="1" t="s">
        <v>3536</v>
      </c>
      <c r="I830" s="1" t="s">
        <v>3852</v>
      </c>
      <c r="J830" s="1" t="s">
        <v>75</v>
      </c>
      <c r="K830" s="1" t="s">
        <v>4011</v>
      </c>
      <c r="L830" s="1"/>
      <c r="M830" s="6" t="str">
        <f>IF(Table2[[#This Row],[Corrected Form '#
 (If Duplicated)]]="",Table2[[#This Row],[Form '#]],Table2[[#This Row],[Corrected Form '#
 (If Duplicated)]])</f>
        <v>7818-18882</v>
      </c>
      <c r="N830" s="1" t="s">
        <v>49</v>
      </c>
      <c r="O830" s="6" t="str">
        <f>IF(Table2[[#This Row],[POG CONFIRMATION RECEIPT OF ORDER
(DATE &amp; TIME)]]="","No Confirmation","Received Confirmation")</f>
        <v>Received Confirmation</v>
      </c>
      <c r="P830" s="6">
        <f ca="1">TODAY()-Table2[[#This Row],[DATE SENT TO POG]]</f>
        <v>267</v>
      </c>
      <c r="Q830" s="6" t="s">
        <v>5803</v>
      </c>
      <c r="R8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0" s="2" t="str">
        <f>_xlfn.XLOOKUP(Table2[[#This Row],[Adjusted Form '#]],'[2]IN PROGRESS'!$D:$D,'[2]IN PROGRESS'!$M:$M,"Not Found")</f>
        <v>Not Found</v>
      </c>
      <c r="U830" s="2" t="str">
        <f>_xlfn.XLOOKUP(Table2[[#This Row],[Adjusted Form '#]],[1]COMPLETED!$D:$D,[2]COMPLETED!$M:$M,"Not Found")</f>
        <v>Not Found</v>
      </c>
      <c r="V830" s="17" t="str">
        <f>_xlfn.XLOOKUP(Table2[[#This Row],[Adjusted Form '#]],[2]COMPLETED!$D:$D,[2]COMPLETED!$O:$O,"Not Found")</f>
        <v>Not Found</v>
      </c>
      <c r="W830" s="2" t="str">
        <f>_xlfn.XLOOKUP(Table2[[#This Row],[Adjusted Form '#]],[2]BILLED!$D:$D,[2]BILLED!$M:$M,"Not Found")</f>
        <v>1Z5063E0YW41585645</v>
      </c>
      <c r="X830" s="17" t="e">
        <f>_xlfn.XLOOKUP(Table2[[#This Row],[Adjusted Form '#]],[2]BILLED!$D:$D,[1]BILLED!$O:$O,"Not Found")</f>
        <v>#REF!</v>
      </c>
      <c r="Y830" s="17" t="e">
        <f>_xlfn.XLOOKUP(Table2[[#This Row],[Adjusted Form '#]],'[2]REJECTED ORDERS'!$D:$D,'[2]REJECTED ORDERS'!$E:$E)</f>
        <v>#N/A</v>
      </c>
      <c r="Z830" s="1"/>
      <c r="AA830" s="1"/>
      <c r="AB830" s="8"/>
      <c r="AC830" s="8"/>
      <c r="AD830" s="8"/>
      <c r="AE830" s="8"/>
      <c r="AF830" s="8"/>
      <c r="AG830" s="8"/>
      <c r="AH830" s="8"/>
      <c r="AI830" s="8"/>
      <c r="AJ830" s="8"/>
    </row>
    <row r="831" spans="1:36" ht="15" customHeight="1" x14ac:dyDescent="0.35">
      <c r="A831" s="4" t="s">
        <v>1246</v>
      </c>
      <c r="B831" s="1" t="s">
        <v>3661</v>
      </c>
      <c r="C831" s="11">
        <v>45036</v>
      </c>
      <c r="D831" s="11" t="s">
        <v>5258</v>
      </c>
      <c r="E831" s="1" t="s">
        <v>21</v>
      </c>
      <c r="F831" s="1" t="s">
        <v>5275</v>
      </c>
      <c r="G831" s="6">
        <f>COUNTIF(F:F,Table2[[#This Row],[Form '#]])</f>
        <v>1</v>
      </c>
      <c r="H831" s="1" t="s">
        <v>301</v>
      </c>
      <c r="I831" s="1" t="s">
        <v>3852</v>
      </c>
      <c r="J831" s="1" t="s">
        <v>3891</v>
      </c>
      <c r="K831" s="1" t="s">
        <v>3853</v>
      </c>
      <c r="L831" s="1"/>
      <c r="M831" s="6" t="str">
        <f>IF(Table2[[#This Row],[Corrected Form '#
 (If Duplicated)]]="",Table2[[#This Row],[Form '#]],Table2[[#This Row],[Corrected Form '#
 (If Duplicated)]])</f>
        <v>7818-07647</v>
      </c>
      <c r="N831" s="1" t="s">
        <v>49</v>
      </c>
      <c r="O831" s="6" t="str">
        <f>IF(Table2[[#This Row],[POG CONFIRMATION RECEIPT OF ORDER
(DATE &amp; TIME)]]="","No Confirmation","Received Confirmation")</f>
        <v>Received Confirmation</v>
      </c>
      <c r="P831" s="6">
        <f ca="1">TODAY()-Table2[[#This Row],[DATE SENT TO POG]]</f>
        <v>267</v>
      </c>
      <c r="Q831" s="6" t="s">
        <v>5803</v>
      </c>
      <c r="R8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1" s="2" t="str">
        <f>_xlfn.XLOOKUP(Table2[[#This Row],[Adjusted Form '#]],'[2]IN PROGRESS'!$D:$D,'[2]IN PROGRESS'!$M:$M,"Not Found")</f>
        <v>Not Found</v>
      </c>
      <c r="U831" s="2" t="str">
        <f>_xlfn.XLOOKUP(Table2[[#This Row],[Adjusted Form '#]],[1]COMPLETED!$D:$D,[2]COMPLETED!$M:$M,"Not Found")</f>
        <v>Not Found</v>
      </c>
      <c r="V831" s="17" t="str">
        <f>_xlfn.XLOOKUP(Table2[[#This Row],[Adjusted Form '#]],[2]COMPLETED!$D:$D,[2]COMPLETED!$O:$O,"Not Found")</f>
        <v>Not Found</v>
      </c>
      <c r="W831" s="2" t="str">
        <f>_xlfn.XLOOKUP(Table2[[#This Row],[Adjusted Form '#]],[2]BILLED!$D:$D,[2]BILLED!$M:$M,"Not Found")</f>
        <v>1Z5063E0YW41371287</v>
      </c>
      <c r="X831" s="17" t="e">
        <f>_xlfn.XLOOKUP(Table2[[#This Row],[Adjusted Form '#]],[2]BILLED!$D:$D,[1]BILLED!$O:$O,"Not Found")</f>
        <v>#REF!</v>
      </c>
      <c r="Y831" s="17" t="e">
        <f>_xlfn.XLOOKUP(Table2[[#This Row],[Adjusted Form '#]],'[2]REJECTED ORDERS'!$D:$D,'[2]REJECTED ORDERS'!$E:$E)</f>
        <v>#N/A</v>
      </c>
      <c r="Z831" s="1"/>
      <c r="AA831" s="1"/>
      <c r="AB831" s="8"/>
      <c r="AC831" s="8"/>
      <c r="AD831" s="8"/>
      <c r="AE831" s="8"/>
      <c r="AF831" s="8"/>
      <c r="AG831" s="8"/>
      <c r="AH831" s="8"/>
      <c r="AI831" s="8"/>
      <c r="AJ831" s="8"/>
    </row>
    <row r="832" spans="1:36" ht="15" customHeight="1" x14ac:dyDescent="0.35">
      <c r="A832" s="4" t="s">
        <v>1247</v>
      </c>
      <c r="B832" s="1" t="s">
        <v>1652</v>
      </c>
      <c r="C832" s="11">
        <v>45036</v>
      </c>
      <c r="D832" s="11" t="s">
        <v>5276</v>
      </c>
      <c r="E832" s="1" t="s">
        <v>73</v>
      </c>
      <c r="F832" s="1" t="s">
        <v>5277</v>
      </c>
      <c r="G832" s="6">
        <f>COUNTIF(F:F,Table2[[#This Row],[Form '#]])</f>
        <v>1</v>
      </c>
      <c r="H832" s="1" t="s">
        <v>5278</v>
      </c>
      <c r="I832" s="1" t="s">
        <v>177</v>
      </c>
      <c r="J832" s="1" t="s">
        <v>75</v>
      </c>
      <c r="K832" s="1" t="s">
        <v>4011</v>
      </c>
      <c r="L832" s="1"/>
      <c r="M832" s="6" t="str">
        <f>IF(Table2[[#This Row],[Corrected Form '#
 (If Duplicated)]]="",Table2[[#This Row],[Form '#]],Table2[[#This Row],[Corrected Form '#
 (If Duplicated)]])</f>
        <v>7823-01535</v>
      </c>
      <c r="N832" s="1" t="s">
        <v>49</v>
      </c>
      <c r="O832" s="6" t="str">
        <f>IF(Table2[[#This Row],[POG CONFIRMATION RECEIPT OF ORDER
(DATE &amp; TIME)]]="","No Confirmation","Received Confirmation")</f>
        <v>Received Confirmation</v>
      </c>
      <c r="P832" s="6">
        <f ca="1">TODAY()-Table2[[#This Row],[DATE SENT TO POG]]</f>
        <v>267</v>
      </c>
      <c r="Q832" s="6" t="s">
        <v>5803</v>
      </c>
      <c r="R8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2" s="2" t="str">
        <f>_xlfn.XLOOKUP(Table2[[#This Row],[Adjusted Form '#]],'[2]IN PROGRESS'!$D:$D,'[2]IN PROGRESS'!$M:$M,"Not Found")</f>
        <v>Not Found</v>
      </c>
      <c r="U832" s="2" t="str">
        <f>_xlfn.XLOOKUP(Table2[[#This Row],[Adjusted Form '#]],[1]COMPLETED!$D:$D,[2]COMPLETED!$M:$M,"Not Found")</f>
        <v>Not Found</v>
      </c>
      <c r="V832" s="17" t="str">
        <f>_xlfn.XLOOKUP(Table2[[#This Row],[Adjusted Form '#]],[2]COMPLETED!$D:$D,[2]COMPLETED!$O:$O,"Not Found")</f>
        <v>Not Found</v>
      </c>
      <c r="W832" s="2" t="str">
        <f>_xlfn.XLOOKUP(Table2[[#This Row],[Adjusted Form '#]],[2]BILLED!$D:$D,[2]BILLED!$M:$M,"Not Found")</f>
        <v>1Z5063E0YT40972957</v>
      </c>
      <c r="X832" s="17" t="e">
        <f>_xlfn.XLOOKUP(Table2[[#This Row],[Adjusted Form '#]],[2]BILLED!$D:$D,[1]BILLED!$O:$O,"Not Found")</f>
        <v>#REF!</v>
      </c>
      <c r="Y832" s="17" t="str">
        <f>_xlfn.XLOOKUP(Table2[[#This Row],[Adjusted Form '#]],'[2]REJECTED ORDERS'!$D:$D,'[2]REJECTED ORDERS'!$E:$E)</f>
        <v>FORM NUMBER ALREADY USED</v>
      </c>
      <c r="Z832" s="1"/>
      <c r="AA832" s="1"/>
      <c r="AB832" s="8"/>
      <c r="AC832" s="8"/>
      <c r="AD832" s="8"/>
      <c r="AE832" s="8"/>
      <c r="AF832" s="8"/>
      <c r="AG832" s="8"/>
      <c r="AH832" s="8"/>
      <c r="AI832" s="8"/>
      <c r="AJ832" s="8"/>
    </row>
    <row r="833" spans="1:36" ht="15" customHeight="1" x14ac:dyDescent="0.35">
      <c r="A833" s="4" t="s">
        <v>1248</v>
      </c>
      <c r="B833" s="1" t="s">
        <v>3225</v>
      </c>
      <c r="C833" s="11">
        <v>45036</v>
      </c>
      <c r="E833" s="1" t="s">
        <v>21</v>
      </c>
      <c r="F833" s="1" t="s">
        <v>5279</v>
      </c>
      <c r="G833" s="6">
        <f>COUNTIF(F:F,Table2[[#This Row],[Form '#]])</f>
        <v>1</v>
      </c>
      <c r="H833" s="1" t="s">
        <v>288</v>
      </c>
      <c r="I833" s="1" t="s">
        <v>3864</v>
      </c>
      <c r="J833" s="1" t="s">
        <v>78</v>
      </c>
      <c r="K833" s="1" t="s">
        <v>3879</v>
      </c>
      <c r="L833" s="1"/>
      <c r="M833" s="6" t="str">
        <f>IF(Table2[[#This Row],[Corrected Form '#
 (If Duplicated)]]="",Table2[[#This Row],[Form '#]],Table2[[#This Row],[Corrected Form '#
 (If Duplicated)]])</f>
        <v>7818-29421</v>
      </c>
      <c r="N833" s="1" t="s">
        <v>49</v>
      </c>
      <c r="O833" s="6" t="str">
        <f>IF(Table2[[#This Row],[POG CONFIRMATION RECEIPT OF ORDER
(DATE &amp; TIME)]]="","No Confirmation","Received Confirmation")</f>
        <v>No Confirmation</v>
      </c>
      <c r="P833" s="6">
        <f ca="1">TODAY()-Table2[[#This Row],[DATE SENT TO POG]]</f>
        <v>267</v>
      </c>
      <c r="Q833" s="6" t="s">
        <v>5803</v>
      </c>
      <c r="R8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3" s="2" t="str">
        <f>_xlfn.XLOOKUP(Table2[[#This Row],[Adjusted Form '#]],'[2]IN PROGRESS'!$D:$D,'[2]IN PROGRESS'!$M:$M,"Not Found")</f>
        <v>Not Found</v>
      </c>
      <c r="U833" s="2" t="str">
        <f>_xlfn.XLOOKUP(Table2[[#This Row],[Adjusted Form '#]],[1]COMPLETED!$D:$D,[2]COMPLETED!$M:$M,"Not Found")</f>
        <v>Not Found</v>
      </c>
      <c r="V833" s="17" t="str">
        <f>_xlfn.XLOOKUP(Table2[[#This Row],[Adjusted Form '#]],[2]COMPLETED!$D:$D,[2]COMPLETED!$O:$O,"Not Found")</f>
        <v>Not Found</v>
      </c>
      <c r="W833" s="2" t="str">
        <f>_xlfn.XLOOKUP(Table2[[#This Row],[Adjusted Form '#]],[2]BILLED!$D:$D,[2]BILLED!$M:$M,"Not Found")</f>
        <v>9400 1112 0620 7226 6997 57</v>
      </c>
      <c r="X833" s="17" t="e">
        <f>_xlfn.XLOOKUP(Table2[[#This Row],[Adjusted Form '#]],[2]BILLED!$D:$D,[1]BILLED!$O:$O,"Not Found")</f>
        <v>#REF!</v>
      </c>
      <c r="Y833" s="17" t="e">
        <f>_xlfn.XLOOKUP(Table2[[#This Row],[Adjusted Form '#]],'[2]REJECTED ORDERS'!$D:$D,'[2]REJECTED ORDERS'!$E:$E)</f>
        <v>#N/A</v>
      </c>
      <c r="Z833" s="1"/>
      <c r="AA833" s="1"/>
      <c r="AB833" s="8"/>
      <c r="AC833" s="8"/>
      <c r="AD833" s="8"/>
      <c r="AE833" s="8"/>
      <c r="AF833" s="8"/>
      <c r="AG833" s="8"/>
      <c r="AH833" s="8"/>
      <c r="AI833" s="8"/>
      <c r="AJ833" s="8"/>
    </row>
    <row r="834" spans="1:36" ht="15" customHeight="1" x14ac:dyDescent="0.35">
      <c r="A834" s="4" t="s">
        <v>8220</v>
      </c>
      <c r="B834" s="1" t="s">
        <v>1041</v>
      </c>
      <c r="C834" s="11">
        <v>45036</v>
      </c>
      <c r="E834" s="1" t="s">
        <v>21</v>
      </c>
      <c r="F834" s="1" t="s">
        <v>5280</v>
      </c>
      <c r="G834" s="6">
        <f>COUNTIF(F:F,Table2[[#This Row],[Form '#]])</f>
        <v>1</v>
      </c>
      <c r="H834" s="1" t="s">
        <v>4249</v>
      </c>
      <c r="I834" s="1" t="s">
        <v>127</v>
      </c>
      <c r="J834" s="1" t="s">
        <v>76</v>
      </c>
      <c r="K834" s="1" t="s">
        <v>4011</v>
      </c>
      <c r="L834" s="1"/>
      <c r="M834" s="6" t="str">
        <f>IF(Table2[[#This Row],[Corrected Form '#
 (If Duplicated)]]="",Table2[[#This Row],[Form '#]],Table2[[#This Row],[Corrected Form '#
 (If Duplicated)]])</f>
        <v>7818-29422</v>
      </c>
      <c r="N834" s="1" t="s">
        <v>5281</v>
      </c>
      <c r="O834" s="6" t="str">
        <f>IF(Table2[[#This Row],[POG CONFIRMATION RECEIPT OF ORDER
(DATE &amp; TIME)]]="","No Confirmation","Received Confirmation")</f>
        <v>No Confirmation</v>
      </c>
      <c r="P834" s="6">
        <f ca="1">TODAY()-Table2[[#This Row],[DATE SENT TO POG]]</f>
        <v>267</v>
      </c>
      <c r="Q834" s="6" t="s">
        <v>5803</v>
      </c>
      <c r="R8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4" s="2" t="str">
        <f>_xlfn.XLOOKUP(Table2[[#This Row],[Adjusted Form '#]],'[2]IN PROGRESS'!$D:$D,'[2]IN PROGRESS'!$M:$M,"Not Found")</f>
        <v>Not Found</v>
      </c>
      <c r="U834" s="2" t="str">
        <f>_xlfn.XLOOKUP(Table2[[#This Row],[Adjusted Form '#]],[1]COMPLETED!$D:$D,[2]COMPLETED!$M:$M,"Not Found")</f>
        <v>Not Found</v>
      </c>
      <c r="V834" s="17" t="str">
        <f>_xlfn.XLOOKUP(Table2[[#This Row],[Adjusted Form '#]],[2]COMPLETED!$D:$D,[2]COMPLETED!$O:$O,"Not Found")</f>
        <v>Not Found</v>
      </c>
      <c r="W834" s="2" t="str">
        <f>_xlfn.XLOOKUP(Table2[[#This Row],[Adjusted Form '#]],[2]BILLED!$D:$D,[2]BILLED!$M:$M,"Not Found")</f>
        <v>9402 1112 0620 7209 4902 56</v>
      </c>
      <c r="X834" s="17" t="e">
        <f>_xlfn.XLOOKUP(Table2[[#This Row],[Adjusted Form '#]],[2]BILLED!$D:$D,[1]BILLED!$O:$O,"Not Found")</f>
        <v>#REF!</v>
      </c>
      <c r="Y834" s="17" t="e">
        <f>_xlfn.XLOOKUP(Table2[[#This Row],[Adjusted Form '#]],'[2]REJECTED ORDERS'!$D:$D,'[2]REJECTED ORDERS'!$E:$E)</f>
        <v>#N/A</v>
      </c>
      <c r="Z834" s="1"/>
      <c r="AA834" s="1"/>
      <c r="AB834" s="8"/>
      <c r="AC834" s="8"/>
      <c r="AD834" s="8"/>
      <c r="AE834" s="8"/>
      <c r="AF834" s="8"/>
      <c r="AG834" s="8"/>
      <c r="AH834" s="8"/>
      <c r="AI834" s="8"/>
      <c r="AJ834" s="8"/>
    </row>
    <row r="835" spans="1:36" ht="15" customHeight="1" x14ac:dyDescent="0.35">
      <c r="A835" s="4" t="s">
        <v>8221</v>
      </c>
      <c r="B835" s="1" t="s">
        <v>584</v>
      </c>
      <c r="C835" s="11">
        <v>45036</v>
      </c>
      <c r="D835" s="11" t="s">
        <v>5282</v>
      </c>
      <c r="E835" s="1" t="s">
        <v>21</v>
      </c>
      <c r="F835" s="1" t="s">
        <v>5283</v>
      </c>
      <c r="G835" s="6">
        <f>COUNTIF(F:F,Table2[[#This Row],[Form '#]])</f>
        <v>1</v>
      </c>
      <c r="H835" s="1" t="s">
        <v>5284</v>
      </c>
      <c r="I835" s="1" t="s">
        <v>3864</v>
      </c>
      <c r="J835" s="1" t="s">
        <v>78</v>
      </c>
      <c r="K835" s="1" t="s">
        <v>3879</v>
      </c>
      <c r="L835" s="1"/>
      <c r="M835" s="6" t="str">
        <f>IF(Table2[[#This Row],[Corrected Form '#
 (If Duplicated)]]="",Table2[[#This Row],[Form '#]],Table2[[#This Row],[Corrected Form '#
 (If Duplicated)]])</f>
        <v>7818-18311</v>
      </c>
      <c r="N835" s="1" t="s">
        <v>49</v>
      </c>
      <c r="O835" s="6" t="str">
        <f>IF(Table2[[#This Row],[POG CONFIRMATION RECEIPT OF ORDER
(DATE &amp; TIME)]]="","No Confirmation","Received Confirmation")</f>
        <v>Received Confirmation</v>
      </c>
      <c r="P835" s="6">
        <f ca="1">TODAY()-Table2[[#This Row],[DATE SENT TO POG]]</f>
        <v>267</v>
      </c>
      <c r="Q835" s="6" t="s">
        <v>5803</v>
      </c>
      <c r="R8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5" s="2" t="str">
        <f>_xlfn.XLOOKUP(Table2[[#This Row],[Adjusted Form '#]],'[2]IN PROGRESS'!$D:$D,'[2]IN PROGRESS'!$M:$M,"Not Found")</f>
        <v>Not Found</v>
      </c>
      <c r="U835" s="2" t="str">
        <f>_xlfn.XLOOKUP(Table2[[#This Row],[Adjusted Form '#]],[1]COMPLETED!$D:$D,[2]COMPLETED!$M:$M,"Not Found")</f>
        <v>Not Found</v>
      </c>
      <c r="V835" s="17" t="str">
        <f>_xlfn.XLOOKUP(Table2[[#This Row],[Adjusted Form '#]],[2]COMPLETED!$D:$D,[2]COMPLETED!$O:$O,"Not Found")</f>
        <v>Not Found</v>
      </c>
      <c r="W835" s="2" t="str">
        <f>_xlfn.XLOOKUP(Table2[[#This Row],[Adjusted Form '#]],[2]BILLED!$D:$D,[2]BILLED!$M:$M,"Not Found")</f>
        <v>1Z5063E0YW41366140</v>
      </c>
      <c r="X835" s="17" t="e">
        <f>_xlfn.XLOOKUP(Table2[[#This Row],[Adjusted Form '#]],[2]BILLED!$D:$D,[1]BILLED!$O:$O,"Not Found")</f>
        <v>#REF!</v>
      </c>
      <c r="Y835" s="17" t="e">
        <f>_xlfn.XLOOKUP(Table2[[#This Row],[Adjusted Form '#]],'[2]REJECTED ORDERS'!$D:$D,'[2]REJECTED ORDERS'!$E:$E)</f>
        <v>#N/A</v>
      </c>
      <c r="Z835" s="1"/>
      <c r="AA835" s="1"/>
      <c r="AB835" s="8"/>
      <c r="AC835" s="8"/>
      <c r="AD835" s="8"/>
      <c r="AE835" s="8"/>
      <c r="AF835" s="8"/>
      <c r="AG835" s="8"/>
      <c r="AH835" s="8"/>
      <c r="AI835" s="8"/>
      <c r="AJ835" s="8"/>
    </row>
    <row r="836" spans="1:36" ht="15" customHeight="1" x14ac:dyDescent="0.35">
      <c r="A836" s="4" t="s">
        <v>8222</v>
      </c>
      <c r="B836" s="1" t="s">
        <v>2679</v>
      </c>
      <c r="C836" s="11">
        <v>45036</v>
      </c>
      <c r="D836" s="11" t="s">
        <v>5285</v>
      </c>
      <c r="E836" s="1" t="s">
        <v>21</v>
      </c>
      <c r="F836" s="1" t="s">
        <v>5286</v>
      </c>
      <c r="G836" s="6">
        <f>COUNTIF(F:F,Table2[[#This Row],[Form '#]])</f>
        <v>1</v>
      </c>
      <c r="H836" s="1" t="s">
        <v>588</v>
      </c>
      <c r="I836" s="1" t="s">
        <v>28</v>
      </c>
      <c r="J836" s="1" t="s">
        <v>69</v>
      </c>
      <c r="K836" s="1" t="s">
        <v>4011</v>
      </c>
      <c r="L836" s="1"/>
      <c r="M836" s="6" t="str">
        <f>IF(Table2[[#This Row],[Corrected Form '#
 (If Duplicated)]]="",Table2[[#This Row],[Form '#]],Table2[[#This Row],[Corrected Form '#
 (If Duplicated)]])</f>
        <v>7818-21578</v>
      </c>
      <c r="N836" s="1" t="s">
        <v>49</v>
      </c>
      <c r="O836" s="6" t="str">
        <f>IF(Table2[[#This Row],[POG CONFIRMATION RECEIPT OF ORDER
(DATE &amp; TIME)]]="","No Confirmation","Received Confirmation")</f>
        <v>Received Confirmation</v>
      </c>
      <c r="P836" s="6">
        <f ca="1">TODAY()-Table2[[#This Row],[DATE SENT TO POG]]</f>
        <v>267</v>
      </c>
      <c r="Q836" s="6" t="s">
        <v>5803</v>
      </c>
      <c r="R8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6" s="2" t="str">
        <f>_xlfn.XLOOKUP(Table2[[#This Row],[Adjusted Form '#]],'[2]IN PROGRESS'!$D:$D,'[2]IN PROGRESS'!$M:$M,"Not Found")</f>
        <v>Not Found</v>
      </c>
      <c r="U836" s="2" t="str">
        <f>_xlfn.XLOOKUP(Table2[[#This Row],[Adjusted Form '#]],[1]COMPLETED!$D:$D,[2]COMPLETED!$M:$M,"Not Found")</f>
        <v>Not Found</v>
      </c>
      <c r="V836" s="17" t="str">
        <f>_xlfn.XLOOKUP(Table2[[#This Row],[Adjusted Form '#]],[2]COMPLETED!$D:$D,[2]COMPLETED!$O:$O,"Not Found")</f>
        <v>Not Found</v>
      </c>
      <c r="W836" s="2" t="str">
        <f>_xlfn.XLOOKUP(Table2[[#This Row],[Adjusted Form '#]],[2]BILLED!$D:$D,[2]BILLED!$M:$M,"Not Found")</f>
        <v>1Z5063E0YW41882592</v>
      </c>
      <c r="X836" s="17" t="e">
        <f>_xlfn.XLOOKUP(Table2[[#This Row],[Adjusted Form '#]],[2]BILLED!$D:$D,[1]BILLED!$O:$O,"Not Found")</f>
        <v>#REF!</v>
      </c>
      <c r="Y836" s="17" t="e">
        <f>_xlfn.XLOOKUP(Table2[[#This Row],[Adjusted Form '#]],'[2]REJECTED ORDERS'!$D:$D,'[2]REJECTED ORDERS'!$E:$E)</f>
        <v>#N/A</v>
      </c>
      <c r="Z836" s="1"/>
      <c r="AA836" s="1"/>
      <c r="AB836" s="8"/>
      <c r="AC836" s="8"/>
      <c r="AD836" s="8"/>
      <c r="AE836" s="8"/>
      <c r="AF836" s="8"/>
      <c r="AG836" s="8"/>
      <c r="AH836" s="8"/>
      <c r="AI836" s="8"/>
      <c r="AJ836" s="8"/>
    </row>
    <row r="837" spans="1:36" ht="15" customHeight="1" x14ac:dyDescent="0.35">
      <c r="A837" s="4" t="s">
        <v>8223</v>
      </c>
      <c r="B837" s="1" t="s">
        <v>4562</v>
      </c>
      <c r="C837" s="11">
        <v>45036</v>
      </c>
      <c r="D837" s="11" t="s">
        <v>5287</v>
      </c>
      <c r="E837" s="1" t="s">
        <v>21</v>
      </c>
      <c r="F837" s="1" t="s">
        <v>5288</v>
      </c>
      <c r="G837" s="6">
        <f>COUNTIF(F:F,Table2[[#This Row],[Form '#]])</f>
        <v>2</v>
      </c>
      <c r="H837" s="1" t="s">
        <v>365</v>
      </c>
      <c r="I837" s="1" t="s">
        <v>106</v>
      </c>
      <c r="J837" s="1" t="s">
        <v>72</v>
      </c>
      <c r="K837" s="1" t="s">
        <v>3891</v>
      </c>
      <c r="L837" s="1"/>
      <c r="M837" s="6" t="str">
        <f>IF(Table2[[#This Row],[Corrected Form '#
 (If Duplicated)]]="",Table2[[#This Row],[Form '#]],Table2[[#This Row],[Corrected Form '#
 (If Duplicated)]])</f>
        <v>7818-26137</v>
      </c>
      <c r="N837" s="1" t="s">
        <v>49</v>
      </c>
      <c r="O837" s="6" t="str">
        <f>IF(Table2[[#This Row],[POG CONFIRMATION RECEIPT OF ORDER
(DATE &amp; TIME)]]="","No Confirmation","Received Confirmation")</f>
        <v>Received Confirmation</v>
      </c>
      <c r="P837" s="6">
        <f ca="1">TODAY()-Table2[[#This Row],[DATE SENT TO POG]]</f>
        <v>267</v>
      </c>
      <c r="Q837" s="6" t="s">
        <v>5803</v>
      </c>
      <c r="R8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7" s="2" t="str">
        <f>_xlfn.XLOOKUP(Table2[[#This Row],[Adjusted Form '#]],'[2]IN PROGRESS'!$D:$D,'[2]IN PROGRESS'!$M:$M,"Not Found")</f>
        <v>Not Found</v>
      </c>
      <c r="U837" s="2" t="str">
        <f>_xlfn.XLOOKUP(Table2[[#This Row],[Adjusted Form '#]],[1]COMPLETED!$D:$D,[2]COMPLETED!$M:$M,"Not Found")</f>
        <v>Not Found</v>
      </c>
      <c r="V837" s="17" t="str">
        <f>_xlfn.XLOOKUP(Table2[[#This Row],[Adjusted Form '#]],[2]COMPLETED!$D:$D,[2]COMPLETED!$O:$O,"Not Found")</f>
        <v>Not Found</v>
      </c>
      <c r="W837" s="2" t="str">
        <f>_xlfn.XLOOKUP(Table2[[#This Row],[Adjusted Form '#]],[2]BILLED!$D:$D,[2]BILLED!$M:$M,"Not Found")</f>
        <v>1Z5063E0YW41755498</v>
      </c>
      <c r="X837" s="17" t="e">
        <f>_xlfn.XLOOKUP(Table2[[#This Row],[Adjusted Form '#]],[2]BILLED!$D:$D,[1]BILLED!$O:$O,"Not Found")</f>
        <v>#REF!</v>
      </c>
      <c r="Y837" s="17" t="e">
        <f>_xlfn.XLOOKUP(Table2[[#This Row],[Adjusted Form '#]],'[2]REJECTED ORDERS'!$D:$D,'[2]REJECTED ORDERS'!$E:$E)</f>
        <v>#N/A</v>
      </c>
      <c r="Z837" s="1"/>
      <c r="AA837" s="1"/>
      <c r="AB837" s="8"/>
      <c r="AC837" s="8"/>
      <c r="AD837" s="8"/>
      <c r="AE837" s="8"/>
      <c r="AF837" s="8"/>
      <c r="AG837" s="8"/>
      <c r="AH837" s="8"/>
      <c r="AI837" s="8"/>
      <c r="AJ837" s="8"/>
    </row>
    <row r="838" spans="1:36" ht="15" customHeight="1" x14ac:dyDescent="0.35">
      <c r="A838" s="4" t="s">
        <v>1252</v>
      </c>
      <c r="B838" s="1" t="s">
        <v>4562</v>
      </c>
      <c r="C838" s="11">
        <v>45036</v>
      </c>
      <c r="D838" s="11" t="s">
        <v>5287</v>
      </c>
      <c r="E838" s="1" t="s">
        <v>21</v>
      </c>
      <c r="F838" s="1" t="s">
        <v>5289</v>
      </c>
      <c r="G838" s="6">
        <f>COUNTIF(F:F,Table2[[#This Row],[Form '#]])</f>
        <v>1</v>
      </c>
      <c r="H838" s="1" t="s">
        <v>5290</v>
      </c>
      <c r="I838" s="1" t="s">
        <v>3864</v>
      </c>
      <c r="J838" s="1" t="s">
        <v>78</v>
      </c>
      <c r="K838" s="1" t="s">
        <v>3879</v>
      </c>
      <c r="L838" s="1"/>
      <c r="M838" s="6" t="str">
        <f>IF(Table2[[#This Row],[Corrected Form '#
 (If Duplicated)]]="",Table2[[#This Row],[Form '#]],Table2[[#This Row],[Corrected Form '#
 (If Duplicated)]])</f>
        <v>7818-07391</v>
      </c>
      <c r="N838" s="1" t="s">
        <v>49</v>
      </c>
      <c r="O838" s="6" t="str">
        <f>IF(Table2[[#This Row],[POG CONFIRMATION RECEIPT OF ORDER
(DATE &amp; TIME)]]="","No Confirmation","Received Confirmation")</f>
        <v>Received Confirmation</v>
      </c>
      <c r="P838" s="6">
        <f ca="1">TODAY()-Table2[[#This Row],[DATE SENT TO POG]]</f>
        <v>267</v>
      </c>
      <c r="Q838" s="6" t="s">
        <v>5803</v>
      </c>
      <c r="R8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8" s="2" t="str">
        <f>_xlfn.XLOOKUP(Table2[[#This Row],[Adjusted Form '#]],'[2]IN PROGRESS'!$D:$D,'[2]IN PROGRESS'!$M:$M,"Not Found")</f>
        <v>Not Found</v>
      </c>
      <c r="U838" s="2" t="str">
        <f>_xlfn.XLOOKUP(Table2[[#This Row],[Adjusted Form '#]],[1]COMPLETED!$D:$D,[2]COMPLETED!$M:$M,"Not Found")</f>
        <v>Not Found</v>
      </c>
      <c r="V838" s="17" t="str">
        <f>_xlfn.XLOOKUP(Table2[[#This Row],[Adjusted Form '#]],[2]COMPLETED!$D:$D,[2]COMPLETED!$O:$O,"Not Found")</f>
        <v>Not Found</v>
      </c>
      <c r="W838" s="2" t="str">
        <f>_xlfn.XLOOKUP(Table2[[#This Row],[Adjusted Form '#]],[2]BILLED!$D:$D,[2]BILLED!$M:$M,"Not Found")</f>
        <v>1Z5063E0YW41930468</v>
      </c>
      <c r="X838" s="17" t="e">
        <f>_xlfn.XLOOKUP(Table2[[#This Row],[Adjusted Form '#]],[2]BILLED!$D:$D,[1]BILLED!$O:$O,"Not Found")</f>
        <v>#REF!</v>
      </c>
      <c r="Y838" s="17" t="e">
        <f>_xlfn.XLOOKUP(Table2[[#This Row],[Adjusted Form '#]],'[2]REJECTED ORDERS'!$D:$D,'[2]REJECTED ORDERS'!$E:$E)</f>
        <v>#N/A</v>
      </c>
      <c r="Z838" s="1"/>
      <c r="AA838" s="1"/>
      <c r="AB838" s="8"/>
      <c r="AC838" s="8"/>
      <c r="AD838" s="8"/>
      <c r="AE838" s="8"/>
      <c r="AF838" s="8"/>
      <c r="AG838" s="8"/>
      <c r="AH838" s="8"/>
      <c r="AI838" s="8"/>
      <c r="AJ838" s="8"/>
    </row>
    <row r="839" spans="1:36" ht="15" customHeight="1" x14ac:dyDescent="0.35">
      <c r="A839" s="4" t="s">
        <v>1254</v>
      </c>
      <c r="B839" s="1" t="s">
        <v>4562</v>
      </c>
      <c r="C839" s="11">
        <v>45036</v>
      </c>
      <c r="D839" s="11" t="s">
        <v>5287</v>
      </c>
      <c r="E839" s="1" t="s">
        <v>21</v>
      </c>
      <c r="F839" s="1" t="s">
        <v>5291</v>
      </c>
      <c r="G839" s="6">
        <f>COUNTIF(F:F,Table2[[#This Row],[Form '#]])</f>
        <v>1</v>
      </c>
      <c r="H839" s="1" t="s">
        <v>3523</v>
      </c>
      <c r="I839" s="1" t="s">
        <v>127</v>
      </c>
      <c r="J839" s="1" t="s">
        <v>76</v>
      </c>
      <c r="K839" s="1" t="s">
        <v>4011</v>
      </c>
      <c r="L839" s="1"/>
      <c r="M839" s="6" t="str">
        <f>IF(Table2[[#This Row],[Corrected Form '#
 (If Duplicated)]]="",Table2[[#This Row],[Form '#]],Table2[[#This Row],[Corrected Form '#
 (If Duplicated)]])</f>
        <v>7818-28327</v>
      </c>
      <c r="N839" s="1" t="s">
        <v>49</v>
      </c>
      <c r="O839" s="6" t="str">
        <f>IF(Table2[[#This Row],[POG CONFIRMATION RECEIPT OF ORDER
(DATE &amp; TIME)]]="","No Confirmation","Received Confirmation")</f>
        <v>Received Confirmation</v>
      </c>
      <c r="P839" s="6">
        <f ca="1">TODAY()-Table2[[#This Row],[DATE SENT TO POG]]</f>
        <v>267</v>
      </c>
      <c r="Q839" s="6" t="s">
        <v>5803</v>
      </c>
      <c r="R8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39" s="2" t="str">
        <f>_xlfn.XLOOKUP(Table2[[#This Row],[Adjusted Form '#]],'[2]IN PROGRESS'!$D:$D,'[2]IN PROGRESS'!$M:$M,"Not Found")</f>
        <v>Not Found</v>
      </c>
      <c r="U839" s="2" t="str">
        <f>_xlfn.XLOOKUP(Table2[[#This Row],[Adjusted Form '#]],[1]COMPLETED!$D:$D,[2]COMPLETED!$M:$M,"Not Found")</f>
        <v>Not Found</v>
      </c>
      <c r="V839" s="17" t="str">
        <f>_xlfn.XLOOKUP(Table2[[#This Row],[Adjusted Form '#]],[2]COMPLETED!$D:$D,[2]COMPLETED!$O:$O,"Not Found")</f>
        <v>Not Found</v>
      </c>
      <c r="W839" s="2" t="str">
        <f>_xlfn.XLOOKUP(Table2[[#This Row],[Adjusted Form '#]],[2]BILLED!$D:$D,[2]BILLED!$M:$M,"Not Found")</f>
        <v>1Z5063E0YW41591763</v>
      </c>
      <c r="X839" s="17" t="e">
        <f>_xlfn.XLOOKUP(Table2[[#This Row],[Adjusted Form '#]],[2]BILLED!$D:$D,[1]BILLED!$O:$O,"Not Found")</f>
        <v>#REF!</v>
      </c>
      <c r="Y839" s="17" t="e">
        <f>_xlfn.XLOOKUP(Table2[[#This Row],[Adjusted Form '#]],'[2]REJECTED ORDERS'!$D:$D,'[2]REJECTED ORDERS'!$E:$E)</f>
        <v>#N/A</v>
      </c>
      <c r="Z839" s="1"/>
      <c r="AA839" s="1"/>
      <c r="AB839" s="8"/>
      <c r="AC839" s="8"/>
      <c r="AD839" s="8"/>
      <c r="AE839" s="8"/>
      <c r="AF839" s="8"/>
      <c r="AG839" s="8"/>
      <c r="AH839" s="8"/>
      <c r="AI839" s="8"/>
      <c r="AJ839" s="8"/>
    </row>
    <row r="840" spans="1:36" ht="15" customHeight="1" x14ac:dyDescent="0.35">
      <c r="A840" s="4" t="s">
        <v>1255</v>
      </c>
      <c r="B840" s="1" t="s">
        <v>4562</v>
      </c>
      <c r="C840" s="11">
        <v>45036</v>
      </c>
      <c r="D840" s="11" t="s">
        <v>5287</v>
      </c>
      <c r="E840" s="1" t="s">
        <v>21</v>
      </c>
      <c r="F840" s="1" t="s">
        <v>5292</v>
      </c>
      <c r="G840" s="6">
        <f>COUNTIF(F:F,Table2[[#This Row],[Form '#]])</f>
        <v>1</v>
      </c>
      <c r="H840" s="1" t="s">
        <v>5293</v>
      </c>
      <c r="I840" s="1" t="s">
        <v>3864</v>
      </c>
      <c r="J840" s="1" t="s">
        <v>78</v>
      </c>
      <c r="K840" s="1" t="s">
        <v>3879</v>
      </c>
      <c r="L840" s="1"/>
      <c r="M840" s="6" t="str">
        <f>IF(Table2[[#This Row],[Corrected Form '#
 (If Duplicated)]]="",Table2[[#This Row],[Form '#]],Table2[[#This Row],[Corrected Form '#
 (If Duplicated)]])</f>
        <v>7818-21574</v>
      </c>
      <c r="N840" s="1" t="s">
        <v>49</v>
      </c>
      <c r="O840" s="6" t="str">
        <f>IF(Table2[[#This Row],[POG CONFIRMATION RECEIPT OF ORDER
(DATE &amp; TIME)]]="","No Confirmation","Received Confirmation")</f>
        <v>Received Confirmation</v>
      </c>
      <c r="P840" s="6">
        <f ca="1">TODAY()-Table2[[#This Row],[DATE SENT TO POG]]</f>
        <v>267</v>
      </c>
      <c r="Q840" s="6" t="s">
        <v>5803</v>
      </c>
      <c r="R8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0" s="2" t="str">
        <f>_xlfn.XLOOKUP(Table2[[#This Row],[Adjusted Form '#]],'[2]IN PROGRESS'!$D:$D,'[2]IN PROGRESS'!$M:$M,"Not Found")</f>
        <v>Not Found</v>
      </c>
      <c r="U840" s="2" t="str">
        <f>_xlfn.XLOOKUP(Table2[[#This Row],[Adjusted Form '#]],[1]COMPLETED!$D:$D,[2]COMPLETED!$M:$M,"Not Found")</f>
        <v>Not Found</v>
      </c>
      <c r="V840" s="17" t="str">
        <f>_xlfn.XLOOKUP(Table2[[#This Row],[Adjusted Form '#]],[2]COMPLETED!$D:$D,[2]COMPLETED!$O:$O,"Not Found")</f>
        <v>Not Found</v>
      </c>
      <c r="W840" s="2" t="str">
        <f>_xlfn.XLOOKUP(Table2[[#This Row],[Adjusted Form '#]],[2]BILLED!$D:$D,[2]BILLED!$M:$M,"Not Found")</f>
        <v>1Z5063E0YW40469737</v>
      </c>
      <c r="X840" s="17" t="e">
        <f>_xlfn.XLOOKUP(Table2[[#This Row],[Adjusted Form '#]],[2]BILLED!$D:$D,[1]BILLED!$O:$O,"Not Found")</f>
        <v>#REF!</v>
      </c>
      <c r="Y840" s="17" t="e">
        <f>_xlfn.XLOOKUP(Table2[[#This Row],[Adjusted Form '#]],'[2]REJECTED ORDERS'!$D:$D,'[2]REJECTED ORDERS'!$E:$E)</f>
        <v>#N/A</v>
      </c>
      <c r="Z840" s="1"/>
      <c r="AA840" s="1"/>
      <c r="AB840" s="8"/>
      <c r="AC840" s="8"/>
      <c r="AD840" s="8"/>
      <c r="AE840" s="8"/>
      <c r="AF840" s="8"/>
      <c r="AG840" s="8"/>
      <c r="AH840" s="8"/>
      <c r="AI840" s="8"/>
      <c r="AJ840" s="8"/>
    </row>
    <row r="841" spans="1:36" ht="15" customHeight="1" x14ac:dyDescent="0.35">
      <c r="A841" s="4" t="s">
        <v>1257</v>
      </c>
      <c r="B841" s="1" t="s">
        <v>728</v>
      </c>
      <c r="C841" s="11">
        <v>45036</v>
      </c>
      <c r="D841" s="11" t="s">
        <v>5294</v>
      </c>
      <c r="E841" s="1" t="s">
        <v>64</v>
      </c>
      <c r="F841" s="1" t="s">
        <v>5295</v>
      </c>
      <c r="G841" s="6">
        <f>COUNTIF(F:F,Table2[[#This Row],[Form '#]])</f>
        <v>1</v>
      </c>
      <c r="H841" s="1" t="s">
        <v>5296</v>
      </c>
      <c r="I841" s="1" t="s">
        <v>3852</v>
      </c>
      <c r="J841" s="1" t="s">
        <v>80</v>
      </c>
      <c r="K841" s="1" t="s">
        <v>3853</v>
      </c>
      <c r="L841" s="1"/>
      <c r="M841" s="6" t="str">
        <f>IF(Table2[[#This Row],[Corrected Form '#
 (If Duplicated)]]="",Table2[[#This Row],[Form '#]],Table2[[#This Row],[Corrected Form '#
 (If Duplicated)]])</f>
        <v>7824-00387</v>
      </c>
      <c r="N841" s="1" t="s">
        <v>49</v>
      </c>
      <c r="O841" s="6" t="str">
        <f>IF(Table2[[#This Row],[POG CONFIRMATION RECEIPT OF ORDER
(DATE &amp; TIME)]]="","No Confirmation","Received Confirmation")</f>
        <v>Received Confirmation</v>
      </c>
      <c r="P841" s="6">
        <f ca="1">TODAY()-Table2[[#This Row],[DATE SENT TO POG]]</f>
        <v>267</v>
      </c>
      <c r="Q841" s="6" t="s">
        <v>5803</v>
      </c>
      <c r="R8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1" s="2" t="str">
        <f>_xlfn.XLOOKUP(Table2[[#This Row],[Adjusted Form '#]],'[2]IN PROGRESS'!$D:$D,'[2]IN PROGRESS'!$M:$M,"Not Found")</f>
        <v>Not Found</v>
      </c>
      <c r="U841" s="2" t="str">
        <f>_xlfn.XLOOKUP(Table2[[#This Row],[Adjusted Form '#]],[1]COMPLETED!$D:$D,[2]COMPLETED!$M:$M,"Not Found")</f>
        <v>Not Found</v>
      </c>
      <c r="V841" s="17" t="str">
        <f>_xlfn.XLOOKUP(Table2[[#This Row],[Adjusted Form '#]],[2]COMPLETED!$D:$D,[2]COMPLETED!$O:$O,"Not Found")</f>
        <v>Not Found</v>
      </c>
      <c r="W841" s="2" t="str">
        <f>_xlfn.XLOOKUP(Table2[[#This Row],[Adjusted Form '#]],[2]BILLED!$D:$D,[2]BILLED!$M:$M,"Not Found")</f>
        <v>1Z5063E0YW42288698</v>
      </c>
      <c r="X841" s="17" t="e">
        <f>_xlfn.XLOOKUP(Table2[[#This Row],[Adjusted Form '#]],[2]BILLED!$D:$D,[1]BILLED!$O:$O,"Not Found")</f>
        <v>#REF!</v>
      </c>
      <c r="Y841" s="17" t="e">
        <f>_xlfn.XLOOKUP(Table2[[#This Row],[Adjusted Form '#]],'[2]REJECTED ORDERS'!$D:$D,'[2]REJECTED ORDERS'!$E:$E)</f>
        <v>#N/A</v>
      </c>
      <c r="Z841" s="1"/>
      <c r="AA841" s="1"/>
      <c r="AB841" s="8"/>
      <c r="AC841" s="8"/>
      <c r="AD841" s="8"/>
      <c r="AE841" s="8"/>
      <c r="AF841" s="8"/>
      <c r="AG841" s="8"/>
      <c r="AH841" s="8"/>
      <c r="AI841" s="8"/>
      <c r="AJ841" s="8"/>
    </row>
    <row r="842" spans="1:36" ht="15" customHeight="1" x14ac:dyDescent="0.35">
      <c r="A842" s="4" t="s">
        <v>1258</v>
      </c>
      <c r="B842" s="1" t="s">
        <v>3166</v>
      </c>
      <c r="C842" s="11">
        <v>45037</v>
      </c>
      <c r="D842" s="11" t="s">
        <v>5297</v>
      </c>
      <c r="E842" s="1" t="s">
        <v>21</v>
      </c>
      <c r="F842" s="1" t="s">
        <v>5298</v>
      </c>
      <c r="G842" s="6">
        <f>COUNTIF(F:F,Table2[[#This Row],[Form '#]])</f>
        <v>1</v>
      </c>
      <c r="H842" s="1" t="s">
        <v>5299</v>
      </c>
      <c r="I842" s="1" t="s">
        <v>127</v>
      </c>
      <c r="J842" s="1" t="s">
        <v>76</v>
      </c>
      <c r="K842" s="1" t="s">
        <v>4011</v>
      </c>
      <c r="L842" s="1"/>
      <c r="M842" s="6" t="str">
        <f>IF(Table2[[#This Row],[Corrected Form '#
 (If Duplicated)]]="",Table2[[#This Row],[Form '#]],Table2[[#This Row],[Corrected Form '#
 (If Duplicated)]])</f>
        <v>7818-26072</v>
      </c>
      <c r="N842" s="1" t="s">
        <v>49</v>
      </c>
      <c r="O842" s="6" t="str">
        <f>IF(Table2[[#This Row],[POG CONFIRMATION RECEIPT OF ORDER
(DATE &amp; TIME)]]="","No Confirmation","Received Confirmation")</f>
        <v>Received Confirmation</v>
      </c>
      <c r="P842" s="6">
        <f ca="1">TODAY()-Table2[[#This Row],[DATE SENT TO POG]]</f>
        <v>266</v>
      </c>
      <c r="Q842" s="6" t="s">
        <v>5803</v>
      </c>
      <c r="R8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2" s="2" t="str">
        <f>_xlfn.XLOOKUP(Table2[[#This Row],[Adjusted Form '#]],'[2]IN PROGRESS'!$D:$D,'[2]IN PROGRESS'!$M:$M,"Not Found")</f>
        <v>Not Found</v>
      </c>
      <c r="U842" s="2" t="str">
        <f>_xlfn.XLOOKUP(Table2[[#This Row],[Adjusted Form '#]],[1]COMPLETED!$D:$D,[2]COMPLETED!$M:$M,"Not Found")</f>
        <v>Not Found</v>
      </c>
      <c r="V842" s="17" t="str">
        <f>_xlfn.XLOOKUP(Table2[[#This Row],[Adjusted Form '#]],[2]COMPLETED!$D:$D,[2]COMPLETED!$O:$O,"Not Found")</f>
        <v>Not Found</v>
      </c>
      <c r="W842" s="2" t="str">
        <f>_xlfn.XLOOKUP(Table2[[#This Row],[Adjusted Form '#]],[2]BILLED!$D:$D,[2]BILLED!$M:$M,"Not Found")</f>
        <v>1Z5063E0YW42624207</v>
      </c>
      <c r="X842" s="17" t="e">
        <f>_xlfn.XLOOKUP(Table2[[#This Row],[Adjusted Form '#]],[2]BILLED!$D:$D,[1]BILLED!$O:$O,"Not Found")</f>
        <v>#REF!</v>
      </c>
      <c r="Y842" s="17" t="e">
        <f>_xlfn.XLOOKUP(Table2[[#This Row],[Adjusted Form '#]],'[2]REJECTED ORDERS'!$D:$D,'[2]REJECTED ORDERS'!$E:$E)</f>
        <v>#N/A</v>
      </c>
      <c r="Z842" s="1"/>
      <c r="AA842" s="1"/>
      <c r="AB842" s="8"/>
      <c r="AC842" s="8"/>
      <c r="AD842" s="8"/>
      <c r="AE842" s="8"/>
      <c r="AF842" s="8"/>
      <c r="AG842" s="8"/>
      <c r="AH842" s="8"/>
      <c r="AI842" s="8"/>
      <c r="AJ842" s="8"/>
    </row>
    <row r="843" spans="1:36" ht="15" customHeight="1" x14ac:dyDescent="0.35">
      <c r="A843" s="4" t="s">
        <v>1259</v>
      </c>
      <c r="B843" s="1" t="s">
        <v>3166</v>
      </c>
      <c r="C843" s="11">
        <v>45037</v>
      </c>
      <c r="D843" s="11" t="s">
        <v>5297</v>
      </c>
      <c r="E843" s="1" t="s">
        <v>21</v>
      </c>
      <c r="F843" s="1" t="s">
        <v>5300</v>
      </c>
      <c r="G843" s="6">
        <f>COUNTIF(F:F,Table2[[#This Row],[Form '#]])</f>
        <v>1</v>
      </c>
      <c r="H843" s="1" t="s">
        <v>2325</v>
      </c>
      <c r="I843" s="1" t="s">
        <v>3864</v>
      </c>
      <c r="J843" s="1" t="s">
        <v>78</v>
      </c>
      <c r="K843" s="1" t="s">
        <v>3879</v>
      </c>
      <c r="L843" s="1"/>
      <c r="M843" s="6" t="str">
        <f>IF(Table2[[#This Row],[Corrected Form '#
 (If Duplicated)]]="",Table2[[#This Row],[Form '#]],Table2[[#This Row],[Corrected Form '#
 (If Duplicated)]])</f>
        <v>7818-25992</v>
      </c>
      <c r="N843" s="1" t="s">
        <v>49</v>
      </c>
      <c r="O843" s="6" t="str">
        <f>IF(Table2[[#This Row],[POG CONFIRMATION RECEIPT OF ORDER
(DATE &amp; TIME)]]="","No Confirmation","Received Confirmation")</f>
        <v>Received Confirmation</v>
      </c>
      <c r="P843" s="6">
        <f ca="1">TODAY()-Table2[[#This Row],[DATE SENT TO POG]]</f>
        <v>266</v>
      </c>
      <c r="Q843" s="6" t="s">
        <v>5803</v>
      </c>
      <c r="R8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3" s="2" t="str">
        <f>_xlfn.XLOOKUP(Table2[[#This Row],[Adjusted Form '#]],'[2]IN PROGRESS'!$D:$D,'[2]IN PROGRESS'!$M:$M,"Not Found")</f>
        <v>Not Found</v>
      </c>
      <c r="U843" s="2" t="str">
        <f>_xlfn.XLOOKUP(Table2[[#This Row],[Adjusted Form '#]],[1]COMPLETED!$D:$D,[2]COMPLETED!$M:$M,"Not Found")</f>
        <v>Not Found</v>
      </c>
      <c r="V843" s="17" t="str">
        <f>_xlfn.XLOOKUP(Table2[[#This Row],[Adjusted Form '#]],[2]COMPLETED!$D:$D,[2]COMPLETED!$O:$O,"Not Found")</f>
        <v>Not Found</v>
      </c>
      <c r="W843" s="2" t="str">
        <f>_xlfn.XLOOKUP(Table2[[#This Row],[Adjusted Form '#]],[2]BILLED!$D:$D,[2]BILLED!$M:$M,"Not Found")</f>
        <v>1Z5063E0YW40630990</v>
      </c>
      <c r="X843" s="17" t="e">
        <f>_xlfn.XLOOKUP(Table2[[#This Row],[Adjusted Form '#]],[2]BILLED!$D:$D,[1]BILLED!$O:$O,"Not Found")</f>
        <v>#REF!</v>
      </c>
      <c r="Y843" s="17" t="e">
        <f>_xlfn.XLOOKUP(Table2[[#This Row],[Adjusted Form '#]],'[2]REJECTED ORDERS'!$D:$D,'[2]REJECTED ORDERS'!$E:$E)</f>
        <v>#N/A</v>
      </c>
      <c r="Z843" s="1"/>
      <c r="AA843" s="1"/>
      <c r="AB843" s="8"/>
      <c r="AC843" s="8"/>
      <c r="AD843" s="8"/>
      <c r="AE843" s="8"/>
      <c r="AF843" s="8"/>
      <c r="AG843" s="8"/>
      <c r="AH843" s="8"/>
      <c r="AI843" s="8"/>
      <c r="AJ843" s="8"/>
    </row>
    <row r="844" spans="1:36" ht="15" customHeight="1" x14ac:dyDescent="0.35">
      <c r="A844" s="4" t="s">
        <v>1260</v>
      </c>
      <c r="B844" s="1" t="s">
        <v>2405</v>
      </c>
      <c r="C844" s="11">
        <v>45037</v>
      </c>
      <c r="D844" s="11" t="s">
        <v>5301</v>
      </c>
      <c r="E844" s="1" t="s">
        <v>14</v>
      </c>
      <c r="F844" s="1" t="s">
        <v>5302</v>
      </c>
      <c r="G844" s="6">
        <f>COUNTIF(F:F,Table2[[#This Row],[Form '#]])</f>
        <v>1</v>
      </c>
      <c r="H844" s="1" t="s">
        <v>5303</v>
      </c>
      <c r="I844" s="1" t="s">
        <v>3852</v>
      </c>
      <c r="J844" s="1" t="s">
        <v>80</v>
      </c>
      <c r="K844" s="1" t="s">
        <v>3853</v>
      </c>
      <c r="L844" s="1"/>
      <c r="M844" s="6" t="str">
        <f>IF(Table2[[#This Row],[Corrected Form '#
 (If Duplicated)]]="",Table2[[#This Row],[Form '#]],Table2[[#This Row],[Corrected Form '#
 (If Duplicated)]])</f>
        <v>7810-01854</v>
      </c>
      <c r="N844" s="1" t="s">
        <v>49</v>
      </c>
      <c r="O844" s="6" t="str">
        <f>IF(Table2[[#This Row],[POG CONFIRMATION RECEIPT OF ORDER
(DATE &amp; TIME)]]="","No Confirmation","Received Confirmation")</f>
        <v>Received Confirmation</v>
      </c>
      <c r="P844" s="6">
        <f ca="1">TODAY()-Table2[[#This Row],[DATE SENT TO POG]]</f>
        <v>266</v>
      </c>
      <c r="Q844" s="6" t="s">
        <v>5803</v>
      </c>
      <c r="R8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4" s="2" t="str">
        <f>_xlfn.XLOOKUP(Table2[[#This Row],[Adjusted Form '#]],'[2]IN PROGRESS'!$D:$D,'[2]IN PROGRESS'!$M:$M,"Not Found")</f>
        <v>Not Found</v>
      </c>
      <c r="U844" s="2" t="str">
        <f>_xlfn.XLOOKUP(Table2[[#This Row],[Adjusted Form '#]],[1]COMPLETED!$D:$D,[2]COMPLETED!$M:$M,"Not Found")</f>
        <v>Not Found</v>
      </c>
      <c r="V844" s="17" t="str">
        <f>_xlfn.XLOOKUP(Table2[[#This Row],[Adjusted Form '#]],[2]COMPLETED!$D:$D,[2]COMPLETED!$O:$O,"Not Found")</f>
        <v>Not Found</v>
      </c>
      <c r="W844" s="2" t="str">
        <f>_xlfn.XLOOKUP(Table2[[#This Row],[Adjusted Form '#]],[2]BILLED!$D:$D,[2]BILLED!$M:$M,"Not Found")</f>
        <v>1Z5063E0YW41565210</v>
      </c>
      <c r="X844" s="17" t="e">
        <f>_xlfn.XLOOKUP(Table2[[#This Row],[Adjusted Form '#]],[2]BILLED!$D:$D,[1]BILLED!$O:$O,"Not Found")</f>
        <v>#REF!</v>
      </c>
      <c r="Y844" s="17" t="e">
        <f>_xlfn.XLOOKUP(Table2[[#This Row],[Adjusted Form '#]],'[2]REJECTED ORDERS'!$D:$D,'[2]REJECTED ORDERS'!$E:$E)</f>
        <v>#N/A</v>
      </c>
      <c r="Z844" s="1"/>
      <c r="AA844" s="1"/>
      <c r="AB844" s="8"/>
      <c r="AC844" s="8"/>
      <c r="AD844" s="8"/>
      <c r="AE844" s="8"/>
      <c r="AF844" s="8"/>
      <c r="AG844" s="8"/>
      <c r="AH844" s="8"/>
      <c r="AI844" s="8"/>
      <c r="AJ844" s="8"/>
    </row>
    <row r="845" spans="1:36" ht="15" customHeight="1" x14ac:dyDescent="0.35">
      <c r="A845" s="4" t="s">
        <v>1262</v>
      </c>
      <c r="B845" s="1" t="s">
        <v>1767</v>
      </c>
      <c r="C845" s="11">
        <v>45040</v>
      </c>
      <c r="D845" s="11" t="s">
        <v>5304</v>
      </c>
      <c r="E845" s="1" t="s">
        <v>21</v>
      </c>
      <c r="F845" s="1" t="s">
        <v>5305</v>
      </c>
      <c r="G845" s="6">
        <f>COUNTIF(F:F,Table2[[#This Row],[Form '#]])</f>
        <v>1</v>
      </c>
      <c r="H845" s="1" t="s">
        <v>5306</v>
      </c>
      <c r="I845" s="1" t="s">
        <v>3852</v>
      </c>
      <c r="J845" s="1" t="s">
        <v>75</v>
      </c>
      <c r="K845" s="1" t="s">
        <v>4011</v>
      </c>
      <c r="L845" s="1"/>
      <c r="M845" s="6" t="str">
        <f>IF(Table2[[#This Row],[Corrected Form '#
 (If Duplicated)]]="",Table2[[#This Row],[Form '#]],Table2[[#This Row],[Corrected Form '#
 (If Duplicated)]])</f>
        <v>7818-29907</v>
      </c>
      <c r="N845" s="1" t="s">
        <v>49</v>
      </c>
      <c r="O845" s="6" t="str">
        <f>IF(Table2[[#This Row],[POG CONFIRMATION RECEIPT OF ORDER
(DATE &amp; TIME)]]="","No Confirmation","Received Confirmation")</f>
        <v>Received Confirmation</v>
      </c>
      <c r="P845" s="6">
        <f ca="1">TODAY()-Table2[[#This Row],[DATE SENT TO POG]]</f>
        <v>263</v>
      </c>
      <c r="Q845" s="6" t="s">
        <v>5803</v>
      </c>
      <c r="R8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5" s="2" t="str">
        <f>_xlfn.XLOOKUP(Table2[[#This Row],[Adjusted Form '#]],'[2]IN PROGRESS'!$D:$D,'[2]IN PROGRESS'!$M:$M,"Not Found")</f>
        <v>Not Found</v>
      </c>
      <c r="U845" s="2" t="str">
        <f>_xlfn.XLOOKUP(Table2[[#This Row],[Adjusted Form '#]],[1]COMPLETED!$D:$D,[2]COMPLETED!$M:$M,"Not Found")</f>
        <v>Not Found</v>
      </c>
      <c r="V845" s="17" t="str">
        <f>_xlfn.XLOOKUP(Table2[[#This Row],[Adjusted Form '#]],[2]COMPLETED!$D:$D,[2]COMPLETED!$O:$O,"Not Found")</f>
        <v>Not Found</v>
      </c>
      <c r="W845" s="2" t="str">
        <f>_xlfn.XLOOKUP(Table2[[#This Row],[Adjusted Form '#]],[2]BILLED!$D:$D,[2]BILLED!$M:$M,"Not Found")</f>
        <v>1Z5063E0YW42078254</v>
      </c>
      <c r="X845" s="17" t="e">
        <f>_xlfn.XLOOKUP(Table2[[#This Row],[Adjusted Form '#]],[2]BILLED!$D:$D,[1]BILLED!$O:$O,"Not Found")</f>
        <v>#REF!</v>
      </c>
      <c r="Y845" s="17" t="e">
        <f>_xlfn.XLOOKUP(Table2[[#This Row],[Adjusted Form '#]],'[2]REJECTED ORDERS'!$D:$D,'[2]REJECTED ORDERS'!$E:$E)</f>
        <v>#N/A</v>
      </c>
      <c r="Z845" s="1"/>
      <c r="AA845" s="1"/>
      <c r="AB845" s="8"/>
      <c r="AC845" s="8"/>
      <c r="AD845" s="8"/>
      <c r="AE845" s="8"/>
      <c r="AF845" s="8"/>
      <c r="AG845" s="8"/>
      <c r="AH845" s="8"/>
      <c r="AI845" s="8"/>
      <c r="AJ845" s="8"/>
    </row>
    <row r="846" spans="1:36" ht="15" customHeight="1" x14ac:dyDescent="0.35">
      <c r="A846" s="4" t="s">
        <v>1263</v>
      </c>
      <c r="B846" s="1" t="s">
        <v>1767</v>
      </c>
      <c r="C846" s="11">
        <v>45040</v>
      </c>
      <c r="D846" s="11" t="s">
        <v>5304</v>
      </c>
      <c r="E846" s="1" t="s">
        <v>21</v>
      </c>
      <c r="F846" s="1" t="s">
        <v>5307</v>
      </c>
      <c r="G846" s="6">
        <f>COUNTIF(F:F,Table2[[#This Row],[Form '#]])</f>
        <v>1</v>
      </c>
      <c r="H846" s="1" t="s">
        <v>2844</v>
      </c>
      <c r="I846" s="1" t="s">
        <v>127</v>
      </c>
      <c r="J846" s="1" t="s">
        <v>89</v>
      </c>
      <c r="K846" s="1" t="s">
        <v>4011</v>
      </c>
      <c r="L846" s="1"/>
      <c r="M846" s="6" t="str">
        <f>IF(Table2[[#This Row],[Corrected Form '#
 (If Duplicated)]]="",Table2[[#This Row],[Form '#]],Table2[[#This Row],[Corrected Form '#
 (If Duplicated)]])</f>
        <v>7818-20411</v>
      </c>
      <c r="N846" s="1" t="s">
        <v>49</v>
      </c>
      <c r="O846" s="6" t="str">
        <f>IF(Table2[[#This Row],[POG CONFIRMATION RECEIPT OF ORDER
(DATE &amp; TIME)]]="","No Confirmation","Received Confirmation")</f>
        <v>Received Confirmation</v>
      </c>
      <c r="P846" s="6">
        <f ca="1">TODAY()-Table2[[#This Row],[DATE SENT TO POG]]</f>
        <v>263</v>
      </c>
      <c r="Q846" s="6" t="s">
        <v>5803</v>
      </c>
      <c r="R8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6" s="2" t="str">
        <f>_xlfn.XLOOKUP(Table2[[#This Row],[Adjusted Form '#]],'[2]IN PROGRESS'!$D:$D,'[2]IN PROGRESS'!$M:$M,"Not Found")</f>
        <v>Not Found</v>
      </c>
      <c r="U846" s="2" t="str">
        <f>_xlfn.XLOOKUP(Table2[[#This Row],[Adjusted Form '#]],[1]COMPLETED!$D:$D,[2]COMPLETED!$M:$M,"Not Found")</f>
        <v>Not Found</v>
      </c>
      <c r="V846" s="17" t="str">
        <f>_xlfn.XLOOKUP(Table2[[#This Row],[Adjusted Form '#]],[2]COMPLETED!$D:$D,[2]COMPLETED!$O:$O,"Not Found")</f>
        <v>Not Found</v>
      </c>
      <c r="W846" s="2" t="str">
        <f>_xlfn.XLOOKUP(Table2[[#This Row],[Adjusted Form '#]],[2]BILLED!$D:$D,[2]BILLED!$M:$M,"Not Found")</f>
        <v>1Z5063E0YW41209524</v>
      </c>
      <c r="X846" s="17" t="e">
        <f>_xlfn.XLOOKUP(Table2[[#This Row],[Adjusted Form '#]],[2]BILLED!$D:$D,[1]BILLED!$O:$O,"Not Found")</f>
        <v>#REF!</v>
      </c>
      <c r="Y846" s="17" t="e">
        <f>_xlfn.XLOOKUP(Table2[[#This Row],[Adjusted Form '#]],'[2]REJECTED ORDERS'!$D:$D,'[2]REJECTED ORDERS'!$E:$E)</f>
        <v>#N/A</v>
      </c>
      <c r="Z846" s="1"/>
      <c r="AA846" s="1"/>
      <c r="AB846" s="8"/>
      <c r="AC846" s="8"/>
      <c r="AD846" s="8"/>
      <c r="AE846" s="8"/>
      <c r="AF846" s="8"/>
      <c r="AG846" s="8"/>
      <c r="AH846" s="8"/>
      <c r="AI846" s="8"/>
      <c r="AJ846" s="8"/>
    </row>
    <row r="847" spans="1:36" ht="15" customHeight="1" x14ac:dyDescent="0.35">
      <c r="A847" s="4" t="s">
        <v>1264</v>
      </c>
      <c r="B847" s="1" t="s">
        <v>5308</v>
      </c>
      <c r="C847" s="11">
        <v>45040</v>
      </c>
      <c r="D847" s="11" t="s">
        <v>5309</v>
      </c>
      <c r="E847" s="1" t="s">
        <v>73</v>
      </c>
      <c r="F847" s="1" t="s">
        <v>5310</v>
      </c>
      <c r="G847" s="6">
        <f>COUNTIF(F:F,Table2[[#This Row],[Form '#]])</f>
        <v>1</v>
      </c>
      <c r="H847" s="1" t="s">
        <v>5311</v>
      </c>
      <c r="I847" s="1" t="s">
        <v>758</v>
      </c>
      <c r="J847" s="1" t="s">
        <v>78</v>
      </c>
      <c r="K847" s="1" t="s">
        <v>3853</v>
      </c>
      <c r="L847" s="1"/>
      <c r="M847" s="6" t="str">
        <f>IF(Table2[[#This Row],[Corrected Form '#
 (If Duplicated)]]="",Table2[[#This Row],[Form '#]],Table2[[#This Row],[Corrected Form '#
 (If Duplicated)]])</f>
        <v>7823-02775</v>
      </c>
      <c r="N847" s="1" t="s">
        <v>49</v>
      </c>
      <c r="O847" s="6" t="str">
        <f>IF(Table2[[#This Row],[POG CONFIRMATION RECEIPT OF ORDER
(DATE &amp; TIME)]]="","No Confirmation","Received Confirmation")</f>
        <v>Received Confirmation</v>
      </c>
      <c r="P847" s="6">
        <f ca="1">TODAY()-Table2[[#This Row],[DATE SENT TO POG]]</f>
        <v>263</v>
      </c>
      <c r="Q847" s="6" t="s">
        <v>5803</v>
      </c>
      <c r="R8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7" s="2" t="str">
        <f>_xlfn.XLOOKUP(Table2[[#This Row],[Adjusted Form '#]],'[2]IN PROGRESS'!$D:$D,'[2]IN PROGRESS'!$M:$M,"Not Found")</f>
        <v>Not Found</v>
      </c>
      <c r="U847" s="2" t="str">
        <f>_xlfn.XLOOKUP(Table2[[#This Row],[Adjusted Form '#]],[1]COMPLETED!$D:$D,[2]COMPLETED!$M:$M,"Not Found")</f>
        <v>Not Found</v>
      </c>
      <c r="V847" s="17" t="str">
        <f>_xlfn.XLOOKUP(Table2[[#This Row],[Adjusted Form '#]],[2]COMPLETED!$D:$D,[2]COMPLETED!$O:$O,"Not Found")</f>
        <v>Not Found</v>
      </c>
      <c r="W847" s="2" t="str">
        <f>_xlfn.XLOOKUP(Table2[[#This Row],[Adjusted Form '#]],[2]BILLED!$D:$D,[2]BILLED!$M:$M,"Not Found")</f>
        <v>1Z5063E0YW42689184</v>
      </c>
      <c r="X847" s="17" t="e">
        <f>_xlfn.XLOOKUP(Table2[[#This Row],[Adjusted Form '#]],[2]BILLED!$D:$D,[1]BILLED!$O:$O,"Not Found")</f>
        <v>#REF!</v>
      </c>
      <c r="Y847" s="17" t="e">
        <f>_xlfn.XLOOKUP(Table2[[#This Row],[Adjusted Form '#]],'[2]REJECTED ORDERS'!$D:$D,'[2]REJECTED ORDERS'!$E:$E)</f>
        <v>#N/A</v>
      </c>
      <c r="Z847" s="1"/>
      <c r="AA847" s="1"/>
      <c r="AB847" s="8"/>
      <c r="AC847" s="8"/>
      <c r="AD847" s="8"/>
      <c r="AE847" s="8"/>
      <c r="AF847" s="8"/>
      <c r="AG847" s="8"/>
      <c r="AH847" s="8"/>
      <c r="AI847" s="8"/>
      <c r="AJ847" s="8"/>
    </row>
    <row r="848" spans="1:36" ht="15" customHeight="1" x14ac:dyDescent="0.35">
      <c r="A848" s="4" t="s">
        <v>1265</v>
      </c>
      <c r="B848" s="1" t="s">
        <v>5312</v>
      </c>
      <c r="C848" s="11">
        <v>45041</v>
      </c>
      <c r="D848" s="11" t="s">
        <v>5313</v>
      </c>
      <c r="E848" s="1" t="s">
        <v>14</v>
      </c>
      <c r="F848" s="1" t="s">
        <v>5314</v>
      </c>
      <c r="G848" s="6">
        <f>COUNTIF(F:F,Table2[[#This Row],[Form '#]])</f>
        <v>1</v>
      </c>
      <c r="H848" s="1" t="s">
        <v>261</v>
      </c>
      <c r="I848" s="1" t="s">
        <v>177</v>
      </c>
      <c r="J848" s="1" t="s">
        <v>75</v>
      </c>
      <c r="K848" s="1" t="s">
        <v>3853</v>
      </c>
      <c r="L848" s="1"/>
      <c r="M848" s="6" t="str">
        <f>IF(Table2[[#This Row],[Corrected Form '#
 (If Duplicated)]]="",Table2[[#This Row],[Form '#]],Table2[[#This Row],[Corrected Form '#
 (If Duplicated)]])</f>
        <v>7810-01800</v>
      </c>
      <c r="N848" s="1" t="s">
        <v>49</v>
      </c>
      <c r="O848" s="6" t="str">
        <f>IF(Table2[[#This Row],[POG CONFIRMATION RECEIPT OF ORDER
(DATE &amp; TIME)]]="","No Confirmation","Received Confirmation")</f>
        <v>Received Confirmation</v>
      </c>
      <c r="P848" s="6">
        <f ca="1">TODAY()-Table2[[#This Row],[DATE SENT TO POG]]</f>
        <v>262</v>
      </c>
      <c r="Q848" s="6" t="s">
        <v>5803</v>
      </c>
      <c r="R8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8" s="2" t="str">
        <f>_xlfn.XLOOKUP(Table2[[#This Row],[Adjusted Form '#]],'[2]IN PROGRESS'!$D:$D,'[2]IN PROGRESS'!$M:$M,"Not Found")</f>
        <v>Not Found</v>
      </c>
      <c r="U848" s="2" t="str">
        <f>_xlfn.XLOOKUP(Table2[[#This Row],[Adjusted Form '#]],[1]COMPLETED!$D:$D,[2]COMPLETED!$M:$M,"Not Found")</f>
        <v>Not Found</v>
      </c>
      <c r="V848" s="17" t="str">
        <f>_xlfn.XLOOKUP(Table2[[#This Row],[Adjusted Form '#]],[2]COMPLETED!$D:$D,[2]COMPLETED!$O:$O,"Not Found")</f>
        <v>Not Found</v>
      </c>
      <c r="W848" s="2" t="str">
        <f>_xlfn.XLOOKUP(Table2[[#This Row],[Adjusted Form '#]],[2]BILLED!$D:$D,[2]BILLED!$M:$M,"Not Found")</f>
        <v>1Z5063E0YW42279555</v>
      </c>
      <c r="X848" s="17" t="e">
        <f>_xlfn.XLOOKUP(Table2[[#This Row],[Adjusted Form '#]],[2]BILLED!$D:$D,[1]BILLED!$O:$O,"Not Found")</f>
        <v>#REF!</v>
      </c>
      <c r="Y848" s="17" t="e">
        <f>_xlfn.XLOOKUP(Table2[[#This Row],[Adjusted Form '#]],'[2]REJECTED ORDERS'!$D:$D,'[2]REJECTED ORDERS'!$E:$E)</f>
        <v>#N/A</v>
      </c>
      <c r="Z848" s="1"/>
      <c r="AA848" s="1"/>
      <c r="AB848" s="8"/>
      <c r="AC848" s="8"/>
      <c r="AD848" s="8"/>
      <c r="AE848" s="8"/>
      <c r="AF848" s="8"/>
      <c r="AG848" s="8"/>
      <c r="AH848" s="8"/>
      <c r="AI848" s="8"/>
      <c r="AJ848" s="8"/>
    </row>
    <row r="849" spans="1:36" ht="15" customHeight="1" x14ac:dyDescent="0.35">
      <c r="A849" s="4" t="s">
        <v>1267</v>
      </c>
      <c r="B849" s="1" t="s">
        <v>888</v>
      </c>
      <c r="C849" s="11">
        <v>45041</v>
      </c>
      <c r="D849" s="11" t="s">
        <v>5315</v>
      </c>
      <c r="E849" s="1" t="s">
        <v>21</v>
      </c>
      <c r="F849" s="1" t="s">
        <v>5316</v>
      </c>
      <c r="G849" s="6">
        <f>COUNTIF(F:F,Table2[[#This Row],[Form '#]])</f>
        <v>1</v>
      </c>
      <c r="H849" s="1" t="s">
        <v>5317</v>
      </c>
      <c r="I849" s="1" t="s">
        <v>758</v>
      </c>
      <c r="J849" s="1" t="s">
        <v>78</v>
      </c>
      <c r="K849" s="1" t="s">
        <v>3853</v>
      </c>
      <c r="L849" s="1"/>
      <c r="M849" s="6" t="str">
        <f>IF(Table2[[#This Row],[Corrected Form '#
 (If Duplicated)]]="",Table2[[#This Row],[Form '#]],Table2[[#This Row],[Corrected Form '#
 (If Duplicated)]])</f>
        <v>7818-22684</v>
      </c>
      <c r="N849" s="1" t="s">
        <v>49</v>
      </c>
      <c r="O849" s="6" t="str">
        <f>IF(Table2[[#This Row],[POG CONFIRMATION RECEIPT OF ORDER
(DATE &amp; TIME)]]="","No Confirmation","Received Confirmation")</f>
        <v>Received Confirmation</v>
      </c>
      <c r="P849" s="6">
        <f ca="1">TODAY()-Table2[[#This Row],[DATE SENT TO POG]]</f>
        <v>262</v>
      </c>
      <c r="Q849" s="6" t="s">
        <v>5803</v>
      </c>
      <c r="R8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49" s="2" t="str">
        <f>_xlfn.XLOOKUP(Table2[[#This Row],[Adjusted Form '#]],'[2]IN PROGRESS'!$D:$D,'[2]IN PROGRESS'!$M:$M,"Not Found")</f>
        <v>Not Found</v>
      </c>
      <c r="U849" s="2" t="str">
        <f>_xlfn.XLOOKUP(Table2[[#This Row],[Adjusted Form '#]],[1]COMPLETED!$D:$D,[2]COMPLETED!$M:$M,"Not Found")</f>
        <v>Not Found</v>
      </c>
      <c r="V849" s="17" t="str">
        <f>_xlfn.XLOOKUP(Table2[[#This Row],[Adjusted Form '#]],[2]COMPLETED!$D:$D,[2]COMPLETED!$O:$O,"Not Found")</f>
        <v>Not Found</v>
      </c>
      <c r="W849" s="2" t="str">
        <f>_xlfn.XLOOKUP(Table2[[#This Row],[Adjusted Form '#]],[2]BILLED!$D:$D,[2]BILLED!$M:$M,"Not Found")</f>
        <v>1Z5063E0YW41207624</v>
      </c>
      <c r="X849" s="17" t="e">
        <f>_xlfn.XLOOKUP(Table2[[#This Row],[Adjusted Form '#]],[2]BILLED!$D:$D,[1]BILLED!$O:$O,"Not Found")</f>
        <v>#REF!</v>
      </c>
      <c r="Y849" s="17" t="e">
        <f>_xlfn.XLOOKUP(Table2[[#This Row],[Adjusted Form '#]],'[2]REJECTED ORDERS'!$D:$D,'[2]REJECTED ORDERS'!$E:$E)</f>
        <v>#N/A</v>
      </c>
      <c r="Z849" s="1"/>
      <c r="AA849" s="1"/>
      <c r="AB849" s="8"/>
      <c r="AC849" s="8"/>
      <c r="AD849" s="8"/>
      <c r="AE849" s="8"/>
      <c r="AF849" s="8"/>
      <c r="AG849" s="8"/>
      <c r="AH849" s="8"/>
      <c r="AI849" s="8"/>
      <c r="AJ849" s="8"/>
    </row>
    <row r="850" spans="1:36" ht="15" customHeight="1" x14ac:dyDescent="0.35">
      <c r="A850" s="4" t="s">
        <v>1269</v>
      </c>
      <c r="B850" s="1" t="s">
        <v>888</v>
      </c>
      <c r="C850" s="11">
        <v>45041</v>
      </c>
      <c r="D850" s="11" t="s">
        <v>5315</v>
      </c>
      <c r="E850" s="1" t="s">
        <v>21</v>
      </c>
      <c r="F850" s="1" t="s">
        <v>5318</v>
      </c>
      <c r="G850" s="6">
        <f>COUNTIF(F:F,Table2[[#This Row],[Form '#]])</f>
        <v>1</v>
      </c>
      <c r="H850" s="1" t="s">
        <v>361</v>
      </c>
      <c r="I850" s="1" t="s">
        <v>127</v>
      </c>
      <c r="J850" s="1" t="s">
        <v>74</v>
      </c>
      <c r="K850" s="1" t="s">
        <v>4011</v>
      </c>
      <c r="L850" s="1"/>
      <c r="M850" s="6" t="str">
        <f>IF(Table2[[#This Row],[Corrected Form '#
 (If Duplicated)]]="",Table2[[#This Row],[Form '#]],Table2[[#This Row],[Corrected Form '#
 (If Duplicated)]])</f>
        <v>7818-11023</v>
      </c>
      <c r="N850" s="1" t="s">
        <v>49</v>
      </c>
      <c r="O850" s="6" t="str">
        <f>IF(Table2[[#This Row],[POG CONFIRMATION RECEIPT OF ORDER
(DATE &amp; TIME)]]="","No Confirmation","Received Confirmation")</f>
        <v>Received Confirmation</v>
      </c>
      <c r="P850" s="6">
        <f ca="1">TODAY()-Table2[[#This Row],[DATE SENT TO POG]]</f>
        <v>262</v>
      </c>
      <c r="Q850" s="6" t="s">
        <v>5803</v>
      </c>
      <c r="R8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0" s="2" t="str">
        <f>_xlfn.XLOOKUP(Table2[[#This Row],[Adjusted Form '#]],'[2]IN PROGRESS'!$D:$D,'[2]IN PROGRESS'!$M:$M,"Not Found")</f>
        <v>Not Found</v>
      </c>
      <c r="U850" s="2" t="str">
        <f>_xlfn.XLOOKUP(Table2[[#This Row],[Adjusted Form '#]],[1]COMPLETED!$D:$D,[2]COMPLETED!$M:$M,"Not Found")</f>
        <v>Not Found</v>
      </c>
      <c r="V850" s="17" t="str">
        <f>_xlfn.XLOOKUP(Table2[[#This Row],[Adjusted Form '#]],[2]COMPLETED!$D:$D,[2]COMPLETED!$O:$O,"Not Found")</f>
        <v>Not Found</v>
      </c>
      <c r="W850" s="2" t="str">
        <f>_xlfn.XLOOKUP(Table2[[#This Row],[Adjusted Form '#]],[2]BILLED!$D:$D,[2]BILLED!$M:$M,"Not Found")</f>
        <v>1Z5063E0YW42089859</v>
      </c>
      <c r="X850" s="17" t="e">
        <f>_xlfn.XLOOKUP(Table2[[#This Row],[Adjusted Form '#]],[2]BILLED!$D:$D,[1]BILLED!$O:$O,"Not Found")</f>
        <v>#REF!</v>
      </c>
      <c r="Y850" s="17" t="e">
        <f>_xlfn.XLOOKUP(Table2[[#This Row],[Adjusted Form '#]],'[2]REJECTED ORDERS'!$D:$D,'[2]REJECTED ORDERS'!$E:$E)</f>
        <v>#N/A</v>
      </c>
      <c r="Z850" s="1"/>
      <c r="AA850" s="1"/>
      <c r="AB850" s="8"/>
      <c r="AC850" s="8"/>
      <c r="AD850" s="8"/>
      <c r="AE850" s="8"/>
      <c r="AF850" s="8"/>
      <c r="AG850" s="8"/>
      <c r="AH850" s="8"/>
      <c r="AI850" s="8"/>
      <c r="AJ850" s="8"/>
    </row>
    <row r="851" spans="1:36" ht="15" customHeight="1" x14ac:dyDescent="0.35">
      <c r="A851" s="4" t="s">
        <v>1271</v>
      </c>
      <c r="B851" s="1" t="s">
        <v>2283</v>
      </c>
      <c r="C851" s="11">
        <v>45041</v>
      </c>
      <c r="D851" s="11" t="s">
        <v>5319</v>
      </c>
      <c r="E851" s="1" t="s">
        <v>21</v>
      </c>
      <c r="F851" s="1" t="s">
        <v>5320</v>
      </c>
      <c r="G851" s="6">
        <f>COUNTIF(F:F,Table2[[#This Row],[Form '#]])</f>
        <v>1</v>
      </c>
      <c r="H851" s="1" t="s">
        <v>5321</v>
      </c>
      <c r="I851" s="1" t="s">
        <v>106</v>
      </c>
      <c r="J851" s="1" t="s">
        <v>70</v>
      </c>
      <c r="K851" s="1" t="s">
        <v>4530</v>
      </c>
      <c r="L851" s="1"/>
      <c r="M851" s="6" t="str">
        <f>IF(Table2[[#This Row],[Corrected Form '#
 (If Duplicated)]]="",Table2[[#This Row],[Form '#]],Table2[[#This Row],[Corrected Form '#
 (If Duplicated)]])</f>
        <v>7818-23361</v>
      </c>
      <c r="N851" s="1" t="s">
        <v>49</v>
      </c>
      <c r="O851" s="6" t="str">
        <f>IF(Table2[[#This Row],[POG CONFIRMATION RECEIPT OF ORDER
(DATE &amp; TIME)]]="","No Confirmation","Received Confirmation")</f>
        <v>Received Confirmation</v>
      </c>
      <c r="P851" s="6">
        <f ca="1">TODAY()-Table2[[#This Row],[DATE SENT TO POG]]</f>
        <v>262</v>
      </c>
      <c r="Q851" s="6" t="s">
        <v>5803</v>
      </c>
      <c r="R8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1" s="2" t="str">
        <f>_xlfn.XLOOKUP(Table2[[#This Row],[Adjusted Form '#]],'[2]IN PROGRESS'!$D:$D,'[2]IN PROGRESS'!$M:$M,"Not Found")</f>
        <v>Not Found</v>
      </c>
      <c r="U851" s="2" t="str">
        <f>_xlfn.XLOOKUP(Table2[[#This Row],[Adjusted Form '#]],[1]COMPLETED!$D:$D,[2]COMPLETED!$M:$M,"Not Found")</f>
        <v>Not Found</v>
      </c>
      <c r="V851" s="17" t="str">
        <f>_xlfn.XLOOKUP(Table2[[#This Row],[Adjusted Form '#]],[2]COMPLETED!$D:$D,[2]COMPLETED!$O:$O,"Not Found")</f>
        <v>Not Found</v>
      </c>
      <c r="W851" s="2" t="str">
        <f>_xlfn.XLOOKUP(Table2[[#This Row],[Adjusted Form '#]],[2]BILLED!$D:$D,[2]BILLED!$M:$M,"Not Found")</f>
        <v>1Z5063E0YW42582762</v>
      </c>
      <c r="X851" s="17" t="e">
        <f>_xlfn.XLOOKUP(Table2[[#This Row],[Adjusted Form '#]],[2]BILLED!$D:$D,[1]BILLED!$O:$O,"Not Found")</f>
        <v>#REF!</v>
      </c>
      <c r="Y851" s="17" t="e">
        <f>_xlfn.XLOOKUP(Table2[[#This Row],[Adjusted Form '#]],'[2]REJECTED ORDERS'!$D:$D,'[2]REJECTED ORDERS'!$E:$E)</f>
        <v>#N/A</v>
      </c>
      <c r="Z851" s="1"/>
      <c r="AA851" s="1"/>
      <c r="AB851" s="8"/>
      <c r="AC851" s="8"/>
      <c r="AD851" s="8"/>
      <c r="AE851" s="8"/>
      <c r="AF851" s="8"/>
      <c r="AG851" s="8"/>
      <c r="AH851" s="8"/>
      <c r="AI851" s="8"/>
      <c r="AJ851" s="8"/>
    </row>
    <row r="852" spans="1:36" ht="15" customHeight="1" x14ac:dyDescent="0.35">
      <c r="A852" s="4" t="s">
        <v>1274</v>
      </c>
      <c r="B852" s="1" t="s">
        <v>2079</v>
      </c>
      <c r="C852" s="11">
        <v>45041</v>
      </c>
      <c r="D852" s="11" t="s">
        <v>5322</v>
      </c>
      <c r="E852" s="1" t="s">
        <v>21</v>
      </c>
      <c r="F852" s="1" t="s">
        <v>5323</v>
      </c>
      <c r="G852" s="6">
        <f>COUNTIF(F:F,Table2[[#This Row],[Form '#]])</f>
        <v>1</v>
      </c>
      <c r="H852" s="1" t="s">
        <v>5324</v>
      </c>
      <c r="I852" s="1" t="s">
        <v>3864</v>
      </c>
      <c r="J852" s="1" t="s">
        <v>78</v>
      </c>
      <c r="K852" s="1" t="s">
        <v>3879</v>
      </c>
      <c r="L852" s="1"/>
      <c r="M852" s="6" t="str">
        <f>IF(Table2[[#This Row],[Corrected Form '#
 (If Duplicated)]]="",Table2[[#This Row],[Form '#]],Table2[[#This Row],[Corrected Form '#
 (If Duplicated)]])</f>
        <v>7818-25286</v>
      </c>
      <c r="N852" s="1" t="s">
        <v>49</v>
      </c>
      <c r="O852" s="6" t="str">
        <f>IF(Table2[[#This Row],[POG CONFIRMATION RECEIPT OF ORDER
(DATE &amp; TIME)]]="","No Confirmation","Received Confirmation")</f>
        <v>Received Confirmation</v>
      </c>
      <c r="P852" s="6">
        <f ca="1">TODAY()-Table2[[#This Row],[DATE SENT TO POG]]</f>
        <v>262</v>
      </c>
      <c r="Q852" s="6" t="s">
        <v>5803</v>
      </c>
      <c r="R8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2" s="2" t="str">
        <f>_xlfn.XLOOKUP(Table2[[#This Row],[Adjusted Form '#]],'[2]IN PROGRESS'!$D:$D,'[2]IN PROGRESS'!$M:$M,"Not Found")</f>
        <v>Not Found</v>
      </c>
      <c r="U852" s="2" t="str">
        <f>_xlfn.XLOOKUP(Table2[[#This Row],[Adjusted Form '#]],[1]COMPLETED!$D:$D,[2]COMPLETED!$M:$M,"Not Found")</f>
        <v>Not Found</v>
      </c>
      <c r="V852" s="17" t="str">
        <f>_xlfn.XLOOKUP(Table2[[#This Row],[Adjusted Form '#]],[2]COMPLETED!$D:$D,[2]COMPLETED!$O:$O,"Not Found")</f>
        <v>Not Found</v>
      </c>
      <c r="W852" s="2" t="str">
        <f>_xlfn.XLOOKUP(Table2[[#This Row],[Adjusted Form '#]],[2]BILLED!$D:$D,[2]BILLED!$M:$M,"Not Found")</f>
        <v>1Z5063E0YW41589392</v>
      </c>
      <c r="X852" s="17" t="e">
        <f>_xlfn.XLOOKUP(Table2[[#This Row],[Adjusted Form '#]],[2]BILLED!$D:$D,[1]BILLED!$O:$O,"Not Found")</f>
        <v>#REF!</v>
      </c>
      <c r="Y852" s="17" t="e">
        <f>_xlfn.XLOOKUP(Table2[[#This Row],[Adjusted Form '#]],'[2]REJECTED ORDERS'!$D:$D,'[2]REJECTED ORDERS'!$E:$E)</f>
        <v>#N/A</v>
      </c>
      <c r="Z852" s="1"/>
      <c r="AA852" s="1"/>
      <c r="AB852" s="8"/>
      <c r="AC852" s="8"/>
      <c r="AD852" s="8"/>
      <c r="AE852" s="8"/>
      <c r="AF852" s="8"/>
      <c r="AG852" s="8"/>
      <c r="AH852" s="8"/>
      <c r="AI852" s="8"/>
      <c r="AJ852" s="8"/>
    </row>
    <row r="853" spans="1:36" ht="15" customHeight="1" x14ac:dyDescent="0.35">
      <c r="A853" s="4" t="s">
        <v>1277</v>
      </c>
      <c r="B853" s="1" t="s">
        <v>2079</v>
      </c>
      <c r="C853" s="11">
        <v>45041</v>
      </c>
      <c r="D853" s="11" t="s">
        <v>5322</v>
      </c>
      <c r="E853" s="1" t="s">
        <v>21</v>
      </c>
      <c r="F853" s="1" t="s">
        <v>5325</v>
      </c>
      <c r="G853" s="6">
        <f>COUNTIF(F:F,Table2[[#This Row],[Form '#]])</f>
        <v>1</v>
      </c>
      <c r="H853" s="1" t="s">
        <v>313</v>
      </c>
      <c r="I853" s="1" t="s">
        <v>3852</v>
      </c>
      <c r="J853" s="1" t="s">
        <v>80</v>
      </c>
      <c r="K853" s="1" t="s">
        <v>3853</v>
      </c>
      <c r="L853" s="1"/>
      <c r="M853" s="6" t="str">
        <f>IF(Table2[[#This Row],[Corrected Form '#
 (If Duplicated)]]="",Table2[[#This Row],[Form '#]],Table2[[#This Row],[Corrected Form '#
 (If Duplicated)]])</f>
        <v>7818-29908</v>
      </c>
      <c r="N853" s="1" t="s">
        <v>49</v>
      </c>
      <c r="O853" s="6" t="str">
        <f>IF(Table2[[#This Row],[POG CONFIRMATION RECEIPT OF ORDER
(DATE &amp; TIME)]]="","No Confirmation","Received Confirmation")</f>
        <v>Received Confirmation</v>
      </c>
      <c r="P853" s="6">
        <f ca="1">TODAY()-Table2[[#This Row],[DATE SENT TO POG]]</f>
        <v>262</v>
      </c>
      <c r="Q853" s="6" t="s">
        <v>5803</v>
      </c>
      <c r="R8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3" s="2" t="str">
        <f>_xlfn.XLOOKUP(Table2[[#This Row],[Adjusted Form '#]],'[2]IN PROGRESS'!$D:$D,'[2]IN PROGRESS'!$M:$M,"Not Found")</f>
        <v>Not Found</v>
      </c>
      <c r="U853" s="2" t="str">
        <f>_xlfn.XLOOKUP(Table2[[#This Row],[Adjusted Form '#]],[1]COMPLETED!$D:$D,[2]COMPLETED!$M:$M,"Not Found")</f>
        <v>Not Found</v>
      </c>
      <c r="V853" s="17" t="str">
        <f>_xlfn.XLOOKUP(Table2[[#This Row],[Adjusted Form '#]],[2]COMPLETED!$D:$D,[2]COMPLETED!$O:$O,"Not Found")</f>
        <v>Not Found</v>
      </c>
      <c r="W853" s="2" t="str">
        <f>_xlfn.XLOOKUP(Table2[[#This Row],[Adjusted Form '#]],[2]BILLED!$D:$D,[2]BILLED!$M:$M,"Not Found")</f>
        <v>1Z5063E0YW42030429</v>
      </c>
      <c r="X853" s="17" t="e">
        <f>_xlfn.XLOOKUP(Table2[[#This Row],[Adjusted Form '#]],[2]BILLED!$D:$D,[1]BILLED!$O:$O,"Not Found")</f>
        <v>#REF!</v>
      </c>
      <c r="Y853" s="17" t="e">
        <f>_xlfn.XLOOKUP(Table2[[#This Row],[Adjusted Form '#]],'[2]REJECTED ORDERS'!$D:$D,'[2]REJECTED ORDERS'!$E:$E)</f>
        <v>#N/A</v>
      </c>
      <c r="Z853" s="1"/>
      <c r="AA853" s="1"/>
      <c r="AB853" s="8"/>
      <c r="AC853" s="8"/>
      <c r="AD853" s="8"/>
      <c r="AE853" s="8"/>
      <c r="AF853" s="8"/>
      <c r="AG853" s="8"/>
      <c r="AH853" s="8"/>
      <c r="AI853" s="8"/>
      <c r="AJ853" s="8"/>
    </row>
    <row r="854" spans="1:36" ht="15" customHeight="1" x14ac:dyDescent="0.35">
      <c r="A854" s="4" t="s">
        <v>1280</v>
      </c>
      <c r="B854" s="1" t="s">
        <v>2079</v>
      </c>
      <c r="C854" s="11">
        <v>45041</v>
      </c>
      <c r="D854" s="11" t="s">
        <v>5322</v>
      </c>
      <c r="E854" s="1" t="s">
        <v>21</v>
      </c>
      <c r="F854" s="1" t="s">
        <v>5326</v>
      </c>
      <c r="G854" s="6">
        <f>COUNTIF(F:F,Table2[[#This Row],[Form '#]])</f>
        <v>1</v>
      </c>
      <c r="H854" s="1" t="s">
        <v>2397</v>
      </c>
      <c r="I854" s="1" t="s">
        <v>127</v>
      </c>
      <c r="J854" s="1" t="s">
        <v>74</v>
      </c>
      <c r="K854" s="1" t="s">
        <v>4011</v>
      </c>
      <c r="L854" s="1"/>
      <c r="M854" s="6" t="str">
        <f>IF(Table2[[#This Row],[Corrected Form '#
 (If Duplicated)]]="",Table2[[#This Row],[Form '#]],Table2[[#This Row],[Corrected Form '#
 (If Duplicated)]])</f>
        <v>7818-25205</v>
      </c>
      <c r="N854" s="1" t="s">
        <v>49</v>
      </c>
      <c r="O854" s="6" t="str">
        <f>IF(Table2[[#This Row],[POG CONFIRMATION RECEIPT OF ORDER
(DATE &amp; TIME)]]="","No Confirmation","Received Confirmation")</f>
        <v>Received Confirmation</v>
      </c>
      <c r="P854" s="6">
        <f ca="1">TODAY()-Table2[[#This Row],[DATE SENT TO POG]]</f>
        <v>262</v>
      </c>
      <c r="Q854" s="6" t="s">
        <v>5803</v>
      </c>
      <c r="R8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4" s="2" t="str">
        <f>_xlfn.XLOOKUP(Table2[[#This Row],[Adjusted Form '#]],'[2]IN PROGRESS'!$D:$D,'[2]IN PROGRESS'!$M:$M,"Not Found")</f>
        <v>Not Found</v>
      </c>
      <c r="U854" s="2" t="str">
        <f>_xlfn.XLOOKUP(Table2[[#This Row],[Adjusted Form '#]],[1]COMPLETED!$D:$D,[2]COMPLETED!$M:$M,"Not Found")</f>
        <v>Not Found</v>
      </c>
      <c r="V854" s="17" t="str">
        <f>_xlfn.XLOOKUP(Table2[[#This Row],[Adjusted Form '#]],[2]COMPLETED!$D:$D,[2]COMPLETED!$O:$O,"Not Found")</f>
        <v>Not Found</v>
      </c>
      <c r="W854" s="2" t="str">
        <f>_xlfn.XLOOKUP(Table2[[#This Row],[Adjusted Form '#]],[2]BILLED!$D:$D,[2]BILLED!$M:$M,"Not Found")</f>
        <v>1Z5063E0YW40372617</v>
      </c>
      <c r="X854" s="17" t="e">
        <f>_xlfn.XLOOKUP(Table2[[#This Row],[Adjusted Form '#]],[2]BILLED!$D:$D,[1]BILLED!$O:$O,"Not Found")</f>
        <v>#REF!</v>
      </c>
      <c r="Y854" s="17" t="e">
        <f>_xlfn.XLOOKUP(Table2[[#This Row],[Adjusted Form '#]],'[2]REJECTED ORDERS'!$D:$D,'[2]REJECTED ORDERS'!$E:$E)</f>
        <v>#N/A</v>
      </c>
      <c r="Z854" s="1"/>
      <c r="AA854" s="1"/>
      <c r="AB854" s="8"/>
      <c r="AC854" s="8"/>
      <c r="AD854" s="8"/>
      <c r="AE854" s="8"/>
      <c r="AF854" s="8"/>
      <c r="AG854" s="8"/>
      <c r="AH854" s="8"/>
      <c r="AI854" s="8"/>
      <c r="AJ854" s="8"/>
    </row>
    <row r="855" spans="1:36" ht="15" customHeight="1" x14ac:dyDescent="0.35">
      <c r="A855" s="4" t="s">
        <v>1281</v>
      </c>
      <c r="B855" s="1" t="s">
        <v>1689</v>
      </c>
      <c r="C855" s="11">
        <v>45041</v>
      </c>
      <c r="D855" s="11" t="s">
        <v>5327</v>
      </c>
      <c r="E855" s="1" t="s">
        <v>14</v>
      </c>
      <c r="F855" s="1" t="s">
        <v>5328</v>
      </c>
      <c r="G855" s="6">
        <f>COUNTIF(F:F,Table2[[#This Row],[Form '#]])</f>
        <v>1</v>
      </c>
      <c r="H855" s="1" t="s">
        <v>5329</v>
      </c>
      <c r="I855" s="1" t="s">
        <v>3864</v>
      </c>
      <c r="J855" s="1" t="s">
        <v>3891</v>
      </c>
      <c r="K855" s="1" t="s">
        <v>3879</v>
      </c>
      <c r="L855" s="1"/>
      <c r="M855" s="6" t="str">
        <f>IF(Table2[[#This Row],[Corrected Form '#
 (If Duplicated)]]="",Table2[[#This Row],[Form '#]],Table2[[#This Row],[Corrected Form '#
 (If Duplicated)]])</f>
        <v>7810-00090</v>
      </c>
      <c r="N855" s="1" t="s">
        <v>49</v>
      </c>
      <c r="O855" s="6" t="str">
        <f>IF(Table2[[#This Row],[POG CONFIRMATION RECEIPT OF ORDER
(DATE &amp; TIME)]]="","No Confirmation","Received Confirmation")</f>
        <v>Received Confirmation</v>
      </c>
      <c r="P855" s="6">
        <f ca="1">TODAY()-Table2[[#This Row],[DATE SENT TO POG]]</f>
        <v>262</v>
      </c>
      <c r="Q855" s="6" t="s">
        <v>5803</v>
      </c>
      <c r="R8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5" s="2" t="str">
        <f>_xlfn.XLOOKUP(Table2[[#This Row],[Adjusted Form '#]],'[2]IN PROGRESS'!$D:$D,'[2]IN PROGRESS'!$M:$M,"Not Found")</f>
        <v>Not Found</v>
      </c>
      <c r="U855" s="2" t="str">
        <f>_xlfn.XLOOKUP(Table2[[#This Row],[Adjusted Form '#]],[1]COMPLETED!$D:$D,[2]COMPLETED!$M:$M,"Not Found")</f>
        <v>Not Found</v>
      </c>
      <c r="V855" s="17" t="str">
        <f>_xlfn.XLOOKUP(Table2[[#This Row],[Adjusted Form '#]],[2]COMPLETED!$D:$D,[2]COMPLETED!$O:$O,"Not Found")</f>
        <v>Not Found</v>
      </c>
      <c r="W855" s="2" t="str">
        <f>_xlfn.XLOOKUP(Table2[[#This Row],[Adjusted Form '#]],[2]BILLED!$D:$D,[2]BILLED!$M:$M,"Not Found")</f>
        <v>1Z5063E0YW41004638</v>
      </c>
      <c r="X855" s="17" t="e">
        <f>_xlfn.XLOOKUP(Table2[[#This Row],[Adjusted Form '#]],[2]BILLED!$D:$D,[1]BILLED!$O:$O,"Not Found")</f>
        <v>#REF!</v>
      </c>
      <c r="Y855" s="17" t="e">
        <f>_xlfn.XLOOKUP(Table2[[#This Row],[Adjusted Form '#]],'[2]REJECTED ORDERS'!$D:$D,'[2]REJECTED ORDERS'!$E:$E)</f>
        <v>#N/A</v>
      </c>
      <c r="Z855" s="1"/>
      <c r="AA855" s="1"/>
      <c r="AB855" s="8"/>
      <c r="AC855" s="8"/>
      <c r="AD855" s="8"/>
      <c r="AE855" s="8"/>
      <c r="AF855" s="8"/>
      <c r="AG855" s="8"/>
      <c r="AH855" s="8"/>
      <c r="AI855" s="8"/>
      <c r="AJ855" s="8"/>
    </row>
    <row r="856" spans="1:36" ht="15" customHeight="1" x14ac:dyDescent="0.35">
      <c r="A856" s="4" t="s">
        <v>1283</v>
      </c>
      <c r="B856" s="1" t="s">
        <v>1543</v>
      </c>
      <c r="C856" s="11">
        <v>45041</v>
      </c>
      <c r="D856" s="11" t="s">
        <v>5330</v>
      </c>
      <c r="E856" s="1" t="s">
        <v>21</v>
      </c>
      <c r="F856" s="1" t="s">
        <v>5331</v>
      </c>
      <c r="G856" s="6">
        <f>COUNTIF(F:F,Table2[[#This Row],[Form '#]])</f>
        <v>1</v>
      </c>
      <c r="H856" s="1" t="s">
        <v>5332</v>
      </c>
      <c r="I856" s="1" t="s">
        <v>3864</v>
      </c>
      <c r="J856" s="1" t="s">
        <v>78</v>
      </c>
      <c r="K856" s="1" t="s">
        <v>3879</v>
      </c>
      <c r="L856" s="1"/>
      <c r="M856" s="6" t="str">
        <f>IF(Table2[[#This Row],[Corrected Form '#
 (If Duplicated)]]="",Table2[[#This Row],[Form '#]],Table2[[#This Row],[Corrected Form '#
 (If Duplicated)]])</f>
        <v>7818-18744</v>
      </c>
      <c r="N856" s="1" t="s">
        <v>49</v>
      </c>
      <c r="O856" s="6" t="str">
        <f>IF(Table2[[#This Row],[POG CONFIRMATION RECEIPT OF ORDER
(DATE &amp; TIME)]]="","No Confirmation","Received Confirmation")</f>
        <v>Received Confirmation</v>
      </c>
      <c r="P856" s="6">
        <f ca="1">TODAY()-Table2[[#This Row],[DATE SENT TO POG]]</f>
        <v>262</v>
      </c>
      <c r="Q856" s="6" t="s">
        <v>5803</v>
      </c>
      <c r="R8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6" s="2" t="str">
        <f>_xlfn.XLOOKUP(Table2[[#This Row],[Adjusted Form '#]],'[2]IN PROGRESS'!$D:$D,'[2]IN PROGRESS'!$M:$M,"Not Found")</f>
        <v>Not Found</v>
      </c>
      <c r="U856" s="2" t="str">
        <f>_xlfn.XLOOKUP(Table2[[#This Row],[Adjusted Form '#]],[1]COMPLETED!$D:$D,[2]COMPLETED!$M:$M,"Not Found")</f>
        <v>Not Found</v>
      </c>
      <c r="V856" s="17" t="str">
        <f>_xlfn.XLOOKUP(Table2[[#This Row],[Adjusted Form '#]],[2]COMPLETED!$D:$D,[2]COMPLETED!$O:$O,"Not Found")</f>
        <v>Not Found</v>
      </c>
      <c r="W856" s="2" t="str">
        <f>_xlfn.XLOOKUP(Table2[[#This Row],[Adjusted Form '#]],[2]BILLED!$D:$D,[2]BILLED!$M:$M,"Not Found")</f>
        <v>1Z5063E0YW41906155</v>
      </c>
      <c r="X856" s="17" t="e">
        <f>_xlfn.XLOOKUP(Table2[[#This Row],[Adjusted Form '#]],[2]BILLED!$D:$D,[1]BILLED!$O:$O,"Not Found")</f>
        <v>#REF!</v>
      </c>
      <c r="Y856" s="17" t="e">
        <f>_xlfn.XLOOKUP(Table2[[#This Row],[Adjusted Form '#]],'[2]REJECTED ORDERS'!$D:$D,'[2]REJECTED ORDERS'!$E:$E)</f>
        <v>#N/A</v>
      </c>
      <c r="Z856" s="1"/>
      <c r="AA856" s="1"/>
      <c r="AB856" s="8"/>
      <c r="AC856" s="8"/>
      <c r="AD856" s="8"/>
      <c r="AE856" s="8"/>
      <c r="AF856" s="8"/>
      <c r="AG856" s="8"/>
      <c r="AH856" s="8"/>
      <c r="AI856" s="8"/>
      <c r="AJ856" s="8"/>
    </row>
    <row r="857" spans="1:36" ht="15" customHeight="1" x14ac:dyDescent="0.35">
      <c r="A857" s="4" t="s">
        <v>1284</v>
      </c>
      <c r="B857" s="1" t="s">
        <v>5333</v>
      </c>
      <c r="C857" s="11">
        <v>45041</v>
      </c>
      <c r="E857" s="1" t="s">
        <v>14</v>
      </c>
      <c r="F857" s="1" t="s">
        <v>5334</v>
      </c>
      <c r="G857" s="6">
        <f>COUNTIF(F:F,Table2[[#This Row],[Form '#]])</f>
        <v>1</v>
      </c>
      <c r="H857" s="1" t="s">
        <v>5335</v>
      </c>
      <c r="I857" s="1" t="s">
        <v>177</v>
      </c>
      <c r="J857" s="1" t="s">
        <v>3891</v>
      </c>
      <c r="K857" s="1" t="s">
        <v>4430</v>
      </c>
      <c r="L857" s="1"/>
      <c r="M857" s="6" t="str">
        <f>IF(Table2[[#This Row],[Corrected Form '#
 (If Duplicated)]]="",Table2[[#This Row],[Form '#]],Table2[[#This Row],[Corrected Form '#
 (If Duplicated)]])</f>
        <v>7810-01815</v>
      </c>
      <c r="N857" s="1" t="s">
        <v>49</v>
      </c>
      <c r="O857" s="6" t="str">
        <f>IF(Table2[[#This Row],[POG CONFIRMATION RECEIPT OF ORDER
(DATE &amp; TIME)]]="","No Confirmation","Received Confirmation")</f>
        <v>No Confirmation</v>
      </c>
      <c r="P857" s="6">
        <f ca="1">TODAY()-Table2[[#This Row],[DATE SENT TO POG]]</f>
        <v>262</v>
      </c>
      <c r="Q857" s="6" t="s">
        <v>5803</v>
      </c>
      <c r="R8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7" s="2" t="str">
        <f>_xlfn.XLOOKUP(Table2[[#This Row],[Adjusted Form '#]],'[2]IN PROGRESS'!$D:$D,'[2]IN PROGRESS'!$M:$M,"Not Found")</f>
        <v>Not Found</v>
      </c>
      <c r="U857" s="2" t="str">
        <f>_xlfn.XLOOKUP(Table2[[#This Row],[Adjusted Form '#]],[1]COMPLETED!$D:$D,[2]COMPLETED!$M:$M,"Not Found")</f>
        <v>Not Found</v>
      </c>
      <c r="V857" s="17" t="str">
        <f>_xlfn.XLOOKUP(Table2[[#This Row],[Adjusted Form '#]],[2]COMPLETED!$D:$D,[2]COMPLETED!$O:$O,"Not Found")</f>
        <v>Not Found</v>
      </c>
      <c r="W857" s="2" t="str">
        <f>_xlfn.XLOOKUP(Table2[[#This Row],[Adjusted Form '#]],[2]BILLED!$D:$D,[2]BILLED!$M:$M,"Not Found")</f>
        <v>1Z5063E0YW42828532</v>
      </c>
      <c r="X857" s="17" t="e">
        <f>_xlfn.XLOOKUP(Table2[[#This Row],[Adjusted Form '#]],[2]BILLED!$D:$D,[1]BILLED!$O:$O,"Not Found")</f>
        <v>#REF!</v>
      </c>
      <c r="Y857" s="17" t="e">
        <f>_xlfn.XLOOKUP(Table2[[#This Row],[Adjusted Form '#]],'[2]REJECTED ORDERS'!$D:$D,'[2]REJECTED ORDERS'!$E:$E)</f>
        <v>#N/A</v>
      </c>
      <c r="Z857" s="1"/>
      <c r="AA857" s="1"/>
      <c r="AB857" s="8"/>
      <c r="AC857" s="8"/>
      <c r="AD857" s="8"/>
      <c r="AE857" s="8"/>
      <c r="AF857" s="8"/>
      <c r="AG857" s="8"/>
      <c r="AH857" s="8"/>
      <c r="AI857" s="8"/>
      <c r="AJ857" s="8"/>
    </row>
    <row r="858" spans="1:36" ht="15" customHeight="1" x14ac:dyDescent="0.35">
      <c r="A858" s="4" t="s">
        <v>1286</v>
      </c>
      <c r="B858" s="1" t="s">
        <v>3941</v>
      </c>
      <c r="C858" s="11">
        <v>45042</v>
      </c>
      <c r="D858" s="11" t="s">
        <v>5336</v>
      </c>
      <c r="E858" s="1" t="s">
        <v>21</v>
      </c>
      <c r="F858" s="1" t="s">
        <v>5337</v>
      </c>
      <c r="G858" s="6">
        <f>COUNTIF(F:F,Table2[[#This Row],[Form '#]])</f>
        <v>1</v>
      </c>
      <c r="H858" s="1" t="s">
        <v>5338</v>
      </c>
      <c r="I858" s="1" t="s">
        <v>3852</v>
      </c>
      <c r="J858" s="1" t="s">
        <v>75</v>
      </c>
      <c r="K858" s="1" t="s">
        <v>4011</v>
      </c>
      <c r="L858" s="1"/>
      <c r="M858" s="6" t="str">
        <f>IF(Table2[[#This Row],[Corrected Form '#
 (If Duplicated)]]="",Table2[[#This Row],[Form '#]],Table2[[#This Row],[Corrected Form '#
 (If Duplicated)]])</f>
        <v>7818-27135</v>
      </c>
      <c r="N858" s="1" t="s">
        <v>49</v>
      </c>
      <c r="O858" s="6" t="str">
        <f>IF(Table2[[#This Row],[POG CONFIRMATION RECEIPT OF ORDER
(DATE &amp; TIME)]]="","No Confirmation","Received Confirmation")</f>
        <v>Received Confirmation</v>
      </c>
      <c r="P858" s="6">
        <f ca="1">TODAY()-Table2[[#This Row],[DATE SENT TO POG]]</f>
        <v>261</v>
      </c>
      <c r="Q858" s="6" t="s">
        <v>5803</v>
      </c>
      <c r="R8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8" s="2" t="str">
        <f>_xlfn.XLOOKUP(Table2[[#This Row],[Adjusted Form '#]],'[2]IN PROGRESS'!$D:$D,'[2]IN PROGRESS'!$M:$M,"Not Found")</f>
        <v>Not Found</v>
      </c>
      <c r="U858" s="2" t="str">
        <f>_xlfn.XLOOKUP(Table2[[#This Row],[Adjusted Form '#]],[1]COMPLETED!$D:$D,[2]COMPLETED!$M:$M,"Not Found")</f>
        <v>Not Found</v>
      </c>
      <c r="V858" s="17" t="str">
        <f>_xlfn.XLOOKUP(Table2[[#This Row],[Adjusted Form '#]],[2]COMPLETED!$D:$D,[2]COMPLETED!$O:$O,"Not Found")</f>
        <v>Not Found</v>
      </c>
      <c r="W858" s="2" t="str">
        <f>_xlfn.XLOOKUP(Table2[[#This Row],[Adjusted Form '#]],[2]BILLED!$D:$D,[2]BILLED!$M:$M,"Not Found")</f>
        <v>1Z5063E0YW41751492</v>
      </c>
      <c r="X858" s="17" t="e">
        <f>_xlfn.XLOOKUP(Table2[[#This Row],[Adjusted Form '#]],[2]BILLED!$D:$D,[1]BILLED!$O:$O,"Not Found")</f>
        <v>#REF!</v>
      </c>
      <c r="Y858" s="17" t="e">
        <f>_xlfn.XLOOKUP(Table2[[#This Row],[Adjusted Form '#]],'[2]REJECTED ORDERS'!$D:$D,'[2]REJECTED ORDERS'!$E:$E)</f>
        <v>#N/A</v>
      </c>
      <c r="Z858" s="1"/>
      <c r="AA858" s="1"/>
      <c r="AB858" s="8"/>
      <c r="AC858" s="8"/>
      <c r="AD858" s="8"/>
      <c r="AE858" s="8"/>
      <c r="AF858" s="8"/>
      <c r="AG858" s="8"/>
      <c r="AH858" s="8"/>
      <c r="AI858" s="8"/>
      <c r="AJ858" s="8"/>
    </row>
    <row r="859" spans="1:36" ht="15" customHeight="1" x14ac:dyDescent="0.35">
      <c r="A859" s="4" t="s">
        <v>1288</v>
      </c>
      <c r="B859" s="1" t="s">
        <v>3941</v>
      </c>
      <c r="C859" s="11">
        <v>45042</v>
      </c>
      <c r="D859" s="11" t="s">
        <v>5336</v>
      </c>
      <c r="E859" s="1" t="s">
        <v>21</v>
      </c>
      <c r="F859" s="1" t="s">
        <v>5339</v>
      </c>
      <c r="G859" s="6">
        <f>COUNTIF(F:F,Table2[[#This Row],[Form '#]])</f>
        <v>1</v>
      </c>
      <c r="H859" s="1" t="s">
        <v>5340</v>
      </c>
      <c r="I859" s="1" t="s">
        <v>127</v>
      </c>
      <c r="J859" s="1" t="s">
        <v>74</v>
      </c>
      <c r="K859" s="1" t="s">
        <v>3883</v>
      </c>
      <c r="L859" s="1"/>
      <c r="M859" s="6" t="str">
        <f>IF(Table2[[#This Row],[Corrected Form '#
 (If Duplicated)]]="",Table2[[#This Row],[Form '#]],Table2[[#This Row],[Corrected Form '#
 (If Duplicated)]])</f>
        <v>7818-24668</v>
      </c>
      <c r="N859" s="1" t="s">
        <v>49</v>
      </c>
      <c r="O859" s="6" t="str">
        <f>IF(Table2[[#This Row],[POG CONFIRMATION RECEIPT OF ORDER
(DATE &amp; TIME)]]="","No Confirmation","Received Confirmation")</f>
        <v>Received Confirmation</v>
      </c>
      <c r="P859" s="6">
        <f ca="1">TODAY()-Table2[[#This Row],[DATE SENT TO POG]]</f>
        <v>261</v>
      </c>
      <c r="Q859" s="6" t="s">
        <v>5803</v>
      </c>
      <c r="R8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59" s="2" t="str">
        <f>_xlfn.XLOOKUP(Table2[[#This Row],[Adjusted Form '#]],'[2]IN PROGRESS'!$D:$D,'[2]IN PROGRESS'!$M:$M,"Not Found")</f>
        <v>Not Found</v>
      </c>
      <c r="U859" s="2" t="str">
        <f>_xlfn.XLOOKUP(Table2[[#This Row],[Adjusted Form '#]],[1]COMPLETED!$D:$D,[2]COMPLETED!$M:$M,"Not Found")</f>
        <v>Not Found</v>
      </c>
      <c r="V859" s="17" t="str">
        <f>_xlfn.XLOOKUP(Table2[[#This Row],[Adjusted Form '#]],[2]COMPLETED!$D:$D,[2]COMPLETED!$O:$O,"Not Found")</f>
        <v>Not Found</v>
      </c>
      <c r="W859" s="2" t="str">
        <f>_xlfn.XLOOKUP(Table2[[#This Row],[Adjusted Form '#]],[2]BILLED!$D:$D,[2]BILLED!$M:$M,"Not Found")</f>
        <v>1Z5063E0YW41323589</v>
      </c>
      <c r="X859" s="17" t="e">
        <f>_xlfn.XLOOKUP(Table2[[#This Row],[Adjusted Form '#]],[2]BILLED!$D:$D,[1]BILLED!$O:$O,"Not Found")</f>
        <v>#REF!</v>
      </c>
      <c r="Y859" s="17" t="e">
        <f>_xlfn.XLOOKUP(Table2[[#This Row],[Adjusted Form '#]],'[2]REJECTED ORDERS'!$D:$D,'[2]REJECTED ORDERS'!$E:$E)</f>
        <v>#N/A</v>
      </c>
      <c r="Z859" s="1"/>
      <c r="AA859" s="1"/>
      <c r="AB859" s="8"/>
      <c r="AC859" s="8"/>
      <c r="AD859" s="8"/>
      <c r="AE859" s="8"/>
      <c r="AF859" s="8"/>
      <c r="AG859" s="8"/>
      <c r="AH859" s="8"/>
      <c r="AI859" s="8"/>
      <c r="AJ859" s="8"/>
    </row>
    <row r="860" spans="1:36" ht="15" customHeight="1" x14ac:dyDescent="0.35">
      <c r="A860" s="4" t="s">
        <v>1291</v>
      </c>
      <c r="B860" s="1" t="s">
        <v>2760</v>
      </c>
      <c r="C860" s="11">
        <v>45042</v>
      </c>
      <c r="D860" s="11" t="s">
        <v>5341</v>
      </c>
      <c r="E860" s="1" t="s">
        <v>191</v>
      </c>
      <c r="F860" s="1" t="s">
        <v>2631</v>
      </c>
      <c r="G860" s="6">
        <f>COUNTIF(F:F,Table2[[#This Row],[Form '#]])</f>
        <v>2</v>
      </c>
      <c r="H860" s="1" t="s">
        <v>2632</v>
      </c>
      <c r="I860" s="1" t="s">
        <v>3852</v>
      </c>
      <c r="J860" s="1" t="s">
        <v>76</v>
      </c>
      <c r="K860" s="1" t="s">
        <v>3891</v>
      </c>
      <c r="L860" s="1"/>
      <c r="M860" s="6" t="str">
        <f>IF(Table2[[#This Row],[Corrected Form '#
 (If Duplicated)]]="",Table2[[#This Row],[Form '#]],Table2[[#This Row],[Corrected Form '#
 (If Duplicated)]])</f>
        <v>7812-02923</v>
      </c>
      <c r="N860" s="1" t="s">
        <v>49</v>
      </c>
      <c r="O860" s="6" t="str">
        <f>IF(Table2[[#This Row],[POG CONFIRMATION RECEIPT OF ORDER
(DATE &amp; TIME)]]="","No Confirmation","Received Confirmation")</f>
        <v>Received Confirmation</v>
      </c>
      <c r="P860" s="6">
        <f ca="1">TODAY()-Table2[[#This Row],[DATE SENT TO POG]]</f>
        <v>261</v>
      </c>
      <c r="Q860" s="6" t="s">
        <v>5803</v>
      </c>
      <c r="R8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0" s="2" t="str">
        <f>_xlfn.XLOOKUP(Table2[[#This Row],[Adjusted Form '#]],'[2]IN PROGRESS'!$D:$D,'[2]IN PROGRESS'!$M:$M,"Not Found")</f>
        <v>Not Found</v>
      </c>
      <c r="U860" s="2" t="str">
        <f>_xlfn.XLOOKUP(Table2[[#This Row],[Adjusted Form '#]],[1]COMPLETED!$D:$D,[2]COMPLETED!$M:$M,"Not Found")</f>
        <v>Not Found</v>
      </c>
      <c r="V860" s="17" t="str">
        <f>_xlfn.XLOOKUP(Table2[[#This Row],[Adjusted Form '#]],[2]COMPLETED!$D:$D,[2]COMPLETED!$O:$O,"Not Found")</f>
        <v>Not Found</v>
      </c>
      <c r="W860" s="2" t="str">
        <f>_xlfn.XLOOKUP(Table2[[#This Row],[Adjusted Form '#]],[2]BILLED!$D:$D,[2]BILLED!$M:$M,"Not Found")</f>
        <v>9400 1112 0620 9507 4716 18</v>
      </c>
      <c r="X860" s="17" t="e">
        <f>_xlfn.XLOOKUP(Table2[[#This Row],[Adjusted Form '#]],[2]BILLED!$D:$D,[1]BILLED!$O:$O,"Not Found")</f>
        <v>#REF!</v>
      </c>
      <c r="Y860" s="17" t="str">
        <f>_xlfn.XLOOKUP(Table2[[#This Row],[Adjusted Form '#]],'[2]REJECTED ORDERS'!$D:$D,'[2]REJECTED ORDERS'!$E:$E)</f>
        <v>FORM NUMBER ALREADY USED</v>
      </c>
      <c r="Z860" s="1"/>
      <c r="AA860" s="1"/>
      <c r="AB860" s="8"/>
      <c r="AC860" s="8"/>
      <c r="AD860" s="8"/>
      <c r="AE860" s="8"/>
      <c r="AF860" s="8"/>
      <c r="AG860" s="8"/>
      <c r="AH860" s="8"/>
      <c r="AI860" s="8"/>
      <c r="AJ860" s="8"/>
    </row>
    <row r="861" spans="1:36" ht="15" customHeight="1" x14ac:dyDescent="0.35">
      <c r="A861" s="4" t="s">
        <v>1293</v>
      </c>
      <c r="B861" s="1" t="s">
        <v>653</v>
      </c>
      <c r="C861" s="11">
        <v>45042</v>
      </c>
      <c r="E861" s="1" t="s">
        <v>21</v>
      </c>
      <c r="F861" s="1" t="s">
        <v>5342</v>
      </c>
      <c r="G861" s="6">
        <f>COUNTIF(F:F,Table2[[#This Row],[Form '#]])</f>
        <v>1</v>
      </c>
      <c r="H861" s="1" t="s">
        <v>1925</v>
      </c>
      <c r="I861" s="1" t="s">
        <v>3864</v>
      </c>
      <c r="J861" s="1" t="s">
        <v>78</v>
      </c>
      <c r="K861" s="1" t="s">
        <v>3879</v>
      </c>
      <c r="L861" s="1"/>
      <c r="M861" s="6" t="str">
        <f>IF(Table2[[#This Row],[Corrected Form '#
 (If Duplicated)]]="",Table2[[#This Row],[Form '#]],Table2[[#This Row],[Corrected Form '#
 (If Duplicated)]])</f>
        <v>7818-17199</v>
      </c>
      <c r="N861" s="1" t="s">
        <v>49</v>
      </c>
      <c r="O861" s="6" t="str">
        <f>IF(Table2[[#This Row],[POG CONFIRMATION RECEIPT OF ORDER
(DATE &amp; TIME)]]="","No Confirmation","Received Confirmation")</f>
        <v>No Confirmation</v>
      </c>
      <c r="P861" s="6">
        <f ca="1">TODAY()-Table2[[#This Row],[DATE SENT TO POG]]</f>
        <v>261</v>
      </c>
      <c r="Q861" s="6" t="s">
        <v>5803</v>
      </c>
      <c r="R8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1" s="2" t="str">
        <f>_xlfn.XLOOKUP(Table2[[#This Row],[Adjusted Form '#]],'[2]IN PROGRESS'!$D:$D,'[2]IN PROGRESS'!$M:$M,"Not Found")</f>
        <v>Not Found</v>
      </c>
      <c r="U861" s="2" t="str">
        <f>_xlfn.XLOOKUP(Table2[[#This Row],[Adjusted Form '#]],[1]COMPLETED!$D:$D,[2]COMPLETED!$M:$M,"Not Found")</f>
        <v>Not Found</v>
      </c>
      <c r="V861" s="17" t="str">
        <f>_xlfn.XLOOKUP(Table2[[#This Row],[Adjusted Form '#]],[2]COMPLETED!$D:$D,[2]COMPLETED!$O:$O,"Not Found")</f>
        <v>Not Found</v>
      </c>
      <c r="W861" s="2" t="str">
        <f>_xlfn.XLOOKUP(Table2[[#This Row],[Adjusted Form '#]],[2]BILLED!$D:$D,[2]BILLED!$M:$M,"Not Found")</f>
        <v>1Z5063E0YW41852427</v>
      </c>
      <c r="X861" s="17" t="e">
        <f>_xlfn.XLOOKUP(Table2[[#This Row],[Adjusted Form '#]],[2]BILLED!$D:$D,[1]BILLED!$O:$O,"Not Found")</f>
        <v>#REF!</v>
      </c>
      <c r="Y861" s="17" t="e">
        <f>_xlfn.XLOOKUP(Table2[[#This Row],[Adjusted Form '#]],'[2]REJECTED ORDERS'!$D:$D,'[2]REJECTED ORDERS'!$E:$E)</f>
        <v>#N/A</v>
      </c>
      <c r="Z861" s="1"/>
      <c r="AA861" s="1"/>
      <c r="AB861" s="8"/>
      <c r="AC861" s="8"/>
      <c r="AD861" s="8"/>
      <c r="AE861" s="8"/>
      <c r="AF861" s="8"/>
      <c r="AG861" s="8"/>
      <c r="AH861" s="8"/>
      <c r="AI861" s="8"/>
      <c r="AJ861" s="8"/>
    </row>
    <row r="862" spans="1:36" ht="15" customHeight="1" x14ac:dyDescent="0.35">
      <c r="A862" s="4" t="s">
        <v>1295</v>
      </c>
      <c r="B862" s="1" t="s">
        <v>653</v>
      </c>
      <c r="C862" s="11">
        <v>45042</v>
      </c>
      <c r="E862" s="1" t="s">
        <v>21</v>
      </c>
      <c r="F862" s="1" t="s">
        <v>5343</v>
      </c>
      <c r="G862" s="6">
        <f>COUNTIF(F:F,Table2[[#This Row],[Form '#]])</f>
        <v>1</v>
      </c>
      <c r="H862" s="1" t="s">
        <v>2481</v>
      </c>
      <c r="I862" s="1" t="s">
        <v>3864</v>
      </c>
      <c r="J862" s="1" t="s">
        <v>78</v>
      </c>
      <c r="K862" s="1" t="s">
        <v>3879</v>
      </c>
      <c r="L862" s="1"/>
      <c r="M862" s="6" t="str">
        <f>IF(Table2[[#This Row],[Corrected Form '#
 (If Duplicated)]]="",Table2[[#This Row],[Form '#]],Table2[[#This Row],[Corrected Form '#
 (If Duplicated)]])</f>
        <v>7818-00057</v>
      </c>
      <c r="N862" s="1" t="s">
        <v>49</v>
      </c>
      <c r="O862" s="6" t="str">
        <f>IF(Table2[[#This Row],[POG CONFIRMATION RECEIPT OF ORDER
(DATE &amp; TIME)]]="","No Confirmation","Received Confirmation")</f>
        <v>No Confirmation</v>
      </c>
      <c r="P862" s="6">
        <f ca="1">TODAY()-Table2[[#This Row],[DATE SENT TO POG]]</f>
        <v>261</v>
      </c>
      <c r="Q862" s="6" t="s">
        <v>5803</v>
      </c>
      <c r="R8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2" s="2" t="str">
        <f>_xlfn.XLOOKUP(Table2[[#This Row],[Adjusted Form '#]],'[2]IN PROGRESS'!$D:$D,'[2]IN PROGRESS'!$M:$M,"Not Found")</f>
        <v>Not Found</v>
      </c>
      <c r="U862" s="2" t="str">
        <f>_xlfn.XLOOKUP(Table2[[#This Row],[Adjusted Form '#]],[1]COMPLETED!$D:$D,[2]COMPLETED!$M:$M,"Not Found")</f>
        <v>Not Found</v>
      </c>
      <c r="V862" s="17" t="str">
        <f>_xlfn.XLOOKUP(Table2[[#This Row],[Adjusted Form '#]],[2]COMPLETED!$D:$D,[2]COMPLETED!$O:$O,"Not Found")</f>
        <v>Not Found</v>
      </c>
      <c r="W862" s="2" t="str">
        <f>_xlfn.XLOOKUP(Table2[[#This Row],[Adjusted Form '#]],[2]BILLED!$D:$D,[2]BILLED!$M:$M,"Not Found")</f>
        <v>1Z5063E0YW40899657</v>
      </c>
      <c r="X862" s="17" t="e">
        <f>_xlfn.XLOOKUP(Table2[[#This Row],[Adjusted Form '#]],[2]BILLED!$D:$D,[1]BILLED!$O:$O,"Not Found")</f>
        <v>#REF!</v>
      </c>
      <c r="Y862" s="17" t="e">
        <f>_xlfn.XLOOKUP(Table2[[#This Row],[Adjusted Form '#]],'[2]REJECTED ORDERS'!$D:$D,'[2]REJECTED ORDERS'!$E:$E)</f>
        <v>#N/A</v>
      </c>
      <c r="Z862" s="1"/>
      <c r="AA862" s="1"/>
      <c r="AB862" s="8"/>
      <c r="AC862" s="8"/>
      <c r="AD862" s="8"/>
      <c r="AE862" s="8"/>
      <c r="AF862" s="8"/>
      <c r="AG862" s="8"/>
      <c r="AH862" s="8"/>
      <c r="AI862" s="8"/>
      <c r="AJ862" s="8"/>
    </row>
    <row r="863" spans="1:36" ht="15" customHeight="1" x14ac:dyDescent="0.35">
      <c r="A863" s="4" t="s">
        <v>1296</v>
      </c>
      <c r="B863" s="1" t="s">
        <v>653</v>
      </c>
      <c r="C863" s="11">
        <v>45042</v>
      </c>
      <c r="E863" s="1" t="s">
        <v>21</v>
      </c>
      <c r="F863" s="1" t="s">
        <v>5344</v>
      </c>
      <c r="G863" s="6">
        <f>COUNTIF(F:F,Table2[[#This Row],[Form '#]])</f>
        <v>1</v>
      </c>
      <c r="H863" s="1" t="s">
        <v>1661</v>
      </c>
      <c r="I863" s="1" t="s">
        <v>127</v>
      </c>
      <c r="J863" s="1" t="s">
        <v>74</v>
      </c>
      <c r="K863" s="1" t="s">
        <v>4011</v>
      </c>
      <c r="L863" s="1"/>
      <c r="M863" s="6" t="str">
        <f>IF(Table2[[#This Row],[Corrected Form '#
 (If Duplicated)]]="",Table2[[#This Row],[Form '#]],Table2[[#This Row],[Corrected Form '#
 (If Duplicated)]])</f>
        <v>7818-12697</v>
      </c>
      <c r="N863" s="1" t="s">
        <v>49</v>
      </c>
      <c r="O863" s="6" t="str">
        <f>IF(Table2[[#This Row],[POG CONFIRMATION RECEIPT OF ORDER
(DATE &amp; TIME)]]="","No Confirmation","Received Confirmation")</f>
        <v>No Confirmation</v>
      </c>
      <c r="P863" s="6">
        <f ca="1">TODAY()-Table2[[#This Row],[DATE SENT TO POG]]</f>
        <v>261</v>
      </c>
      <c r="Q863" s="6" t="s">
        <v>5803</v>
      </c>
      <c r="R8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3" s="2" t="str">
        <f>_xlfn.XLOOKUP(Table2[[#This Row],[Adjusted Form '#]],'[2]IN PROGRESS'!$D:$D,'[2]IN PROGRESS'!$M:$M,"Not Found")</f>
        <v>Not Found</v>
      </c>
      <c r="U863" s="2" t="str">
        <f>_xlfn.XLOOKUP(Table2[[#This Row],[Adjusted Form '#]],[1]COMPLETED!$D:$D,[2]COMPLETED!$M:$M,"Not Found")</f>
        <v>Not Found</v>
      </c>
      <c r="V863" s="17" t="str">
        <f>_xlfn.XLOOKUP(Table2[[#This Row],[Adjusted Form '#]],[2]COMPLETED!$D:$D,[2]COMPLETED!$O:$O,"Not Found")</f>
        <v>Not Found</v>
      </c>
      <c r="W863" s="2" t="str">
        <f>_xlfn.XLOOKUP(Table2[[#This Row],[Adjusted Form '#]],[2]BILLED!$D:$D,[2]BILLED!$M:$M,"Not Found")</f>
        <v>1Z5063E0YW42125247</v>
      </c>
      <c r="X863" s="17" t="e">
        <f>_xlfn.XLOOKUP(Table2[[#This Row],[Adjusted Form '#]],[2]BILLED!$D:$D,[1]BILLED!$O:$O,"Not Found")</f>
        <v>#REF!</v>
      </c>
      <c r="Y863" s="17" t="e">
        <f>_xlfn.XLOOKUP(Table2[[#This Row],[Adjusted Form '#]],'[2]REJECTED ORDERS'!$D:$D,'[2]REJECTED ORDERS'!$E:$E)</f>
        <v>#N/A</v>
      </c>
      <c r="Z863" s="1"/>
      <c r="AA863" s="1"/>
      <c r="AB863" s="8"/>
      <c r="AC863" s="8"/>
      <c r="AD863" s="8"/>
      <c r="AE863" s="8"/>
      <c r="AF863" s="8"/>
      <c r="AG863" s="8"/>
      <c r="AH863" s="8"/>
      <c r="AI863" s="8"/>
      <c r="AJ863" s="8"/>
    </row>
    <row r="864" spans="1:36" ht="15" customHeight="1" x14ac:dyDescent="0.35">
      <c r="A864" s="4" t="s">
        <v>1298</v>
      </c>
      <c r="B864" s="1" t="s">
        <v>653</v>
      </c>
      <c r="C864" s="11">
        <v>45042</v>
      </c>
      <c r="E864" s="1" t="s">
        <v>21</v>
      </c>
      <c r="F864" s="1" t="s">
        <v>5345</v>
      </c>
      <c r="G864" s="6">
        <f>COUNTIF(F:F,Table2[[#This Row],[Form '#]])</f>
        <v>1</v>
      </c>
      <c r="H864" s="1" t="s">
        <v>5346</v>
      </c>
      <c r="I864" s="1" t="s">
        <v>177</v>
      </c>
      <c r="J864" s="1" t="s">
        <v>75</v>
      </c>
      <c r="K864" s="1" t="s">
        <v>3853</v>
      </c>
      <c r="L864" s="1"/>
      <c r="M864" s="6" t="str">
        <f>IF(Table2[[#This Row],[Corrected Form '#
 (If Duplicated)]]="",Table2[[#This Row],[Form '#]],Table2[[#This Row],[Corrected Form '#
 (If Duplicated)]])</f>
        <v>7818-28399</v>
      </c>
      <c r="N864" s="1" t="s">
        <v>49</v>
      </c>
      <c r="O864" s="6" t="str">
        <f>IF(Table2[[#This Row],[POG CONFIRMATION RECEIPT OF ORDER
(DATE &amp; TIME)]]="","No Confirmation","Received Confirmation")</f>
        <v>No Confirmation</v>
      </c>
      <c r="P864" s="6">
        <f ca="1">TODAY()-Table2[[#This Row],[DATE SENT TO POG]]</f>
        <v>261</v>
      </c>
      <c r="Q864" s="6" t="s">
        <v>5803</v>
      </c>
      <c r="R8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4" s="2" t="str">
        <f>_xlfn.XLOOKUP(Table2[[#This Row],[Adjusted Form '#]],'[2]IN PROGRESS'!$D:$D,'[2]IN PROGRESS'!$M:$M,"Not Found")</f>
        <v>Not Found</v>
      </c>
      <c r="U864" s="2" t="str">
        <f>_xlfn.XLOOKUP(Table2[[#This Row],[Adjusted Form '#]],[1]COMPLETED!$D:$D,[2]COMPLETED!$M:$M,"Not Found")</f>
        <v>Not Found</v>
      </c>
      <c r="V864" s="17" t="str">
        <f>_xlfn.XLOOKUP(Table2[[#This Row],[Adjusted Form '#]],[2]COMPLETED!$D:$D,[2]COMPLETED!$O:$O,"Not Found")</f>
        <v>Not Found</v>
      </c>
      <c r="W864" s="2" t="str">
        <f>_xlfn.XLOOKUP(Table2[[#This Row],[Adjusted Form '#]],[2]BILLED!$D:$D,[2]BILLED!$M:$M,"Not Found")</f>
        <v>1Z5063E0YW40004514</v>
      </c>
      <c r="X864" s="17" t="e">
        <f>_xlfn.XLOOKUP(Table2[[#This Row],[Adjusted Form '#]],[2]BILLED!$D:$D,[1]BILLED!$O:$O,"Not Found")</f>
        <v>#REF!</v>
      </c>
      <c r="Y864" s="17" t="e">
        <f>_xlfn.XLOOKUP(Table2[[#This Row],[Adjusted Form '#]],'[2]REJECTED ORDERS'!$D:$D,'[2]REJECTED ORDERS'!$E:$E)</f>
        <v>#N/A</v>
      </c>
      <c r="Z864" s="1"/>
      <c r="AA864" s="1"/>
      <c r="AB864" s="8"/>
      <c r="AC864" s="8"/>
      <c r="AD864" s="8"/>
      <c r="AE864" s="8"/>
      <c r="AF864" s="8"/>
      <c r="AG864" s="8"/>
      <c r="AH864" s="8"/>
      <c r="AI864" s="8"/>
      <c r="AJ864" s="8"/>
    </row>
    <row r="865" spans="1:36" ht="15" customHeight="1" x14ac:dyDescent="0.35">
      <c r="A865" s="4" t="s">
        <v>1301</v>
      </c>
      <c r="B865" s="1" t="s">
        <v>3385</v>
      </c>
      <c r="C865" s="11">
        <v>45043</v>
      </c>
      <c r="D865" s="11" t="s">
        <v>5347</v>
      </c>
      <c r="E865" s="1" t="s">
        <v>21</v>
      </c>
      <c r="F865" s="1" t="s">
        <v>5348</v>
      </c>
      <c r="G865" s="6">
        <f>COUNTIF(F:F,Table2[[#This Row],[Form '#]])</f>
        <v>1</v>
      </c>
      <c r="H865" s="1" t="s">
        <v>5349</v>
      </c>
      <c r="I865" s="1" t="s">
        <v>758</v>
      </c>
      <c r="J865" s="1" t="s">
        <v>78</v>
      </c>
      <c r="K865" s="1" t="s">
        <v>3853</v>
      </c>
      <c r="L865" s="1"/>
      <c r="M865" s="6" t="str">
        <f>IF(Table2[[#This Row],[Corrected Form '#
 (If Duplicated)]]="",Table2[[#This Row],[Form '#]],Table2[[#This Row],[Corrected Form '#
 (If Duplicated)]])</f>
        <v>7818-20128</v>
      </c>
      <c r="N865" s="1" t="s">
        <v>49</v>
      </c>
      <c r="O865" s="6" t="str">
        <f>IF(Table2[[#This Row],[POG CONFIRMATION RECEIPT OF ORDER
(DATE &amp; TIME)]]="","No Confirmation","Received Confirmation")</f>
        <v>Received Confirmation</v>
      </c>
      <c r="P865" s="6">
        <f ca="1">TODAY()-Table2[[#This Row],[DATE SENT TO POG]]</f>
        <v>260</v>
      </c>
      <c r="Q865" s="6" t="s">
        <v>5803</v>
      </c>
      <c r="R8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5" s="2" t="str">
        <f>_xlfn.XLOOKUP(Table2[[#This Row],[Adjusted Form '#]],'[2]IN PROGRESS'!$D:$D,'[2]IN PROGRESS'!$M:$M,"Not Found")</f>
        <v>Not Found</v>
      </c>
      <c r="U865" s="2" t="str">
        <f>_xlfn.XLOOKUP(Table2[[#This Row],[Adjusted Form '#]],[1]COMPLETED!$D:$D,[2]COMPLETED!$M:$M,"Not Found")</f>
        <v>Not Found</v>
      </c>
      <c r="V865" s="17" t="str">
        <f>_xlfn.XLOOKUP(Table2[[#This Row],[Adjusted Form '#]],[2]COMPLETED!$D:$D,[2]COMPLETED!$O:$O,"Not Found")</f>
        <v>Not Found</v>
      </c>
      <c r="W865" s="2" t="str">
        <f>_xlfn.XLOOKUP(Table2[[#This Row],[Adjusted Form '#]],[2]BILLED!$D:$D,[2]BILLED!$M:$M,"Not Found")</f>
        <v>1Z5063E0YW40623837</v>
      </c>
      <c r="X865" s="17" t="e">
        <f>_xlfn.XLOOKUP(Table2[[#This Row],[Adjusted Form '#]],[2]BILLED!$D:$D,[1]BILLED!$O:$O,"Not Found")</f>
        <v>#REF!</v>
      </c>
      <c r="Y865" s="17" t="e">
        <f>_xlfn.XLOOKUP(Table2[[#This Row],[Adjusted Form '#]],'[2]REJECTED ORDERS'!$D:$D,'[2]REJECTED ORDERS'!$E:$E)</f>
        <v>#N/A</v>
      </c>
      <c r="Z865" s="1"/>
      <c r="AA865" s="1"/>
      <c r="AB865" s="8"/>
      <c r="AC865" s="8"/>
      <c r="AD865" s="8"/>
      <c r="AE865" s="8"/>
      <c r="AF865" s="8"/>
      <c r="AG865" s="8"/>
      <c r="AH865" s="8"/>
      <c r="AI865" s="8"/>
      <c r="AJ865" s="8"/>
    </row>
    <row r="866" spans="1:36" ht="15" customHeight="1" x14ac:dyDescent="0.35">
      <c r="A866" s="4" t="s">
        <v>1303</v>
      </c>
      <c r="B866" s="1" t="s">
        <v>3385</v>
      </c>
      <c r="C866" s="11">
        <v>45043</v>
      </c>
      <c r="D866" s="11" t="s">
        <v>5347</v>
      </c>
      <c r="E866" s="1" t="s">
        <v>21</v>
      </c>
      <c r="F866" s="1" t="s">
        <v>5350</v>
      </c>
      <c r="G866" s="6">
        <f>COUNTIF(F:F,Table2[[#This Row],[Form '#]])</f>
        <v>1</v>
      </c>
      <c r="H866" s="1" t="s">
        <v>5351</v>
      </c>
      <c r="I866" s="1" t="s">
        <v>127</v>
      </c>
      <c r="J866" s="1" t="s">
        <v>76</v>
      </c>
      <c r="K866" s="1" t="s">
        <v>3883</v>
      </c>
      <c r="L866" s="1"/>
      <c r="M866" s="6" t="str">
        <f>IF(Table2[[#This Row],[Corrected Form '#
 (If Duplicated)]]="",Table2[[#This Row],[Form '#]],Table2[[#This Row],[Corrected Form '#
 (If Duplicated)]])</f>
        <v>7818-21654</v>
      </c>
      <c r="N866" s="1" t="s">
        <v>49</v>
      </c>
      <c r="O866" s="6" t="str">
        <f>IF(Table2[[#This Row],[POG CONFIRMATION RECEIPT OF ORDER
(DATE &amp; TIME)]]="","No Confirmation","Received Confirmation")</f>
        <v>Received Confirmation</v>
      </c>
      <c r="P866" s="6">
        <f ca="1">TODAY()-Table2[[#This Row],[DATE SENT TO POG]]</f>
        <v>260</v>
      </c>
      <c r="Q866" s="6" t="s">
        <v>5803</v>
      </c>
      <c r="R8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6" s="2" t="str">
        <f>_xlfn.XLOOKUP(Table2[[#This Row],[Adjusted Form '#]],'[2]IN PROGRESS'!$D:$D,'[2]IN PROGRESS'!$M:$M,"Not Found")</f>
        <v>Not Found</v>
      </c>
      <c r="U866" s="2" t="str">
        <f>_xlfn.XLOOKUP(Table2[[#This Row],[Adjusted Form '#]],[1]COMPLETED!$D:$D,[2]COMPLETED!$M:$M,"Not Found")</f>
        <v>Not Found</v>
      </c>
      <c r="V866" s="17" t="str">
        <f>_xlfn.XLOOKUP(Table2[[#This Row],[Adjusted Form '#]],[2]COMPLETED!$D:$D,[2]COMPLETED!$O:$O,"Not Found")</f>
        <v>Not Found</v>
      </c>
      <c r="W866" s="2" t="str">
        <f>_xlfn.XLOOKUP(Table2[[#This Row],[Adjusted Form '#]],[2]BILLED!$D:$D,[2]BILLED!$M:$M,"Not Found")</f>
        <v>1Z5063E0YW40451371</v>
      </c>
      <c r="X866" s="17" t="e">
        <f>_xlfn.XLOOKUP(Table2[[#This Row],[Adjusted Form '#]],[2]BILLED!$D:$D,[1]BILLED!$O:$O,"Not Found")</f>
        <v>#REF!</v>
      </c>
      <c r="Y866" s="17" t="e">
        <f>_xlfn.XLOOKUP(Table2[[#This Row],[Adjusted Form '#]],'[2]REJECTED ORDERS'!$D:$D,'[2]REJECTED ORDERS'!$E:$E)</f>
        <v>#N/A</v>
      </c>
      <c r="Z866" s="1"/>
      <c r="AA866" s="1"/>
      <c r="AB866" s="8"/>
      <c r="AC866" s="8"/>
      <c r="AD866" s="8"/>
      <c r="AE866" s="8"/>
      <c r="AF866" s="8"/>
      <c r="AG866" s="8"/>
      <c r="AH866" s="8"/>
      <c r="AI866" s="8"/>
      <c r="AJ866" s="8"/>
    </row>
    <row r="867" spans="1:36" ht="15" customHeight="1" x14ac:dyDescent="0.35">
      <c r="A867" s="4" t="s">
        <v>1304</v>
      </c>
      <c r="B867" s="1" t="s">
        <v>3385</v>
      </c>
      <c r="C867" s="11">
        <v>45043</v>
      </c>
      <c r="D867" s="11" t="s">
        <v>5347</v>
      </c>
      <c r="E867" s="1" t="s">
        <v>21</v>
      </c>
      <c r="F867" s="1" t="s">
        <v>5352</v>
      </c>
      <c r="G867" s="6">
        <f>COUNTIF(F:F,Table2[[#This Row],[Form '#]])</f>
        <v>1</v>
      </c>
      <c r="H867" s="1" t="s">
        <v>5353</v>
      </c>
      <c r="I867" s="1" t="s">
        <v>28</v>
      </c>
      <c r="J867" s="1" t="s">
        <v>3891</v>
      </c>
      <c r="K867" s="1" t="s">
        <v>4011</v>
      </c>
      <c r="L867" s="1"/>
      <c r="M867" s="6" t="str">
        <f>IF(Table2[[#This Row],[Corrected Form '#
 (If Duplicated)]]="",Table2[[#This Row],[Form '#]],Table2[[#This Row],[Corrected Form '#
 (If Duplicated)]])</f>
        <v>7818-17694</v>
      </c>
      <c r="N867" s="1" t="s">
        <v>49</v>
      </c>
      <c r="O867" s="6" t="str">
        <f>IF(Table2[[#This Row],[POG CONFIRMATION RECEIPT OF ORDER
(DATE &amp; TIME)]]="","No Confirmation","Received Confirmation")</f>
        <v>Received Confirmation</v>
      </c>
      <c r="P867" s="6">
        <f ca="1">TODAY()-Table2[[#This Row],[DATE SENT TO POG]]</f>
        <v>260</v>
      </c>
      <c r="Q867" s="6" t="s">
        <v>5803</v>
      </c>
      <c r="R8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7" s="2" t="str">
        <f>_xlfn.XLOOKUP(Table2[[#This Row],[Adjusted Form '#]],'[2]IN PROGRESS'!$D:$D,'[2]IN PROGRESS'!$M:$M,"Not Found")</f>
        <v>Not Found</v>
      </c>
      <c r="U867" s="2" t="str">
        <f>_xlfn.XLOOKUP(Table2[[#This Row],[Adjusted Form '#]],[1]COMPLETED!$D:$D,[2]COMPLETED!$M:$M,"Not Found")</f>
        <v>Not Found</v>
      </c>
      <c r="V867" s="17" t="str">
        <f>_xlfn.XLOOKUP(Table2[[#This Row],[Adjusted Form '#]],[2]COMPLETED!$D:$D,[2]COMPLETED!$O:$O,"Not Found")</f>
        <v>Not Found</v>
      </c>
      <c r="W867" s="2" t="str">
        <f>_xlfn.XLOOKUP(Table2[[#This Row],[Adjusted Form '#]],[2]BILLED!$D:$D,[2]BILLED!$M:$M,"Not Found")</f>
        <v>1Z5063E0YW41211093</v>
      </c>
      <c r="X867" s="17" t="e">
        <f>_xlfn.XLOOKUP(Table2[[#This Row],[Adjusted Form '#]],[2]BILLED!$D:$D,[1]BILLED!$O:$O,"Not Found")</f>
        <v>#REF!</v>
      </c>
      <c r="Y867" s="17" t="e">
        <f>_xlfn.XLOOKUP(Table2[[#This Row],[Adjusted Form '#]],'[2]REJECTED ORDERS'!$D:$D,'[2]REJECTED ORDERS'!$E:$E)</f>
        <v>#N/A</v>
      </c>
      <c r="Z867" s="1"/>
      <c r="AA867" s="1"/>
      <c r="AB867" s="8"/>
      <c r="AC867" s="8"/>
      <c r="AD867" s="8"/>
      <c r="AE867" s="8"/>
      <c r="AF867" s="8"/>
      <c r="AG867" s="8"/>
      <c r="AH867" s="8"/>
      <c r="AI867" s="8"/>
      <c r="AJ867" s="8"/>
    </row>
    <row r="868" spans="1:36" ht="15" customHeight="1" x14ac:dyDescent="0.35">
      <c r="A868" s="4" t="s">
        <v>1306</v>
      </c>
      <c r="B868" s="1" t="s">
        <v>3385</v>
      </c>
      <c r="C868" s="11">
        <v>45043</v>
      </c>
      <c r="D868" s="11" t="s">
        <v>5347</v>
      </c>
      <c r="E868" s="1" t="s">
        <v>21</v>
      </c>
      <c r="F868" s="1" t="s">
        <v>5354</v>
      </c>
      <c r="G868" s="6">
        <f>COUNTIF(F:F,Table2[[#This Row],[Form '#]])</f>
        <v>1</v>
      </c>
      <c r="H868" s="1" t="s">
        <v>5355</v>
      </c>
      <c r="I868" s="1" t="s">
        <v>28</v>
      </c>
      <c r="J868" s="1" t="s">
        <v>3891</v>
      </c>
      <c r="K868" s="1" t="s">
        <v>4631</v>
      </c>
      <c r="L868" s="1"/>
      <c r="M868" s="6" t="str">
        <f>IF(Table2[[#This Row],[Corrected Form '#
 (If Duplicated)]]="",Table2[[#This Row],[Form '#]],Table2[[#This Row],[Corrected Form '#
 (If Duplicated)]])</f>
        <v>7818-21857</v>
      </c>
      <c r="N868" s="1" t="s">
        <v>49</v>
      </c>
      <c r="O868" s="6" t="str">
        <f>IF(Table2[[#This Row],[POG CONFIRMATION RECEIPT OF ORDER
(DATE &amp; TIME)]]="","No Confirmation","Received Confirmation")</f>
        <v>Received Confirmation</v>
      </c>
      <c r="P868" s="6">
        <f ca="1">TODAY()-Table2[[#This Row],[DATE SENT TO POG]]</f>
        <v>260</v>
      </c>
      <c r="Q868" s="6" t="s">
        <v>5803</v>
      </c>
      <c r="R8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8" s="2" t="str">
        <f>_xlfn.XLOOKUP(Table2[[#This Row],[Adjusted Form '#]],'[2]IN PROGRESS'!$D:$D,'[2]IN PROGRESS'!$M:$M,"Not Found")</f>
        <v>Not Found</v>
      </c>
      <c r="U868" s="2" t="str">
        <f>_xlfn.XLOOKUP(Table2[[#This Row],[Adjusted Form '#]],[1]COMPLETED!$D:$D,[2]COMPLETED!$M:$M,"Not Found")</f>
        <v>Not Found</v>
      </c>
      <c r="V868" s="17" t="str">
        <f>_xlfn.XLOOKUP(Table2[[#This Row],[Adjusted Form '#]],[2]COMPLETED!$D:$D,[2]COMPLETED!$O:$O,"Not Found")</f>
        <v>Not Found</v>
      </c>
      <c r="W868" s="2" t="str">
        <f>_xlfn.XLOOKUP(Table2[[#This Row],[Adjusted Form '#]],[2]BILLED!$D:$D,[2]BILLED!$M:$M,"Not Found")</f>
        <v>1Z5063E0YW41306839</v>
      </c>
      <c r="X868" s="17" t="e">
        <f>_xlfn.XLOOKUP(Table2[[#This Row],[Adjusted Form '#]],[2]BILLED!$D:$D,[1]BILLED!$O:$O,"Not Found")</f>
        <v>#REF!</v>
      </c>
      <c r="Y868" s="17" t="e">
        <f>_xlfn.XLOOKUP(Table2[[#This Row],[Adjusted Form '#]],'[2]REJECTED ORDERS'!$D:$D,'[2]REJECTED ORDERS'!$E:$E)</f>
        <v>#N/A</v>
      </c>
      <c r="Z868" s="1"/>
      <c r="AA868" s="1"/>
      <c r="AB868" s="8"/>
      <c r="AC868" s="8"/>
      <c r="AD868" s="8"/>
      <c r="AE868" s="8"/>
      <c r="AF868" s="8"/>
      <c r="AG868" s="8"/>
      <c r="AH868" s="8"/>
      <c r="AI868" s="8"/>
      <c r="AJ868" s="8"/>
    </row>
    <row r="869" spans="1:36" ht="15" customHeight="1" x14ac:dyDescent="0.35">
      <c r="A869" s="4" t="s">
        <v>1308</v>
      </c>
      <c r="B869" s="1" t="s">
        <v>3385</v>
      </c>
      <c r="C869" s="11">
        <v>45043</v>
      </c>
      <c r="D869" s="11" t="s">
        <v>5347</v>
      </c>
      <c r="E869" s="1" t="s">
        <v>21</v>
      </c>
      <c r="F869" s="1" t="s">
        <v>5356</v>
      </c>
      <c r="G869" s="6">
        <f>COUNTIF(F:F,Table2[[#This Row],[Form '#]])</f>
        <v>1</v>
      </c>
      <c r="H869" s="1" t="s">
        <v>5357</v>
      </c>
      <c r="I869" s="1" t="s">
        <v>3852</v>
      </c>
      <c r="J869" s="1" t="s">
        <v>80</v>
      </c>
      <c r="K869" s="1" t="s">
        <v>3853</v>
      </c>
      <c r="L869" s="1"/>
      <c r="M869" s="6" t="str">
        <f>IF(Table2[[#This Row],[Corrected Form '#
 (If Duplicated)]]="",Table2[[#This Row],[Form '#]],Table2[[#This Row],[Corrected Form '#
 (If Duplicated)]])</f>
        <v>7818-25136</v>
      </c>
      <c r="N869" s="1" t="s">
        <v>49</v>
      </c>
      <c r="O869" s="6" t="str">
        <f>IF(Table2[[#This Row],[POG CONFIRMATION RECEIPT OF ORDER
(DATE &amp; TIME)]]="","No Confirmation","Received Confirmation")</f>
        <v>Received Confirmation</v>
      </c>
      <c r="P869" s="6">
        <f ca="1">TODAY()-Table2[[#This Row],[DATE SENT TO POG]]</f>
        <v>260</v>
      </c>
      <c r="Q869" s="6" t="s">
        <v>5803</v>
      </c>
      <c r="R8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69" s="2" t="str">
        <f>_xlfn.XLOOKUP(Table2[[#This Row],[Adjusted Form '#]],'[2]IN PROGRESS'!$D:$D,'[2]IN PROGRESS'!$M:$M,"Not Found")</f>
        <v>Not Found</v>
      </c>
      <c r="U869" s="2" t="str">
        <f>_xlfn.XLOOKUP(Table2[[#This Row],[Adjusted Form '#]],[1]COMPLETED!$D:$D,[2]COMPLETED!$M:$M,"Not Found")</f>
        <v>Not Found</v>
      </c>
      <c r="V869" s="17" t="str">
        <f>_xlfn.XLOOKUP(Table2[[#This Row],[Adjusted Form '#]],[2]COMPLETED!$D:$D,[2]COMPLETED!$O:$O,"Not Found")</f>
        <v>Not Found</v>
      </c>
      <c r="W869" s="2" t="str">
        <f>_xlfn.XLOOKUP(Table2[[#This Row],[Adjusted Form '#]],[2]BILLED!$D:$D,[2]BILLED!$M:$M,"Not Found")</f>
        <v>1Z5063E0YW41754613</v>
      </c>
      <c r="X869" s="17" t="e">
        <f>_xlfn.XLOOKUP(Table2[[#This Row],[Adjusted Form '#]],[2]BILLED!$D:$D,[1]BILLED!$O:$O,"Not Found")</f>
        <v>#REF!</v>
      </c>
      <c r="Y869" s="17" t="e">
        <f>_xlfn.XLOOKUP(Table2[[#This Row],[Adjusted Form '#]],'[2]REJECTED ORDERS'!$D:$D,'[2]REJECTED ORDERS'!$E:$E)</f>
        <v>#N/A</v>
      </c>
      <c r="Z869" s="1"/>
      <c r="AA869" s="1"/>
      <c r="AB869" s="8"/>
      <c r="AC869" s="8"/>
      <c r="AD869" s="8"/>
      <c r="AE869" s="8"/>
      <c r="AF869" s="8"/>
      <c r="AG869" s="8"/>
      <c r="AH869" s="8"/>
      <c r="AI869" s="8"/>
      <c r="AJ869" s="8"/>
    </row>
    <row r="870" spans="1:36" ht="15" customHeight="1" x14ac:dyDescent="0.35">
      <c r="A870" s="4" t="s">
        <v>1309</v>
      </c>
      <c r="B870" s="1" t="s">
        <v>2405</v>
      </c>
      <c r="C870" s="11">
        <v>45043</v>
      </c>
      <c r="D870" s="11" t="s">
        <v>5358</v>
      </c>
      <c r="E870" s="1" t="s">
        <v>21</v>
      </c>
      <c r="F870" s="1" t="s">
        <v>5359</v>
      </c>
      <c r="G870" s="6">
        <f>COUNTIF(F:F,Table2[[#This Row],[Form '#]])</f>
        <v>1</v>
      </c>
      <c r="H870" s="1" t="s">
        <v>5360</v>
      </c>
      <c r="I870" s="1" t="s">
        <v>3852</v>
      </c>
      <c r="J870" s="1" t="s">
        <v>3891</v>
      </c>
      <c r="K870" s="1" t="s">
        <v>4011</v>
      </c>
      <c r="L870" s="1"/>
      <c r="M870" s="6" t="str">
        <f>IF(Table2[[#This Row],[Corrected Form '#
 (If Duplicated)]]="",Table2[[#This Row],[Form '#]],Table2[[#This Row],[Corrected Form '#
 (If Duplicated)]])</f>
        <v>7818-16825</v>
      </c>
      <c r="N870" s="1" t="s">
        <v>49</v>
      </c>
      <c r="O870" s="6" t="str">
        <f>IF(Table2[[#This Row],[POG CONFIRMATION RECEIPT OF ORDER
(DATE &amp; TIME)]]="","No Confirmation","Received Confirmation")</f>
        <v>Received Confirmation</v>
      </c>
      <c r="P870" s="6">
        <f ca="1">TODAY()-Table2[[#This Row],[DATE SENT TO POG]]</f>
        <v>260</v>
      </c>
      <c r="Q870" s="6" t="s">
        <v>5803</v>
      </c>
      <c r="R8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0" s="2" t="str">
        <f>_xlfn.XLOOKUP(Table2[[#This Row],[Adjusted Form '#]],'[2]IN PROGRESS'!$D:$D,'[2]IN PROGRESS'!$M:$M,"Not Found")</f>
        <v>Not Found</v>
      </c>
      <c r="U870" s="2" t="str">
        <f>_xlfn.XLOOKUP(Table2[[#This Row],[Adjusted Form '#]],[1]COMPLETED!$D:$D,[2]COMPLETED!$M:$M,"Not Found")</f>
        <v>Not Found</v>
      </c>
      <c r="V870" s="17" t="str">
        <f>_xlfn.XLOOKUP(Table2[[#This Row],[Adjusted Form '#]],[2]COMPLETED!$D:$D,[2]COMPLETED!$O:$O,"Not Found")</f>
        <v>Not Found</v>
      </c>
      <c r="W870" s="2" t="str">
        <f>_xlfn.XLOOKUP(Table2[[#This Row],[Adjusted Form '#]],[2]BILLED!$D:$D,[2]BILLED!$M:$M,"Not Found")</f>
        <v>1Z5063E0YW41324926</v>
      </c>
      <c r="X870" s="17" t="e">
        <f>_xlfn.XLOOKUP(Table2[[#This Row],[Adjusted Form '#]],[2]BILLED!$D:$D,[1]BILLED!$O:$O,"Not Found")</f>
        <v>#REF!</v>
      </c>
      <c r="Y870" s="17" t="e">
        <f>_xlfn.XLOOKUP(Table2[[#This Row],[Adjusted Form '#]],'[2]REJECTED ORDERS'!$D:$D,'[2]REJECTED ORDERS'!$E:$E)</f>
        <v>#N/A</v>
      </c>
      <c r="Z870" s="1"/>
      <c r="AA870" s="1"/>
      <c r="AB870" s="8"/>
      <c r="AC870" s="8"/>
      <c r="AD870" s="8"/>
      <c r="AE870" s="8"/>
      <c r="AF870" s="8"/>
      <c r="AG870" s="8"/>
      <c r="AH870" s="8"/>
      <c r="AI870" s="8"/>
      <c r="AJ870" s="8"/>
    </row>
    <row r="871" spans="1:36" ht="15" customHeight="1" x14ac:dyDescent="0.35">
      <c r="A871" s="4" t="s">
        <v>1310</v>
      </c>
      <c r="B871" s="1" t="s">
        <v>2405</v>
      </c>
      <c r="C871" s="11">
        <v>45043</v>
      </c>
      <c r="D871" s="11" t="s">
        <v>5358</v>
      </c>
      <c r="E871" s="1" t="s">
        <v>21</v>
      </c>
      <c r="F871" s="1" t="s">
        <v>5361</v>
      </c>
      <c r="G871" s="6">
        <f>COUNTIF(F:F,Table2[[#This Row],[Form '#]])</f>
        <v>1</v>
      </c>
      <c r="H871" s="1" t="s">
        <v>5362</v>
      </c>
      <c r="I871" s="1" t="s">
        <v>3864</v>
      </c>
      <c r="J871" s="1" t="s">
        <v>78</v>
      </c>
      <c r="K871" s="1" t="s">
        <v>3879</v>
      </c>
      <c r="L871" s="1"/>
      <c r="M871" s="6" t="str">
        <f>IF(Table2[[#This Row],[Corrected Form '#
 (If Duplicated)]]="",Table2[[#This Row],[Form '#]],Table2[[#This Row],[Corrected Form '#
 (If Duplicated)]])</f>
        <v>7818-08575</v>
      </c>
      <c r="N871" s="1" t="s">
        <v>49</v>
      </c>
      <c r="O871" s="6" t="str">
        <f>IF(Table2[[#This Row],[POG CONFIRMATION RECEIPT OF ORDER
(DATE &amp; TIME)]]="","No Confirmation","Received Confirmation")</f>
        <v>Received Confirmation</v>
      </c>
      <c r="P871" s="6">
        <f ca="1">TODAY()-Table2[[#This Row],[DATE SENT TO POG]]</f>
        <v>260</v>
      </c>
      <c r="Q871" s="6" t="s">
        <v>5803</v>
      </c>
      <c r="R8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1" s="2" t="str">
        <f>_xlfn.XLOOKUP(Table2[[#This Row],[Adjusted Form '#]],'[2]IN PROGRESS'!$D:$D,'[2]IN PROGRESS'!$M:$M,"Not Found")</f>
        <v>Not Found</v>
      </c>
      <c r="U871" s="2" t="str">
        <f>_xlfn.XLOOKUP(Table2[[#This Row],[Adjusted Form '#]],[1]COMPLETED!$D:$D,[2]COMPLETED!$M:$M,"Not Found")</f>
        <v>Not Found</v>
      </c>
      <c r="V871" s="17" t="str">
        <f>_xlfn.XLOOKUP(Table2[[#This Row],[Adjusted Form '#]],[2]COMPLETED!$D:$D,[2]COMPLETED!$O:$O,"Not Found")</f>
        <v>Not Found</v>
      </c>
      <c r="W871" s="2" t="str">
        <f>_xlfn.XLOOKUP(Table2[[#This Row],[Adjusted Form '#]],[2]BILLED!$D:$D,[2]BILLED!$M:$M,"Not Found")</f>
        <v>1Z5063E0YW41505454</v>
      </c>
      <c r="X871" s="17" t="e">
        <f>_xlfn.XLOOKUP(Table2[[#This Row],[Adjusted Form '#]],[2]BILLED!$D:$D,[1]BILLED!$O:$O,"Not Found")</f>
        <v>#REF!</v>
      </c>
      <c r="Y871" s="17" t="e">
        <f>_xlfn.XLOOKUP(Table2[[#This Row],[Adjusted Form '#]],'[2]REJECTED ORDERS'!$D:$D,'[2]REJECTED ORDERS'!$E:$E)</f>
        <v>#N/A</v>
      </c>
      <c r="Z871" s="1"/>
      <c r="AA871" s="1"/>
      <c r="AB871" s="8"/>
      <c r="AC871" s="8"/>
      <c r="AD871" s="8"/>
      <c r="AE871" s="8"/>
      <c r="AF871" s="8"/>
      <c r="AG871" s="8"/>
      <c r="AH871" s="8"/>
      <c r="AI871" s="8"/>
      <c r="AJ871" s="8"/>
    </row>
    <row r="872" spans="1:36" ht="15" customHeight="1" x14ac:dyDescent="0.35">
      <c r="A872" s="4" t="s">
        <v>1311</v>
      </c>
      <c r="B872" s="1" t="s">
        <v>504</v>
      </c>
      <c r="C872" s="11">
        <v>45043</v>
      </c>
      <c r="D872" s="11" t="s">
        <v>5358</v>
      </c>
      <c r="E872" s="1" t="s">
        <v>191</v>
      </c>
      <c r="F872" s="1" t="s">
        <v>5363</v>
      </c>
      <c r="G872" s="6">
        <f>COUNTIF(F:F,Table2[[#This Row],[Form '#]])</f>
        <v>1</v>
      </c>
      <c r="H872" s="1" t="s">
        <v>1436</v>
      </c>
      <c r="I872" s="1" t="s">
        <v>127</v>
      </c>
      <c r="J872" s="1" t="s">
        <v>76</v>
      </c>
      <c r="K872" s="1" t="s">
        <v>4011</v>
      </c>
      <c r="L872" s="1"/>
      <c r="M872" s="6" t="str">
        <f>IF(Table2[[#This Row],[Corrected Form '#
 (If Duplicated)]]="",Table2[[#This Row],[Form '#]],Table2[[#This Row],[Corrected Form '#
 (If Duplicated)]])</f>
        <v>7812-03396</v>
      </c>
      <c r="N872" s="1" t="s">
        <v>49</v>
      </c>
      <c r="O872" s="6" t="str">
        <f>IF(Table2[[#This Row],[POG CONFIRMATION RECEIPT OF ORDER
(DATE &amp; TIME)]]="","No Confirmation","Received Confirmation")</f>
        <v>Received Confirmation</v>
      </c>
      <c r="P872" s="6">
        <f ca="1">TODAY()-Table2[[#This Row],[DATE SENT TO POG]]</f>
        <v>260</v>
      </c>
      <c r="Q872" s="6" t="s">
        <v>5803</v>
      </c>
      <c r="R8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2" s="2" t="str">
        <f>_xlfn.XLOOKUP(Table2[[#This Row],[Adjusted Form '#]],'[2]IN PROGRESS'!$D:$D,'[2]IN PROGRESS'!$M:$M,"Not Found")</f>
        <v>Not Found</v>
      </c>
      <c r="U872" s="2" t="str">
        <f>_xlfn.XLOOKUP(Table2[[#This Row],[Adjusted Form '#]],[1]COMPLETED!$D:$D,[2]COMPLETED!$M:$M,"Not Found")</f>
        <v>Not Found</v>
      </c>
      <c r="V872" s="17" t="str">
        <f>_xlfn.XLOOKUP(Table2[[#This Row],[Adjusted Form '#]],[2]COMPLETED!$D:$D,[2]COMPLETED!$O:$O,"Not Found")</f>
        <v>Not Found</v>
      </c>
      <c r="W872" s="2" t="str">
        <f>_xlfn.XLOOKUP(Table2[[#This Row],[Adjusted Form '#]],[2]BILLED!$D:$D,[2]BILLED!$M:$M,"Not Found")</f>
        <v>1Z5063E0YW40513518</v>
      </c>
      <c r="X872" s="17" t="e">
        <f>_xlfn.XLOOKUP(Table2[[#This Row],[Adjusted Form '#]],[2]BILLED!$D:$D,[1]BILLED!$O:$O,"Not Found")</f>
        <v>#REF!</v>
      </c>
      <c r="Y872" s="17" t="e">
        <f>_xlfn.XLOOKUP(Table2[[#This Row],[Adjusted Form '#]],'[2]REJECTED ORDERS'!$D:$D,'[2]REJECTED ORDERS'!$E:$E)</f>
        <v>#N/A</v>
      </c>
      <c r="Z872" s="1"/>
      <c r="AA872" s="1"/>
      <c r="AB872" s="8"/>
      <c r="AC872" s="8"/>
      <c r="AD872" s="8"/>
      <c r="AE872" s="8"/>
      <c r="AF872" s="8"/>
      <c r="AG872" s="8"/>
      <c r="AH872" s="8"/>
      <c r="AI872" s="8"/>
      <c r="AJ872" s="8"/>
    </row>
    <row r="873" spans="1:36" ht="15" customHeight="1" x14ac:dyDescent="0.35">
      <c r="A873" s="4" t="s">
        <v>1312</v>
      </c>
      <c r="B873" s="1" t="s">
        <v>504</v>
      </c>
      <c r="C873" s="11">
        <v>45043</v>
      </c>
      <c r="D873" s="11" t="s">
        <v>5358</v>
      </c>
      <c r="E873" s="1" t="s">
        <v>191</v>
      </c>
      <c r="F873" s="1" t="s">
        <v>5364</v>
      </c>
      <c r="G873" s="6">
        <f>COUNTIF(F:F,Table2[[#This Row],[Form '#]])</f>
        <v>1</v>
      </c>
      <c r="H873" s="1" t="s">
        <v>5365</v>
      </c>
      <c r="I873" s="1" t="s">
        <v>28</v>
      </c>
      <c r="J873" s="1" t="s">
        <v>69</v>
      </c>
      <c r="K873" s="1" t="s">
        <v>4011</v>
      </c>
      <c r="L873" s="1"/>
      <c r="M873" s="6" t="str">
        <f>IF(Table2[[#This Row],[Corrected Form '#
 (If Duplicated)]]="",Table2[[#This Row],[Form '#]],Table2[[#This Row],[Corrected Form '#
 (If Duplicated)]])</f>
        <v>7812-03348</v>
      </c>
      <c r="N873" s="1" t="s">
        <v>49</v>
      </c>
      <c r="O873" s="6" t="str">
        <f>IF(Table2[[#This Row],[POG CONFIRMATION RECEIPT OF ORDER
(DATE &amp; TIME)]]="","No Confirmation","Received Confirmation")</f>
        <v>Received Confirmation</v>
      </c>
      <c r="P873" s="6">
        <f ca="1">TODAY()-Table2[[#This Row],[DATE SENT TO POG]]</f>
        <v>260</v>
      </c>
      <c r="Q873" s="6" t="s">
        <v>5803</v>
      </c>
      <c r="R8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3" s="2" t="str">
        <f>_xlfn.XLOOKUP(Table2[[#This Row],[Adjusted Form '#]],'[2]IN PROGRESS'!$D:$D,'[2]IN PROGRESS'!$M:$M,"Not Found")</f>
        <v>Not Found</v>
      </c>
      <c r="U873" s="2" t="str">
        <f>_xlfn.XLOOKUP(Table2[[#This Row],[Adjusted Form '#]],[1]COMPLETED!$D:$D,[2]COMPLETED!$M:$M,"Not Found")</f>
        <v>Not Found</v>
      </c>
      <c r="V873" s="17" t="str">
        <f>_xlfn.XLOOKUP(Table2[[#This Row],[Adjusted Form '#]],[2]COMPLETED!$D:$D,[2]COMPLETED!$O:$O,"Not Found")</f>
        <v>Not Found</v>
      </c>
      <c r="W873" s="2" t="str">
        <f>_xlfn.XLOOKUP(Table2[[#This Row],[Adjusted Form '#]],[2]BILLED!$D:$D,[2]BILLED!$M:$M,"Not Found")</f>
        <v>1Z5063E0YW42250558</v>
      </c>
      <c r="X873" s="17" t="e">
        <f>_xlfn.XLOOKUP(Table2[[#This Row],[Adjusted Form '#]],[2]BILLED!$D:$D,[1]BILLED!$O:$O,"Not Found")</f>
        <v>#REF!</v>
      </c>
      <c r="Y873" s="17" t="e">
        <f>_xlfn.XLOOKUP(Table2[[#This Row],[Adjusted Form '#]],'[2]REJECTED ORDERS'!$D:$D,'[2]REJECTED ORDERS'!$E:$E)</f>
        <v>#N/A</v>
      </c>
      <c r="Z873" s="1"/>
      <c r="AA873" s="1"/>
      <c r="AB873" s="8"/>
      <c r="AC873" s="8"/>
      <c r="AD873" s="8"/>
      <c r="AE873" s="8"/>
      <c r="AF873" s="8"/>
      <c r="AG873" s="8"/>
      <c r="AH873" s="8"/>
      <c r="AI873" s="8"/>
      <c r="AJ873" s="8"/>
    </row>
    <row r="874" spans="1:36" ht="15" customHeight="1" x14ac:dyDescent="0.35">
      <c r="A874" s="4" t="s">
        <v>1313</v>
      </c>
      <c r="B874" s="1" t="s">
        <v>504</v>
      </c>
      <c r="C874" s="11">
        <v>45043</v>
      </c>
      <c r="D874" s="11" t="s">
        <v>5358</v>
      </c>
      <c r="E874" s="1" t="s">
        <v>191</v>
      </c>
      <c r="F874" s="1" t="s">
        <v>5366</v>
      </c>
      <c r="G874" s="6">
        <f>COUNTIF(F:F,Table2[[#This Row],[Form '#]])</f>
        <v>1</v>
      </c>
      <c r="H874" s="1" t="s">
        <v>5367</v>
      </c>
      <c r="I874" s="1" t="s">
        <v>28</v>
      </c>
      <c r="J874" s="1" t="s">
        <v>69</v>
      </c>
      <c r="K874" s="1" t="s">
        <v>4011</v>
      </c>
      <c r="L874" s="1"/>
      <c r="M874" s="6" t="str">
        <f>IF(Table2[[#This Row],[Corrected Form '#
 (If Duplicated)]]="",Table2[[#This Row],[Form '#]],Table2[[#This Row],[Corrected Form '#
 (If Duplicated)]])</f>
        <v>7812-3612</v>
      </c>
      <c r="N874" s="1" t="s">
        <v>49</v>
      </c>
      <c r="O874" s="6" t="str">
        <f>IF(Table2[[#This Row],[POG CONFIRMATION RECEIPT OF ORDER
(DATE &amp; TIME)]]="","No Confirmation","Received Confirmation")</f>
        <v>Received Confirmation</v>
      </c>
      <c r="P874" s="6">
        <f ca="1">TODAY()-Table2[[#This Row],[DATE SENT TO POG]]</f>
        <v>260</v>
      </c>
      <c r="Q874" s="6" t="s">
        <v>5802</v>
      </c>
      <c r="R8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87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874" s="2" t="str">
        <f>_xlfn.XLOOKUP(Table2[[#This Row],[Adjusted Form '#]],'[2]IN PROGRESS'!$D:$D,'[2]IN PROGRESS'!$M:$M,"Not Found")</f>
        <v>Not Found</v>
      </c>
      <c r="U874" s="2" t="str">
        <f>_xlfn.XLOOKUP(Table2[[#This Row],[Adjusted Form '#]],[1]COMPLETED!$D:$D,[2]COMPLETED!$M:$M,"Not Found")</f>
        <v>Not Found</v>
      </c>
      <c r="V874" s="17" t="str">
        <f>_xlfn.XLOOKUP(Table2[[#This Row],[Adjusted Form '#]],[2]COMPLETED!$D:$D,[2]COMPLETED!$O:$O,"Not Found")</f>
        <v>Not Found</v>
      </c>
      <c r="W874" s="2" t="str">
        <f>_xlfn.XLOOKUP(Table2[[#This Row],[Adjusted Form '#]],[2]BILLED!$D:$D,[2]BILLED!$M:$M,"Not Found")</f>
        <v>Not Found</v>
      </c>
      <c r="X874" s="17" t="str">
        <f>_xlfn.XLOOKUP(Table2[[#This Row],[Adjusted Form '#]],[2]BILLED!$D:$D,[1]BILLED!$O:$O,"Not Found")</f>
        <v>Not Found</v>
      </c>
      <c r="Y874" s="17" t="e">
        <f>_xlfn.XLOOKUP(Table2[[#This Row],[Adjusted Form '#]],'[2]REJECTED ORDERS'!$D:$D,'[2]REJECTED ORDERS'!$E:$E)</f>
        <v>#N/A</v>
      </c>
      <c r="Z874" s="1"/>
      <c r="AA874" s="1"/>
      <c r="AB874" s="8"/>
      <c r="AC874" s="8"/>
      <c r="AD874" s="8"/>
      <c r="AE874" s="8"/>
      <c r="AF874" s="8"/>
      <c r="AG874" s="8"/>
      <c r="AH874" s="8"/>
      <c r="AI874" s="8"/>
      <c r="AJ874" s="8"/>
    </row>
    <row r="875" spans="1:36" ht="15" customHeight="1" x14ac:dyDescent="0.35">
      <c r="A875" s="4" t="s">
        <v>1314</v>
      </c>
      <c r="B875" s="1" t="s">
        <v>504</v>
      </c>
      <c r="C875" s="11">
        <v>45043</v>
      </c>
      <c r="D875" s="11" t="s">
        <v>5358</v>
      </c>
      <c r="E875" s="1" t="s">
        <v>191</v>
      </c>
      <c r="F875" s="1" t="s">
        <v>5368</v>
      </c>
      <c r="G875" s="6">
        <f>COUNTIF(F:F,Table2[[#This Row],[Form '#]])</f>
        <v>1</v>
      </c>
      <c r="H875" s="1" t="s">
        <v>1905</v>
      </c>
      <c r="I875" s="1" t="s">
        <v>127</v>
      </c>
      <c r="J875" s="1" t="s">
        <v>74</v>
      </c>
      <c r="K875" s="1" t="s">
        <v>4011</v>
      </c>
      <c r="L875" s="1"/>
      <c r="M875" s="6" t="str">
        <f>IF(Table2[[#This Row],[Corrected Form '#
 (If Duplicated)]]="",Table2[[#This Row],[Form '#]],Table2[[#This Row],[Corrected Form '#
 (If Duplicated)]])</f>
        <v>7812-3768</v>
      </c>
      <c r="N875" s="1" t="s">
        <v>49</v>
      </c>
      <c r="O875" s="6" t="str">
        <f>IF(Table2[[#This Row],[POG CONFIRMATION RECEIPT OF ORDER
(DATE &amp; TIME)]]="","No Confirmation","Received Confirmation")</f>
        <v>Received Confirmation</v>
      </c>
      <c r="P875" s="6">
        <f ca="1">TODAY()-Table2[[#This Row],[DATE SENT TO POG]]</f>
        <v>260</v>
      </c>
      <c r="Q875" s="6" t="s">
        <v>5803</v>
      </c>
      <c r="R8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5" s="2" t="str">
        <f>_xlfn.XLOOKUP(Table2[[#This Row],[Adjusted Form '#]],'[2]IN PROGRESS'!$D:$D,'[2]IN PROGRESS'!$M:$M,"Not Found")</f>
        <v>Not Found</v>
      </c>
      <c r="U875" s="2" t="str">
        <f>_xlfn.XLOOKUP(Table2[[#This Row],[Adjusted Form '#]],[1]COMPLETED!$D:$D,[2]COMPLETED!$M:$M,"Not Found")</f>
        <v>Not Found</v>
      </c>
      <c r="V875" s="17" t="str">
        <f>_xlfn.XLOOKUP(Table2[[#This Row],[Adjusted Form '#]],[2]COMPLETED!$D:$D,[2]COMPLETED!$O:$O,"Not Found")</f>
        <v>Not Found</v>
      </c>
      <c r="W875" s="2" t="str">
        <f>_xlfn.XLOOKUP(Table2[[#This Row],[Adjusted Form '#]],[2]BILLED!$D:$D,[2]BILLED!$M:$M,"Not Found")</f>
        <v>1Z5063E0YW41262378</v>
      </c>
      <c r="X875" s="17" t="e">
        <f>_xlfn.XLOOKUP(Table2[[#This Row],[Adjusted Form '#]],[2]BILLED!$D:$D,[1]BILLED!$O:$O,"Not Found")</f>
        <v>#REF!</v>
      </c>
      <c r="Y875" s="17" t="e">
        <f>_xlfn.XLOOKUP(Table2[[#This Row],[Adjusted Form '#]],'[2]REJECTED ORDERS'!$D:$D,'[2]REJECTED ORDERS'!$E:$E)</f>
        <v>#N/A</v>
      </c>
      <c r="Z875" s="1"/>
      <c r="AA875" s="1"/>
      <c r="AB875" s="8"/>
      <c r="AC875" s="8"/>
      <c r="AD875" s="8"/>
      <c r="AE875" s="8"/>
      <c r="AF875" s="8"/>
      <c r="AG875" s="8"/>
      <c r="AH875" s="8"/>
      <c r="AI875" s="8"/>
      <c r="AJ875" s="8"/>
    </row>
    <row r="876" spans="1:36" ht="15" customHeight="1" x14ac:dyDescent="0.35">
      <c r="A876" s="4" t="s">
        <v>1316</v>
      </c>
      <c r="B876" s="1" t="s">
        <v>504</v>
      </c>
      <c r="C876" s="11">
        <v>45043</v>
      </c>
      <c r="D876" s="11" t="s">
        <v>5358</v>
      </c>
      <c r="E876" s="1" t="s">
        <v>191</v>
      </c>
      <c r="F876" s="1" t="s">
        <v>5369</v>
      </c>
      <c r="G876" s="6">
        <f>COUNTIF(F:F,Table2[[#This Row],[Form '#]])</f>
        <v>1</v>
      </c>
      <c r="H876" s="1" t="s">
        <v>1907</v>
      </c>
      <c r="I876" s="1" t="s">
        <v>3864</v>
      </c>
      <c r="J876" s="1" t="s">
        <v>3891</v>
      </c>
      <c r="K876" s="1" t="s">
        <v>3879</v>
      </c>
      <c r="L876" s="1"/>
      <c r="M876" s="6" t="str">
        <f>IF(Table2[[#This Row],[Corrected Form '#
 (If Duplicated)]]="",Table2[[#This Row],[Form '#]],Table2[[#This Row],[Corrected Form '#
 (If Duplicated)]])</f>
        <v>7812-03312</v>
      </c>
      <c r="N876" s="1" t="s">
        <v>49</v>
      </c>
      <c r="O876" s="6" t="str">
        <f>IF(Table2[[#This Row],[POG CONFIRMATION RECEIPT OF ORDER
(DATE &amp; TIME)]]="","No Confirmation","Received Confirmation")</f>
        <v>Received Confirmation</v>
      </c>
      <c r="P876" s="6">
        <f ca="1">TODAY()-Table2[[#This Row],[DATE SENT TO POG]]</f>
        <v>260</v>
      </c>
      <c r="Q876" s="6" t="s">
        <v>5803</v>
      </c>
      <c r="R8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6" s="2" t="str">
        <f>_xlfn.XLOOKUP(Table2[[#This Row],[Adjusted Form '#]],'[2]IN PROGRESS'!$D:$D,'[2]IN PROGRESS'!$M:$M,"Not Found")</f>
        <v>Not Found</v>
      </c>
      <c r="U876" s="2" t="str">
        <f>_xlfn.XLOOKUP(Table2[[#This Row],[Adjusted Form '#]],[1]COMPLETED!$D:$D,[2]COMPLETED!$M:$M,"Not Found")</f>
        <v>Not Found</v>
      </c>
      <c r="V876" s="17" t="str">
        <f>_xlfn.XLOOKUP(Table2[[#This Row],[Adjusted Form '#]],[2]COMPLETED!$D:$D,[2]COMPLETED!$O:$O,"Not Found")</f>
        <v>Not Found</v>
      </c>
      <c r="W876" s="2" t="str">
        <f>_xlfn.XLOOKUP(Table2[[#This Row],[Adjusted Form '#]],[2]BILLED!$D:$D,[2]BILLED!$M:$M,"Not Found")</f>
        <v>1Z5063E0YW42419313</v>
      </c>
      <c r="X876" s="17" t="e">
        <f>_xlfn.XLOOKUP(Table2[[#This Row],[Adjusted Form '#]],[2]BILLED!$D:$D,[1]BILLED!$O:$O,"Not Found")</f>
        <v>#REF!</v>
      </c>
      <c r="Y876" s="17" t="e">
        <f>_xlfn.XLOOKUP(Table2[[#This Row],[Adjusted Form '#]],'[2]REJECTED ORDERS'!$D:$D,'[2]REJECTED ORDERS'!$E:$E)</f>
        <v>#N/A</v>
      </c>
      <c r="Z876" s="1"/>
      <c r="AA876" s="1"/>
      <c r="AB876" s="8"/>
      <c r="AC876" s="8"/>
      <c r="AD876" s="8"/>
      <c r="AE876" s="8"/>
      <c r="AF876" s="8"/>
      <c r="AG876" s="8"/>
      <c r="AH876" s="8"/>
      <c r="AI876" s="8"/>
      <c r="AJ876" s="8"/>
    </row>
    <row r="877" spans="1:36" ht="15" customHeight="1" x14ac:dyDescent="0.35">
      <c r="A877" s="4" t="s">
        <v>1318</v>
      </c>
      <c r="B877" s="1" t="s">
        <v>504</v>
      </c>
      <c r="C877" s="11">
        <v>45043</v>
      </c>
      <c r="D877" s="11" t="s">
        <v>5358</v>
      </c>
      <c r="E877" s="1" t="s">
        <v>191</v>
      </c>
      <c r="F877" s="1" t="s">
        <v>5370</v>
      </c>
      <c r="G877" s="6">
        <f>COUNTIF(F:F,Table2[[#This Row],[Form '#]])</f>
        <v>1</v>
      </c>
      <c r="H877" s="1" t="s">
        <v>3656</v>
      </c>
      <c r="I877" s="1" t="s">
        <v>758</v>
      </c>
      <c r="J877" s="1" t="s">
        <v>78</v>
      </c>
      <c r="K877" s="1" t="s">
        <v>3853</v>
      </c>
      <c r="L877" s="1"/>
      <c r="M877" s="6" t="str">
        <f>IF(Table2[[#This Row],[Corrected Form '#
 (If Duplicated)]]="",Table2[[#This Row],[Form '#]],Table2[[#This Row],[Corrected Form '#
 (If Duplicated)]])</f>
        <v>7812-02081</v>
      </c>
      <c r="N877" s="1" t="s">
        <v>49</v>
      </c>
      <c r="O877" s="6" t="str">
        <f>IF(Table2[[#This Row],[POG CONFIRMATION RECEIPT OF ORDER
(DATE &amp; TIME)]]="","No Confirmation","Received Confirmation")</f>
        <v>Received Confirmation</v>
      </c>
      <c r="P877" s="6">
        <f ca="1">TODAY()-Table2[[#This Row],[DATE SENT TO POG]]</f>
        <v>260</v>
      </c>
      <c r="Q877" s="6" t="s">
        <v>5803</v>
      </c>
      <c r="R8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7" s="2" t="str">
        <f>_xlfn.XLOOKUP(Table2[[#This Row],[Adjusted Form '#]],'[2]IN PROGRESS'!$D:$D,'[2]IN PROGRESS'!$M:$M,"Not Found")</f>
        <v>Not Found</v>
      </c>
      <c r="U877" s="2" t="str">
        <f>_xlfn.XLOOKUP(Table2[[#This Row],[Adjusted Form '#]],[1]COMPLETED!$D:$D,[2]COMPLETED!$M:$M,"Not Found")</f>
        <v>Not Found</v>
      </c>
      <c r="V877" s="17" t="str">
        <f>_xlfn.XLOOKUP(Table2[[#This Row],[Adjusted Form '#]],[2]COMPLETED!$D:$D,[2]COMPLETED!$O:$O,"Not Found")</f>
        <v>Not Found</v>
      </c>
      <c r="W877" s="2" t="str">
        <f>_xlfn.XLOOKUP(Table2[[#This Row],[Adjusted Form '#]],[2]BILLED!$D:$D,[2]BILLED!$M:$M,"Not Found")</f>
        <v>1Z5063E0YW40873675</v>
      </c>
      <c r="X877" s="17" t="e">
        <f>_xlfn.XLOOKUP(Table2[[#This Row],[Adjusted Form '#]],[2]BILLED!$D:$D,[1]BILLED!$O:$O,"Not Found")</f>
        <v>#REF!</v>
      </c>
      <c r="Y877" s="17" t="e">
        <f>_xlfn.XLOOKUP(Table2[[#This Row],[Adjusted Form '#]],'[2]REJECTED ORDERS'!$D:$D,'[2]REJECTED ORDERS'!$E:$E)</f>
        <v>#N/A</v>
      </c>
      <c r="Z877" s="1"/>
      <c r="AA877" s="1"/>
      <c r="AB877" s="8"/>
      <c r="AC877" s="8"/>
      <c r="AD877" s="8"/>
      <c r="AE877" s="8"/>
      <c r="AF877" s="8"/>
      <c r="AG877" s="8"/>
      <c r="AH877" s="8"/>
      <c r="AI877" s="8"/>
      <c r="AJ877" s="8"/>
    </row>
    <row r="878" spans="1:36" ht="15" customHeight="1" x14ac:dyDescent="0.35">
      <c r="A878" s="4" t="s">
        <v>1320</v>
      </c>
      <c r="B878" s="1" t="s">
        <v>504</v>
      </c>
      <c r="C878" s="11">
        <v>45043</v>
      </c>
      <c r="D878" s="11" t="s">
        <v>5358</v>
      </c>
      <c r="E878" s="1" t="s">
        <v>191</v>
      </c>
      <c r="F878" s="1" t="s">
        <v>5371</v>
      </c>
      <c r="G878" s="6">
        <f>COUNTIF(F:F,Table2[[#This Row],[Form '#]])</f>
        <v>1</v>
      </c>
      <c r="H878" s="1" t="s">
        <v>1744</v>
      </c>
      <c r="I878" s="1" t="s">
        <v>127</v>
      </c>
      <c r="J878" s="1" t="s">
        <v>76</v>
      </c>
      <c r="K878" s="1" t="s">
        <v>4011</v>
      </c>
      <c r="L878" s="1"/>
      <c r="M878" s="6" t="str">
        <f>IF(Table2[[#This Row],[Corrected Form '#
 (If Duplicated)]]="",Table2[[#This Row],[Form '#]],Table2[[#This Row],[Corrected Form '#
 (If Duplicated)]])</f>
        <v>7812-3786</v>
      </c>
      <c r="N878" s="1" t="s">
        <v>49</v>
      </c>
      <c r="O878" s="6" t="str">
        <f>IF(Table2[[#This Row],[POG CONFIRMATION RECEIPT OF ORDER
(DATE &amp; TIME)]]="","No Confirmation","Received Confirmation")</f>
        <v>Received Confirmation</v>
      </c>
      <c r="P878" s="6">
        <f ca="1">TODAY()-Table2[[#This Row],[DATE SENT TO POG]]</f>
        <v>260</v>
      </c>
      <c r="Q878" s="6" t="s">
        <v>5803</v>
      </c>
      <c r="R8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8" s="2" t="str">
        <f>_xlfn.XLOOKUP(Table2[[#This Row],[Adjusted Form '#]],'[2]IN PROGRESS'!$D:$D,'[2]IN PROGRESS'!$M:$M,"Not Found")</f>
        <v>Not Found</v>
      </c>
      <c r="U878" s="2" t="str">
        <f>_xlfn.XLOOKUP(Table2[[#This Row],[Adjusted Form '#]],[1]COMPLETED!$D:$D,[2]COMPLETED!$M:$M,"Not Found")</f>
        <v>Not Found</v>
      </c>
      <c r="V878" s="17" t="str">
        <f>_xlfn.XLOOKUP(Table2[[#This Row],[Adjusted Form '#]],[2]COMPLETED!$D:$D,[2]COMPLETED!$O:$O,"Not Found")</f>
        <v>Not Found</v>
      </c>
      <c r="W878" s="2" t="str">
        <f>_xlfn.XLOOKUP(Table2[[#This Row],[Adjusted Form '#]],[2]BILLED!$D:$D,[2]BILLED!$M:$M,"Not Found")</f>
        <v>1Z5063E0YW42320526</v>
      </c>
      <c r="X878" s="17" t="e">
        <f>_xlfn.XLOOKUP(Table2[[#This Row],[Adjusted Form '#]],[2]BILLED!$D:$D,[1]BILLED!$O:$O,"Not Found")</f>
        <v>#REF!</v>
      </c>
      <c r="Y878" s="17" t="e">
        <f>_xlfn.XLOOKUP(Table2[[#This Row],[Adjusted Form '#]],'[2]REJECTED ORDERS'!$D:$D,'[2]REJECTED ORDERS'!$E:$E)</f>
        <v>#N/A</v>
      </c>
      <c r="Z878" s="1"/>
      <c r="AA878" s="1"/>
      <c r="AB878" s="8"/>
      <c r="AC878" s="8"/>
      <c r="AD878" s="8"/>
      <c r="AE878" s="8"/>
      <c r="AF878" s="8"/>
      <c r="AG878" s="8"/>
      <c r="AH878" s="8"/>
      <c r="AI878" s="8"/>
      <c r="AJ878" s="8"/>
    </row>
    <row r="879" spans="1:36" ht="15" customHeight="1" x14ac:dyDescent="0.35">
      <c r="A879" s="4" t="s">
        <v>1321</v>
      </c>
      <c r="B879" s="1" t="s">
        <v>504</v>
      </c>
      <c r="C879" s="11">
        <v>45043</v>
      </c>
      <c r="D879" s="11" t="s">
        <v>5358</v>
      </c>
      <c r="E879" s="1" t="s">
        <v>191</v>
      </c>
      <c r="F879" s="1" t="s">
        <v>5372</v>
      </c>
      <c r="G879" s="6">
        <f>COUNTIF(F:F,Table2[[#This Row],[Form '#]])</f>
        <v>1</v>
      </c>
      <c r="H879" s="1" t="s">
        <v>5373</v>
      </c>
      <c r="I879" s="1" t="s">
        <v>177</v>
      </c>
      <c r="J879" s="1" t="s">
        <v>75</v>
      </c>
      <c r="K879" s="1" t="s">
        <v>3853</v>
      </c>
      <c r="L879" s="1"/>
      <c r="M879" s="6" t="str">
        <f>IF(Table2[[#This Row],[Corrected Form '#
 (If Duplicated)]]="",Table2[[#This Row],[Form '#]],Table2[[#This Row],[Corrected Form '#
 (If Duplicated)]])</f>
        <v>7812-3941</v>
      </c>
      <c r="N879" s="1" t="s">
        <v>49</v>
      </c>
      <c r="O879" s="6" t="str">
        <f>IF(Table2[[#This Row],[POG CONFIRMATION RECEIPT OF ORDER
(DATE &amp; TIME)]]="","No Confirmation","Received Confirmation")</f>
        <v>Received Confirmation</v>
      </c>
      <c r="P879" s="6">
        <f ca="1">TODAY()-Table2[[#This Row],[DATE SENT TO POG]]</f>
        <v>260</v>
      </c>
      <c r="Q879" s="6" t="s">
        <v>5803</v>
      </c>
      <c r="R8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79" s="2" t="str">
        <f>_xlfn.XLOOKUP(Table2[[#This Row],[Adjusted Form '#]],'[2]IN PROGRESS'!$D:$D,'[2]IN PROGRESS'!$M:$M,"Not Found")</f>
        <v>Not Found</v>
      </c>
      <c r="U879" s="2" t="str">
        <f>_xlfn.XLOOKUP(Table2[[#This Row],[Adjusted Form '#]],[1]COMPLETED!$D:$D,[2]COMPLETED!$M:$M,"Not Found")</f>
        <v>Not Found</v>
      </c>
      <c r="V879" s="17" t="str">
        <f>_xlfn.XLOOKUP(Table2[[#This Row],[Adjusted Form '#]],[2]COMPLETED!$D:$D,[2]COMPLETED!$O:$O,"Not Found")</f>
        <v>Not Found</v>
      </c>
      <c r="W879" s="2" t="str">
        <f>_xlfn.XLOOKUP(Table2[[#This Row],[Adjusted Form '#]],[2]BILLED!$D:$D,[2]BILLED!$M:$M,"Not Found")</f>
        <v>1Z5063E0YW41738328</v>
      </c>
      <c r="X879" s="17" t="e">
        <f>_xlfn.XLOOKUP(Table2[[#This Row],[Adjusted Form '#]],[2]BILLED!$D:$D,[1]BILLED!$O:$O,"Not Found")</f>
        <v>#REF!</v>
      </c>
      <c r="Y879" s="17" t="e">
        <f>_xlfn.XLOOKUP(Table2[[#This Row],[Adjusted Form '#]],'[2]REJECTED ORDERS'!$D:$D,'[2]REJECTED ORDERS'!$E:$E)</f>
        <v>#N/A</v>
      </c>
      <c r="Z879" s="1"/>
      <c r="AA879" s="1"/>
      <c r="AB879" s="8"/>
      <c r="AC879" s="8"/>
      <c r="AD879" s="8"/>
      <c r="AE879" s="8"/>
      <c r="AF879" s="8"/>
      <c r="AG879" s="8"/>
      <c r="AH879" s="8"/>
      <c r="AI879" s="8"/>
      <c r="AJ879" s="8"/>
    </row>
    <row r="880" spans="1:36" ht="15" customHeight="1" x14ac:dyDescent="0.35">
      <c r="A880" s="4" t="s">
        <v>1323</v>
      </c>
      <c r="B880" s="1" t="s">
        <v>504</v>
      </c>
      <c r="C880" s="11">
        <v>45043</v>
      </c>
      <c r="D880" s="11" t="s">
        <v>5358</v>
      </c>
      <c r="E880" s="1" t="s">
        <v>191</v>
      </c>
      <c r="F880" s="1" t="s">
        <v>5374</v>
      </c>
      <c r="G880" s="6">
        <f>COUNTIF(F:F,Table2[[#This Row],[Form '#]])</f>
        <v>1</v>
      </c>
      <c r="H880" s="1" t="s">
        <v>5375</v>
      </c>
      <c r="I880" s="1" t="s">
        <v>3852</v>
      </c>
      <c r="J880" s="1" t="s">
        <v>80</v>
      </c>
      <c r="K880" s="1" t="s">
        <v>3853</v>
      </c>
      <c r="L880" s="1"/>
      <c r="M880" s="6" t="str">
        <f>IF(Table2[[#This Row],[Corrected Form '#
 (If Duplicated)]]="",Table2[[#This Row],[Form '#]],Table2[[#This Row],[Corrected Form '#
 (If Duplicated)]])</f>
        <v>7812-3632</v>
      </c>
      <c r="N880" s="1" t="s">
        <v>49</v>
      </c>
      <c r="O880" s="6" t="str">
        <f>IF(Table2[[#This Row],[POG CONFIRMATION RECEIPT OF ORDER
(DATE &amp; TIME)]]="","No Confirmation","Received Confirmation")</f>
        <v>Received Confirmation</v>
      </c>
      <c r="P880" s="6">
        <f ca="1">TODAY()-Table2[[#This Row],[DATE SENT TO POG]]</f>
        <v>260</v>
      </c>
      <c r="Q880" s="6" t="s">
        <v>5803</v>
      </c>
      <c r="R8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0" s="2" t="str">
        <f>_xlfn.XLOOKUP(Table2[[#This Row],[Adjusted Form '#]],'[2]IN PROGRESS'!$D:$D,'[2]IN PROGRESS'!$M:$M,"Not Found")</f>
        <v>Not Found</v>
      </c>
      <c r="U880" s="2" t="str">
        <f>_xlfn.XLOOKUP(Table2[[#This Row],[Adjusted Form '#]],[1]COMPLETED!$D:$D,[2]COMPLETED!$M:$M,"Not Found")</f>
        <v>Not Found</v>
      </c>
      <c r="V880" s="17" t="str">
        <f>_xlfn.XLOOKUP(Table2[[#This Row],[Adjusted Form '#]],[2]COMPLETED!$D:$D,[2]COMPLETED!$O:$O,"Not Found")</f>
        <v>Not Found</v>
      </c>
      <c r="W880" s="2" t="str">
        <f>_xlfn.XLOOKUP(Table2[[#This Row],[Adjusted Form '#]],[2]BILLED!$D:$D,[2]BILLED!$M:$M,"Not Found")</f>
        <v>1Z5063E0YW40804936</v>
      </c>
      <c r="X880" s="17" t="e">
        <f>_xlfn.XLOOKUP(Table2[[#This Row],[Adjusted Form '#]],[2]BILLED!$D:$D,[1]BILLED!$O:$O,"Not Found")</f>
        <v>#REF!</v>
      </c>
      <c r="Y880" s="17" t="e">
        <f>_xlfn.XLOOKUP(Table2[[#This Row],[Adjusted Form '#]],'[2]REJECTED ORDERS'!$D:$D,'[2]REJECTED ORDERS'!$E:$E)</f>
        <v>#N/A</v>
      </c>
      <c r="Z880" s="1"/>
      <c r="AA880" s="1"/>
      <c r="AB880" s="8"/>
      <c r="AC880" s="8"/>
      <c r="AD880" s="8"/>
      <c r="AE880" s="8"/>
      <c r="AF880" s="8"/>
      <c r="AG880" s="8"/>
      <c r="AH880" s="8"/>
      <c r="AI880" s="8"/>
      <c r="AJ880" s="8"/>
    </row>
    <row r="881" spans="1:36" ht="15" customHeight="1" x14ac:dyDescent="0.35">
      <c r="A881" s="4" t="s">
        <v>1325</v>
      </c>
      <c r="B881" s="1" t="s">
        <v>2114</v>
      </c>
      <c r="C881" s="11">
        <v>45043</v>
      </c>
      <c r="D881" s="11" t="s">
        <v>5376</v>
      </c>
      <c r="E881" s="1" t="s">
        <v>21</v>
      </c>
      <c r="F881" s="1" t="s">
        <v>5377</v>
      </c>
      <c r="G881" s="6">
        <f>COUNTIF(F:F,Table2[[#This Row],[Form '#]])</f>
        <v>1</v>
      </c>
      <c r="H881" s="1" t="s">
        <v>4595</v>
      </c>
      <c r="I881" s="1" t="s">
        <v>28</v>
      </c>
      <c r="J881" s="1" t="s">
        <v>69</v>
      </c>
      <c r="K881" s="1" t="s">
        <v>4011</v>
      </c>
      <c r="L881" s="1"/>
      <c r="M881" s="6" t="str">
        <f>IF(Table2[[#This Row],[Corrected Form '#
 (If Duplicated)]]="",Table2[[#This Row],[Form '#]],Table2[[#This Row],[Corrected Form '#
 (If Duplicated)]])</f>
        <v>7818-29569</v>
      </c>
      <c r="N881" s="1" t="s">
        <v>49</v>
      </c>
      <c r="O881" s="6" t="str">
        <f>IF(Table2[[#This Row],[POG CONFIRMATION RECEIPT OF ORDER
(DATE &amp; TIME)]]="","No Confirmation","Received Confirmation")</f>
        <v>Received Confirmation</v>
      </c>
      <c r="P881" s="6">
        <f ca="1">TODAY()-Table2[[#This Row],[DATE SENT TO POG]]</f>
        <v>260</v>
      </c>
      <c r="Q881" s="6" t="s">
        <v>5803</v>
      </c>
      <c r="R8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1" s="2" t="str">
        <f>_xlfn.XLOOKUP(Table2[[#This Row],[Adjusted Form '#]],'[2]IN PROGRESS'!$D:$D,'[2]IN PROGRESS'!$M:$M,"Not Found")</f>
        <v>Not Found</v>
      </c>
      <c r="U881" s="2" t="str">
        <f>_xlfn.XLOOKUP(Table2[[#This Row],[Adjusted Form '#]],[1]COMPLETED!$D:$D,[2]COMPLETED!$M:$M,"Not Found")</f>
        <v>Not Found</v>
      </c>
      <c r="V881" s="17" t="str">
        <f>_xlfn.XLOOKUP(Table2[[#This Row],[Adjusted Form '#]],[2]COMPLETED!$D:$D,[2]COMPLETED!$O:$O,"Not Found")</f>
        <v>Not Found</v>
      </c>
      <c r="W881" s="2" t="str">
        <f>_xlfn.XLOOKUP(Table2[[#This Row],[Adjusted Form '#]],[2]BILLED!$D:$D,[2]BILLED!$M:$M,"Not Found")</f>
        <v>9402 1112 0620 7259 3334 04</v>
      </c>
      <c r="X881" s="17" t="e">
        <f>_xlfn.XLOOKUP(Table2[[#This Row],[Adjusted Form '#]],[2]BILLED!$D:$D,[1]BILLED!$O:$O,"Not Found")</f>
        <v>#REF!</v>
      </c>
      <c r="Y881" s="17" t="e">
        <f>_xlfn.XLOOKUP(Table2[[#This Row],[Adjusted Form '#]],'[2]REJECTED ORDERS'!$D:$D,'[2]REJECTED ORDERS'!$E:$E)</f>
        <v>#N/A</v>
      </c>
      <c r="Z881" s="1"/>
      <c r="AA881" s="1"/>
      <c r="AB881" s="8"/>
      <c r="AC881" s="8"/>
      <c r="AD881" s="8"/>
      <c r="AE881" s="8"/>
      <c r="AF881" s="8"/>
      <c r="AG881" s="8"/>
      <c r="AH881" s="8"/>
      <c r="AI881" s="8"/>
      <c r="AJ881" s="8"/>
    </row>
    <row r="882" spans="1:36" ht="15" customHeight="1" x14ac:dyDescent="0.35">
      <c r="A882" s="4" t="s">
        <v>1328</v>
      </c>
      <c r="B882" s="1" t="s">
        <v>5378</v>
      </c>
      <c r="C882" s="11">
        <v>45043</v>
      </c>
      <c r="D882" s="11" t="s">
        <v>5379</v>
      </c>
      <c r="E882" s="1" t="s">
        <v>64</v>
      </c>
      <c r="F882" s="1" t="s">
        <v>5380</v>
      </c>
      <c r="G882" s="6">
        <f>COUNTIF(F:F,Table2[[#This Row],[Form '#]])</f>
        <v>1</v>
      </c>
      <c r="H882" s="1" t="s">
        <v>5381</v>
      </c>
      <c r="I882" s="1" t="s">
        <v>177</v>
      </c>
      <c r="J882" s="1" t="s">
        <v>3891</v>
      </c>
      <c r="K882" s="1" t="s">
        <v>3853</v>
      </c>
      <c r="L882" s="1"/>
      <c r="M882" s="6" t="str">
        <f>IF(Table2[[#This Row],[Corrected Form '#
 (If Duplicated)]]="",Table2[[#This Row],[Form '#]],Table2[[#This Row],[Corrected Form '#
 (If Duplicated)]])</f>
        <v>7824-00432</v>
      </c>
      <c r="N882" s="1" t="s">
        <v>49</v>
      </c>
      <c r="O882" s="6" t="str">
        <f>IF(Table2[[#This Row],[POG CONFIRMATION RECEIPT OF ORDER
(DATE &amp; TIME)]]="","No Confirmation","Received Confirmation")</f>
        <v>Received Confirmation</v>
      </c>
      <c r="P882" s="6">
        <f ca="1">TODAY()-Table2[[#This Row],[DATE SENT TO POG]]</f>
        <v>260</v>
      </c>
      <c r="Q882" s="6" t="s">
        <v>5803</v>
      </c>
      <c r="R8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2" s="2" t="str">
        <f>_xlfn.XLOOKUP(Table2[[#This Row],[Adjusted Form '#]],'[2]IN PROGRESS'!$D:$D,'[2]IN PROGRESS'!$M:$M,"Not Found")</f>
        <v>Not Found</v>
      </c>
      <c r="U882" s="2" t="str">
        <f>_xlfn.XLOOKUP(Table2[[#This Row],[Adjusted Form '#]],[1]COMPLETED!$D:$D,[2]COMPLETED!$M:$M,"Not Found")</f>
        <v>Not Found</v>
      </c>
      <c r="V882" s="17" t="str">
        <f>_xlfn.XLOOKUP(Table2[[#This Row],[Adjusted Form '#]],[2]COMPLETED!$D:$D,[2]COMPLETED!$O:$O,"Not Found")</f>
        <v>Not Found</v>
      </c>
      <c r="W882" s="2" t="str">
        <f>_xlfn.XLOOKUP(Table2[[#This Row],[Adjusted Form '#]],[2]BILLED!$D:$D,[2]BILLED!$M:$M,"Not Found")</f>
        <v>1Z5063E0YW40608505</v>
      </c>
      <c r="X882" s="17" t="e">
        <f>_xlfn.XLOOKUP(Table2[[#This Row],[Adjusted Form '#]],[2]BILLED!$D:$D,[1]BILLED!$O:$O,"Not Found")</f>
        <v>#REF!</v>
      </c>
      <c r="Y882" s="17" t="e">
        <f>_xlfn.XLOOKUP(Table2[[#This Row],[Adjusted Form '#]],'[2]REJECTED ORDERS'!$D:$D,'[2]REJECTED ORDERS'!$E:$E)</f>
        <v>#N/A</v>
      </c>
      <c r="Z882" s="1"/>
      <c r="AA882" s="1"/>
      <c r="AB882" s="8"/>
      <c r="AC882" s="8"/>
      <c r="AD882" s="8"/>
      <c r="AE882" s="8"/>
      <c r="AF882" s="8"/>
      <c r="AG882" s="8"/>
      <c r="AH882" s="8"/>
      <c r="AI882" s="8"/>
      <c r="AJ882" s="8"/>
    </row>
    <row r="883" spans="1:36" ht="15" customHeight="1" x14ac:dyDescent="0.35">
      <c r="A883" s="4" t="s">
        <v>1330</v>
      </c>
      <c r="B883" s="1" t="s">
        <v>5378</v>
      </c>
      <c r="C883" s="11">
        <v>45043</v>
      </c>
      <c r="D883" s="11" t="s">
        <v>5379</v>
      </c>
      <c r="E883" s="1" t="s">
        <v>64</v>
      </c>
      <c r="F883" s="1" t="s">
        <v>5382</v>
      </c>
      <c r="G883" s="6">
        <f>COUNTIF(F:F,Table2[[#This Row],[Form '#]])</f>
        <v>1</v>
      </c>
      <c r="H883" s="1" t="s">
        <v>569</v>
      </c>
      <c r="I883" s="1" t="s">
        <v>3852</v>
      </c>
      <c r="J883" s="1" t="s">
        <v>80</v>
      </c>
      <c r="K883" s="1" t="s">
        <v>4011</v>
      </c>
      <c r="L883" s="1"/>
      <c r="M883" s="6" t="str">
        <f>IF(Table2[[#This Row],[Corrected Form '#
 (If Duplicated)]]="",Table2[[#This Row],[Form '#]],Table2[[#This Row],[Corrected Form '#
 (If Duplicated)]])</f>
        <v>7824-00353</v>
      </c>
      <c r="N883" s="1" t="s">
        <v>49</v>
      </c>
      <c r="O883" s="6" t="str">
        <f>IF(Table2[[#This Row],[POG CONFIRMATION RECEIPT OF ORDER
(DATE &amp; TIME)]]="","No Confirmation","Received Confirmation")</f>
        <v>Received Confirmation</v>
      </c>
      <c r="P883" s="6">
        <f ca="1">TODAY()-Table2[[#This Row],[DATE SENT TO POG]]</f>
        <v>260</v>
      </c>
      <c r="Q883" s="6" t="s">
        <v>5803</v>
      </c>
      <c r="R8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3" s="2" t="str">
        <f>_xlfn.XLOOKUP(Table2[[#This Row],[Adjusted Form '#]],'[2]IN PROGRESS'!$D:$D,'[2]IN PROGRESS'!$M:$M,"Not Found")</f>
        <v>Not Found</v>
      </c>
      <c r="U883" s="2" t="str">
        <f>_xlfn.XLOOKUP(Table2[[#This Row],[Adjusted Form '#]],[1]COMPLETED!$D:$D,[2]COMPLETED!$M:$M,"Not Found")</f>
        <v>Not Found</v>
      </c>
      <c r="V883" s="17" t="str">
        <f>_xlfn.XLOOKUP(Table2[[#This Row],[Adjusted Form '#]],[2]COMPLETED!$D:$D,[2]COMPLETED!$O:$O,"Not Found")</f>
        <v>Not Found</v>
      </c>
      <c r="W883" s="2" t="str">
        <f>_xlfn.XLOOKUP(Table2[[#This Row],[Adjusted Form '#]],[2]BILLED!$D:$D,[2]BILLED!$M:$M,"Not Found")</f>
        <v>1Z5063E0YW41491102</v>
      </c>
      <c r="X883" s="17" t="e">
        <f>_xlfn.XLOOKUP(Table2[[#This Row],[Adjusted Form '#]],[2]BILLED!$D:$D,[1]BILLED!$O:$O,"Not Found")</f>
        <v>#REF!</v>
      </c>
      <c r="Y883" s="17" t="e">
        <f>_xlfn.XLOOKUP(Table2[[#This Row],[Adjusted Form '#]],'[2]REJECTED ORDERS'!$D:$D,'[2]REJECTED ORDERS'!$E:$E)</f>
        <v>#N/A</v>
      </c>
      <c r="Z883" s="1"/>
      <c r="AA883" s="1"/>
      <c r="AB883" s="8"/>
      <c r="AC883" s="8"/>
      <c r="AD883" s="8"/>
      <c r="AE883" s="8"/>
      <c r="AF883" s="8"/>
      <c r="AG883" s="8"/>
      <c r="AH883" s="8"/>
      <c r="AI883" s="8"/>
      <c r="AJ883" s="8"/>
    </row>
    <row r="884" spans="1:36" ht="15" customHeight="1" x14ac:dyDescent="0.35">
      <c r="A884" s="4" t="s">
        <v>1331</v>
      </c>
      <c r="B884" s="1" t="s">
        <v>5378</v>
      </c>
      <c r="C884" s="11">
        <v>45043</v>
      </c>
      <c r="D884" s="11" t="s">
        <v>5379</v>
      </c>
      <c r="E884" s="1" t="s">
        <v>64</v>
      </c>
      <c r="F884" s="1" t="s">
        <v>5383</v>
      </c>
      <c r="G884" s="6">
        <f>COUNTIF(F:F,Table2[[#This Row],[Form '#]])</f>
        <v>1</v>
      </c>
      <c r="H884" s="1" t="s">
        <v>489</v>
      </c>
      <c r="I884" s="1" t="s">
        <v>3852</v>
      </c>
      <c r="J884" s="1" t="s">
        <v>80</v>
      </c>
      <c r="K884" s="1" t="s">
        <v>4011</v>
      </c>
      <c r="L884" s="1"/>
      <c r="M884" s="6" t="str">
        <f>IF(Table2[[#This Row],[Corrected Form '#
 (If Duplicated)]]="",Table2[[#This Row],[Form '#]],Table2[[#This Row],[Corrected Form '#
 (If Duplicated)]])</f>
        <v>7824-00424</v>
      </c>
      <c r="N884" s="1" t="s">
        <v>49</v>
      </c>
      <c r="O884" s="6" t="str">
        <f>IF(Table2[[#This Row],[POG CONFIRMATION RECEIPT OF ORDER
(DATE &amp; TIME)]]="","No Confirmation","Received Confirmation")</f>
        <v>Received Confirmation</v>
      </c>
      <c r="P884" s="6">
        <f ca="1">TODAY()-Table2[[#This Row],[DATE SENT TO POG]]</f>
        <v>260</v>
      </c>
      <c r="Q884" s="6" t="s">
        <v>5803</v>
      </c>
      <c r="R8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4" s="2" t="str">
        <f>_xlfn.XLOOKUP(Table2[[#This Row],[Adjusted Form '#]],'[2]IN PROGRESS'!$D:$D,'[2]IN PROGRESS'!$M:$M,"Not Found")</f>
        <v>Not Found</v>
      </c>
      <c r="U884" s="2" t="str">
        <f>_xlfn.XLOOKUP(Table2[[#This Row],[Adjusted Form '#]],[1]COMPLETED!$D:$D,[2]COMPLETED!$M:$M,"Not Found")</f>
        <v>Not Found</v>
      </c>
      <c r="V884" s="17" t="str">
        <f>_xlfn.XLOOKUP(Table2[[#This Row],[Adjusted Form '#]],[2]COMPLETED!$D:$D,[2]COMPLETED!$O:$O,"Not Found")</f>
        <v>Not Found</v>
      </c>
      <c r="W884" s="2" t="str">
        <f>_xlfn.XLOOKUP(Table2[[#This Row],[Adjusted Form '#]],[2]BILLED!$D:$D,[2]BILLED!$M:$M,"Not Found")</f>
        <v>1Z5063E0YW40760911</v>
      </c>
      <c r="X884" s="17" t="e">
        <f>_xlfn.XLOOKUP(Table2[[#This Row],[Adjusted Form '#]],[2]BILLED!$D:$D,[1]BILLED!$O:$O,"Not Found")</f>
        <v>#REF!</v>
      </c>
      <c r="Y884" s="17" t="e">
        <f>_xlfn.XLOOKUP(Table2[[#This Row],[Adjusted Form '#]],'[2]REJECTED ORDERS'!$D:$D,'[2]REJECTED ORDERS'!$E:$E)</f>
        <v>#N/A</v>
      </c>
      <c r="Z884" s="1"/>
      <c r="AA884" s="1"/>
      <c r="AB884" s="8"/>
      <c r="AC884" s="8"/>
      <c r="AD884" s="8"/>
      <c r="AE884" s="8"/>
      <c r="AF884" s="8"/>
      <c r="AG884" s="8"/>
      <c r="AH884" s="8"/>
      <c r="AI884" s="8"/>
      <c r="AJ884" s="8"/>
    </row>
    <row r="885" spans="1:36" ht="15" customHeight="1" x14ac:dyDescent="0.35">
      <c r="A885" s="4" t="s">
        <v>1334</v>
      </c>
      <c r="B885" s="1" t="s">
        <v>5378</v>
      </c>
      <c r="C885" s="11">
        <v>45043</v>
      </c>
      <c r="D885" s="11" t="s">
        <v>5379</v>
      </c>
      <c r="E885" s="1" t="s">
        <v>64</v>
      </c>
      <c r="F885" s="1" t="s">
        <v>5384</v>
      </c>
      <c r="G885" s="6">
        <f>COUNTIF(F:F,Table2[[#This Row],[Form '#]])</f>
        <v>1</v>
      </c>
      <c r="H885" s="1" t="s">
        <v>5385</v>
      </c>
      <c r="I885" s="1" t="s">
        <v>127</v>
      </c>
      <c r="J885" s="1" t="s">
        <v>76</v>
      </c>
      <c r="K885" s="1" t="s">
        <v>3883</v>
      </c>
      <c r="L885" s="1"/>
      <c r="M885" s="6" t="str">
        <f>IF(Table2[[#This Row],[Corrected Form '#
 (If Duplicated)]]="",Table2[[#This Row],[Form '#]],Table2[[#This Row],[Corrected Form '#
 (If Duplicated)]])</f>
        <v>7824-00433</v>
      </c>
      <c r="N885" s="1" t="s">
        <v>49</v>
      </c>
      <c r="O885" s="6" t="str">
        <f>IF(Table2[[#This Row],[POG CONFIRMATION RECEIPT OF ORDER
(DATE &amp; TIME)]]="","No Confirmation","Received Confirmation")</f>
        <v>Received Confirmation</v>
      </c>
      <c r="P885" s="6">
        <f ca="1">TODAY()-Table2[[#This Row],[DATE SENT TO POG]]</f>
        <v>260</v>
      </c>
      <c r="Q885" s="6" t="s">
        <v>5803</v>
      </c>
      <c r="R8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5" s="2" t="str">
        <f>_xlfn.XLOOKUP(Table2[[#This Row],[Adjusted Form '#]],'[2]IN PROGRESS'!$D:$D,'[2]IN PROGRESS'!$M:$M,"Not Found")</f>
        <v>Not Found</v>
      </c>
      <c r="U885" s="2" t="str">
        <f>_xlfn.XLOOKUP(Table2[[#This Row],[Adjusted Form '#]],[1]COMPLETED!$D:$D,[2]COMPLETED!$M:$M,"Not Found")</f>
        <v>Not Found</v>
      </c>
      <c r="V885" s="17" t="str">
        <f>_xlfn.XLOOKUP(Table2[[#This Row],[Adjusted Form '#]],[2]COMPLETED!$D:$D,[2]COMPLETED!$O:$O,"Not Found")</f>
        <v>Not Found</v>
      </c>
      <c r="W885" s="2" t="str">
        <f>_xlfn.XLOOKUP(Table2[[#This Row],[Adjusted Form '#]],[2]BILLED!$D:$D,[2]BILLED!$M:$M,"Not Found")</f>
        <v>1Z5063E0YW41561063</v>
      </c>
      <c r="X885" s="17" t="e">
        <f>_xlfn.XLOOKUP(Table2[[#This Row],[Adjusted Form '#]],[2]BILLED!$D:$D,[1]BILLED!$O:$O,"Not Found")</f>
        <v>#REF!</v>
      </c>
      <c r="Y885" s="17" t="str">
        <f>_xlfn.XLOOKUP(Table2[[#This Row],[Adjusted Form '#]],'[2]REJECTED ORDERS'!$D:$D,'[2]REJECTED ORDERS'!$E:$E)</f>
        <v>FORM NOT SIGNED</v>
      </c>
      <c r="Z885" s="1"/>
      <c r="AA885" s="1"/>
      <c r="AB885" s="8"/>
      <c r="AC885" s="8"/>
      <c r="AD885" s="8"/>
      <c r="AE885" s="8"/>
      <c r="AF885" s="8"/>
      <c r="AG885" s="8"/>
      <c r="AH885" s="8"/>
      <c r="AI885" s="8"/>
      <c r="AJ885" s="8"/>
    </row>
    <row r="886" spans="1:36" ht="15" customHeight="1" x14ac:dyDescent="0.35">
      <c r="A886" s="4" t="s">
        <v>1337</v>
      </c>
      <c r="B886" s="1" t="s">
        <v>1951</v>
      </c>
      <c r="C886" s="11">
        <v>45043</v>
      </c>
      <c r="D886" s="11" t="s">
        <v>5386</v>
      </c>
      <c r="E886" s="1" t="s">
        <v>21</v>
      </c>
      <c r="F886" s="1" t="s">
        <v>5387</v>
      </c>
      <c r="G886" s="6">
        <f>COUNTIF(F:F,Table2[[#This Row],[Form '#]])</f>
        <v>1</v>
      </c>
      <c r="H886" s="1" t="s">
        <v>5388</v>
      </c>
      <c r="I886" s="1" t="s">
        <v>127</v>
      </c>
      <c r="J886" s="1" t="s">
        <v>76</v>
      </c>
      <c r="K886" s="1" t="s">
        <v>4011</v>
      </c>
      <c r="L886" s="1"/>
      <c r="M886" s="6" t="str">
        <f>IF(Table2[[#This Row],[Corrected Form '#
 (If Duplicated)]]="",Table2[[#This Row],[Form '#]],Table2[[#This Row],[Corrected Form '#
 (If Duplicated)]])</f>
        <v>7818-26656</v>
      </c>
      <c r="N886" s="1" t="s">
        <v>49</v>
      </c>
      <c r="O886" s="6" t="str">
        <f>IF(Table2[[#This Row],[POG CONFIRMATION RECEIPT OF ORDER
(DATE &amp; TIME)]]="","No Confirmation","Received Confirmation")</f>
        <v>Received Confirmation</v>
      </c>
      <c r="P886" s="6">
        <f ca="1">TODAY()-Table2[[#This Row],[DATE SENT TO POG]]</f>
        <v>260</v>
      </c>
      <c r="Q886" s="6" t="s">
        <v>5803</v>
      </c>
      <c r="R8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6" s="2" t="str">
        <f>_xlfn.XLOOKUP(Table2[[#This Row],[Adjusted Form '#]],'[2]IN PROGRESS'!$D:$D,'[2]IN PROGRESS'!$M:$M,"Not Found")</f>
        <v>Not Found</v>
      </c>
      <c r="U886" s="2" t="str">
        <f>_xlfn.XLOOKUP(Table2[[#This Row],[Adjusted Form '#]],[1]COMPLETED!$D:$D,[2]COMPLETED!$M:$M,"Not Found")</f>
        <v>Not Found</v>
      </c>
      <c r="V886" s="17" t="str">
        <f>_xlfn.XLOOKUP(Table2[[#This Row],[Adjusted Form '#]],[2]COMPLETED!$D:$D,[2]COMPLETED!$O:$O,"Not Found")</f>
        <v>Not Found</v>
      </c>
      <c r="W886" s="2" t="str">
        <f>_xlfn.XLOOKUP(Table2[[#This Row],[Adjusted Form '#]],[2]BILLED!$D:$D,[2]BILLED!$M:$M,"Not Found")</f>
        <v>1Z5063E0YT40940946</v>
      </c>
      <c r="X886" s="17" t="e">
        <f>_xlfn.XLOOKUP(Table2[[#This Row],[Adjusted Form '#]],[2]BILLED!$D:$D,[1]BILLED!$O:$O,"Not Found")</f>
        <v>#REF!</v>
      </c>
      <c r="Y886" s="17" t="e">
        <f>_xlfn.XLOOKUP(Table2[[#This Row],[Adjusted Form '#]],'[2]REJECTED ORDERS'!$D:$D,'[2]REJECTED ORDERS'!$E:$E)</f>
        <v>#N/A</v>
      </c>
      <c r="Z886" s="1"/>
      <c r="AA886" s="1"/>
      <c r="AB886" s="8"/>
      <c r="AC886" s="8"/>
      <c r="AD886" s="8"/>
      <c r="AE886" s="8"/>
      <c r="AF886" s="8"/>
      <c r="AG886" s="8"/>
      <c r="AH886" s="8"/>
      <c r="AI886" s="8"/>
      <c r="AJ886" s="8"/>
    </row>
    <row r="887" spans="1:36" ht="15" customHeight="1" x14ac:dyDescent="0.35">
      <c r="A887" s="4" t="s">
        <v>1338</v>
      </c>
      <c r="B887" s="1" t="s">
        <v>1951</v>
      </c>
      <c r="C887" s="11">
        <v>45043</v>
      </c>
      <c r="D887" s="11" t="s">
        <v>5386</v>
      </c>
      <c r="E887" s="1" t="s">
        <v>21</v>
      </c>
      <c r="F887" s="1" t="s">
        <v>5389</v>
      </c>
      <c r="G887" s="6">
        <f>COUNTIF(F:F,Table2[[#This Row],[Form '#]])</f>
        <v>1</v>
      </c>
      <c r="H887" s="1" t="s">
        <v>5390</v>
      </c>
      <c r="I887" s="1" t="s">
        <v>3864</v>
      </c>
      <c r="J887" s="1" t="s">
        <v>78</v>
      </c>
      <c r="K887" s="1" t="s">
        <v>3879</v>
      </c>
      <c r="L887" s="1"/>
      <c r="M887" s="6" t="str">
        <f>IF(Table2[[#This Row],[Corrected Form '#
 (If Duplicated)]]="",Table2[[#This Row],[Form '#]],Table2[[#This Row],[Corrected Form '#
 (If Duplicated)]])</f>
        <v>7818-27007</v>
      </c>
      <c r="N887" s="1" t="s">
        <v>49</v>
      </c>
      <c r="O887" s="6" t="str">
        <f>IF(Table2[[#This Row],[POG CONFIRMATION RECEIPT OF ORDER
(DATE &amp; TIME)]]="","No Confirmation","Received Confirmation")</f>
        <v>Received Confirmation</v>
      </c>
      <c r="P887" s="6">
        <f ca="1">TODAY()-Table2[[#This Row],[DATE SENT TO POG]]</f>
        <v>260</v>
      </c>
      <c r="Q887" s="6" t="s">
        <v>5803</v>
      </c>
      <c r="R8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88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887" s="2" t="str">
        <f>_xlfn.XLOOKUP(Table2[[#This Row],[Adjusted Form '#]],'[2]IN PROGRESS'!$D:$D,'[2]IN PROGRESS'!$M:$M,"Not Found")</f>
        <v>Not Found</v>
      </c>
      <c r="U887" s="2" t="str">
        <f>_xlfn.XLOOKUP(Table2[[#This Row],[Adjusted Form '#]],[1]COMPLETED!$D:$D,[2]COMPLETED!$M:$M,"Not Found")</f>
        <v>Not Found</v>
      </c>
      <c r="V887" s="17">
        <f>_xlfn.XLOOKUP(Table2[[#This Row],[Adjusted Form '#]],[2]COMPLETED!$D:$D,[2]COMPLETED!$O:$O,"Not Found")</f>
        <v>0</v>
      </c>
      <c r="W887" s="2" t="str">
        <f>_xlfn.XLOOKUP(Table2[[#This Row],[Adjusted Form '#]],[2]BILLED!$D:$D,[2]BILLED!$M:$M,"Not Found")</f>
        <v>Not Found</v>
      </c>
      <c r="X887" s="17" t="str">
        <f>_xlfn.XLOOKUP(Table2[[#This Row],[Adjusted Form '#]],[2]BILLED!$D:$D,[1]BILLED!$O:$O,"Not Found")</f>
        <v>Not Found</v>
      </c>
      <c r="Y887" s="17" t="e">
        <f>_xlfn.XLOOKUP(Table2[[#This Row],[Adjusted Form '#]],'[2]REJECTED ORDERS'!$D:$D,'[2]REJECTED ORDERS'!$E:$E)</f>
        <v>#N/A</v>
      </c>
      <c r="Z887" s="1"/>
      <c r="AA887" s="1"/>
      <c r="AB887" s="8"/>
      <c r="AC887" s="8"/>
      <c r="AD887" s="8"/>
      <c r="AE887" s="8"/>
      <c r="AF887" s="8"/>
      <c r="AG887" s="8"/>
      <c r="AH887" s="8"/>
      <c r="AI887" s="8"/>
      <c r="AJ887" s="8"/>
    </row>
    <row r="888" spans="1:36" ht="15" customHeight="1" x14ac:dyDescent="0.35">
      <c r="A888" s="4" t="s">
        <v>1340</v>
      </c>
      <c r="B888" s="1" t="s">
        <v>5391</v>
      </c>
      <c r="C888" s="11">
        <v>45047</v>
      </c>
      <c r="D888" s="11" t="s">
        <v>5392</v>
      </c>
      <c r="E888" s="1" t="s">
        <v>14</v>
      </c>
      <c r="F888" s="1" t="s">
        <v>5393</v>
      </c>
      <c r="G888" s="6">
        <f>COUNTIF(F:F,Table2[[#This Row],[Form '#]])</f>
        <v>1</v>
      </c>
      <c r="H888" s="1" t="s">
        <v>5394</v>
      </c>
      <c r="I888" s="1" t="s">
        <v>177</v>
      </c>
      <c r="J888" s="1" t="s">
        <v>75</v>
      </c>
      <c r="K888" s="1" t="s">
        <v>4011</v>
      </c>
      <c r="L888" s="1"/>
      <c r="M888" s="6" t="str">
        <f>IF(Table2[[#This Row],[Corrected Form '#
 (If Duplicated)]]="",Table2[[#This Row],[Form '#]],Table2[[#This Row],[Corrected Form '#
 (If Duplicated)]])</f>
        <v>7810-01229</v>
      </c>
      <c r="N888" s="1" t="s">
        <v>49</v>
      </c>
      <c r="O888" s="6" t="str">
        <f>IF(Table2[[#This Row],[POG CONFIRMATION RECEIPT OF ORDER
(DATE &amp; TIME)]]="","No Confirmation","Received Confirmation")</f>
        <v>Received Confirmation</v>
      </c>
      <c r="P888" s="6">
        <f ca="1">TODAY()-Table2[[#This Row],[DATE SENT TO POG]]</f>
        <v>256</v>
      </c>
      <c r="Q888" s="6" t="s">
        <v>5803</v>
      </c>
      <c r="R8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8" s="2" t="str">
        <f>_xlfn.XLOOKUP(Table2[[#This Row],[Adjusted Form '#]],'[2]IN PROGRESS'!$D:$D,'[2]IN PROGRESS'!$M:$M,"Not Found")</f>
        <v>Not Found</v>
      </c>
      <c r="U888" s="2" t="str">
        <f>_xlfn.XLOOKUP(Table2[[#This Row],[Adjusted Form '#]],[1]COMPLETED!$D:$D,[2]COMPLETED!$M:$M,"Not Found")</f>
        <v>Not Found</v>
      </c>
      <c r="V888" s="17" t="str">
        <f>_xlfn.XLOOKUP(Table2[[#This Row],[Adjusted Form '#]],[2]COMPLETED!$D:$D,[2]COMPLETED!$O:$O,"Not Found")</f>
        <v>Not Found</v>
      </c>
      <c r="W888" s="2" t="str">
        <f>_xlfn.XLOOKUP(Table2[[#This Row],[Adjusted Form '#]],[2]BILLED!$D:$D,[2]BILLED!$M:$M,"Not Found")</f>
        <v>1Z5063E0YW42822707</v>
      </c>
      <c r="X888" s="17" t="e">
        <f>_xlfn.XLOOKUP(Table2[[#This Row],[Adjusted Form '#]],[2]BILLED!$D:$D,[1]BILLED!$O:$O,"Not Found")</f>
        <v>#REF!</v>
      </c>
      <c r="Y888" s="17" t="e">
        <f>_xlfn.XLOOKUP(Table2[[#This Row],[Adjusted Form '#]],'[2]REJECTED ORDERS'!$D:$D,'[2]REJECTED ORDERS'!$E:$E)</f>
        <v>#N/A</v>
      </c>
      <c r="Z888" s="1"/>
      <c r="AA888" s="1"/>
      <c r="AB888" s="8"/>
      <c r="AC888" s="8"/>
      <c r="AD888" s="8"/>
      <c r="AE888" s="8"/>
      <c r="AF888" s="8"/>
      <c r="AG888" s="8"/>
      <c r="AH888" s="8"/>
      <c r="AI888" s="8"/>
      <c r="AJ888" s="8"/>
    </row>
    <row r="889" spans="1:36" ht="15" customHeight="1" x14ac:dyDescent="0.35">
      <c r="A889" s="4" t="s">
        <v>1342</v>
      </c>
      <c r="B889" s="1" t="s">
        <v>3567</v>
      </c>
      <c r="C889" s="11">
        <v>45047</v>
      </c>
      <c r="D889" s="11" t="s">
        <v>5392</v>
      </c>
      <c r="E889" s="1" t="s">
        <v>21</v>
      </c>
      <c r="F889" s="1" t="s">
        <v>5395</v>
      </c>
      <c r="G889" s="6">
        <f>COUNTIF(F:F,Table2[[#This Row],[Form '#]])</f>
        <v>1</v>
      </c>
      <c r="H889" s="1" t="s">
        <v>5396</v>
      </c>
      <c r="I889" s="1" t="s">
        <v>758</v>
      </c>
      <c r="J889" s="1" t="s">
        <v>78</v>
      </c>
      <c r="K889" s="1" t="s">
        <v>3853</v>
      </c>
      <c r="L889" s="1"/>
      <c r="M889" s="6" t="str">
        <f>IF(Table2[[#This Row],[Corrected Form '#
 (If Duplicated)]]="",Table2[[#This Row],[Form '#]],Table2[[#This Row],[Corrected Form '#
 (If Duplicated)]])</f>
        <v>7818-21194</v>
      </c>
      <c r="N889" s="1" t="s">
        <v>49</v>
      </c>
      <c r="O889" s="6" t="str">
        <f>IF(Table2[[#This Row],[POG CONFIRMATION RECEIPT OF ORDER
(DATE &amp; TIME)]]="","No Confirmation","Received Confirmation")</f>
        <v>Received Confirmation</v>
      </c>
      <c r="P889" s="6">
        <f ca="1">TODAY()-Table2[[#This Row],[DATE SENT TO POG]]</f>
        <v>256</v>
      </c>
      <c r="Q889" s="6" t="s">
        <v>5803</v>
      </c>
      <c r="R8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89" s="2" t="str">
        <f>_xlfn.XLOOKUP(Table2[[#This Row],[Adjusted Form '#]],'[2]IN PROGRESS'!$D:$D,'[2]IN PROGRESS'!$M:$M,"Not Found")</f>
        <v>Not Found</v>
      </c>
      <c r="U889" s="2" t="str">
        <f>_xlfn.XLOOKUP(Table2[[#This Row],[Adjusted Form '#]],[1]COMPLETED!$D:$D,[2]COMPLETED!$M:$M,"Not Found")</f>
        <v>Not Found</v>
      </c>
      <c r="V889" s="17" t="str">
        <f>_xlfn.XLOOKUP(Table2[[#This Row],[Adjusted Form '#]],[2]COMPLETED!$D:$D,[2]COMPLETED!$O:$O,"Not Found")</f>
        <v>Not Found</v>
      </c>
      <c r="W889" s="2" t="str">
        <f>_xlfn.XLOOKUP(Table2[[#This Row],[Adjusted Form '#]],[2]BILLED!$D:$D,[2]BILLED!$M:$M,"Not Found")</f>
        <v>1Z5063E0YW42209611</v>
      </c>
      <c r="X889" s="17" t="e">
        <f>_xlfn.XLOOKUP(Table2[[#This Row],[Adjusted Form '#]],[2]BILLED!$D:$D,[1]BILLED!$O:$O,"Not Found")</f>
        <v>#REF!</v>
      </c>
      <c r="Y889" s="17" t="str">
        <f>_xlfn.XLOOKUP(Table2[[#This Row],[Adjusted Form '#]],'[2]REJECTED ORDERS'!$D:$D,'[2]REJECTED ORDERS'!$E:$E)</f>
        <v>FORM NOT SIGNED</v>
      </c>
      <c r="Z889" s="1"/>
      <c r="AA889" s="1"/>
      <c r="AB889" s="8"/>
      <c r="AC889" s="8"/>
      <c r="AD889" s="8"/>
      <c r="AE889" s="8"/>
      <c r="AF889" s="8"/>
      <c r="AG889" s="8"/>
      <c r="AH889" s="8"/>
      <c r="AI889" s="8"/>
      <c r="AJ889" s="8"/>
    </row>
    <row r="890" spans="1:36" ht="15" customHeight="1" x14ac:dyDescent="0.35">
      <c r="A890" s="4" t="s">
        <v>1343</v>
      </c>
      <c r="B890" s="1" t="s">
        <v>3567</v>
      </c>
      <c r="C890" s="11">
        <v>45047</v>
      </c>
      <c r="D890" s="11" t="s">
        <v>5392</v>
      </c>
      <c r="E890" s="1" t="s">
        <v>21</v>
      </c>
      <c r="F890" s="1" t="s">
        <v>5397</v>
      </c>
      <c r="G890" s="6">
        <f>COUNTIF(F:F,Table2[[#This Row],[Form '#]])</f>
        <v>1</v>
      </c>
      <c r="H890" s="1" t="s">
        <v>5398</v>
      </c>
      <c r="I890" s="1" t="s">
        <v>3864</v>
      </c>
      <c r="J890" s="1" t="s">
        <v>78</v>
      </c>
      <c r="K890" s="1" t="s">
        <v>3879</v>
      </c>
      <c r="L890" s="1"/>
      <c r="M890" s="6" t="str">
        <f>IF(Table2[[#This Row],[Corrected Form '#
 (If Duplicated)]]="",Table2[[#This Row],[Form '#]],Table2[[#This Row],[Corrected Form '#
 (If Duplicated)]])</f>
        <v>7818-25160</v>
      </c>
      <c r="N890" s="1" t="s">
        <v>49</v>
      </c>
      <c r="O890" s="6" t="str">
        <f>IF(Table2[[#This Row],[POG CONFIRMATION RECEIPT OF ORDER
(DATE &amp; TIME)]]="","No Confirmation","Received Confirmation")</f>
        <v>Received Confirmation</v>
      </c>
      <c r="P890" s="6">
        <f ca="1">TODAY()-Table2[[#This Row],[DATE SENT TO POG]]</f>
        <v>256</v>
      </c>
      <c r="Q890" s="6" t="s">
        <v>5803</v>
      </c>
      <c r="R8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89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890" s="2" t="str">
        <f>_xlfn.XLOOKUP(Table2[[#This Row],[Adjusted Form '#]],'[2]IN PROGRESS'!$D:$D,'[2]IN PROGRESS'!$M:$M,"Not Found")</f>
        <v>Not Found</v>
      </c>
      <c r="U890" s="2" t="str">
        <f>_xlfn.XLOOKUP(Table2[[#This Row],[Adjusted Form '#]],[1]COMPLETED!$D:$D,[2]COMPLETED!$M:$M,"Not Found")</f>
        <v>Not Found</v>
      </c>
      <c r="V890" s="17">
        <f>_xlfn.XLOOKUP(Table2[[#This Row],[Adjusted Form '#]],[2]COMPLETED!$D:$D,[2]COMPLETED!$O:$O,"Not Found")</f>
        <v>0</v>
      </c>
      <c r="W890" s="2" t="str">
        <f>_xlfn.XLOOKUP(Table2[[#This Row],[Adjusted Form '#]],[2]BILLED!$D:$D,[2]BILLED!$M:$M,"Not Found")</f>
        <v>Not Found</v>
      </c>
      <c r="X890" s="17" t="str">
        <f>_xlfn.XLOOKUP(Table2[[#This Row],[Adjusted Form '#]],[2]BILLED!$D:$D,[1]BILLED!$O:$O,"Not Found")</f>
        <v>Not Found</v>
      </c>
      <c r="Y890" s="17" t="e">
        <f>_xlfn.XLOOKUP(Table2[[#This Row],[Adjusted Form '#]],'[2]REJECTED ORDERS'!$D:$D,'[2]REJECTED ORDERS'!$E:$E)</f>
        <v>#N/A</v>
      </c>
      <c r="Z890" s="1"/>
      <c r="AA890" s="1"/>
      <c r="AB890" s="8"/>
      <c r="AC890" s="8"/>
      <c r="AD890" s="8"/>
      <c r="AE890" s="8"/>
      <c r="AF890" s="8"/>
      <c r="AG890" s="8"/>
      <c r="AH890" s="8"/>
      <c r="AI890" s="8"/>
      <c r="AJ890" s="8"/>
    </row>
    <row r="891" spans="1:36" ht="15" customHeight="1" x14ac:dyDescent="0.35">
      <c r="A891" s="4" t="s">
        <v>1346</v>
      </c>
      <c r="B891" s="1" t="s">
        <v>3567</v>
      </c>
      <c r="C891" s="11">
        <v>45047</v>
      </c>
      <c r="D891" s="11" t="s">
        <v>5392</v>
      </c>
      <c r="E891" s="1" t="s">
        <v>21</v>
      </c>
      <c r="F891" s="1" t="s">
        <v>5399</v>
      </c>
      <c r="G891" s="6">
        <f>COUNTIF(F:F,Table2[[#This Row],[Form '#]])</f>
        <v>1</v>
      </c>
      <c r="H891" s="1" t="s">
        <v>3289</v>
      </c>
      <c r="I891" s="1" t="s">
        <v>127</v>
      </c>
      <c r="J891" s="1" t="s">
        <v>74</v>
      </c>
      <c r="K891" s="1" t="s">
        <v>3883</v>
      </c>
      <c r="L891" s="1"/>
      <c r="M891" s="6" t="str">
        <f>IF(Table2[[#This Row],[Corrected Form '#
 (If Duplicated)]]="",Table2[[#This Row],[Form '#]],Table2[[#This Row],[Corrected Form '#
 (If Duplicated)]])</f>
        <v>7818-04472</v>
      </c>
      <c r="N891" s="1" t="s">
        <v>49</v>
      </c>
      <c r="O891" s="6" t="str">
        <f>IF(Table2[[#This Row],[POG CONFIRMATION RECEIPT OF ORDER
(DATE &amp; TIME)]]="","No Confirmation","Received Confirmation")</f>
        <v>Received Confirmation</v>
      </c>
      <c r="P891" s="6">
        <f ca="1">TODAY()-Table2[[#This Row],[DATE SENT TO POG]]</f>
        <v>256</v>
      </c>
      <c r="Q891" s="6" t="s">
        <v>5803</v>
      </c>
      <c r="R8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1" s="2" t="str">
        <f>_xlfn.XLOOKUP(Table2[[#This Row],[Adjusted Form '#]],'[2]IN PROGRESS'!$D:$D,'[2]IN PROGRESS'!$M:$M,"Not Found")</f>
        <v>Not Found</v>
      </c>
      <c r="U891" s="2" t="str">
        <f>_xlfn.XLOOKUP(Table2[[#This Row],[Adjusted Form '#]],[1]COMPLETED!$D:$D,[2]COMPLETED!$M:$M,"Not Found")</f>
        <v>Not Found</v>
      </c>
      <c r="V891" s="17" t="str">
        <f>_xlfn.XLOOKUP(Table2[[#This Row],[Adjusted Form '#]],[2]COMPLETED!$D:$D,[2]COMPLETED!$O:$O,"Not Found")</f>
        <v>Not Found</v>
      </c>
      <c r="W891" s="2" t="str">
        <f>_xlfn.XLOOKUP(Table2[[#This Row],[Adjusted Form '#]],[2]BILLED!$D:$D,[2]BILLED!$M:$M,"Not Found")</f>
        <v>1Z5063E0YW42890296</v>
      </c>
      <c r="X891" s="17" t="e">
        <f>_xlfn.XLOOKUP(Table2[[#This Row],[Adjusted Form '#]],[2]BILLED!$D:$D,[1]BILLED!$O:$O,"Not Found")</f>
        <v>#REF!</v>
      </c>
      <c r="Y891" s="17" t="e">
        <f>_xlfn.XLOOKUP(Table2[[#This Row],[Adjusted Form '#]],'[2]REJECTED ORDERS'!$D:$D,'[2]REJECTED ORDERS'!$E:$E)</f>
        <v>#N/A</v>
      </c>
      <c r="Z891" s="1"/>
      <c r="AA891" s="1"/>
      <c r="AB891" s="8"/>
      <c r="AC891" s="8"/>
      <c r="AD891" s="8"/>
      <c r="AE891" s="8"/>
      <c r="AF891" s="8"/>
      <c r="AG891" s="8"/>
      <c r="AH891" s="8"/>
      <c r="AI891" s="8"/>
      <c r="AJ891" s="8"/>
    </row>
    <row r="892" spans="1:36" ht="15" customHeight="1" x14ac:dyDescent="0.35">
      <c r="A892" s="4" t="s">
        <v>1347</v>
      </c>
      <c r="B892" s="1" t="s">
        <v>3567</v>
      </c>
      <c r="C892" s="11">
        <v>45047</v>
      </c>
      <c r="D892" s="11" t="s">
        <v>5392</v>
      </c>
      <c r="E892" s="1" t="s">
        <v>21</v>
      </c>
      <c r="F892" s="1" t="s">
        <v>5400</v>
      </c>
      <c r="G892" s="6">
        <f>COUNTIF(F:F,Table2[[#This Row],[Form '#]])</f>
        <v>1</v>
      </c>
      <c r="H892" s="1" t="s">
        <v>407</v>
      </c>
      <c r="I892" s="1" t="s">
        <v>3864</v>
      </c>
      <c r="J892" s="1" t="s">
        <v>78</v>
      </c>
      <c r="K892" s="1" t="s">
        <v>3879</v>
      </c>
      <c r="L892" s="1"/>
      <c r="M892" s="6" t="str">
        <f>IF(Table2[[#This Row],[Corrected Form '#
 (If Duplicated)]]="",Table2[[#This Row],[Form '#]],Table2[[#This Row],[Corrected Form '#
 (If Duplicated)]])</f>
        <v>7818-26958</v>
      </c>
      <c r="N892" s="1" t="s">
        <v>49</v>
      </c>
      <c r="O892" s="6" t="str">
        <f>IF(Table2[[#This Row],[POG CONFIRMATION RECEIPT OF ORDER
(DATE &amp; TIME)]]="","No Confirmation","Received Confirmation")</f>
        <v>Received Confirmation</v>
      </c>
      <c r="P892" s="6">
        <f ca="1">TODAY()-Table2[[#This Row],[DATE SENT TO POG]]</f>
        <v>256</v>
      </c>
      <c r="Q892" s="6" t="s">
        <v>5803</v>
      </c>
      <c r="R8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2" s="2" t="str">
        <f>_xlfn.XLOOKUP(Table2[[#This Row],[Adjusted Form '#]],'[2]IN PROGRESS'!$D:$D,'[2]IN PROGRESS'!$M:$M,"Not Found")</f>
        <v>Not Found</v>
      </c>
      <c r="U892" s="2" t="str">
        <f>_xlfn.XLOOKUP(Table2[[#This Row],[Adjusted Form '#]],[1]COMPLETED!$D:$D,[2]COMPLETED!$M:$M,"Not Found")</f>
        <v>Not Found</v>
      </c>
      <c r="V892" s="17" t="str">
        <f>_xlfn.XLOOKUP(Table2[[#This Row],[Adjusted Form '#]],[2]COMPLETED!$D:$D,[2]COMPLETED!$O:$O,"Not Found")</f>
        <v>Not Found</v>
      </c>
      <c r="W892" s="2" t="str">
        <f>_xlfn.XLOOKUP(Table2[[#This Row],[Adjusted Form '#]],[2]BILLED!$D:$D,[2]BILLED!$M:$M,"Not Found")</f>
        <v>1Z5063E0YW41019042</v>
      </c>
      <c r="X892" s="17" t="e">
        <f>_xlfn.XLOOKUP(Table2[[#This Row],[Adjusted Form '#]],[2]BILLED!$D:$D,[1]BILLED!$O:$O,"Not Found")</f>
        <v>#REF!</v>
      </c>
      <c r="Y892" s="17" t="e">
        <f>_xlfn.XLOOKUP(Table2[[#This Row],[Adjusted Form '#]],'[2]REJECTED ORDERS'!$D:$D,'[2]REJECTED ORDERS'!$E:$E)</f>
        <v>#N/A</v>
      </c>
      <c r="Z892" s="1"/>
      <c r="AA892" s="1"/>
      <c r="AB892" s="8"/>
      <c r="AC892" s="8"/>
      <c r="AD892" s="8"/>
      <c r="AE892" s="8"/>
      <c r="AF892" s="8"/>
      <c r="AG892" s="8"/>
      <c r="AH892" s="8"/>
      <c r="AI892" s="8"/>
      <c r="AJ892" s="8"/>
    </row>
    <row r="893" spans="1:36" ht="15" customHeight="1" x14ac:dyDescent="0.35">
      <c r="A893" s="4" t="s">
        <v>1348</v>
      </c>
      <c r="B893" s="1" t="s">
        <v>461</v>
      </c>
      <c r="C893" s="11">
        <v>45047</v>
      </c>
      <c r="D893" s="11" t="s">
        <v>5401</v>
      </c>
      <c r="E893" s="1" t="s">
        <v>191</v>
      </c>
      <c r="F893" s="1" t="s">
        <v>5402</v>
      </c>
      <c r="G893" s="6">
        <f>COUNTIF(F:F,Table2[[#This Row],[Form '#]])</f>
        <v>2</v>
      </c>
      <c r="H893" s="1" t="s">
        <v>5403</v>
      </c>
      <c r="I893" s="1" t="s">
        <v>106</v>
      </c>
      <c r="J893" s="1" t="s">
        <v>72</v>
      </c>
      <c r="K893" s="1" t="s">
        <v>4530</v>
      </c>
      <c r="L893" s="1"/>
      <c r="M893" s="6" t="str">
        <f>IF(Table2[[#This Row],[Corrected Form '#
 (If Duplicated)]]="",Table2[[#This Row],[Form '#]],Table2[[#This Row],[Corrected Form '#
 (If Duplicated)]])</f>
        <v>7812-02855</v>
      </c>
      <c r="N893" s="1" t="s">
        <v>49</v>
      </c>
      <c r="O893" s="6" t="str">
        <f>IF(Table2[[#This Row],[POG CONFIRMATION RECEIPT OF ORDER
(DATE &amp; TIME)]]="","No Confirmation","Received Confirmation")</f>
        <v>Received Confirmation</v>
      </c>
      <c r="P893" s="6">
        <f ca="1">TODAY()-Table2[[#This Row],[DATE SENT TO POG]]</f>
        <v>256</v>
      </c>
      <c r="Q893" s="6" t="s">
        <v>5803</v>
      </c>
      <c r="R8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3" s="2" t="str">
        <f>_xlfn.XLOOKUP(Table2[[#This Row],[Adjusted Form '#]],'[2]IN PROGRESS'!$D:$D,'[2]IN PROGRESS'!$M:$M,"Not Found")</f>
        <v>Not Found</v>
      </c>
      <c r="U893" s="2" t="str">
        <f>_xlfn.XLOOKUP(Table2[[#This Row],[Adjusted Form '#]],[1]COMPLETED!$D:$D,[2]COMPLETED!$M:$M,"Not Found")</f>
        <v>Not Found</v>
      </c>
      <c r="V893" s="17" t="str">
        <f>_xlfn.XLOOKUP(Table2[[#This Row],[Adjusted Form '#]],[2]COMPLETED!$D:$D,[2]COMPLETED!$O:$O,"Not Found")</f>
        <v>Not Found</v>
      </c>
      <c r="W893" s="2" t="str">
        <f>_xlfn.XLOOKUP(Table2[[#This Row],[Adjusted Form '#]],[2]BILLED!$D:$D,[2]BILLED!$M:$M,"Not Found")</f>
        <v>9400 1361 0605 3132 7903 16</v>
      </c>
      <c r="X893" s="17" t="e">
        <f>_xlfn.XLOOKUP(Table2[[#This Row],[Adjusted Form '#]],[2]BILLED!$D:$D,[1]BILLED!$O:$O,"Not Found")</f>
        <v>#REF!</v>
      </c>
      <c r="Y893" s="17" t="e">
        <f>_xlfn.XLOOKUP(Table2[[#This Row],[Adjusted Form '#]],'[2]REJECTED ORDERS'!$D:$D,'[2]REJECTED ORDERS'!$E:$E)</f>
        <v>#N/A</v>
      </c>
      <c r="Z893" s="1"/>
      <c r="AA893" s="1"/>
      <c r="AB893" s="8"/>
      <c r="AC893" s="8"/>
      <c r="AD893" s="8"/>
      <c r="AE893" s="8"/>
      <c r="AF893" s="8"/>
      <c r="AG893" s="8"/>
      <c r="AH893" s="8"/>
      <c r="AI893" s="8"/>
      <c r="AJ893" s="8"/>
    </row>
    <row r="894" spans="1:36" ht="15" customHeight="1" x14ac:dyDescent="0.35">
      <c r="A894" s="4" t="s">
        <v>1350</v>
      </c>
      <c r="B894" s="1" t="s">
        <v>3560</v>
      </c>
      <c r="C894" s="11">
        <v>45047</v>
      </c>
      <c r="D894" s="11" t="s">
        <v>5401</v>
      </c>
      <c r="E894" s="1" t="s">
        <v>21</v>
      </c>
      <c r="F894" s="1" t="s">
        <v>5404</v>
      </c>
      <c r="G894" s="6">
        <f>COUNTIF(F:F,Table2[[#This Row],[Form '#]])</f>
        <v>1</v>
      </c>
      <c r="H894" s="1" t="s">
        <v>5405</v>
      </c>
      <c r="I894" s="1" t="s">
        <v>3852</v>
      </c>
      <c r="J894" s="1" t="s">
        <v>80</v>
      </c>
      <c r="K894" s="1" t="s">
        <v>3853</v>
      </c>
      <c r="L894" s="1"/>
      <c r="M894" s="6" t="str">
        <f>IF(Table2[[#This Row],[Corrected Form '#
 (If Duplicated)]]="",Table2[[#This Row],[Form '#]],Table2[[#This Row],[Corrected Form '#
 (If Duplicated)]])</f>
        <v>7818-24285</v>
      </c>
      <c r="N894" s="1" t="s">
        <v>49</v>
      </c>
      <c r="O894" s="6" t="str">
        <f>IF(Table2[[#This Row],[POG CONFIRMATION RECEIPT OF ORDER
(DATE &amp; TIME)]]="","No Confirmation","Received Confirmation")</f>
        <v>Received Confirmation</v>
      </c>
      <c r="P894" s="6">
        <f ca="1">TODAY()-Table2[[#This Row],[DATE SENT TO POG]]</f>
        <v>256</v>
      </c>
      <c r="Q894" s="6" t="s">
        <v>5803</v>
      </c>
      <c r="R8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4" s="2" t="str">
        <f>_xlfn.XLOOKUP(Table2[[#This Row],[Adjusted Form '#]],'[2]IN PROGRESS'!$D:$D,'[2]IN PROGRESS'!$M:$M,"Not Found")</f>
        <v>Not Found</v>
      </c>
      <c r="U894" s="2" t="str">
        <f>_xlfn.XLOOKUP(Table2[[#This Row],[Adjusted Form '#]],[1]COMPLETED!$D:$D,[2]COMPLETED!$M:$M,"Not Found")</f>
        <v>Not Found</v>
      </c>
      <c r="V894" s="17" t="str">
        <f>_xlfn.XLOOKUP(Table2[[#This Row],[Adjusted Form '#]],[2]COMPLETED!$D:$D,[2]COMPLETED!$O:$O,"Not Found")</f>
        <v>Not Found</v>
      </c>
      <c r="W894" s="2" t="str">
        <f>_xlfn.XLOOKUP(Table2[[#This Row],[Adjusted Form '#]],[2]BILLED!$D:$D,[2]BILLED!$M:$M,"Not Found")</f>
        <v>1Z5063E0YW42430809</v>
      </c>
      <c r="X894" s="17" t="e">
        <f>_xlfn.XLOOKUP(Table2[[#This Row],[Adjusted Form '#]],[2]BILLED!$D:$D,[1]BILLED!$O:$O,"Not Found")</f>
        <v>#REF!</v>
      </c>
      <c r="Y894" s="17" t="e">
        <f>_xlfn.XLOOKUP(Table2[[#This Row],[Adjusted Form '#]],'[2]REJECTED ORDERS'!$D:$D,'[2]REJECTED ORDERS'!$E:$E)</f>
        <v>#N/A</v>
      </c>
      <c r="Z894" s="1"/>
      <c r="AA894" s="1"/>
      <c r="AB894" s="8"/>
      <c r="AC894" s="8"/>
      <c r="AD894" s="8"/>
      <c r="AE894" s="8"/>
      <c r="AF894" s="8"/>
      <c r="AG894" s="8"/>
      <c r="AH894" s="8"/>
      <c r="AI894" s="8"/>
      <c r="AJ894" s="8"/>
    </row>
    <row r="895" spans="1:36" ht="15" customHeight="1" x14ac:dyDescent="0.35">
      <c r="A895" s="4" t="s">
        <v>1351</v>
      </c>
      <c r="B895" s="1" t="s">
        <v>3560</v>
      </c>
      <c r="C895" s="11">
        <v>45047</v>
      </c>
      <c r="D895" s="11" t="s">
        <v>5401</v>
      </c>
      <c r="E895" s="1" t="s">
        <v>21</v>
      </c>
      <c r="F895" s="1" t="s">
        <v>5406</v>
      </c>
      <c r="G895" s="6">
        <f>COUNTIF(F:F,Table2[[#This Row],[Form '#]])</f>
        <v>1</v>
      </c>
      <c r="H895" s="1" t="s">
        <v>5407</v>
      </c>
      <c r="I895" s="1" t="s">
        <v>3864</v>
      </c>
      <c r="J895" s="1" t="s">
        <v>78</v>
      </c>
      <c r="K895" s="1" t="s">
        <v>3879</v>
      </c>
      <c r="L895" s="1"/>
      <c r="M895" s="6" t="str">
        <f>IF(Table2[[#This Row],[Corrected Form '#
 (If Duplicated)]]="",Table2[[#This Row],[Form '#]],Table2[[#This Row],[Corrected Form '#
 (If Duplicated)]])</f>
        <v>7818-21839</v>
      </c>
      <c r="N895" s="1" t="s">
        <v>49</v>
      </c>
      <c r="O895" s="6" t="str">
        <f>IF(Table2[[#This Row],[POG CONFIRMATION RECEIPT OF ORDER
(DATE &amp; TIME)]]="","No Confirmation","Received Confirmation")</f>
        <v>Received Confirmation</v>
      </c>
      <c r="P895" s="6">
        <f ca="1">TODAY()-Table2[[#This Row],[DATE SENT TO POG]]</f>
        <v>256</v>
      </c>
      <c r="Q895" s="6" t="s">
        <v>5803</v>
      </c>
      <c r="R8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5" s="2" t="str">
        <f>_xlfn.XLOOKUP(Table2[[#This Row],[Adjusted Form '#]],'[2]IN PROGRESS'!$D:$D,'[2]IN PROGRESS'!$M:$M,"Not Found")</f>
        <v>Not Found</v>
      </c>
      <c r="U895" s="2" t="str">
        <f>_xlfn.XLOOKUP(Table2[[#This Row],[Adjusted Form '#]],[1]COMPLETED!$D:$D,[2]COMPLETED!$M:$M,"Not Found")</f>
        <v>Not Found</v>
      </c>
      <c r="V895" s="17" t="str">
        <f>_xlfn.XLOOKUP(Table2[[#This Row],[Adjusted Form '#]],[2]COMPLETED!$D:$D,[2]COMPLETED!$O:$O,"Not Found")</f>
        <v>Not Found</v>
      </c>
      <c r="W895" s="2" t="str">
        <f>_xlfn.XLOOKUP(Table2[[#This Row],[Adjusted Form '#]],[2]BILLED!$D:$D,[2]BILLED!$M:$M,"Not Found")</f>
        <v>1Z5063E0YW40151132</v>
      </c>
      <c r="X895" s="17" t="e">
        <f>_xlfn.XLOOKUP(Table2[[#This Row],[Adjusted Form '#]],[2]BILLED!$D:$D,[1]BILLED!$O:$O,"Not Found")</f>
        <v>#REF!</v>
      </c>
      <c r="Y895" s="17" t="str">
        <f>_xlfn.XLOOKUP(Table2[[#This Row],[Adjusted Form '#]],'[2]REJECTED ORDERS'!$D:$D,'[2]REJECTED ORDERS'!$E:$E)</f>
        <v>FORM NOT SIGNED</v>
      </c>
      <c r="Z895" s="1"/>
      <c r="AA895" s="1"/>
      <c r="AB895" s="8"/>
      <c r="AC895" s="8"/>
      <c r="AD895" s="8"/>
      <c r="AE895" s="8"/>
      <c r="AF895" s="8"/>
      <c r="AG895" s="8"/>
      <c r="AH895" s="8"/>
      <c r="AI895" s="8"/>
      <c r="AJ895" s="8"/>
    </row>
    <row r="896" spans="1:36" ht="15" customHeight="1" x14ac:dyDescent="0.35">
      <c r="A896" s="4" t="s">
        <v>1352</v>
      </c>
      <c r="B896" s="1" t="s">
        <v>3560</v>
      </c>
      <c r="C896" s="11">
        <v>45047</v>
      </c>
      <c r="D896" s="11" t="s">
        <v>5401</v>
      </c>
      <c r="E896" s="1" t="s">
        <v>21</v>
      </c>
      <c r="F896" s="1" t="s">
        <v>5408</v>
      </c>
      <c r="G896" s="6">
        <f>COUNTIF(F:F,Table2[[#This Row],[Form '#]])</f>
        <v>1</v>
      </c>
      <c r="H896" s="1" t="s">
        <v>2841</v>
      </c>
      <c r="I896" s="1" t="s">
        <v>758</v>
      </c>
      <c r="J896" s="1" t="s">
        <v>78</v>
      </c>
      <c r="K896" s="1" t="s">
        <v>3853</v>
      </c>
      <c r="L896" s="1"/>
      <c r="M896" s="6" t="str">
        <f>IF(Table2[[#This Row],[Corrected Form '#
 (If Duplicated)]]="",Table2[[#This Row],[Form '#]],Table2[[#This Row],[Corrected Form '#
 (If Duplicated)]])</f>
        <v>7818-10400</v>
      </c>
      <c r="N896" s="1" t="s">
        <v>49</v>
      </c>
      <c r="O896" s="6" t="str">
        <f>IF(Table2[[#This Row],[POG CONFIRMATION RECEIPT OF ORDER
(DATE &amp; TIME)]]="","No Confirmation","Received Confirmation")</f>
        <v>Received Confirmation</v>
      </c>
      <c r="P896" s="6">
        <f ca="1">TODAY()-Table2[[#This Row],[DATE SENT TO POG]]</f>
        <v>256</v>
      </c>
      <c r="Q896" s="6" t="s">
        <v>5803</v>
      </c>
      <c r="R8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6" s="2" t="str">
        <f>_xlfn.XLOOKUP(Table2[[#This Row],[Adjusted Form '#]],'[2]IN PROGRESS'!$D:$D,'[2]IN PROGRESS'!$M:$M,"Not Found")</f>
        <v>Not Found</v>
      </c>
      <c r="U896" s="2" t="str">
        <f>_xlfn.XLOOKUP(Table2[[#This Row],[Adjusted Form '#]],[1]COMPLETED!$D:$D,[2]COMPLETED!$M:$M,"Not Found")</f>
        <v>Not Found</v>
      </c>
      <c r="V896" s="17" t="str">
        <f>_xlfn.XLOOKUP(Table2[[#This Row],[Adjusted Form '#]],[2]COMPLETED!$D:$D,[2]COMPLETED!$O:$O,"Not Found")</f>
        <v>Not Found</v>
      </c>
      <c r="W896" s="2" t="str">
        <f>_xlfn.XLOOKUP(Table2[[#This Row],[Adjusted Form '#]],[2]BILLED!$D:$D,[2]BILLED!$M:$M,"Not Found")</f>
        <v>1Z5063E0YW40030629</v>
      </c>
      <c r="X896" s="17" t="e">
        <f>_xlfn.XLOOKUP(Table2[[#This Row],[Adjusted Form '#]],[2]BILLED!$D:$D,[1]BILLED!$O:$O,"Not Found")</f>
        <v>#REF!</v>
      </c>
      <c r="Y896" s="17" t="e">
        <f>_xlfn.XLOOKUP(Table2[[#This Row],[Adjusted Form '#]],'[2]REJECTED ORDERS'!$D:$D,'[2]REJECTED ORDERS'!$E:$E)</f>
        <v>#N/A</v>
      </c>
      <c r="Z896" s="1"/>
      <c r="AA896" s="1"/>
      <c r="AB896" s="8"/>
      <c r="AC896" s="8"/>
      <c r="AD896" s="8"/>
      <c r="AE896" s="8"/>
      <c r="AF896" s="8"/>
      <c r="AG896" s="8"/>
      <c r="AH896" s="8"/>
      <c r="AI896" s="8"/>
      <c r="AJ896" s="8"/>
    </row>
    <row r="897" spans="1:36" ht="15" customHeight="1" x14ac:dyDescent="0.35">
      <c r="A897" s="4" t="s">
        <v>1354</v>
      </c>
      <c r="B897" s="1" t="s">
        <v>3560</v>
      </c>
      <c r="C897" s="11">
        <v>45047</v>
      </c>
      <c r="D897" s="11" t="s">
        <v>5401</v>
      </c>
      <c r="E897" s="1" t="s">
        <v>21</v>
      </c>
      <c r="F897" s="1" t="s">
        <v>5409</v>
      </c>
      <c r="G897" s="6">
        <f>COUNTIF(F:F,Table2[[#This Row],[Form '#]])</f>
        <v>1</v>
      </c>
      <c r="H897" s="1" t="s">
        <v>5410</v>
      </c>
      <c r="I897" s="1" t="s">
        <v>177</v>
      </c>
      <c r="J897" s="1" t="s">
        <v>75</v>
      </c>
      <c r="K897" s="1" t="s">
        <v>3853</v>
      </c>
      <c r="L897" s="1"/>
      <c r="M897" s="6" t="str">
        <f>IF(Table2[[#This Row],[Corrected Form '#
 (If Duplicated)]]="",Table2[[#This Row],[Form '#]],Table2[[#This Row],[Corrected Form '#
 (If Duplicated)]])</f>
        <v>7818-24187</v>
      </c>
      <c r="N897" s="1" t="s">
        <v>49</v>
      </c>
      <c r="O897" s="6" t="str">
        <f>IF(Table2[[#This Row],[POG CONFIRMATION RECEIPT OF ORDER
(DATE &amp; TIME)]]="","No Confirmation","Received Confirmation")</f>
        <v>Received Confirmation</v>
      </c>
      <c r="P897" s="6">
        <f ca="1">TODAY()-Table2[[#This Row],[DATE SENT TO POG]]</f>
        <v>256</v>
      </c>
      <c r="Q897" s="6" t="s">
        <v>5803</v>
      </c>
      <c r="R8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7" s="2" t="str">
        <f>_xlfn.XLOOKUP(Table2[[#This Row],[Adjusted Form '#]],'[2]IN PROGRESS'!$D:$D,'[2]IN PROGRESS'!$M:$M,"Not Found")</f>
        <v>Not Found</v>
      </c>
      <c r="U897" s="2" t="str">
        <f>_xlfn.XLOOKUP(Table2[[#This Row],[Adjusted Form '#]],[1]COMPLETED!$D:$D,[2]COMPLETED!$M:$M,"Not Found")</f>
        <v>Not Found</v>
      </c>
      <c r="V897" s="17" t="str">
        <f>_xlfn.XLOOKUP(Table2[[#This Row],[Adjusted Form '#]],[2]COMPLETED!$D:$D,[2]COMPLETED!$O:$O,"Not Found")</f>
        <v>Not Found</v>
      </c>
      <c r="W897" s="2" t="str">
        <f>_xlfn.XLOOKUP(Table2[[#This Row],[Adjusted Form '#]],[2]BILLED!$D:$D,[2]BILLED!$M:$M,"Not Found")</f>
        <v>1Z5063E0YW40328362</v>
      </c>
      <c r="X897" s="17" t="e">
        <f>_xlfn.XLOOKUP(Table2[[#This Row],[Adjusted Form '#]],[2]BILLED!$D:$D,[1]BILLED!$O:$O,"Not Found")</f>
        <v>#REF!</v>
      </c>
      <c r="Y897" s="17" t="e">
        <f>_xlfn.XLOOKUP(Table2[[#This Row],[Adjusted Form '#]],'[2]REJECTED ORDERS'!$D:$D,'[2]REJECTED ORDERS'!$E:$E)</f>
        <v>#N/A</v>
      </c>
      <c r="Z897" s="1"/>
      <c r="AA897" s="1"/>
      <c r="AB897" s="8"/>
      <c r="AC897" s="8"/>
      <c r="AD897" s="8"/>
      <c r="AE897" s="8"/>
      <c r="AF897" s="8"/>
      <c r="AG897" s="8"/>
      <c r="AH897" s="8"/>
      <c r="AI897" s="8"/>
      <c r="AJ897" s="8"/>
    </row>
    <row r="898" spans="1:36" ht="15" customHeight="1" x14ac:dyDescent="0.35">
      <c r="A898" s="4" t="s">
        <v>1355</v>
      </c>
      <c r="B898" s="1" t="s">
        <v>3560</v>
      </c>
      <c r="C898" s="11">
        <v>45047</v>
      </c>
      <c r="D898" s="11" t="s">
        <v>5401</v>
      </c>
      <c r="E898" s="1" t="s">
        <v>21</v>
      </c>
      <c r="F898" s="1" t="s">
        <v>5411</v>
      </c>
      <c r="G898" s="6">
        <f>COUNTIF(F:F,Table2[[#This Row],[Form '#]])</f>
        <v>1</v>
      </c>
      <c r="H898" s="1" t="s">
        <v>5412</v>
      </c>
      <c r="I898" s="1" t="s">
        <v>3864</v>
      </c>
      <c r="J898" s="1" t="s">
        <v>78</v>
      </c>
      <c r="K898" s="1" t="s">
        <v>3879</v>
      </c>
      <c r="L898" s="1"/>
      <c r="M898" s="6" t="str">
        <f>IF(Table2[[#This Row],[Corrected Form '#
 (If Duplicated)]]="",Table2[[#This Row],[Form '#]],Table2[[#This Row],[Corrected Form '#
 (If Duplicated)]])</f>
        <v>7818-18746</v>
      </c>
      <c r="N898" s="1" t="s">
        <v>49</v>
      </c>
      <c r="O898" s="6" t="str">
        <f>IF(Table2[[#This Row],[POG CONFIRMATION RECEIPT OF ORDER
(DATE &amp; TIME)]]="","No Confirmation","Received Confirmation")</f>
        <v>Received Confirmation</v>
      </c>
      <c r="P898" s="6">
        <f ca="1">TODAY()-Table2[[#This Row],[DATE SENT TO POG]]</f>
        <v>256</v>
      </c>
      <c r="Q898" s="6" t="s">
        <v>5803</v>
      </c>
      <c r="R8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8" s="2" t="str">
        <f>_xlfn.XLOOKUP(Table2[[#This Row],[Adjusted Form '#]],'[2]IN PROGRESS'!$D:$D,'[2]IN PROGRESS'!$M:$M,"Not Found")</f>
        <v>Not Found</v>
      </c>
      <c r="U898" s="2" t="str">
        <f>_xlfn.XLOOKUP(Table2[[#This Row],[Adjusted Form '#]],[1]COMPLETED!$D:$D,[2]COMPLETED!$M:$M,"Not Found")</f>
        <v>Not Found</v>
      </c>
      <c r="V898" s="17" t="str">
        <f>_xlfn.XLOOKUP(Table2[[#This Row],[Adjusted Form '#]],[2]COMPLETED!$D:$D,[2]COMPLETED!$O:$O,"Not Found")</f>
        <v>Not Found</v>
      </c>
      <c r="W898" s="2" t="str">
        <f>_xlfn.XLOOKUP(Table2[[#This Row],[Adjusted Form '#]],[2]BILLED!$D:$D,[2]BILLED!$M:$M,"Not Found")</f>
        <v>1Z5063E0YW42207739</v>
      </c>
      <c r="X898" s="17" t="e">
        <f>_xlfn.XLOOKUP(Table2[[#This Row],[Adjusted Form '#]],[2]BILLED!$D:$D,[1]BILLED!$O:$O,"Not Found")</f>
        <v>#REF!</v>
      </c>
      <c r="Y898" s="17" t="e">
        <f>_xlfn.XLOOKUP(Table2[[#This Row],[Adjusted Form '#]],'[2]REJECTED ORDERS'!$D:$D,'[2]REJECTED ORDERS'!$E:$E)</f>
        <v>#N/A</v>
      </c>
      <c r="Z898" s="1"/>
      <c r="AA898" s="1"/>
      <c r="AB898" s="8"/>
      <c r="AC898" s="8"/>
      <c r="AD898" s="8"/>
      <c r="AE898" s="8"/>
      <c r="AF898" s="8"/>
      <c r="AG898" s="8"/>
      <c r="AH898" s="8"/>
      <c r="AI898" s="8"/>
      <c r="AJ898" s="8"/>
    </row>
    <row r="899" spans="1:36" ht="15" customHeight="1" x14ac:dyDescent="0.35">
      <c r="A899" s="4" t="s">
        <v>1357</v>
      </c>
      <c r="B899" s="1" t="s">
        <v>3560</v>
      </c>
      <c r="C899" s="11">
        <v>45047</v>
      </c>
      <c r="D899" s="11" t="s">
        <v>5401</v>
      </c>
      <c r="E899" s="1" t="s">
        <v>21</v>
      </c>
      <c r="F899" s="1" t="s">
        <v>5413</v>
      </c>
      <c r="G899" s="6">
        <f>COUNTIF(F:F,Table2[[#This Row],[Form '#]])</f>
        <v>1</v>
      </c>
      <c r="H899" s="1" t="s">
        <v>3065</v>
      </c>
      <c r="I899" s="1" t="s">
        <v>3864</v>
      </c>
      <c r="J899" s="1" t="s">
        <v>78</v>
      </c>
      <c r="K899" s="1" t="s">
        <v>3879</v>
      </c>
      <c r="L899" s="1"/>
      <c r="M899" s="6" t="str">
        <f>IF(Table2[[#This Row],[Corrected Form '#
 (If Duplicated)]]="",Table2[[#This Row],[Form '#]],Table2[[#This Row],[Corrected Form '#
 (If Duplicated)]])</f>
        <v>7818-17268</v>
      </c>
      <c r="N899" s="1" t="s">
        <v>49</v>
      </c>
      <c r="O899" s="6" t="str">
        <f>IF(Table2[[#This Row],[POG CONFIRMATION RECEIPT OF ORDER
(DATE &amp; TIME)]]="","No Confirmation","Received Confirmation")</f>
        <v>Received Confirmation</v>
      </c>
      <c r="P899" s="6">
        <f ca="1">TODAY()-Table2[[#This Row],[DATE SENT TO POG]]</f>
        <v>256</v>
      </c>
      <c r="Q899" s="6" t="s">
        <v>5803</v>
      </c>
      <c r="R8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8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899" s="2" t="str">
        <f>_xlfn.XLOOKUP(Table2[[#This Row],[Adjusted Form '#]],'[2]IN PROGRESS'!$D:$D,'[2]IN PROGRESS'!$M:$M,"Not Found")</f>
        <v>Not Found</v>
      </c>
      <c r="U899" s="2" t="str">
        <f>_xlfn.XLOOKUP(Table2[[#This Row],[Adjusted Form '#]],[1]COMPLETED!$D:$D,[2]COMPLETED!$M:$M,"Not Found")</f>
        <v>Not Found</v>
      </c>
      <c r="V899" s="17" t="str">
        <f>_xlfn.XLOOKUP(Table2[[#This Row],[Adjusted Form '#]],[2]COMPLETED!$D:$D,[2]COMPLETED!$O:$O,"Not Found")</f>
        <v>Not Found</v>
      </c>
      <c r="W899" s="2" t="str">
        <f>_xlfn.XLOOKUP(Table2[[#This Row],[Adjusted Form '#]],[2]BILLED!$D:$D,[2]BILLED!$M:$M,"Not Found")</f>
        <v>1Z5063E0YW40578682</v>
      </c>
      <c r="X899" s="17" t="e">
        <f>_xlfn.XLOOKUP(Table2[[#This Row],[Adjusted Form '#]],[2]BILLED!$D:$D,[1]BILLED!$O:$O,"Not Found")</f>
        <v>#REF!</v>
      </c>
      <c r="Y899" s="17" t="e">
        <f>_xlfn.XLOOKUP(Table2[[#This Row],[Adjusted Form '#]],'[2]REJECTED ORDERS'!$D:$D,'[2]REJECTED ORDERS'!$E:$E)</f>
        <v>#N/A</v>
      </c>
      <c r="Z899" s="1"/>
      <c r="AA899" s="1"/>
      <c r="AB899" s="8"/>
      <c r="AC899" s="8"/>
      <c r="AD899" s="8"/>
      <c r="AE899" s="8"/>
      <c r="AF899" s="8"/>
      <c r="AG899" s="8"/>
      <c r="AH899" s="8"/>
      <c r="AI899" s="8"/>
      <c r="AJ899" s="8"/>
    </row>
    <row r="900" spans="1:36" ht="15" customHeight="1" x14ac:dyDescent="0.35">
      <c r="A900" s="4" t="s">
        <v>1360</v>
      </c>
      <c r="B900" s="1" t="s">
        <v>3560</v>
      </c>
      <c r="C900" s="11">
        <v>45047</v>
      </c>
      <c r="D900" s="11" t="s">
        <v>5401</v>
      </c>
      <c r="E900" s="1" t="s">
        <v>21</v>
      </c>
      <c r="F900" s="1" t="s">
        <v>5414</v>
      </c>
      <c r="G900" s="6">
        <f>COUNTIF(F:F,Table2[[#This Row],[Form '#]])</f>
        <v>1</v>
      </c>
      <c r="H900" s="1" t="s">
        <v>5415</v>
      </c>
      <c r="I900" s="1" t="s">
        <v>3864</v>
      </c>
      <c r="J900" s="1" t="s">
        <v>78</v>
      </c>
      <c r="K900" s="1" t="s">
        <v>3879</v>
      </c>
      <c r="L900" s="1"/>
      <c r="M900" s="6" t="str">
        <f>IF(Table2[[#This Row],[Corrected Form '#
 (If Duplicated)]]="",Table2[[#This Row],[Form '#]],Table2[[#This Row],[Corrected Form '#
 (If Duplicated)]])</f>
        <v>7818-29439</v>
      </c>
      <c r="N900" s="1" t="s">
        <v>49</v>
      </c>
      <c r="O900" s="6" t="str">
        <f>IF(Table2[[#This Row],[POG CONFIRMATION RECEIPT OF ORDER
(DATE &amp; TIME)]]="","No Confirmation","Received Confirmation")</f>
        <v>Received Confirmation</v>
      </c>
      <c r="P900" s="6">
        <f ca="1">TODAY()-Table2[[#This Row],[DATE SENT TO POG]]</f>
        <v>256</v>
      </c>
      <c r="Q900" s="6" t="s">
        <v>5803</v>
      </c>
      <c r="R9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0" s="2" t="str">
        <f>_xlfn.XLOOKUP(Table2[[#This Row],[Adjusted Form '#]],'[2]IN PROGRESS'!$D:$D,'[2]IN PROGRESS'!$M:$M,"Not Found")</f>
        <v>Not Found</v>
      </c>
      <c r="U900" s="2" t="str">
        <f>_xlfn.XLOOKUP(Table2[[#This Row],[Adjusted Form '#]],[1]COMPLETED!$D:$D,[2]COMPLETED!$M:$M,"Not Found")</f>
        <v>Not Found</v>
      </c>
      <c r="V900" s="17" t="str">
        <f>_xlfn.XLOOKUP(Table2[[#This Row],[Adjusted Form '#]],[2]COMPLETED!$D:$D,[2]COMPLETED!$O:$O,"Not Found")</f>
        <v>Not Found</v>
      </c>
      <c r="W900" s="2" t="str">
        <f>_xlfn.XLOOKUP(Table2[[#This Row],[Adjusted Form '#]],[2]BILLED!$D:$D,[2]BILLED!$M:$M,"Not Found")</f>
        <v>1Z5063E0YW41477511</v>
      </c>
      <c r="X900" s="17" t="e">
        <f>_xlfn.XLOOKUP(Table2[[#This Row],[Adjusted Form '#]],[2]BILLED!$D:$D,[1]BILLED!$O:$O,"Not Found")</f>
        <v>#REF!</v>
      </c>
      <c r="Y900" s="17" t="e">
        <f>_xlfn.XLOOKUP(Table2[[#This Row],[Adjusted Form '#]],'[2]REJECTED ORDERS'!$D:$D,'[2]REJECTED ORDERS'!$E:$E)</f>
        <v>#N/A</v>
      </c>
      <c r="Z900" s="1"/>
      <c r="AA900" s="1"/>
      <c r="AB900" s="8"/>
      <c r="AC900" s="8"/>
      <c r="AD900" s="8"/>
      <c r="AE900" s="8"/>
      <c r="AF900" s="8"/>
      <c r="AG900" s="8"/>
      <c r="AH900" s="8"/>
      <c r="AI900" s="8"/>
      <c r="AJ900" s="8"/>
    </row>
    <row r="901" spans="1:36" ht="15" customHeight="1" x14ac:dyDescent="0.35">
      <c r="A901" s="4" t="s">
        <v>1363</v>
      </c>
      <c r="B901" s="1" t="s">
        <v>3560</v>
      </c>
      <c r="C901" s="11">
        <v>45047</v>
      </c>
      <c r="D901" s="11" t="s">
        <v>5401</v>
      </c>
      <c r="E901" s="1" t="s">
        <v>21</v>
      </c>
      <c r="F901" s="1" t="s">
        <v>5416</v>
      </c>
      <c r="G901" s="6">
        <f>COUNTIF(F:F,Table2[[#This Row],[Form '#]])</f>
        <v>1</v>
      </c>
      <c r="H901" s="1" t="s">
        <v>5417</v>
      </c>
      <c r="I901" s="1" t="s">
        <v>3852</v>
      </c>
      <c r="J901" s="1" t="s">
        <v>80</v>
      </c>
      <c r="K901" s="1" t="s">
        <v>3853</v>
      </c>
      <c r="L901" s="1"/>
      <c r="M901" s="6" t="str">
        <f>IF(Table2[[#This Row],[Corrected Form '#
 (If Duplicated)]]="",Table2[[#This Row],[Form '#]],Table2[[#This Row],[Corrected Form '#
 (If Duplicated)]])</f>
        <v>7818-23717</v>
      </c>
      <c r="N901" s="1" t="s">
        <v>49</v>
      </c>
      <c r="O901" s="6" t="str">
        <f>IF(Table2[[#This Row],[POG CONFIRMATION RECEIPT OF ORDER
(DATE &amp; TIME)]]="","No Confirmation","Received Confirmation")</f>
        <v>Received Confirmation</v>
      </c>
      <c r="P901" s="6">
        <f ca="1">TODAY()-Table2[[#This Row],[DATE SENT TO POG]]</f>
        <v>256</v>
      </c>
      <c r="Q901" s="6" t="s">
        <v>5803</v>
      </c>
      <c r="R9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1" s="2" t="str">
        <f>_xlfn.XLOOKUP(Table2[[#This Row],[Adjusted Form '#]],'[2]IN PROGRESS'!$D:$D,'[2]IN PROGRESS'!$M:$M,"Not Found")</f>
        <v>Not Found</v>
      </c>
      <c r="U901" s="2" t="str">
        <f>_xlfn.XLOOKUP(Table2[[#This Row],[Adjusted Form '#]],[1]COMPLETED!$D:$D,[2]COMPLETED!$M:$M,"Not Found")</f>
        <v>Not Found</v>
      </c>
      <c r="V901" s="17" t="str">
        <f>_xlfn.XLOOKUP(Table2[[#This Row],[Adjusted Form '#]],[2]COMPLETED!$D:$D,[2]COMPLETED!$O:$O,"Not Found")</f>
        <v>Not Found</v>
      </c>
      <c r="W901" s="2" t="str">
        <f>_xlfn.XLOOKUP(Table2[[#This Row],[Adjusted Form '#]],[2]BILLED!$D:$D,[2]BILLED!$M:$M,"Not Found")</f>
        <v>1Z5063E0YW42284674</v>
      </c>
      <c r="X901" s="17" t="e">
        <f>_xlfn.XLOOKUP(Table2[[#This Row],[Adjusted Form '#]],[2]BILLED!$D:$D,[1]BILLED!$O:$O,"Not Found")</f>
        <v>#REF!</v>
      </c>
      <c r="Y901" s="17" t="e">
        <f>_xlfn.XLOOKUP(Table2[[#This Row],[Adjusted Form '#]],'[2]REJECTED ORDERS'!$D:$D,'[2]REJECTED ORDERS'!$E:$E)</f>
        <v>#N/A</v>
      </c>
      <c r="Z901" s="1"/>
      <c r="AA901" s="1"/>
      <c r="AB901" s="8"/>
      <c r="AC901" s="8"/>
      <c r="AD901" s="8"/>
      <c r="AE901" s="8"/>
      <c r="AF901" s="8"/>
      <c r="AG901" s="8"/>
      <c r="AH901" s="8"/>
      <c r="AI901" s="8"/>
      <c r="AJ901" s="8"/>
    </row>
    <row r="902" spans="1:36" ht="15" customHeight="1" x14ac:dyDescent="0.35">
      <c r="A902" s="4" t="s">
        <v>1365</v>
      </c>
      <c r="B902" s="1" t="s">
        <v>3560</v>
      </c>
      <c r="C902" s="11">
        <v>45047</v>
      </c>
      <c r="D902" s="11" t="s">
        <v>5401</v>
      </c>
      <c r="E902" s="1" t="s">
        <v>21</v>
      </c>
      <c r="F902" s="1" t="s">
        <v>5418</v>
      </c>
      <c r="G902" s="6">
        <f>COUNTIF(F:F,Table2[[#This Row],[Form '#]])</f>
        <v>1</v>
      </c>
      <c r="H902" s="1" t="s">
        <v>894</v>
      </c>
      <c r="I902" s="1" t="s">
        <v>127</v>
      </c>
      <c r="J902" s="1" t="s">
        <v>74</v>
      </c>
      <c r="K902" s="1" t="s">
        <v>4011</v>
      </c>
      <c r="L902" s="1"/>
      <c r="M902" s="6" t="str">
        <f>IF(Table2[[#This Row],[Corrected Form '#
 (If Duplicated)]]="",Table2[[#This Row],[Form '#]],Table2[[#This Row],[Corrected Form '#
 (If Duplicated)]])</f>
        <v>7818-14948</v>
      </c>
      <c r="N902" s="1" t="s">
        <v>49</v>
      </c>
      <c r="O902" s="6" t="str">
        <f>IF(Table2[[#This Row],[POG CONFIRMATION RECEIPT OF ORDER
(DATE &amp; TIME)]]="","No Confirmation","Received Confirmation")</f>
        <v>Received Confirmation</v>
      </c>
      <c r="P902" s="6">
        <f ca="1">TODAY()-Table2[[#This Row],[DATE SENT TO POG]]</f>
        <v>256</v>
      </c>
      <c r="Q902" s="6" t="s">
        <v>5803</v>
      </c>
      <c r="R9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2" s="2" t="str">
        <f>_xlfn.XLOOKUP(Table2[[#This Row],[Adjusted Form '#]],'[2]IN PROGRESS'!$D:$D,'[2]IN PROGRESS'!$M:$M,"Not Found")</f>
        <v>Not Found</v>
      </c>
      <c r="U902" s="2" t="str">
        <f>_xlfn.XLOOKUP(Table2[[#This Row],[Adjusted Form '#]],[1]COMPLETED!$D:$D,[2]COMPLETED!$M:$M,"Not Found")</f>
        <v>Not Found</v>
      </c>
      <c r="V902" s="17" t="str">
        <f>_xlfn.XLOOKUP(Table2[[#This Row],[Adjusted Form '#]],[2]COMPLETED!$D:$D,[2]COMPLETED!$O:$O,"Not Found")</f>
        <v>Not Found</v>
      </c>
      <c r="W902" s="2" t="str">
        <f>_xlfn.XLOOKUP(Table2[[#This Row],[Adjusted Form '#]],[2]BILLED!$D:$D,[2]BILLED!$M:$M,"Not Found")</f>
        <v>9400 1112 0620 7253 5026 86</v>
      </c>
      <c r="X902" s="17" t="e">
        <f>_xlfn.XLOOKUP(Table2[[#This Row],[Adjusted Form '#]],[2]BILLED!$D:$D,[1]BILLED!$O:$O,"Not Found")</f>
        <v>#REF!</v>
      </c>
      <c r="Y902" s="17" t="e">
        <f>_xlfn.XLOOKUP(Table2[[#This Row],[Adjusted Form '#]],'[2]REJECTED ORDERS'!$D:$D,'[2]REJECTED ORDERS'!$E:$E)</f>
        <v>#N/A</v>
      </c>
      <c r="Z902" s="1"/>
      <c r="AA902" s="1"/>
      <c r="AB902" s="8"/>
      <c r="AC902" s="8"/>
      <c r="AD902" s="8"/>
      <c r="AE902" s="8"/>
      <c r="AF902" s="8"/>
      <c r="AG902" s="8"/>
      <c r="AH902" s="8"/>
      <c r="AI902" s="8"/>
      <c r="AJ902" s="8"/>
    </row>
    <row r="903" spans="1:36" ht="15" customHeight="1" x14ac:dyDescent="0.35">
      <c r="A903" s="4" t="s">
        <v>1368</v>
      </c>
      <c r="B903" s="1" t="s">
        <v>3560</v>
      </c>
      <c r="C903" s="11">
        <v>45047</v>
      </c>
      <c r="D903" s="11" t="s">
        <v>5401</v>
      </c>
      <c r="E903" s="1" t="s">
        <v>21</v>
      </c>
      <c r="F903" s="1" t="s">
        <v>5419</v>
      </c>
      <c r="G903" s="6">
        <f>COUNTIF(F:F,Table2[[#This Row],[Form '#]])</f>
        <v>1</v>
      </c>
      <c r="H903" s="1" t="s">
        <v>5420</v>
      </c>
      <c r="I903" s="1" t="s">
        <v>28</v>
      </c>
      <c r="J903" s="1" t="s">
        <v>69</v>
      </c>
      <c r="K903" s="1" t="s">
        <v>4631</v>
      </c>
      <c r="L903" s="1"/>
      <c r="M903" s="6" t="str">
        <f>IF(Table2[[#This Row],[Corrected Form '#
 (If Duplicated)]]="",Table2[[#This Row],[Form '#]],Table2[[#This Row],[Corrected Form '#
 (If Duplicated)]])</f>
        <v>7818-27307</v>
      </c>
      <c r="N903" s="1" t="s">
        <v>49</v>
      </c>
      <c r="O903" s="6" t="str">
        <f>IF(Table2[[#This Row],[POG CONFIRMATION RECEIPT OF ORDER
(DATE &amp; TIME)]]="","No Confirmation","Received Confirmation")</f>
        <v>Received Confirmation</v>
      </c>
      <c r="P903" s="6">
        <f ca="1">TODAY()-Table2[[#This Row],[DATE SENT TO POG]]</f>
        <v>256</v>
      </c>
      <c r="Q903" s="6" t="s">
        <v>5803</v>
      </c>
      <c r="R9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3" s="2" t="str">
        <f>_xlfn.XLOOKUP(Table2[[#This Row],[Adjusted Form '#]],'[2]IN PROGRESS'!$D:$D,'[2]IN PROGRESS'!$M:$M,"Not Found")</f>
        <v>Not Found</v>
      </c>
      <c r="U903" s="2" t="str">
        <f>_xlfn.XLOOKUP(Table2[[#This Row],[Adjusted Form '#]],[1]COMPLETED!$D:$D,[2]COMPLETED!$M:$M,"Not Found")</f>
        <v>Not Found</v>
      </c>
      <c r="V903" s="17" t="str">
        <f>_xlfn.XLOOKUP(Table2[[#This Row],[Adjusted Form '#]],[2]COMPLETED!$D:$D,[2]COMPLETED!$O:$O,"Not Found")</f>
        <v>Not Found</v>
      </c>
      <c r="W903" s="2" t="str">
        <f>_xlfn.XLOOKUP(Table2[[#This Row],[Adjusted Form '#]],[2]BILLED!$D:$D,[2]BILLED!$M:$M,"Not Found")</f>
        <v>1Z5063E0YW40700888</v>
      </c>
      <c r="X903" s="17" t="e">
        <f>_xlfn.XLOOKUP(Table2[[#This Row],[Adjusted Form '#]],[2]BILLED!$D:$D,[1]BILLED!$O:$O,"Not Found")</f>
        <v>#REF!</v>
      </c>
      <c r="Y903" s="17" t="e">
        <f>_xlfn.XLOOKUP(Table2[[#This Row],[Adjusted Form '#]],'[2]REJECTED ORDERS'!$D:$D,'[2]REJECTED ORDERS'!$E:$E)</f>
        <v>#N/A</v>
      </c>
      <c r="Z903" s="1"/>
      <c r="AA903" s="1"/>
      <c r="AB903" s="8"/>
      <c r="AC903" s="8"/>
      <c r="AD903" s="8"/>
      <c r="AE903" s="8"/>
      <c r="AF903" s="8"/>
      <c r="AG903" s="8"/>
      <c r="AH903" s="8"/>
      <c r="AI903" s="8"/>
      <c r="AJ903" s="8"/>
    </row>
    <row r="904" spans="1:36" ht="15" customHeight="1" x14ac:dyDescent="0.35">
      <c r="A904" s="4" t="s">
        <v>1371</v>
      </c>
      <c r="B904" s="1" t="s">
        <v>3560</v>
      </c>
      <c r="C904" s="11">
        <v>45047</v>
      </c>
      <c r="D904" s="11" t="s">
        <v>5401</v>
      </c>
      <c r="E904" s="1" t="s">
        <v>21</v>
      </c>
      <c r="F904" s="1" t="s">
        <v>5421</v>
      </c>
      <c r="G904" s="6">
        <f>COUNTIF(F:F,Table2[[#This Row],[Form '#]])</f>
        <v>1</v>
      </c>
      <c r="H904" s="1" t="s">
        <v>1442</v>
      </c>
      <c r="I904" s="1" t="s">
        <v>127</v>
      </c>
      <c r="J904" s="1" t="s">
        <v>76</v>
      </c>
      <c r="K904" s="1" t="s">
        <v>5422</v>
      </c>
      <c r="L904" s="1"/>
      <c r="M904" s="6" t="str">
        <f>IF(Table2[[#This Row],[Corrected Form '#
 (If Duplicated)]]="",Table2[[#This Row],[Form '#]],Table2[[#This Row],[Corrected Form '#
 (If Duplicated)]])</f>
        <v>7818-27321</v>
      </c>
      <c r="N904" s="1" t="s">
        <v>49</v>
      </c>
      <c r="O904" s="6" t="str">
        <f>IF(Table2[[#This Row],[POG CONFIRMATION RECEIPT OF ORDER
(DATE &amp; TIME)]]="","No Confirmation","Received Confirmation")</f>
        <v>Received Confirmation</v>
      </c>
      <c r="P904" s="6">
        <f ca="1">TODAY()-Table2[[#This Row],[DATE SENT TO POG]]</f>
        <v>256</v>
      </c>
      <c r="Q904" s="6" t="s">
        <v>5803</v>
      </c>
      <c r="R9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4" s="2" t="str">
        <f>_xlfn.XLOOKUP(Table2[[#This Row],[Adjusted Form '#]],'[2]IN PROGRESS'!$D:$D,'[2]IN PROGRESS'!$M:$M,"Not Found")</f>
        <v>Not Found</v>
      </c>
      <c r="U904" s="2" t="str">
        <f>_xlfn.XLOOKUP(Table2[[#This Row],[Adjusted Form '#]],[1]COMPLETED!$D:$D,[2]COMPLETED!$M:$M,"Not Found")</f>
        <v>Not Found</v>
      </c>
      <c r="V904" s="17" t="str">
        <f>_xlfn.XLOOKUP(Table2[[#This Row],[Adjusted Form '#]],[2]COMPLETED!$D:$D,[2]COMPLETED!$O:$O,"Not Found")</f>
        <v>Not Found</v>
      </c>
      <c r="W904" s="2" t="str">
        <f>_xlfn.XLOOKUP(Table2[[#This Row],[Adjusted Form '#]],[2]BILLED!$D:$D,[2]BILLED!$M:$M,"Not Found")</f>
        <v>1Z5063E0YW40131887</v>
      </c>
      <c r="X904" s="17" t="e">
        <f>_xlfn.XLOOKUP(Table2[[#This Row],[Adjusted Form '#]],[2]BILLED!$D:$D,[1]BILLED!$O:$O,"Not Found")</f>
        <v>#REF!</v>
      </c>
      <c r="Y904" s="17" t="e">
        <f>_xlfn.XLOOKUP(Table2[[#This Row],[Adjusted Form '#]],'[2]REJECTED ORDERS'!$D:$D,'[2]REJECTED ORDERS'!$E:$E)</f>
        <v>#N/A</v>
      </c>
      <c r="Z904" s="1"/>
      <c r="AA904" s="1"/>
      <c r="AB904" s="8"/>
      <c r="AC904" s="8"/>
      <c r="AD904" s="8"/>
      <c r="AE904" s="8"/>
      <c r="AF904" s="8"/>
      <c r="AG904" s="8"/>
      <c r="AH904" s="8"/>
      <c r="AI904" s="8"/>
      <c r="AJ904" s="8"/>
    </row>
    <row r="905" spans="1:36" ht="15" customHeight="1" x14ac:dyDescent="0.35">
      <c r="A905" s="4" t="s">
        <v>1374</v>
      </c>
      <c r="B905" s="1" t="s">
        <v>3560</v>
      </c>
      <c r="C905" s="11">
        <v>45047</v>
      </c>
      <c r="D905" s="11" t="s">
        <v>5401</v>
      </c>
      <c r="E905" s="1" t="s">
        <v>21</v>
      </c>
      <c r="F905" s="1" t="s">
        <v>5423</v>
      </c>
      <c r="G905" s="6">
        <f>COUNTIF(F:F,Table2[[#This Row],[Form '#]])</f>
        <v>1</v>
      </c>
      <c r="H905" s="1" t="s">
        <v>3478</v>
      </c>
      <c r="I905" s="1" t="s">
        <v>127</v>
      </c>
      <c r="J905" s="1" t="s">
        <v>76</v>
      </c>
      <c r="K905" s="1" t="s">
        <v>3883</v>
      </c>
      <c r="L905" s="1"/>
      <c r="M905" s="6" t="str">
        <f>IF(Table2[[#This Row],[Corrected Form '#
 (If Duplicated)]]="",Table2[[#This Row],[Form '#]],Table2[[#This Row],[Corrected Form '#
 (If Duplicated)]])</f>
        <v>7818-27186</v>
      </c>
      <c r="N905" s="1" t="s">
        <v>49</v>
      </c>
      <c r="O905" s="6" t="str">
        <f>IF(Table2[[#This Row],[POG CONFIRMATION RECEIPT OF ORDER
(DATE &amp; TIME)]]="","No Confirmation","Received Confirmation")</f>
        <v>Received Confirmation</v>
      </c>
      <c r="P905" s="6">
        <f ca="1">TODAY()-Table2[[#This Row],[DATE SENT TO POG]]</f>
        <v>256</v>
      </c>
      <c r="Q905" s="6" t="s">
        <v>5803</v>
      </c>
      <c r="R9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5" s="2" t="str">
        <f>_xlfn.XLOOKUP(Table2[[#This Row],[Adjusted Form '#]],'[2]IN PROGRESS'!$D:$D,'[2]IN PROGRESS'!$M:$M,"Not Found")</f>
        <v>Not Found</v>
      </c>
      <c r="U905" s="2" t="str">
        <f>_xlfn.XLOOKUP(Table2[[#This Row],[Adjusted Form '#]],[1]COMPLETED!$D:$D,[2]COMPLETED!$M:$M,"Not Found")</f>
        <v>Not Found</v>
      </c>
      <c r="V905" s="17" t="str">
        <f>_xlfn.XLOOKUP(Table2[[#This Row],[Adjusted Form '#]],[2]COMPLETED!$D:$D,[2]COMPLETED!$O:$O,"Not Found")</f>
        <v>Not Found</v>
      </c>
      <c r="W905" s="2" t="str">
        <f>_xlfn.XLOOKUP(Table2[[#This Row],[Adjusted Form '#]],[2]BILLED!$D:$D,[2]BILLED!$M:$M,"Not Found")</f>
        <v>1Z5063E0YW40084661</v>
      </c>
      <c r="X905" s="17" t="e">
        <f>_xlfn.XLOOKUP(Table2[[#This Row],[Adjusted Form '#]],[2]BILLED!$D:$D,[1]BILLED!$O:$O,"Not Found")</f>
        <v>#REF!</v>
      </c>
      <c r="Y905" s="17" t="e">
        <f>_xlfn.XLOOKUP(Table2[[#This Row],[Adjusted Form '#]],'[2]REJECTED ORDERS'!$D:$D,'[2]REJECTED ORDERS'!$E:$E)</f>
        <v>#N/A</v>
      </c>
      <c r="Z905" s="1"/>
      <c r="AA905" s="1"/>
      <c r="AB905" s="8"/>
      <c r="AC905" s="8"/>
      <c r="AD905" s="8"/>
      <c r="AE905" s="8"/>
      <c r="AF905" s="8"/>
      <c r="AG905" s="8"/>
      <c r="AH905" s="8"/>
      <c r="AI905" s="8"/>
      <c r="AJ905" s="8"/>
    </row>
    <row r="906" spans="1:36" ht="15" customHeight="1" x14ac:dyDescent="0.35">
      <c r="A906" s="4" t="s">
        <v>1375</v>
      </c>
      <c r="B906" s="1" t="s">
        <v>4805</v>
      </c>
      <c r="C906" s="11">
        <v>45047</v>
      </c>
      <c r="D906" s="11" t="s">
        <v>5424</v>
      </c>
      <c r="E906" s="1" t="s">
        <v>21</v>
      </c>
      <c r="F906" s="1" t="s">
        <v>5425</v>
      </c>
      <c r="G906" s="6">
        <f>COUNTIF(F:F,Table2[[#This Row],[Form '#]])</f>
        <v>1</v>
      </c>
      <c r="H906" s="1" t="s">
        <v>5426</v>
      </c>
      <c r="I906" s="1" t="s">
        <v>177</v>
      </c>
      <c r="J906" s="1" t="s">
        <v>75</v>
      </c>
      <c r="K906" s="1" t="s">
        <v>4430</v>
      </c>
      <c r="L906" s="1"/>
      <c r="M906" s="6" t="str">
        <f>IF(Table2[[#This Row],[Corrected Form '#
 (If Duplicated)]]="",Table2[[#This Row],[Form '#]],Table2[[#This Row],[Corrected Form '#
 (If Duplicated)]])</f>
        <v>7818-19724</v>
      </c>
      <c r="N906" s="1" t="s">
        <v>49</v>
      </c>
      <c r="O906" s="6" t="str">
        <f>IF(Table2[[#This Row],[POG CONFIRMATION RECEIPT OF ORDER
(DATE &amp; TIME)]]="","No Confirmation","Received Confirmation")</f>
        <v>Received Confirmation</v>
      </c>
      <c r="P906" s="6">
        <f ca="1">TODAY()-Table2[[#This Row],[DATE SENT TO POG]]</f>
        <v>256</v>
      </c>
      <c r="Q906" s="6" t="s">
        <v>5803</v>
      </c>
      <c r="R9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6" s="2" t="str">
        <f>_xlfn.XLOOKUP(Table2[[#This Row],[Adjusted Form '#]],'[2]IN PROGRESS'!$D:$D,'[2]IN PROGRESS'!$M:$M,"Not Found")</f>
        <v>Not Found</v>
      </c>
      <c r="U906" s="2" t="str">
        <f>_xlfn.XLOOKUP(Table2[[#This Row],[Adjusted Form '#]],[1]COMPLETED!$D:$D,[2]COMPLETED!$M:$M,"Not Found")</f>
        <v>Not Found</v>
      </c>
      <c r="V906" s="17" t="str">
        <f>_xlfn.XLOOKUP(Table2[[#This Row],[Adjusted Form '#]],[2]COMPLETED!$D:$D,[2]COMPLETED!$O:$O,"Not Found")</f>
        <v>Not Found</v>
      </c>
      <c r="W906" s="2" t="str">
        <f>_xlfn.XLOOKUP(Table2[[#This Row],[Adjusted Form '#]],[2]BILLED!$D:$D,[2]BILLED!$M:$M,"Not Found")</f>
        <v>1Z5063E0YW42146313</v>
      </c>
      <c r="X906" s="17" t="e">
        <f>_xlfn.XLOOKUP(Table2[[#This Row],[Adjusted Form '#]],[2]BILLED!$D:$D,[1]BILLED!$O:$O,"Not Found")</f>
        <v>#REF!</v>
      </c>
      <c r="Y906" s="17" t="e">
        <f>_xlfn.XLOOKUP(Table2[[#This Row],[Adjusted Form '#]],'[2]REJECTED ORDERS'!$D:$D,'[2]REJECTED ORDERS'!$E:$E)</f>
        <v>#N/A</v>
      </c>
      <c r="Z906" s="1"/>
      <c r="AA906" s="1"/>
      <c r="AB906" s="8"/>
      <c r="AC906" s="8"/>
      <c r="AD906" s="8"/>
      <c r="AE906" s="8"/>
      <c r="AF906" s="8"/>
      <c r="AG906" s="8"/>
      <c r="AH906" s="8"/>
      <c r="AI906" s="8"/>
      <c r="AJ906" s="8"/>
    </row>
    <row r="907" spans="1:36" ht="15" customHeight="1" x14ac:dyDescent="0.35">
      <c r="A907" s="4" t="s">
        <v>1377</v>
      </c>
      <c r="B907" s="1" t="s">
        <v>2407</v>
      </c>
      <c r="C907" s="11">
        <v>45047</v>
      </c>
      <c r="D907" s="11" t="s">
        <v>5427</v>
      </c>
      <c r="E907" s="1" t="s">
        <v>21</v>
      </c>
      <c r="F907" s="1" t="s">
        <v>5428</v>
      </c>
      <c r="G907" s="6">
        <f>COUNTIF(F:F,Table2[[#This Row],[Form '#]])</f>
        <v>1</v>
      </c>
      <c r="H907" s="1" t="s">
        <v>2884</v>
      </c>
      <c r="I907" s="1" t="s">
        <v>758</v>
      </c>
      <c r="J907" s="1" t="s">
        <v>78</v>
      </c>
      <c r="K907" s="1" t="s">
        <v>3853</v>
      </c>
      <c r="L907" s="1"/>
      <c r="M907" s="6" t="str">
        <f>IF(Table2[[#This Row],[Corrected Form '#
 (If Duplicated)]]="",Table2[[#This Row],[Form '#]],Table2[[#This Row],[Corrected Form '#
 (If Duplicated)]])</f>
        <v>7818-29810</v>
      </c>
      <c r="N907" s="1" t="s">
        <v>49</v>
      </c>
      <c r="O907" s="6" t="str">
        <f>IF(Table2[[#This Row],[POG CONFIRMATION RECEIPT OF ORDER
(DATE &amp; TIME)]]="","No Confirmation","Received Confirmation")</f>
        <v>Received Confirmation</v>
      </c>
      <c r="P907" s="6">
        <f ca="1">TODAY()-Table2[[#This Row],[DATE SENT TO POG]]</f>
        <v>256</v>
      </c>
      <c r="Q907" s="6" t="s">
        <v>5803</v>
      </c>
      <c r="R9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7" s="2" t="str">
        <f>_xlfn.XLOOKUP(Table2[[#This Row],[Adjusted Form '#]],'[2]IN PROGRESS'!$D:$D,'[2]IN PROGRESS'!$M:$M,"Not Found")</f>
        <v>Not Found</v>
      </c>
      <c r="U907" s="2" t="str">
        <f>_xlfn.XLOOKUP(Table2[[#This Row],[Adjusted Form '#]],[1]COMPLETED!$D:$D,[2]COMPLETED!$M:$M,"Not Found")</f>
        <v>Not Found</v>
      </c>
      <c r="V907" s="17" t="str">
        <f>_xlfn.XLOOKUP(Table2[[#This Row],[Adjusted Form '#]],[2]COMPLETED!$D:$D,[2]COMPLETED!$O:$O,"Not Found")</f>
        <v>Not Found</v>
      </c>
      <c r="W907" s="2" t="str">
        <f>_xlfn.XLOOKUP(Table2[[#This Row],[Adjusted Form '#]],[2]BILLED!$D:$D,[2]BILLED!$M:$M,"Not Found")</f>
        <v>1Z5063E0YW42277119</v>
      </c>
      <c r="X907" s="17" t="e">
        <f>_xlfn.XLOOKUP(Table2[[#This Row],[Adjusted Form '#]],[2]BILLED!$D:$D,[1]BILLED!$O:$O,"Not Found")</f>
        <v>#REF!</v>
      </c>
      <c r="Y907" s="17" t="e">
        <f>_xlfn.XLOOKUP(Table2[[#This Row],[Adjusted Form '#]],'[2]REJECTED ORDERS'!$D:$D,'[2]REJECTED ORDERS'!$E:$E)</f>
        <v>#N/A</v>
      </c>
      <c r="Z907" s="1"/>
      <c r="AA907" s="1"/>
      <c r="AB907" s="8"/>
      <c r="AC907" s="8"/>
      <c r="AD907" s="8"/>
      <c r="AE907" s="8"/>
      <c r="AF907" s="8"/>
      <c r="AG907" s="8"/>
      <c r="AH907" s="8"/>
      <c r="AI907" s="8"/>
      <c r="AJ907" s="8"/>
    </row>
    <row r="908" spans="1:36" ht="15" customHeight="1" x14ac:dyDescent="0.35">
      <c r="A908" s="4" t="s">
        <v>1379</v>
      </c>
      <c r="B908" s="1" t="s">
        <v>443</v>
      </c>
      <c r="C908" s="11">
        <v>45048</v>
      </c>
      <c r="D908" s="11" t="s">
        <v>5429</v>
      </c>
      <c r="E908" s="1" t="s">
        <v>191</v>
      </c>
      <c r="F908" s="1" t="s">
        <v>5430</v>
      </c>
      <c r="G908" s="6">
        <f>COUNTIF(F:F,Table2[[#This Row],[Form '#]])</f>
        <v>1</v>
      </c>
      <c r="H908" s="1" t="s">
        <v>3501</v>
      </c>
      <c r="I908" s="1" t="s">
        <v>127</v>
      </c>
      <c r="J908" s="1" t="s">
        <v>76</v>
      </c>
      <c r="K908" s="1" t="s">
        <v>4011</v>
      </c>
      <c r="L908" s="1"/>
      <c r="M908" s="6" t="str">
        <f>IF(Table2[[#This Row],[Corrected Form '#
 (If Duplicated)]]="",Table2[[#This Row],[Form '#]],Table2[[#This Row],[Corrected Form '#
 (If Duplicated)]])</f>
        <v>7812-03349</v>
      </c>
      <c r="N908" s="1" t="s">
        <v>49</v>
      </c>
      <c r="O908" s="6" t="str">
        <f>IF(Table2[[#This Row],[POG CONFIRMATION RECEIPT OF ORDER
(DATE &amp; TIME)]]="","No Confirmation","Received Confirmation")</f>
        <v>Received Confirmation</v>
      </c>
      <c r="P908" s="6">
        <f ca="1">TODAY()-Table2[[#This Row],[DATE SENT TO POG]]</f>
        <v>255</v>
      </c>
      <c r="Q908" s="6" t="s">
        <v>5803</v>
      </c>
      <c r="R9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90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908" s="2" t="str">
        <f>_xlfn.XLOOKUP(Table2[[#This Row],[Adjusted Form '#]],'[2]IN PROGRESS'!$D:$D,'[2]IN PROGRESS'!$M:$M,"Not Found")</f>
        <v>Not Found</v>
      </c>
      <c r="U908" s="2" t="str">
        <f>_xlfn.XLOOKUP(Table2[[#This Row],[Adjusted Form '#]],[1]COMPLETED!$D:$D,[2]COMPLETED!$M:$M,"Not Found")</f>
        <v>Not Found</v>
      </c>
      <c r="V908" s="17">
        <f>_xlfn.XLOOKUP(Table2[[#This Row],[Adjusted Form '#]],[2]COMPLETED!$D:$D,[2]COMPLETED!$O:$O,"Not Found")</f>
        <v>0</v>
      </c>
      <c r="W908" s="2" t="str">
        <f>_xlfn.XLOOKUP(Table2[[#This Row],[Adjusted Form '#]],[2]BILLED!$D:$D,[2]BILLED!$M:$M,"Not Found")</f>
        <v>Not Found</v>
      </c>
      <c r="X908" s="17" t="str">
        <f>_xlfn.XLOOKUP(Table2[[#This Row],[Adjusted Form '#]],[2]BILLED!$D:$D,[1]BILLED!$O:$O,"Not Found")</f>
        <v>Not Found</v>
      </c>
      <c r="Y908" s="17" t="e">
        <f>_xlfn.XLOOKUP(Table2[[#This Row],[Adjusted Form '#]],'[2]REJECTED ORDERS'!$D:$D,'[2]REJECTED ORDERS'!$E:$E)</f>
        <v>#N/A</v>
      </c>
      <c r="Z908" s="1"/>
      <c r="AA908" s="1"/>
      <c r="AB908" s="8"/>
      <c r="AC908" s="8"/>
      <c r="AD908" s="8"/>
      <c r="AE908" s="8"/>
      <c r="AF908" s="8"/>
      <c r="AG908" s="8"/>
      <c r="AH908" s="8"/>
      <c r="AI908" s="8"/>
      <c r="AJ908" s="8"/>
    </row>
    <row r="909" spans="1:36" ht="15" customHeight="1" x14ac:dyDescent="0.35">
      <c r="A909" s="4" t="s">
        <v>1380</v>
      </c>
      <c r="B909" s="1" t="s">
        <v>443</v>
      </c>
      <c r="C909" s="11">
        <v>45048</v>
      </c>
      <c r="D909" s="11" t="s">
        <v>5429</v>
      </c>
      <c r="E909" s="1" t="s">
        <v>191</v>
      </c>
      <c r="F909" s="1" t="s">
        <v>5431</v>
      </c>
      <c r="G909" s="6">
        <f>COUNTIF(F:F,Table2[[#This Row],[Form '#]])</f>
        <v>1</v>
      </c>
      <c r="H909" s="1" t="s">
        <v>1582</v>
      </c>
      <c r="I909" s="1" t="s">
        <v>3864</v>
      </c>
      <c r="J909" s="1" t="s">
        <v>78</v>
      </c>
      <c r="K909" s="1" t="s">
        <v>3879</v>
      </c>
      <c r="L909" s="1"/>
      <c r="M909" s="6" t="str">
        <f>IF(Table2[[#This Row],[Corrected Form '#
 (If Duplicated)]]="",Table2[[#This Row],[Form '#]],Table2[[#This Row],[Corrected Form '#
 (If Duplicated)]])</f>
        <v>7812-03311</v>
      </c>
      <c r="N909" s="1" t="s">
        <v>49</v>
      </c>
      <c r="O909" s="6" t="str">
        <f>IF(Table2[[#This Row],[POG CONFIRMATION RECEIPT OF ORDER
(DATE &amp; TIME)]]="","No Confirmation","Received Confirmation")</f>
        <v>Received Confirmation</v>
      </c>
      <c r="P909" s="6">
        <f ca="1">TODAY()-Table2[[#This Row],[DATE SENT TO POG]]</f>
        <v>255</v>
      </c>
      <c r="Q909" s="6" t="s">
        <v>5803</v>
      </c>
      <c r="R9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09" s="2" t="str">
        <f>_xlfn.XLOOKUP(Table2[[#This Row],[Adjusted Form '#]],'[2]IN PROGRESS'!$D:$D,'[2]IN PROGRESS'!$M:$M,"Not Found")</f>
        <v>Not Found</v>
      </c>
      <c r="U909" s="2" t="str">
        <f>_xlfn.XLOOKUP(Table2[[#This Row],[Adjusted Form '#]],[1]COMPLETED!$D:$D,[2]COMPLETED!$M:$M,"Not Found")</f>
        <v>Not Found</v>
      </c>
      <c r="V909" s="17" t="str">
        <f>_xlfn.XLOOKUP(Table2[[#This Row],[Adjusted Form '#]],[2]COMPLETED!$D:$D,[2]COMPLETED!$O:$O,"Not Found")</f>
        <v>Not Found</v>
      </c>
      <c r="W909" s="2" t="str">
        <f>_xlfn.XLOOKUP(Table2[[#This Row],[Adjusted Form '#]],[2]BILLED!$D:$D,[2]BILLED!$M:$M,"Not Found")</f>
        <v>1Z5063E0YW41256269</v>
      </c>
      <c r="X909" s="17" t="e">
        <f>_xlfn.XLOOKUP(Table2[[#This Row],[Adjusted Form '#]],[2]BILLED!$D:$D,[1]BILLED!$O:$O,"Not Found")</f>
        <v>#REF!</v>
      </c>
      <c r="Y909" s="17" t="e">
        <f>_xlfn.XLOOKUP(Table2[[#This Row],[Adjusted Form '#]],'[2]REJECTED ORDERS'!$D:$D,'[2]REJECTED ORDERS'!$E:$E)</f>
        <v>#N/A</v>
      </c>
      <c r="Z909" s="1"/>
      <c r="AA909" s="1"/>
      <c r="AB909" s="8"/>
      <c r="AC909" s="8"/>
      <c r="AD909" s="8"/>
      <c r="AE909" s="8"/>
      <c r="AF909" s="8"/>
      <c r="AG909" s="8"/>
      <c r="AH909" s="8"/>
      <c r="AI909" s="8"/>
      <c r="AJ909" s="8"/>
    </row>
    <row r="910" spans="1:36" ht="15" customHeight="1" x14ac:dyDescent="0.35">
      <c r="A910" s="4" t="s">
        <v>1381</v>
      </c>
      <c r="B910" s="1" t="s">
        <v>3048</v>
      </c>
      <c r="C910" s="11">
        <v>45048</v>
      </c>
      <c r="D910" s="11" t="s">
        <v>5432</v>
      </c>
      <c r="E910" s="1" t="s">
        <v>21</v>
      </c>
      <c r="F910" s="1" t="s">
        <v>5433</v>
      </c>
      <c r="G910" s="6">
        <f>COUNTIF(F:F,Table2[[#This Row],[Form '#]])</f>
        <v>1</v>
      </c>
      <c r="H910" s="1" t="s">
        <v>5434</v>
      </c>
      <c r="I910" s="1" t="s">
        <v>177</v>
      </c>
      <c r="J910" s="1" t="s">
        <v>75</v>
      </c>
      <c r="K910" s="1" t="s">
        <v>4011</v>
      </c>
      <c r="L910" s="1"/>
      <c r="M910" s="6" t="str">
        <f>IF(Table2[[#This Row],[Corrected Form '#
 (If Duplicated)]]="",Table2[[#This Row],[Form '#]],Table2[[#This Row],[Corrected Form '#
 (If Duplicated)]])</f>
        <v>7818-26188</v>
      </c>
      <c r="N910" s="1" t="s">
        <v>49</v>
      </c>
      <c r="O910" s="6" t="str">
        <f>IF(Table2[[#This Row],[POG CONFIRMATION RECEIPT OF ORDER
(DATE &amp; TIME)]]="","No Confirmation","Received Confirmation")</f>
        <v>Received Confirmation</v>
      </c>
      <c r="P910" s="6">
        <f ca="1">TODAY()-Table2[[#This Row],[DATE SENT TO POG]]</f>
        <v>255</v>
      </c>
      <c r="Q910" s="6" t="s">
        <v>5803</v>
      </c>
      <c r="R9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0" s="2" t="str">
        <f>_xlfn.XLOOKUP(Table2[[#This Row],[Adjusted Form '#]],'[2]IN PROGRESS'!$D:$D,'[2]IN PROGRESS'!$M:$M,"Not Found")</f>
        <v>Not Found</v>
      </c>
      <c r="U910" s="2" t="str">
        <f>_xlfn.XLOOKUP(Table2[[#This Row],[Adjusted Form '#]],[1]COMPLETED!$D:$D,[2]COMPLETED!$M:$M,"Not Found")</f>
        <v>Not Found</v>
      </c>
      <c r="V910" s="17" t="str">
        <f>_xlfn.XLOOKUP(Table2[[#This Row],[Adjusted Form '#]],[2]COMPLETED!$D:$D,[2]COMPLETED!$O:$O,"Not Found")</f>
        <v>Not Found</v>
      </c>
      <c r="W910" s="2" t="str">
        <f>_xlfn.XLOOKUP(Table2[[#This Row],[Adjusted Form '#]],[2]BILLED!$D:$D,[2]BILLED!$M:$M,"Not Found")</f>
        <v>9402 1112 0620 7210 0685 12</v>
      </c>
      <c r="X910" s="17" t="e">
        <f>_xlfn.XLOOKUP(Table2[[#This Row],[Adjusted Form '#]],[2]BILLED!$D:$D,[1]BILLED!$O:$O,"Not Found")</f>
        <v>#REF!</v>
      </c>
      <c r="Y910" s="17" t="str">
        <f>_xlfn.XLOOKUP(Table2[[#This Row],[Adjusted Form '#]],'[2]REJECTED ORDERS'!$D:$D,'[2]REJECTED ORDERS'!$E:$E)</f>
        <v>FORM NUMBER ALREADY USED</v>
      </c>
      <c r="Z910" s="1"/>
      <c r="AA910" s="1"/>
      <c r="AB910" s="8"/>
      <c r="AC910" s="8"/>
      <c r="AD910" s="8"/>
      <c r="AE910" s="8"/>
      <c r="AF910" s="8"/>
      <c r="AG910" s="8"/>
      <c r="AH910" s="8"/>
      <c r="AI910" s="8"/>
      <c r="AJ910" s="8"/>
    </row>
    <row r="911" spans="1:36" ht="15" customHeight="1" x14ac:dyDescent="0.35">
      <c r="A911" s="4" t="s">
        <v>1382</v>
      </c>
      <c r="B911" s="1" t="s">
        <v>3760</v>
      </c>
      <c r="C911" s="11">
        <v>45048</v>
      </c>
      <c r="E911" s="1" t="s">
        <v>48</v>
      </c>
      <c r="F911" s="1" t="s">
        <v>5435</v>
      </c>
      <c r="G911" s="6">
        <f>COUNTIF(F:F,Table2[[#This Row],[Form '#]])</f>
        <v>1</v>
      </c>
      <c r="H911" s="1" t="s">
        <v>5436</v>
      </c>
      <c r="I911" s="1" t="s">
        <v>3864</v>
      </c>
      <c r="J911" s="1" t="s">
        <v>78</v>
      </c>
      <c r="K911" s="1" t="s">
        <v>3879</v>
      </c>
      <c r="L911" s="1"/>
      <c r="M911" s="6" t="str">
        <f>IF(Table2[[#This Row],[Corrected Form '#
 (If Duplicated)]]="",Table2[[#This Row],[Form '#]],Table2[[#This Row],[Corrected Form '#
 (If Duplicated)]])</f>
        <v>7819-00480</v>
      </c>
      <c r="N911" s="1" t="s">
        <v>49</v>
      </c>
      <c r="O911" s="6" t="str">
        <f>IF(Table2[[#This Row],[POG CONFIRMATION RECEIPT OF ORDER
(DATE &amp; TIME)]]="","No Confirmation","Received Confirmation")</f>
        <v>No Confirmation</v>
      </c>
      <c r="P911" s="6">
        <f ca="1">TODAY()-Table2[[#This Row],[DATE SENT TO POG]]</f>
        <v>255</v>
      </c>
      <c r="Q911" s="6" t="s">
        <v>5803</v>
      </c>
      <c r="R9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1" s="2" t="str">
        <f>_xlfn.XLOOKUP(Table2[[#This Row],[Adjusted Form '#]],'[2]IN PROGRESS'!$D:$D,'[2]IN PROGRESS'!$M:$M,"Not Found")</f>
        <v>Not Found</v>
      </c>
      <c r="U911" s="2" t="str">
        <f>_xlfn.XLOOKUP(Table2[[#This Row],[Adjusted Form '#]],[1]COMPLETED!$D:$D,[2]COMPLETED!$M:$M,"Not Found")</f>
        <v>Not Found</v>
      </c>
      <c r="V911" s="17" t="str">
        <f>_xlfn.XLOOKUP(Table2[[#This Row],[Adjusted Form '#]],[2]COMPLETED!$D:$D,[2]COMPLETED!$O:$O,"Not Found")</f>
        <v>Not Found</v>
      </c>
      <c r="W911" s="2" t="str">
        <f>_xlfn.XLOOKUP(Table2[[#This Row],[Adjusted Form '#]],[2]BILLED!$D:$D,[2]BILLED!$M:$M,"Not Found")</f>
        <v>9400 1112 0620 9952 5247 09</v>
      </c>
      <c r="X911" s="17" t="e">
        <f>_xlfn.XLOOKUP(Table2[[#This Row],[Adjusted Form '#]],[2]BILLED!$D:$D,[1]BILLED!$O:$O,"Not Found")</f>
        <v>#REF!</v>
      </c>
      <c r="Y911" s="17" t="e">
        <f>_xlfn.XLOOKUP(Table2[[#This Row],[Adjusted Form '#]],'[2]REJECTED ORDERS'!$D:$D,'[2]REJECTED ORDERS'!$E:$E)</f>
        <v>#N/A</v>
      </c>
      <c r="Z911" s="1"/>
      <c r="AA911" s="1"/>
      <c r="AB911" s="8"/>
      <c r="AC911" s="8"/>
      <c r="AD911" s="8"/>
      <c r="AE911" s="8"/>
      <c r="AF911" s="8"/>
      <c r="AG911" s="8"/>
      <c r="AH911" s="8"/>
      <c r="AI911" s="8"/>
      <c r="AJ911" s="8"/>
    </row>
    <row r="912" spans="1:36" ht="15" customHeight="1" x14ac:dyDescent="0.35">
      <c r="A912" s="4" t="s">
        <v>1383</v>
      </c>
      <c r="B912" s="1" t="s">
        <v>3623</v>
      </c>
      <c r="C912" s="11">
        <v>45049</v>
      </c>
      <c r="D912" s="11" t="s">
        <v>5437</v>
      </c>
      <c r="E912" s="1" t="s">
        <v>73</v>
      </c>
      <c r="F912" s="1" t="s">
        <v>5438</v>
      </c>
      <c r="G912" s="6">
        <f>COUNTIF(F:F,Table2[[#This Row],[Form '#]])</f>
        <v>1</v>
      </c>
      <c r="H912" s="1" t="s">
        <v>3057</v>
      </c>
      <c r="I912" s="1" t="s">
        <v>3864</v>
      </c>
      <c r="J912" s="1" t="s">
        <v>78</v>
      </c>
      <c r="K912" s="1" t="s">
        <v>3879</v>
      </c>
      <c r="L912" s="1"/>
      <c r="M912" s="6" t="str">
        <f>IF(Table2[[#This Row],[Corrected Form '#
 (If Duplicated)]]="",Table2[[#This Row],[Form '#]],Table2[[#This Row],[Corrected Form '#
 (If Duplicated)]])</f>
        <v>7823-02623</v>
      </c>
      <c r="N912" s="1" t="s">
        <v>49</v>
      </c>
      <c r="O912" s="6" t="str">
        <f>IF(Table2[[#This Row],[POG CONFIRMATION RECEIPT OF ORDER
(DATE &amp; TIME)]]="","No Confirmation","Received Confirmation")</f>
        <v>Received Confirmation</v>
      </c>
      <c r="P912" s="6">
        <f ca="1">TODAY()-Table2[[#This Row],[DATE SENT TO POG]]</f>
        <v>254</v>
      </c>
      <c r="Q912" s="6" t="s">
        <v>5803</v>
      </c>
      <c r="R9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2" s="2" t="str">
        <f>_xlfn.XLOOKUP(Table2[[#This Row],[Adjusted Form '#]],'[2]IN PROGRESS'!$D:$D,'[2]IN PROGRESS'!$M:$M,"Not Found")</f>
        <v>Not Found</v>
      </c>
      <c r="U912" s="2" t="str">
        <f>_xlfn.XLOOKUP(Table2[[#This Row],[Adjusted Form '#]],[1]COMPLETED!$D:$D,[2]COMPLETED!$M:$M,"Not Found")</f>
        <v>Not Found</v>
      </c>
      <c r="V912" s="17" t="str">
        <f>_xlfn.XLOOKUP(Table2[[#This Row],[Adjusted Form '#]],[2]COMPLETED!$D:$D,[2]COMPLETED!$O:$O,"Not Found")</f>
        <v>Not Found</v>
      </c>
      <c r="W912" s="2" t="str">
        <f>_xlfn.XLOOKUP(Table2[[#This Row],[Adjusted Form '#]],[2]BILLED!$D:$D,[2]BILLED!$M:$M,"Not Found")</f>
        <v>1Z5063E0YW40596886</v>
      </c>
      <c r="X912" s="17" t="e">
        <f>_xlfn.XLOOKUP(Table2[[#This Row],[Adjusted Form '#]],[2]BILLED!$D:$D,[1]BILLED!$O:$O,"Not Found")</f>
        <v>#REF!</v>
      </c>
      <c r="Y912" s="17" t="str">
        <f>_xlfn.XLOOKUP(Table2[[#This Row],[Adjusted Form '#]],'[2]REJECTED ORDERS'!$D:$D,'[2]REJECTED ORDERS'!$E:$E)</f>
        <v>FORM NUMBER ALREADY USED</v>
      </c>
      <c r="Z912" s="1"/>
      <c r="AA912" s="1"/>
      <c r="AB912" s="8"/>
      <c r="AC912" s="8"/>
      <c r="AD912" s="8"/>
      <c r="AE912" s="8"/>
      <c r="AF912" s="8"/>
      <c r="AG912" s="8"/>
      <c r="AH912" s="8"/>
      <c r="AI912" s="8"/>
      <c r="AJ912" s="8"/>
    </row>
    <row r="913" spans="1:36" ht="15" customHeight="1" x14ac:dyDescent="0.35">
      <c r="A913" s="4" t="s">
        <v>1384</v>
      </c>
      <c r="B913" s="1" t="s">
        <v>2242</v>
      </c>
      <c r="C913" s="11">
        <v>45049</v>
      </c>
      <c r="D913" s="11" t="s">
        <v>5439</v>
      </c>
      <c r="E913" s="1" t="s">
        <v>14</v>
      </c>
      <c r="F913" s="1" t="s">
        <v>5440</v>
      </c>
      <c r="G913" s="6">
        <f>COUNTIF(F:F,Table2[[#This Row],[Form '#]])</f>
        <v>1</v>
      </c>
      <c r="H913" s="1" t="s">
        <v>2784</v>
      </c>
      <c r="I913" s="1" t="s">
        <v>3864</v>
      </c>
      <c r="J913" s="1" t="s">
        <v>78</v>
      </c>
      <c r="K913" s="1" t="s">
        <v>3879</v>
      </c>
      <c r="L913" s="1"/>
      <c r="M913" s="6" t="str">
        <f>IF(Table2[[#This Row],[Corrected Form '#
 (If Duplicated)]]="",Table2[[#This Row],[Form '#]],Table2[[#This Row],[Corrected Form '#
 (If Duplicated)]])</f>
        <v>7810-01625</v>
      </c>
      <c r="N913" s="1" t="s">
        <v>49</v>
      </c>
      <c r="O913" s="6" t="str">
        <f>IF(Table2[[#This Row],[POG CONFIRMATION RECEIPT OF ORDER
(DATE &amp; TIME)]]="","No Confirmation","Received Confirmation")</f>
        <v>Received Confirmation</v>
      </c>
      <c r="P913" s="6">
        <f ca="1">TODAY()-Table2[[#This Row],[DATE SENT TO POG]]</f>
        <v>254</v>
      </c>
      <c r="Q913" s="6" t="s">
        <v>5803</v>
      </c>
      <c r="R9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3" s="2" t="str">
        <f>_xlfn.XLOOKUP(Table2[[#This Row],[Adjusted Form '#]],'[2]IN PROGRESS'!$D:$D,'[2]IN PROGRESS'!$M:$M,"Not Found")</f>
        <v>Not Found</v>
      </c>
      <c r="U913" s="2" t="str">
        <f>_xlfn.XLOOKUP(Table2[[#This Row],[Adjusted Form '#]],[1]COMPLETED!$D:$D,[2]COMPLETED!$M:$M,"Not Found")</f>
        <v>Not Found</v>
      </c>
      <c r="V913" s="17" t="str">
        <f>_xlfn.XLOOKUP(Table2[[#This Row],[Adjusted Form '#]],[2]COMPLETED!$D:$D,[2]COMPLETED!$O:$O,"Not Found")</f>
        <v>Not Found</v>
      </c>
      <c r="W913" s="2" t="str">
        <f>_xlfn.XLOOKUP(Table2[[#This Row],[Adjusted Form '#]],[2]BILLED!$D:$D,[2]BILLED!$M:$M,"Not Found")</f>
        <v>1Z5063E0YW41896621</v>
      </c>
      <c r="X913" s="17" t="e">
        <f>_xlfn.XLOOKUP(Table2[[#This Row],[Adjusted Form '#]],[2]BILLED!$D:$D,[1]BILLED!$O:$O,"Not Found")</f>
        <v>#REF!</v>
      </c>
      <c r="Y913" s="17" t="e">
        <f>_xlfn.XLOOKUP(Table2[[#This Row],[Adjusted Form '#]],'[2]REJECTED ORDERS'!$D:$D,'[2]REJECTED ORDERS'!$E:$E)</f>
        <v>#N/A</v>
      </c>
      <c r="Z913" s="1"/>
      <c r="AA913" s="1"/>
      <c r="AB913" s="8"/>
      <c r="AC913" s="8"/>
      <c r="AD913" s="8"/>
      <c r="AE913" s="8"/>
      <c r="AF913" s="8"/>
      <c r="AG913" s="8"/>
      <c r="AH913" s="8"/>
      <c r="AI913" s="8"/>
      <c r="AJ913" s="8"/>
    </row>
    <row r="914" spans="1:36" ht="15" customHeight="1" x14ac:dyDescent="0.35">
      <c r="A914" s="4" t="s">
        <v>1385</v>
      </c>
      <c r="B914" s="1" t="s">
        <v>3500</v>
      </c>
      <c r="C914" s="11">
        <v>45049</v>
      </c>
      <c r="D914" s="11" t="s">
        <v>5441</v>
      </c>
      <c r="E914" s="1" t="s">
        <v>21</v>
      </c>
      <c r="F914" s="1" t="s">
        <v>5442</v>
      </c>
      <c r="G914" s="6">
        <f>COUNTIF(F:F,Table2[[#This Row],[Form '#]])</f>
        <v>1</v>
      </c>
      <c r="H914" s="1" t="s">
        <v>5443</v>
      </c>
      <c r="I914" s="1" t="s">
        <v>177</v>
      </c>
      <c r="J914" s="1" t="s">
        <v>75</v>
      </c>
      <c r="K914" s="1" t="s">
        <v>3853</v>
      </c>
      <c r="L914" s="1"/>
      <c r="M914" s="6" t="str">
        <f>IF(Table2[[#This Row],[Corrected Form '#
 (If Duplicated)]]="",Table2[[#This Row],[Form '#]],Table2[[#This Row],[Corrected Form '#
 (If Duplicated)]])</f>
        <v>7818-16749</v>
      </c>
      <c r="N914" s="1" t="s">
        <v>49</v>
      </c>
      <c r="O914" s="6" t="str">
        <f>IF(Table2[[#This Row],[POG CONFIRMATION RECEIPT OF ORDER
(DATE &amp; TIME)]]="","No Confirmation","Received Confirmation")</f>
        <v>Received Confirmation</v>
      </c>
      <c r="P914" s="6">
        <f ca="1">TODAY()-Table2[[#This Row],[DATE SENT TO POG]]</f>
        <v>254</v>
      </c>
      <c r="Q914" s="6" t="s">
        <v>5803</v>
      </c>
      <c r="R9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4" s="2" t="str">
        <f>_xlfn.XLOOKUP(Table2[[#This Row],[Adjusted Form '#]],'[2]IN PROGRESS'!$D:$D,'[2]IN PROGRESS'!$M:$M,"Not Found")</f>
        <v>Not Found</v>
      </c>
      <c r="U914" s="2" t="str">
        <f>_xlfn.XLOOKUP(Table2[[#This Row],[Adjusted Form '#]],[1]COMPLETED!$D:$D,[2]COMPLETED!$M:$M,"Not Found")</f>
        <v>Not Found</v>
      </c>
      <c r="V914" s="17" t="str">
        <f>_xlfn.XLOOKUP(Table2[[#This Row],[Adjusted Form '#]],[2]COMPLETED!$D:$D,[2]COMPLETED!$O:$O,"Not Found")</f>
        <v>Not Found</v>
      </c>
      <c r="W914" s="2" t="str">
        <f>_xlfn.XLOOKUP(Table2[[#This Row],[Adjusted Form '#]],[2]BILLED!$D:$D,[2]BILLED!$M:$M,"Not Found")</f>
        <v>1Z5063E0YW42928059</v>
      </c>
      <c r="X914" s="17" t="e">
        <f>_xlfn.XLOOKUP(Table2[[#This Row],[Adjusted Form '#]],[2]BILLED!$D:$D,[1]BILLED!$O:$O,"Not Found")</f>
        <v>#REF!</v>
      </c>
      <c r="Y914" s="17" t="e">
        <f>_xlfn.XLOOKUP(Table2[[#This Row],[Adjusted Form '#]],'[2]REJECTED ORDERS'!$D:$D,'[2]REJECTED ORDERS'!$E:$E)</f>
        <v>#N/A</v>
      </c>
      <c r="Z914" s="1"/>
      <c r="AA914" s="1"/>
      <c r="AB914" s="8"/>
      <c r="AC914" s="8"/>
      <c r="AD914" s="8"/>
      <c r="AE914" s="8"/>
      <c r="AF914" s="8"/>
      <c r="AG914" s="8"/>
      <c r="AH914" s="8"/>
      <c r="AI914" s="8"/>
      <c r="AJ914" s="8"/>
    </row>
    <row r="915" spans="1:36" ht="15" customHeight="1" x14ac:dyDescent="0.35">
      <c r="A915" s="4" t="s">
        <v>1387</v>
      </c>
      <c r="B915" s="1" t="s">
        <v>3500</v>
      </c>
      <c r="C915" s="11">
        <v>45049</v>
      </c>
      <c r="D915" s="11" t="s">
        <v>5441</v>
      </c>
      <c r="E915" s="1" t="s">
        <v>21</v>
      </c>
      <c r="F915" s="1" t="s">
        <v>5444</v>
      </c>
      <c r="G915" s="6">
        <f>COUNTIF(F:F,Table2[[#This Row],[Form '#]])</f>
        <v>1</v>
      </c>
      <c r="H915" s="1" t="s">
        <v>1604</v>
      </c>
      <c r="I915" s="1" t="s">
        <v>28</v>
      </c>
      <c r="J915" s="1" t="s">
        <v>69</v>
      </c>
      <c r="K915" s="1" t="s">
        <v>4631</v>
      </c>
      <c r="L915" s="1"/>
      <c r="M915" s="6" t="str">
        <f>IF(Table2[[#This Row],[Corrected Form '#
 (If Duplicated)]]="",Table2[[#This Row],[Form '#]],Table2[[#This Row],[Corrected Form '#
 (If Duplicated)]])</f>
        <v>7818-21628</v>
      </c>
      <c r="N915" s="1" t="s">
        <v>49</v>
      </c>
      <c r="O915" s="6" t="str">
        <f>IF(Table2[[#This Row],[POG CONFIRMATION RECEIPT OF ORDER
(DATE &amp; TIME)]]="","No Confirmation","Received Confirmation")</f>
        <v>Received Confirmation</v>
      </c>
      <c r="P915" s="6">
        <f ca="1">TODAY()-Table2[[#This Row],[DATE SENT TO POG]]</f>
        <v>254</v>
      </c>
      <c r="Q915" s="6" t="s">
        <v>5803</v>
      </c>
      <c r="R9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5" s="2" t="str">
        <f>_xlfn.XLOOKUP(Table2[[#This Row],[Adjusted Form '#]],'[2]IN PROGRESS'!$D:$D,'[2]IN PROGRESS'!$M:$M,"Not Found")</f>
        <v>Not Found</v>
      </c>
      <c r="U915" s="2" t="str">
        <f>_xlfn.XLOOKUP(Table2[[#This Row],[Adjusted Form '#]],[1]COMPLETED!$D:$D,[2]COMPLETED!$M:$M,"Not Found")</f>
        <v>Not Found</v>
      </c>
      <c r="V915" s="17" t="str">
        <f>_xlfn.XLOOKUP(Table2[[#This Row],[Adjusted Form '#]],[2]COMPLETED!$D:$D,[2]COMPLETED!$O:$O,"Not Found")</f>
        <v>Not Found</v>
      </c>
      <c r="W915" s="2" t="str">
        <f>_xlfn.XLOOKUP(Table2[[#This Row],[Adjusted Form '#]],[2]BILLED!$D:$D,[2]BILLED!$M:$M,"Not Found")</f>
        <v>1Z5063E0YW42335930</v>
      </c>
      <c r="X915" s="17" t="e">
        <f>_xlfn.XLOOKUP(Table2[[#This Row],[Adjusted Form '#]],[2]BILLED!$D:$D,[1]BILLED!$O:$O,"Not Found")</f>
        <v>#REF!</v>
      </c>
      <c r="Y915" s="17" t="e">
        <f>_xlfn.XLOOKUP(Table2[[#This Row],[Adjusted Form '#]],'[2]REJECTED ORDERS'!$D:$D,'[2]REJECTED ORDERS'!$E:$E)</f>
        <v>#N/A</v>
      </c>
      <c r="Z915" s="1"/>
      <c r="AA915" s="1"/>
      <c r="AB915" s="8"/>
      <c r="AC915" s="8"/>
      <c r="AD915" s="8"/>
      <c r="AE915" s="8"/>
      <c r="AF915" s="8"/>
      <c r="AG915" s="8"/>
      <c r="AH915" s="8"/>
      <c r="AI915" s="8"/>
      <c r="AJ915" s="8"/>
    </row>
    <row r="916" spans="1:36" ht="15" customHeight="1" x14ac:dyDescent="0.35">
      <c r="A916" s="4" t="s">
        <v>1388</v>
      </c>
      <c r="B916" s="1" t="s">
        <v>3500</v>
      </c>
      <c r="C916" s="11">
        <v>45049</v>
      </c>
      <c r="D916" s="11" t="s">
        <v>5441</v>
      </c>
      <c r="E916" s="1" t="s">
        <v>21</v>
      </c>
      <c r="F916" s="1" t="s">
        <v>5445</v>
      </c>
      <c r="G916" s="6">
        <f>COUNTIF(F:F,Table2[[#This Row],[Form '#]])</f>
        <v>1</v>
      </c>
      <c r="H916" s="1" t="s">
        <v>84</v>
      </c>
      <c r="I916" s="1" t="s">
        <v>127</v>
      </c>
      <c r="J916" s="1" t="s">
        <v>74</v>
      </c>
      <c r="K916" s="1" t="s">
        <v>3883</v>
      </c>
      <c r="L916" s="1"/>
      <c r="M916" s="6" t="str">
        <f>IF(Table2[[#This Row],[Corrected Form '#
 (If Duplicated)]]="",Table2[[#This Row],[Form '#]],Table2[[#This Row],[Corrected Form '#
 (If Duplicated)]])</f>
        <v>7818-29431</v>
      </c>
      <c r="N916" s="1" t="s">
        <v>49</v>
      </c>
      <c r="O916" s="6" t="str">
        <f>IF(Table2[[#This Row],[POG CONFIRMATION RECEIPT OF ORDER
(DATE &amp; TIME)]]="","No Confirmation","Received Confirmation")</f>
        <v>Received Confirmation</v>
      </c>
      <c r="P916" s="6">
        <f ca="1">TODAY()-Table2[[#This Row],[DATE SENT TO POG]]</f>
        <v>254</v>
      </c>
      <c r="Q916" s="6" t="s">
        <v>5803</v>
      </c>
      <c r="R9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6" s="2" t="str">
        <f>_xlfn.XLOOKUP(Table2[[#This Row],[Adjusted Form '#]],'[2]IN PROGRESS'!$D:$D,'[2]IN PROGRESS'!$M:$M,"Not Found")</f>
        <v>Not Found</v>
      </c>
      <c r="U916" s="2" t="str">
        <f>_xlfn.XLOOKUP(Table2[[#This Row],[Adjusted Form '#]],[1]COMPLETED!$D:$D,[2]COMPLETED!$M:$M,"Not Found")</f>
        <v>Not Found</v>
      </c>
      <c r="V916" s="17" t="str">
        <f>_xlfn.XLOOKUP(Table2[[#This Row],[Adjusted Form '#]],[2]COMPLETED!$D:$D,[2]COMPLETED!$O:$O,"Not Found")</f>
        <v>Not Found</v>
      </c>
      <c r="W916" s="2" t="str">
        <f>_xlfn.XLOOKUP(Table2[[#This Row],[Adjusted Form '#]],[2]BILLED!$D:$D,[2]BILLED!$M:$M,"Not Found")</f>
        <v>1Z5063E0YW41911952</v>
      </c>
      <c r="X916" s="17" t="e">
        <f>_xlfn.XLOOKUP(Table2[[#This Row],[Adjusted Form '#]],[2]BILLED!$D:$D,[1]BILLED!$O:$O,"Not Found")</f>
        <v>#REF!</v>
      </c>
      <c r="Y916" s="17" t="e">
        <f>_xlfn.XLOOKUP(Table2[[#This Row],[Adjusted Form '#]],'[2]REJECTED ORDERS'!$D:$D,'[2]REJECTED ORDERS'!$E:$E)</f>
        <v>#N/A</v>
      </c>
      <c r="Z916" s="1"/>
      <c r="AA916" s="1"/>
      <c r="AB916" s="8"/>
      <c r="AC916" s="8"/>
      <c r="AD916" s="8"/>
      <c r="AE916" s="8"/>
      <c r="AF916" s="8"/>
      <c r="AG916" s="8"/>
      <c r="AH916" s="8"/>
      <c r="AI916" s="8"/>
      <c r="AJ916" s="8"/>
    </row>
    <row r="917" spans="1:36" ht="15" customHeight="1" x14ac:dyDescent="0.35">
      <c r="A917" s="4" t="s">
        <v>1389</v>
      </c>
      <c r="B917" s="1" t="s">
        <v>470</v>
      </c>
      <c r="C917" s="11">
        <v>45049</v>
      </c>
      <c r="D917" s="11" t="s">
        <v>5446</v>
      </c>
      <c r="E917" s="1" t="s">
        <v>73</v>
      </c>
      <c r="F917" s="1" t="s">
        <v>5447</v>
      </c>
      <c r="G917" s="6">
        <f>COUNTIF(F:F,Table2[[#This Row],[Form '#]])</f>
        <v>1</v>
      </c>
      <c r="H917" s="1" t="s">
        <v>5448</v>
      </c>
      <c r="I917" s="1" t="s">
        <v>3864</v>
      </c>
      <c r="J917" s="1" t="s">
        <v>78</v>
      </c>
      <c r="K917" s="1" t="s">
        <v>3879</v>
      </c>
      <c r="L917" s="1"/>
      <c r="M917" s="6" t="str">
        <f>IF(Table2[[#This Row],[Corrected Form '#
 (If Duplicated)]]="",Table2[[#This Row],[Form '#]],Table2[[#This Row],[Corrected Form '#
 (If Duplicated)]])</f>
        <v>7823-02393</v>
      </c>
      <c r="N917" s="1" t="s">
        <v>49</v>
      </c>
      <c r="O917" s="6" t="str">
        <f>IF(Table2[[#This Row],[POG CONFIRMATION RECEIPT OF ORDER
(DATE &amp; TIME)]]="","No Confirmation","Received Confirmation")</f>
        <v>Received Confirmation</v>
      </c>
      <c r="P917" s="6">
        <f ca="1">TODAY()-Table2[[#This Row],[DATE SENT TO POG]]</f>
        <v>254</v>
      </c>
      <c r="Q917" s="6" t="s">
        <v>5803</v>
      </c>
      <c r="R9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7" s="2" t="str">
        <f>_xlfn.XLOOKUP(Table2[[#This Row],[Adjusted Form '#]],'[2]IN PROGRESS'!$D:$D,'[2]IN PROGRESS'!$M:$M,"Not Found")</f>
        <v>Not Found</v>
      </c>
      <c r="U917" s="2" t="str">
        <f>_xlfn.XLOOKUP(Table2[[#This Row],[Adjusted Form '#]],[1]COMPLETED!$D:$D,[2]COMPLETED!$M:$M,"Not Found")</f>
        <v>Not Found</v>
      </c>
      <c r="V917" s="17" t="str">
        <f>_xlfn.XLOOKUP(Table2[[#This Row],[Adjusted Form '#]],[2]COMPLETED!$D:$D,[2]COMPLETED!$O:$O,"Not Found")</f>
        <v>Not Found</v>
      </c>
      <c r="W917" s="2" t="str">
        <f>_xlfn.XLOOKUP(Table2[[#This Row],[Adjusted Form '#]],[2]BILLED!$D:$D,[2]BILLED!$M:$M,"Not Found")</f>
        <v>1Z5063E0YW42816438</v>
      </c>
      <c r="X917" s="17" t="e">
        <f>_xlfn.XLOOKUP(Table2[[#This Row],[Adjusted Form '#]],[2]BILLED!$D:$D,[1]BILLED!$O:$O,"Not Found")</f>
        <v>#REF!</v>
      </c>
      <c r="Y917" s="17" t="e">
        <f>_xlfn.XLOOKUP(Table2[[#This Row],[Adjusted Form '#]],'[2]REJECTED ORDERS'!$D:$D,'[2]REJECTED ORDERS'!$E:$E)</f>
        <v>#N/A</v>
      </c>
      <c r="Z917" s="1"/>
      <c r="AA917" s="1"/>
      <c r="AB917" s="8"/>
      <c r="AC917" s="8"/>
      <c r="AD917" s="8"/>
      <c r="AE917" s="8"/>
      <c r="AF917" s="8"/>
      <c r="AG917" s="8"/>
      <c r="AH917" s="8"/>
      <c r="AI917" s="8"/>
      <c r="AJ917" s="8"/>
    </row>
    <row r="918" spans="1:36" ht="15" customHeight="1" x14ac:dyDescent="0.35">
      <c r="A918" s="4" t="s">
        <v>1391</v>
      </c>
      <c r="B918" s="1" t="s">
        <v>403</v>
      </c>
      <c r="C918" s="11">
        <v>45049</v>
      </c>
      <c r="D918" s="11" t="s">
        <v>5449</v>
      </c>
      <c r="E918" s="1" t="s">
        <v>191</v>
      </c>
      <c r="F918" s="1" t="s">
        <v>5450</v>
      </c>
      <c r="G918" s="6">
        <f>COUNTIF(F:F,Table2[[#This Row],[Form '#]])</f>
        <v>1</v>
      </c>
      <c r="H918" s="1" t="s">
        <v>5451</v>
      </c>
      <c r="I918" s="1" t="s">
        <v>758</v>
      </c>
      <c r="J918" s="1" t="s">
        <v>78</v>
      </c>
      <c r="K918" s="1" t="s">
        <v>3853</v>
      </c>
      <c r="L918" s="1"/>
      <c r="M918" s="6" t="str">
        <f>IF(Table2[[#This Row],[Corrected Form '#
 (If Duplicated)]]="",Table2[[#This Row],[Form '#]],Table2[[#This Row],[Corrected Form '#
 (If Duplicated)]])</f>
        <v>7812-03060</v>
      </c>
      <c r="N918" s="1" t="s">
        <v>49</v>
      </c>
      <c r="O918" s="6" t="str">
        <f>IF(Table2[[#This Row],[POG CONFIRMATION RECEIPT OF ORDER
(DATE &amp; TIME)]]="","No Confirmation","Received Confirmation")</f>
        <v>Received Confirmation</v>
      </c>
      <c r="P918" s="6">
        <f ca="1">TODAY()-Table2[[#This Row],[DATE SENT TO POG]]</f>
        <v>254</v>
      </c>
      <c r="Q918" s="6" t="s">
        <v>5803</v>
      </c>
      <c r="R9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8" s="2" t="str">
        <f>_xlfn.XLOOKUP(Table2[[#This Row],[Adjusted Form '#]],'[2]IN PROGRESS'!$D:$D,'[2]IN PROGRESS'!$M:$M,"Not Found")</f>
        <v>Not Found</v>
      </c>
      <c r="U918" s="2" t="str">
        <f>_xlfn.XLOOKUP(Table2[[#This Row],[Adjusted Form '#]],[1]COMPLETED!$D:$D,[2]COMPLETED!$M:$M,"Not Found")</f>
        <v>Not Found</v>
      </c>
      <c r="V918" s="17" t="str">
        <f>_xlfn.XLOOKUP(Table2[[#This Row],[Adjusted Form '#]],[2]COMPLETED!$D:$D,[2]COMPLETED!$O:$O,"Not Found")</f>
        <v>Not Found</v>
      </c>
      <c r="W918" s="2" t="str">
        <f>_xlfn.XLOOKUP(Table2[[#This Row],[Adjusted Form '#]],[2]BILLED!$D:$D,[2]BILLED!$M:$M,"Not Found")</f>
        <v>1Z5063E0YW40635708</v>
      </c>
      <c r="X918" s="17" t="e">
        <f>_xlfn.XLOOKUP(Table2[[#This Row],[Adjusted Form '#]],[2]BILLED!$D:$D,[1]BILLED!$O:$O,"Not Found")</f>
        <v>#REF!</v>
      </c>
      <c r="Y918" s="17" t="e">
        <f>_xlfn.XLOOKUP(Table2[[#This Row],[Adjusted Form '#]],'[2]REJECTED ORDERS'!$D:$D,'[2]REJECTED ORDERS'!$E:$E)</f>
        <v>#N/A</v>
      </c>
      <c r="Z918" s="1"/>
      <c r="AA918" s="1"/>
      <c r="AB918" s="8"/>
      <c r="AC918" s="8"/>
      <c r="AD918" s="8"/>
      <c r="AE918" s="8"/>
      <c r="AF918" s="8"/>
      <c r="AG918" s="8"/>
      <c r="AH918" s="8"/>
      <c r="AI918" s="8"/>
      <c r="AJ918" s="8"/>
    </row>
    <row r="919" spans="1:36" ht="15" customHeight="1" x14ac:dyDescent="0.35">
      <c r="A919" s="4" t="s">
        <v>1392</v>
      </c>
      <c r="B919" s="1" t="s">
        <v>1378</v>
      </c>
      <c r="C919" s="11">
        <v>45050</v>
      </c>
      <c r="D919" s="11" t="s">
        <v>5452</v>
      </c>
      <c r="E919" s="1" t="s">
        <v>21</v>
      </c>
      <c r="F919" s="1" t="s">
        <v>5453</v>
      </c>
      <c r="G919" s="6">
        <f>COUNTIF(F:F,Table2[[#This Row],[Form '#]])</f>
        <v>1</v>
      </c>
      <c r="H919" s="1" t="s">
        <v>5454</v>
      </c>
      <c r="I919" s="1" t="s">
        <v>127</v>
      </c>
      <c r="J919" s="1" t="s">
        <v>76</v>
      </c>
      <c r="K919" s="1" t="s">
        <v>3883</v>
      </c>
      <c r="L919" s="1"/>
      <c r="M919" s="6" t="str">
        <f>IF(Table2[[#This Row],[Corrected Form '#
 (If Duplicated)]]="",Table2[[#This Row],[Form '#]],Table2[[#This Row],[Corrected Form '#
 (If Duplicated)]])</f>
        <v>7818-16483</v>
      </c>
      <c r="N919" s="1" t="s">
        <v>49</v>
      </c>
      <c r="O919" s="6" t="str">
        <f>IF(Table2[[#This Row],[POG CONFIRMATION RECEIPT OF ORDER
(DATE &amp; TIME)]]="","No Confirmation","Received Confirmation")</f>
        <v>Received Confirmation</v>
      </c>
      <c r="P919" s="6">
        <f ca="1">TODAY()-Table2[[#This Row],[DATE SENT TO POG]]</f>
        <v>253</v>
      </c>
      <c r="Q919" s="6" t="s">
        <v>5803</v>
      </c>
      <c r="R9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19" s="2" t="str">
        <f>_xlfn.XLOOKUP(Table2[[#This Row],[Adjusted Form '#]],'[2]IN PROGRESS'!$D:$D,'[2]IN PROGRESS'!$M:$M,"Not Found")</f>
        <v>Not Found</v>
      </c>
      <c r="U919" s="2" t="str">
        <f>_xlfn.XLOOKUP(Table2[[#This Row],[Adjusted Form '#]],[1]COMPLETED!$D:$D,[2]COMPLETED!$M:$M,"Not Found")</f>
        <v>Not Found</v>
      </c>
      <c r="V919" s="17" t="str">
        <f>_xlfn.XLOOKUP(Table2[[#This Row],[Adjusted Form '#]],[2]COMPLETED!$D:$D,[2]COMPLETED!$O:$O,"Not Found")</f>
        <v>Not Found</v>
      </c>
      <c r="W919" s="2" t="str">
        <f>_xlfn.XLOOKUP(Table2[[#This Row],[Adjusted Form '#]],[2]BILLED!$D:$D,[2]BILLED!$M:$M,"Not Found")</f>
        <v>1Z5063E0YW40467346</v>
      </c>
      <c r="X919" s="17" t="e">
        <f>_xlfn.XLOOKUP(Table2[[#This Row],[Adjusted Form '#]],[2]BILLED!$D:$D,[1]BILLED!$O:$O,"Not Found")</f>
        <v>#REF!</v>
      </c>
      <c r="Y919" s="17" t="e">
        <f>_xlfn.XLOOKUP(Table2[[#This Row],[Adjusted Form '#]],'[2]REJECTED ORDERS'!$D:$D,'[2]REJECTED ORDERS'!$E:$E)</f>
        <v>#N/A</v>
      </c>
      <c r="Z919" s="1"/>
      <c r="AA919" s="1"/>
      <c r="AB919" s="8"/>
      <c r="AC919" s="8"/>
      <c r="AD919" s="8"/>
      <c r="AE919" s="8"/>
      <c r="AF919" s="8"/>
      <c r="AG919" s="8"/>
      <c r="AH919" s="8"/>
      <c r="AI919" s="8"/>
      <c r="AJ919" s="8"/>
    </row>
    <row r="920" spans="1:36" ht="15" customHeight="1" x14ac:dyDescent="0.35">
      <c r="A920" s="4" t="s">
        <v>1393</v>
      </c>
      <c r="B920" s="1" t="s">
        <v>1378</v>
      </c>
      <c r="C920" s="11">
        <v>45050</v>
      </c>
      <c r="D920" s="11" t="s">
        <v>5452</v>
      </c>
      <c r="E920" s="1" t="s">
        <v>21</v>
      </c>
      <c r="F920" s="1" t="s">
        <v>5455</v>
      </c>
      <c r="G920" s="6">
        <f>COUNTIF(F:F,Table2[[#This Row],[Form '#]])</f>
        <v>1</v>
      </c>
      <c r="H920" s="1" t="s">
        <v>5456</v>
      </c>
      <c r="I920" s="1" t="s">
        <v>758</v>
      </c>
      <c r="J920" s="1" t="s">
        <v>78</v>
      </c>
      <c r="K920" s="1" t="s">
        <v>3853</v>
      </c>
      <c r="L920" s="1"/>
      <c r="M920" s="6" t="str">
        <f>IF(Table2[[#This Row],[Corrected Form '#
 (If Duplicated)]]="",Table2[[#This Row],[Form '#]],Table2[[#This Row],[Corrected Form '#
 (If Duplicated)]])</f>
        <v>7818-25248</v>
      </c>
      <c r="N920" s="1" t="s">
        <v>49</v>
      </c>
      <c r="O920" s="6" t="str">
        <f>IF(Table2[[#This Row],[POG CONFIRMATION RECEIPT OF ORDER
(DATE &amp; TIME)]]="","No Confirmation","Received Confirmation")</f>
        <v>Received Confirmation</v>
      </c>
      <c r="P920" s="6">
        <f ca="1">TODAY()-Table2[[#This Row],[DATE SENT TO POG]]</f>
        <v>253</v>
      </c>
      <c r="Q920" s="6" t="s">
        <v>5803</v>
      </c>
      <c r="R9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0" s="2" t="str">
        <f>_xlfn.XLOOKUP(Table2[[#This Row],[Adjusted Form '#]],'[2]IN PROGRESS'!$D:$D,'[2]IN PROGRESS'!$M:$M,"Not Found")</f>
        <v>Not Found</v>
      </c>
      <c r="U920" s="2" t="str">
        <f>_xlfn.XLOOKUP(Table2[[#This Row],[Adjusted Form '#]],[1]COMPLETED!$D:$D,[2]COMPLETED!$M:$M,"Not Found")</f>
        <v>Not Found</v>
      </c>
      <c r="V920" s="17" t="str">
        <f>_xlfn.XLOOKUP(Table2[[#This Row],[Adjusted Form '#]],[2]COMPLETED!$D:$D,[2]COMPLETED!$O:$O,"Not Found")</f>
        <v>Not Found</v>
      </c>
      <c r="W920" s="2" t="str">
        <f>_xlfn.XLOOKUP(Table2[[#This Row],[Adjusted Form '#]],[2]BILLED!$D:$D,[2]BILLED!$M:$M,"Not Found")</f>
        <v>1Z5063E0YW41142908</v>
      </c>
      <c r="X920" s="17" t="e">
        <f>_xlfn.XLOOKUP(Table2[[#This Row],[Adjusted Form '#]],[2]BILLED!$D:$D,[1]BILLED!$O:$O,"Not Found")</f>
        <v>#REF!</v>
      </c>
      <c r="Y920" s="17" t="e">
        <f>_xlfn.XLOOKUP(Table2[[#This Row],[Adjusted Form '#]],'[2]REJECTED ORDERS'!$D:$D,'[2]REJECTED ORDERS'!$E:$E)</f>
        <v>#N/A</v>
      </c>
      <c r="Z920" s="1"/>
      <c r="AA920" s="1"/>
      <c r="AB920" s="8"/>
      <c r="AC920" s="8"/>
      <c r="AD920" s="8"/>
      <c r="AE920" s="8"/>
      <c r="AF920" s="8"/>
      <c r="AG920" s="8"/>
      <c r="AH920" s="8"/>
      <c r="AI920" s="8"/>
      <c r="AJ920" s="8"/>
    </row>
    <row r="921" spans="1:36" ht="15" customHeight="1" x14ac:dyDescent="0.35">
      <c r="A921" s="4" t="s">
        <v>1395</v>
      </c>
      <c r="B921" s="1" t="s">
        <v>5457</v>
      </c>
      <c r="C921" s="11">
        <v>45050</v>
      </c>
      <c r="D921" s="11" t="s">
        <v>5458</v>
      </c>
      <c r="E921" s="1" t="s">
        <v>14</v>
      </c>
      <c r="F921" s="1" t="s">
        <v>5459</v>
      </c>
      <c r="G921" s="6">
        <f>COUNTIF(F:F,Table2[[#This Row],[Form '#]])</f>
        <v>1</v>
      </c>
      <c r="H921" s="1" t="s">
        <v>3298</v>
      </c>
      <c r="I921" s="1" t="s">
        <v>3864</v>
      </c>
      <c r="J921" s="1" t="s">
        <v>78</v>
      </c>
      <c r="K921" s="1" t="s">
        <v>3879</v>
      </c>
      <c r="L921" s="1"/>
      <c r="M921" s="6" t="str">
        <f>IF(Table2[[#This Row],[Corrected Form '#
 (If Duplicated)]]="",Table2[[#This Row],[Form '#]],Table2[[#This Row],[Corrected Form '#
 (If Duplicated)]])</f>
        <v>7810-01087</v>
      </c>
      <c r="N921" s="1" t="s">
        <v>49</v>
      </c>
      <c r="O921" s="6" t="str">
        <f>IF(Table2[[#This Row],[POG CONFIRMATION RECEIPT OF ORDER
(DATE &amp; TIME)]]="","No Confirmation","Received Confirmation")</f>
        <v>Received Confirmation</v>
      </c>
      <c r="P921" s="6">
        <f ca="1">TODAY()-Table2[[#This Row],[DATE SENT TO POG]]</f>
        <v>253</v>
      </c>
      <c r="Q921" s="6" t="s">
        <v>5802</v>
      </c>
      <c r="R9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92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921" s="2" t="str">
        <f>_xlfn.XLOOKUP(Table2[[#This Row],[Adjusted Form '#]],'[2]IN PROGRESS'!$D:$D,'[2]IN PROGRESS'!$M:$M,"Not Found")</f>
        <v>Not Found</v>
      </c>
      <c r="U921" s="2" t="str">
        <f>_xlfn.XLOOKUP(Table2[[#This Row],[Adjusted Form '#]],[1]COMPLETED!$D:$D,[2]COMPLETED!$M:$M,"Not Found")</f>
        <v>Not Found</v>
      </c>
      <c r="V921" s="17" t="str">
        <f>_xlfn.XLOOKUP(Table2[[#This Row],[Adjusted Form '#]],[2]COMPLETED!$D:$D,[2]COMPLETED!$O:$O,"Not Found")</f>
        <v>Not Found</v>
      </c>
      <c r="W921" s="2" t="str">
        <f>_xlfn.XLOOKUP(Table2[[#This Row],[Adjusted Form '#]],[2]BILLED!$D:$D,[2]BILLED!$M:$M,"Not Found")</f>
        <v>Not Found</v>
      </c>
      <c r="X921" s="17" t="str">
        <f>_xlfn.XLOOKUP(Table2[[#This Row],[Adjusted Form '#]],[2]BILLED!$D:$D,[1]BILLED!$O:$O,"Not Found")</f>
        <v>Not Found</v>
      </c>
      <c r="Y921" s="17" t="e">
        <f>_xlfn.XLOOKUP(Table2[[#This Row],[Adjusted Form '#]],'[2]REJECTED ORDERS'!$D:$D,'[2]REJECTED ORDERS'!$E:$E)</f>
        <v>#N/A</v>
      </c>
      <c r="Z921" s="1"/>
      <c r="AA921" s="1"/>
      <c r="AB921" s="8"/>
      <c r="AC921" s="8"/>
      <c r="AD921" s="8"/>
      <c r="AE921" s="8"/>
      <c r="AF921" s="8"/>
      <c r="AG921" s="8"/>
      <c r="AH921" s="8"/>
      <c r="AI921" s="8"/>
      <c r="AJ921" s="8"/>
    </row>
    <row r="922" spans="1:36" ht="15" customHeight="1" x14ac:dyDescent="0.35">
      <c r="A922" s="4" t="s">
        <v>1396</v>
      </c>
      <c r="B922" s="1" t="s">
        <v>902</v>
      </c>
      <c r="C922" s="11">
        <v>45050</v>
      </c>
      <c r="D922" s="11" t="s">
        <v>5460</v>
      </c>
      <c r="E922" s="1" t="s">
        <v>21</v>
      </c>
      <c r="F922" s="1" t="s">
        <v>5461</v>
      </c>
      <c r="G922" s="6">
        <f>COUNTIF(F:F,Table2[[#This Row],[Form '#]])</f>
        <v>1</v>
      </c>
      <c r="H922" s="1" t="s">
        <v>5462</v>
      </c>
      <c r="I922" s="1" t="s">
        <v>177</v>
      </c>
      <c r="J922" s="1" t="s">
        <v>75</v>
      </c>
      <c r="K922" s="1" t="s">
        <v>3853</v>
      </c>
      <c r="L922" s="1"/>
      <c r="M922" s="6" t="str">
        <f>IF(Table2[[#This Row],[Corrected Form '#
 (If Duplicated)]]="",Table2[[#This Row],[Form '#]],Table2[[#This Row],[Corrected Form '#
 (If Duplicated)]])</f>
        <v>7818-25945</v>
      </c>
      <c r="N922" s="1" t="s">
        <v>49</v>
      </c>
      <c r="O922" s="6" t="str">
        <f>IF(Table2[[#This Row],[POG CONFIRMATION RECEIPT OF ORDER
(DATE &amp; TIME)]]="","No Confirmation","Received Confirmation")</f>
        <v>Received Confirmation</v>
      </c>
      <c r="P922" s="6">
        <f ca="1">TODAY()-Table2[[#This Row],[DATE SENT TO POG]]</f>
        <v>253</v>
      </c>
      <c r="Q922" s="6" t="s">
        <v>5803</v>
      </c>
      <c r="R9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2" s="2" t="str">
        <f>_xlfn.XLOOKUP(Table2[[#This Row],[Adjusted Form '#]],'[2]IN PROGRESS'!$D:$D,'[2]IN PROGRESS'!$M:$M,"Not Found")</f>
        <v>Not Found</v>
      </c>
      <c r="U922" s="2" t="str">
        <f>_xlfn.XLOOKUP(Table2[[#This Row],[Adjusted Form '#]],[1]COMPLETED!$D:$D,[2]COMPLETED!$M:$M,"Not Found")</f>
        <v>Not Found</v>
      </c>
      <c r="V922" s="17" t="str">
        <f>_xlfn.XLOOKUP(Table2[[#This Row],[Adjusted Form '#]],[2]COMPLETED!$D:$D,[2]COMPLETED!$O:$O,"Not Found")</f>
        <v>Not Found</v>
      </c>
      <c r="W922" s="2" t="str">
        <f>_xlfn.XLOOKUP(Table2[[#This Row],[Adjusted Form '#]],[2]BILLED!$D:$D,[2]BILLED!$M:$M,"Not Found")</f>
        <v>1Z5063E0YW41060603</v>
      </c>
      <c r="X922" s="17" t="e">
        <f>_xlfn.XLOOKUP(Table2[[#This Row],[Adjusted Form '#]],[2]BILLED!$D:$D,[1]BILLED!$O:$O,"Not Found")</f>
        <v>#REF!</v>
      </c>
      <c r="Y922" s="17" t="e">
        <f>_xlfn.XLOOKUP(Table2[[#This Row],[Adjusted Form '#]],'[2]REJECTED ORDERS'!$D:$D,'[2]REJECTED ORDERS'!$E:$E)</f>
        <v>#N/A</v>
      </c>
      <c r="Z922" s="1"/>
      <c r="AA922" s="1"/>
      <c r="AB922" s="8"/>
      <c r="AC922" s="8"/>
      <c r="AD922" s="8"/>
      <c r="AE922" s="8"/>
      <c r="AF922" s="8"/>
      <c r="AG922" s="8"/>
      <c r="AH922" s="8"/>
      <c r="AI922" s="8"/>
      <c r="AJ922" s="8"/>
    </row>
    <row r="923" spans="1:36" ht="15" customHeight="1" x14ac:dyDescent="0.35">
      <c r="A923" s="4" t="s">
        <v>1397</v>
      </c>
      <c r="B923" s="1" t="s">
        <v>902</v>
      </c>
      <c r="C923" s="11">
        <v>45051</v>
      </c>
      <c r="D923" s="11" t="s">
        <v>5460</v>
      </c>
      <c r="E923" s="1" t="s">
        <v>21</v>
      </c>
      <c r="F923" s="1" t="s">
        <v>5463</v>
      </c>
      <c r="G923" s="6">
        <f>COUNTIF(F:F,Table2[[#This Row],[Form '#]])</f>
        <v>1</v>
      </c>
      <c r="H923" s="1" t="s">
        <v>5464</v>
      </c>
      <c r="I923" s="1" t="s">
        <v>127</v>
      </c>
      <c r="J923" s="1" t="s">
        <v>74</v>
      </c>
      <c r="K923" s="1" t="s">
        <v>3883</v>
      </c>
      <c r="L923" s="1"/>
      <c r="M923" s="6" t="str">
        <f>IF(Table2[[#This Row],[Corrected Form '#
 (If Duplicated)]]="",Table2[[#This Row],[Form '#]],Table2[[#This Row],[Corrected Form '#
 (If Duplicated)]])</f>
        <v>7818-17382</v>
      </c>
      <c r="N923" s="1" t="s">
        <v>49</v>
      </c>
      <c r="O923" s="6" t="str">
        <f>IF(Table2[[#This Row],[POG CONFIRMATION RECEIPT OF ORDER
(DATE &amp; TIME)]]="","No Confirmation","Received Confirmation")</f>
        <v>Received Confirmation</v>
      </c>
      <c r="P923" s="6">
        <f ca="1">TODAY()-Table2[[#This Row],[DATE SENT TO POG]]</f>
        <v>252</v>
      </c>
      <c r="Q923" s="6" t="s">
        <v>5803</v>
      </c>
      <c r="R9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3" s="2" t="str">
        <f>_xlfn.XLOOKUP(Table2[[#This Row],[Adjusted Form '#]],'[2]IN PROGRESS'!$D:$D,'[2]IN PROGRESS'!$M:$M,"Not Found")</f>
        <v>Not Found</v>
      </c>
      <c r="U923" s="2" t="str">
        <f>_xlfn.XLOOKUP(Table2[[#This Row],[Adjusted Form '#]],[1]COMPLETED!$D:$D,[2]COMPLETED!$M:$M,"Not Found")</f>
        <v>Not Found</v>
      </c>
      <c r="V923" s="17" t="str">
        <f>_xlfn.XLOOKUP(Table2[[#This Row],[Adjusted Form '#]],[2]COMPLETED!$D:$D,[2]COMPLETED!$O:$O,"Not Found")</f>
        <v>Not Found</v>
      </c>
      <c r="W923" s="2" t="str">
        <f>_xlfn.XLOOKUP(Table2[[#This Row],[Adjusted Form '#]],[2]BILLED!$D:$D,[2]BILLED!$M:$M,"Not Found")</f>
        <v>1Z5063E0YW42039591</v>
      </c>
      <c r="X923" s="17" t="e">
        <f>_xlfn.XLOOKUP(Table2[[#This Row],[Adjusted Form '#]],[2]BILLED!$D:$D,[1]BILLED!$O:$O,"Not Found")</f>
        <v>#REF!</v>
      </c>
      <c r="Y923" s="17" t="e">
        <f>_xlfn.XLOOKUP(Table2[[#This Row],[Adjusted Form '#]],'[2]REJECTED ORDERS'!$D:$D,'[2]REJECTED ORDERS'!$E:$E)</f>
        <v>#N/A</v>
      </c>
      <c r="Z923" s="1"/>
      <c r="AA923" s="1"/>
      <c r="AB923" s="8"/>
      <c r="AC923" s="8"/>
      <c r="AD923" s="8"/>
      <c r="AE923" s="8"/>
      <c r="AF923" s="8"/>
      <c r="AG923" s="8"/>
      <c r="AH923" s="8"/>
      <c r="AI923" s="8"/>
      <c r="AJ923" s="8"/>
    </row>
    <row r="924" spans="1:36" ht="15" customHeight="1" x14ac:dyDescent="0.35">
      <c r="A924" s="4" t="s">
        <v>1399</v>
      </c>
      <c r="B924" s="1" t="s">
        <v>902</v>
      </c>
      <c r="C924" s="11">
        <v>45052</v>
      </c>
      <c r="D924" s="11" t="s">
        <v>5460</v>
      </c>
      <c r="E924" s="1" t="s">
        <v>21</v>
      </c>
      <c r="F924" s="1" t="s">
        <v>5465</v>
      </c>
      <c r="G924" s="6">
        <f>COUNTIF(F:F,Table2[[#This Row],[Form '#]])</f>
        <v>1</v>
      </c>
      <c r="H924" s="1" t="s">
        <v>726</v>
      </c>
      <c r="I924" s="1" t="s">
        <v>3852</v>
      </c>
      <c r="J924" s="1" t="s">
        <v>80</v>
      </c>
      <c r="K924" s="1" t="s">
        <v>3853</v>
      </c>
      <c r="L924" s="1"/>
      <c r="M924" s="6" t="str">
        <f>IF(Table2[[#This Row],[Corrected Form '#
 (If Duplicated)]]="",Table2[[#This Row],[Form '#]],Table2[[#This Row],[Corrected Form '#
 (If Duplicated)]])</f>
        <v>7818-25727</v>
      </c>
      <c r="N924" s="1" t="s">
        <v>49</v>
      </c>
      <c r="O924" s="6" t="str">
        <f>IF(Table2[[#This Row],[POG CONFIRMATION RECEIPT OF ORDER
(DATE &amp; TIME)]]="","No Confirmation","Received Confirmation")</f>
        <v>Received Confirmation</v>
      </c>
      <c r="P924" s="6">
        <f ca="1">TODAY()-Table2[[#This Row],[DATE SENT TO POG]]</f>
        <v>251</v>
      </c>
      <c r="Q924" s="6" t="s">
        <v>5803</v>
      </c>
      <c r="R9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4" s="2" t="str">
        <f>_xlfn.XLOOKUP(Table2[[#This Row],[Adjusted Form '#]],'[2]IN PROGRESS'!$D:$D,'[2]IN PROGRESS'!$M:$M,"Not Found")</f>
        <v>Not Found</v>
      </c>
      <c r="U924" s="2" t="str">
        <f>_xlfn.XLOOKUP(Table2[[#This Row],[Adjusted Form '#]],[1]COMPLETED!$D:$D,[2]COMPLETED!$M:$M,"Not Found")</f>
        <v>Not Found</v>
      </c>
      <c r="V924" s="17" t="str">
        <f>_xlfn.XLOOKUP(Table2[[#This Row],[Adjusted Form '#]],[2]COMPLETED!$D:$D,[2]COMPLETED!$O:$O,"Not Found")</f>
        <v>Not Found</v>
      </c>
      <c r="W924" s="2" t="str">
        <f>_xlfn.XLOOKUP(Table2[[#This Row],[Adjusted Form '#]],[2]BILLED!$D:$D,[2]BILLED!$M:$M,"Not Found")</f>
        <v>1Z5063E0YW42219280</v>
      </c>
      <c r="X924" s="17" t="e">
        <f>_xlfn.XLOOKUP(Table2[[#This Row],[Adjusted Form '#]],[2]BILLED!$D:$D,[1]BILLED!$O:$O,"Not Found")</f>
        <v>#REF!</v>
      </c>
      <c r="Y924" s="17" t="e">
        <f>_xlfn.XLOOKUP(Table2[[#This Row],[Adjusted Form '#]],'[2]REJECTED ORDERS'!$D:$D,'[2]REJECTED ORDERS'!$E:$E)</f>
        <v>#N/A</v>
      </c>
      <c r="Z924" s="1"/>
      <c r="AA924" s="1"/>
      <c r="AB924" s="8"/>
      <c r="AC924" s="8"/>
      <c r="AD924" s="8"/>
      <c r="AE924" s="8"/>
      <c r="AF924" s="8"/>
      <c r="AG924" s="8"/>
      <c r="AH924" s="8"/>
      <c r="AI924" s="8"/>
      <c r="AJ924" s="8"/>
    </row>
    <row r="925" spans="1:36" ht="15" customHeight="1" x14ac:dyDescent="0.35">
      <c r="A925" s="4" t="s">
        <v>1401</v>
      </c>
      <c r="B925" s="1" t="s">
        <v>902</v>
      </c>
      <c r="C925" s="11">
        <v>45053</v>
      </c>
      <c r="D925" s="11" t="s">
        <v>5460</v>
      </c>
      <c r="E925" s="1" t="s">
        <v>21</v>
      </c>
      <c r="F925" s="1" t="s">
        <v>5466</v>
      </c>
      <c r="G925" s="6">
        <f>COUNTIF(F:F,Table2[[#This Row],[Form '#]])</f>
        <v>1</v>
      </c>
      <c r="H925" s="1" t="s">
        <v>5467</v>
      </c>
      <c r="I925" s="1" t="s">
        <v>3852</v>
      </c>
      <c r="J925" s="1" t="s">
        <v>80</v>
      </c>
      <c r="K925" s="1" t="s">
        <v>3853</v>
      </c>
      <c r="L925" s="1"/>
      <c r="M925" s="6" t="str">
        <f>IF(Table2[[#This Row],[Corrected Form '#
 (If Duplicated)]]="",Table2[[#This Row],[Form '#]],Table2[[#This Row],[Corrected Form '#
 (If Duplicated)]])</f>
        <v>7818-17687</v>
      </c>
      <c r="N925" s="1" t="s">
        <v>49</v>
      </c>
      <c r="O925" s="6" t="str">
        <f>IF(Table2[[#This Row],[POG CONFIRMATION RECEIPT OF ORDER
(DATE &amp; TIME)]]="","No Confirmation","Received Confirmation")</f>
        <v>Received Confirmation</v>
      </c>
      <c r="P925" s="6">
        <f ca="1">TODAY()-Table2[[#This Row],[DATE SENT TO POG]]</f>
        <v>250</v>
      </c>
      <c r="Q925" s="6" t="s">
        <v>5803</v>
      </c>
      <c r="R9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5" s="2" t="str">
        <f>_xlfn.XLOOKUP(Table2[[#This Row],[Adjusted Form '#]],'[2]IN PROGRESS'!$D:$D,'[2]IN PROGRESS'!$M:$M,"Not Found")</f>
        <v>Not Found</v>
      </c>
      <c r="U925" s="2" t="str">
        <f>_xlfn.XLOOKUP(Table2[[#This Row],[Adjusted Form '#]],[1]COMPLETED!$D:$D,[2]COMPLETED!$M:$M,"Not Found")</f>
        <v>Not Found</v>
      </c>
      <c r="V925" s="17" t="str">
        <f>_xlfn.XLOOKUP(Table2[[#This Row],[Adjusted Form '#]],[2]COMPLETED!$D:$D,[2]COMPLETED!$O:$O,"Not Found")</f>
        <v>Not Found</v>
      </c>
      <c r="W925" s="2" t="str">
        <f>_xlfn.XLOOKUP(Table2[[#This Row],[Adjusted Form '#]],[2]BILLED!$D:$D,[2]BILLED!$M:$M,"Not Found")</f>
        <v>1Z5063E0YW42708331</v>
      </c>
      <c r="X925" s="17" t="e">
        <f>_xlfn.XLOOKUP(Table2[[#This Row],[Adjusted Form '#]],[2]BILLED!$D:$D,[1]BILLED!$O:$O,"Not Found")</f>
        <v>#REF!</v>
      </c>
      <c r="Y925" s="17" t="e">
        <f>_xlfn.XLOOKUP(Table2[[#This Row],[Adjusted Form '#]],'[2]REJECTED ORDERS'!$D:$D,'[2]REJECTED ORDERS'!$E:$E)</f>
        <v>#N/A</v>
      </c>
      <c r="Z925" s="1"/>
      <c r="AA925" s="1"/>
      <c r="AB925" s="8"/>
      <c r="AC925" s="8"/>
      <c r="AD925" s="8"/>
      <c r="AE925" s="8"/>
      <c r="AF925" s="8"/>
      <c r="AG925" s="8"/>
      <c r="AH925" s="8"/>
      <c r="AI925" s="8"/>
      <c r="AJ925" s="8"/>
    </row>
    <row r="926" spans="1:36" ht="15" customHeight="1" x14ac:dyDescent="0.35">
      <c r="A926" s="4" t="s">
        <v>1402</v>
      </c>
      <c r="B926" s="1" t="s">
        <v>902</v>
      </c>
      <c r="C926" s="11">
        <v>45053</v>
      </c>
      <c r="D926" s="11" t="s">
        <v>5460</v>
      </c>
      <c r="E926" s="1" t="s">
        <v>21</v>
      </c>
      <c r="F926" s="1" t="s">
        <v>5468</v>
      </c>
      <c r="G926" s="6">
        <f>COUNTIF(F:F,Table2[[#This Row],[Form '#]])</f>
        <v>1</v>
      </c>
      <c r="H926" s="1" t="s">
        <v>5469</v>
      </c>
      <c r="I926" s="1" t="s">
        <v>3852</v>
      </c>
      <c r="J926" s="1" t="s">
        <v>80</v>
      </c>
      <c r="K926" s="1" t="s">
        <v>3853</v>
      </c>
      <c r="L926" s="1"/>
      <c r="M926" s="6" t="str">
        <f>IF(Table2[[#This Row],[Corrected Form '#
 (If Duplicated)]]="",Table2[[#This Row],[Form '#]],Table2[[#This Row],[Corrected Form '#
 (If Duplicated)]])</f>
        <v>7818-28419</v>
      </c>
      <c r="N926" s="1" t="s">
        <v>49</v>
      </c>
      <c r="O926" s="6" t="str">
        <f>IF(Table2[[#This Row],[POG CONFIRMATION RECEIPT OF ORDER
(DATE &amp; TIME)]]="","No Confirmation","Received Confirmation")</f>
        <v>Received Confirmation</v>
      </c>
      <c r="P926" s="6">
        <f ca="1">TODAY()-Table2[[#This Row],[DATE SENT TO POG]]</f>
        <v>250</v>
      </c>
      <c r="Q926" s="6" t="s">
        <v>5803</v>
      </c>
      <c r="R9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6" s="2" t="str">
        <f>_xlfn.XLOOKUP(Table2[[#This Row],[Adjusted Form '#]],'[2]IN PROGRESS'!$D:$D,'[2]IN PROGRESS'!$M:$M,"Not Found")</f>
        <v>Not Found</v>
      </c>
      <c r="U926" s="2" t="str">
        <f>_xlfn.XLOOKUP(Table2[[#This Row],[Adjusted Form '#]],[1]COMPLETED!$D:$D,[2]COMPLETED!$M:$M,"Not Found")</f>
        <v>Not Found</v>
      </c>
      <c r="V926" s="17" t="str">
        <f>_xlfn.XLOOKUP(Table2[[#This Row],[Adjusted Form '#]],[2]COMPLETED!$D:$D,[2]COMPLETED!$O:$O,"Not Found")</f>
        <v>Not Found</v>
      </c>
      <c r="W926" s="2" t="str">
        <f>_xlfn.XLOOKUP(Table2[[#This Row],[Adjusted Form '#]],[2]BILLED!$D:$D,[2]BILLED!$M:$M,"Not Found")</f>
        <v>1Z5063E0YW40735154</v>
      </c>
      <c r="X926" s="17" t="e">
        <f>_xlfn.XLOOKUP(Table2[[#This Row],[Adjusted Form '#]],[2]BILLED!$D:$D,[1]BILLED!$O:$O,"Not Found")</f>
        <v>#REF!</v>
      </c>
      <c r="Y926" s="17" t="str">
        <f>_xlfn.XLOOKUP(Table2[[#This Row],[Adjusted Form '#]],'[2]REJECTED ORDERS'!$D:$D,'[2]REJECTED ORDERS'!$E:$E)</f>
        <v>FORM NOT SIGNED</v>
      </c>
      <c r="Z926" s="1"/>
      <c r="AA926" s="1"/>
      <c r="AB926" s="8"/>
      <c r="AC926" s="8"/>
      <c r="AD926" s="8"/>
      <c r="AE926" s="8"/>
      <c r="AF926" s="8"/>
      <c r="AG926" s="8"/>
      <c r="AH926" s="8"/>
      <c r="AI926" s="8"/>
      <c r="AJ926" s="8"/>
    </row>
    <row r="927" spans="1:36" ht="15" customHeight="1" x14ac:dyDescent="0.35">
      <c r="A927" s="4" t="s">
        <v>1403</v>
      </c>
      <c r="B927" s="1" t="s">
        <v>5470</v>
      </c>
      <c r="C927" s="11">
        <v>45050</v>
      </c>
      <c r="E927" s="1" t="s">
        <v>73</v>
      </c>
      <c r="F927" s="1" t="s">
        <v>5471</v>
      </c>
      <c r="G927" s="6">
        <f>COUNTIF(F:F,Table2[[#This Row],[Form '#]])</f>
        <v>1</v>
      </c>
      <c r="H927" s="1" t="s">
        <v>5472</v>
      </c>
      <c r="I927" s="1" t="s">
        <v>177</v>
      </c>
      <c r="J927" s="1" t="s">
        <v>75</v>
      </c>
      <c r="K927" s="1" t="s">
        <v>3853</v>
      </c>
      <c r="L927" s="1"/>
      <c r="M927" s="6" t="str">
        <f>IF(Table2[[#This Row],[Corrected Form '#
 (If Duplicated)]]="",Table2[[#This Row],[Form '#]],Table2[[#This Row],[Corrected Form '#
 (If Duplicated)]])</f>
        <v>7823-03375</v>
      </c>
      <c r="N927" s="1" t="s">
        <v>49</v>
      </c>
      <c r="O927" s="6" t="str">
        <f>IF(Table2[[#This Row],[POG CONFIRMATION RECEIPT OF ORDER
(DATE &amp; TIME)]]="","No Confirmation","Received Confirmation")</f>
        <v>No Confirmation</v>
      </c>
      <c r="P927" s="6">
        <f ca="1">TODAY()-Table2[[#This Row],[DATE SENT TO POG]]</f>
        <v>253</v>
      </c>
      <c r="Q927" s="6" t="s">
        <v>5803</v>
      </c>
      <c r="R9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7" s="2" t="str">
        <f>_xlfn.XLOOKUP(Table2[[#This Row],[Adjusted Form '#]],'[2]IN PROGRESS'!$D:$D,'[2]IN PROGRESS'!$M:$M,"Not Found")</f>
        <v>Not Found</v>
      </c>
      <c r="U927" s="2" t="str">
        <f>_xlfn.XLOOKUP(Table2[[#This Row],[Adjusted Form '#]],[1]COMPLETED!$D:$D,[2]COMPLETED!$M:$M,"Not Found")</f>
        <v>Not Found</v>
      </c>
      <c r="V927" s="17" t="str">
        <f>_xlfn.XLOOKUP(Table2[[#This Row],[Adjusted Form '#]],[2]COMPLETED!$D:$D,[2]COMPLETED!$O:$O,"Not Found")</f>
        <v>Not Found</v>
      </c>
      <c r="W927" s="2" t="str">
        <f>_xlfn.XLOOKUP(Table2[[#This Row],[Adjusted Form '#]],[2]BILLED!$D:$D,[2]BILLED!$M:$M,"Not Found")</f>
        <v>9400 1361 0605 3092 4613 01</v>
      </c>
      <c r="X927" s="17" t="e">
        <f>_xlfn.XLOOKUP(Table2[[#This Row],[Adjusted Form '#]],[2]BILLED!$D:$D,[1]BILLED!$O:$O,"Not Found")</f>
        <v>#REF!</v>
      </c>
      <c r="Y927" s="17" t="e">
        <f>_xlfn.XLOOKUP(Table2[[#This Row],[Adjusted Form '#]],'[2]REJECTED ORDERS'!$D:$D,'[2]REJECTED ORDERS'!$E:$E)</f>
        <v>#N/A</v>
      </c>
      <c r="Z927" s="1"/>
      <c r="AA927" s="1"/>
      <c r="AB927" s="8"/>
      <c r="AC927" s="8"/>
      <c r="AD927" s="8"/>
      <c r="AE927" s="8"/>
      <c r="AF927" s="8"/>
      <c r="AG927" s="8"/>
      <c r="AH927" s="8"/>
      <c r="AI927" s="8"/>
      <c r="AJ927" s="8"/>
    </row>
    <row r="928" spans="1:36" ht="15" customHeight="1" x14ac:dyDescent="0.35">
      <c r="A928" s="4" t="s">
        <v>1404</v>
      </c>
      <c r="B928" s="1" t="s">
        <v>5470</v>
      </c>
      <c r="C928" s="11">
        <v>45050</v>
      </c>
      <c r="E928" s="1" t="s">
        <v>73</v>
      </c>
      <c r="F928" s="1" t="s">
        <v>5473</v>
      </c>
      <c r="G928" s="6">
        <f>COUNTIF(F:F,Table2[[#This Row],[Form '#]])</f>
        <v>1</v>
      </c>
      <c r="H928" s="1" t="s">
        <v>5474</v>
      </c>
      <c r="I928" s="1" t="s">
        <v>127</v>
      </c>
      <c r="J928" s="1" t="s">
        <v>3891</v>
      </c>
      <c r="K928" s="1" t="s">
        <v>4011</v>
      </c>
      <c r="L928" s="1"/>
      <c r="M928" s="6" t="str">
        <f>IF(Table2[[#This Row],[Corrected Form '#
 (If Duplicated)]]="",Table2[[#This Row],[Form '#]],Table2[[#This Row],[Corrected Form '#
 (If Duplicated)]])</f>
        <v>7823-03374</v>
      </c>
      <c r="N928" s="1" t="s">
        <v>49</v>
      </c>
      <c r="O928" s="6" t="str">
        <f>IF(Table2[[#This Row],[POG CONFIRMATION RECEIPT OF ORDER
(DATE &amp; TIME)]]="","No Confirmation","Received Confirmation")</f>
        <v>No Confirmation</v>
      </c>
      <c r="P928" s="6">
        <f ca="1">TODAY()-Table2[[#This Row],[DATE SENT TO POG]]</f>
        <v>253</v>
      </c>
      <c r="Q928" s="6" t="s">
        <v>5803</v>
      </c>
      <c r="R9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8" s="2" t="str">
        <f>_xlfn.XLOOKUP(Table2[[#This Row],[Adjusted Form '#]],'[2]IN PROGRESS'!$D:$D,'[2]IN PROGRESS'!$M:$M,"Not Found")</f>
        <v>Not Found</v>
      </c>
      <c r="U928" s="2" t="str">
        <f>_xlfn.XLOOKUP(Table2[[#This Row],[Adjusted Form '#]],[1]COMPLETED!$D:$D,[2]COMPLETED!$M:$M,"Not Found")</f>
        <v>Not Found</v>
      </c>
      <c r="V928" s="17" t="str">
        <f>_xlfn.XLOOKUP(Table2[[#This Row],[Adjusted Form '#]],[2]COMPLETED!$D:$D,[2]COMPLETED!$O:$O,"Not Found")</f>
        <v>Not Found</v>
      </c>
      <c r="W928" s="2" t="str">
        <f>_xlfn.XLOOKUP(Table2[[#This Row],[Adjusted Form '#]],[2]BILLED!$D:$D,[2]BILLED!$M:$M,"Not Found")</f>
        <v>9402 1112 0620 9870 9236 51</v>
      </c>
      <c r="X928" s="17" t="e">
        <f>_xlfn.XLOOKUP(Table2[[#This Row],[Adjusted Form '#]],[2]BILLED!$D:$D,[1]BILLED!$O:$O,"Not Found")</f>
        <v>#REF!</v>
      </c>
      <c r="Y928" s="17" t="e">
        <f>_xlfn.XLOOKUP(Table2[[#This Row],[Adjusted Form '#]],'[2]REJECTED ORDERS'!$D:$D,'[2]REJECTED ORDERS'!$E:$E)</f>
        <v>#N/A</v>
      </c>
      <c r="Z928" s="1"/>
      <c r="AA928" s="1"/>
      <c r="AB928" s="8"/>
      <c r="AC928" s="8"/>
      <c r="AD928" s="8"/>
      <c r="AE928" s="8"/>
      <c r="AF928" s="8"/>
      <c r="AG928" s="8"/>
      <c r="AH928" s="8"/>
      <c r="AI928" s="8"/>
      <c r="AJ928" s="8"/>
    </row>
    <row r="929" spans="1:36" ht="15" customHeight="1" x14ac:dyDescent="0.35">
      <c r="A929" s="4" t="s">
        <v>1405</v>
      </c>
      <c r="B929" s="1" t="s">
        <v>3305</v>
      </c>
      <c r="C929" s="11">
        <v>45050</v>
      </c>
      <c r="D929" s="11" t="s">
        <v>5475</v>
      </c>
      <c r="E929" s="1" t="s">
        <v>191</v>
      </c>
      <c r="F929" s="1" t="s">
        <v>4498</v>
      </c>
      <c r="G929" s="6">
        <f>COUNTIF(F:F,Table2[[#This Row],[Form '#]])</f>
        <v>2</v>
      </c>
      <c r="H929" s="1" t="s">
        <v>3512</v>
      </c>
      <c r="I929" s="1" t="s">
        <v>28</v>
      </c>
      <c r="J929" s="1" t="s">
        <v>3891</v>
      </c>
      <c r="K929" s="1" t="s">
        <v>4631</v>
      </c>
      <c r="L929" s="1"/>
      <c r="M929" s="6" t="str">
        <f>IF(Table2[[#This Row],[Corrected Form '#
 (If Duplicated)]]="",Table2[[#This Row],[Form '#]],Table2[[#This Row],[Corrected Form '#
 (If Duplicated)]])</f>
        <v>7812-3772</v>
      </c>
      <c r="N929" s="1" t="s">
        <v>49</v>
      </c>
      <c r="O929" s="6" t="str">
        <f>IF(Table2[[#This Row],[POG CONFIRMATION RECEIPT OF ORDER
(DATE &amp; TIME)]]="","No Confirmation","Received Confirmation")</f>
        <v>Received Confirmation</v>
      </c>
      <c r="P929" s="6">
        <f ca="1">TODAY()-Table2[[#This Row],[DATE SENT TO POG]]</f>
        <v>253</v>
      </c>
      <c r="Q929" s="6" t="s">
        <v>5803</v>
      </c>
      <c r="R9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29" s="2" t="str">
        <f>_xlfn.XLOOKUP(Table2[[#This Row],[Adjusted Form '#]],'[2]IN PROGRESS'!$D:$D,'[2]IN PROGRESS'!$M:$M,"Not Found")</f>
        <v>Not Found</v>
      </c>
      <c r="U929" s="2" t="str">
        <f>_xlfn.XLOOKUP(Table2[[#This Row],[Adjusted Form '#]],[1]COMPLETED!$D:$D,[2]COMPLETED!$M:$M,"Not Found")</f>
        <v>Not Found</v>
      </c>
      <c r="V929" s="17" t="str">
        <f>_xlfn.XLOOKUP(Table2[[#This Row],[Adjusted Form '#]],[2]COMPLETED!$D:$D,[2]COMPLETED!$O:$O,"Not Found")</f>
        <v>Not Found</v>
      </c>
      <c r="W929" s="2" t="str">
        <f>_xlfn.XLOOKUP(Table2[[#This Row],[Adjusted Form '#]],[2]BILLED!$D:$D,[2]BILLED!$M:$M,"Not Found")</f>
        <v>1Z5063E0YW42220134</v>
      </c>
      <c r="X929" s="17" t="e">
        <f>_xlfn.XLOOKUP(Table2[[#This Row],[Adjusted Form '#]],[2]BILLED!$D:$D,[1]BILLED!$O:$O,"Not Found")</f>
        <v>#REF!</v>
      </c>
      <c r="Y929" s="17" t="e">
        <f>_xlfn.XLOOKUP(Table2[[#This Row],[Adjusted Form '#]],'[2]REJECTED ORDERS'!$D:$D,'[2]REJECTED ORDERS'!$E:$E)</f>
        <v>#N/A</v>
      </c>
      <c r="Z929" s="1"/>
      <c r="AA929" s="1"/>
      <c r="AB929" s="8"/>
      <c r="AC929" s="8"/>
      <c r="AD929" s="8"/>
      <c r="AE929" s="8"/>
      <c r="AF929" s="8"/>
      <c r="AG929" s="8"/>
      <c r="AH929" s="8"/>
      <c r="AI929" s="8"/>
      <c r="AJ929" s="8"/>
    </row>
    <row r="930" spans="1:36" ht="15" customHeight="1" x14ac:dyDescent="0.35">
      <c r="A930" s="4" t="s">
        <v>1406</v>
      </c>
      <c r="B930" s="1" t="s">
        <v>3040</v>
      </c>
      <c r="C930" s="11">
        <v>45050</v>
      </c>
      <c r="D930" s="11" t="s">
        <v>5475</v>
      </c>
      <c r="E930" s="1" t="s">
        <v>191</v>
      </c>
      <c r="F930" s="1" t="s">
        <v>5476</v>
      </c>
      <c r="G930" s="6">
        <f>COUNTIF(F:F,Table2[[#This Row],[Form '#]])</f>
        <v>1</v>
      </c>
      <c r="H930" s="1" t="s">
        <v>5477</v>
      </c>
      <c r="I930" s="1" t="s">
        <v>3852</v>
      </c>
      <c r="J930" s="1" t="s">
        <v>75</v>
      </c>
      <c r="K930" s="1" t="s">
        <v>4011</v>
      </c>
      <c r="L930" s="1"/>
      <c r="M930" s="6" t="str">
        <f>IF(Table2[[#This Row],[Corrected Form '#
 (If Duplicated)]]="",Table2[[#This Row],[Form '#]],Table2[[#This Row],[Corrected Form '#
 (If Duplicated)]])</f>
        <v>7812-00347</v>
      </c>
      <c r="N930" s="1" t="s">
        <v>49</v>
      </c>
      <c r="O930" s="6" t="str">
        <f>IF(Table2[[#This Row],[POG CONFIRMATION RECEIPT OF ORDER
(DATE &amp; TIME)]]="","No Confirmation","Received Confirmation")</f>
        <v>Received Confirmation</v>
      </c>
      <c r="P930" s="6">
        <f ca="1">TODAY()-Table2[[#This Row],[DATE SENT TO POG]]</f>
        <v>253</v>
      </c>
      <c r="Q930" s="6" t="s">
        <v>5803</v>
      </c>
      <c r="R9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0" s="2" t="str">
        <f>_xlfn.XLOOKUP(Table2[[#This Row],[Adjusted Form '#]],'[2]IN PROGRESS'!$D:$D,'[2]IN PROGRESS'!$M:$M,"Not Found")</f>
        <v>Not Found</v>
      </c>
      <c r="U930" s="2" t="str">
        <f>_xlfn.XLOOKUP(Table2[[#This Row],[Adjusted Form '#]],[1]COMPLETED!$D:$D,[2]COMPLETED!$M:$M,"Not Found")</f>
        <v>Not Found</v>
      </c>
      <c r="V930" s="17" t="str">
        <f>_xlfn.XLOOKUP(Table2[[#This Row],[Adjusted Form '#]],[2]COMPLETED!$D:$D,[2]COMPLETED!$O:$O,"Not Found")</f>
        <v>Not Found</v>
      </c>
      <c r="W930" s="2" t="str">
        <f>_xlfn.XLOOKUP(Table2[[#This Row],[Adjusted Form '#]],[2]BILLED!$D:$D,[2]BILLED!$M:$M,"Not Found")</f>
        <v>1Z5063E0YW40552977</v>
      </c>
      <c r="X930" s="17" t="e">
        <f>_xlfn.XLOOKUP(Table2[[#This Row],[Adjusted Form '#]],[2]BILLED!$D:$D,[1]BILLED!$O:$O,"Not Found")</f>
        <v>#REF!</v>
      </c>
      <c r="Y930" s="17" t="e">
        <f>_xlfn.XLOOKUP(Table2[[#This Row],[Adjusted Form '#]],'[2]REJECTED ORDERS'!$D:$D,'[2]REJECTED ORDERS'!$E:$E)</f>
        <v>#N/A</v>
      </c>
      <c r="Z930" s="1"/>
      <c r="AA930" s="1"/>
      <c r="AB930" s="8"/>
      <c r="AC930" s="8"/>
      <c r="AD930" s="8"/>
      <c r="AE930" s="8"/>
      <c r="AF930" s="8"/>
      <c r="AG930" s="8"/>
      <c r="AH930" s="8"/>
      <c r="AI930" s="8"/>
      <c r="AJ930" s="8"/>
    </row>
    <row r="931" spans="1:36" ht="15" customHeight="1" x14ac:dyDescent="0.35">
      <c r="A931" s="4" t="s">
        <v>1407</v>
      </c>
      <c r="B931" s="1" t="s">
        <v>287</v>
      </c>
      <c r="C931" s="11">
        <v>45050</v>
      </c>
      <c r="D931" s="11" t="s">
        <v>5475</v>
      </c>
      <c r="E931" s="1" t="s">
        <v>73</v>
      </c>
      <c r="F931" s="1" t="s">
        <v>5478</v>
      </c>
      <c r="G931" s="6">
        <f>COUNTIF(F:F,Table2[[#This Row],[Form '#]])</f>
        <v>1</v>
      </c>
      <c r="H931" s="1" t="s">
        <v>5479</v>
      </c>
      <c r="I931" s="1" t="s">
        <v>3864</v>
      </c>
      <c r="J931" s="1" t="s">
        <v>78</v>
      </c>
      <c r="K931" s="1" t="s">
        <v>3879</v>
      </c>
      <c r="L931" s="1"/>
      <c r="M931" s="6" t="str">
        <f>IF(Table2[[#This Row],[Corrected Form '#
 (If Duplicated)]]="",Table2[[#This Row],[Form '#]],Table2[[#This Row],[Corrected Form '#
 (If Duplicated)]])</f>
        <v>7823-02800</v>
      </c>
      <c r="N931" s="1" t="s">
        <v>49</v>
      </c>
      <c r="O931" s="6" t="str">
        <f>IF(Table2[[#This Row],[POG CONFIRMATION RECEIPT OF ORDER
(DATE &amp; TIME)]]="","No Confirmation","Received Confirmation")</f>
        <v>Received Confirmation</v>
      </c>
      <c r="P931" s="6">
        <f ca="1">TODAY()-Table2[[#This Row],[DATE SENT TO POG]]</f>
        <v>253</v>
      </c>
      <c r="Q931" s="6" t="s">
        <v>5803</v>
      </c>
      <c r="R9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1" s="2" t="str">
        <f>_xlfn.XLOOKUP(Table2[[#This Row],[Adjusted Form '#]],'[2]IN PROGRESS'!$D:$D,'[2]IN PROGRESS'!$M:$M,"Not Found")</f>
        <v>Not Found</v>
      </c>
      <c r="U931" s="2" t="str">
        <f>_xlfn.XLOOKUP(Table2[[#This Row],[Adjusted Form '#]],[1]COMPLETED!$D:$D,[2]COMPLETED!$M:$M,"Not Found")</f>
        <v>Not Found</v>
      </c>
      <c r="V931" s="17" t="str">
        <f>_xlfn.XLOOKUP(Table2[[#This Row],[Adjusted Form '#]],[2]COMPLETED!$D:$D,[2]COMPLETED!$O:$O,"Not Found")</f>
        <v>Not Found</v>
      </c>
      <c r="W931" s="2" t="str">
        <f>_xlfn.XLOOKUP(Table2[[#This Row],[Adjusted Form '#]],[2]BILLED!$D:$D,[2]BILLED!$M:$M,"Not Found")</f>
        <v>1Z5063E0YW41471900</v>
      </c>
      <c r="X931" s="17" t="e">
        <f>_xlfn.XLOOKUP(Table2[[#This Row],[Adjusted Form '#]],[2]BILLED!$D:$D,[1]BILLED!$O:$O,"Not Found")</f>
        <v>#REF!</v>
      </c>
      <c r="Y931" s="17" t="e">
        <f>_xlfn.XLOOKUP(Table2[[#This Row],[Adjusted Form '#]],'[2]REJECTED ORDERS'!$D:$D,'[2]REJECTED ORDERS'!$E:$E)</f>
        <v>#N/A</v>
      </c>
      <c r="Z931" s="1"/>
      <c r="AA931" s="1"/>
      <c r="AB931" s="8"/>
      <c r="AC931" s="8"/>
      <c r="AD931" s="8"/>
      <c r="AE931" s="8"/>
      <c r="AF931" s="8"/>
      <c r="AG931" s="8"/>
      <c r="AH931" s="8"/>
      <c r="AI931" s="8"/>
      <c r="AJ931" s="8"/>
    </row>
    <row r="932" spans="1:36" ht="15" customHeight="1" x14ac:dyDescent="0.35">
      <c r="A932" s="4" t="s">
        <v>1408</v>
      </c>
      <c r="B932" s="1" t="s">
        <v>5480</v>
      </c>
      <c r="C932" s="11">
        <v>45050</v>
      </c>
      <c r="D932" s="11" t="s">
        <v>5481</v>
      </c>
      <c r="E932" s="1" t="s">
        <v>21</v>
      </c>
      <c r="F932" s="1" t="s">
        <v>5482</v>
      </c>
      <c r="G932" s="6">
        <f>COUNTIF(F:F,Table2[[#This Row],[Form '#]])</f>
        <v>1</v>
      </c>
      <c r="H932" s="1" t="s">
        <v>5483</v>
      </c>
      <c r="I932" s="1" t="s">
        <v>177</v>
      </c>
      <c r="J932" s="1" t="s">
        <v>75</v>
      </c>
      <c r="K932" s="1" t="s">
        <v>3853</v>
      </c>
      <c r="L932" s="1"/>
      <c r="M932" s="6" t="str">
        <f>IF(Table2[[#This Row],[Corrected Form '#
 (If Duplicated)]]="",Table2[[#This Row],[Form '#]],Table2[[#This Row],[Corrected Form '#
 (If Duplicated)]])</f>
        <v>7818-21565</v>
      </c>
      <c r="N932" s="1" t="s">
        <v>49</v>
      </c>
      <c r="O932" s="6" t="str">
        <f>IF(Table2[[#This Row],[POG CONFIRMATION RECEIPT OF ORDER
(DATE &amp; TIME)]]="","No Confirmation","Received Confirmation")</f>
        <v>Received Confirmation</v>
      </c>
      <c r="P932" s="6">
        <f ca="1">TODAY()-Table2[[#This Row],[DATE SENT TO POG]]</f>
        <v>253</v>
      </c>
      <c r="Q932" s="6" t="s">
        <v>5803</v>
      </c>
      <c r="R9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2" s="2" t="str">
        <f>_xlfn.XLOOKUP(Table2[[#This Row],[Adjusted Form '#]],'[2]IN PROGRESS'!$D:$D,'[2]IN PROGRESS'!$M:$M,"Not Found")</f>
        <v>Not Found</v>
      </c>
      <c r="U932" s="2" t="str">
        <f>_xlfn.XLOOKUP(Table2[[#This Row],[Adjusted Form '#]],[1]COMPLETED!$D:$D,[2]COMPLETED!$M:$M,"Not Found")</f>
        <v>Not Found</v>
      </c>
      <c r="V932" s="17" t="str">
        <f>_xlfn.XLOOKUP(Table2[[#This Row],[Adjusted Form '#]],[2]COMPLETED!$D:$D,[2]COMPLETED!$O:$O,"Not Found")</f>
        <v>Not Found</v>
      </c>
      <c r="W932" s="2" t="str">
        <f>_xlfn.XLOOKUP(Table2[[#This Row],[Adjusted Form '#]],[2]BILLED!$D:$D,[2]BILLED!$M:$M,"Not Found")</f>
        <v>1Z5063E0YW42444545</v>
      </c>
      <c r="X932" s="17" t="e">
        <f>_xlfn.XLOOKUP(Table2[[#This Row],[Adjusted Form '#]],[2]BILLED!$D:$D,[1]BILLED!$O:$O,"Not Found")</f>
        <v>#REF!</v>
      </c>
      <c r="Y932" s="17" t="e">
        <f>_xlfn.XLOOKUP(Table2[[#This Row],[Adjusted Form '#]],'[2]REJECTED ORDERS'!$D:$D,'[2]REJECTED ORDERS'!$E:$E)</f>
        <v>#N/A</v>
      </c>
      <c r="Z932" s="1"/>
      <c r="AA932" s="1"/>
      <c r="AB932" s="8"/>
      <c r="AC932" s="8"/>
      <c r="AD932" s="8"/>
      <c r="AE932" s="8"/>
      <c r="AF932" s="8"/>
      <c r="AG932" s="8"/>
      <c r="AH932" s="8"/>
      <c r="AI932" s="8"/>
      <c r="AJ932" s="8"/>
    </row>
    <row r="933" spans="1:36" ht="15" customHeight="1" x14ac:dyDescent="0.35">
      <c r="A933" s="4" t="s">
        <v>1410</v>
      </c>
      <c r="B933" s="1" t="s">
        <v>1422</v>
      </c>
      <c r="C933" s="11">
        <v>45051</v>
      </c>
      <c r="D933" s="11" t="s">
        <v>5484</v>
      </c>
      <c r="E933" s="1" t="s">
        <v>14</v>
      </c>
      <c r="F933" s="1" t="s">
        <v>5485</v>
      </c>
      <c r="G933" s="6">
        <f>COUNTIF(F:F,Table2[[#This Row],[Form '#]])</f>
        <v>1</v>
      </c>
      <c r="H933" s="1" t="s">
        <v>1492</v>
      </c>
      <c r="I933" s="1" t="s">
        <v>177</v>
      </c>
      <c r="J933" s="1" t="s">
        <v>75</v>
      </c>
      <c r="K933" s="1" t="s">
        <v>3853</v>
      </c>
      <c r="L933" s="1"/>
      <c r="M933" s="6" t="str">
        <f>IF(Table2[[#This Row],[Corrected Form '#
 (If Duplicated)]]="",Table2[[#This Row],[Form '#]],Table2[[#This Row],[Corrected Form '#
 (If Duplicated)]])</f>
        <v>7810-0191</v>
      </c>
      <c r="N933" s="1" t="s">
        <v>49</v>
      </c>
      <c r="O933" s="6" t="str">
        <f>IF(Table2[[#This Row],[POG CONFIRMATION RECEIPT OF ORDER
(DATE &amp; TIME)]]="","No Confirmation","Received Confirmation")</f>
        <v>Received Confirmation</v>
      </c>
      <c r="P933" s="6">
        <f ca="1">TODAY()-Table2[[#This Row],[DATE SENT TO POG]]</f>
        <v>252</v>
      </c>
      <c r="Q933" s="6" t="s">
        <v>5802</v>
      </c>
      <c r="R9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93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933" s="2" t="str">
        <f>_xlfn.XLOOKUP(Table2[[#This Row],[Adjusted Form '#]],'[2]IN PROGRESS'!$D:$D,'[2]IN PROGRESS'!$M:$M,"Not Found")</f>
        <v>Not Found</v>
      </c>
      <c r="U933" s="2" t="str">
        <f>_xlfn.XLOOKUP(Table2[[#This Row],[Adjusted Form '#]],[1]COMPLETED!$D:$D,[2]COMPLETED!$M:$M,"Not Found")</f>
        <v>Not Found</v>
      </c>
      <c r="V933" s="17" t="str">
        <f>_xlfn.XLOOKUP(Table2[[#This Row],[Adjusted Form '#]],[2]COMPLETED!$D:$D,[2]COMPLETED!$O:$O,"Not Found")</f>
        <v>Not Found</v>
      </c>
      <c r="W933" s="2" t="str">
        <f>_xlfn.XLOOKUP(Table2[[#This Row],[Adjusted Form '#]],[2]BILLED!$D:$D,[2]BILLED!$M:$M,"Not Found")</f>
        <v>Not Found</v>
      </c>
      <c r="X933" s="17" t="str">
        <f>_xlfn.XLOOKUP(Table2[[#This Row],[Adjusted Form '#]],[2]BILLED!$D:$D,[1]BILLED!$O:$O,"Not Found")</f>
        <v>Not Found</v>
      </c>
      <c r="Y933" s="17" t="e">
        <f>_xlfn.XLOOKUP(Table2[[#This Row],[Adjusted Form '#]],'[2]REJECTED ORDERS'!$D:$D,'[2]REJECTED ORDERS'!$E:$E)</f>
        <v>#N/A</v>
      </c>
      <c r="Z933" s="1"/>
      <c r="AA933" s="1"/>
      <c r="AB933" s="8"/>
      <c r="AC933" s="8"/>
      <c r="AD933" s="8"/>
      <c r="AE933" s="8"/>
      <c r="AF933" s="8"/>
      <c r="AG933" s="8"/>
      <c r="AH933" s="8"/>
      <c r="AI933" s="8"/>
      <c r="AJ933" s="8"/>
    </row>
    <row r="934" spans="1:36" ht="15" customHeight="1" x14ac:dyDescent="0.35">
      <c r="A934" s="4" t="s">
        <v>1411</v>
      </c>
      <c r="B934" s="1" t="s">
        <v>1422</v>
      </c>
      <c r="C934" s="11">
        <v>45051</v>
      </c>
      <c r="D934" s="11" t="s">
        <v>5484</v>
      </c>
      <c r="E934" s="1" t="s">
        <v>14</v>
      </c>
      <c r="F934" s="1" t="s">
        <v>5486</v>
      </c>
      <c r="G934" s="6">
        <f>COUNTIF(F:F,Table2[[#This Row],[Form '#]])</f>
        <v>1</v>
      </c>
      <c r="H934" s="1" t="s">
        <v>5488</v>
      </c>
      <c r="I934" s="1" t="s">
        <v>3852</v>
      </c>
      <c r="J934" s="1" t="s">
        <v>3891</v>
      </c>
      <c r="K934" s="1" t="s">
        <v>5487</v>
      </c>
      <c r="L934" s="1"/>
      <c r="M934" s="6" t="str">
        <f>IF(Table2[[#This Row],[Corrected Form '#
 (If Duplicated)]]="",Table2[[#This Row],[Form '#]],Table2[[#This Row],[Corrected Form '#
 (If Duplicated)]])</f>
        <v>7810-01858</v>
      </c>
      <c r="N934" s="1" t="s">
        <v>49</v>
      </c>
      <c r="O934" s="6" t="str">
        <f>IF(Table2[[#This Row],[POG CONFIRMATION RECEIPT OF ORDER
(DATE &amp; TIME)]]="","No Confirmation","Received Confirmation")</f>
        <v>Received Confirmation</v>
      </c>
      <c r="P934" s="6">
        <f ca="1">TODAY()-Table2[[#This Row],[DATE SENT TO POG]]</f>
        <v>252</v>
      </c>
      <c r="Q934" s="6" t="s">
        <v>5803</v>
      </c>
      <c r="R9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4" s="2" t="str">
        <f>_xlfn.XLOOKUP(Table2[[#This Row],[Adjusted Form '#]],'[2]IN PROGRESS'!$D:$D,'[2]IN PROGRESS'!$M:$M,"Not Found")</f>
        <v>Not Found</v>
      </c>
      <c r="U934" s="2" t="str">
        <f>_xlfn.XLOOKUP(Table2[[#This Row],[Adjusted Form '#]],[1]COMPLETED!$D:$D,[2]COMPLETED!$M:$M,"Not Found")</f>
        <v>Not Found</v>
      </c>
      <c r="V934" s="17" t="str">
        <f>_xlfn.XLOOKUP(Table2[[#This Row],[Adjusted Form '#]],[2]COMPLETED!$D:$D,[2]COMPLETED!$O:$O,"Not Found")</f>
        <v>Not Found</v>
      </c>
      <c r="W934" s="2" t="str">
        <f>_xlfn.XLOOKUP(Table2[[#This Row],[Adjusted Form '#]],[2]BILLED!$D:$D,[2]BILLED!$M:$M,"Not Found")</f>
        <v>1Z5063E0YW40631248</v>
      </c>
      <c r="X934" s="17" t="e">
        <f>_xlfn.XLOOKUP(Table2[[#This Row],[Adjusted Form '#]],[2]BILLED!$D:$D,[1]BILLED!$O:$O,"Not Found")</f>
        <v>#REF!</v>
      </c>
      <c r="Y934" s="17" t="e">
        <f>_xlfn.XLOOKUP(Table2[[#This Row],[Adjusted Form '#]],'[2]REJECTED ORDERS'!$D:$D,'[2]REJECTED ORDERS'!$E:$E)</f>
        <v>#N/A</v>
      </c>
      <c r="Z934" s="1"/>
      <c r="AA934" s="1"/>
      <c r="AB934" s="8"/>
      <c r="AC934" s="8"/>
      <c r="AD934" s="8"/>
      <c r="AE934" s="8"/>
      <c r="AF934" s="8"/>
      <c r="AG934" s="8"/>
      <c r="AH934" s="8"/>
      <c r="AI934" s="8"/>
      <c r="AJ934" s="8"/>
    </row>
    <row r="935" spans="1:36" ht="15" customHeight="1" x14ac:dyDescent="0.35">
      <c r="A935" s="4" t="s">
        <v>1413</v>
      </c>
      <c r="B935" s="1" t="s">
        <v>568</v>
      </c>
      <c r="C935" s="11">
        <v>45051</v>
      </c>
      <c r="D935" s="11" t="s">
        <v>5489</v>
      </c>
      <c r="E935" s="1" t="s">
        <v>73</v>
      </c>
      <c r="F935" s="1" t="s">
        <v>5490</v>
      </c>
      <c r="G935" s="6">
        <f>COUNTIF(F:F,Table2[[#This Row],[Form '#]])</f>
        <v>1</v>
      </c>
      <c r="H935" s="1" t="s">
        <v>5491</v>
      </c>
      <c r="I935" s="1" t="s">
        <v>177</v>
      </c>
      <c r="J935" s="1" t="s">
        <v>75</v>
      </c>
      <c r="K935" s="1" t="s">
        <v>3853</v>
      </c>
      <c r="L935" s="1"/>
      <c r="M935" s="6" t="str">
        <f>IF(Table2[[#This Row],[Corrected Form '#
 (If Duplicated)]]="",Table2[[#This Row],[Form '#]],Table2[[#This Row],[Corrected Form '#
 (If Duplicated)]])</f>
        <v>7823-03025</v>
      </c>
      <c r="N935" s="1" t="s">
        <v>49</v>
      </c>
      <c r="O935" s="6" t="str">
        <f>IF(Table2[[#This Row],[POG CONFIRMATION RECEIPT OF ORDER
(DATE &amp; TIME)]]="","No Confirmation","Received Confirmation")</f>
        <v>Received Confirmation</v>
      </c>
      <c r="P935" s="6">
        <f ca="1">TODAY()-Table2[[#This Row],[DATE SENT TO POG]]</f>
        <v>252</v>
      </c>
      <c r="Q935" s="6" t="s">
        <v>5803</v>
      </c>
      <c r="R9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5" s="2" t="str">
        <f>_xlfn.XLOOKUP(Table2[[#This Row],[Adjusted Form '#]],'[2]IN PROGRESS'!$D:$D,'[2]IN PROGRESS'!$M:$M,"Not Found")</f>
        <v>Not Found</v>
      </c>
      <c r="U935" s="2" t="str">
        <f>_xlfn.XLOOKUP(Table2[[#This Row],[Adjusted Form '#]],[1]COMPLETED!$D:$D,[2]COMPLETED!$M:$M,"Not Found")</f>
        <v>Not Found</v>
      </c>
      <c r="V935" s="17" t="str">
        <f>_xlfn.XLOOKUP(Table2[[#This Row],[Adjusted Form '#]],[2]COMPLETED!$D:$D,[2]COMPLETED!$O:$O,"Not Found")</f>
        <v>Not Found</v>
      </c>
      <c r="W935" s="2" t="str">
        <f>_xlfn.XLOOKUP(Table2[[#This Row],[Adjusted Form '#]],[2]BILLED!$D:$D,[2]BILLED!$M:$M,"Not Found")</f>
        <v>1Z5063E0YW41304251</v>
      </c>
      <c r="X935" s="17" t="e">
        <f>_xlfn.XLOOKUP(Table2[[#This Row],[Adjusted Form '#]],[2]BILLED!$D:$D,[1]BILLED!$O:$O,"Not Found")</f>
        <v>#REF!</v>
      </c>
      <c r="Y935" s="17" t="e">
        <f>_xlfn.XLOOKUP(Table2[[#This Row],[Adjusted Form '#]],'[2]REJECTED ORDERS'!$D:$D,'[2]REJECTED ORDERS'!$E:$E)</f>
        <v>#N/A</v>
      </c>
      <c r="Z935" s="1"/>
      <c r="AA935" s="1"/>
      <c r="AB935" s="8"/>
      <c r="AC935" s="8"/>
      <c r="AD935" s="8"/>
      <c r="AE935" s="8"/>
      <c r="AF935" s="8"/>
      <c r="AG935" s="8"/>
      <c r="AH935" s="8"/>
      <c r="AI935" s="8"/>
      <c r="AJ935" s="8"/>
    </row>
    <row r="936" spans="1:36" ht="15" customHeight="1" x14ac:dyDescent="0.35">
      <c r="A936" s="4" t="s">
        <v>1414</v>
      </c>
      <c r="B936" s="1" t="s">
        <v>3611</v>
      </c>
      <c r="C936" s="11">
        <v>45051</v>
      </c>
      <c r="D936" s="11" t="s">
        <v>5489</v>
      </c>
      <c r="E936" s="1" t="s">
        <v>21</v>
      </c>
      <c r="F936" s="1" t="s">
        <v>5492</v>
      </c>
      <c r="G936" s="6">
        <f>COUNTIF(F:F,Table2[[#This Row],[Form '#]])</f>
        <v>1</v>
      </c>
      <c r="H936" s="1" t="s">
        <v>5493</v>
      </c>
      <c r="I936" s="1" t="s">
        <v>3864</v>
      </c>
      <c r="J936" s="1" t="s">
        <v>78</v>
      </c>
      <c r="K936" s="1" t="s">
        <v>3879</v>
      </c>
      <c r="L936" s="1"/>
      <c r="M936" s="6" t="str">
        <f>IF(Table2[[#This Row],[Corrected Form '#
 (If Duplicated)]]="",Table2[[#This Row],[Form '#]],Table2[[#This Row],[Corrected Form '#
 (If Duplicated)]])</f>
        <v>7818-20273</v>
      </c>
      <c r="N936" s="1" t="s">
        <v>49</v>
      </c>
      <c r="O936" s="6" t="str">
        <f>IF(Table2[[#This Row],[POG CONFIRMATION RECEIPT OF ORDER
(DATE &amp; TIME)]]="","No Confirmation","Received Confirmation")</f>
        <v>Received Confirmation</v>
      </c>
      <c r="P936" s="6">
        <f ca="1">TODAY()-Table2[[#This Row],[DATE SENT TO POG]]</f>
        <v>252</v>
      </c>
      <c r="Q936" s="6" t="s">
        <v>5803</v>
      </c>
      <c r="R9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6" s="2" t="str">
        <f>_xlfn.XLOOKUP(Table2[[#This Row],[Adjusted Form '#]],'[2]IN PROGRESS'!$D:$D,'[2]IN PROGRESS'!$M:$M,"Not Found")</f>
        <v>Not Found</v>
      </c>
      <c r="U936" s="2" t="str">
        <f>_xlfn.XLOOKUP(Table2[[#This Row],[Adjusted Form '#]],[1]COMPLETED!$D:$D,[2]COMPLETED!$M:$M,"Not Found")</f>
        <v>Not Found</v>
      </c>
      <c r="V936" s="17" t="str">
        <f>_xlfn.XLOOKUP(Table2[[#This Row],[Adjusted Form '#]],[2]COMPLETED!$D:$D,[2]COMPLETED!$O:$O,"Not Found")</f>
        <v>Not Found</v>
      </c>
      <c r="W936" s="2" t="str">
        <f>_xlfn.XLOOKUP(Table2[[#This Row],[Adjusted Form '#]],[2]BILLED!$D:$D,[2]BILLED!$M:$M,"Not Found")</f>
        <v>9400 1112 0620 7226 6345 74</v>
      </c>
      <c r="X936" s="17" t="e">
        <f>_xlfn.XLOOKUP(Table2[[#This Row],[Adjusted Form '#]],[2]BILLED!$D:$D,[1]BILLED!$O:$O,"Not Found")</f>
        <v>#REF!</v>
      </c>
      <c r="Y936" s="17" t="str">
        <f>_xlfn.XLOOKUP(Table2[[#This Row],[Adjusted Form '#]],'[2]REJECTED ORDERS'!$D:$D,'[2]REJECTED ORDERS'!$E:$E)</f>
        <v>FORM NOT SIGNED</v>
      </c>
      <c r="Z936" s="1"/>
      <c r="AA936" s="1"/>
      <c r="AB936" s="8"/>
      <c r="AC936" s="8"/>
      <c r="AD936" s="8"/>
      <c r="AE936" s="8"/>
      <c r="AF936" s="8"/>
      <c r="AG936" s="8"/>
      <c r="AH936" s="8"/>
      <c r="AI936" s="8"/>
      <c r="AJ936" s="8"/>
    </row>
    <row r="937" spans="1:36" ht="15" customHeight="1" x14ac:dyDescent="0.35">
      <c r="A937" s="4" t="s">
        <v>1416</v>
      </c>
      <c r="B937" s="1" t="s">
        <v>3611</v>
      </c>
      <c r="C937" s="11">
        <v>45051</v>
      </c>
      <c r="D937" s="11" t="s">
        <v>5489</v>
      </c>
      <c r="E937" s="1" t="s">
        <v>21</v>
      </c>
      <c r="F937" s="1" t="s">
        <v>5494</v>
      </c>
      <c r="G937" s="6">
        <f>COUNTIF(F:F,Table2[[#This Row],[Form '#]])</f>
        <v>1</v>
      </c>
      <c r="H937" s="1" t="s">
        <v>5495</v>
      </c>
      <c r="I937" s="1" t="s">
        <v>3852</v>
      </c>
      <c r="J937" s="1" t="s">
        <v>80</v>
      </c>
      <c r="K937" s="1" t="s">
        <v>3853</v>
      </c>
      <c r="L937" s="1"/>
      <c r="M937" s="6" t="str">
        <f>IF(Table2[[#This Row],[Corrected Form '#
 (If Duplicated)]]="",Table2[[#This Row],[Form '#]],Table2[[#This Row],[Corrected Form '#
 (If Duplicated)]])</f>
        <v>7818-29918</v>
      </c>
      <c r="N937" s="1" t="s">
        <v>49</v>
      </c>
      <c r="O937" s="6" t="str">
        <f>IF(Table2[[#This Row],[POG CONFIRMATION RECEIPT OF ORDER
(DATE &amp; TIME)]]="","No Confirmation","Received Confirmation")</f>
        <v>Received Confirmation</v>
      </c>
      <c r="P937" s="6">
        <f ca="1">TODAY()-Table2[[#This Row],[DATE SENT TO POG]]</f>
        <v>252</v>
      </c>
      <c r="Q937" s="6" t="s">
        <v>5803</v>
      </c>
      <c r="R9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7" s="2" t="str">
        <f>_xlfn.XLOOKUP(Table2[[#This Row],[Adjusted Form '#]],'[2]IN PROGRESS'!$D:$D,'[2]IN PROGRESS'!$M:$M,"Not Found")</f>
        <v>Not Found</v>
      </c>
      <c r="U937" s="2" t="str">
        <f>_xlfn.XLOOKUP(Table2[[#This Row],[Adjusted Form '#]],[1]COMPLETED!$D:$D,[2]COMPLETED!$M:$M,"Not Found")</f>
        <v>Not Found</v>
      </c>
      <c r="V937" s="17" t="str">
        <f>_xlfn.XLOOKUP(Table2[[#This Row],[Adjusted Form '#]],[2]COMPLETED!$D:$D,[2]COMPLETED!$O:$O,"Not Found")</f>
        <v>Not Found</v>
      </c>
      <c r="W937" s="2" t="str">
        <f>_xlfn.XLOOKUP(Table2[[#This Row],[Adjusted Form '#]],[2]BILLED!$D:$D,[2]BILLED!$M:$M,"Not Found")</f>
        <v>1Z5063E0YW42302126</v>
      </c>
      <c r="X937" s="17" t="e">
        <f>_xlfn.XLOOKUP(Table2[[#This Row],[Adjusted Form '#]],[2]BILLED!$D:$D,[1]BILLED!$O:$O,"Not Found")</f>
        <v>#REF!</v>
      </c>
      <c r="Y937" s="17" t="e">
        <f>_xlfn.XLOOKUP(Table2[[#This Row],[Adjusted Form '#]],'[2]REJECTED ORDERS'!$D:$D,'[2]REJECTED ORDERS'!$E:$E)</f>
        <v>#N/A</v>
      </c>
      <c r="Z937" s="1"/>
      <c r="AA937" s="1"/>
      <c r="AB937" s="8"/>
      <c r="AC937" s="8"/>
      <c r="AD937" s="8"/>
      <c r="AE937" s="8"/>
      <c r="AF937" s="8"/>
      <c r="AG937" s="8"/>
      <c r="AH937" s="8"/>
      <c r="AI937" s="8"/>
      <c r="AJ937" s="8"/>
    </row>
    <row r="938" spans="1:36" ht="15" customHeight="1" x14ac:dyDescent="0.35">
      <c r="A938" s="4" t="s">
        <v>1417</v>
      </c>
      <c r="B938" s="1" t="s">
        <v>3611</v>
      </c>
      <c r="C938" s="11">
        <v>45051</v>
      </c>
      <c r="D938" s="11" t="s">
        <v>5489</v>
      </c>
      <c r="E938" s="1" t="s">
        <v>21</v>
      </c>
      <c r="F938" s="1" t="s">
        <v>5496</v>
      </c>
      <c r="G938" s="6">
        <f>COUNTIF(F:F,Table2[[#This Row],[Form '#]])</f>
        <v>1</v>
      </c>
      <c r="H938" s="1" t="s">
        <v>5497</v>
      </c>
      <c r="I938" s="1" t="s">
        <v>3852</v>
      </c>
      <c r="J938" s="1" t="s">
        <v>75</v>
      </c>
      <c r="K938" s="1" t="s">
        <v>3853</v>
      </c>
      <c r="L938" s="1"/>
      <c r="M938" s="6" t="str">
        <f>IF(Table2[[#This Row],[Corrected Form '#
 (If Duplicated)]]="",Table2[[#This Row],[Form '#]],Table2[[#This Row],[Corrected Form '#
 (If Duplicated)]])</f>
        <v>7818-21966</v>
      </c>
      <c r="N938" s="1" t="s">
        <v>49</v>
      </c>
      <c r="O938" s="6" t="str">
        <f>IF(Table2[[#This Row],[POG CONFIRMATION RECEIPT OF ORDER
(DATE &amp; TIME)]]="","No Confirmation","Received Confirmation")</f>
        <v>Received Confirmation</v>
      </c>
      <c r="P938" s="6">
        <f ca="1">TODAY()-Table2[[#This Row],[DATE SENT TO POG]]</f>
        <v>252</v>
      </c>
      <c r="Q938" s="6" t="s">
        <v>5803</v>
      </c>
      <c r="R9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8" s="2" t="str">
        <f>_xlfn.XLOOKUP(Table2[[#This Row],[Adjusted Form '#]],'[2]IN PROGRESS'!$D:$D,'[2]IN PROGRESS'!$M:$M,"Not Found")</f>
        <v>Not Found</v>
      </c>
      <c r="U938" s="2" t="str">
        <f>_xlfn.XLOOKUP(Table2[[#This Row],[Adjusted Form '#]],[1]COMPLETED!$D:$D,[2]COMPLETED!$M:$M,"Not Found")</f>
        <v>Not Found</v>
      </c>
      <c r="V938" s="17" t="str">
        <f>_xlfn.XLOOKUP(Table2[[#This Row],[Adjusted Form '#]],[2]COMPLETED!$D:$D,[2]COMPLETED!$O:$O,"Not Found")</f>
        <v>Not Found</v>
      </c>
      <c r="W938" s="2" t="str">
        <f>_xlfn.XLOOKUP(Table2[[#This Row],[Adjusted Form '#]],[2]BILLED!$D:$D,[2]BILLED!$M:$M,"Not Found")</f>
        <v>1Z5063E0YW42321463</v>
      </c>
      <c r="X938" s="17" t="e">
        <f>_xlfn.XLOOKUP(Table2[[#This Row],[Adjusted Form '#]],[2]BILLED!$D:$D,[1]BILLED!$O:$O,"Not Found")</f>
        <v>#REF!</v>
      </c>
      <c r="Y938" s="17" t="e">
        <f>_xlfn.XLOOKUP(Table2[[#This Row],[Adjusted Form '#]],'[2]REJECTED ORDERS'!$D:$D,'[2]REJECTED ORDERS'!$E:$E)</f>
        <v>#N/A</v>
      </c>
      <c r="Z938" s="1"/>
      <c r="AA938" s="1"/>
      <c r="AB938" s="8"/>
      <c r="AC938" s="8"/>
      <c r="AD938" s="8"/>
      <c r="AE938" s="8"/>
      <c r="AF938" s="8"/>
      <c r="AG938" s="8"/>
      <c r="AH938" s="8"/>
      <c r="AI938" s="8"/>
      <c r="AJ938" s="8"/>
    </row>
    <row r="939" spans="1:36" ht="15" customHeight="1" x14ac:dyDescent="0.35">
      <c r="A939" s="4" t="s">
        <v>1419</v>
      </c>
      <c r="B939" s="1" t="s">
        <v>3611</v>
      </c>
      <c r="C939" s="11">
        <v>45051</v>
      </c>
      <c r="D939" s="11" t="s">
        <v>5489</v>
      </c>
      <c r="E939" s="1" t="s">
        <v>21</v>
      </c>
      <c r="F939" s="1" t="s">
        <v>5498</v>
      </c>
      <c r="G939" s="6">
        <f>COUNTIF(F:F,Table2[[#This Row],[Form '#]])</f>
        <v>1</v>
      </c>
      <c r="H939" s="1" t="s">
        <v>5499</v>
      </c>
      <c r="I939" s="1" t="s">
        <v>3852</v>
      </c>
      <c r="J939" s="1" t="s">
        <v>80</v>
      </c>
      <c r="K939" s="1" t="s">
        <v>3853</v>
      </c>
      <c r="L939" s="1"/>
      <c r="M939" s="6" t="str">
        <f>IF(Table2[[#This Row],[Corrected Form '#
 (If Duplicated)]]="",Table2[[#This Row],[Form '#]],Table2[[#This Row],[Corrected Form '#
 (If Duplicated)]])</f>
        <v>7818-28312</v>
      </c>
      <c r="N939" s="1" t="s">
        <v>49</v>
      </c>
      <c r="O939" s="6" t="str">
        <f>IF(Table2[[#This Row],[POG CONFIRMATION RECEIPT OF ORDER
(DATE &amp; TIME)]]="","No Confirmation","Received Confirmation")</f>
        <v>Received Confirmation</v>
      </c>
      <c r="P939" s="6">
        <f ca="1">TODAY()-Table2[[#This Row],[DATE SENT TO POG]]</f>
        <v>252</v>
      </c>
      <c r="Q939" s="6" t="s">
        <v>5803</v>
      </c>
      <c r="R9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39" s="2" t="str">
        <f>_xlfn.XLOOKUP(Table2[[#This Row],[Adjusted Form '#]],'[2]IN PROGRESS'!$D:$D,'[2]IN PROGRESS'!$M:$M,"Not Found")</f>
        <v>Not Found</v>
      </c>
      <c r="U939" s="2" t="str">
        <f>_xlfn.XLOOKUP(Table2[[#This Row],[Adjusted Form '#]],[1]COMPLETED!$D:$D,[2]COMPLETED!$M:$M,"Not Found")</f>
        <v>Not Found</v>
      </c>
      <c r="V939" s="17" t="str">
        <f>_xlfn.XLOOKUP(Table2[[#This Row],[Adjusted Form '#]],[2]COMPLETED!$D:$D,[2]COMPLETED!$O:$O,"Not Found")</f>
        <v>Not Found</v>
      </c>
      <c r="W939" s="2" t="str">
        <f>_xlfn.XLOOKUP(Table2[[#This Row],[Adjusted Form '#]],[2]BILLED!$D:$D,[2]BILLED!$M:$M,"Not Found")</f>
        <v>1Z5063E0YW42070654</v>
      </c>
      <c r="X939" s="17" t="e">
        <f>_xlfn.XLOOKUP(Table2[[#This Row],[Adjusted Form '#]],[2]BILLED!$D:$D,[1]BILLED!$O:$O,"Not Found")</f>
        <v>#REF!</v>
      </c>
      <c r="Y939" s="17" t="e">
        <f>_xlfn.XLOOKUP(Table2[[#This Row],[Adjusted Form '#]],'[2]REJECTED ORDERS'!$D:$D,'[2]REJECTED ORDERS'!$E:$E)</f>
        <v>#N/A</v>
      </c>
      <c r="Z939" s="1"/>
      <c r="AA939" s="1"/>
      <c r="AB939" s="8"/>
      <c r="AC939" s="8"/>
      <c r="AD939" s="8"/>
      <c r="AE939" s="8"/>
      <c r="AF939" s="8"/>
      <c r="AG939" s="8"/>
      <c r="AH939" s="8"/>
      <c r="AI939" s="8"/>
      <c r="AJ939" s="8"/>
    </row>
    <row r="940" spans="1:36" ht="15" customHeight="1" x14ac:dyDescent="0.35">
      <c r="A940" s="4" t="s">
        <v>1421</v>
      </c>
      <c r="B940" s="1" t="s">
        <v>3611</v>
      </c>
      <c r="C940" s="11">
        <v>45051</v>
      </c>
      <c r="D940" s="11" t="s">
        <v>5489</v>
      </c>
      <c r="E940" s="1" t="s">
        <v>21</v>
      </c>
      <c r="F940" s="1" t="s">
        <v>5500</v>
      </c>
      <c r="G940" s="6">
        <f>COUNTIF(F:F,Table2[[#This Row],[Form '#]])</f>
        <v>1</v>
      </c>
      <c r="H940" s="1" t="s">
        <v>5501</v>
      </c>
      <c r="I940" s="1" t="s">
        <v>3852</v>
      </c>
      <c r="J940" s="1" t="s">
        <v>3891</v>
      </c>
      <c r="K940" s="1" t="s">
        <v>3853</v>
      </c>
      <c r="L940" s="1"/>
      <c r="M940" s="6" t="str">
        <f>IF(Table2[[#This Row],[Corrected Form '#
 (If Duplicated)]]="",Table2[[#This Row],[Form '#]],Table2[[#This Row],[Corrected Form '#
 (If Duplicated)]])</f>
        <v>7818-27544</v>
      </c>
      <c r="N940" s="1" t="s">
        <v>49</v>
      </c>
      <c r="O940" s="6" t="str">
        <f>IF(Table2[[#This Row],[POG CONFIRMATION RECEIPT OF ORDER
(DATE &amp; TIME)]]="","No Confirmation","Received Confirmation")</f>
        <v>Received Confirmation</v>
      </c>
      <c r="P940" s="6">
        <f ca="1">TODAY()-Table2[[#This Row],[DATE SENT TO POG]]</f>
        <v>252</v>
      </c>
      <c r="Q940" s="6" t="s">
        <v>5803</v>
      </c>
      <c r="R9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0" s="2" t="str">
        <f>_xlfn.XLOOKUP(Table2[[#This Row],[Adjusted Form '#]],'[2]IN PROGRESS'!$D:$D,'[2]IN PROGRESS'!$M:$M,"Not Found")</f>
        <v>Not Found</v>
      </c>
      <c r="U940" s="2" t="str">
        <f>_xlfn.XLOOKUP(Table2[[#This Row],[Adjusted Form '#]],[1]COMPLETED!$D:$D,[2]COMPLETED!$M:$M,"Not Found")</f>
        <v>Not Found</v>
      </c>
      <c r="V940" s="17" t="str">
        <f>_xlfn.XLOOKUP(Table2[[#This Row],[Adjusted Form '#]],[2]COMPLETED!$D:$D,[2]COMPLETED!$O:$O,"Not Found")</f>
        <v>Not Found</v>
      </c>
      <c r="W940" s="2" t="str">
        <f>_xlfn.XLOOKUP(Table2[[#This Row],[Adjusted Form '#]],[2]BILLED!$D:$D,[2]BILLED!$M:$M,"Not Found")</f>
        <v>1Z5063E0YW41114117</v>
      </c>
      <c r="X940" s="17" t="e">
        <f>_xlfn.XLOOKUP(Table2[[#This Row],[Adjusted Form '#]],[2]BILLED!$D:$D,[1]BILLED!$O:$O,"Not Found")</f>
        <v>#REF!</v>
      </c>
      <c r="Y940" s="17" t="e">
        <f>_xlfn.XLOOKUP(Table2[[#This Row],[Adjusted Form '#]],'[2]REJECTED ORDERS'!$D:$D,'[2]REJECTED ORDERS'!$E:$E)</f>
        <v>#N/A</v>
      </c>
      <c r="Z940" s="1"/>
      <c r="AA940" s="1"/>
      <c r="AB940" s="8"/>
      <c r="AC940" s="8"/>
      <c r="AD940" s="8"/>
      <c r="AE940" s="8"/>
      <c r="AF940" s="8"/>
      <c r="AG940" s="8"/>
      <c r="AH940" s="8"/>
      <c r="AI940" s="8"/>
      <c r="AJ940" s="8"/>
    </row>
    <row r="941" spans="1:36" ht="15" customHeight="1" x14ac:dyDescent="0.35">
      <c r="A941" s="4" t="s">
        <v>1423</v>
      </c>
      <c r="B941" s="1" t="s">
        <v>3611</v>
      </c>
      <c r="C941" s="11">
        <v>45051</v>
      </c>
      <c r="D941" s="11" t="s">
        <v>5489</v>
      </c>
      <c r="E941" s="1" t="s">
        <v>21</v>
      </c>
      <c r="F941" s="1" t="s">
        <v>5502</v>
      </c>
      <c r="G941" s="6">
        <f>COUNTIF(F:F,Table2[[#This Row],[Form '#]])</f>
        <v>1</v>
      </c>
      <c r="H941" s="1" t="s">
        <v>5503</v>
      </c>
      <c r="I941" s="1" t="s">
        <v>3864</v>
      </c>
      <c r="J941" s="1" t="s">
        <v>78</v>
      </c>
      <c r="K941" s="1" t="s">
        <v>3879</v>
      </c>
      <c r="L941" s="1"/>
      <c r="M941" s="6" t="str">
        <f>IF(Table2[[#This Row],[Corrected Form '#
 (If Duplicated)]]="",Table2[[#This Row],[Form '#]],Table2[[#This Row],[Corrected Form '#
 (If Duplicated)]])</f>
        <v>7818-28452</v>
      </c>
      <c r="N941" s="1" t="s">
        <v>49</v>
      </c>
      <c r="O941" s="6" t="str">
        <f>IF(Table2[[#This Row],[POG CONFIRMATION RECEIPT OF ORDER
(DATE &amp; TIME)]]="","No Confirmation","Received Confirmation")</f>
        <v>Received Confirmation</v>
      </c>
      <c r="P941" s="6">
        <f ca="1">TODAY()-Table2[[#This Row],[DATE SENT TO POG]]</f>
        <v>252</v>
      </c>
      <c r="Q941" s="6" t="s">
        <v>5803</v>
      </c>
      <c r="R9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1" s="2" t="str">
        <f>_xlfn.XLOOKUP(Table2[[#This Row],[Adjusted Form '#]],'[2]IN PROGRESS'!$D:$D,'[2]IN PROGRESS'!$M:$M,"Not Found")</f>
        <v>Not Found</v>
      </c>
      <c r="U941" s="2" t="str">
        <f>_xlfn.XLOOKUP(Table2[[#This Row],[Adjusted Form '#]],[1]COMPLETED!$D:$D,[2]COMPLETED!$M:$M,"Not Found")</f>
        <v>Not Found</v>
      </c>
      <c r="V941" s="17" t="str">
        <f>_xlfn.XLOOKUP(Table2[[#This Row],[Adjusted Form '#]],[2]COMPLETED!$D:$D,[2]COMPLETED!$O:$O,"Not Found")</f>
        <v>Not Found</v>
      </c>
      <c r="W941" s="2" t="str">
        <f>_xlfn.XLOOKUP(Table2[[#This Row],[Adjusted Form '#]],[2]BILLED!$D:$D,[2]BILLED!$M:$M,"Not Found")</f>
        <v>1Z5063E0YW42136486</v>
      </c>
      <c r="X941" s="17" t="e">
        <f>_xlfn.XLOOKUP(Table2[[#This Row],[Adjusted Form '#]],[2]BILLED!$D:$D,[1]BILLED!$O:$O,"Not Found")</f>
        <v>#REF!</v>
      </c>
      <c r="Y941" s="17" t="e">
        <f>_xlfn.XLOOKUP(Table2[[#This Row],[Adjusted Form '#]],'[2]REJECTED ORDERS'!$D:$D,'[2]REJECTED ORDERS'!$E:$E)</f>
        <v>#N/A</v>
      </c>
      <c r="Z941" s="1"/>
      <c r="AA941" s="1"/>
      <c r="AB941" s="8"/>
      <c r="AC941" s="8"/>
      <c r="AD941" s="8"/>
      <c r="AE941" s="8"/>
      <c r="AF941" s="8"/>
      <c r="AG941" s="8"/>
      <c r="AH941" s="8"/>
      <c r="AI941" s="8"/>
      <c r="AJ941" s="8"/>
    </row>
    <row r="942" spans="1:36" ht="15" customHeight="1" x14ac:dyDescent="0.35">
      <c r="A942" s="4" t="s">
        <v>1424</v>
      </c>
      <c r="B942" s="1" t="s">
        <v>777</v>
      </c>
      <c r="C942" s="11">
        <v>45051</v>
      </c>
      <c r="D942" s="11" t="s">
        <v>5504</v>
      </c>
      <c r="E942" s="1" t="s">
        <v>21</v>
      </c>
      <c r="F942" s="1" t="s">
        <v>5505</v>
      </c>
      <c r="G942" s="6">
        <f>COUNTIF(F:F,Table2[[#This Row],[Form '#]])</f>
        <v>1</v>
      </c>
      <c r="H942" s="1" t="s">
        <v>5506</v>
      </c>
      <c r="I942" s="1" t="s">
        <v>3852</v>
      </c>
      <c r="J942" s="1" t="s">
        <v>80</v>
      </c>
      <c r="K942" s="1" t="s">
        <v>3853</v>
      </c>
      <c r="L942" s="1"/>
      <c r="M942" s="6" t="str">
        <f>IF(Table2[[#This Row],[Corrected Form '#
 (If Duplicated)]]="",Table2[[#This Row],[Form '#]],Table2[[#This Row],[Corrected Form '#
 (If Duplicated)]])</f>
        <v>7815-00103</v>
      </c>
      <c r="N942" s="1" t="s">
        <v>49</v>
      </c>
      <c r="O942" s="6" t="str">
        <f>IF(Table2[[#This Row],[POG CONFIRMATION RECEIPT OF ORDER
(DATE &amp; TIME)]]="","No Confirmation","Received Confirmation")</f>
        <v>Received Confirmation</v>
      </c>
      <c r="P942" s="6">
        <f ca="1">TODAY()-Table2[[#This Row],[DATE SENT TO POG]]</f>
        <v>252</v>
      </c>
      <c r="Q942" s="6" t="s">
        <v>5803</v>
      </c>
      <c r="R9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2" s="2" t="str">
        <f>_xlfn.XLOOKUP(Table2[[#This Row],[Adjusted Form '#]],'[2]IN PROGRESS'!$D:$D,'[2]IN PROGRESS'!$M:$M,"Not Found")</f>
        <v>Not Found</v>
      </c>
      <c r="U942" s="2" t="str">
        <f>_xlfn.XLOOKUP(Table2[[#This Row],[Adjusted Form '#]],[1]COMPLETED!$D:$D,[2]COMPLETED!$M:$M,"Not Found")</f>
        <v>Not Found</v>
      </c>
      <c r="V942" s="17" t="str">
        <f>_xlfn.XLOOKUP(Table2[[#This Row],[Adjusted Form '#]],[2]COMPLETED!$D:$D,[2]COMPLETED!$O:$O,"Not Found")</f>
        <v>Not Found</v>
      </c>
      <c r="W942" s="2" t="str">
        <f>_xlfn.XLOOKUP(Table2[[#This Row],[Adjusted Form '#]],[2]BILLED!$D:$D,[2]BILLED!$M:$M,"Not Found")</f>
        <v>1Z5063E0YW42157963</v>
      </c>
      <c r="X942" s="17" t="e">
        <f>_xlfn.XLOOKUP(Table2[[#This Row],[Adjusted Form '#]],[2]BILLED!$D:$D,[1]BILLED!$O:$O,"Not Found")</f>
        <v>#REF!</v>
      </c>
      <c r="Y942" s="17" t="e">
        <f>_xlfn.XLOOKUP(Table2[[#This Row],[Adjusted Form '#]],'[2]REJECTED ORDERS'!$D:$D,'[2]REJECTED ORDERS'!$E:$E)</f>
        <v>#N/A</v>
      </c>
      <c r="Z942" s="1"/>
      <c r="AA942" s="1"/>
      <c r="AB942" s="8"/>
      <c r="AC942" s="8"/>
      <c r="AD942" s="8"/>
      <c r="AE942" s="8"/>
      <c r="AF942" s="8"/>
      <c r="AG942" s="8"/>
      <c r="AH942" s="8"/>
      <c r="AI942" s="8"/>
      <c r="AJ942" s="8"/>
    </row>
    <row r="943" spans="1:36" ht="15" customHeight="1" x14ac:dyDescent="0.35">
      <c r="A943" s="4" t="s">
        <v>1425</v>
      </c>
      <c r="B943" s="1" t="s">
        <v>777</v>
      </c>
      <c r="C943" s="11">
        <v>45051</v>
      </c>
      <c r="D943" s="11" t="s">
        <v>5504</v>
      </c>
      <c r="E943" s="1" t="s">
        <v>21</v>
      </c>
      <c r="F943" s="1" t="s">
        <v>5507</v>
      </c>
      <c r="G943" s="6">
        <f>COUNTIF(F:F,Table2[[#This Row],[Form '#]])</f>
        <v>1</v>
      </c>
      <c r="H943" s="1" t="s">
        <v>5508</v>
      </c>
      <c r="I943" s="1" t="s">
        <v>28</v>
      </c>
      <c r="J943" s="1" t="s">
        <v>69</v>
      </c>
      <c r="K943" s="1" t="s">
        <v>4011</v>
      </c>
      <c r="L943" s="1"/>
      <c r="M943" s="6" t="str">
        <f>IF(Table2[[#This Row],[Corrected Form '#
 (If Duplicated)]]="",Table2[[#This Row],[Form '#]],Table2[[#This Row],[Corrected Form '#
 (If Duplicated)]])</f>
        <v>7815-00108</v>
      </c>
      <c r="N943" s="1" t="s">
        <v>49</v>
      </c>
      <c r="O943" s="6" t="str">
        <f>IF(Table2[[#This Row],[POG CONFIRMATION RECEIPT OF ORDER
(DATE &amp; TIME)]]="","No Confirmation","Received Confirmation")</f>
        <v>Received Confirmation</v>
      </c>
      <c r="P943" s="6">
        <f ca="1">TODAY()-Table2[[#This Row],[DATE SENT TO POG]]</f>
        <v>252</v>
      </c>
      <c r="Q943" s="6" t="s">
        <v>5803</v>
      </c>
      <c r="R9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3" s="2" t="str">
        <f>_xlfn.XLOOKUP(Table2[[#This Row],[Adjusted Form '#]],'[2]IN PROGRESS'!$D:$D,'[2]IN PROGRESS'!$M:$M,"Not Found")</f>
        <v>Not Found</v>
      </c>
      <c r="U943" s="2" t="str">
        <f>_xlfn.XLOOKUP(Table2[[#This Row],[Adjusted Form '#]],[1]COMPLETED!$D:$D,[2]COMPLETED!$M:$M,"Not Found")</f>
        <v>Not Found</v>
      </c>
      <c r="V943" s="17" t="str">
        <f>_xlfn.XLOOKUP(Table2[[#This Row],[Adjusted Form '#]],[2]COMPLETED!$D:$D,[2]COMPLETED!$O:$O,"Not Found")</f>
        <v>Not Found</v>
      </c>
      <c r="W943" s="2" t="str">
        <f>_xlfn.XLOOKUP(Table2[[#This Row],[Adjusted Form '#]],[2]BILLED!$D:$D,[2]BILLED!$M:$M,"Not Found")</f>
        <v>1Z5063E0YW41226729</v>
      </c>
      <c r="X943" s="17" t="e">
        <f>_xlfn.XLOOKUP(Table2[[#This Row],[Adjusted Form '#]],[2]BILLED!$D:$D,[1]BILLED!$O:$O,"Not Found")</f>
        <v>#REF!</v>
      </c>
      <c r="Y943" s="17" t="e">
        <f>_xlfn.XLOOKUP(Table2[[#This Row],[Adjusted Form '#]],'[2]REJECTED ORDERS'!$D:$D,'[2]REJECTED ORDERS'!$E:$E)</f>
        <v>#N/A</v>
      </c>
      <c r="Z943" s="1"/>
      <c r="AA943" s="1"/>
      <c r="AB943" s="8"/>
      <c r="AC943" s="8"/>
      <c r="AD943" s="8"/>
      <c r="AE943" s="8"/>
      <c r="AF943" s="8"/>
      <c r="AG943" s="8"/>
      <c r="AH943" s="8"/>
      <c r="AI943" s="8"/>
      <c r="AJ943" s="8"/>
    </row>
    <row r="944" spans="1:36" ht="15" customHeight="1" x14ac:dyDescent="0.35">
      <c r="A944" s="4" t="s">
        <v>1426</v>
      </c>
      <c r="B944" s="1" t="s">
        <v>3485</v>
      </c>
      <c r="C944" s="11">
        <v>45054</v>
      </c>
      <c r="E944" s="1" t="s">
        <v>73</v>
      </c>
      <c r="F944" s="1" t="s">
        <v>5509</v>
      </c>
      <c r="G944" s="6">
        <f>COUNTIF(F:F,Table2[[#This Row],[Form '#]])</f>
        <v>1</v>
      </c>
      <c r="H944" s="1" t="s">
        <v>3482</v>
      </c>
      <c r="I944" s="1" t="s">
        <v>3864</v>
      </c>
      <c r="J944" s="1" t="s">
        <v>78</v>
      </c>
      <c r="K944" s="1" t="s">
        <v>3879</v>
      </c>
      <c r="L944" s="1"/>
      <c r="M944" s="6" t="str">
        <f>IF(Table2[[#This Row],[Corrected Form '#
 (If Duplicated)]]="",Table2[[#This Row],[Form '#]],Table2[[#This Row],[Corrected Form '#
 (If Duplicated)]])</f>
        <v>7823-02555</v>
      </c>
      <c r="N944" s="1" t="s">
        <v>49</v>
      </c>
      <c r="O944" s="6" t="str">
        <f>IF(Table2[[#This Row],[POG CONFIRMATION RECEIPT OF ORDER
(DATE &amp; TIME)]]="","No Confirmation","Received Confirmation")</f>
        <v>No Confirmation</v>
      </c>
      <c r="P944" s="6">
        <f ca="1">TODAY()-Table2[[#This Row],[DATE SENT TO POG]]</f>
        <v>249</v>
      </c>
      <c r="Q944" s="6" t="s">
        <v>5803</v>
      </c>
      <c r="R9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4" s="2" t="str">
        <f>_xlfn.XLOOKUP(Table2[[#This Row],[Adjusted Form '#]],'[2]IN PROGRESS'!$D:$D,'[2]IN PROGRESS'!$M:$M,"Not Found")</f>
        <v>Not Found</v>
      </c>
      <c r="U944" s="2" t="str">
        <f>_xlfn.XLOOKUP(Table2[[#This Row],[Adjusted Form '#]],[1]COMPLETED!$D:$D,[2]COMPLETED!$M:$M,"Not Found")</f>
        <v>Not Found</v>
      </c>
      <c r="V944" s="17" t="str">
        <f>_xlfn.XLOOKUP(Table2[[#This Row],[Adjusted Form '#]],[2]COMPLETED!$D:$D,[2]COMPLETED!$O:$O,"Not Found")</f>
        <v>Not Found</v>
      </c>
      <c r="W944" s="2" t="str">
        <f>_xlfn.XLOOKUP(Table2[[#This Row],[Adjusted Form '#]],[2]BILLED!$D:$D,[2]BILLED!$M:$M,"Not Found")</f>
        <v>9400 1112 0620 7695 4659 38</v>
      </c>
      <c r="X944" s="17" t="e">
        <f>_xlfn.XLOOKUP(Table2[[#This Row],[Adjusted Form '#]],[2]BILLED!$D:$D,[1]BILLED!$O:$O,"Not Found")</f>
        <v>#REF!</v>
      </c>
      <c r="Y944" s="17" t="e">
        <f>_xlfn.XLOOKUP(Table2[[#This Row],[Adjusted Form '#]],'[2]REJECTED ORDERS'!$D:$D,'[2]REJECTED ORDERS'!$E:$E)</f>
        <v>#N/A</v>
      </c>
      <c r="Z944" s="1"/>
      <c r="AA944" s="1"/>
      <c r="AB944" s="8"/>
      <c r="AC944" s="8"/>
      <c r="AD944" s="8"/>
      <c r="AE944" s="8"/>
      <c r="AF944" s="8"/>
      <c r="AG944" s="8"/>
      <c r="AH944" s="8"/>
      <c r="AI944" s="8"/>
      <c r="AJ944" s="8"/>
    </row>
    <row r="945" spans="1:36" ht="15" customHeight="1" x14ac:dyDescent="0.35">
      <c r="A945" s="4" t="s">
        <v>1427</v>
      </c>
      <c r="B945" s="1" t="s">
        <v>3225</v>
      </c>
      <c r="C945" s="11">
        <v>45054</v>
      </c>
      <c r="D945" s="11" t="s">
        <v>5510</v>
      </c>
      <c r="E945" s="1" t="s">
        <v>191</v>
      </c>
      <c r="F945" s="1" t="s">
        <v>5511</v>
      </c>
      <c r="G945" s="6">
        <f>COUNTIF(F:F,Table2[[#This Row],[Form '#]])</f>
        <v>1</v>
      </c>
      <c r="H945" s="1" t="s">
        <v>1448</v>
      </c>
      <c r="I945" s="1" t="s">
        <v>3852</v>
      </c>
      <c r="J945" s="1" t="s">
        <v>80</v>
      </c>
      <c r="K945" s="1" t="s">
        <v>4011</v>
      </c>
      <c r="L945" s="1"/>
      <c r="M945" s="6" t="str">
        <f>IF(Table2[[#This Row],[Corrected Form '#
 (If Duplicated)]]="",Table2[[#This Row],[Form '#]],Table2[[#This Row],[Corrected Form '#
 (If Duplicated)]])</f>
        <v>7812-3628</v>
      </c>
      <c r="N945" s="1" t="s">
        <v>49</v>
      </c>
      <c r="O945" s="6" t="str">
        <f>IF(Table2[[#This Row],[POG CONFIRMATION RECEIPT OF ORDER
(DATE &amp; TIME)]]="","No Confirmation","Received Confirmation")</f>
        <v>Received Confirmation</v>
      </c>
      <c r="P945" s="6">
        <f ca="1">TODAY()-Table2[[#This Row],[DATE SENT TO POG]]</f>
        <v>249</v>
      </c>
      <c r="Q945" s="6" t="s">
        <v>5803</v>
      </c>
      <c r="R9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5" s="2" t="str">
        <f>_xlfn.XLOOKUP(Table2[[#This Row],[Adjusted Form '#]],'[2]IN PROGRESS'!$D:$D,'[2]IN PROGRESS'!$M:$M,"Not Found")</f>
        <v>Not Found</v>
      </c>
      <c r="U945" s="2" t="str">
        <f>_xlfn.XLOOKUP(Table2[[#This Row],[Adjusted Form '#]],[1]COMPLETED!$D:$D,[2]COMPLETED!$M:$M,"Not Found")</f>
        <v>Not Found</v>
      </c>
      <c r="V945" s="17" t="str">
        <f>_xlfn.XLOOKUP(Table2[[#This Row],[Adjusted Form '#]],[2]COMPLETED!$D:$D,[2]COMPLETED!$O:$O,"Not Found")</f>
        <v>Not Found</v>
      </c>
      <c r="W945" s="2" t="str">
        <f>_xlfn.XLOOKUP(Table2[[#This Row],[Adjusted Form '#]],[2]BILLED!$D:$D,[2]BILLED!$M:$M,"Not Found")</f>
        <v>1Z5063E0YW41375961</v>
      </c>
      <c r="X945" s="17" t="e">
        <f>_xlfn.XLOOKUP(Table2[[#This Row],[Adjusted Form '#]],[2]BILLED!$D:$D,[1]BILLED!$O:$O,"Not Found")</f>
        <v>#REF!</v>
      </c>
      <c r="Y945" s="17" t="e">
        <f>_xlfn.XLOOKUP(Table2[[#This Row],[Adjusted Form '#]],'[2]REJECTED ORDERS'!$D:$D,'[2]REJECTED ORDERS'!$E:$E)</f>
        <v>#N/A</v>
      </c>
      <c r="Z945" s="1"/>
      <c r="AA945" s="1"/>
      <c r="AB945" s="8"/>
      <c r="AC945" s="8"/>
      <c r="AD945" s="8"/>
      <c r="AE945" s="8"/>
      <c r="AF945" s="8"/>
      <c r="AG945" s="8"/>
      <c r="AH945" s="8"/>
      <c r="AI945" s="8"/>
      <c r="AJ945" s="8"/>
    </row>
    <row r="946" spans="1:36" ht="15" customHeight="1" x14ac:dyDescent="0.35">
      <c r="A946" s="4" t="s">
        <v>1429</v>
      </c>
      <c r="B946" s="1" t="s">
        <v>3225</v>
      </c>
      <c r="C946" s="11">
        <v>45054</v>
      </c>
      <c r="D946" s="11" t="s">
        <v>5510</v>
      </c>
      <c r="E946" s="1" t="s">
        <v>191</v>
      </c>
      <c r="F946" s="1" t="s">
        <v>5512</v>
      </c>
      <c r="G946" s="6">
        <f>COUNTIF(F:F,Table2[[#This Row],[Form '#]])</f>
        <v>1</v>
      </c>
      <c r="H946" s="1" t="s">
        <v>5513</v>
      </c>
      <c r="I946" s="1" t="s">
        <v>127</v>
      </c>
      <c r="J946" s="1" t="s">
        <v>3891</v>
      </c>
      <c r="K946" s="1" t="s">
        <v>3891</v>
      </c>
      <c r="L946" s="1"/>
      <c r="M946" s="6" t="str">
        <f>IF(Table2[[#This Row],[Corrected Form '#
 (If Duplicated)]]="",Table2[[#This Row],[Form '#]],Table2[[#This Row],[Corrected Form '#
 (If Duplicated)]])</f>
        <v>7812-01001</v>
      </c>
      <c r="N946" s="1" t="s">
        <v>49</v>
      </c>
      <c r="O946" s="6" t="str">
        <f>IF(Table2[[#This Row],[POG CONFIRMATION RECEIPT OF ORDER
(DATE &amp; TIME)]]="","No Confirmation","Received Confirmation")</f>
        <v>Received Confirmation</v>
      </c>
      <c r="P946" s="6">
        <f ca="1">TODAY()-Table2[[#This Row],[DATE SENT TO POG]]</f>
        <v>249</v>
      </c>
      <c r="Q946" s="6" t="s">
        <v>5803</v>
      </c>
      <c r="R9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6" s="2" t="str">
        <f>_xlfn.XLOOKUP(Table2[[#This Row],[Adjusted Form '#]],'[2]IN PROGRESS'!$D:$D,'[2]IN PROGRESS'!$M:$M,"Not Found")</f>
        <v>Not Found</v>
      </c>
      <c r="U946" s="2" t="str">
        <f>_xlfn.XLOOKUP(Table2[[#This Row],[Adjusted Form '#]],[1]COMPLETED!$D:$D,[2]COMPLETED!$M:$M,"Not Found")</f>
        <v>Not Found</v>
      </c>
      <c r="V946" s="17" t="str">
        <f>_xlfn.XLOOKUP(Table2[[#This Row],[Adjusted Form '#]],[2]COMPLETED!$D:$D,[2]COMPLETED!$O:$O,"Not Found")</f>
        <v>Not Found</v>
      </c>
      <c r="W946" s="2" t="str">
        <f>_xlfn.XLOOKUP(Table2[[#This Row],[Adjusted Form '#]],[2]BILLED!$D:$D,[2]BILLED!$M:$M,"Not Found")</f>
        <v>1Z5063E0YW42504499</v>
      </c>
      <c r="X946" s="17" t="e">
        <f>_xlfn.XLOOKUP(Table2[[#This Row],[Adjusted Form '#]],[2]BILLED!$D:$D,[1]BILLED!$O:$O,"Not Found")</f>
        <v>#REF!</v>
      </c>
      <c r="Y946" s="17" t="e">
        <f>_xlfn.XLOOKUP(Table2[[#This Row],[Adjusted Form '#]],'[2]REJECTED ORDERS'!$D:$D,'[2]REJECTED ORDERS'!$E:$E)</f>
        <v>#N/A</v>
      </c>
      <c r="Z946" s="1"/>
      <c r="AA946" s="1"/>
      <c r="AB946" s="8"/>
      <c r="AC946" s="8"/>
      <c r="AD946" s="8"/>
      <c r="AE946" s="8"/>
      <c r="AF946" s="8"/>
      <c r="AG946" s="8"/>
      <c r="AH946" s="8"/>
      <c r="AI946" s="8"/>
      <c r="AJ946" s="8"/>
    </row>
    <row r="947" spans="1:36" ht="15" customHeight="1" x14ac:dyDescent="0.35">
      <c r="A947" s="4" t="s">
        <v>1431</v>
      </c>
      <c r="B947" s="1" t="s">
        <v>2579</v>
      </c>
      <c r="C947" s="11">
        <v>45054</v>
      </c>
      <c r="D947" s="11" t="s">
        <v>5514</v>
      </c>
      <c r="E947" s="1" t="s">
        <v>21</v>
      </c>
      <c r="F947" s="1" t="s">
        <v>5515</v>
      </c>
      <c r="G947" s="6">
        <f>COUNTIF(F:F,Table2[[#This Row],[Form '#]])</f>
        <v>1</v>
      </c>
      <c r="H947" s="1" t="s">
        <v>5516</v>
      </c>
      <c r="I947" s="1" t="s">
        <v>3864</v>
      </c>
      <c r="J947" s="1" t="s">
        <v>78</v>
      </c>
      <c r="K947" s="1" t="s">
        <v>3879</v>
      </c>
      <c r="L947" s="1"/>
      <c r="M947" s="6" t="str">
        <f>IF(Table2[[#This Row],[Corrected Form '#
 (If Duplicated)]]="",Table2[[#This Row],[Form '#]],Table2[[#This Row],[Corrected Form '#
 (If Duplicated)]])</f>
        <v>7818-29898</v>
      </c>
      <c r="N947" s="1" t="s">
        <v>49</v>
      </c>
      <c r="O947" s="6" t="str">
        <f>IF(Table2[[#This Row],[POG CONFIRMATION RECEIPT OF ORDER
(DATE &amp; TIME)]]="","No Confirmation","Received Confirmation")</f>
        <v>Received Confirmation</v>
      </c>
      <c r="P947" s="6">
        <f ca="1">TODAY()-Table2[[#This Row],[DATE SENT TO POG]]</f>
        <v>249</v>
      </c>
      <c r="Q947" s="6" t="s">
        <v>5803</v>
      </c>
      <c r="R9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7" s="2" t="str">
        <f>_xlfn.XLOOKUP(Table2[[#This Row],[Adjusted Form '#]],'[2]IN PROGRESS'!$D:$D,'[2]IN PROGRESS'!$M:$M,"Not Found")</f>
        <v>Not Found</v>
      </c>
      <c r="U947" s="2" t="str">
        <f>_xlfn.XLOOKUP(Table2[[#This Row],[Adjusted Form '#]],[1]COMPLETED!$D:$D,[2]COMPLETED!$M:$M,"Not Found")</f>
        <v>Not Found</v>
      </c>
      <c r="V947" s="17" t="str">
        <f>_xlfn.XLOOKUP(Table2[[#This Row],[Adjusted Form '#]],[2]COMPLETED!$D:$D,[2]COMPLETED!$O:$O,"Not Found")</f>
        <v>Not Found</v>
      </c>
      <c r="W947" s="2" t="str">
        <f>_xlfn.XLOOKUP(Table2[[#This Row],[Adjusted Form '#]],[2]BILLED!$D:$D,[2]BILLED!$M:$M,"Not Found")</f>
        <v>1Z5063E0YW42530979</v>
      </c>
      <c r="X947" s="17" t="e">
        <f>_xlfn.XLOOKUP(Table2[[#This Row],[Adjusted Form '#]],[2]BILLED!$D:$D,[1]BILLED!$O:$O,"Not Found")</f>
        <v>#REF!</v>
      </c>
      <c r="Y947" s="17" t="e">
        <f>_xlfn.XLOOKUP(Table2[[#This Row],[Adjusted Form '#]],'[2]REJECTED ORDERS'!$D:$D,'[2]REJECTED ORDERS'!$E:$E)</f>
        <v>#N/A</v>
      </c>
      <c r="Z947" s="1"/>
      <c r="AA947" s="1"/>
      <c r="AB947" s="8"/>
      <c r="AC947" s="8"/>
      <c r="AD947" s="8"/>
      <c r="AE947" s="8"/>
      <c r="AF947" s="8"/>
      <c r="AG947" s="8"/>
      <c r="AH947" s="8"/>
      <c r="AI947" s="8"/>
      <c r="AJ947" s="8"/>
    </row>
    <row r="948" spans="1:36" ht="15" customHeight="1" x14ac:dyDescent="0.35">
      <c r="A948" s="4" t="s">
        <v>1434</v>
      </c>
      <c r="B948" s="1" t="s">
        <v>2579</v>
      </c>
      <c r="C948" s="11">
        <v>45054</v>
      </c>
      <c r="D948" s="11" t="s">
        <v>5514</v>
      </c>
      <c r="E948" s="1" t="s">
        <v>21</v>
      </c>
      <c r="F948" s="1" t="s">
        <v>5517</v>
      </c>
      <c r="G948" s="6">
        <f>COUNTIF(F:F,Table2[[#This Row],[Form '#]])</f>
        <v>1</v>
      </c>
      <c r="H948" s="1" t="s">
        <v>1105</v>
      </c>
      <c r="I948" s="1" t="s">
        <v>127</v>
      </c>
      <c r="J948" s="1" t="s">
        <v>74</v>
      </c>
      <c r="K948" s="1" t="s">
        <v>4011</v>
      </c>
      <c r="L948" s="1"/>
      <c r="M948" s="6" t="str">
        <f>IF(Table2[[#This Row],[Corrected Form '#
 (If Duplicated)]]="",Table2[[#This Row],[Form '#]],Table2[[#This Row],[Corrected Form '#
 (If Duplicated)]])</f>
        <v>7818-24936</v>
      </c>
      <c r="N948" s="1" t="s">
        <v>49</v>
      </c>
      <c r="O948" s="6" t="str">
        <f>IF(Table2[[#This Row],[POG CONFIRMATION RECEIPT OF ORDER
(DATE &amp; TIME)]]="","No Confirmation","Received Confirmation")</f>
        <v>Received Confirmation</v>
      </c>
      <c r="P948" s="6">
        <f ca="1">TODAY()-Table2[[#This Row],[DATE SENT TO POG]]</f>
        <v>249</v>
      </c>
      <c r="Q948" s="6" t="s">
        <v>5803</v>
      </c>
      <c r="R9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8" s="2" t="str">
        <f>_xlfn.XLOOKUP(Table2[[#This Row],[Adjusted Form '#]],'[2]IN PROGRESS'!$D:$D,'[2]IN PROGRESS'!$M:$M,"Not Found")</f>
        <v>Not Found</v>
      </c>
      <c r="U948" s="2" t="str">
        <f>_xlfn.XLOOKUP(Table2[[#This Row],[Adjusted Form '#]],[1]COMPLETED!$D:$D,[2]COMPLETED!$M:$M,"Not Found")</f>
        <v>Not Found</v>
      </c>
      <c r="V948" s="17" t="str">
        <f>_xlfn.XLOOKUP(Table2[[#This Row],[Adjusted Form '#]],[2]COMPLETED!$D:$D,[2]COMPLETED!$O:$O,"Not Found")</f>
        <v>Not Found</v>
      </c>
      <c r="W948" s="2" t="str">
        <f>_xlfn.XLOOKUP(Table2[[#This Row],[Adjusted Form '#]],[2]BILLED!$D:$D,[2]BILLED!$M:$M,"Not Found")</f>
        <v>1Z5063E0YW42151085</v>
      </c>
      <c r="X948" s="17" t="e">
        <f>_xlfn.XLOOKUP(Table2[[#This Row],[Adjusted Form '#]],[2]BILLED!$D:$D,[1]BILLED!$O:$O,"Not Found")</f>
        <v>#REF!</v>
      </c>
      <c r="Y948" s="17" t="e">
        <f>_xlfn.XLOOKUP(Table2[[#This Row],[Adjusted Form '#]],'[2]REJECTED ORDERS'!$D:$D,'[2]REJECTED ORDERS'!$E:$E)</f>
        <v>#N/A</v>
      </c>
      <c r="Z948" s="1"/>
      <c r="AA948" s="1"/>
      <c r="AB948" s="8"/>
      <c r="AC948" s="8"/>
      <c r="AD948" s="8"/>
      <c r="AE948" s="8"/>
      <c r="AF948" s="8"/>
      <c r="AG948" s="8"/>
      <c r="AH948" s="8"/>
      <c r="AI948" s="8"/>
      <c r="AJ948" s="8"/>
    </row>
    <row r="949" spans="1:36" ht="15" customHeight="1" x14ac:dyDescent="0.35">
      <c r="A949" s="4" t="s">
        <v>1435</v>
      </c>
      <c r="B949" s="1" t="s">
        <v>2579</v>
      </c>
      <c r="C949" s="11">
        <v>45054</v>
      </c>
      <c r="D949" s="11" t="s">
        <v>5514</v>
      </c>
      <c r="E949" s="1" t="s">
        <v>21</v>
      </c>
      <c r="F949" s="1" t="s">
        <v>5518</v>
      </c>
      <c r="G949" s="6">
        <f>COUNTIF(F:F,Table2[[#This Row],[Form '#]])</f>
        <v>1</v>
      </c>
      <c r="H949" s="1" t="s">
        <v>5519</v>
      </c>
      <c r="I949" s="1" t="s">
        <v>127</v>
      </c>
      <c r="J949" s="1" t="s">
        <v>76</v>
      </c>
      <c r="K949" s="1" t="s">
        <v>3883</v>
      </c>
      <c r="L949" s="1"/>
      <c r="M949" s="6" t="str">
        <f>IF(Table2[[#This Row],[Corrected Form '#
 (If Duplicated)]]="",Table2[[#This Row],[Form '#]],Table2[[#This Row],[Corrected Form '#
 (If Duplicated)]])</f>
        <v>7818-29400</v>
      </c>
      <c r="N949" s="1" t="s">
        <v>49</v>
      </c>
      <c r="O949" s="6" t="str">
        <f>IF(Table2[[#This Row],[POG CONFIRMATION RECEIPT OF ORDER
(DATE &amp; TIME)]]="","No Confirmation","Received Confirmation")</f>
        <v>Received Confirmation</v>
      </c>
      <c r="P949" s="6">
        <f ca="1">TODAY()-Table2[[#This Row],[DATE SENT TO POG]]</f>
        <v>249</v>
      </c>
      <c r="Q949" s="6" t="s">
        <v>5803</v>
      </c>
      <c r="R9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49" s="2" t="str">
        <f>_xlfn.XLOOKUP(Table2[[#This Row],[Adjusted Form '#]],'[2]IN PROGRESS'!$D:$D,'[2]IN PROGRESS'!$M:$M,"Not Found")</f>
        <v>Not Found</v>
      </c>
      <c r="U949" s="2" t="str">
        <f>_xlfn.XLOOKUP(Table2[[#This Row],[Adjusted Form '#]],[1]COMPLETED!$D:$D,[2]COMPLETED!$M:$M,"Not Found")</f>
        <v>Not Found</v>
      </c>
      <c r="V949" s="17" t="str">
        <f>_xlfn.XLOOKUP(Table2[[#This Row],[Adjusted Form '#]],[2]COMPLETED!$D:$D,[2]COMPLETED!$O:$O,"Not Found")</f>
        <v>Not Found</v>
      </c>
      <c r="W949" s="2" t="str">
        <f>_xlfn.XLOOKUP(Table2[[#This Row],[Adjusted Form '#]],[2]BILLED!$D:$D,[2]BILLED!$M:$M,"Not Found")</f>
        <v>1Z5063E0YW41201773</v>
      </c>
      <c r="X949" s="17" t="e">
        <f>_xlfn.XLOOKUP(Table2[[#This Row],[Adjusted Form '#]],[2]BILLED!$D:$D,[1]BILLED!$O:$O,"Not Found")</f>
        <v>#REF!</v>
      </c>
      <c r="Y949" s="17" t="e">
        <f>_xlfn.XLOOKUP(Table2[[#This Row],[Adjusted Form '#]],'[2]REJECTED ORDERS'!$D:$D,'[2]REJECTED ORDERS'!$E:$E)</f>
        <v>#N/A</v>
      </c>
      <c r="Z949" s="1"/>
      <c r="AA949" s="1"/>
      <c r="AB949" s="8"/>
      <c r="AC949" s="8"/>
      <c r="AD949" s="8"/>
      <c r="AE949" s="8"/>
      <c r="AF949" s="8"/>
      <c r="AG949" s="8"/>
      <c r="AH949" s="8"/>
      <c r="AI949" s="8"/>
      <c r="AJ949" s="8"/>
    </row>
    <row r="950" spans="1:36" ht="15" customHeight="1" x14ac:dyDescent="0.35">
      <c r="A950" s="4" t="s">
        <v>1437</v>
      </c>
      <c r="B950" s="1" t="s">
        <v>2579</v>
      </c>
      <c r="C950" s="11">
        <v>45054</v>
      </c>
      <c r="D950" s="11" t="s">
        <v>5514</v>
      </c>
      <c r="E950" s="1" t="s">
        <v>21</v>
      </c>
      <c r="F950" s="1" t="s">
        <v>5520</v>
      </c>
      <c r="G950" s="6">
        <f>COUNTIF(F:F,Table2[[#This Row],[Form '#]])</f>
        <v>1</v>
      </c>
      <c r="H950" s="1" t="s">
        <v>5521</v>
      </c>
      <c r="I950" s="1" t="s">
        <v>3852</v>
      </c>
      <c r="J950" s="1" t="s">
        <v>75</v>
      </c>
      <c r="K950" s="1" t="s">
        <v>3853</v>
      </c>
      <c r="L950" s="1"/>
      <c r="M950" s="6" t="str">
        <f>IF(Table2[[#This Row],[Corrected Form '#
 (If Duplicated)]]="",Table2[[#This Row],[Form '#]],Table2[[#This Row],[Corrected Form '#
 (If Duplicated)]])</f>
        <v>7818-18819</v>
      </c>
      <c r="N950" s="1" t="s">
        <v>49</v>
      </c>
      <c r="O950" s="6" t="str">
        <f>IF(Table2[[#This Row],[POG CONFIRMATION RECEIPT OF ORDER
(DATE &amp; TIME)]]="","No Confirmation","Received Confirmation")</f>
        <v>Received Confirmation</v>
      </c>
      <c r="P950" s="6">
        <f ca="1">TODAY()-Table2[[#This Row],[DATE SENT TO POG]]</f>
        <v>249</v>
      </c>
      <c r="Q950" s="6" t="s">
        <v>5803</v>
      </c>
      <c r="R9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0" s="2" t="str">
        <f>_xlfn.XLOOKUP(Table2[[#This Row],[Adjusted Form '#]],'[2]IN PROGRESS'!$D:$D,'[2]IN PROGRESS'!$M:$M,"Not Found")</f>
        <v>Not Found</v>
      </c>
      <c r="U950" s="2" t="str">
        <f>_xlfn.XLOOKUP(Table2[[#This Row],[Adjusted Form '#]],[1]COMPLETED!$D:$D,[2]COMPLETED!$M:$M,"Not Found")</f>
        <v>Not Found</v>
      </c>
      <c r="V950" s="17" t="str">
        <f>_xlfn.XLOOKUP(Table2[[#This Row],[Adjusted Form '#]],[2]COMPLETED!$D:$D,[2]COMPLETED!$O:$O,"Not Found")</f>
        <v>Not Found</v>
      </c>
      <c r="W950" s="2" t="str">
        <f>_xlfn.XLOOKUP(Table2[[#This Row],[Adjusted Form '#]],[2]BILLED!$D:$D,[2]BILLED!$M:$M,"Not Found")</f>
        <v>1Z5063E0YW41996291</v>
      </c>
      <c r="X950" s="17" t="e">
        <f>_xlfn.XLOOKUP(Table2[[#This Row],[Adjusted Form '#]],[2]BILLED!$D:$D,[1]BILLED!$O:$O,"Not Found")</f>
        <v>#REF!</v>
      </c>
      <c r="Y950" s="17" t="e">
        <f>_xlfn.XLOOKUP(Table2[[#This Row],[Adjusted Form '#]],'[2]REJECTED ORDERS'!$D:$D,'[2]REJECTED ORDERS'!$E:$E)</f>
        <v>#N/A</v>
      </c>
      <c r="Z950" s="1"/>
      <c r="AA950" s="1"/>
      <c r="AB950" s="8"/>
      <c r="AC950" s="8"/>
      <c r="AD950" s="8"/>
      <c r="AE950" s="8"/>
      <c r="AF950" s="8"/>
      <c r="AG950" s="8"/>
      <c r="AH950" s="8"/>
      <c r="AI950" s="8"/>
      <c r="AJ950" s="8"/>
    </row>
    <row r="951" spans="1:36" ht="15" customHeight="1" x14ac:dyDescent="0.35">
      <c r="A951" s="4" t="s">
        <v>1439</v>
      </c>
      <c r="B951" s="1" t="s">
        <v>896</v>
      </c>
      <c r="C951" s="11">
        <v>45055</v>
      </c>
      <c r="D951" s="11" t="s">
        <v>5522</v>
      </c>
      <c r="E951" s="1" t="s">
        <v>21</v>
      </c>
      <c r="F951" s="1" t="s">
        <v>5523</v>
      </c>
      <c r="G951" s="6">
        <f>COUNTIF(F:F,Table2[[#This Row],[Form '#]])</f>
        <v>1</v>
      </c>
      <c r="H951" s="1" t="s">
        <v>5524</v>
      </c>
      <c r="I951" s="1" t="s">
        <v>3852</v>
      </c>
      <c r="J951" s="1" t="s">
        <v>80</v>
      </c>
      <c r="K951" s="1" t="s">
        <v>3853</v>
      </c>
      <c r="L951" s="1"/>
      <c r="M951" s="6" t="str">
        <f>IF(Table2[[#This Row],[Corrected Form '#
 (If Duplicated)]]="",Table2[[#This Row],[Form '#]],Table2[[#This Row],[Corrected Form '#
 (If Duplicated)]])</f>
        <v>7818-24739</v>
      </c>
      <c r="N951" s="1" t="s">
        <v>49</v>
      </c>
      <c r="O951" s="6" t="str">
        <f>IF(Table2[[#This Row],[POG CONFIRMATION RECEIPT OF ORDER
(DATE &amp; TIME)]]="","No Confirmation","Received Confirmation")</f>
        <v>Received Confirmation</v>
      </c>
      <c r="P951" s="6">
        <f ca="1">TODAY()-Table2[[#This Row],[DATE SENT TO POG]]</f>
        <v>248</v>
      </c>
      <c r="Q951" s="6" t="s">
        <v>5803</v>
      </c>
      <c r="R9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1" s="2" t="str">
        <f>_xlfn.XLOOKUP(Table2[[#This Row],[Adjusted Form '#]],'[2]IN PROGRESS'!$D:$D,'[2]IN PROGRESS'!$M:$M,"Not Found")</f>
        <v>Not Found</v>
      </c>
      <c r="U951" s="2" t="str">
        <f>_xlfn.XLOOKUP(Table2[[#This Row],[Adjusted Form '#]],[1]COMPLETED!$D:$D,[2]COMPLETED!$M:$M,"Not Found")</f>
        <v>Not Found</v>
      </c>
      <c r="V951" s="17" t="str">
        <f>_xlfn.XLOOKUP(Table2[[#This Row],[Adjusted Form '#]],[2]COMPLETED!$D:$D,[2]COMPLETED!$O:$O,"Not Found")</f>
        <v>Not Found</v>
      </c>
      <c r="W951" s="2" t="str">
        <f>_xlfn.XLOOKUP(Table2[[#This Row],[Adjusted Form '#]],[2]BILLED!$D:$D,[2]BILLED!$M:$M,"Not Found")</f>
        <v>1Z5063E0YW42906180</v>
      </c>
      <c r="X951" s="17" t="e">
        <f>_xlfn.XLOOKUP(Table2[[#This Row],[Adjusted Form '#]],[2]BILLED!$D:$D,[1]BILLED!$O:$O,"Not Found")</f>
        <v>#REF!</v>
      </c>
      <c r="Y951" s="17" t="e">
        <f>_xlfn.XLOOKUP(Table2[[#This Row],[Adjusted Form '#]],'[2]REJECTED ORDERS'!$D:$D,'[2]REJECTED ORDERS'!$E:$E)</f>
        <v>#N/A</v>
      </c>
      <c r="Z951" s="1"/>
      <c r="AA951" s="1"/>
      <c r="AB951" s="8"/>
      <c r="AC951" s="8"/>
      <c r="AD951" s="8"/>
      <c r="AE951" s="8"/>
      <c r="AF951" s="8"/>
      <c r="AG951" s="8"/>
      <c r="AH951" s="8"/>
      <c r="AI951" s="8"/>
      <c r="AJ951" s="8"/>
    </row>
    <row r="952" spans="1:36" ht="15" customHeight="1" x14ac:dyDescent="0.35">
      <c r="A952" s="4" t="s">
        <v>1440</v>
      </c>
      <c r="B952" s="1" t="s">
        <v>234</v>
      </c>
      <c r="C952" s="11">
        <v>45055</v>
      </c>
      <c r="D952" s="11" t="s">
        <v>5522</v>
      </c>
      <c r="E952" s="1" t="s">
        <v>21</v>
      </c>
      <c r="F952" s="1" t="s">
        <v>5525</v>
      </c>
      <c r="G952" s="6">
        <f>COUNTIF(F:F,Table2[[#This Row],[Form '#]])</f>
        <v>1</v>
      </c>
      <c r="H952" s="1" t="s">
        <v>5526</v>
      </c>
      <c r="I952" s="1" t="s">
        <v>3864</v>
      </c>
      <c r="J952" s="1" t="s">
        <v>78</v>
      </c>
      <c r="K952" s="1" t="s">
        <v>3879</v>
      </c>
      <c r="L952" s="1"/>
      <c r="M952" s="6" t="str">
        <f>IF(Table2[[#This Row],[Corrected Form '#
 (If Duplicated)]]="",Table2[[#This Row],[Form '#]],Table2[[#This Row],[Corrected Form '#
 (If Duplicated)]])</f>
        <v>7818-29447</v>
      </c>
      <c r="N952" s="1" t="s">
        <v>49</v>
      </c>
      <c r="O952" s="6" t="str">
        <f>IF(Table2[[#This Row],[POG CONFIRMATION RECEIPT OF ORDER
(DATE &amp; TIME)]]="","No Confirmation","Received Confirmation")</f>
        <v>Received Confirmation</v>
      </c>
      <c r="P952" s="6">
        <f ca="1">TODAY()-Table2[[#This Row],[DATE SENT TO POG]]</f>
        <v>248</v>
      </c>
      <c r="Q952" s="6" t="s">
        <v>5803</v>
      </c>
      <c r="R9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2" s="2" t="str">
        <f>_xlfn.XLOOKUP(Table2[[#This Row],[Adjusted Form '#]],'[2]IN PROGRESS'!$D:$D,'[2]IN PROGRESS'!$M:$M,"Not Found")</f>
        <v>Not Found</v>
      </c>
      <c r="U952" s="2" t="str">
        <f>_xlfn.XLOOKUP(Table2[[#This Row],[Adjusted Form '#]],[1]COMPLETED!$D:$D,[2]COMPLETED!$M:$M,"Not Found")</f>
        <v>Not Found</v>
      </c>
      <c r="V952" s="17" t="str">
        <f>_xlfn.XLOOKUP(Table2[[#This Row],[Adjusted Form '#]],[2]COMPLETED!$D:$D,[2]COMPLETED!$O:$O,"Not Found")</f>
        <v>Not Found</v>
      </c>
      <c r="W952" s="2" t="str">
        <f>_xlfn.XLOOKUP(Table2[[#This Row],[Adjusted Form '#]],[2]BILLED!$D:$D,[2]BILLED!$M:$M,"Not Found")</f>
        <v>1Z5063E0YW41728633</v>
      </c>
      <c r="X952" s="17" t="e">
        <f>_xlfn.XLOOKUP(Table2[[#This Row],[Adjusted Form '#]],[2]BILLED!$D:$D,[1]BILLED!$O:$O,"Not Found")</f>
        <v>#REF!</v>
      </c>
      <c r="Y952" s="17" t="e">
        <f>_xlfn.XLOOKUP(Table2[[#This Row],[Adjusted Form '#]],'[2]REJECTED ORDERS'!$D:$D,'[2]REJECTED ORDERS'!$E:$E)</f>
        <v>#N/A</v>
      </c>
      <c r="Z952" s="1"/>
      <c r="AA952" s="1"/>
      <c r="AB952" s="8"/>
      <c r="AC952" s="8"/>
      <c r="AD952" s="8"/>
      <c r="AE952" s="8"/>
      <c r="AF952" s="8"/>
      <c r="AG952" s="8"/>
      <c r="AH952" s="8"/>
      <c r="AI952" s="8"/>
      <c r="AJ952" s="8"/>
    </row>
    <row r="953" spans="1:36" ht="15" customHeight="1" x14ac:dyDescent="0.35">
      <c r="A953" s="4" t="s">
        <v>1441</v>
      </c>
      <c r="B953" s="1" t="s">
        <v>234</v>
      </c>
      <c r="C953" s="11">
        <v>45055</v>
      </c>
      <c r="D953" s="11" t="s">
        <v>5522</v>
      </c>
      <c r="E953" s="1" t="s">
        <v>21</v>
      </c>
      <c r="F953" s="1" t="s">
        <v>5527</v>
      </c>
      <c r="G953" s="6">
        <f>COUNTIF(F:F,Table2[[#This Row],[Form '#]])</f>
        <v>1</v>
      </c>
      <c r="H953" s="1" t="s">
        <v>5528</v>
      </c>
      <c r="I953" s="1" t="s">
        <v>758</v>
      </c>
      <c r="J953" s="1" t="s">
        <v>78</v>
      </c>
      <c r="K953" s="1" t="s">
        <v>3853</v>
      </c>
      <c r="L953" s="1"/>
      <c r="M953" s="6" t="str">
        <f>IF(Table2[[#This Row],[Corrected Form '#
 (If Duplicated)]]="",Table2[[#This Row],[Form '#]],Table2[[#This Row],[Corrected Form '#
 (If Duplicated)]])</f>
        <v>7818-07080</v>
      </c>
      <c r="N953" s="1" t="s">
        <v>49</v>
      </c>
      <c r="O953" s="6" t="str">
        <f>IF(Table2[[#This Row],[POG CONFIRMATION RECEIPT OF ORDER
(DATE &amp; TIME)]]="","No Confirmation","Received Confirmation")</f>
        <v>Received Confirmation</v>
      </c>
      <c r="P953" s="6">
        <f ca="1">TODAY()-Table2[[#This Row],[DATE SENT TO POG]]</f>
        <v>248</v>
      </c>
      <c r="Q953" s="6" t="s">
        <v>5803</v>
      </c>
      <c r="R9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3" s="2" t="str">
        <f>_xlfn.XLOOKUP(Table2[[#This Row],[Adjusted Form '#]],'[2]IN PROGRESS'!$D:$D,'[2]IN PROGRESS'!$M:$M,"Not Found")</f>
        <v>Not Found</v>
      </c>
      <c r="U953" s="2" t="str">
        <f>_xlfn.XLOOKUP(Table2[[#This Row],[Adjusted Form '#]],[1]COMPLETED!$D:$D,[2]COMPLETED!$M:$M,"Not Found")</f>
        <v>Not Found</v>
      </c>
      <c r="V953" s="17" t="str">
        <f>_xlfn.XLOOKUP(Table2[[#This Row],[Adjusted Form '#]],[2]COMPLETED!$D:$D,[2]COMPLETED!$O:$O,"Not Found")</f>
        <v>Not Found</v>
      </c>
      <c r="W953" s="2" t="str">
        <f>_xlfn.XLOOKUP(Table2[[#This Row],[Adjusted Form '#]],[2]BILLED!$D:$D,[2]BILLED!$M:$M,"Not Found")</f>
        <v>1Z5063E0YW40585978</v>
      </c>
      <c r="X953" s="17" t="e">
        <f>_xlfn.XLOOKUP(Table2[[#This Row],[Adjusted Form '#]],[2]BILLED!$D:$D,[1]BILLED!$O:$O,"Not Found")</f>
        <v>#REF!</v>
      </c>
      <c r="Y953" s="17" t="e">
        <f>_xlfn.XLOOKUP(Table2[[#This Row],[Adjusted Form '#]],'[2]REJECTED ORDERS'!$D:$D,'[2]REJECTED ORDERS'!$E:$E)</f>
        <v>#N/A</v>
      </c>
      <c r="Z953" s="1"/>
      <c r="AA953" s="1"/>
      <c r="AB953" s="8"/>
      <c r="AC953" s="8"/>
      <c r="AD953" s="8"/>
      <c r="AE953" s="8"/>
      <c r="AF953" s="8"/>
      <c r="AG953" s="8"/>
      <c r="AH953" s="8"/>
      <c r="AI953" s="8"/>
      <c r="AJ953" s="8"/>
    </row>
    <row r="954" spans="1:36" ht="15" customHeight="1" x14ac:dyDescent="0.35">
      <c r="A954" s="4" t="s">
        <v>1443</v>
      </c>
      <c r="B954" s="1" t="s">
        <v>4805</v>
      </c>
      <c r="C954" s="11">
        <v>45055</v>
      </c>
      <c r="D954" s="11" t="s">
        <v>5529</v>
      </c>
      <c r="E954" s="1" t="s">
        <v>191</v>
      </c>
      <c r="F954" s="21" t="s">
        <v>5530</v>
      </c>
      <c r="G954" s="6">
        <f>COUNTIF(F:F,Table2[[#This Row],[Form '#]])</f>
        <v>2</v>
      </c>
      <c r="H954" s="1" t="s">
        <v>2433</v>
      </c>
      <c r="I954" s="1" t="s">
        <v>177</v>
      </c>
      <c r="J954" s="1" t="s">
        <v>3891</v>
      </c>
      <c r="K954" s="1" t="s">
        <v>3891</v>
      </c>
      <c r="L954" s="1"/>
      <c r="M954" s="6" t="str">
        <f>IF(Table2[[#This Row],[Corrected Form '#
 (If Duplicated)]]="",Table2[[#This Row],[Form '#]],Table2[[#This Row],[Corrected Form '#
 (If Duplicated)]])</f>
        <v>7812-3857</v>
      </c>
      <c r="N954" s="1" t="s">
        <v>49</v>
      </c>
      <c r="O954" s="6" t="str">
        <f>IF(Table2[[#This Row],[POG CONFIRMATION RECEIPT OF ORDER
(DATE &amp; TIME)]]="","No Confirmation","Received Confirmation")</f>
        <v>Received Confirmation</v>
      </c>
      <c r="P954" s="6">
        <f ca="1">TODAY()-Table2[[#This Row],[DATE SENT TO POG]]</f>
        <v>248</v>
      </c>
      <c r="Q954" s="6" t="s">
        <v>5803</v>
      </c>
      <c r="R9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4" s="2" t="str">
        <f>_xlfn.XLOOKUP(Table2[[#This Row],[Adjusted Form '#]],'[2]IN PROGRESS'!$D:$D,'[2]IN PROGRESS'!$M:$M,"Not Found")</f>
        <v>Not Found</v>
      </c>
      <c r="U954" s="2" t="str">
        <f>_xlfn.XLOOKUP(Table2[[#This Row],[Adjusted Form '#]],[1]COMPLETED!$D:$D,[2]COMPLETED!$M:$M,"Not Found")</f>
        <v>Not Found</v>
      </c>
      <c r="V954" s="17" t="str">
        <f>_xlfn.XLOOKUP(Table2[[#This Row],[Adjusted Form '#]],[2]COMPLETED!$D:$D,[2]COMPLETED!$O:$O,"Not Found")</f>
        <v>Not Found</v>
      </c>
      <c r="W954" s="2" t="str">
        <f>_xlfn.XLOOKUP(Table2[[#This Row],[Adjusted Form '#]],[2]BILLED!$D:$D,[2]BILLED!$M:$M,"Not Found")</f>
        <v>1Z5063E0YW41521203</v>
      </c>
      <c r="X954" s="17" t="e">
        <f>_xlfn.XLOOKUP(Table2[[#This Row],[Adjusted Form '#]],[2]BILLED!$D:$D,[1]BILLED!$O:$O,"Not Found")</f>
        <v>#REF!</v>
      </c>
      <c r="Y954" s="17" t="str">
        <f>_xlfn.XLOOKUP(Table2[[#This Row],[Adjusted Form '#]],'[2]REJECTED ORDERS'!$D:$D,'[2]REJECTED ORDERS'!$E:$E)</f>
        <v>FORM NUMBER ALREADY USED</v>
      </c>
      <c r="Z954" s="1"/>
      <c r="AA954" s="1"/>
      <c r="AB954" s="8"/>
      <c r="AC954" s="8"/>
      <c r="AD954" s="8"/>
      <c r="AE954" s="8"/>
      <c r="AF954" s="8"/>
      <c r="AG954" s="8"/>
      <c r="AH954" s="8"/>
      <c r="AI954" s="8"/>
      <c r="AJ954" s="8"/>
    </row>
    <row r="955" spans="1:36" ht="15" customHeight="1" x14ac:dyDescent="0.35">
      <c r="A955" s="4" t="s">
        <v>1444</v>
      </c>
      <c r="B955" s="1" t="s">
        <v>4805</v>
      </c>
      <c r="C955" s="11">
        <v>45055</v>
      </c>
      <c r="D955" s="11" t="s">
        <v>5529</v>
      </c>
      <c r="E955" s="1" t="s">
        <v>191</v>
      </c>
      <c r="F955" s="1" t="s">
        <v>5531</v>
      </c>
      <c r="G955" s="6">
        <f>COUNTIF(F:F,Table2[[#This Row],[Form '#]])</f>
        <v>1</v>
      </c>
      <c r="H955" s="1" t="s">
        <v>4039</v>
      </c>
      <c r="I955" s="1" t="s">
        <v>3852</v>
      </c>
      <c r="J955" s="1" t="s">
        <v>80</v>
      </c>
      <c r="K955" s="1" t="s">
        <v>3853</v>
      </c>
      <c r="L955" s="1"/>
      <c r="M955" s="6" t="str">
        <f>IF(Table2[[#This Row],[Corrected Form '#
 (If Duplicated)]]="",Table2[[#This Row],[Form '#]],Table2[[#This Row],[Corrected Form '#
 (If Duplicated)]])</f>
        <v>7812-3842</v>
      </c>
      <c r="N955" s="1" t="s">
        <v>49</v>
      </c>
      <c r="O955" s="6" t="str">
        <f>IF(Table2[[#This Row],[POG CONFIRMATION RECEIPT OF ORDER
(DATE &amp; TIME)]]="","No Confirmation","Received Confirmation")</f>
        <v>Received Confirmation</v>
      </c>
      <c r="P955" s="6">
        <f ca="1">TODAY()-Table2[[#This Row],[DATE SENT TO POG]]</f>
        <v>248</v>
      </c>
      <c r="Q955" s="6" t="s">
        <v>5803</v>
      </c>
      <c r="R9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5" s="2" t="str">
        <f>_xlfn.XLOOKUP(Table2[[#This Row],[Adjusted Form '#]],'[2]IN PROGRESS'!$D:$D,'[2]IN PROGRESS'!$M:$M,"Not Found")</f>
        <v>Not Found</v>
      </c>
      <c r="U955" s="2" t="str">
        <f>_xlfn.XLOOKUP(Table2[[#This Row],[Adjusted Form '#]],[1]COMPLETED!$D:$D,[2]COMPLETED!$M:$M,"Not Found")</f>
        <v>Not Found</v>
      </c>
      <c r="V955" s="17" t="str">
        <f>_xlfn.XLOOKUP(Table2[[#This Row],[Adjusted Form '#]],[2]COMPLETED!$D:$D,[2]COMPLETED!$O:$O,"Not Found")</f>
        <v>Not Found</v>
      </c>
      <c r="W955" s="2" t="str">
        <f>_xlfn.XLOOKUP(Table2[[#This Row],[Adjusted Form '#]],[2]BILLED!$D:$D,[2]BILLED!$M:$M,"Not Found")</f>
        <v>1Z5063E0YW42317370</v>
      </c>
      <c r="X955" s="17" t="e">
        <f>_xlfn.XLOOKUP(Table2[[#This Row],[Adjusted Form '#]],[2]BILLED!$D:$D,[1]BILLED!$O:$O,"Not Found")</f>
        <v>#REF!</v>
      </c>
      <c r="Y955" s="17" t="e">
        <f>_xlfn.XLOOKUP(Table2[[#This Row],[Adjusted Form '#]],'[2]REJECTED ORDERS'!$D:$D,'[2]REJECTED ORDERS'!$E:$E)</f>
        <v>#N/A</v>
      </c>
      <c r="Z955" s="1"/>
      <c r="AA955" s="1"/>
      <c r="AB955" s="8"/>
      <c r="AC955" s="8"/>
      <c r="AD955" s="8"/>
      <c r="AE955" s="8"/>
      <c r="AF955" s="8"/>
      <c r="AG955" s="8"/>
      <c r="AH955" s="8"/>
      <c r="AI955" s="8"/>
      <c r="AJ955" s="8"/>
    </row>
    <row r="956" spans="1:36" ht="15" customHeight="1" x14ac:dyDescent="0.35">
      <c r="A956" s="4" t="s">
        <v>1445</v>
      </c>
      <c r="B956" s="1" t="s">
        <v>5532</v>
      </c>
      <c r="C956" s="11">
        <v>45056</v>
      </c>
      <c r="D956" s="11" t="s">
        <v>5533</v>
      </c>
      <c r="E956" s="1" t="s">
        <v>21</v>
      </c>
      <c r="F956" s="1" t="s">
        <v>5534</v>
      </c>
      <c r="G956" s="6">
        <f>COUNTIF(F:F,Table2[[#This Row],[Form '#]])</f>
        <v>1</v>
      </c>
      <c r="H956" s="1" t="s">
        <v>5535</v>
      </c>
      <c r="I956" s="1" t="s">
        <v>3852</v>
      </c>
      <c r="J956" s="1" t="s">
        <v>80</v>
      </c>
      <c r="K956" s="1" t="s">
        <v>3853</v>
      </c>
      <c r="L956" s="1"/>
      <c r="M956" s="6" t="str">
        <f>IF(Table2[[#This Row],[Corrected Form '#
 (If Duplicated)]]="",Table2[[#This Row],[Form '#]],Table2[[#This Row],[Corrected Form '#
 (If Duplicated)]])</f>
        <v>7818-17693</v>
      </c>
      <c r="N956" s="1" t="s">
        <v>49</v>
      </c>
      <c r="O956" s="6" t="str">
        <f>IF(Table2[[#This Row],[POG CONFIRMATION RECEIPT OF ORDER
(DATE &amp; TIME)]]="","No Confirmation","Received Confirmation")</f>
        <v>Received Confirmation</v>
      </c>
      <c r="P956" s="6">
        <f ca="1">TODAY()-Table2[[#This Row],[DATE SENT TO POG]]</f>
        <v>247</v>
      </c>
      <c r="Q956" s="6" t="s">
        <v>5803</v>
      </c>
      <c r="R9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6" s="2" t="str">
        <f>_xlfn.XLOOKUP(Table2[[#This Row],[Adjusted Form '#]],'[2]IN PROGRESS'!$D:$D,'[2]IN PROGRESS'!$M:$M,"Not Found")</f>
        <v>Not Found</v>
      </c>
      <c r="U956" s="2" t="str">
        <f>_xlfn.XLOOKUP(Table2[[#This Row],[Adjusted Form '#]],[1]COMPLETED!$D:$D,[2]COMPLETED!$M:$M,"Not Found")</f>
        <v>Not Found</v>
      </c>
      <c r="V956" s="17" t="str">
        <f>_xlfn.XLOOKUP(Table2[[#This Row],[Adjusted Form '#]],[2]COMPLETED!$D:$D,[2]COMPLETED!$O:$O,"Not Found")</f>
        <v>Not Found</v>
      </c>
      <c r="W956" s="2" t="str">
        <f>_xlfn.XLOOKUP(Table2[[#This Row],[Adjusted Form '#]],[2]BILLED!$D:$D,[2]BILLED!$M:$M,"Not Found")</f>
        <v>1Z5063E0YW41888710</v>
      </c>
      <c r="X956" s="17" t="e">
        <f>_xlfn.XLOOKUP(Table2[[#This Row],[Adjusted Form '#]],[2]BILLED!$D:$D,[1]BILLED!$O:$O,"Not Found")</f>
        <v>#REF!</v>
      </c>
      <c r="Y956" s="17" t="e">
        <f>_xlfn.XLOOKUP(Table2[[#This Row],[Adjusted Form '#]],'[2]REJECTED ORDERS'!$D:$D,'[2]REJECTED ORDERS'!$E:$E)</f>
        <v>#N/A</v>
      </c>
      <c r="Z956" s="1"/>
      <c r="AA956" s="1"/>
      <c r="AB956" s="8"/>
      <c r="AC956" s="8"/>
      <c r="AD956" s="8"/>
      <c r="AE956" s="8"/>
      <c r="AF956" s="8"/>
      <c r="AG956" s="8"/>
      <c r="AH956" s="8"/>
      <c r="AI956" s="8"/>
      <c r="AJ956" s="8"/>
    </row>
    <row r="957" spans="1:36" ht="15" customHeight="1" x14ac:dyDescent="0.35">
      <c r="A957" s="4" t="s">
        <v>1446</v>
      </c>
      <c r="B957" s="1" t="s">
        <v>3622</v>
      </c>
      <c r="C957" s="11">
        <v>45056</v>
      </c>
      <c r="D957" s="11" t="s">
        <v>5533</v>
      </c>
      <c r="E957" s="1" t="s">
        <v>14</v>
      </c>
      <c r="F957" s="1" t="s">
        <v>5536</v>
      </c>
      <c r="G957" s="6">
        <f>COUNTIF(F:F,Table2[[#This Row],[Form '#]])</f>
        <v>1</v>
      </c>
      <c r="H957" s="1" t="s">
        <v>5537</v>
      </c>
      <c r="I957" s="1" t="s">
        <v>3852</v>
      </c>
      <c r="J957" s="1" t="s">
        <v>3891</v>
      </c>
      <c r="K957" s="1" t="s">
        <v>3853</v>
      </c>
      <c r="L957" s="1"/>
      <c r="M957" s="6" t="str">
        <f>IF(Table2[[#This Row],[Corrected Form '#
 (If Duplicated)]]="",Table2[[#This Row],[Form '#]],Table2[[#This Row],[Corrected Form '#
 (If Duplicated)]])</f>
        <v>7810-01573</v>
      </c>
      <c r="N957" s="1" t="s">
        <v>49</v>
      </c>
      <c r="O957" s="6" t="str">
        <f>IF(Table2[[#This Row],[POG CONFIRMATION RECEIPT OF ORDER
(DATE &amp; TIME)]]="","No Confirmation","Received Confirmation")</f>
        <v>Received Confirmation</v>
      </c>
      <c r="P957" s="6">
        <f ca="1">TODAY()-Table2[[#This Row],[DATE SENT TO POG]]</f>
        <v>247</v>
      </c>
      <c r="Q957" s="6" t="s">
        <v>5803</v>
      </c>
      <c r="R9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7" s="2" t="str">
        <f>_xlfn.XLOOKUP(Table2[[#This Row],[Adjusted Form '#]],'[2]IN PROGRESS'!$D:$D,'[2]IN PROGRESS'!$M:$M,"Not Found")</f>
        <v>Not Found</v>
      </c>
      <c r="U957" s="2" t="str">
        <f>_xlfn.XLOOKUP(Table2[[#This Row],[Adjusted Form '#]],[1]COMPLETED!$D:$D,[2]COMPLETED!$M:$M,"Not Found")</f>
        <v>Not Found</v>
      </c>
      <c r="V957" s="17" t="str">
        <f>_xlfn.XLOOKUP(Table2[[#This Row],[Adjusted Form '#]],[2]COMPLETED!$D:$D,[2]COMPLETED!$O:$O,"Not Found")</f>
        <v>Not Found</v>
      </c>
      <c r="W957" s="2" t="str">
        <f>_xlfn.XLOOKUP(Table2[[#This Row],[Adjusted Form '#]],[2]BILLED!$D:$D,[2]BILLED!$M:$M,"Not Found")</f>
        <v>1Z5063E0YW42881993</v>
      </c>
      <c r="X957" s="17" t="e">
        <f>_xlfn.XLOOKUP(Table2[[#This Row],[Adjusted Form '#]],[2]BILLED!$D:$D,[1]BILLED!$O:$O,"Not Found")</f>
        <v>#REF!</v>
      </c>
      <c r="Y957" s="17" t="e">
        <f>_xlfn.XLOOKUP(Table2[[#This Row],[Adjusted Form '#]],'[2]REJECTED ORDERS'!$D:$D,'[2]REJECTED ORDERS'!$E:$E)</f>
        <v>#N/A</v>
      </c>
      <c r="Z957" s="1"/>
      <c r="AA957" s="1"/>
      <c r="AB957" s="8"/>
      <c r="AC957" s="8"/>
      <c r="AD957" s="8"/>
      <c r="AE957" s="8"/>
      <c r="AF957" s="8"/>
      <c r="AG957" s="8"/>
      <c r="AH957" s="8"/>
      <c r="AI957" s="8"/>
      <c r="AJ957" s="8"/>
    </row>
    <row r="958" spans="1:36" ht="15" customHeight="1" x14ac:dyDescent="0.35">
      <c r="A958" s="4" t="s">
        <v>1447</v>
      </c>
      <c r="B958" s="1" t="s">
        <v>3622</v>
      </c>
      <c r="C958" s="11">
        <v>45056</v>
      </c>
      <c r="D958" s="11" t="s">
        <v>5533</v>
      </c>
      <c r="E958" s="1" t="s">
        <v>14</v>
      </c>
      <c r="F958" s="1" t="s">
        <v>5538</v>
      </c>
      <c r="G958" s="6">
        <f>COUNTIF(F:F,Table2[[#This Row],[Form '#]])</f>
        <v>1</v>
      </c>
      <c r="H958" s="1" t="s">
        <v>3697</v>
      </c>
      <c r="I958" s="1" t="s">
        <v>758</v>
      </c>
      <c r="J958" s="1" t="s">
        <v>78</v>
      </c>
      <c r="K958" s="1" t="s">
        <v>3853</v>
      </c>
      <c r="L958" s="1"/>
      <c r="M958" s="6" t="str">
        <f>IF(Table2[[#This Row],[Corrected Form '#
 (If Duplicated)]]="",Table2[[#This Row],[Form '#]],Table2[[#This Row],[Corrected Form '#
 (If Duplicated)]])</f>
        <v>7810-01898</v>
      </c>
      <c r="N958" s="1" t="s">
        <v>49</v>
      </c>
      <c r="O958" s="6" t="str">
        <f>IF(Table2[[#This Row],[POG CONFIRMATION RECEIPT OF ORDER
(DATE &amp; TIME)]]="","No Confirmation","Received Confirmation")</f>
        <v>Received Confirmation</v>
      </c>
      <c r="P958" s="6">
        <f ca="1">TODAY()-Table2[[#This Row],[DATE SENT TO POG]]</f>
        <v>247</v>
      </c>
      <c r="Q958" s="6" t="s">
        <v>5803</v>
      </c>
      <c r="R9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58" s="2" t="str">
        <f>_xlfn.XLOOKUP(Table2[[#This Row],[Adjusted Form '#]],'[2]IN PROGRESS'!$D:$D,'[2]IN PROGRESS'!$M:$M,"Not Found")</f>
        <v>Not Found</v>
      </c>
      <c r="U958" s="2" t="str">
        <f>_xlfn.XLOOKUP(Table2[[#This Row],[Adjusted Form '#]],[1]COMPLETED!$D:$D,[2]COMPLETED!$M:$M,"Not Found")</f>
        <v>Not Found</v>
      </c>
      <c r="V958" s="17" t="str">
        <f>_xlfn.XLOOKUP(Table2[[#This Row],[Adjusted Form '#]],[2]COMPLETED!$D:$D,[2]COMPLETED!$O:$O,"Not Found")</f>
        <v>Not Found</v>
      </c>
      <c r="W958" s="2" t="str">
        <f>_xlfn.XLOOKUP(Table2[[#This Row],[Adjusted Form '#]],[2]BILLED!$D:$D,[2]BILLED!$M:$M,"Not Found")</f>
        <v>1Z5063E0YW40494469</v>
      </c>
      <c r="X958" s="17" t="e">
        <f>_xlfn.XLOOKUP(Table2[[#This Row],[Adjusted Form '#]],[2]BILLED!$D:$D,[1]BILLED!$O:$O,"Not Found")</f>
        <v>#REF!</v>
      </c>
      <c r="Y958" s="17" t="e">
        <f>_xlfn.XLOOKUP(Table2[[#This Row],[Adjusted Form '#]],'[2]REJECTED ORDERS'!$D:$D,'[2]REJECTED ORDERS'!$E:$E)</f>
        <v>#N/A</v>
      </c>
      <c r="Z958" s="1"/>
      <c r="AA958" s="1"/>
      <c r="AB958" s="8"/>
      <c r="AC958" s="8"/>
      <c r="AD958" s="8"/>
      <c r="AE958" s="8"/>
      <c r="AF958" s="8"/>
      <c r="AG958" s="8"/>
      <c r="AH958" s="8"/>
      <c r="AI958" s="8"/>
      <c r="AJ958" s="8"/>
    </row>
    <row r="959" spans="1:36" ht="15" customHeight="1" x14ac:dyDescent="0.35">
      <c r="A959" s="4" t="s">
        <v>1449</v>
      </c>
      <c r="B959" s="1" t="s">
        <v>3622</v>
      </c>
      <c r="C959" s="11">
        <v>45056</v>
      </c>
      <c r="D959" s="11" t="s">
        <v>5533</v>
      </c>
      <c r="E959" s="1" t="s">
        <v>14</v>
      </c>
      <c r="F959" s="1" t="s">
        <v>5539</v>
      </c>
      <c r="G959" s="6">
        <f>COUNTIF(F:F,Table2[[#This Row],[Form '#]])</f>
        <v>1</v>
      </c>
      <c r="H959" s="1" t="s">
        <v>5540</v>
      </c>
      <c r="I959" s="1" t="s">
        <v>3864</v>
      </c>
      <c r="J959" s="1" t="s">
        <v>3891</v>
      </c>
      <c r="K959" s="1" t="s">
        <v>3891</v>
      </c>
      <c r="L959" s="1"/>
      <c r="M959" s="6" t="str">
        <f>IF(Table2[[#This Row],[Corrected Form '#
 (If Duplicated)]]="",Table2[[#This Row],[Form '#]],Table2[[#This Row],[Corrected Form '#
 (If Duplicated)]])</f>
        <v>7810-147761</v>
      </c>
      <c r="N959" s="1" t="s">
        <v>49</v>
      </c>
      <c r="O959" s="6" t="str">
        <f>IF(Table2[[#This Row],[POG CONFIRMATION RECEIPT OF ORDER
(DATE &amp; TIME)]]="","No Confirmation","Received Confirmation")</f>
        <v>Received Confirmation</v>
      </c>
      <c r="P959" s="6">
        <f ca="1">TODAY()-Table2[[#This Row],[DATE SENT TO POG]]</f>
        <v>247</v>
      </c>
      <c r="Q959" s="6" t="s">
        <v>5802</v>
      </c>
      <c r="R9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95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959" s="2" t="str">
        <f>_xlfn.XLOOKUP(Table2[[#This Row],[Adjusted Form '#]],'[2]IN PROGRESS'!$D:$D,'[2]IN PROGRESS'!$M:$M,"Not Found")</f>
        <v>Not Found</v>
      </c>
      <c r="U959" s="2" t="str">
        <f>_xlfn.XLOOKUP(Table2[[#This Row],[Adjusted Form '#]],[1]COMPLETED!$D:$D,[2]COMPLETED!$M:$M,"Not Found")</f>
        <v>Not Found</v>
      </c>
      <c r="V959" s="17" t="str">
        <f>_xlfn.XLOOKUP(Table2[[#This Row],[Adjusted Form '#]],[2]COMPLETED!$D:$D,[2]COMPLETED!$O:$O,"Not Found")</f>
        <v>Not Found</v>
      </c>
      <c r="W959" s="2" t="str">
        <f>_xlfn.XLOOKUP(Table2[[#This Row],[Adjusted Form '#]],[2]BILLED!$D:$D,[2]BILLED!$M:$M,"Not Found")</f>
        <v>Not Found</v>
      </c>
      <c r="X959" s="17" t="str">
        <f>_xlfn.XLOOKUP(Table2[[#This Row],[Adjusted Form '#]],[2]BILLED!$D:$D,[1]BILLED!$O:$O,"Not Found")</f>
        <v>Not Found</v>
      </c>
      <c r="Y959" s="17" t="e">
        <f>_xlfn.XLOOKUP(Table2[[#This Row],[Adjusted Form '#]],'[2]REJECTED ORDERS'!$D:$D,'[2]REJECTED ORDERS'!$E:$E)</f>
        <v>#N/A</v>
      </c>
      <c r="Z959" s="1"/>
      <c r="AA959" s="1"/>
      <c r="AB959" s="8"/>
      <c r="AC959" s="8"/>
      <c r="AD959" s="8"/>
      <c r="AE959" s="8"/>
      <c r="AF959" s="8"/>
      <c r="AG959" s="8"/>
      <c r="AH959" s="8"/>
      <c r="AI959" s="8"/>
      <c r="AJ959" s="8"/>
    </row>
    <row r="960" spans="1:36" ht="15" customHeight="1" x14ac:dyDescent="0.35">
      <c r="A960" s="4" t="s">
        <v>1452</v>
      </c>
      <c r="B960" s="1" t="s">
        <v>3622</v>
      </c>
      <c r="C960" s="11">
        <v>45056</v>
      </c>
      <c r="D960" s="11" t="s">
        <v>5533</v>
      </c>
      <c r="E960" s="1" t="s">
        <v>14</v>
      </c>
      <c r="F960" s="1" t="s">
        <v>5541</v>
      </c>
      <c r="G960" s="6">
        <f>COUNTIF(F:F,Table2[[#This Row],[Form '#]])</f>
        <v>1</v>
      </c>
      <c r="H960" s="1" t="s">
        <v>2644</v>
      </c>
      <c r="I960" s="1" t="s">
        <v>3852</v>
      </c>
      <c r="J960" s="1" t="s">
        <v>75</v>
      </c>
      <c r="K960" s="1" t="s">
        <v>4011</v>
      </c>
      <c r="L960" s="1"/>
      <c r="M960" s="6" t="str">
        <f>IF(Table2[[#This Row],[Corrected Form '#
 (If Duplicated)]]="",Table2[[#This Row],[Form '#]],Table2[[#This Row],[Corrected Form '#
 (If Duplicated)]])</f>
        <v>7810-01796</v>
      </c>
      <c r="N960" s="1" t="s">
        <v>49</v>
      </c>
      <c r="O960" s="6" t="str">
        <f>IF(Table2[[#This Row],[POG CONFIRMATION RECEIPT OF ORDER
(DATE &amp; TIME)]]="","No Confirmation","Received Confirmation")</f>
        <v>Received Confirmation</v>
      </c>
      <c r="P960" s="6">
        <f ca="1">TODAY()-Table2[[#This Row],[DATE SENT TO POG]]</f>
        <v>247</v>
      </c>
      <c r="Q960" s="6" t="s">
        <v>5803</v>
      </c>
      <c r="R9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0" s="2" t="str">
        <f>_xlfn.XLOOKUP(Table2[[#This Row],[Adjusted Form '#]],'[2]IN PROGRESS'!$D:$D,'[2]IN PROGRESS'!$M:$M,"Not Found")</f>
        <v>Not Found</v>
      </c>
      <c r="U960" s="2" t="str">
        <f>_xlfn.XLOOKUP(Table2[[#This Row],[Adjusted Form '#]],[1]COMPLETED!$D:$D,[2]COMPLETED!$M:$M,"Not Found")</f>
        <v>Not Found</v>
      </c>
      <c r="V960" s="17" t="str">
        <f>_xlfn.XLOOKUP(Table2[[#This Row],[Adjusted Form '#]],[2]COMPLETED!$D:$D,[2]COMPLETED!$O:$O,"Not Found")</f>
        <v>Not Found</v>
      </c>
      <c r="W960" s="2" t="str">
        <f>_xlfn.XLOOKUP(Table2[[#This Row],[Adjusted Form '#]],[2]BILLED!$D:$D,[2]BILLED!$M:$M,"Not Found")</f>
        <v>1Z5063E0YW41172448</v>
      </c>
      <c r="X960" s="17" t="e">
        <f>_xlfn.XLOOKUP(Table2[[#This Row],[Adjusted Form '#]],[2]BILLED!$D:$D,[1]BILLED!$O:$O,"Not Found")</f>
        <v>#REF!</v>
      </c>
      <c r="Y960" s="17" t="e">
        <f>_xlfn.XLOOKUP(Table2[[#This Row],[Adjusted Form '#]],'[2]REJECTED ORDERS'!$D:$D,'[2]REJECTED ORDERS'!$E:$E)</f>
        <v>#N/A</v>
      </c>
      <c r="Z960" s="1"/>
      <c r="AA960" s="1"/>
      <c r="AB960" s="8"/>
      <c r="AC960" s="8"/>
      <c r="AD960" s="8"/>
      <c r="AE960" s="8"/>
      <c r="AF960" s="8"/>
      <c r="AG960" s="8"/>
      <c r="AH960" s="8"/>
      <c r="AI960" s="8"/>
      <c r="AJ960" s="8"/>
    </row>
    <row r="961" spans="1:36" ht="15" customHeight="1" x14ac:dyDescent="0.35">
      <c r="A961" s="4" t="s">
        <v>1454</v>
      </c>
      <c r="B961" s="1" t="s">
        <v>948</v>
      </c>
      <c r="C961" s="11">
        <v>45056</v>
      </c>
      <c r="D961" s="11" t="s">
        <v>5542</v>
      </c>
      <c r="E961" s="1" t="s">
        <v>14</v>
      </c>
      <c r="F961" s="1" t="s">
        <v>5102</v>
      </c>
      <c r="G961" s="6">
        <f>COUNTIF(F:F,Table2[[#This Row],[Form '#]])</f>
        <v>2</v>
      </c>
      <c r="H961" s="1" t="s">
        <v>5103</v>
      </c>
      <c r="I961" s="1" t="s">
        <v>3864</v>
      </c>
      <c r="J961" s="1" t="s">
        <v>78</v>
      </c>
      <c r="K961" s="1" t="s">
        <v>3879</v>
      </c>
      <c r="L961" s="1"/>
      <c r="M961" s="6" t="str">
        <f>IF(Table2[[#This Row],[Corrected Form '#
 (If Duplicated)]]="",Table2[[#This Row],[Form '#]],Table2[[#This Row],[Corrected Form '#
 (If Duplicated)]])</f>
        <v>7810-01206</v>
      </c>
      <c r="N961" s="1" t="s">
        <v>49</v>
      </c>
      <c r="O961" s="6" t="str">
        <f>IF(Table2[[#This Row],[POG CONFIRMATION RECEIPT OF ORDER
(DATE &amp; TIME)]]="","No Confirmation","Received Confirmation")</f>
        <v>Received Confirmation</v>
      </c>
      <c r="P961" s="6">
        <f ca="1">TODAY()-Table2[[#This Row],[DATE SENT TO POG]]</f>
        <v>247</v>
      </c>
      <c r="Q961" s="6" t="s">
        <v>5803</v>
      </c>
      <c r="R9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1" s="2" t="str">
        <f>_xlfn.XLOOKUP(Table2[[#This Row],[Adjusted Form '#]],'[2]IN PROGRESS'!$D:$D,'[2]IN PROGRESS'!$M:$M,"Not Found")</f>
        <v>Not Found</v>
      </c>
      <c r="U961" s="2" t="str">
        <f>_xlfn.XLOOKUP(Table2[[#This Row],[Adjusted Form '#]],[1]COMPLETED!$D:$D,[2]COMPLETED!$M:$M,"Not Found")</f>
        <v>Not Found</v>
      </c>
      <c r="V961" s="17" t="str">
        <f>_xlfn.XLOOKUP(Table2[[#This Row],[Adjusted Form '#]],[2]COMPLETED!$D:$D,[2]COMPLETED!$O:$O,"Not Found")</f>
        <v>Not Found</v>
      </c>
      <c r="W961" s="2" t="str">
        <f>_xlfn.XLOOKUP(Table2[[#This Row],[Adjusted Form '#]],[2]BILLED!$D:$D,[2]BILLED!$M:$M,"Not Found")</f>
        <v>1Z5063E0YW40853786</v>
      </c>
      <c r="X961" s="17" t="e">
        <f>_xlfn.XLOOKUP(Table2[[#This Row],[Adjusted Form '#]],[2]BILLED!$D:$D,[1]BILLED!$O:$O,"Not Found")</f>
        <v>#REF!</v>
      </c>
      <c r="Y961" s="17" t="e">
        <f>_xlfn.XLOOKUP(Table2[[#This Row],[Adjusted Form '#]],'[2]REJECTED ORDERS'!$D:$D,'[2]REJECTED ORDERS'!$E:$E)</f>
        <v>#N/A</v>
      </c>
      <c r="Z961" s="1"/>
      <c r="AA961" s="1"/>
      <c r="AB961" s="8"/>
      <c r="AC961" s="8"/>
      <c r="AD961" s="8"/>
      <c r="AE961" s="8"/>
      <c r="AF961" s="8"/>
      <c r="AG961" s="8"/>
      <c r="AH961" s="8"/>
      <c r="AI961" s="8"/>
      <c r="AJ961" s="8"/>
    </row>
    <row r="962" spans="1:36" ht="15" customHeight="1" x14ac:dyDescent="0.35">
      <c r="A962" s="4" t="s">
        <v>1455</v>
      </c>
      <c r="B962" s="1" t="s">
        <v>831</v>
      </c>
      <c r="C962" s="11">
        <v>45056</v>
      </c>
      <c r="D962" s="11" t="s">
        <v>5542</v>
      </c>
      <c r="E962" s="1" t="s">
        <v>191</v>
      </c>
      <c r="F962" s="1" t="s">
        <v>5402</v>
      </c>
      <c r="G962" s="6">
        <f>COUNTIF(F:F,Table2[[#This Row],[Form '#]])</f>
        <v>2</v>
      </c>
      <c r="H962" s="1" t="s">
        <v>5403</v>
      </c>
      <c r="I962" s="1" t="s">
        <v>28</v>
      </c>
      <c r="J962" s="1" t="s">
        <v>69</v>
      </c>
      <c r="K962" s="1" t="s">
        <v>4011</v>
      </c>
      <c r="L962" s="1"/>
      <c r="M962" s="6" t="str">
        <f>IF(Table2[[#This Row],[Corrected Form '#
 (If Duplicated)]]="",Table2[[#This Row],[Form '#]],Table2[[#This Row],[Corrected Form '#
 (If Duplicated)]])</f>
        <v>7812-02855</v>
      </c>
      <c r="N962" s="1" t="s">
        <v>49</v>
      </c>
      <c r="O962" s="6" t="str">
        <f>IF(Table2[[#This Row],[POG CONFIRMATION RECEIPT OF ORDER
(DATE &amp; TIME)]]="","No Confirmation","Received Confirmation")</f>
        <v>Received Confirmation</v>
      </c>
      <c r="P962" s="6">
        <f ca="1">TODAY()-Table2[[#This Row],[DATE SENT TO POG]]</f>
        <v>247</v>
      </c>
      <c r="Q962" s="6" t="s">
        <v>5803</v>
      </c>
      <c r="R9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2" s="2" t="str">
        <f>_xlfn.XLOOKUP(Table2[[#This Row],[Adjusted Form '#]],'[2]IN PROGRESS'!$D:$D,'[2]IN PROGRESS'!$M:$M,"Not Found")</f>
        <v>Not Found</v>
      </c>
      <c r="U962" s="2" t="str">
        <f>_xlfn.XLOOKUP(Table2[[#This Row],[Adjusted Form '#]],[1]COMPLETED!$D:$D,[2]COMPLETED!$M:$M,"Not Found")</f>
        <v>Not Found</v>
      </c>
      <c r="V962" s="17" t="str">
        <f>_xlfn.XLOOKUP(Table2[[#This Row],[Adjusted Form '#]],[2]COMPLETED!$D:$D,[2]COMPLETED!$O:$O,"Not Found")</f>
        <v>Not Found</v>
      </c>
      <c r="W962" s="2" t="str">
        <f>_xlfn.XLOOKUP(Table2[[#This Row],[Adjusted Form '#]],[2]BILLED!$D:$D,[2]BILLED!$M:$M,"Not Found")</f>
        <v>9400 1361 0605 3132 7903 16</v>
      </c>
      <c r="X962" s="17" t="e">
        <f>_xlfn.XLOOKUP(Table2[[#This Row],[Adjusted Form '#]],[2]BILLED!$D:$D,[1]BILLED!$O:$O,"Not Found")</f>
        <v>#REF!</v>
      </c>
      <c r="Y962" s="17" t="e">
        <f>_xlfn.XLOOKUP(Table2[[#This Row],[Adjusted Form '#]],'[2]REJECTED ORDERS'!$D:$D,'[2]REJECTED ORDERS'!$E:$E)</f>
        <v>#N/A</v>
      </c>
      <c r="Z962" s="1"/>
      <c r="AA962" s="1"/>
      <c r="AB962" s="8"/>
      <c r="AC962" s="8"/>
      <c r="AD962" s="8"/>
      <c r="AE962" s="8"/>
      <c r="AF962" s="8"/>
      <c r="AG962" s="8"/>
      <c r="AH962" s="8"/>
      <c r="AI962" s="8"/>
      <c r="AJ962" s="8"/>
    </row>
    <row r="963" spans="1:36" ht="15" customHeight="1" x14ac:dyDescent="0.35">
      <c r="A963" s="4" t="s">
        <v>1456</v>
      </c>
      <c r="B963" s="1" t="s">
        <v>351</v>
      </c>
      <c r="C963" s="11">
        <v>45056</v>
      </c>
      <c r="D963" s="11" t="s">
        <v>5542</v>
      </c>
      <c r="E963" s="1" t="s">
        <v>21</v>
      </c>
      <c r="F963" s="1" t="s">
        <v>5543</v>
      </c>
      <c r="G963" s="6">
        <f>COUNTIF(F:F,Table2[[#This Row],[Form '#]])</f>
        <v>1</v>
      </c>
      <c r="H963" s="1" t="s">
        <v>5544</v>
      </c>
      <c r="I963" s="1" t="s">
        <v>127</v>
      </c>
      <c r="J963" s="1" t="s">
        <v>74</v>
      </c>
      <c r="K963" s="1" t="s">
        <v>3883</v>
      </c>
      <c r="L963" s="1"/>
      <c r="M963" s="6" t="str">
        <f>IF(Table2[[#This Row],[Corrected Form '#
 (If Duplicated)]]="",Table2[[#This Row],[Form '#]],Table2[[#This Row],[Corrected Form '#
 (If Duplicated)]])</f>
        <v>7818-26605</v>
      </c>
      <c r="N963" s="1" t="s">
        <v>49</v>
      </c>
      <c r="O963" s="6" t="str">
        <f>IF(Table2[[#This Row],[POG CONFIRMATION RECEIPT OF ORDER
(DATE &amp; TIME)]]="","No Confirmation","Received Confirmation")</f>
        <v>Received Confirmation</v>
      </c>
      <c r="P963" s="6">
        <f ca="1">TODAY()-Table2[[#This Row],[DATE SENT TO POG]]</f>
        <v>247</v>
      </c>
      <c r="Q963" s="6" t="s">
        <v>5803</v>
      </c>
      <c r="R9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3" s="2" t="str">
        <f>_xlfn.XLOOKUP(Table2[[#This Row],[Adjusted Form '#]],'[2]IN PROGRESS'!$D:$D,'[2]IN PROGRESS'!$M:$M,"Not Found")</f>
        <v>Not Found</v>
      </c>
      <c r="U963" s="2" t="str">
        <f>_xlfn.XLOOKUP(Table2[[#This Row],[Adjusted Form '#]],[1]COMPLETED!$D:$D,[2]COMPLETED!$M:$M,"Not Found")</f>
        <v>Not Found</v>
      </c>
      <c r="V963" s="17" t="str">
        <f>_xlfn.XLOOKUP(Table2[[#This Row],[Adjusted Form '#]],[2]COMPLETED!$D:$D,[2]COMPLETED!$O:$O,"Not Found")</f>
        <v>Not Found</v>
      </c>
      <c r="W963" s="2" t="str">
        <f>_xlfn.XLOOKUP(Table2[[#This Row],[Adjusted Form '#]],[2]BILLED!$D:$D,[2]BILLED!$M:$M,"Not Found")</f>
        <v>1Z5063E0YW40561565</v>
      </c>
      <c r="X963" s="17" t="e">
        <f>_xlfn.XLOOKUP(Table2[[#This Row],[Adjusted Form '#]],[2]BILLED!$D:$D,[1]BILLED!$O:$O,"Not Found")</f>
        <v>#REF!</v>
      </c>
      <c r="Y963" s="17" t="e">
        <f>_xlfn.XLOOKUP(Table2[[#This Row],[Adjusted Form '#]],'[2]REJECTED ORDERS'!$D:$D,'[2]REJECTED ORDERS'!$E:$E)</f>
        <v>#N/A</v>
      </c>
      <c r="Z963" s="1"/>
      <c r="AA963" s="1"/>
      <c r="AB963" s="8"/>
      <c r="AC963" s="8"/>
      <c r="AD963" s="8"/>
      <c r="AE963" s="8"/>
      <c r="AF963" s="8"/>
      <c r="AG963" s="8"/>
      <c r="AH963" s="8"/>
      <c r="AI963" s="8"/>
      <c r="AJ963" s="8"/>
    </row>
    <row r="964" spans="1:36" ht="15" customHeight="1" x14ac:dyDescent="0.35">
      <c r="A964" s="4" t="s">
        <v>1457</v>
      </c>
      <c r="B964" s="1" t="s">
        <v>351</v>
      </c>
      <c r="C964" s="11">
        <v>45056</v>
      </c>
      <c r="D964" s="11" t="s">
        <v>5542</v>
      </c>
      <c r="E964" s="1" t="s">
        <v>21</v>
      </c>
      <c r="F964" s="1" t="s">
        <v>5545</v>
      </c>
      <c r="G964" s="6">
        <f>COUNTIF(F:F,Table2[[#This Row],[Form '#]])</f>
        <v>1</v>
      </c>
      <c r="H964" s="1" t="s">
        <v>445</v>
      </c>
      <c r="I964" s="1" t="s">
        <v>3864</v>
      </c>
      <c r="J964" s="1" t="s">
        <v>78</v>
      </c>
      <c r="K964" s="1" t="s">
        <v>3879</v>
      </c>
      <c r="L964" s="1"/>
      <c r="M964" s="6" t="str">
        <f>IF(Table2[[#This Row],[Corrected Form '#
 (If Duplicated)]]="",Table2[[#This Row],[Form '#]],Table2[[#This Row],[Corrected Form '#
 (If Duplicated)]])</f>
        <v>7818-29802</v>
      </c>
      <c r="N964" s="1" t="s">
        <v>49</v>
      </c>
      <c r="O964" s="6" t="str">
        <f>IF(Table2[[#This Row],[POG CONFIRMATION RECEIPT OF ORDER
(DATE &amp; TIME)]]="","No Confirmation","Received Confirmation")</f>
        <v>Received Confirmation</v>
      </c>
      <c r="P964" s="6">
        <f ca="1">TODAY()-Table2[[#This Row],[DATE SENT TO POG]]</f>
        <v>247</v>
      </c>
      <c r="Q964" s="6" t="s">
        <v>5803</v>
      </c>
      <c r="R9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4" s="2" t="str">
        <f>_xlfn.XLOOKUP(Table2[[#This Row],[Adjusted Form '#]],'[2]IN PROGRESS'!$D:$D,'[2]IN PROGRESS'!$M:$M,"Not Found")</f>
        <v>Not Found</v>
      </c>
      <c r="U964" s="2" t="str">
        <f>_xlfn.XLOOKUP(Table2[[#This Row],[Adjusted Form '#]],[1]COMPLETED!$D:$D,[2]COMPLETED!$M:$M,"Not Found")</f>
        <v>Not Found</v>
      </c>
      <c r="V964" s="17" t="str">
        <f>_xlfn.XLOOKUP(Table2[[#This Row],[Adjusted Form '#]],[2]COMPLETED!$D:$D,[2]COMPLETED!$O:$O,"Not Found")</f>
        <v>Not Found</v>
      </c>
      <c r="W964" s="2" t="str">
        <f>_xlfn.XLOOKUP(Table2[[#This Row],[Adjusted Form '#]],[2]BILLED!$D:$D,[2]BILLED!$M:$M,"Not Found")</f>
        <v>9405 5112 0620 7629 6244 65</v>
      </c>
      <c r="X964" s="17" t="e">
        <f>_xlfn.XLOOKUP(Table2[[#This Row],[Adjusted Form '#]],[2]BILLED!$D:$D,[1]BILLED!$O:$O,"Not Found")</f>
        <v>#REF!</v>
      </c>
      <c r="Y964" s="17" t="e">
        <f>_xlfn.XLOOKUP(Table2[[#This Row],[Adjusted Form '#]],'[2]REJECTED ORDERS'!$D:$D,'[2]REJECTED ORDERS'!$E:$E)</f>
        <v>#N/A</v>
      </c>
      <c r="Z964" s="1"/>
      <c r="AA964" s="1"/>
      <c r="AB964" s="8"/>
      <c r="AC964" s="8"/>
      <c r="AD964" s="8"/>
      <c r="AE964" s="8"/>
      <c r="AF964" s="8"/>
      <c r="AG964" s="8"/>
      <c r="AH964" s="8"/>
      <c r="AI964" s="8"/>
      <c r="AJ964" s="8"/>
    </row>
    <row r="965" spans="1:36" ht="15" customHeight="1" x14ac:dyDescent="0.35">
      <c r="A965" s="4" t="s">
        <v>1459</v>
      </c>
      <c r="B965" s="1" t="s">
        <v>2174</v>
      </c>
      <c r="C965" s="11">
        <v>45056</v>
      </c>
      <c r="D965" s="11" t="s">
        <v>5542</v>
      </c>
      <c r="E965" s="1" t="s">
        <v>21</v>
      </c>
      <c r="F965" s="1" t="s">
        <v>5546</v>
      </c>
      <c r="G965" s="6">
        <f>COUNTIF(F:F,Table2[[#This Row],[Form '#]])</f>
        <v>1</v>
      </c>
      <c r="H965" s="1" t="s">
        <v>5547</v>
      </c>
      <c r="I965" s="1" t="s">
        <v>127</v>
      </c>
      <c r="J965" s="1" t="s">
        <v>71</v>
      </c>
      <c r="K965" s="1" t="s">
        <v>3891</v>
      </c>
      <c r="L965" s="1"/>
      <c r="M965" s="6" t="str">
        <f>IF(Table2[[#This Row],[Corrected Form '#
 (If Duplicated)]]="",Table2[[#This Row],[Form '#]],Table2[[#This Row],[Corrected Form '#
 (If Duplicated)]])</f>
        <v>7818-07081</v>
      </c>
      <c r="N965" s="1" t="s">
        <v>49</v>
      </c>
      <c r="O965" s="6" t="str">
        <f>IF(Table2[[#This Row],[POG CONFIRMATION RECEIPT OF ORDER
(DATE &amp; TIME)]]="","No Confirmation","Received Confirmation")</f>
        <v>Received Confirmation</v>
      </c>
      <c r="P965" s="6">
        <f ca="1">TODAY()-Table2[[#This Row],[DATE SENT TO POG]]</f>
        <v>247</v>
      </c>
      <c r="Q965" s="6" t="s">
        <v>5803</v>
      </c>
      <c r="R9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5" s="2" t="str">
        <f>_xlfn.XLOOKUP(Table2[[#This Row],[Adjusted Form '#]],'[2]IN PROGRESS'!$D:$D,'[2]IN PROGRESS'!$M:$M,"Not Found")</f>
        <v>Not Found</v>
      </c>
      <c r="U965" s="2" t="str">
        <f>_xlfn.XLOOKUP(Table2[[#This Row],[Adjusted Form '#]],[1]COMPLETED!$D:$D,[2]COMPLETED!$M:$M,"Not Found")</f>
        <v>Not Found</v>
      </c>
      <c r="V965" s="17" t="str">
        <f>_xlfn.XLOOKUP(Table2[[#This Row],[Adjusted Form '#]],[2]COMPLETED!$D:$D,[2]COMPLETED!$O:$O,"Not Found")</f>
        <v>Not Found</v>
      </c>
      <c r="W965" s="2" t="str">
        <f>_xlfn.XLOOKUP(Table2[[#This Row],[Adjusted Form '#]],[2]BILLED!$D:$D,[2]BILLED!$M:$M,"Not Found")</f>
        <v>1Z5063E0YW41674423</v>
      </c>
      <c r="X965" s="17" t="e">
        <f>_xlfn.XLOOKUP(Table2[[#This Row],[Adjusted Form '#]],[2]BILLED!$D:$D,[1]BILLED!$O:$O,"Not Found")</f>
        <v>#REF!</v>
      </c>
      <c r="Y965" s="17" t="e">
        <f>_xlfn.XLOOKUP(Table2[[#This Row],[Adjusted Form '#]],'[2]REJECTED ORDERS'!$D:$D,'[2]REJECTED ORDERS'!$E:$E)</f>
        <v>#N/A</v>
      </c>
      <c r="Z965" s="1"/>
      <c r="AA965" s="1"/>
      <c r="AB965" s="8"/>
      <c r="AC965" s="8"/>
      <c r="AD965" s="8"/>
      <c r="AE965" s="8"/>
      <c r="AF965" s="8"/>
      <c r="AG965" s="8"/>
      <c r="AH965" s="8"/>
      <c r="AI965" s="8"/>
      <c r="AJ965" s="8"/>
    </row>
    <row r="966" spans="1:36" ht="15" customHeight="1" x14ac:dyDescent="0.35">
      <c r="A966" s="4" t="s">
        <v>1460</v>
      </c>
      <c r="B966" s="1" t="s">
        <v>2174</v>
      </c>
      <c r="C966" s="11">
        <v>45056</v>
      </c>
      <c r="D966" s="11" t="s">
        <v>5542</v>
      </c>
      <c r="E966" s="1" t="s">
        <v>21</v>
      </c>
      <c r="F966" s="1" t="s">
        <v>5548</v>
      </c>
      <c r="G966" s="6">
        <f>COUNTIF(F:F,Table2[[#This Row],[Form '#]])</f>
        <v>1</v>
      </c>
      <c r="H966" s="1" t="s">
        <v>5549</v>
      </c>
      <c r="I966" s="1" t="s">
        <v>177</v>
      </c>
      <c r="J966" s="1" t="s">
        <v>75</v>
      </c>
      <c r="K966" s="1" t="s">
        <v>3853</v>
      </c>
      <c r="L966" s="1"/>
      <c r="M966" s="6" t="str">
        <f>IF(Table2[[#This Row],[Corrected Form '#
 (If Duplicated)]]="",Table2[[#This Row],[Form '#]],Table2[[#This Row],[Corrected Form '#
 (If Duplicated)]])</f>
        <v>7818-07078</v>
      </c>
      <c r="N966" s="1" t="s">
        <v>49</v>
      </c>
      <c r="O966" s="6" t="str">
        <f>IF(Table2[[#This Row],[POG CONFIRMATION RECEIPT OF ORDER
(DATE &amp; TIME)]]="","No Confirmation","Received Confirmation")</f>
        <v>Received Confirmation</v>
      </c>
      <c r="P966" s="6">
        <f ca="1">TODAY()-Table2[[#This Row],[DATE SENT TO POG]]</f>
        <v>247</v>
      </c>
      <c r="Q966" s="6" t="s">
        <v>5803</v>
      </c>
      <c r="R9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6" s="2" t="str">
        <f>_xlfn.XLOOKUP(Table2[[#This Row],[Adjusted Form '#]],'[2]IN PROGRESS'!$D:$D,'[2]IN PROGRESS'!$M:$M,"Not Found")</f>
        <v>Not Found</v>
      </c>
      <c r="U966" s="2" t="str">
        <f>_xlfn.XLOOKUP(Table2[[#This Row],[Adjusted Form '#]],[1]COMPLETED!$D:$D,[2]COMPLETED!$M:$M,"Not Found")</f>
        <v>Not Found</v>
      </c>
      <c r="V966" s="17" t="str">
        <f>_xlfn.XLOOKUP(Table2[[#This Row],[Adjusted Form '#]],[2]COMPLETED!$D:$D,[2]COMPLETED!$O:$O,"Not Found")</f>
        <v>Not Found</v>
      </c>
      <c r="W966" s="2" t="str">
        <f>_xlfn.XLOOKUP(Table2[[#This Row],[Adjusted Form '#]],[2]BILLED!$D:$D,[2]BILLED!$M:$M,"Not Found")</f>
        <v>1Z5063E0YW40297477</v>
      </c>
      <c r="X966" s="17" t="e">
        <f>_xlfn.XLOOKUP(Table2[[#This Row],[Adjusted Form '#]],[2]BILLED!$D:$D,[1]BILLED!$O:$O,"Not Found")</f>
        <v>#REF!</v>
      </c>
      <c r="Y966" s="17" t="e">
        <f>_xlfn.XLOOKUP(Table2[[#This Row],[Adjusted Form '#]],'[2]REJECTED ORDERS'!$D:$D,'[2]REJECTED ORDERS'!$E:$E)</f>
        <v>#N/A</v>
      </c>
      <c r="Z966" s="1"/>
      <c r="AA966" s="1"/>
      <c r="AB966" s="8"/>
      <c r="AC966" s="8"/>
      <c r="AD966" s="8"/>
      <c r="AE966" s="8"/>
      <c r="AF966" s="8"/>
      <c r="AG966" s="8"/>
      <c r="AH966" s="8"/>
      <c r="AI966" s="8"/>
      <c r="AJ966" s="8"/>
    </row>
    <row r="967" spans="1:36" ht="15" customHeight="1" x14ac:dyDescent="0.35">
      <c r="A967" s="4" t="s">
        <v>1462</v>
      </c>
      <c r="B967" s="1" t="s">
        <v>2174</v>
      </c>
      <c r="C967" s="11">
        <v>45056</v>
      </c>
      <c r="D967" s="11" t="s">
        <v>5542</v>
      </c>
      <c r="E967" s="1" t="s">
        <v>21</v>
      </c>
      <c r="F967" s="1" t="s">
        <v>5550</v>
      </c>
      <c r="G967" s="6">
        <f>COUNTIF(F:F,Table2[[#This Row],[Form '#]])</f>
        <v>1</v>
      </c>
      <c r="H967" s="1" t="s">
        <v>5551</v>
      </c>
      <c r="I967" s="1" t="s">
        <v>3852</v>
      </c>
      <c r="J967" s="1" t="s">
        <v>80</v>
      </c>
      <c r="K967" s="1" t="s">
        <v>3853</v>
      </c>
      <c r="L967" s="1"/>
      <c r="M967" s="6" t="str">
        <f>IF(Table2[[#This Row],[Corrected Form '#
 (If Duplicated)]]="",Table2[[#This Row],[Form '#]],Table2[[#This Row],[Corrected Form '#
 (If Duplicated)]])</f>
        <v>7818-29577</v>
      </c>
      <c r="N967" s="1" t="s">
        <v>49</v>
      </c>
      <c r="O967" s="6" t="str">
        <f>IF(Table2[[#This Row],[POG CONFIRMATION RECEIPT OF ORDER
(DATE &amp; TIME)]]="","No Confirmation","Received Confirmation")</f>
        <v>Received Confirmation</v>
      </c>
      <c r="P967" s="6">
        <f ca="1">TODAY()-Table2[[#This Row],[DATE SENT TO POG]]</f>
        <v>247</v>
      </c>
      <c r="Q967" s="6" t="s">
        <v>5803</v>
      </c>
      <c r="R9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7" s="2" t="str">
        <f>_xlfn.XLOOKUP(Table2[[#This Row],[Adjusted Form '#]],'[2]IN PROGRESS'!$D:$D,'[2]IN PROGRESS'!$M:$M,"Not Found")</f>
        <v>Not Found</v>
      </c>
      <c r="U967" s="2" t="str">
        <f>_xlfn.XLOOKUP(Table2[[#This Row],[Adjusted Form '#]],[1]COMPLETED!$D:$D,[2]COMPLETED!$M:$M,"Not Found")</f>
        <v>Not Found</v>
      </c>
      <c r="V967" s="17" t="str">
        <f>_xlfn.XLOOKUP(Table2[[#This Row],[Adjusted Form '#]],[2]COMPLETED!$D:$D,[2]COMPLETED!$O:$O,"Not Found")</f>
        <v>Not Found</v>
      </c>
      <c r="W967" s="2" t="str">
        <f>_xlfn.XLOOKUP(Table2[[#This Row],[Adjusted Form '#]],[2]BILLED!$D:$D,[2]BILLED!$M:$M,"Not Found")</f>
        <v>1Z5063E0YW42300306</v>
      </c>
      <c r="X967" s="17" t="e">
        <f>_xlfn.XLOOKUP(Table2[[#This Row],[Adjusted Form '#]],[2]BILLED!$D:$D,[1]BILLED!$O:$O,"Not Found")</f>
        <v>#REF!</v>
      </c>
      <c r="Y967" s="17" t="e">
        <f>_xlfn.XLOOKUP(Table2[[#This Row],[Adjusted Form '#]],'[2]REJECTED ORDERS'!$D:$D,'[2]REJECTED ORDERS'!$E:$E)</f>
        <v>#N/A</v>
      </c>
      <c r="Z967" s="1"/>
      <c r="AA967" s="1"/>
      <c r="AB967" s="8"/>
      <c r="AC967" s="8"/>
      <c r="AD967" s="8"/>
      <c r="AE967" s="8"/>
      <c r="AF967" s="8"/>
      <c r="AG967" s="8"/>
      <c r="AH967" s="8"/>
      <c r="AI967" s="8"/>
      <c r="AJ967" s="8"/>
    </row>
    <row r="968" spans="1:36" ht="15" customHeight="1" x14ac:dyDescent="0.35">
      <c r="A968" s="4" t="s">
        <v>1463</v>
      </c>
      <c r="B968" s="1" t="s">
        <v>2174</v>
      </c>
      <c r="C968" s="11">
        <v>45056</v>
      </c>
      <c r="D968" s="11" t="s">
        <v>5542</v>
      </c>
      <c r="E968" s="1" t="s">
        <v>21</v>
      </c>
      <c r="F968" s="1" t="s">
        <v>5552</v>
      </c>
      <c r="G968" s="6">
        <f>COUNTIF(F:F,Table2[[#This Row],[Form '#]])</f>
        <v>1</v>
      </c>
      <c r="H968" s="1" t="s">
        <v>1266</v>
      </c>
      <c r="I968" s="1" t="s">
        <v>177</v>
      </c>
      <c r="J968" s="1" t="s">
        <v>75</v>
      </c>
      <c r="K968" s="1" t="s">
        <v>3853</v>
      </c>
      <c r="L968" s="1"/>
      <c r="M968" s="6" t="str">
        <f>IF(Table2[[#This Row],[Corrected Form '#
 (If Duplicated)]]="",Table2[[#This Row],[Form '#]],Table2[[#This Row],[Corrected Form '#
 (If Duplicated)]])</f>
        <v>7818-26977</v>
      </c>
      <c r="N968" s="1" t="s">
        <v>49</v>
      </c>
      <c r="O968" s="6" t="str">
        <f>IF(Table2[[#This Row],[POG CONFIRMATION RECEIPT OF ORDER
(DATE &amp; TIME)]]="","No Confirmation","Received Confirmation")</f>
        <v>Received Confirmation</v>
      </c>
      <c r="P968" s="6">
        <f ca="1">TODAY()-Table2[[#This Row],[DATE SENT TO POG]]</f>
        <v>247</v>
      </c>
      <c r="Q968" s="6" t="s">
        <v>5803</v>
      </c>
      <c r="R9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96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968" s="2" t="str">
        <f>_xlfn.XLOOKUP(Table2[[#This Row],[Adjusted Form '#]],'[2]IN PROGRESS'!$D:$D,'[2]IN PROGRESS'!$M:$M,"Not Found")</f>
        <v>Not Found</v>
      </c>
      <c r="U968" s="2" t="str">
        <f>_xlfn.XLOOKUP(Table2[[#This Row],[Adjusted Form '#]],[1]COMPLETED!$D:$D,[2]COMPLETED!$M:$M,"Not Found")</f>
        <v>Not Found</v>
      </c>
      <c r="V968" s="17">
        <f>_xlfn.XLOOKUP(Table2[[#This Row],[Adjusted Form '#]],[2]COMPLETED!$D:$D,[2]COMPLETED!$O:$O,"Not Found")</f>
        <v>0</v>
      </c>
      <c r="W968" s="2" t="str">
        <f>_xlfn.XLOOKUP(Table2[[#This Row],[Adjusted Form '#]],[2]BILLED!$D:$D,[2]BILLED!$M:$M,"Not Found")</f>
        <v>Not Found</v>
      </c>
      <c r="X968" s="17" t="str">
        <f>_xlfn.XLOOKUP(Table2[[#This Row],[Adjusted Form '#]],[2]BILLED!$D:$D,[1]BILLED!$O:$O,"Not Found")</f>
        <v>Not Found</v>
      </c>
      <c r="Y968" s="17" t="e">
        <f>_xlfn.XLOOKUP(Table2[[#This Row],[Adjusted Form '#]],'[2]REJECTED ORDERS'!$D:$D,'[2]REJECTED ORDERS'!$E:$E)</f>
        <v>#N/A</v>
      </c>
      <c r="Z968" s="1"/>
      <c r="AA968" s="1"/>
      <c r="AB968" s="8"/>
      <c r="AC968" s="8"/>
      <c r="AD968" s="8"/>
      <c r="AE968" s="8"/>
      <c r="AF968" s="8"/>
      <c r="AG968" s="8"/>
      <c r="AH968" s="8"/>
      <c r="AI968" s="8"/>
      <c r="AJ968" s="8"/>
    </row>
    <row r="969" spans="1:36" ht="15" customHeight="1" x14ac:dyDescent="0.35">
      <c r="A969" s="4" t="s">
        <v>1466</v>
      </c>
      <c r="B969" s="1" t="s">
        <v>2174</v>
      </c>
      <c r="C969" s="11">
        <v>45056</v>
      </c>
      <c r="D969" s="11" t="s">
        <v>5542</v>
      </c>
      <c r="E969" s="1" t="s">
        <v>21</v>
      </c>
      <c r="F969" s="1" t="s">
        <v>5553</v>
      </c>
      <c r="G969" s="6">
        <f>COUNTIF(F:F,Table2[[#This Row],[Form '#]])</f>
        <v>1</v>
      </c>
      <c r="H969" s="1" t="s">
        <v>5554</v>
      </c>
      <c r="I969" s="1" t="s">
        <v>127</v>
      </c>
      <c r="J969" s="1" t="s">
        <v>74</v>
      </c>
      <c r="K969" s="1" t="s">
        <v>3883</v>
      </c>
      <c r="L969" s="1"/>
      <c r="M969" s="6" t="str">
        <f>IF(Table2[[#This Row],[Corrected Form '#
 (If Duplicated)]]="",Table2[[#This Row],[Form '#]],Table2[[#This Row],[Corrected Form '#
 (If Duplicated)]])</f>
        <v>7818-25991</v>
      </c>
      <c r="N969" s="1" t="s">
        <v>49</v>
      </c>
      <c r="O969" s="6" t="str">
        <f>IF(Table2[[#This Row],[POG CONFIRMATION RECEIPT OF ORDER
(DATE &amp; TIME)]]="","No Confirmation","Received Confirmation")</f>
        <v>Received Confirmation</v>
      </c>
      <c r="P969" s="6">
        <f ca="1">TODAY()-Table2[[#This Row],[DATE SENT TO POG]]</f>
        <v>247</v>
      </c>
      <c r="Q969" s="6" t="s">
        <v>5803</v>
      </c>
      <c r="R9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69" s="2" t="str">
        <f>_xlfn.XLOOKUP(Table2[[#This Row],[Adjusted Form '#]],'[2]IN PROGRESS'!$D:$D,'[2]IN PROGRESS'!$M:$M,"Not Found")</f>
        <v>Not Found</v>
      </c>
      <c r="U969" s="2" t="str">
        <f>_xlfn.XLOOKUP(Table2[[#This Row],[Adjusted Form '#]],[1]COMPLETED!$D:$D,[2]COMPLETED!$M:$M,"Not Found")</f>
        <v>Not Found</v>
      </c>
      <c r="V969" s="17" t="str">
        <f>_xlfn.XLOOKUP(Table2[[#This Row],[Adjusted Form '#]],[2]COMPLETED!$D:$D,[2]COMPLETED!$O:$O,"Not Found")</f>
        <v>Not Found</v>
      </c>
      <c r="W969" s="2" t="str">
        <f>_xlfn.XLOOKUP(Table2[[#This Row],[Adjusted Form '#]],[2]BILLED!$D:$D,[2]BILLED!$M:$M,"Not Found")</f>
        <v>1Z5063E0YW41518619</v>
      </c>
      <c r="X969" s="17" t="e">
        <f>_xlfn.XLOOKUP(Table2[[#This Row],[Adjusted Form '#]],[2]BILLED!$D:$D,[1]BILLED!$O:$O,"Not Found")</f>
        <v>#REF!</v>
      </c>
      <c r="Y969" s="17" t="e">
        <f>_xlfn.XLOOKUP(Table2[[#This Row],[Adjusted Form '#]],'[2]REJECTED ORDERS'!$D:$D,'[2]REJECTED ORDERS'!$E:$E)</f>
        <v>#N/A</v>
      </c>
      <c r="Z969" s="1"/>
      <c r="AA969" s="1"/>
      <c r="AB969" s="8"/>
      <c r="AC969" s="8"/>
      <c r="AD969" s="8"/>
      <c r="AE969" s="8"/>
      <c r="AF969" s="8"/>
      <c r="AG969" s="8"/>
      <c r="AH969" s="8"/>
      <c r="AI969" s="8"/>
      <c r="AJ969" s="8"/>
    </row>
    <row r="970" spans="1:36" ht="15" customHeight="1" x14ac:dyDescent="0.35">
      <c r="A970" s="4" t="s">
        <v>1467</v>
      </c>
      <c r="B970" s="1" t="s">
        <v>3686</v>
      </c>
      <c r="C970" s="11">
        <v>45056</v>
      </c>
      <c r="E970" s="1" t="s">
        <v>21</v>
      </c>
      <c r="F970" s="1" t="s">
        <v>1062</v>
      </c>
      <c r="G970" s="6">
        <f>COUNTIF(F:F,Table2[[#This Row],[Form '#]])</f>
        <v>1</v>
      </c>
      <c r="H970" s="1" t="s">
        <v>5555</v>
      </c>
      <c r="I970" s="1" t="s">
        <v>177</v>
      </c>
      <c r="J970" s="1" t="s">
        <v>75</v>
      </c>
      <c r="K970" s="1" t="s">
        <v>4011</v>
      </c>
      <c r="L970" s="1"/>
      <c r="M970" s="6" t="str">
        <f>IF(Table2[[#This Row],[Corrected Form '#
 (If Duplicated)]]="",Table2[[#This Row],[Form '#]],Table2[[#This Row],[Corrected Form '#
 (If Duplicated)]])</f>
        <v>7818-13078</v>
      </c>
      <c r="N970" s="1" t="s">
        <v>49</v>
      </c>
      <c r="O970" s="6" t="str">
        <f>IF(Table2[[#This Row],[POG CONFIRMATION RECEIPT OF ORDER
(DATE &amp; TIME)]]="","No Confirmation","Received Confirmation")</f>
        <v>No Confirmation</v>
      </c>
      <c r="P970" s="6">
        <f ca="1">TODAY()-Table2[[#This Row],[DATE SENT TO POG]]</f>
        <v>247</v>
      </c>
      <c r="Q970" s="6" t="s">
        <v>5803</v>
      </c>
      <c r="R9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0" s="2" t="str">
        <f>_xlfn.XLOOKUP(Table2[[#This Row],[Adjusted Form '#]],'[2]IN PROGRESS'!$D:$D,'[2]IN PROGRESS'!$M:$M,"Not Found")</f>
        <v>Not Found</v>
      </c>
      <c r="U970" s="2" t="str">
        <f>_xlfn.XLOOKUP(Table2[[#This Row],[Adjusted Form '#]],[1]COMPLETED!$D:$D,[2]COMPLETED!$M:$M,"Not Found")</f>
        <v>Not Found</v>
      </c>
      <c r="V970" s="17" t="str">
        <f>_xlfn.XLOOKUP(Table2[[#This Row],[Adjusted Form '#]],[2]COMPLETED!$D:$D,[2]COMPLETED!$O:$O,"Not Found")</f>
        <v>Not Found</v>
      </c>
      <c r="W970" s="2" t="str">
        <f>_xlfn.XLOOKUP(Table2[[#This Row],[Adjusted Form '#]],[2]BILLED!$D:$D,[2]BILLED!$M:$M,"Not Found")</f>
        <v>1Z5063E0YW41830665</v>
      </c>
      <c r="X970" s="17" t="e">
        <f>_xlfn.XLOOKUP(Table2[[#This Row],[Adjusted Form '#]],[2]BILLED!$D:$D,[1]BILLED!$O:$O,"Not Found")</f>
        <v>#REF!</v>
      </c>
      <c r="Y970" s="17" t="str">
        <f>_xlfn.XLOOKUP(Table2[[#This Row],[Adjusted Form '#]],'[2]REJECTED ORDERS'!$D:$D,'[2]REJECTED ORDERS'!$E:$E)</f>
        <v>FORM NOT SIGNED</v>
      </c>
      <c r="Z970" s="1"/>
      <c r="AA970" s="1"/>
      <c r="AB970" s="8"/>
      <c r="AC970" s="8"/>
      <c r="AD970" s="8"/>
      <c r="AE970" s="8"/>
      <c r="AF970" s="8"/>
      <c r="AG970" s="8"/>
      <c r="AH970" s="8"/>
      <c r="AI970" s="8"/>
      <c r="AJ970" s="8"/>
    </row>
    <row r="971" spans="1:36" ht="15" customHeight="1" x14ac:dyDescent="0.35">
      <c r="A971" s="4" t="s">
        <v>1468</v>
      </c>
      <c r="B971" s="1" t="s">
        <v>278</v>
      </c>
      <c r="C971" s="11">
        <v>45056</v>
      </c>
      <c r="D971" s="11" t="s">
        <v>5556</v>
      </c>
      <c r="E971" s="1" t="s">
        <v>21</v>
      </c>
      <c r="F971" s="1" t="s">
        <v>5557</v>
      </c>
      <c r="G971" s="6">
        <f>COUNTIF(F:F,Table2[[#This Row],[Form '#]])</f>
        <v>1</v>
      </c>
      <c r="H971" s="1" t="s">
        <v>5558</v>
      </c>
      <c r="I971" s="1" t="s">
        <v>177</v>
      </c>
      <c r="J971" s="1" t="s">
        <v>75</v>
      </c>
      <c r="K971" s="1" t="s">
        <v>3853</v>
      </c>
      <c r="L971" s="1"/>
      <c r="M971" s="6" t="str">
        <f>IF(Table2[[#This Row],[Corrected Form '#
 (If Duplicated)]]="",Table2[[#This Row],[Form '#]],Table2[[#This Row],[Corrected Form '#
 (If Duplicated)]])</f>
        <v>7818-21130</v>
      </c>
      <c r="N971" s="1" t="s">
        <v>49</v>
      </c>
      <c r="O971" s="6" t="str">
        <f>IF(Table2[[#This Row],[POG CONFIRMATION RECEIPT OF ORDER
(DATE &amp; TIME)]]="","No Confirmation","Received Confirmation")</f>
        <v>Received Confirmation</v>
      </c>
      <c r="P971" s="6">
        <f ca="1">TODAY()-Table2[[#This Row],[DATE SENT TO POG]]</f>
        <v>247</v>
      </c>
      <c r="Q971" s="6" t="s">
        <v>5803</v>
      </c>
      <c r="R9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1" s="2" t="str">
        <f>_xlfn.XLOOKUP(Table2[[#This Row],[Adjusted Form '#]],'[2]IN PROGRESS'!$D:$D,'[2]IN PROGRESS'!$M:$M,"Not Found")</f>
        <v>Not Found</v>
      </c>
      <c r="U971" s="2" t="str">
        <f>_xlfn.XLOOKUP(Table2[[#This Row],[Adjusted Form '#]],[1]COMPLETED!$D:$D,[2]COMPLETED!$M:$M,"Not Found")</f>
        <v>Not Found</v>
      </c>
      <c r="V971" s="17" t="str">
        <f>_xlfn.XLOOKUP(Table2[[#This Row],[Adjusted Form '#]],[2]COMPLETED!$D:$D,[2]COMPLETED!$O:$O,"Not Found")</f>
        <v>Not Found</v>
      </c>
      <c r="W971" s="2" t="str">
        <f>_xlfn.XLOOKUP(Table2[[#This Row],[Adjusted Form '#]],[2]BILLED!$D:$D,[2]BILLED!$M:$M,"Not Found")</f>
        <v>1Z5063E0YW40330475</v>
      </c>
      <c r="X971" s="17" t="e">
        <f>_xlfn.XLOOKUP(Table2[[#This Row],[Adjusted Form '#]],[2]BILLED!$D:$D,[1]BILLED!$O:$O,"Not Found")</f>
        <v>#REF!</v>
      </c>
      <c r="Y971" s="17" t="e">
        <f>_xlfn.XLOOKUP(Table2[[#This Row],[Adjusted Form '#]],'[2]REJECTED ORDERS'!$D:$D,'[2]REJECTED ORDERS'!$E:$E)</f>
        <v>#N/A</v>
      </c>
      <c r="Z971" s="1"/>
      <c r="AA971" s="1"/>
      <c r="AB971" s="8"/>
      <c r="AC971" s="8"/>
      <c r="AD971" s="8"/>
      <c r="AE971" s="8"/>
      <c r="AF971" s="8"/>
      <c r="AG971" s="8"/>
      <c r="AH971" s="8"/>
      <c r="AI971" s="8"/>
      <c r="AJ971" s="8"/>
    </row>
    <row r="972" spans="1:36" ht="15" customHeight="1" x14ac:dyDescent="0.35">
      <c r="A972" s="4" t="s">
        <v>1470</v>
      </c>
      <c r="B972" s="1" t="s">
        <v>3102</v>
      </c>
      <c r="C972" s="11">
        <v>45056</v>
      </c>
      <c r="D972" s="11" t="s">
        <v>5556</v>
      </c>
      <c r="E972" s="1" t="s">
        <v>21</v>
      </c>
      <c r="F972" s="1" t="s">
        <v>5559</v>
      </c>
      <c r="G972" s="6">
        <f>COUNTIF(F:F,Table2[[#This Row],[Form '#]])</f>
        <v>1</v>
      </c>
      <c r="H972" s="1" t="s">
        <v>3316</v>
      </c>
      <c r="I972" s="1" t="s">
        <v>177</v>
      </c>
      <c r="J972" s="1" t="s">
        <v>75</v>
      </c>
      <c r="K972" s="1" t="s">
        <v>3853</v>
      </c>
      <c r="L972" s="1"/>
      <c r="M972" s="6" t="str">
        <f>IF(Table2[[#This Row],[Corrected Form '#
 (If Duplicated)]]="",Table2[[#This Row],[Form '#]],Table2[[#This Row],[Corrected Form '#
 (If Duplicated)]])</f>
        <v>7818-16871</v>
      </c>
      <c r="N972" s="1" t="s">
        <v>49</v>
      </c>
      <c r="O972" s="6" t="str">
        <f>IF(Table2[[#This Row],[POG CONFIRMATION RECEIPT OF ORDER
(DATE &amp; TIME)]]="","No Confirmation","Received Confirmation")</f>
        <v>Received Confirmation</v>
      </c>
      <c r="P972" s="6">
        <f ca="1">TODAY()-Table2[[#This Row],[DATE SENT TO POG]]</f>
        <v>247</v>
      </c>
      <c r="Q972" s="6" t="s">
        <v>5803</v>
      </c>
      <c r="R9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2" s="2" t="str">
        <f>_xlfn.XLOOKUP(Table2[[#This Row],[Adjusted Form '#]],'[2]IN PROGRESS'!$D:$D,'[2]IN PROGRESS'!$M:$M,"Not Found")</f>
        <v>Not Found</v>
      </c>
      <c r="U972" s="2" t="str">
        <f>_xlfn.XLOOKUP(Table2[[#This Row],[Adjusted Form '#]],[1]COMPLETED!$D:$D,[2]COMPLETED!$M:$M,"Not Found")</f>
        <v>Not Found</v>
      </c>
      <c r="V972" s="17" t="str">
        <f>_xlfn.XLOOKUP(Table2[[#This Row],[Adjusted Form '#]],[2]COMPLETED!$D:$D,[2]COMPLETED!$O:$O,"Not Found")</f>
        <v>Not Found</v>
      </c>
      <c r="W972" s="2" t="str">
        <f>_xlfn.XLOOKUP(Table2[[#This Row],[Adjusted Form '#]],[2]BILLED!$D:$D,[2]BILLED!$M:$M,"Not Found")</f>
        <v>1Z5063E0YW41891644</v>
      </c>
      <c r="X972" s="17" t="e">
        <f>_xlfn.XLOOKUP(Table2[[#This Row],[Adjusted Form '#]],[2]BILLED!$D:$D,[1]BILLED!$O:$O,"Not Found")</f>
        <v>#REF!</v>
      </c>
      <c r="Y972" s="17" t="e">
        <f>_xlfn.XLOOKUP(Table2[[#This Row],[Adjusted Form '#]],'[2]REJECTED ORDERS'!$D:$D,'[2]REJECTED ORDERS'!$E:$E)</f>
        <v>#N/A</v>
      </c>
      <c r="Z972" s="1"/>
      <c r="AA972" s="1"/>
      <c r="AB972" s="8"/>
      <c r="AC972" s="8"/>
      <c r="AD972" s="8"/>
      <c r="AE972" s="8"/>
      <c r="AF972" s="8"/>
      <c r="AG972" s="8"/>
      <c r="AH972" s="8"/>
      <c r="AI972" s="8"/>
      <c r="AJ972" s="8"/>
    </row>
    <row r="973" spans="1:36" ht="15" customHeight="1" x14ac:dyDescent="0.35">
      <c r="A973" s="4" t="s">
        <v>1472</v>
      </c>
      <c r="B973" s="1" t="s">
        <v>3102</v>
      </c>
      <c r="C973" s="11">
        <v>45056</v>
      </c>
      <c r="D973" s="11" t="s">
        <v>5556</v>
      </c>
      <c r="E973" s="1" t="s">
        <v>21</v>
      </c>
      <c r="F973" s="1" t="s">
        <v>5560</v>
      </c>
      <c r="G973" s="6">
        <f>COUNTIF(F:F,Table2[[#This Row],[Form '#]])</f>
        <v>1</v>
      </c>
      <c r="H973" s="1" t="s">
        <v>960</v>
      </c>
      <c r="I973" s="1" t="s">
        <v>3864</v>
      </c>
      <c r="J973" s="1" t="s">
        <v>78</v>
      </c>
      <c r="K973" s="1" t="s">
        <v>3879</v>
      </c>
      <c r="L973" s="1"/>
      <c r="M973" s="6" t="str">
        <f>IF(Table2[[#This Row],[Corrected Form '#
 (If Duplicated)]]="",Table2[[#This Row],[Form '#]],Table2[[#This Row],[Corrected Form '#
 (If Duplicated)]])</f>
        <v>7818-26084</v>
      </c>
      <c r="N973" s="1" t="s">
        <v>49</v>
      </c>
      <c r="O973" s="6" t="str">
        <f>IF(Table2[[#This Row],[POG CONFIRMATION RECEIPT OF ORDER
(DATE &amp; TIME)]]="","No Confirmation","Received Confirmation")</f>
        <v>Received Confirmation</v>
      </c>
      <c r="P973" s="6">
        <f ca="1">TODAY()-Table2[[#This Row],[DATE SENT TO POG]]</f>
        <v>247</v>
      </c>
      <c r="Q973" s="6" t="s">
        <v>5803</v>
      </c>
      <c r="R9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3" s="2" t="str">
        <f>_xlfn.XLOOKUP(Table2[[#This Row],[Adjusted Form '#]],'[2]IN PROGRESS'!$D:$D,'[2]IN PROGRESS'!$M:$M,"Not Found")</f>
        <v>Not Found</v>
      </c>
      <c r="U973" s="2" t="str">
        <f>_xlfn.XLOOKUP(Table2[[#This Row],[Adjusted Form '#]],[1]COMPLETED!$D:$D,[2]COMPLETED!$M:$M,"Not Found")</f>
        <v>Not Found</v>
      </c>
      <c r="V973" s="17" t="str">
        <f>_xlfn.XLOOKUP(Table2[[#This Row],[Adjusted Form '#]],[2]COMPLETED!$D:$D,[2]COMPLETED!$O:$O,"Not Found")</f>
        <v>Not Found</v>
      </c>
      <c r="W973" s="2" t="str">
        <f>_xlfn.XLOOKUP(Table2[[#This Row],[Adjusted Form '#]],[2]BILLED!$D:$D,[2]BILLED!$M:$M,"Not Found")</f>
        <v>1Z5063E0YW42289062</v>
      </c>
      <c r="X973" s="17" t="e">
        <f>_xlfn.XLOOKUP(Table2[[#This Row],[Adjusted Form '#]],[2]BILLED!$D:$D,[1]BILLED!$O:$O,"Not Found")</f>
        <v>#REF!</v>
      </c>
      <c r="Y973" s="17" t="e">
        <f>_xlfn.XLOOKUP(Table2[[#This Row],[Adjusted Form '#]],'[2]REJECTED ORDERS'!$D:$D,'[2]REJECTED ORDERS'!$E:$E)</f>
        <v>#N/A</v>
      </c>
      <c r="Z973" s="1"/>
      <c r="AA973" s="1"/>
      <c r="AB973" s="8"/>
      <c r="AC973" s="8"/>
      <c r="AD973" s="8"/>
      <c r="AE973" s="8"/>
      <c r="AF973" s="8"/>
      <c r="AG973" s="8"/>
      <c r="AH973" s="8"/>
      <c r="AI973" s="8"/>
      <c r="AJ973" s="8"/>
    </row>
    <row r="974" spans="1:36" ht="15" customHeight="1" x14ac:dyDescent="0.35">
      <c r="A974" s="4" t="s">
        <v>1473</v>
      </c>
      <c r="B974" s="1" t="s">
        <v>3703</v>
      </c>
      <c r="C974" s="11">
        <v>45056</v>
      </c>
      <c r="D974" s="11" t="s">
        <v>5561</v>
      </c>
      <c r="E974" s="1" t="s">
        <v>191</v>
      </c>
      <c r="F974" s="1" t="s">
        <v>5562</v>
      </c>
      <c r="G974" s="6">
        <f>COUNTIF(F:F,Table2[[#This Row],[Form '#]])</f>
        <v>1</v>
      </c>
      <c r="H974" s="1" t="s">
        <v>5563</v>
      </c>
      <c r="I974" s="1" t="s">
        <v>177</v>
      </c>
      <c r="J974" s="1" t="s">
        <v>75</v>
      </c>
      <c r="K974" s="1" t="s">
        <v>3853</v>
      </c>
      <c r="L974" s="1"/>
      <c r="M974" s="6" t="str">
        <f>IF(Table2[[#This Row],[Corrected Form '#
 (If Duplicated)]]="",Table2[[#This Row],[Form '#]],Table2[[#This Row],[Corrected Form '#
 (If Duplicated)]])</f>
        <v>7812-3800</v>
      </c>
      <c r="N974" s="1" t="s">
        <v>49</v>
      </c>
      <c r="O974" s="6" t="str">
        <f>IF(Table2[[#This Row],[POG CONFIRMATION RECEIPT OF ORDER
(DATE &amp; TIME)]]="","No Confirmation","Received Confirmation")</f>
        <v>Received Confirmation</v>
      </c>
      <c r="P974" s="6">
        <f ca="1">TODAY()-Table2[[#This Row],[DATE SENT TO POG]]</f>
        <v>247</v>
      </c>
      <c r="Q974" s="6" t="s">
        <v>5803</v>
      </c>
      <c r="R9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4" s="2" t="str">
        <f>_xlfn.XLOOKUP(Table2[[#This Row],[Adjusted Form '#]],'[2]IN PROGRESS'!$D:$D,'[2]IN PROGRESS'!$M:$M,"Not Found")</f>
        <v>Not Found</v>
      </c>
      <c r="U974" s="2" t="str">
        <f>_xlfn.XLOOKUP(Table2[[#This Row],[Adjusted Form '#]],[1]COMPLETED!$D:$D,[2]COMPLETED!$M:$M,"Not Found")</f>
        <v>Not Found</v>
      </c>
      <c r="V974" s="17" t="str">
        <f>_xlfn.XLOOKUP(Table2[[#This Row],[Adjusted Form '#]],[2]COMPLETED!$D:$D,[2]COMPLETED!$O:$O,"Not Found")</f>
        <v>Not Found</v>
      </c>
      <c r="W974" s="2" t="str">
        <f>_xlfn.XLOOKUP(Table2[[#This Row],[Adjusted Form '#]],[2]BILLED!$D:$D,[2]BILLED!$M:$M,"Not Found")</f>
        <v>1Z5063E0YW40339672</v>
      </c>
      <c r="X974" s="17" t="e">
        <f>_xlfn.XLOOKUP(Table2[[#This Row],[Adjusted Form '#]],[2]BILLED!$D:$D,[1]BILLED!$O:$O,"Not Found")</f>
        <v>#REF!</v>
      </c>
      <c r="Y974" s="17" t="e">
        <f>_xlfn.XLOOKUP(Table2[[#This Row],[Adjusted Form '#]],'[2]REJECTED ORDERS'!$D:$D,'[2]REJECTED ORDERS'!$E:$E)</f>
        <v>#N/A</v>
      </c>
      <c r="Z974" s="1"/>
      <c r="AA974" s="1"/>
      <c r="AB974" s="8"/>
      <c r="AC974" s="8"/>
      <c r="AD974" s="8"/>
      <c r="AE974" s="8"/>
      <c r="AF974" s="8"/>
      <c r="AG974" s="8"/>
      <c r="AH974" s="8"/>
      <c r="AI974" s="8"/>
      <c r="AJ974" s="8"/>
    </row>
    <row r="975" spans="1:36" ht="15" customHeight="1" x14ac:dyDescent="0.35">
      <c r="A975" s="4" t="s">
        <v>1474</v>
      </c>
      <c r="B975" s="1" t="s">
        <v>3703</v>
      </c>
      <c r="C975" s="11">
        <v>45056</v>
      </c>
      <c r="D975" s="11" t="s">
        <v>5561</v>
      </c>
      <c r="E975" s="1" t="s">
        <v>191</v>
      </c>
      <c r="F975" s="1" t="s">
        <v>5564</v>
      </c>
      <c r="G975" s="6">
        <f>COUNTIF(F:F,Table2[[#This Row],[Form '#]])</f>
        <v>1</v>
      </c>
      <c r="H975" s="1" t="s">
        <v>4984</v>
      </c>
      <c r="I975" s="1" t="s">
        <v>3852</v>
      </c>
      <c r="J975" s="1" t="s">
        <v>75</v>
      </c>
      <c r="K975" s="1" t="s">
        <v>3853</v>
      </c>
      <c r="L975" s="1"/>
      <c r="M975" s="6" t="str">
        <f>IF(Table2[[#This Row],[Corrected Form '#
 (If Duplicated)]]="",Table2[[#This Row],[Form '#]],Table2[[#This Row],[Corrected Form '#
 (If Duplicated)]])</f>
        <v>7812-3614</v>
      </c>
      <c r="N975" s="1" t="s">
        <v>49</v>
      </c>
      <c r="O975" s="6" t="str">
        <f>IF(Table2[[#This Row],[POG CONFIRMATION RECEIPT OF ORDER
(DATE &amp; TIME)]]="","No Confirmation","Received Confirmation")</f>
        <v>Received Confirmation</v>
      </c>
      <c r="P975" s="6">
        <f ca="1">TODAY()-Table2[[#This Row],[DATE SENT TO POG]]</f>
        <v>247</v>
      </c>
      <c r="Q975" s="6" t="s">
        <v>5803</v>
      </c>
      <c r="R9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5" s="2" t="str">
        <f>_xlfn.XLOOKUP(Table2[[#This Row],[Adjusted Form '#]],'[2]IN PROGRESS'!$D:$D,'[2]IN PROGRESS'!$M:$M,"Not Found")</f>
        <v>Not Found</v>
      </c>
      <c r="U975" s="2" t="str">
        <f>_xlfn.XLOOKUP(Table2[[#This Row],[Adjusted Form '#]],[1]COMPLETED!$D:$D,[2]COMPLETED!$M:$M,"Not Found")</f>
        <v>Not Found</v>
      </c>
      <c r="V975" s="17" t="str">
        <f>_xlfn.XLOOKUP(Table2[[#This Row],[Adjusted Form '#]],[2]COMPLETED!$D:$D,[2]COMPLETED!$O:$O,"Not Found")</f>
        <v>Not Found</v>
      </c>
      <c r="W975" s="2" t="str">
        <f>_xlfn.XLOOKUP(Table2[[#This Row],[Adjusted Form '#]],[2]BILLED!$D:$D,[2]BILLED!$M:$M,"Not Found")</f>
        <v>1Z5063E0YW40330037</v>
      </c>
      <c r="X975" s="17" t="e">
        <f>_xlfn.XLOOKUP(Table2[[#This Row],[Adjusted Form '#]],[2]BILLED!$D:$D,[1]BILLED!$O:$O,"Not Found")</f>
        <v>#REF!</v>
      </c>
      <c r="Y975" s="17" t="e">
        <f>_xlfn.XLOOKUP(Table2[[#This Row],[Adjusted Form '#]],'[2]REJECTED ORDERS'!$D:$D,'[2]REJECTED ORDERS'!$E:$E)</f>
        <v>#N/A</v>
      </c>
      <c r="Z975" s="1"/>
      <c r="AA975" s="1"/>
      <c r="AB975" s="8"/>
      <c r="AC975" s="8"/>
      <c r="AD975" s="8"/>
      <c r="AE975" s="8"/>
      <c r="AF975" s="8"/>
      <c r="AG975" s="8"/>
      <c r="AH975" s="8"/>
      <c r="AI975" s="8"/>
      <c r="AJ975" s="8"/>
    </row>
    <row r="976" spans="1:36" ht="15" customHeight="1" x14ac:dyDescent="0.35">
      <c r="A976" s="4" t="s">
        <v>1476</v>
      </c>
      <c r="B976" s="1" t="s">
        <v>3703</v>
      </c>
      <c r="C976" s="11">
        <v>45056</v>
      </c>
      <c r="D976" s="11" t="s">
        <v>5561</v>
      </c>
      <c r="E976" s="1" t="s">
        <v>191</v>
      </c>
      <c r="F976" s="1" t="s">
        <v>5565</v>
      </c>
      <c r="G976" s="6">
        <f>COUNTIF(F:F,Table2[[#This Row],[Form '#]])</f>
        <v>1</v>
      </c>
      <c r="H976" s="1" t="s">
        <v>3461</v>
      </c>
      <c r="I976" s="1" t="s">
        <v>3852</v>
      </c>
      <c r="J976" s="1" t="s">
        <v>80</v>
      </c>
      <c r="K976" s="1" t="s">
        <v>3853</v>
      </c>
      <c r="L976" s="1"/>
      <c r="M976" s="6" t="str">
        <f>IF(Table2[[#This Row],[Corrected Form '#
 (If Duplicated)]]="",Table2[[#This Row],[Form '#]],Table2[[#This Row],[Corrected Form '#
 (If Duplicated)]])</f>
        <v>7812-3616</v>
      </c>
      <c r="N976" s="1" t="s">
        <v>49</v>
      </c>
      <c r="O976" s="6" t="str">
        <f>IF(Table2[[#This Row],[POG CONFIRMATION RECEIPT OF ORDER
(DATE &amp; TIME)]]="","No Confirmation","Received Confirmation")</f>
        <v>Received Confirmation</v>
      </c>
      <c r="P976" s="6">
        <f ca="1">TODAY()-Table2[[#This Row],[DATE SENT TO POG]]</f>
        <v>247</v>
      </c>
      <c r="Q976" s="6" t="s">
        <v>5803</v>
      </c>
      <c r="R9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6" s="2" t="str">
        <f>_xlfn.XLOOKUP(Table2[[#This Row],[Adjusted Form '#]],'[2]IN PROGRESS'!$D:$D,'[2]IN PROGRESS'!$M:$M,"Not Found")</f>
        <v>Not Found</v>
      </c>
      <c r="U976" s="2" t="str">
        <f>_xlfn.XLOOKUP(Table2[[#This Row],[Adjusted Form '#]],[1]COMPLETED!$D:$D,[2]COMPLETED!$M:$M,"Not Found")</f>
        <v>Not Found</v>
      </c>
      <c r="V976" s="17" t="str">
        <f>_xlfn.XLOOKUP(Table2[[#This Row],[Adjusted Form '#]],[2]COMPLETED!$D:$D,[2]COMPLETED!$O:$O,"Not Found")</f>
        <v>Not Found</v>
      </c>
      <c r="W976" s="2" t="str">
        <f>_xlfn.XLOOKUP(Table2[[#This Row],[Adjusted Form '#]],[2]BILLED!$D:$D,[2]BILLED!$M:$M,"Not Found")</f>
        <v>1Z5063E0YW41847291</v>
      </c>
      <c r="X976" s="17" t="e">
        <f>_xlfn.XLOOKUP(Table2[[#This Row],[Adjusted Form '#]],[2]BILLED!$D:$D,[1]BILLED!$O:$O,"Not Found")</f>
        <v>#REF!</v>
      </c>
      <c r="Y976" s="17" t="e">
        <f>_xlfn.XLOOKUP(Table2[[#This Row],[Adjusted Form '#]],'[2]REJECTED ORDERS'!$D:$D,'[2]REJECTED ORDERS'!$E:$E)</f>
        <v>#N/A</v>
      </c>
      <c r="Z976" s="1"/>
      <c r="AA976" s="1"/>
      <c r="AB976" s="8"/>
      <c r="AC976" s="8"/>
      <c r="AD976" s="8"/>
      <c r="AE976" s="8"/>
      <c r="AF976" s="8"/>
      <c r="AG976" s="8"/>
      <c r="AH976" s="8"/>
      <c r="AI976" s="8"/>
      <c r="AJ976" s="8"/>
    </row>
    <row r="977" spans="1:36" ht="15" customHeight="1" x14ac:dyDescent="0.35">
      <c r="A977" s="4" t="s">
        <v>1478</v>
      </c>
      <c r="B977" s="1" t="s">
        <v>3703</v>
      </c>
      <c r="C977" s="11">
        <v>45056</v>
      </c>
      <c r="D977" s="11" t="s">
        <v>5561</v>
      </c>
      <c r="E977" s="1" t="s">
        <v>191</v>
      </c>
      <c r="F977" s="1" t="s">
        <v>5566</v>
      </c>
      <c r="G977" s="6">
        <f>COUNTIF(F:F,Table2[[#This Row],[Form '#]])</f>
        <v>1</v>
      </c>
      <c r="H977" s="1" t="s">
        <v>3354</v>
      </c>
      <c r="I977" s="1" t="s">
        <v>28</v>
      </c>
      <c r="J977" s="1" t="s">
        <v>3891</v>
      </c>
      <c r="K977" s="1" t="s">
        <v>4011</v>
      </c>
      <c r="L977" s="1"/>
      <c r="M977" s="6" t="str">
        <f>IF(Table2[[#This Row],[Corrected Form '#
 (If Duplicated)]]="",Table2[[#This Row],[Form '#]],Table2[[#This Row],[Corrected Form '#
 (If Duplicated)]])</f>
        <v>7812-3617</v>
      </c>
      <c r="N977" s="1" t="s">
        <v>49</v>
      </c>
      <c r="O977" s="6" t="str">
        <f>IF(Table2[[#This Row],[POG CONFIRMATION RECEIPT OF ORDER
(DATE &amp; TIME)]]="","No Confirmation","Received Confirmation")</f>
        <v>Received Confirmation</v>
      </c>
      <c r="P977" s="6">
        <f ca="1">TODAY()-Table2[[#This Row],[DATE SENT TO POG]]</f>
        <v>247</v>
      </c>
      <c r="Q977" s="6" t="s">
        <v>5803</v>
      </c>
      <c r="R9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7" s="2" t="str">
        <f>_xlfn.XLOOKUP(Table2[[#This Row],[Adjusted Form '#]],'[2]IN PROGRESS'!$D:$D,'[2]IN PROGRESS'!$M:$M,"Not Found")</f>
        <v>Not Found</v>
      </c>
      <c r="U977" s="2" t="str">
        <f>_xlfn.XLOOKUP(Table2[[#This Row],[Adjusted Form '#]],[1]COMPLETED!$D:$D,[2]COMPLETED!$M:$M,"Not Found")</f>
        <v>Not Found</v>
      </c>
      <c r="V977" s="17" t="str">
        <f>_xlfn.XLOOKUP(Table2[[#This Row],[Adjusted Form '#]],[2]COMPLETED!$D:$D,[2]COMPLETED!$O:$O,"Not Found")</f>
        <v>Not Found</v>
      </c>
      <c r="W977" s="2" t="str">
        <f>_xlfn.XLOOKUP(Table2[[#This Row],[Adjusted Form '#]],[2]BILLED!$D:$D,[2]BILLED!$M:$M,"Not Found")</f>
        <v>1Z5063E0YW42368753</v>
      </c>
      <c r="X977" s="17" t="e">
        <f>_xlfn.XLOOKUP(Table2[[#This Row],[Adjusted Form '#]],[2]BILLED!$D:$D,[1]BILLED!$O:$O,"Not Found")</f>
        <v>#REF!</v>
      </c>
      <c r="Y977" s="17" t="e">
        <f>_xlfn.XLOOKUP(Table2[[#This Row],[Adjusted Form '#]],'[2]REJECTED ORDERS'!$D:$D,'[2]REJECTED ORDERS'!$E:$E)</f>
        <v>#N/A</v>
      </c>
      <c r="Z977" s="1"/>
      <c r="AA977" s="1"/>
      <c r="AB977" s="8"/>
      <c r="AC977" s="8"/>
      <c r="AD977" s="8"/>
      <c r="AE977" s="8"/>
      <c r="AF977" s="8"/>
      <c r="AG977" s="8"/>
      <c r="AH977" s="8"/>
      <c r="AI977" s="8"/>
      <c r="AJ977" s="8"/>
    </row>
    <row r="978" spans="1:36" ht="15" customHeight="1" x14ac:dyDescent="0.35">
      <c r="A978" s="4" t="s">
        <v>1479</v>
      </c>
      <c r="B978" s="1" t="s">
        <v>3703</v>
      </c>
      <c r="C978" s="11">
        <v>45056</v>
      </c>
      <c r="D978" s="11" t="s">
        <v>5561</v>
      </c>
      <c r="E978" s="1" t="s">
        <v>191</v>
      </c>
      <c r="F978" s="1" t="s">
        <v>5567</v>
      </c>
      <c r="G978" s="6">
        <f>COUNTIF(F:F,Table2[[#This Row],[Form '#]])</f>
        <v>1</v>
      </c>
      <c r="H978" s="1" t="s">
        <v>3604</v>
      </c>
      <c r="I978" s="1" t="s">
        <v>3852</v>
      </c>
      <c r="J978" s="1" t="s">
        <v>3891</v>
      </c>
      <c r="K978" s="1" t="s">
        <v>4011</v>
      </c>
      <c r="L978" s="1"/>
      <c r="M978" s="6" t="str">
        <f>IF(Table2[[#This Row],[Corrected Form '#
 (If Duplicated)]]="",Table2[[#This Row],[Form '#]],Table2[[#This Row],[Corrected Form '#
 (If Duplicated)]])</f>
        <v>7812-3615</v>
      </c>
      <c r="N978" s="1" t="s">
        <v>49</v>
      </c>
      <c r="O978" s="6" t="str">
        <f>IF(Table2[[#This Row],[POG CONFIRMATION RECEIPT OF ORDER
(DATE &amp; TIME)]]="","No Confirmation","Received Confirmation")</f>
        <v>Received Confirmation</v>
      </c>
      <c r="P978" s="6">
        <f ca="1">TODAY()-Table2[[#This Row],[DATE SENT TO POG]]</f>
        <v>247</v>
      </c>
      <c r="Q978" s="6" t="s">
        <v>5803</v>
      </c>
      <c r="R9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8" s="2" t="str">
        <f>_xlfn.XLOOKUP(Table2[[#This Row],[Adjusted Form '#]],'[2]IN PROGRESS'!$D:$D,'[2]IN PROGRESS'!$M:$M,"Not Found")</f>
        <v>Not Found</v>
      </c>
      <c r="U978" s="2" t="str">
        <f>_xlfn.XLOOKUP(Table2[[#This Row],[Adjusted Form '#]],[1]COMPLETED!$D:$D,[2]COMPLETED!$M:$M,"Not Found")</f>
        <v>Not Found</v>
      </c>
      <c r="V978" s="17" t="str">
        <f>_xlfn.XLOOKUP(Table2[[#This Row],[Adjusted Form '#]],[2]COMPLETED!$D:$D,[2]COMPLETED!$O:$O,"Not Found")</f>
        <v>Not Found</v>
      </c>
      <c r="W978" s="2" t="str">
        <f>_xlfn.XLOOKUP(Table2[[#This Row],[Adjusted Form '#]],[2]BILLED!$D:$D,[2]BILLED!$M:$M,"Not Found")</f>
        <v>1Z5063E0YW41621668</v>
      </c>
      <c r="X978" s="17" t="e">
        <f>_xlfn.XLOOKUP(Table2[[#This Row],[Adjusted Form '#]],[2]BILLED!$D:$D,[1]BILLED!$O:$O,"Not Found")</f>
        <v>#REF!</v>
      </c>
      <c r="Y978" s="17" t="e">
        <f>_xlfn.XLOOKUP(Table2[[#This Row],[Adjusted Form '#]],'[2]REJECTED ORDERS'!$D:$D,'[2]REJECTED ORDERS'!$E:$E)</f>
        <v>#N/A</v>
      </c>
      <c r="Z978" s="1"/>
      <c r="AA978" s="1"/>
      <c r="AB978" s="8"/>
      <c r="AC978" s="8"/>
      <c r="AD978" s="8"/>
      <c r="AE978" s="8"/>
      <c r="AF978" s="8"/>
      <c r="AG978" s="8"/>
      <c r="AH978" s="8"/>
      <c r="AI978" s="8"/>
      <c r="AJ978" s="8"/>
    </row>
    <row r="979" spans="1:36" ht="15" customHeight="1" x14ac:dyDescent="0.35">
      <c r="A979" s="4" t="s">
        <v>1481</v>
      </c>
      <c r="B979" s="1" t="s">
        <v>5568</v>
      </c>
      <c r="C979" s="11">
        <v>45056</v>
      </c>
      <c r="D979" s="11" t="s">
        <v>5569</v>
      </c>
      <c r="E979" s="1" t="s">
        <v>73</v>
      </c>
      <c r="F979" s="1" t="s">
        <v>5570</v>
      </c>
      <c r="G979" s="6">
        <f>COUNTIF(F:F,Table2[[#This Row],[Form '#]])</f>
        <v>1</v>
      </c>
      <c r="H979" s="1" t="s">
        <v>2538</v>
      </c>
      <c r="I979" s="1" t="s">
        <v>177</v>
      </c>
      <c r="J979" s="1" t="s">
        <v>75</v>
      </c>
      <c r="K979" s="1" t="s">
        <v>4011</v>
      </c>
      <c r="L979" s="1"/>
      <c r="M979" s="6" t="str">
        <f>IF(Table2[[#This Row],[Corrected Form '#
 (If Duplicated)]]="",Table2[[#This Row],[Form '#]],Table2[[#This Row],[Corrected Form '#
 (If Duplicated)]])</f>
        <v>7823-02773</v>
      </c>
      <c r="N979" s="1" t="s">
        <v>49</v>
      </c>
      <c r="O979" s="6" t="str">
        <f>IF(Table2[[#This Row],[POG CONFIRMATION RECEIPT OF ORDER
(DATE &amp; TIME)]]="","No Confirmation","Received Confirmation")</f>
        <v>Received Confirmation</v>
      </c>
      <c r="P979" s="6">
        <f ca="1">TODAY()-Table2[[#This Row],[DATE SENT TO POG]]</f>
        <v>247</v>
      </c>
      <c r="Q979" s="6" t="s">
        <v>5803</v>
      </c>
      <c r="R9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79" s="2" t="str">
        <f>_xlfn.XLOOKUP(Table2[[#This Row],[Adjusted Form '#]],'[2]IN PROGRESS'!$D:$D,'[2]IN PROGRESS'!$M:$M,"Not Found")</f>
        <v>Not Found</v>
      </c>
      <c r="U979" s="2" t="str">
        <f>_xlfn.XLOOKUP(Table2[[#This Row],[Adjusted Form '#]],[1]COMPLETED!$D:$D,[2]COMPLETED!$M:$M,"Not Found")</f>
        <v>Not Found</v>
      </c>
      <c r="V979" s="17" t="str">
        <f>_xlfn.XLOOKUP(Table2[[#This Row],[Adjusted Form '#]],[2]COMPLETED!$D:$D,[2]COMPLETED!$O:$O,"Not Found")</f>
        <v>Not Found</v>
      </c>
      <c r="W979" s="2" t="str">
        <f>_xlfn.XLOOKUP(Table2[[#This Row],[Adjusted Form '#]],[2]BILLED!$D:$D,[2]BILLED!$M:$M,"Not Found")</f>
        <v>1Z5063E0YW41292023</v>
      </c>
      <c r="X979" s="17" t="e">
        <f>_xlfn.XLOOKUP(Table2[[#This Row],[Adjusted Form '#]],[2]BILLED!$D:$D,[1]BILLED!$O:$O,"Not Found")</f>
        <v>#REF!</v>
      </c>
      <c r="Y979" s="17" t="e">
        <f>_xlfn.XLOOKUP(Table2[[#This Row],[Adjusted Form '#]],'[2]REJECTED ORDERS'!$D:$D,'[2]REJECTED ORDERS'!$E:$E)</f>
        <v>#N/A</v>
      </c>
      <c r="Z979" s="1"/>
      <c r="AA979" s="1"/>
      <c r="AB979" s="8"/>
      <c r="AC979" s="8"/>
      <c r="AD979" s="8"/>
      <c r="AE979" s="8"/>
      <c r="AF979" s="8"/>
      <c r="AG979" s="8"/>
      <c r="AH979" s="8"/>
      <c r="AI979" s="8"/>
      <c r="AJ979" s="8"/>
    </row>
    <row r="980" spans="1:36" ht="15" customHeight="1" x14ac:dyDescent="0.35">
      <c r="A980" s="4" t="s">
        <v>1482</v>
      </c>
      <c r="B980" s="1" t="s">
        <v>5571</v>
      </c>
      <c r="C980" s="11">
        <v>45056</v>
      </c>
      <c r="D980" s="11" t="s">
        <v>5569</v>
      </c>
      <c r="E980" s="1" t="s">
        <v>73</v>
      </c>
      <c r="F980" s="1" t="s">
        <v>5572</v>
      </c>
      <c r="G980" s="6">
        <f>COUNTIF(F:F,Table2[[#This Row],[Form '#]])</f>
        <v>1</v>
      </c>
      <c r="H980" s="1" t="s">
        <v>5573</v>
      </c>
      <c r="I980" s="1" t="s">
        <v>127</v>
      </c>
      <c r="J980" s="1" t="s">
        <v>74</v>
      </c>
      <c r="K980" s="1" t="s">
        <v>3883</v>
      </c>
      <c r="L980" s="1"/>
      <c r="M980" s="6" t="str">
        <f>IF(Table2[[#This Row],[Corrected Form '#
 (If Duplicated)]]="",Table2[[#This Row],[Form '#]],Table2[[#This Row],[Corrected Form '#
 (If Duplicated)]])</f>
        <v>7823-02777</v>
      </c>
      <c r="N980" s="1" t="s">
        <v>49</v>
      </c>
      <c r="O980" s="6" t="str">
        <f>IF(Table2[[#This Row],[POG CONFIRMATION RECEIPT OF ORDER
(DATE &amp; TIME)]]="","No Confirmation","Received Confirmation")</f>
        <v>Received Confirmation</v>
      </c>
      <c r="P980" s="6">
        <f ca="1">TODAY()-Table2[[#This Row],[DATE SENT TO POG]]</f>
        <v>247</v>
      </c>
      <c r="Q980" s="6" t="s">
        <v>5803</v>
      </c>
      <c r="R9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0" s="2" t="str">
        <f>_xlfn.XLOOKUP(Table2[[#This Row],[Adjusted Form '#]],'[2]IN PROGRESS'!$D:$D,'[2]IN PROGRESS'!$M:$M,"Not Found")</f>
        <v>Not Found</v>
      </c>
      <c r="U980" s="2" t="str">
        <f>_xlfn.XLOOKUP(Table2[[#This Row],[Adjusted Form '#]],[1]COMPLETED!$D:$D,[2]COMPLETED!$M:$M,"Not Found")</f>
        <v>Not Found</v>
      </c>
      <c r="V980" s="17" t="str">
        <f>_xlfn.XLOOKUP(Table2[[#This Row],[Adjusted Form '#]],[2]COMPLETED!$D:$D,[2]COMPLETED!$O:$O,"Not Found")</f>
        <v>Not Found</v>
      </c>
      <c r="W980" s="2" t="str">
        <f>_xlfn.XLOOKUP(Table2[[#This Row],[Adjusted Form '#]],[2]BILLED!$D:$D,[2]BILLED!$M:$M,"Not Found")</f>
        <v>1Z5063E0YW42820414</v>
      </c>
      <c r="X980" s="17" t="e">
        <f>_xlfn.XLOOKUP(Table2[[#This Row],[Adjusted Form '#]],[2]BILLED!$D:$D,[1]BILLED!$O:$O,"Not Found")</f>
        <v>#REF!</v>
      </c>
      <c r="Y980" s="17" t="e">
        <f>_xlfn.XLOOKUP(Table2[[#This Row],[Adjusted Form '#]],'[2]REJECTED ORDERS'!$D:$D,'[2]REJECTED ORDERS'!$E:$E)</f>
        <v>#N/A</v>
      </c>
      <c r="Z980" s="1"/>
      <c r="AA980" s="1"/>
      <c r="AB980" s="8"/>
      <c r="AC980" s="8"/>
      <c r="AD980" s="8"/>
      <c r="AE980" s="8"/>
      <c r="AF980" s="8"/>
      <c r="AG980" s="8"/>
      <c r="AH980" s="8"/>
      <c r="AI980" s="8"/>
      <c r="AJ980" s="8"/>
    </row>
    <row r="981" spans="1:36" ht="15" customHeight="1" x14ac:dyDescent="0.35">
      <c r="A981" s="4" t="s">
        <v>1483</v>
      </c>
      <c r="B981" s="1" t="s">
        <v>2965</v>
      </c>
      <c r="C981" s="11">
        <v>45057</v>
      </c>
      <c r="D981" s="11" t="s">
        <v>5574</v>
      </c>
      <c r="E981" s="1" t="s">
        <v>14</v>
      </c>
      <c r="F981" s="1" t="s">
        <v>5575</v>
      </c>
      <c r="G981" s="6">
        <f>COUNTIF(F:F,Table2[[#This Row],[Form '#]])</f>
        <v>1</v>
      </c>
      <c r="H981" s="1" t="s">
        <v>5576</v>
      </c>
      <c r="I981" s="1" t="s">
        <v>3864</v>
      </c>
      <c r="J981" s="1" t="s">
        <v>3891</v>
      </c>
      <c r="K981" s="1" t="s">
        <v>3879</v>
      </c>
      <c r="L981" s="1"/>
      <c r="M981" s="6" t="str">
        <f>IF(Table2[[#This Row],[Corrected Form '#
 (If Duplicated)]]="",Table2[[#This Row],[Form '#]],Table2[[#This Row],[Corrected Form '#
 (If Duplicated)]])</f>
        <v>7810-01859</v>
      </c>
      <c r="N981" s="1" t="s">
        <v>49</v>
      </c>
      <c r="O981" s="6" t="str">
        <f>IF(Table2[[#This Row],[POG CONFIRMATION RECEIPT OF ORDER
(DATE &amp; TIME)]]="","No Confirmation","Received Confirmation")</f>
        <v>Received Confirmation</v>
      </c>
      <c r="P981" s="6">
        <f ca="1">TODAY()-Table2[[#This Row],[DATE SENT TO POG]]</f>
        <v>246</v>
      </c>
      <c r="Q981" s="6" t="s">
        <v>5803</v>
      </c>
      <c r="R9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1" s="2" t="str">
        <f>_xlfn.XLOOKUP(Table2[[#This Row],[Adjusted Form '#]],'[2]IN PROGRESS'!$D:$D,'[2]IN PROGRESS'!$M:$M,"Not Found")</f>
        <v>Not Found</v>
      </c>
      <c r="U981" s="2" t="str">
        <f>_xlfn.XLOOKUP(Table2[[#This Row],[Adjusted Form '#]],[1]COMPLETED!$D:$D,[2]COMPLETED!$M:$M,"Not Found")</f>
        <v>Not Found</v>
      </c>
      <c r="V981" s="17" t="str">
        <f>_xlfn.XLOOKUP(Table2[[#This Row],[Adjusted Form '#]],[2]COMPLETED!$D:$D,[2]COMPLETED!$O:$O,"Not Found")</f>
        <v>Not Found</v>
      </c>
      <c r="W981" s="2" t="str">
        <f>_xlfn.XLOOKUP(Table2[[#This Row],[Adjusted Form '#]],[2]BILLED!$D:$D,[2]BILLED!$M:$M,"Not Found")</f>
        <v>1Z5063E0YW42192844</v>
      </c>
      <c r="X981" s="17" t="e">
        <f>_xlfn.XLOOKUP(Table2[[#This Row],[Adjusted Form '#]],[2]BILLED!$D:$D,[1]BILLED!$O:$O,"Not Found")</f>
        <v>#REF!</v>
      </c>
      <c r="Y981" s="17" t="e">
        <f>_xlfn.XLOOKUP(Table2[[#This Row],[Adjusted Form '#]],'[2]REJECTED ORDERS'!$D:$D,'[2]REJECTED ORDERS'!$E:$E)</f>
        <v>#N/A</v>
      </c>
      <c r="Z981" s="1"/>
      <c r="AA981" s="1"/>
      <c r="AB981" s="8"/>
      <c r="AC981" s="8"/>
      <c r="AD981" s="8"/>
      <c r="AE981" s="8"/>
      <c r="AF981" s="8"/>
      <c r="AG981" s="8"/>
      <c r="AH981" s="8"/>
      <c r="AI981" s="8"/>
      <c r="AJ981" s="8"/>
    </row>
    <row r="982" spans="1:36" ht="15" customHeight="1" x14ac:dyDescent="0.35">
      <c r="A982" s="4" t="s">
        <v>1486</v>
      </c>
      <c r="B982" s="1" t="s">
        <v>815</v>
      </c>
      <c r="C982" s="11">
        <v>45057</v>
      </c>
      <c r="D982" s="11" t="s">
        <v>5577</v>
      </c>
      <c r="E982" s="1" t="s">
        <v>21</v>
      </c>
      <c r="F982" s="1" t="s">
        <v>5578</v>
      </c>
      <c r="G982" s="6">
        <f>COUNTIF(F:F,Table2[[#This Row],[Form '#]])</f>
        <v>1</v>
      </c>
      <c r="H982" s="1" t="s">
        <v>5579</v>
      </c>
      <c r="I982" s="1" t="s">
        <v>3852</v>
      </c>
      <c r="J982" s="1" t="s">
        <v>80</v>
      </c>
      <c r="K982" s="1" t="s">
        <v>3853</v>
      </c>
      <c r="L982" s="1"/>
      <c r="M982" s="6" t="str">
        <f>IF(Table2[[#This Row],[Corrected Form '#
 (If Duplicated)]]="",Table2[[#This Row],[Form '#]],Table2[[#This Row],[Corrected Form '#
 (If Duplicated)]])</f>
        <v>7818-09508</v>
      </c>
      <c r="N982" s="1" t="s">
        <v>49</v>
      </c>
      <c r="O982" s="6" t="str">
        <f>IF(Table2[[#This Row],[POG CONFIRMATION RECEIPT OF ORDER
(DATE &amp; TIME)]]="","No Confirmation","Received Confirmation")</f>
        <v>Received Confirmation</v>
      </c>
      <c r="P982" s="6">
        <f ca="1">TODAY()-Table2[[#This Row],[DATE SENT TO POG]]</f>
        <v>246</v>
      </c>
      <c r="Q982" s="6" t="s">
        <v>5803</v>
      </c>
      <c r="R9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2" s="2" t="str">
        <f>_xlfn.XLOOKUP(Table2[[#This Row],[Adjusted Form '#]],'[2]IN PROGRESS'!$D:$D,'[2]IN PROGRESS'!$M:$M,"Not Found")</f>
        <v>Not Found</v>
      </c>
      <c r="U982" s="2" t="str">
        <f>_xlfn.XLOOKUP(Table2[[#This Row],[Adjusted Form '#]],[1]COMPLETED!$D:$D,[2]COMPLETED!$M:$M,"Not Found")</f>
        <v>Not Found</v>
      </c>
      <c r="V982" s="17" t="str">
        <f>_xlfn.XLOOKUP(Table2[[#This Row],[Adjusted Form '#]],[2]COMPLETED!$D:$D,[2]COMPLETED!$O:$O,"Not Found")</f>
        <v>Not Found</v>
      </c>
      <c r="W982" s="2" t="str">
        <f>_xlfn.XLOOKUP(Table2[[#This Row],[Adjusted Form '#]],[2]BILLED!$D:$D,[2]BILLED!$M:$M,"Not Found")</f>
        <v>1Z5063E0YW42382433</v>
      </c>
      <c r="X982" s="17" t="e">
        <f>_xlfn.XLOOKUP(Table2[[#This Row],[Adjusted Form '#]],[2]BILLED!$D:$D,[1]BILLED!$O:$O,"Not Found")</f>
        <v>#REF!</v>
      </c>
      <c r="Y982" s="17" t="e">
        <f>_xlfn.XLOOKUP(Table2[[#This Row],[Adjusted Form '#]],'[2]REJECTED ORDERS'!$D:$D,'[2]REJECTED ORDERS'!$E:$E)</f>
        <v>#N/A</v>
      </c>
      <c r="Z982" s="1"/>
      <c r="AA982" s="1"/>
      <c r="AB982" s="8"/>
      <c r="AC982" s="8"/>
      <c r="AD982" s="8"/>
      <c r="AE982" s="8"/>
      <c r="AF982" s="8"/>
      <c r="AG982" s="8"/>
      <c r="AH982" s="8"/>
      <c r="AI982" s="8"/>
      <c r="AJ982" s="8"/>
    </row>
    <row r="983" spans="1:36" ht="15" customHeight="1" x14ac:dyDescent="0.35">
      <c r="A983" s="4" t="s">
        <v>1488</v>
      </c>
      <c r="B983" s="1" t="s">
        <v>815</v>
      </c>
      <c r="C983" s="11">
        <v>45057</v>
      </c>
      <c r="D983" s="11" t="s">
        <v>5577</v>
      </c>
      <c r="E983" s="1" t="s">
        <v>21</v>
      </c>
      <c r="F983" s="1" t="s">
        <v>5580</v>
      </c>
      <c r="G983" s="6">
        <f>COUNTIF(F:F,Table2[[#This Row],[Form '#]])</f>
        <v>1</v>
      </c>
      <c r="H983" s="1" t="s">
        <v>1290</v>
      </c>
      <c r="I983" s="1" t="s">
        <v>3864</v>
      </c>
      <c r="J983" s="1" t="s">
        <v>78</v>
      </c>
      <c r="K983" s="1" t="s">
        <v>3879</v>
      </c>
      <c r="L983" s="1"/>
      <c r="M983" s="6" t="str">
        <f>IF(Table2[[#This Row],[Corrected Form '#
 (If Duplicated)]]="",Table2[[#This Row],[Form '#]],Table2[[#This Row],[Corrected Form '#
 (If Duplicated)]])</f>
        <v>7818-29899</v>
      </c>
      <c r="N983" s="1" t="s">
        <v>49</v>
      </c>
      <c r="O983" s="6" t="str">
        <f>IF(Table2[[#This Row],[POG CONFIRMATION RECEIPT OF ORDER
(DATE &amp; TIME)]]="","No Confirmation","Received Confirmation")</f>
        <v>Received Confirmation</v>
      </c>
      <c r="P983" s="6">
        <f ca="1">TODAY()-Table2[[#This Row],[DATE SENT TO POG]]</f>
        <v>246</v>
      </c>
      <c r="Q983" s="6" t="s">
        <v>5803</v>
      </c>
      <c r="R9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3" s="2" t="str">
        <f>_xlfn.XLOOKUP(Table2[[#This Row],[Adjusted Form '#]],'[2]IN PROGRESS'!$D:$D,'[2]IN PROGRESS'!$M:$M,"Not Found")</f>
        <v>Not Found</v>
      </c>
      <c r="U983" s="2" t="str">
        <f>_xlfn.XLOOKUP(Table2[[#This Row],[Adjusted Form '#]],[1]COMPLETED!$D:$D,[2]COMPLETED!$M:$M,"Not Found")</f>
        <v>Not Found</v>
      </c>
      <c r="V983" s="17" t="str">
        <f>_xlfn.XLOOKUP(Table2[[#This Row],[Adjusted Form '#]],[2]COMPLETED!$D:$D,[2]COMPLETED!$O:$O,"Not Found")</f>
        <v>Not Found</v>
      </c>
      <c r="W983" s="2" t="str">
        <f>_xlfn.XLOOKUP(Table2[[#This Row],[Adjusted Form '#]],[2]BILLED!$D:$D,[2]BILLED!$M:$M,"Not Found")</f>
        <v>1Z5063E0YW40046256</v>
      </c>
      <c r="X983" s="17" t="e">
        <f>_xlfn.XLOOKUP(Table2[[#This Row],[Adjusted Form '#]],[2]BILLED!$D:$D,[1]BILLED!$O:$O,"Not Found")</f>
        <v>#REF!</v>
      </c>
      <c r="Y983" s="17" t="e">
        <f>_xlfn.XLOOKUP(Table2[[#This Row],[Adjusted Form '#]],'[2]REJECTED ORDERS'!$D:$D,'[2]REJECTED ORDERS'!$E:$E)</f>
        <v>#N/A</v>
      </c>
      <c r="Z983" s="1"/>
      <c r="AA983" s="1"/>
      <c r="AB983" s="8"/>
      <c r="AC983" s="8"/>
      <c r="AD983" s="8"/>
      <c r="AE983" s="8"/>
      <c r="AF983" s="8"/>
      <c r="AG983" s="8"/>
      <c r="AH983" s="8"/>
      <c r="AI983" s="8"/>
      <c r="AJ983" s="8"/>
    </row>
    <row r="984" spans="1:36" ht="15" customHeight="1" x14ac:dyDescent="0.35">
      <c r="A984" s="4" t="s">
        <v>1489</v>
      </c>
      <c r="B984" s="1" t="s">
        <v>815</v>
      </c>
      <c r="C984" s="11">
        <v>45057</v>
      </c>
      <c r="D984" s="11" t="s">
        <v>5577</v>
      </c>
      <c r="E984" s="1" t="s">
        <v>21</v>
      </c>
      <c r="F984" s="1" t="s">
        <v>5581</v>
      </c>
      <c r="G984" s="6">
        <f>COUNTIF(F:F,Table2[[#This Row],[Form '#]])</f>
        <v>1</v>
      </c>
      <c r="H984" s="1" t="s">
        <v>5582</v>
      </c>
      <c r="I984" s="1" t="s">
        <v>3852</v>
      </c>
      <c r="J984" s="1" t="s">
        <v>80</v>
      </c>
      <c r="K984" s="1" t="s">
        <v>3853</v>
      </c>
      <c r="L984" s="1"/>
      <c r="M984" s="6" t="str">
        <f>IF(Table2[[#This Row],[Corrected Form '#
 (If Duplicated)]]="",Table2[[#This Row],[Form '#]],Table2[[#This Row],[Corrected Form '#
 (If Duplicated)]])</f>
        <v>7818-24120</v>
      </c>
      <c r="N984" s="1" t="s">
        <v>49</v>
      </c>
      <c r="O984" s="6" t="str">
        <f>IF(Table2[[#This Row],[POG CONFIRMATION RECEIPT OF ORDER
(DATE &amp; TIME)]]="","No Confirmation","Received Confirmation")</f>
        <v>Received Confirmation</v>
      </c>
      <c r="P984" s="6">
        <f ca="1">TODAY()-Table2[[#This Row],[DATE SENT TO POG]]</f>
        <v>246</v>
      </c>
      <c r="Q984" s="6" t="s">
        <v>5803</v>
      </c>
      <c r="R9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4" s="2" t="str">
        <f>_xlfn.XLOOKUP(Table2[[#This Row],[Adjusted Form '#]],'[2]IN PROGRESS'!$D:$D,'[2]IN PROGRESS'!$M:$M,"Not Found")</f>
        <v>Not Found</v>
      </c>
      <c r="U984" s="2" t="str">
        <f>_xlfn.XLOOKUP(Table2[[#This Row],[Adjusted Form '#]],[1]COMPLETED!$D:$D,[2]COMPLETED!$M:$M,"Not Found")</f>
        <v>Not Found</v>
      </c>
      <c r="V984" s="17" t="str">
        <f>_xlfn.XLOOKUP(Table2[[#This Row],[Adjusted Form '#]],[2]COMPLETED!$D:$D,[2]COMPLETED!$O:$O,"Not Found")</f>
        <v>Not Found</v>
      </c>
      <c r="W984" s="2" t="str">
        <f>_xlfn.XLOOKUP(Table2[[#This Row],[Adjusted Form '#]],[2]BILLED!$D:$D,[2]BILLED!$M:$M,"Not Found")</f>
        <v>9402 1112 0620 7087 3940 42</v>
      </c>
      <c r="X984" s="17" t="e">
        <f>_xlfn.XLOOKUP(Table2[[#This Row],[Adjusted Form '#]],[2]BILLED!$D:$D,[1]BILLED!$O:$O,"Not Found")</f>
        <v>#REF!</v>
      </c>
      <c r="Y984" s="17" t="e">
        <f>_xlfn.XLOOKUP(Table2[[#This Row],[Adjusted Form '#]],'[2]REJECTED ORDERS'!$D:$D,'[2]REJECTED ORDERS'!$E:$E)</f>
        <v>#N/A</v>
      </c>
      <c r="Z984" s="1"/>
      <c r="AA984" s="1"/>
      <c r="AB984" s="8"/>
      <c r="AC984" s="8"/>
      <c r="AD984" s="8"/>
      <c r="AE984" s="8"/>
      <c r="AF984" s="8"/>
      <c r="AG984" s="8"/>
      <c r="AH984" s="8"/>
      <c r="AI984" s="8"/>
      <c r="AJ984" s="8"/>
    </row>
    <row r="985" spans="1:36" ht="15" customHeight="1" x14ac:dyDescent="0.35">
      <c r="A985" s="4" t="s">
        <v>1490</v>
      </c>
      <c r="B985" s="1" t="s">
        <v>815</v>
      </c>
      <c r="C985" s="11">
        <v>45057</v>
      </c>
      <c r="D985" s="11" t="s">
        <v>5577</v>
      </c>
      <c r="E985" s="1" t="s">
        <v>21</v>
      </c>
      <c r="F985" s="1" t="s">
        <v>5583</v>
      </c>
      <c r="G985" s="6">
        <f>COUNTIF(F:F,Table2[[#This Row],[Form '#]])</f>
        <v>1</v>
      </c>
      <c r="H985" s="1" t="s">
        <v>5584</v>
      </c>
      <c r="I985" s="1" t="s">
        <v>3864</v>
      </c>
      <c r="J985" s="1" t="s">
        <v>78</v>
      </c>
      <c r="K985" s="1" t="s">
        <v>3879</v>
      </c>
      <c r="L985" s="1"/>
      <c r="M985" s="6" t="str">
        <f>IF(Table2[[#This Row],[Corrected Form '#
 (If Duplicated)]]="",Table2[[#This Row],[Form '#]],Table2[[#This Row],[Corrected Form '#
 (If Duplicated)]])</f>
        <v>7818-20788</v>
      </c>
      <c r="N985" s="1" t="s">
        <v>49</v>
      </c>
      <c r="O985" s="6" t="str">
        <f>IF(Table2[[#This Row],[POG CONFIRMATION RECEIPT OF ORDER
(DATE &amp; TIME)]]="","No Confirmation","Received Confirmation")</f>
        <v>Received Confirmation</v>
      </c>
      <c r="P985" s="6">
        <f ca="1">TODAY()-Table2[[#This Row],[DATE SENT TO POG]]</f>
        <v>246</v>
      </c>
      <c r="Q985" s="6" t="s">
        <v>5803</v>
      </c>
      <c r="R9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5" s="2" t="str">
        <f>_xlfn.XLOOKUP(Table2[[#This Row],[Adjusted Form '#]],'[2]IN PROGRESS'!$D:$D,'[2]IN PROGRESS'!$M:$M,"Not Found")</f>
        <v>Not Found</v>
      </c>
      <c r="U985" s="2" t="str">
        <f>_xlfn.XLOOKUP(Table2[[#This Row],[Adjusted Form '#]],[1]COMPLETED!$D:$D,[2]COMPLETED!$M:$M,"Not Found")</f>
        <v>Not Found</v>
      </c>
      <c r="V985" s="17" t="str">
        <f>_xlfn.XLOOKUP(Table2[[#This Row],[Adjusted Form '#]],[2]COMPLETED!$D:$D,[2]COMPLETED!$O:$O,"Not Found")</f>
        <v>Not Found</v>
      </c>
      <c r="W985" s="2" t="str">
        <f>_xlfn.XLOOKUP(Table2[[#This Row],[Adjusted Form '#]],[2]BILLED!$D:$D,[2]BILLED!$M:$M,"Not Found")</f>
        <v>1Z5063E0YW42589452</v>
      </c>
      <c r="X985" s="17" t="e">
        <f>_xlfn.XLOOKUP(Table2[[#This Row],[Adjusted Form '#]],[2]BILLED!$D:$D,[1]BILLED!$O:$O,"Not Found")</f>
        <v>#REF!</v>
      </c>
      <c r="Y985" s="17" t="e">
        <f>_xlfn.XLOOKUP(Table2[[#This Row],[Adjusted Form '#]],'[2]REJECTED ORDERS'!$D:$D,'[2]REJECTED ORDERS'!$E:$E)</f>
        <v>#N/A</v>
      </c>
      <c r="Z985" s="1"/>
      <c r="AA985" s="1"/>
      <c r="AB985" s="8"/>
      <c r="AC985" s="8"/>
      <c r="AD985" s="8"/>
      <c r="AE985" s="8"/>
      <c r="AF985" s="8"/>
      <c r="AG985" s="8"/>
      <c r="AH985" s="8"/>
      <c r="AI985" s="8"/>
      <c r="AJ985" s="8"/>
    </row>
    <row r="986" spans="1:36" ht="15" customHeight="1" x14ac:dyDescent="0.35">
      <c r="A986" s="4" t="s">
        <v>1491</v>
      </c>
      <c r="B986" s="1" t="s">
        <v>815</v>
      </c>
      <c r="C986" s="11">
        <v>45057</v>
      </c>
      <c r="D986" s="11" t="s">
        <v>5577</v>
      </c>
      <c r="E986" s="1" t="s">
        <v>21</v>
      </c>
      <c r="F986" s="1" t="s">
        <v>5585</v>
      </c>
      <c r="G986" s="6">
        <f>COUNTIF(F:F,Table2[[#This Row],[Form '#]])</f>
        <v>1</v>
      </c>
      <c r="H986" s="1" t="s">
        <v>5586</v>
      </c>
      <c r="I986" s="1" t="s">
        <v>3864</v>
      </c>
      <c r="J986" s="1" t="s">
        <v>78</v>
      </c>
      <c r="K986" s="1" t="s">
        <v>3879</v>
      </c>
      <c r="L986" s="1"/>
      <c r="M986" s="6" t="str">
        <f>IF(Table2[[#This Row],[Corrected Form '#
 (If Duplicated)]]="",Table2[[#This Row],[Form '#]],Table2[[#This Row],[Corrected Form '#
 (If Duplicated)]])</f>
        <v>7818-11557</v>
      </c>
      <c r="N986" s="1" t="s">
        <v>49</v>
      </c>
      <c r="O986" s="6" t="str">
        <f>IF(Table2[[#This Row],[POG CONFIRMATION RECEIPT OF ORDER
(DATE &amp; TIME)]]="","No Confirmation","Received Confirmation")</f>
        <v>Received Confirmation</v>
      </c>
      <c r="P986" s="6">
        <f ca="1">TODAY()-Table2[[#This Row],[DATE SENT TO POG]]</f>
        <v>246</v>
      </c>
      <c r="Q986" s="6" t="s">
        <v>5803</v>
      </c>
      <c r="R9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6" s="2" t="str">
        <f>_xlfn.XLOOKUP(Table2[[#This Row],[Adjusted Form '#]],'[2]IN PROGRESS'!$D:$D,'[2]IN PROGRESS'!$M:$M,"Not Found")</f>
        <v>Not Found</v>
      </c>
      <c r="U986" s="2" t="str">
        <f>_xlfn.XLOOKUP(Table2[[#This Row],[Adjusted Form '#]],[1]COMPLETED!$D:$D,[2]COMPLETED!$M:$M,"Not Found")</f>
        <v>Not Found</v>
      </c>
      <c r="V986" s="17" t="str">
        <f>_xlfn.XLOOKUP(Table2[[#This Row],[Adjusted Form '#]],[2]COMPLETED!$D:$D,[2]COMPLETED!$O:$O,"Not Found")</f>
        <v>Not Found</v>
      </c>
      <c r="W986" s="2" t="str">
        <f>_xlfn.XLOOKUP(Table2[[#This Row],[Adjusted Form '#]],[2]BILLED!$D:$D,[2]BILLED!$M:$M,"Not Found")</f>
        <v>1Z5063E0YW42900613</v>
      </c>
      <c r="X986" s="17" t="e">
        <f>_xlfn.XLOOKUP(Table2[[#This Row],[Adjusted Form '#]],[2]BILLED!$D:$D,[1]BILLED!$O:$O,"Not Found")</f>
        <v>#REF!</v>
      </c>
      <c r="Y986" s="17" t="e">
        <f>_xlfn.XLOOKUP(Table2[[#This Row],[Adjusted Form '#]],'[2]REJECTED ORDERS'!$D:$D,'[2]REJECTED ORDERS'!$E:$E)</f>
        <v>#N/A</v>
      </c>
      <c r="Z986" s="1"/>
      <c r="AA986" s="1"/>
      <c r="AB986" s="8"/>
      <c r="AC986" s="8"/>
      <c r="AD986" s="8"/>
      <c r="AE986" s="8"/>
      <c r="AF986" s="8"/>
      <c r="AG986" s="8"/>
      <c r="AH986" s="8"/>
      <c r="AI986" s="8"/>
      <c r="AJ986" s="8"/>
    </row>
    <row r="987" spans="1:36" ht="15" customHeight="1" x14ac:dyDescent="0.35">
      <c r="A987" s="4" t="s">
        <v>1493</v>
      </c>
      <c r="B987" s="1" t="s">
        <v>815</v>
      </c>
      <c r="C987" s="11">
        <v>45057</v>
      </c>
      <c r="D987" s="11" t="s">
        <v>5577</v>
      </c>
      <c r="E987" s="1" t="s">
        <v>21</v>
      </c>
      <c r="F987" s="1" t="s">
        <v>5587</v>
      </c>
      <c r="G987" s="6">
        <f>COUNTIF(F:F,Table2[[#This Row],[Form '#]])</f>
        <v>1</v>
      </c>
      <c r="H987" s="1" t="s">
        <v>5588</v>
      </c>
      <c r="I987" s="1" t="s">
        <v>3852</v>
      </c>
      <c r="J987" s="1" t="s">
        <v>80</v>
      </c>
      <c r="K987" s="1" t="s">
        <v>3853</v>
      </c>
      <c r="L987" s="1"/>
      <c r="M987" s="6" t="str">
        <f>IF(Table2[[#This Row],[Corrected Form '#
 (If Duplicated)]]="",Table2[[#This Row],[Form '#]],Table2[[#This Row],[Corrected Form '#
 (If Duplicated)]])</f>
        <v>7818-24331</v>
      </c>
      <c r="N987" s="1" t="s">
        <v>49</v>
      </c>
      <c r="O987" s="6" t="str">
        <f>IF(Table2[[#This Row],[POG CONFIRMATION RECEIPT OF ORDER
(DATE &amp; TIME)]]="","No Confirmation","Received Confirmation")</f>
        <v>Received Confirmation</v>
      </c>
      <c r="P987" s="6">
        <f ca="1">TODAY()-Table2[[#This Row],[DATE SENT TO POG]]</f>
        <v>246</v>
      </c>
      <c r="Q987" s="6" t="s">
        <v>5803</v>
      </c>
      <c r="R9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7" s="2" t="str">
        <f>_xlfn.XLOOKUP(Table2[[#This Row],[Adjusted Form '#]],'[2]IN PROGRESS'!$D:$D,'[2]IN PROGRESS'!$M:$M,"Not Found")</f>
        <v>Not Found</v>
      </c>
      <c r="U987" s="2" t="str">
        <f>_xlfn.XLOOKUP(Table2[[#This Row],[Adjusted Form '#]],[1]COMPLETED!$D:$D,[2]COMPLETED!$M:$M,"Not Found")</f>
        <v>Not Found</v>
      </c>
      <c r="V987" s="17" t="str">
        <f>_xlfn.XLOOKUP(Table2[[#This Row],[Adjusted Form '#]],[2]COMPLETED!$D:$D,[2]COMPLETED!$O:$O,"Not Found")</f>
        <v>Not Found</v>
      </c>
      <c r="W987" s="2" t="str">
        <f>_xlfn.XLOOKUP(Table2[[#This Row],[Adjusted Form '#]],[2]BILLED!$D:$D,[2]BILLED!$M:$M,"Not Found")</f>
        <v>9400 1112 0620 7644 8344 95</v>
      </c>
      <c r="X987" s="17" t="e">
        <f>_xlfn.XLOOKUP(Table2[[#This Row],[Adjusted Form '#]],[2]BILLED!$D:$D,[1]BILLED!$O:$O,"Not Found")</f>
        <v>#REF!</v>
      </c>
      <c r="Y987" s="17" t="e">
        <f>_xlfn.XLOOKUP(Table2[[#This Row],[Adjusted Form '#]],'[2]REJECTED ORDERS'!$D:$D,'[2]REJECTED ORDERS'!$E:$E)</f>
        <v>#N/A</v>
      </c>
      <c r="Z987" s="1"/>
      <c r="AA987" s="1"/>
      <c r="AB987" s="8"/>
      <c r="AC987" s="8"/>
      <c r="AD987" s="8"/>
      <c r="AE987" s="8"/>
      <c r="AF987" s="8"/>
      <c r="AG987" s="8"/>
      <c r="AH987" s="8"/>
      <c r="AI987" s="8"/>
      <c r="AJ987" s="8"/>
    </row>
    <row r="988" spans="1:36" ht="15" customHeight="1" x14ac:dyDescent="0.35">
      <c r="A988" s="4" t="s">
        <v>1495</v>
      </c>
      <c r="B988" s="1" t="s">
        <v>815</v>
      </c>
      <c r="C988" s="11">
        <v>45057</v>
      </c>
      <c r="D988" s="11" t="s">
        <v>5577</v>
      </c>
      <c r="E988" s="1" t="s">
        <v>21</v>
      </c>
      <c r="F988" s="1" t="s">
        <v>5589</v>
      </c>
      <c r="G988" s="6">
        <f>COUNTIF(F:F,Table2[[#This Row],[Form '#]])</f>
        <v>1</v>
      </c>
      <c r="H988" s="1" t="s">
        <v>3511</v>
      </c>
      <c r="I988" s="1" t="s">
        <v>3852</v>
      </c>
      <c r="J988" s="1" t="s">
        <v>75</v>
      </c>
      <c r="K988" s="1" t="s">
        <v>3853</v>
      </c>
      <c r="L988" s="1"/>
      <c r="M988" s="6" t="str">
        <f>IF(Table2[[#This Row],[Corrected Form '#
 (If Duplicated)]]="",Table2[[#This Row],[Form '#]],Table2[[#This Row],[Corrected Form '#
 (If Duplicated)]])</f>
        <v>7818-24333</v>
      </c>
      <c r="N988" s="1" t="s">
        <v>49</v>
      </c>
      <c r="O988" s="6" t="str">
        <f>IF(Table2[[#This Row],[POG CONFIRMATION RECEIPT OF ORDER
(DATE &amp; TIME)]]="","No Confirmation","Received Confirmation")</f>
        <v>Received Confirmation</v>
      </c>
      <c r="P988" s="6">
        <f ca="1">TODAY()-Table2[[#This Row],[DATE SENT TO POG]]</f>
        <v>246</v>
      </c>
      <c r="Q988" s="6" t="s">
        <v>5803</v>
      </c>
      <c r="R9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8" s="2" t="str">
        <f>_xlfn.XLOOKUP(Table2[[#This Row],[Adjusted Form '#]],'[2]IN PROGRESS'!$D:$D,'[2]IN PROGRESS'!$M:$M,"Not Found")</f>
        <v>Not Found</v>
      </c>
      <c r="U988" s="2" t="str">
        <f>_xlfn.XLOOKUP(Table2[[#This Row],[Adjusted Form '#]],[1]COMPLETED!$D:$D,[2]COMPLETED!$M:$M,"Not Found")</f>
        <v>Not Found</v>
      </c>
      <c r="V988" s="17" t="str">
        <f>_xlfn.XLOOKUP(Table2[[#This Row],[Adjusted Form '#]],[2]COMPLETED!$D:$D,[2]COMPLETED!$O:$O,"Not Found")</f>
        <v>Not Found</v>
      </c>
      <c r="W988" s="2" t="str">
        <f>_xlfn.XLOOKUP(Table2[[#This Row],[Adjusted Form '#]],[2]BILLED!$D:$D,[2]BILLED!$M:$M,"Not Found")</f>
        <v>1Z5063E0YW41750671</v>
      </c>
      <c r="X988" s="17" t="e">
        <f>_xlfn.XLOOKUP(Table2[[#This Row],[Adjusted Form '#]],[2]BILLED!$D:$D,[1]BILLED!$O:$O,"Not Found")</f>
        <v>#REF!</v>
      </c>
      <c r="Y988" s="17" t="e">
        <f>_xlfn.XLOOKUP(Table2[[#This Row],[Adjusted Form '#]],'[2]REJECTED ORDERS'!$D:$D,'[2]REJECTED ORDERS'!$E:$E)</f>
        <v>#N/A</v>
      </c>
      <c r="Z988" s="1"/>
      <c r="AA988" s="1"/>
      <c r="AB988" s="8"/>
      <c r="AC988" s="8"/>
      <c r="AD988" s="8"/>
      <c r="AE988" s="8"/>
      <c r="AF988" s="8"/>
      <c r="AG988" s="8"/>
      <c r="AH988" s="8"/>
      <c r="AI988" s="8"/>
      <c r="AJ988" s="8"/>
    </row>
    <row r="989" spans="1:36" ht="15" customHeight="1" x14ac:dyDescent="0.35">
      <c r="A989" s="4" t="s">
        <v>1496</v>
      </c>
      <c r="B989" s="1" t="s">
        <v>815</v>
      </c>
      <c r="C989" s="11">
        <v>45057</v>
      </c>
      <c r="D989" s="11" t="s">
        <v>5577</v>
      </c>
      <c r="E989" s="1" t="s">
        <v>21</v>
      </c>
      <c r="F989" s="1" t="s">
        <v>5590</v>
      </c>
      <c r="G989" s="6">
        <f>COUNTIF(F:F,Table2[[#This Row],[Form '#]])</f>
        <v>1</v>
      </c>
      <c r="H989" s="1" t="s">
        <v>746</v>
      </c>
      <c r="I989" s="1" t="s">
        <v>3852</v>
      </c>
      <c r="J989" s="1" t="s">
        <v>80</v>
      </c>
      <c r="K989" s="1" t="s">
        <v>4011</v>
      </c>
      <c r="L989" s="1"/>
      <c r="M989" s="6" t="str">
        <f>IF(Table2[[#This Row],[Corrected Form '#
 (If Duplicated)]]="",Table2[[#This Row],[Form '#]],Table2[[#This Row],[Corrected Form '#
 (If Duplicated)]])</f>
        <v>7818-24322</v>
      </c>
      <c r="N989" s="1" t="s">
        <v>49</v>
      </c>
      <c r="O989" s="6" t="str">
        <f>IF(Table2[[#This Row],[POG CONFIRMATION RECEIPT OF ORDER
(DATE &amp; TIME)]]="","No Confirmation","Received Confirmation")</f>
        <v>Received Confirmation</v>
      </c>
      <c r="P989" s="6">
        <f ca="1">TODAY()-Table2[[#This Row],[DATE SENT TO POG]]</f>
        <v>246</v>
      </c>
      <c r="Q989" s="6" t="s">
        <v>5803</v>
      </c>
      <c r="R9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89" s="2" t="str">
        <f>_xlfn.XLOOKUP(Table2[[#This Row],[Adjusted Form '#]],'[2]IN PROGRESS'!$D:$D,'[2]IN PROGRESS'!$M:$M,"Not Found")</f>
        <v>Not Found</v>
      </c>
      <c r="U989" s="2" t="str">
        <f>_xlfn.XLOOKUP(Table2[[#This Row],[Adjusted Form '#]],[1]COMPLETED!$D:$D,[2]COMPLETED!$M:$M,"Not Found")</f>
        <v>Not Found</v>
      </c>
      <c r="V989" s="17" t="str">
        <f>_xlfn.XLOOKUP(Table2[[#This Row],[Adjusted Form '#]],[2]COMPLETED!$D:$D,[2]COMPLETED!$O:$O,"Not Found")</f>
        <v>Not Found</v>
      </c>
      <c r="W989" s="2" t="str">
        <f>_xlfn.XLOOKUP(Table2[[#This Row],[Adjusted Form '#]],[2]BILLED!$D:$D,[2]BILLED!$M:$M,"Not Found")</f>
        <v>1Z5063E0YW42531665</v>
      </c>
      <c r="X989" s="17" t="e">
        <f>_xlfn.XLOOKUP(Table2[[#This Row],[Adjusted Form '#]],[2]BILLED!$D:$D,[1]BILLED!$O:$O,"Not Found")</f>
        <v>#REF!</v>
      </c>
      <c r="Y989" s="17" t="e">
        <f>_xlfn.XLOOKUP(Table2[[#This Row],[Adjusted Form '#]],'[2]REJECTED ORDERS'!$D:$D,'[2]REJECTED ORDERS'!$E:$E)</f>
        <v>#N/A</v>
      </c>
      <c r="Z989" s="1"/>
      <c r="AA989" s="1"/>
      <c r="AB989" s="8"/>
      <c r="AC989" s="8"/>
      <c r="AD989" s="8"/>
      <c r="AE989" s="8"/>
      <c r="AF989" s="8"/>
      <c r="AG989" s="8"/>
      <c r="AH989" s="8"/>
      <c r="AI989" s="8"/>
      <c r="AJ989" s="8"/>
    </row>
    <row r="990" spans="1:36" ht="15" customHeight="1" x14ac:dyDescent="0.35">
      <c r="A990" s="4" t="s">
        <v>1498</v>
      </c>
      <c r="B990" s="1" t="s">
        <v>815</v>
      </c>
      <c r="C990" s="11">
        <v>45057</v>
      </c>
      <c r="D990" s="11" t="s">
        <v>5577</v>
      </c>
      <c r="E990" s="1" t="s">
        <v>21</v>
      </c>
      <c r="F990" s="1" t="s">
        <v>5591</v>
      </c>
      <c r="G990" s="6">
        <f>COUNTIF(F:F,Table2[[#This Row],[Form '#]])</f>
        <v>1</v>
      </c>
      <c r="H990" s="1" t="s">
        <v>2993</v>
      </c>
      <c r="I990" s="1" t="s">
        <v>3852</v>
      </c>
      <c r="J990" s="1" t="s">
        <v>80</v>
      </c>
      <c r="K990" s="1" t="s">
        <v>3853</v>
      </c>
      <c r="L990" s="1"/>
      <c r="M990" s="6" t="str">
        <f>IF(Table2[[#This Row],[Corrected Form '#
 (If Duplicated)]]="",Table2[[#This Row],[Form '#]],Table2[[#This Row],[Corrected Form '#
 (If Duplicated)]])</f>
        <v>7818-11536</v>
      </c>
      <c r="N990" s="1" t="s">
        <v>49</v>
      </c>
      <c r="O990" s="6" t="str">
        <f>IF(Table2[[#This Row],[POG CONFIRMATION RECEIPT OF ORDER
(DATE &amp; TIME)]]="","No Confirmation","Received Confirmation")</f>
        <v>Received Confirmation</v>
      </c>
      <c r="P990" s="6">
        <f ca="1">TODAY()-Table2[[#This Row],[DATE SENT TO POG]]</f>
        <v>246</v>
      </c>
      <c r="Q990" s="6" t="s">
        <v>5803</v>
      </c>
      <c r="R9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0" s="2" t="str">
        <f>_xlfn.XLOOKUP(Table2[[#This Row],[Adjusted Form '#]],'[2]IN PROGRESS'!$D:$D,'[2]IN PROGRESS'!$M:$M,"Not Found")</f>
        <v>Not Found</v>
      </c>
      <c r="U990" s="2" t="str">
        <f>_xlfn.XLOOKUP(Table2[[#This Row],[Adjusted Form '#]],[1]COMPLETED!$D:$D,[2]COMPLETED!$M:$M,"Not Found")</f>
        <v>Not Found</v>
      </c>
      <c r="V990" s="17" t="str">
        <f>_xlfn.XLOOKUP(Table2[[#This Row],[Adjusted Form '#]],[2]COMPLETED!$D:$D,[2]COMPLETED!$O:$O,"Not Found")</f>
        <v>Not Found</v>
      </c>
      <c r="W990" s="2" t="str">
        <f>_xlfn.XLOOKUP(Table2[[#This Row],[Adjusted Form '#]],[2]BILLED!$D:$D,[2]BILLED!$M:$M,"Not Found")</f>
        <v>1Z5063E0YW41848549</v>
      </c>
      <c r="X990" s="17" t="e">
        <f>_xlfn.XLOOKUP(Table2[[#This Row],[Adjusted Form '#]],[2]BILLED!$D:$D,[1]BILLED!$O:$O,"Not Found")</f>
        <v>#REF!</v>
      </c>
      <c r="Y990" s="17" t="e">
        <f>_xlfn.XLOOKUP(Table2[[#This Row],[Adjusted Form '#]],'[2]REJECTED ORDERS'!$D:$D,'[2]REJECTED ORDERS'!$E:$E)</f>
        <v>#N/A</v>
      </c>
      <c r="Z990" s="1"/>
      <c r="AA990" s="1"/>
      <c r="AB990" s="8"/>
      <c r="AC990" s="8"/>
      <c r="AD990" s="8"/>
      <c r="AE990" s="8"/>
      <c r="AF990" s="8"/>
      <c r="AG990" s="8"/>
      <c r="AH990" s="8"/>
      <c r="AI990" s="8"/>
      <c r="AJ990" s="8"/>
    </row>
    <row r="991" spans="1:36" ht="15" customHeight="1" x14ac:dyDescent="0.35">
      <c r="A991" s="4" t="s">
        <v>1499</v>
      </c>
      <c r="B991" s="1" t="s">
        <v>815</v>
      </c>
      <c r="C991" s="11">
        <v>45057</v>
      </c>
      <c r="D991" s="11" t="s">
        <v>5577</v>
      </c>
      <c r="E991" s="1" t="s">
        <v>21</v>
      </c>
      <c r="F991" s="1" t="s">
        <v>5592</v>
      </c>
      <c r="G991" s="6">
        <f>COUNTIF(F:F,Table2[[#This Row],[Form '#]])</f>
        <v>1</v>
      </c>
      <c r="H991" s="1" t="s">
        <v>5593</v>
      </c>
      <c r="I991" s="1" t="s">
        <v>3864</v>
      </c>
      <c r="J991" s="1" t="s">
        <v>78</v>
      </c>
      <c r="K991" s="1" t="s">
        <v>3879</v>
      </c>
      <c r="L991" s="1"/>
      <c r="M991" s="6" t="str">
        <f>IF(Table2[[#This Row],[Corrected Form '#
 (If Duplicated)]]="",Table2[[#This Row],[Form '#]],Table2[[#This Row],[Corrected Form '#
 (If Duplicated)]])</f>
        <v>7818-15564</v>
      </c>
      <c r="N991" s="1" t="s">
        <v>49</v>
      </c>
      <c r="O991" s="6" t="str">
        <f>IF(Table2[[#This Row],[POG CONFIRMATION RECEIPT OF ORDER
(DATE &amp; TIME)]]="","No Confirmation","Received Confirmation")</f>
        <v>Received Confirmation</v>
      </c>
      <c r="P991" s="6">
        <f ca="1">TODAY()-Table2[[#This Row],[DATE SENT TO POG]]</f>
        <v>246</v>
      </c>
      <c r="Q991" s="6" t="s">
        <v>5803</v>
      </c>
      <c r="R9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1" s="2" t="str">
        <f>_xlfn.XLOOKUP(Table2[[#This Row],[Adjusted Form '#]],'[2]IN PROGRESS'!$D:$D,'[2]IN PROGRESS'!$M:$M,"Not Found")</f>
        <v>Not Found</v>
      </c>
      <c r="U991" s="2" t="str">
        <f>_xlfn.XLOOKUP(Table2[[#This Row],[Adjusted Form '#]],[1]COMPLETED!$D:$D,[2]COMPLETED!$M:$M,"Not Found")</f>
        <v>Not Found</v>
      </c>
      <c r="V991" s="17" t="str">
        <f>_xlfn.XLOOKUP(Table2[[#This Row],[Adjusted Form '#]],[2]COMPLETED!$D:$D,[2]COMPLETED!$O:$O,"Not Found")</f>
        <v>Not Found</v>
      </c>
      <c r="W991" s="2" t="str">
        <f>_xlfn.XLOOKUP(Table2[[#This Row],[Adjusted Form '#]],[2]BILLED!$D:$D,[2]BILLED!$M:$M,"Not Found")</f>
        <v>1Z5063E0YW41517898</v>
      </c>
      <c r="X991" s="17" t="e">
        <f>_xlfn.XLOOKUP(Table2[[#This Row],[Adjusted Form '#]],[2]BILLED!$D:$D,[1]BILLED!$O:$O,"Not Found")</f>
        <v>#REF!</v>
      </c>
      <c r="Y991" s="17" t="e">
        <f>_xlfn.XLOOKUP(Table2[[#This Row],[Adjusted Form '#]],'[2]REJECTED ORDERS'!$D:$D,'[2]REJECTED ORDERS'!$E:$E)</f>
        <v>#N/A</v>
      </c>
      <c r="Z991" s="1"/>
      <c r="AA991" s="1"/>
      <c r="AB991" s="8"/>
      <c r="AC991" s="8"/>
      <c r="AD991" s="8"/>
      <c r="AE991" s="8"/>
      <c r="AF991" s="8"/>
      <c r="AG991" s="8"/>
      <c r="AH991" s="8"/>
      <c r="AI991" s="8"/>
      <c r="AJ991" s="8"/>
    </row>
    <row r="992" spans="1:36" ht="15" customHeight="1" x14ac:dyDescent="0.35">
      <c r="A992" s="4" t="s">
        <v>1501</v>
      </c>
      <c r="B992" s="1" t="s">
        <v>815</v>
      </c>
      <c r="C992" s="11">
        <v>45057</v>
      </c>
      <c r="D992" s="11" t="s">
        <v>5577</v>
      </c>
      <c r="E992" s="1" t="s">
        <v>21</v>
      </c>
      <c r="F992" s="1" t="s">
        <v>5594</v>
      </c>
      <c r="G992" s="6">
        <f>COUNTIF(F:F,Table2[[#This Row],[Form '#]])</f>
        <v>1</v>
      </c>
      <c r="H992" s="1" t="s">
        <v>5595</v>
      </c>
      <c r="I992" s="1" t="s">
        <v>127</v>
      </c>
      <c r="J992" s="1" t="s">
        <v>74</v>
      </c>
      <c r="K992" s="1" t="s">
        <v>4011</v>
      </c>
      <c r="L992" s="1"/>
      <c r="M992" s="6" t="str">
        <f>IF(Table2[[#This Row],[Corrected Form '#
 (If Duplicated)]]="",Table2[[#This Row],[Form '#]],Table2[[#This Row],[Corrected Form '#
 (If Duplicated)]])</f>
        <v>7818-19583</v>
      </c>
      <c r="N992" s="1" t="s">
        <v>49</v>
      </c>
      <c r="O992" s="6" t="str">
        <f>IF(Table2[[#This Row],[POG CONFIRMATION RECEIPT OF ORDER
(DATE &amp; TIME)]]="","No Confirmation","Received Confirmation")</f>
        <v>Received Confirmation</v>
      </c>
      <c r="P992" s="6">
        <f ca="1">TODAY()-Table2[[#This Row],[DATE SENT TO POG]]</f>
        <v>246</v>
      </c>
      <c r="Q992" s="6" t="s">
        <v>5803</v>
      </c>
      <c r="R9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2" s="2" t="str">
        <f>_xlfn.XLOOKUP(Table2[[#This Row],[Adjusted Form '#]],'[2]IN PROGRESS'!$D:$D,'[2]IN PROGRESS'!$M:$M,"Not Found")</f>
        <v>Not Found</v>
      </c>
      <c r="U992" s="2" t="str">
        <f>_xlfn.XLOOKUP(Table2[[#This Row],[Adjusted Form '#]],[1]COMPLETED!$D:$D,[2]COMPLETED!$M:$M,"Not Found")</f>
        <v>Not Found</v>
      </c>
      <c r="V992" s="17" t="str">
        <f>_xlfn.XLOOKUP(Table2[[#This Row],[Adjusted Form '#]],[2]COMPLETED!$D:$D,[2]COMPLETED!$O:$O,"Not Found")</f>
        <v>Not Found</v>
      </c>
      <c r="W992" s="2" t="str">
        <f>_xlfn.XLOOKUP(Table2[[#This Row],[Adjusted Form '#]],[2]BILLED!$D:$D,[2]BILLED!$M:$M,"Not Found")</f>
        <v>1Z5063E0YW40466098</v>
      </c>
      <c r="X992" s="17" t="e">
        <f>_xlfn.XLOOKUP(Table2[[#This Row],[Adjusted Form '#]],[2]BILLED!$D:$D,[1]BILLED!$O:$O,"Not Found")</f>
        <v>#REF!</v>
      </c>
      <c r="Y992" s="17" t="e">
        <f>_xlfn.XLOOKUP(Table2[[#This Row],[Adjusted Form '#]],'[2]REJECTED ORDERS'!$D:$D,'[2]REJECTED ORDERS'!$E:$E)</f>
        <v>#N/A</v>
      </c>
      <c r="Z992" s="1"/>
      <c r="AA992" s="1"/>
      <c r="AB992" s="8"/>
      <c r="AC992" s="8"/>
      <c r="AD992" s="8"/>
      <c r="AE992" s="8"/>
      <c r="AF992" s="8"/>
      <c r="AG992" s="8"/>
      <c r="AH992" s="8"/>
      <c r="AI992" s="8"/>
      <c r="AJ992" s="8"/>
    </row>
    <row r="993" spans="1:36" ht="15" customHeight="1" x14ac:dyDescent="0.35">
      <c r="A993" s="4" t="s">
        <v>1502</v>
      </c>
      <c r="B993" s="1" t="s">
        <v>2911</v>
      </c>
      <c r="C993" s="11">
        <v>45057</v>
      </c>
      <c r="D993" s="11" t="s">
        <v>5596</v>
      </c>
      <c r="E993" s="1" t="s">
        <v>21</v>
      </c>
      <c r="F993" s="1" t="s">
        <v>5234</v>
      </c>
      <c r="G993" s="6">
        <f>COUNTIF(F:F,Table2[[#This Row],[Form '#]])</f>
        <v>2</v>
      </c>
      <c r="H993" s="1" t="s">
        <v>484</v>
      </c>
      <c r="I993" s="1" t="s">
        <v>3852</v>
      </c>
      <c r="J993" s="1" t="s">
        <v>75</v>
      </c>
      <c r="K993" s="1" t="s">
        <v>3853</v>
      </c>
      <c r="L993" s="1"/>
      <c r="M993" s="6" t="str">
        <f>IF(Table2[[#This Row],[Corrected Form '#
 (If Duplicated)]]="",Table2[[#This Row],[Form '#]],Table2[[#This Row],[Corrected Form '#
 (If Duplicated)]])</f>
        <v>7818-22685</v>
      </c>
      <c r="N993" s="1" t="s">
        <v>49</v>
      </c>
      <c r="O993" s="6" t="str">
        <f>IF(Table2[[#This Row],[POG CONFIRMATION RECEIPT OF ORDER
(DATE &amp; TIME)]]="","No Confirmation","Received Confirmation")</f>
        <v>Received Confirmation</v>
      </c>
      <c r="P993" s="6">
        <f ca="1">TODAY()-Table2[[#This Row],[DATE SENT TO POG]]</f>
        <v>246</v>
      </c>
      <c r="Q993" s="6" t="s">
        <v>5803</v>
      </c>
      <c r="R9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3" s="2" t="str">
        <f>_xlfn.XLOOKUP(Table2[[#This Row],[Adjusted Form '#]],'[2]IN PROGRESS'!$D:$D,'[2]IN PROGRESS'!$M:$M,"Not Found")</f>
        <v>Not Found</v>
      </c>
      <c r="U993" s="2" t="str">
        <f>_xlfn.XLOOKUP(Table2[[#This Row],[Adjusted Form '#]],[1]COMPLETED!$D:$D,[2]COMPLETED!$M:$M,"Not Found")</f>
        <v>Not Found</v>
      </c>
      <c r="V993" s="17" t="str">
        <f>_xlfn.XLOOKUP(Table2[[#This Row],[Adjusted Form '#]],[2]COMPLETED!$D:$D,[2]COMPLETED!$O:$O,"Not Found")</f>
        <v>Not Found</v>
      </c>
      <c r="W993" s="2" t="str">
        <f>_xlfn.XLOOKUP(Table2[[#This Row],[Adjusted Form '#]],[2]BILLED!$D:$D,[2]BILLED!$M:$M,"Not Found")</f>
        <v>1Z5063E0YW41412652</v>
      </c>
      <c r="X993" s="17" t="e">
        <f>_xlfn.XLOOKUP(Table2[[#This Row],[Adjusted Form '#]],[2]BILLED!$D:$D,[1]BILLED!$O:$O,"Not Found")</f>
        <v>#REF!</v>
      </c>
      <c r="Y993" s="17" t="e">
        <f>_xlfn.XLOOKUP(Table2[[#This Row],[Adjusted Form '#]],'[2]REJECTED ORDERS'!$D:$D,'[2]REJECTED ORDERS'!$E:$E)</f>
        <v>#N/A</v>
      </c>
      <c r="Z993" s="1"/>
      <c r="AA993" s="1"/>
      <c r="AB993" s="8"/>
      <c r="AC993" s="8"/>
      <c r="AD993" s="8"/>
      <c r="AE993" s="8"/>
      <c r="AF993" s="8"/>
      <c r="AG993" s="8"/>
      <c r="AH993" s="8"/>
      <c r="AI993" s="8"/>
      <c r="AJ993" s="8"/>
    </row>
    <row r="994" spans="1:36" ht="15" customHeight="1" x14ac:dyDescent="0.35">
      <c r="A994" s="4" t="s">
        <v>1503</v>
      </c>
      <c r="B994" s="1" t="s">
        <v>2911</v>
      </c>
      <c r="C994" s="11">
        <v>45057</v>
      </c>
      <c r="D994" s="11" t="s">
        <v>5596</v>
      </c>
      <c r="E994" s="1" t="s">
        <v>21</v>
      </c>
      <c r="F994" s="1" t="s">
        <v>4883</v>
      </c>
      <c r="G994" s="6">
        <f>COUNTIF(F:F,Table2[[#This Row],[Form '#]])</f>
        <v>2</v>
      </c>
      <c r="H994" s="1" t="s">
        <v>4884</v>
      </c>
      <c r="I994" s="1" t="s">
        <v>3852</v>
      </c>
      <c r="J994" s="1" t="s">
        <v>75</v>
      </c>
      <c r="K994" s="1" t="s">
        <v>3853</v>
      </c>
      <c r="L994" s="1"/>
      <c r="M994" s="6" t="str">
        <f>IF(Table2[[#This Row],[Corrected Form '#
 (If Duplicated)]]="",Table2[[#This Row],[Form '#]],Table2[[#This Row],[Corrected Form '#
 (If Duplicated)]])</f>
        <v>7818-23360</v>
      </c>
      <c r="N994" s="1" t="s">
        <v>49</v>
      </c>
      <c r="O994" s="6" t="str">
        <f>IF(Table2[[#This Row],[POG CONFIRMATION RECEIPT OF ORDER
(DATE &amp; TIME)]]="","No Confirmation","Received Confirmation")</f>
        <v>Received Confirmation</v>
      </c>
      <c r="P994" s="6">
        <f ca="1">TODAY()-Table2[[#This Row],[DATE SENT TO POG]]</f>
        <v>246</v>
      </c>
      <c r="Q994" s="6" t="s">
        <v>5803</v>
      </c>
      <c r="R9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4" s="2" t="str">
        <f>_xlfn.XLOOKUP(Table2[[#This Row],[Adjusted Form '#]],'[2]IN PROGRESS'!$D:$D,'[2]IN PROGRESS'!$M:$M,"Not Found")</f>
        <v>Not Found</v>
      </c>
      <c r="U994" s="2" t="str">
        <f>_xlfn.XLOOKUP(Table2[[#This Row],[Adjusted Form '#]],[1]COMPLETED!$D:$D,[2]COMPLETED!$M:$M,"Not Found")</f>
        <v>Not Found</v>
      </c>
      <c r="V994" s="17" t="str">
        <f>_xlfn.XLOOKUP(Table2[[#This Row],[Adjusted Form '#]],[2]COMPLETED!$D:$D,[2]COMPLETED!$O:$O,"Not Found")</f>
        <v>Not Found</v>
      </c>
      <c r="W994" s="2" t="str">
        <f>_xlfn.XLOOKUP(Table2[[#This Row],[Adjusted Form '#]],[2]BILLED!$D:$D,[2]BILLED!$M:$M,"Not Found")</f>
        <v>9402 1112 0620 7022 9174 04</v>
      </c>
      <c r="X994" s="17" t="e">
        <f>_xlfn.XLOOKUP(Table2[[#This Row],[Adjusted Form '#]],[2]BILLED!$D:$D,[1]BILLED!$O:$O,"Not Found")</f>
        <v>#REF!</v>
      </c>
      <c r="Y994" s="17" t="e">
        <f>_xlfn.XLOOKUP(Table2[[#This Row],[Adjusted Form '#]],'[2]REJECTED ORDERS'!$D:$D,'[2]REJECTED ORDERS'!$E:$E)</f>
        <v>#N/A</v>
      </c>
      <c r="Z994" s="1"/>
      <c r="AA994" s="1"/>
      <c r="AB994" s="8"/>
      <c r="AC994" s="8"/>
      <c r="AD994" s="8"/>
      <c r="AE994" s="8"/>
      <c r="AF994" s="8"/>
      <c r="AG994" s="8"/>
      <c r="AH994" s="8"/>
      <c r="AI994" s="8"/>
      <c r="AJ994" s="8"/>
    </row>
    <row r="995" spans="1:36" ht="15" customHeight="1" x14ac:dyDescent="0.35">
      <c r="A995" s="4" t="s">
        <v>1504</v>
      </c>
      <c r="B995" s="1" t="s">
        <v>2911</v>
      </c>
      <c r="C995" s="11">
        <v>45057</v>
      </c>
      <c r="D995" s="11" t="s">
        <v>5596</v>
      </c>
      <c r="E995" s="1" t="s">
        <v>21</v>
      </c>
      <c r="F995" s="1" t="s">
        <v>5173</v>
      </c>
      <c r="G995" s="6">
        <f>COUNTIF(F:F,Table2[[#This Row],[Form '#]])</f>
        <v>2</v>
      </c>
      <c r="H995" s="1" t="s">
        <v>769</v>
      </c>
      <c r="I995" s="1" t="s">
        <v>3852</v>
      </c>
      <c r="J995" s="1" t="s">
        <v>75</v>
      </c>
      <c r="K995" s="1" t="s">
        <v>3853</v>
      </c>
      <c r="L995" s="1"/>
      <c r="M995" s="6" t="str">
        <f>IF(Table2[[#This Row],[Corrected Form '#
 (If Duplicated)]]="",Table2[[#This Row],[Form '#]],Table2[[#This Row],[Corrected Form '#
 (If Duplicated)]])</f>
        <v>7818-14649</v>
      </c>
      <c r="N995" s="1" t="s">
        <v>49</v>
      </c>
      <c r="O995" s="6" t="str">
        <f>IF(Table2[[#This Row],[POG CONFIRMATION RECEIPT OF ORDER
(DATE &amp; TIME)]]="","No Confirmation","Received Confirmation")</f>
        <v>Received Confirmation</v>
      </c>
      <c r="P995" s="6">
        <f ca="1">TODAY()-Table2[[#This Row],[DATE SENT TO POG]]</f>
        <v>246</v>
      </c>
      <c r="Q995" s="6" t="s">
        <v>5803</v>
      </c>
      <c r="R9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99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995" s="2" t="str">
        <f>_xlfn.XLOOKUP(Table2[[#This Row],[Adjusted Form '#]],'[2]IN PROGRESS'!$D:$D,'[2]IN PROGRESS'!$M:$M,"Not Found")</f>
        <v>Not Found</v>
      </c>
      <c r="U995" s="2" t="str">
        <f>_xlfn.XLOOKUP(Table2[[#This Row],[Adjusted Form '#]],[1]COMPLETED!$D:$D,[2]COMPLETED!$M:$M,"Not Found")</f>
        <v>Not Found</v>
      </c>
      <c r="V995" s="17">
        <f>_xlfn.XLOOKUP(Table2[[#This Row],[Adjusted Form '#]],[2]COMPLETED!$D:$D,[2]COMPLETED!$O:$O,"Not Found")</f>
        <v>0</v>
      </c>
      <c r="W995" s="2" t="str">
        <f>_xlfn.XLOOKUP(Table2[[#This Row],[Adjusted Form '#]],[2]BILLED!$D:$D,[2]BILLED!$M:$M,"Not Found")</f>
        <v>Not Found</v>
      </c>
      <c r="X995" s="17" t="str">
        <f>_xlfn.XLOOKUP(Table2[[#This Row],[Adjusted Form '#]],[2]BILLED!$D:$D,[1]BILLED!$O:$O,"Not Found")</f>
        <v>Not Found</v>
      </c>
      <c r="Y995" s="17" t="e">
        <f>_xlfn.XLOOKUP(Table2[[#This Row],[Adjusted Form '#]],'[2]REJECTED ORDERS'!$D:$D,'[2]REJECTED ORDERS'!$E:$E)</f>
        <v>#N/A</v>
      </c>
      <c r="Z995" s="1"/>
      <c r="AA995" s="1"/>
      <c r="AB995" s="8"/>
      <c r="AC995" s="8"/>
      <c r="AD995" s="8"/>
      <c r="AE995" s="8"/>
      <c r="AF995" s="8"/>
      <c r="AG995" s="8"/>
      <c r="AH995" s="8"/>
      <c r="AI995" s="8"/>
      <c r="AJ995" s="8"/>
    </row>
    <row r="996" spans="1:36" ht="15" customHeight="1" x14ac:dyDescent="0.35">
      <c r="A996" s="4" t="s">
        <v>1505</v>
      </c>
      <c r="B996" s="1" t="s">
        <v>2911</v>
      </c>
      <c r="C996" s="11">
        <v>45057</v>
      </c>
      <c r="D996" s="11" t="s">
        <v>5596</v>
      </c>
      <c r="E996" s="1" t="s">
        <v>21</v>
      </c>
      <c r="F996" s="1" t="s">
        <v>5597</v>
      </c>
      <c r="G996" s="6">
        <f>COUNTIF(F:F,Table2[[#This Row],[Form '#]])</f>
        <v>1</v>
      </c>
      <c r="H996" s="1" t="s">
        <v>5148</v>
      </c>
      <c r="I996" s="1" t="s">
        <v>3852</v>
      </c>
      <c r="J996" s="1" t="s">
        <v>75</v>
      </c>
      <c r="K996" s="1" t="s">
        <v>3853</v>
      </c>
      <c r="L996" s="1"/>
      <c r="M996" s="6" t="str">
        <f>IF(Table2[[#This Row],[Corrected Form '#
 (If Duplicated)]]="",Table2[[#This Row],[Form '#]],Table2[[#This Row],[Corrected Form '#
 (If Duplicated)]])</f>
        <v>7818-756318</v>
      </c>
      <c r="N996" s="1" t="s">
        <v>49</v>
      </c>
      <c r="O996" s="6" t="str">
        <f>IF(Table2[[#This Row],[POG CONFIRMATION RECEIPT OF ORDER
(DATE &amp; TIME)]]="","No Confirmation","Received Confirmation")</f>
        <v>Received Confirmation</v>
      </c>
      <c r="P996" s="6">
        <f ca="1">TODAY()-Table2[[#This Row],[DATE SENT TO POG]]</f>
        <v>246</v>
      </c>
      <c r="Q996" s="6" t="s">
        <v>5802</v>
      </c>
      <c r="R9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99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996" s="2" t="str">
        <f>_xlfn.XLOOKUP(Table2[[#This Row],[Adjusted Form '#]],'[2]IN PROGRESS'!$D:$D,'[2]IN PROGRESS'!$M:$M,"Not Found")</f>
        <v>Not Found</v>
      </c>
      <c r="U996" s="2" t="str">
        <f>_xlfn.XLOOKUP(Table2[[#This Row],[Adjusted Form '#]],[1]COMPLETED!$D:$D,[2]COMPLETED!$M:$M,"Not Found")</f>
        <v>Not Found</v>
      </c>
      <c r="V996" s="17" t="str">
        <f>_xlfn.XLOOKUP(Table2[[#This Row],[Adjusted Form '#]],[2]COMPLETED!$D:$D,[2]COMPLETED!$O:$O,"Not Found")</f>
        <v>Not Found</v>
      </c>
      <c r="W996" s="2" t="str">
        <f>_xlfn.XLOOKUP(Table2[[#This Row],[Adjusted Form '#]],[2]BILLED!$D:$D,[2]BILLED!$M:$M,"Not Found")</f>
        <v>Not Found</v>
      </c>
      <c r="X996" s="17" t="str">
        <f>_xlfn.XLOOKUP(Table2[[#This Row],[Adjusted Form '#]],[2]BILLED!$D:$D,[1]BILLED!$O:$O,"Not Found")</f>
        <v>Not Found</v>
      </c>
      <c r="Y996" s="17" t="e">
        <f>_xlfn.XLOOKUP(Table2[[#This Row],[Adjusted Form '#]],'[2]REJECTED ORDERS'!$D:$D,'[2]REJECTED ORDERS'!$E:$E)</f>
        <v>#N/A</v>
      </c>
      <c r="Z996" s="1"/>
      <c r="AA996" s="1"/>
      <c r="AB996" s="8"/>
      <c r="AC996" s="8"/>
      <c r="AD996" s="8"/>
      <c r="AE996" s="8"/>
      <c r="AF996" s="8"/>
      <c r="AG996" s="8"/>
      <c r="AH996" s="8"/>
      <c r="AI996" s="8"/>
      <c r="AJ996" s="8"/>
    </row>
    <row r="997" spans="1:36" ht="15" customHeight="1" x14ac:dyDescent="0.35">
      <c r="A997" s="4" t="s">
        <v>1506</v>
      </c>
      <c r="B997" s="1" t="s">
        <v>2911</v>
      </c>
      <c r="C997" s="11">
        <v>45057</v>
      </c>
      <c r="D997" s="11" t="s">
        <v>5596</v>
      </c>
      <c r="E997" s="1" t="s">
        <v>21</v>
      </c>
      <c r="F997" s="1" t="s">
        <v>5288</v>
      </c>
      <c r="G997" s="6">
        <f>COUNTIF(F:F,Table2[[#This Row],[Form '#]])</f>
        <v>2</v>
      </c>
      <c r="H997" s="1" t="s">
        <v>365</v>
      </c>
      <c r="I997" s="1" t="s">
        <v>3852</v>
      </c>
      <c r="J997" s="1" t="s">
        <v>75</v>
      </c>
      <c r="K997" s="1" t="s">
        <v>3853</v>
      </c>
      <c r="L997" s="1"/>
      <c r="M997" s="6" t="str">
        <f>IF(Table2[[#This Row],[Corrected Form '#
 (If Duplicated)]]="",Table2[[#This Row],[Form '#]],Table2[[#This Row],[Corrected Form '#
 (If Duplicated)]])</f>
        <v>7818-26137</v>
      </c>
      <c r="N997" s="1" t="s">
        <v>49</v>
      </c>
      <c r="O997" s="6" t="str">
        <f>IF(Table2[[#This Row],[POG CONFIRMATION RECEIPT OF ORDER
(DATE &amp; TIME)]]="","No Confirmation","Received Confirmation")</f>
        <v>Received Confirmation</v>
      </c>
      <c r="P997" s="6">
        <f ca="1">TODAY()-Table2[[#This Row],[DATE SENT TO POG]]</f>
        <v>246</v>
      </c>
      <c r="Q997" s="6" t="s">
        <v>5803</v>
      </c>
      <c r="R9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7" s="2" t="str">
        <f>_xlfn.XLOOKUP(Table2[[#This Row],[Adjusted Form '#]],'[2]IN PROGRESS'!$D:$D,'[2]IN PROGRESS'!$M:$M,"Not Found")</f>
        <v>Not Found</v>
      </c>
      <c r="U997" s="2" t="str">
        <f>_xlfn.XLOOKUP(Table2[[#This Row],[Adjusted Form '#]],[1]COMPLETED!$D:$D,[2]COMPLETED!$M:$M,"Not Found")</f>
        <v>Not Found</v>
      </c>
      <c r="V997" s="17" t="str">
        <f>_xlfn.XLOOKUP(Table2[[#This Row],[Adjusted Form '#]],[2]COMPLETED!$D:$D,[2]COMPLETED!$O:$O,"Not Found")</f>
        <v>Not Found</v>
      </c>
      <c r="W997" s="2" t="str">
        <f>_xlfn.XLOOKUP(Table2[[#This Row],[Adjusted Form '#]],[2]BILLED!$D:$D,[2]BILLED!$M:$M,"Not Found")</f>
        <v>1Z5063E0YW41755498</v>
      </c>
      <c r="X997" s="17" t="e">
        <f>_xlfn.XLOOKUP(Table2[[#This Row],[Adjusted Form '#]],[2]BILLED!$D:$D,[1]BILLED!$O:$O,"Not Found")</f>
        <v>#REF!</v>
      </c>
      <c r="Y997" s="17" t="e">
        <f>_xlfn.XLOOKUP(Table2[[#This Row],[Adjusted Form '#]],'[2]REJECTED ORDERS'!$D:$D,'[2]REJECTED ORDERS'!$E:$E)</f>
        <v>#N/A</v>
      </c>
      <c r="Z997" s="1"/>
      <c r="AA997" s="1"/>
      <c r="AB997" s="8"/>
      <c r="AC997" s="8"/>
      <c r="AD997" s="8"/>
      <c r="AE997" s="8"/>
      <c r="AF997" s="8"/>
      <c r="AG997" s="8"/>
      <c r="AH997" s="8"/>
      <c r="AI997" s="8"/>
      <c r="AJ997" s="8"/>
    </row>
    <row r="998" spans="1:36" ht="15" customHeight="1" x14ac:dyDescent="0.35">
      <c r="A998" s="4" t="s">
        <v>1508</v>
      </c>
      <c r="B998" s="1" t="s">
        <v>3603</v>
      </c>
      <c r="C998" s="11">
        <v>45057</v>
      </c>
      <c r="D998" s="11" t="s">
        <v>5598</v>
      </c>
      <c r="E998" s="1" t="s">
        <v>21</v>
      </c>
      <c r="F998" s="1" t="s">
        <v>5599</v>
      </c>
      <c r="G998" s="6">
        <f>COUNTIF(F:F,Table2[[#This Row],[Form '#]])</f>
        <v>1</v>
      </c>
      <c r="H998" s="1" t="s">
        <v>775</v>
      </c>
      <c r="I998" s="1" t="s">
        <v>3864</v>
      </c>
      <c r="J998" s="1" t="s">
        <v>3891</v>
      </c>
      <c r="K998" s="1" t="s">
        <v>3891</v>
      </c>
      <c r="L998" s="1"/>
      <c r="M998" s="6" t="str">
        <f>IF(Table2[[#This Row],[Corrected Form '#
 (If Duplicated)]]="",Table2[[#This Row],[Form '#]],Table2[[#This Row],[Corrected Form '#
 (If Duplicated)]])</f>
        <v>7824-00439</v>
      </c>
      <c r="N998" s="1" t="s">
        <v>49</v>
      </c>
      <c r="O998" s="6" t="str">
        <f>IF(Table2[[#This Row],[POG CONFIRMATION RECEIPT OF ORDER
(DATE &amp; TIME)]]="","No Confirmation","Received Confirmation")</f>
        <v>Received Confirmation</v>
      </c>
      <c r="P998" s="6">
        <f ca="1">TODAY()-Table2[[#This Row],[DATE SENT TO POG]]</f>
        <v>246</v>
      </c>
      <c r="Q998" s="6" t="s">
        <v>5803</v>
      </c>
      <c r="R9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8" s="2" t="str">
        <f>_xlfn.XLOOKUP(Table2[[#This Row],[Adjusted Form '#]],'[2]IN PROGRESS'!$D:$D,'[2]IN PROGRESS'!$M:$M,"Not Found")</f>
        <v>Not Found</v>
      </c>
      <c r="U998" s="2" t="str">
        <f>_xlfn.XLOOKUP(Table2[[#This Row],[Adjusted Form '#]],[1]COMPLETED!$D:$D,[2]COMPLETED!$M:$M,"Not Found")</f>
        <v>Not Found</v>
      </c>
      <c r="V998" s="17" t="str">
        <f>_xlfn.XLOOKUP(Table2[[#This Row],[Adjusted Form '#]],[2]COMPLETED!$D:$D,[2]COMPLETED!$O:$O,"Not Found")</f>
        <v>Not Found</v>
      </c>
      <c r="W998" s="2" t="str">
        <f>_xlfn.XLOOKUP(Table2[[#This Row],[Adjusted Form '#]],[2]BILLED!$D:$D,[2]BILLED!$M:$M,"Not Found")</f>
        <v>1Z5063E0YW41715325</v>
      </c>
      <c r="X998" s="17" t="e">
        <f>_xlfn.XLOOKUP(Table2[[#This Row],[Adjusted Form '#]],[2]BILLED!$D:$D,[1]BILLED!$O:$O,"Not Found")</f>
        <v>#REF!</v>
      </c>
      <c r="Y998" s="17" t="e">
        <f>_xlfn.XLOOKUP(Table2[[#This Row],[Adjusted Form '#]],'[2]REJECTED ORDERS'!$D:$D,'[2]REJECTED ORDERS'!$E:$E)</f>
        <v>#N/A</v>
      </c>
      <c r="Z998" s="1"/>
      <c r="AA998" s="1"/>
      <c r="AB998" s="8"/>
      <c r="AC998" s="8"/>
      <c r="AD998" s="8"/>
      <c r="AE998" s="8"/>
      <c r="AF998" s="8"/>
      <c r="AG998" s="8"/>
      <c r="AH998" s="8"/>
      <c r="AI998" s="8"/>
      <c r="AJ998" s="8"/>
    </row>
    <row r="999" spans="1:36" ht="15" customHeight="1" x14ac:dyDescent="0.35">
      <c r="A999" s="4" t="s">
        <v>1509</v>
      </c>
      <c r="B999" s="1" t="s">
        <v>639</v>
      </c>
      <c r="C999" s="11">
        <v>45057</v>
      </c>
      <c r="D999" s="11" t="s">
        <v>5600</v>
      </c>
      <c r="E999" s="1" t="s">
        <v>21</v>
      </c>
      <c r="F999" s="1" t="s">
        <v>5601</v>
      </c>
      <c r="G999" s="6">
        <f>COUNTIF(F:F,Table2[[#This Row],[Form '#]])</f>
        <v>1</v>
      </c>
      <c r="H999" s="1" t="s">
        <v>5602</v>
      </c>
      <c r="I999" s="1" t="s">
        <v>3852</v>
      </c>
      <c r="J999" s="1" t="s">
        <v>80</v>
      </c>
      <c r="K999" s="1" t="s">
        <v>3853</v>
      </c>
      <c r="L999" s="1"/>
      <c r="M999" s="6" t="str">
        <f>IF(Table2[[#This Row],[Corrected Form '#
 (If Duplicated)]]="",Table2[[#This Row],[Form '#]],Table2[[#This Row],[Corrected Form '#
 (If Duplicated)]])</f>
        <v>7818-16272</v>
      </c>
      <c r="N999" s="1" t="s">
        <v>49</v>
      </c>
      <c r="O999" s="6" t="str">
        <f>IF(Table2[[#This Row],[POG CONFIRMATION RECEIPT OF ORDER
(DATE &amp; TIME)]]="","No Confirmation","Received Confirmation")</f>
        <v>Received Confirmation</v>
      </c>
      <c r="P999" s="6">
        <f ca="1">TODAY()-Table2[[#This Row],[DATE SENT TO POG]]</f>
        <v>246</v>
      </c>
      <c r="Q999" s="6" t="s">
        <v>5803</v>
      </c>
      <c r="R9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9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999" s="2" t="str">
        <f>_xlfn.XLOOKUP(Table2[[#This Row],[Adjusted Form '#]],'[2]IN PROGRESS'!$D:$D,'[2]IN PROGRESS'!$M:$M,"Not Found")</f>
        <v>Not Found</v>
      </c>
      <c r="U999" s="2" t="str">
        <f>_xlfn.XLOOKUP(Table2[[#This Row],[Adjusted Form '#]],[1]COMPLETED!$D:$D,[2]COMPLETED!$M:$M,"Not Found")</f>
        <v>Not Found</v>
      </c>
      <c r="V999" s="17" t="str">
        <f>_xlfn.XLOOKUP(Table2[[#This Row],[Adjusted Form '#]],[2]COMPLETED!$D:$D,[2]COMPLETED!$O:$O,"Not Found")</f>
        <v>Not Found</v>
      </c>
      <c r="W999" s="2" t="str">
        <f>_xlfn.XLOOKUP(Table2[[#This Row],[Adjusted Form '#]],[2]BILLED!$D:$D,[2]BILLED!$M:$M,"Not Found")</f>
        <v>1Z5063E0YW41430525</v>
      </c>
      <c r="X999" s="17" t="e">
        <f>_xlfn.XLOOKUP(Table2[[#This Row],[Adjusted Form '#]],[2]BILLED!$D:$D,[1]BILLED!$O:$O,"Not Found")</f>
        <v>#REF!</v>
      </c>
      <c r="Y999" s="17" t="e">
        <f>_xlfn.XLOOKUP(Table2[[#This Row],[Adjusted Form '#]],'[2]REJECTED ORDERS'!$D:$D,'[2]REJECTED ORDERS'!$E:$E)</f>
        <v>#N/A</v>
      </c>
      <c r="Z999" s="1"/>
      <c r="AA999" s="1"/>
      <c r="AB999" s="8"/>
      <c r="AC999" s="8"/>
      <c r="AD999" s="8"/>
      <c r="AE999" s="8"/>
      <c r="AF999" s="8"/>
      <c r="AG999" s="8"/>
      <c r="AH999" s="8"/>
      <c r="AI999" s="8"/>
      <c r="AJ999" s="8"/>
    </row>
    <row r="1000" spans="1:36" ht="15" customHeight="1" x14ac:dyDescent="0.35">
      <c r="A1000" s="4" t="s">
        <v>1510</v>
      </c>
      <c r="B1000" s="1" t="s">
        <v>5603</v>
      </c>
      <c r="C1000" s="11">
        <v>45057</v>
      </c>
      <c r="D1000" s="11" t="s">
        <v>5604</v>
      </c>
      <c r="E1000" s="1" t="s">
        <v>73</v>
      </c>
      <c r="F1000" s="1" t="s">
        <v>5605</v>
      </c>
      <c r="G1000" s="6">
        <f>COUNTIF(F:F,Table2[[#This Row],[Form '#]])</f>
        <v>1</v>
      </c>
      <c r="H1000" s="1" t="s">
        <v>5606</v>
      </c>
      <c r="I1000" s="1" t="s">
        <v>177</v>
      </c>
      <c r="J1000" s="1" t="s">
        <v>75</v>
      </c>
      <c r="K1000" s="1" t="s">
        <v>4011</v>
      </c>
      <c r="L1000" s="1"/>
      <c r="M1000" s="6" t="str">
        <f>IF(Table2[[#This Row],[Corrected Form '#
 (If Duplicated)]]="",Table2[[#This Row],[Form '#]],Table2[[#This Row],[Corrected Form '#
 (If Duplicated)]])</f>
        <v>7823-02661</v>
      </c>
      <c r="N1000" s="1" t="s">
        <v>49</v>
      </c>
      <c r="O1000" s="6" t="str">
        <f>IF(Table2[[#This Row],[POG CONFIRMATION RECEIPT OF ORDER
(DATE &amp; TIME)]]="","No Confirmation","Received Confirmation")</f>
        <v>Received Confirmation</v>
      </c>
      <c r="P1000" s="6">
        <f ca="1">TODAY()-Table2[[#This Row],[DATE SENT TO POG]]</f>
        <v>246</v>
      </c>
      <c r="Q1000" s="6" t="s">
        <v>5803</v>
      </c>
      <c r="R10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0" s="2" t="str">
        <f>_xlfn.XLOOKUP(Table2[[#This Row],[Adjusted Form '#]],'[2]IN PROGRESS'!$D:$D,'[2]IN PROGRESS'!$M:$M,"Not Found")</f>
        <v>Not Found</v>
      </c>
      <c r="U1000" s="2" t="str">
        <f>_xlfn.XLOOKUP(Table2[[#This Row],[Adjusted Form '#]],[1]COMPLETED!$D:$D,[2]COMPLETED!$M:$M,"Not Found")</f>
        <v>Not Found</v>
      </c>
      <c r="V1000" s="17" t="str">
        <f>_xlfn.XLOOKUP(Table2[[#This Row],[Adjusted Form '#]],[2]COMPLETED!$D:$D,[2]COMPLETED!$O:$O,"Not Found")</f>
        <v>Not Found</v>
      </c>
      <c r="W1000" s="2" t="str">
        <f>_xlfn.XLOOKUP(Table2[[#This Row],[Adjusted Form '#]],[2]BILLED!$D:$D,[2]BILLED!$M:$M,"Not Found")</f>
        <v>1Z5063E0YW40437860</v>
      </c>
      <c r="X1000" s="17" t="e">
        <f>_xlfn.XLOOKUP(Table2[[#This Row],[Adjusted Form '#]],[2]BILLED!$D:$D,[1]BILLED!$O:$O,"Not Found")</f>
        <v>#REF!</v>
      </c>
      <c r="Y1000" s="17" t="e">
        <f>_xlfn.XLOOKUP(Table2[[#This Row],[Adjusted Form '#]],'[2]REJECTED ORDERS'!$D:$D,'[2]REJECTED ORDERS'!$E:$E)</f>
        <v>#N/A</v>
      </c>
      <c r="Z1000" s="1"/>
      <c r="AA1000" s="1"/>
      <c r="AB1000" s="8"/>
      <c r="AC1000" s="8"/>
      <c r="AD1000" s="8"/>
      <c r="AE1000" s="8"/>
      <c r="AF1000" s="8"/>
      <c r="AG1000" s="8"/>
      <c r="AH1000" s="8"/>
      <c r="AI1000" s="8"/>
      <c r="AJ1000" s="8"/>
    </row>
    <row r="1001" spans="1:36" ht="15" customHeight="1" x14ac:dyDescent="0.35">
      <c r="A1001" s="4" t="s">
        <v>1511</v>
      </c>
      <c r="B1001" s="1" t="s">
        <v>1098</v>
      </c>
      <c r="C1001" s="11">
        <v>45061</v>
      </c>
      <c r="D1001" s="11" t="s">
        <v>5607</v>
      </c>
      <c r="E1001" s="1" t="s">
        <v>21</v>
      </c>
      <c r="F1001" s="1" t="s">
        <v>5608</v>
      </c>
      <c r="G1001" s="6">
        <f>COUNTIF(F:F,Table2[[#This Row],[Form '#]])</f>
        <v>1</v>
      </c>
      <c r="H1001" s="1" t="s">
        <v>5609</v>
      </c>
      <c r="I1001" s="1" t="s">
        <v>3852</v>
      </c>
      <c r="J1001" s="1" t="s">
        <v>75</v>
      </c>
      <c r="K1001" s="1" t="s">
        <v>3853</v>
      </c>
      <c r="L1001" s="1"/>
      <c r="M1001" s="6" t="str">
        <f>IF(Table2[[#This Row],[Corrected Form '#
 (If Duplicated)]]="",Table2[[#This Row],[Form '#]],Table2[[#This Row],[Corrected Form '#
 (If Duplicated)]])</f>
        <v>7818-29811</v>
      </c>
      <c r="N1001" s="1" t="s">
        <v>49</v>
      </c>
      <c r="O1001" s="6" t="str">
        <f>IF(Table2[[#This Row],[POG CONFIRMATION RECEIPT OF ORDER
(DATE &amp; TIME)]]="","No Confirmation","Received Confirmation")</f>
        <v>Received Confirmation</v>
      </c>
      <c r="P1001" s="6">
        <f ca="1">TODAY()-Table2[[#This Row],[DATE SENT TO POG]]</f>
        <v>242</v>
      </c>
      <c r="Q1001" s="6" t="s">
        <v>5803</v>
      </c>
      <c r="R10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1" s="2" t="str">
        <f>_xlfn.XLOOKUP(Table2[[#This Row],[Adjusted Form '#]],'[2]IN PROGRESS'!$D:$D,'[2]IN PROGRESS'!$M:$M,"Not Found")</f>
        <v>Not Found</v>
      </c>
      <c r="U1001" s="2" t="str">
        <f>_xlfn.XLOOKUP(Table2[[#This Row],[Adjusted Form '#]],[1]COMPLETED!$D:$D,[2]COMPLETED!$M:$M,"Not Found")</f>
        <v>Not Found</v>
      </c>
      <c r="V1001" s="17" t="str">
        <f>_xlfn.XLOOKUP(Table2[[#This Row],[Adjusted Form '#]],[2]COMPLETED!$D:$D,[2]COMPLETED!$O:$O,"Not Found")</f>
        <v>Not Found</v>
      </c>
      <c r="W1001" s="2" t="str">
        <f>_xlfn.XLOOKUP(Table2[[#This Row],[Adjusted Form '#]],[2]BILLED!$D:$D,[2]BILLED!$M:$M,"Not Found")</f>
        <v>1Z5063E0YW41478583</v>
      </c>
      <c r="X1001" s="17" t="e">
        <f>_xlfn.XLOOKUP(Table2[[#This Row],[Adjusted Form '#]],[2]BILLED!$D:$D,[1]BILLED!$O:$O,"Not Found")</f>
        <v>#REF!</v>
      </c>
      <c r="Y1001" s="17" t="e">
        <f>_xlfn.XLOOKUP(Table2[[#This Row],[Adjusted Form '#]],'[2]REJECTED ORDERS'!$D:$D,'[2]REJECTED ORDERS'!$E:$E)</f>
        <v>#N/A</v>
      </c>
      <c r="Z1001" s="1"/>
      <c r="AA1001" s="1"/>
      <c r="AB1001" s="8"/>
      <c r="AC1001" s="8"/>
      <c r="AD1001" s="8"/>
      <c r="AE1001" s="8"/>
      <c r="AF1001" s="8"/>
      <c r="AG1001" s="8"/>
      <c r="AH1001" s="8"/>
      <c r="AI1001" s="8"/>
      <c r="AJ1001" s="8"/>
    </row>
    <row r="1002" spans="1:36" ht="15" customHeight="1" x14ac:dyDescent="0.35">
      <c r="A1002" s="4" t="s">
        <v>1513</v>
      </c>
      <c r="B1002" s="1" t="s">
        <v>1098</v>
      </c>
      <c r="C1002" s="11">
        <v>45061</v>
      </c>
      <c r="D1002" s="11" t="s">
        <v>5607</v>
      </c>
      <c r="E1002" s="1" t="s">
        <v>21</v>
      </c>
      <c r="F1002" s="1" t="s">
        <v>5610</v>
      </c>
      <c r="G1002" s="6">
        <f>COUNTIF(F:F,Table2[[#This Row],[Form '#]])</f>
        <v>1</v>
      </c>
      <c r="H1002" s="1" t="s">
        <v>3454</v>
      </c>
      <c r="I1002" s="1" t="s">
        <v>127</v>
      </c>
      <c r="J1002" s="1" t="s">
        <v>76</v>
      </c>
      <c r="K1002" s="1" t="s">
        <v>4854</v>
      </c>
      <c r="L1002" s="1"/>
      <c r="M1002" s="6" t="str">
        <f>IF(Table2[[#This Row],[Corrected Form '#
 (If Duplicated)]]="",Table2[[#This Row],[Form '#]],Table2[[#This Row],[Corrected Form '#
 (If Duplicated)]])</f>
        <v>7818-29805</v>
      </c>
      <c r="N1002" s="1" t="s">
        <v>49</v>
      </c>
      <c r="O1002" s="6" t="str">
        <f>IF(Table2[[#This Row],[POG CONFIRMATION RECEIPT OF ORDER
(DATE &amp; TIME)]]="","No Confirmation","Received Confirmation")</f>
        <v>Received Confirmation</v>
      </c>
      <c r="P1002" s="6">
        <f ca="1">TODAY()-Table2[[#This Row],[DATE SENT TO POG]]</f>
        <v>242</v>
      </c>
      <c r="Q1002" s="6" t="s">
        <v>5803</v>
      </c>
      <c r="R10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2" s="2" t="str">
        <f>_xlfn.XLOOKUP(Table2[[#This Row],[Adjusted Form '#]],'[2]IN PROGRESS'!$D:$D,'[2]IN PROGRESS'!$M:$M,"Not Found")</f>
        <v>Not Found</v>
      </c>
      <c r="U1002" s="2" t="str">
        <f>_xlfn.XLOOKUP(Table2[[#This Row],[Adjusted Form '#]],[1]COMPLETED!$D:$D,[2]COMPLETED!$M:$M,"Not Found")</f>
        <v>Not Found</v>
      </c>
      <c r="V1002" s="17" t="str">
        <f>_xlfn.XLOOKUP(Table2[[#This Row],[Adjusted Form '#]],[2]COMPLETED!$D:$D,[2]COMPLETED!$O:$O,"Not Found")</f>
        <v>Not Found</v>
      </c>
      <c r="W1002" s="2" t="str">
        <f>_xlfn.XLOOKUP(Table2[[#This Row],[Adjusted Form '#]],[2]BILLED!$D:$D,[2]BILLED!$M:$M,"Not Found")</f>
        <v>1Z5063E0YW40682952</v>
      </c>
      <c r="X1002" s="17" t="e">
        <f>_xlfn.XLOOKUP(Table2[[#This Row],[Adjusted Form '#]],[2]BILLED!$D:$D,[1]BILLED!$O:$O,"Not Found")</f>
        <v>#REF!</v>
      </c>
      <c r="Y1002" s="17" t="e">
        <f>_xlfn.XLOOKUP(Table2[[#This Row],[Adjusted Form '#]],'[2]REJECTED ORDERS'!$D:$D,'[2]REJECTED ORDERS'!$E:$E)</f>
        <v>#N/A</v>
      </c>
      <c r="Z1002" s="1"/>
      <c r="AA1002" s="1"/>
      <c r="AB1002" s="8"/>
      <c r="AC1002" s="8"/>
      <c r="AD1002" s="8"/>
      <c r="AE1002" s="8"/>
      <c r="AF1002" s="8"/>
      <c r="AG1002" s="8"/>
      <c r="AH1002" s="8"/>
      <c r="AI1002" s="8"/>
      <c r="AJ1002" s="8"/>
    </row>
    <row r="1003" spans="1:36" ht="15" customHeight="1" x14ac:dyDescent="0.35">
      <c r="A1003" s="4" t="s">
        <v>1515</v>
      </c>
      <c r="B1003" s="1" t="s">
        <v>1098</v>
      </c>
      <c r="C1003" s="11">
        <v>45061</v>
      </c>
      <c r="D1003" s="11" t="s">
        <v>5607</v>
      </c>
      <c r="E1003" s="1" t="s">
        <v>21</v>
      </c>
      <c r="F1003" s="1" t="s">
        <v>5611</v>
      </c>
      <c r="G1003" s="6">
        <f>COUNTIF(F:F,Table2[[#This Row],[Form '#]])</f>
        <v>1</v>
      </c>
      <c r="H1003" s="1" t="s">
        <v>979</v>
      </c>
      <c r="I1003" s="1" t="s">
        <v>758</v>
      </c>
      <c r="J1003" s="1" t="s">
        <v>78</v>
      </c>
      <c r="K1003" s="1" t="s">
        <v>3853</v>
      </c>
      <c r="L1003" s="1"/>
      <c r="M1003" s="6" t="str">
        <f>IF(Table2[[#This Row],[Corrected Form '#
 (If Duplicated)]]="",Table2[[#This Row],[Form '#]],Table2[[#This Row],[Corrected Form '#
 (If Duplicated)]])</f>
        <v>7818-01200</v>
      </c>
      <c r="N1003" s="1" t="s">
        <v>49</v>
      </c>
      <c r="O1003" s="6" t="str">
        <f>IF(Table2[[#This Row],[POG CONFIRMATION RECEIPT OF ORDER
(DATE &amp; TIME)]]="","No Confirmation","Received Confirmation")</f>
        <v>Received Confirmation</v>
      </c>
      <c r="P1003" s="6">
        <f ca="1">TODAY()-Table2[[#This Row],[DATE SENT TO POG]]</f>
        <v>242</v>
      </c>
      <c r="Q1003" s="6" t="s">
        <v>5803</v>
      </c>
      <c r="R10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3" s="2" t="str">
        <f>_xlfn.XLOOKUP(Table2[[#This Row],[Adjusted Form '#]],'[2]IN PROGRESS'!$D:$D,'[2]IN PROGRESS'!$M:$M,"Not Found")</f>
        <v>Not Found</v>
      </c>
      <c r="U1003" s="2" t="str">
        <f>_xlfn.XLOOKUP(Table2[[#This Row],[Adjusted Form '#]],[1]COMPLETED!$D:$D,[2]COMPLETED!$M:$M,"Not Found")</f>
        <v>Not Found</v>
      </c>
      <c r="V1003" s="17" t="str">
        <f>_xlfn.XLOOKUP(Table2[[#This Row],[Adjusted Form '#]],[2]COMPLETED!$D:$D,[2]COMPLETED!$O:$O,"Not Found")</f>
        <v>Not Found</v>
      </c>
      <c r="W1003" s="2" t="str">
        <f>_xlfn.XLOOKUP(Table2[[#This Row],[Adjusted Form '#]],[2]BILLED!$D:$D,[2]BILLED!$M:$M,"Not Found")</f>
        <v>1Z5063E0YW42248721</v>
      </c>
      <c r="X1003" s="17" t="e">
        <f>_xlfn.XLOOKUP(Table2[[#This Row],[Adjusted Form '#]],[2]BILLED!$D:$D,[1]BILLED!$O:$O,"Not Found")</f>
        <v>#REF!</v>
      </c>
      <c r="Y1003" s="17" t="e">
        <f>_xlfn.XLOOKUP(Table2[[#This Row],[Adjusted Form '#]],'[2]REJECTED ORDERS'!$D:$D,'[2]REJECTED ORDERS'!$E:$E)</f>
        <v>#N/A</v>
      </c>
      <c r="Z1003" s="1"/>
      <c r="AA1003" s="1"/>
      <c r="AB1003" s="8"/>
      <c r="AC1003" s="8"/>
      <c r="AD1003" s="8"/>
      <c r="AE1003" s="8"/>
      <c r="AF1003" s="8"/>
      <c r="AG1003" s="8"/>
      <c r="AH1003" s="8"/>
      <c r="AI1003" s="8"/>
      <c r="AJ1003" s="8"/>
    </row>
    <row r="1004" spans="1:36" ht="15" customHeight="1" x14ac:dyDescent="0.35">
      <c r="A1004" s="4" t="s">
        <v>1517</v>
      </c>
      <c r="B1004" s="1" t="s">
        <v>2637</v>
      </c>
      <c r="C1004" s="11">
        <v>45061</v>
      </c>
      <c r="D1004" s="11" t="s">
        <v>5607</v>
      </c>
      <c r="E1004" s="1" t="s">
        <v>21</v>
      </c>
      <c r="F1004" s="1" t="s">
        <v>5612</v>
      </c>
      <c r="G1004" s="6">
        <f>COUNTIF(F:F,Table2[[#This Row],[Form '#]])</f>
        <v>1</v>
      </c>
      <c r="H1004" s="1" t="s">
        <v>778</v>
      </c>
      <c r="I1004" s="1" t="s">
        <v>3852</v>
      </c>
      <c r="J1004" s="1" t="s">
        <v>75</v>
      </c>
      <c r="K1004" s="1" t="s">
        <v>3853</v>
      </c>
      <c r="L1004" s="1"/>
      <c r="M1004" s="6" t="str">
        <f>IF(Table2[[#This Row],[Corrected Form '#
 (If Duplicated)]]="",Table2[[#This Row],[Form '#]],Table2[[#This Row],[Corrected Form '#
 (If Duplicated)]])</f>
        <v>7818-26834</v>
      </c>
      <c r="N1004" s="1" t="s">
        <v>49</v>
      </c>
      <c r="O1004" s="6" t="str">
        <f>IF(Table2[[#This Row],[POG CONFIRMATION RECEIPT OF ORDER
(DATE &amp; TIME)]]="","No Confirmation","Received Confirmation")</f>
        <v>Received Confirmation</v>
      </c>
      <c r="P1004" s="6">
        <f ca="1">TODAY()-Table2[[#This Row],[DATE SENT TO POG]]</f>
        <v>242</v>
      </c>
      <c r="Q1004" s="6" t="s">
        <v>5803</v>
      </c>
      <c r="R10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4" s="2" t="str">
        <f>_xlfn.XLOOKUP(Table2[[#This Row],[Adjusted Form '#]],'[2]IN PROGRESS'!$D:$D,'[2]IN PROGRESS'!$M:$M,"Not Found")</f>
        <v>Not Found</v>
      </c>
      <c r="U1004" s="2" t="str">
        <f>_xlfn.XLOOKUP(Table2[[#This Row],[Adjusted Form '#]],[1]COMPLETED!$D:$D,[2]COMPLETED!$M:$M,"Not Found")</f>
        <v>Not Found</v>
      </c>
      <c r="V1004" s="17" t="str">
        <f>_xlfn.XLOOKUP(Table2[[#This Row],[Adjusted Form '#]],[2]COMPLETED!$D:$D,[2]COMPLETED!$O:$O,"Not Found")</f>
        <v>Not Found</v>
      </c>
      <c r="W1004" s="2" t="str">
        <f>_xlfn.XLOOKUP(Table2[[#This Row],[Adjusted Form '#]],[2]BILLED!$D:$D,[2]BILLED!$M:$M,"Not Found")</f>
        <v>1Z5063E0YW42308479</v>
      </c>
      <c r="X1004" s="17" t="e">
        <f>_xlfn.XLOOKUP(Table2[[#This Row],[Adjusted Form '#]],[2]BILLED!$D:$D,[1]BILLED!$O:$O,"Not Found")</f>
        <v>#REF!</v>
      </c>
      <c r="Y1004" s="17" t="e">
        <f>_xlfn.XLOOKUP(Table2[[#This Row],[Adjusted Form '#]],'[2]REJECTED ORDERS'!$D:$D,'[2]REJECTED ORDERS'!$E:$E)</f>
        <v>#N/A</v>
      </c>
      <c r="Z1004" s="1"/>
      <c r="AA1004" s="1"/>
      <c r="AB1004" s="8"/>
      <c r="AC1004" s="8"/>
      <c r="AD1004" s="8"/>
      <c r="AE1004" s="8"/>
      <c r="AF1004" s="8"/>
      <c r="AG1004" s="8"/>
      <c r="AH1004" s="8"/>
      <c r="AI1004" s="8"/>
      <c r="AJ1004" s="8"/>
    </row>
    <row r="1005" spans="1:36" ht="15" customHeight="1" x14ac:dyDescent="0.35">
      <c r="A1005" s="4" t="s">
        <v>1519</v>
      </c>
      <c r="B1005" s="1" t="s">
        <v>3086</v>
      </c>
      <c r="C1005" s="11">
        <v>45061</v>
      </c>
      <c r="D1005" s="11" t="s">
        <v>5613</v>
      </c>
      <c r="E1005" s="1" t="s">
        <v>21</v>
      </c>
      <c r="F1005" s="1" t="s">
        <v>5614</v>
      </c>
      <c r="G1005" s="6">
        <f>COUNTIF(F:F,Table2[[#This Row],[Form '#]])</f>
        <v>1</v>
      </c>
      <c r="H1005" s="1" t="s">
        <v>5615</v>
      </c>
      <c r="I1005" s="1" t="s">
        <v>758</v>
      </c>
      <c r="J1005" s="1" t="s">
        <v>3891</v>
      </c>
      <c r="K1005" s="1" t="s">
        <v>3891</v>
      </c>
      <c r="L1005" s="1"/>
      <c r="M1005" s="6" t="str">
        <f>IF(Table2[[#This Row],[Corrected Form '#
 (If Duplicated)]]="",Table2[[#This Row],[Form '#]],Table2[[#This Row],[Corrected Form '#
 (If Duplicated)]])</f>
        <v>7818-13438</v>
      </c>
      <c r="N1005" s="1" t="s">
        <v>49</v>
      </c>
      <c r="O1005" s="6" t="str">
        <f>IF(Table2[[#This Row],[POG CONFIRMATION RECEIPT OF ORDER
(DATE &amp; TIME)]]="","No Confirmation","Received Confirmation")</f>
        <v>Received Confirmation</v>
      </c>
      <c r="P1005" s="6">
        <f ca="1">TODAY()-Table2[[#This Row],[DATE SENT TO POG]]</f>
        <v>242</v>
      </c>
      <c r="Q1005" s="6" t="s">
        <v>5803</v>
      </c>
      <c r="R10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5" s="2" t="str">
        <f>_xlfn.XLOOKUP(Table2[[#This Row],[Adjusted Form '#]],'[2]IN PROGRESS'!$D:$D,'[2]IN PROGRESS'!$M:$M,"Not Found")</f>
        <v>Not Found</v>
      </c>
      <c r="U1005" s="2" t="str">
        <f>_xlfn.XLOOKUP(Table2[[#This Row],[Adjusted Form '#]],[1]COMPLETED!$D:$D,[2]COMPLETED!$M:$M,"Not Found")</f>
        <v>Not Found</v>
      </c>
      <c r="V1005" s="17" t="str">
        <f>_xlfn.XLOOKUP(Table2[[#This Row],[Adjusted Form '#]],[2]COMPLETED!$D:$D,[2]COMPLETED!$O:$O,"Not Found")</f>
        <v>Not Found</v>
      </c>
      <c r="W1005" s="2" t="str">
        <f>_xlfn.XLOOKUP(Table2[[#This Row],[Adjusted Form '#]],[2]BILLED!$D:$D,[2]BILLED!$M:$M,"Not Found")</f>
        <v>1Z5063E0YW42583654</v>
      </c>
      <c r="X1005" s="17" t="e">
        <f>_xlfn.XLOOKUP(Table2[[#This Row],[Adjusted Form '#]],[2]BILLED!$D:$D,[1]BILLED!$O:$O,"Not Found")</f>
        <v>#REF!</v>
      </c>
      <c r="Y1005" s="17" t="e">
        <f>_xlfn.XLOOKUP(Table2[[#This Row],[Adjusted Form '#]],'[2]REJECTED ORDERS'!$D:$D,'[2]REJECTED ORDERS'!$E:$E)</f>
        <v>#N/A</v>
      </c>
      <c r="Z1005" s="1"/>
      <c r="AA1005" s="1"/>
      <c r="AB1005" s="8"/>
      <c r="AC1005" s="8"/>
      <c r="AD1005" s="8"/>
      <c r="AE1005" s="8"/>
      <c r="AF1005" s="8"/>
      <c r="AG1005" s="8"/>
      <c r="AH1005" s="8"/>
      <c r="AI1005" s="8"/>
      <c r="AJ1005" s="8"/>
    </row>
    <row r="1006" spans="1:36" ht="15" customHeight="1" x14ac:dyDescent="0.35">
      <c r="A1006" s="4" t="s">
        <v>1521</v>
      </c>
      <c r="B1006" s="1" t="s">
        <v>3086</v>
      </c>
      <c r="C1006" s="11">
        <v>45061</v>
      </c>
      <c r="D1006" s="11" t="s">
        <v>5613</v>
      </c>
      <c r="E1006" s="1" t="s">
        <v>21</v>
      </c>
      <c r="F1006" s="1" t="s">
        <v>5616</v>
      </c>
      <c r="G1006" s="6">
        <f>COUNTIF(F:F,Table2[[#This Row],[Form '#]])</f>
        <v>1</v>
      </c>
      <c r="H1006" s="1" t="s">
        <v>274</v>
      </c>
      <c r="I1006" s="1" t="s">
        <v>3852</v>
      </c>
      <c r="J1006" s="1" t="s">
        <v>80</v>
      </c>
      <c r="K1006" s="1" t="s">
        <v>4011</v>
      </c>
      <c r="L1006" s="1"/>
      <c r="M1006" s="6" t="str">
        <f>IF(Table2[[#This Row],[Corrected Form '#
 (If Duplicated)]]="",Table2[[#This Row],[Form '#]],Table2[[#This Row],[Corrected Form '#
 (If Duplicated)]])</f>
        <v>7818-23266</v>
      </c>
      <c r="N1006" s="1" t="s">
        <v>49</v>
      </c>
      <c r="O1006" s="6" t="str">
        <f>IF(Table2[[#This Row],[POG CONFIRMATION RECEIPT OF ORDER
(DATE &amp; TIME)]]="","No Confirmation","Received Confirmation")</f>
        <v>Received Confirmation</v>
      </c>
      <c r="P1006" s="6">
        <f ca="1">TODAY()-Table2[[#This Row],[DATE SENT TO POG]]</f>
        <v>242</v>
      </c>
      <c r="Q1006" s="6" t="s">
        <v>5803</v>
      </c>
      <c r="R10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6" s="2" t="str">
        <f>_xlfn.XLOOKUP(Table2[[#This Row],[Adjusted Form '#]],'[2]IN PROGRESS'!$D:$D,'[2]IN PROGRESS'!$M:$M,"Not Found")</f>
        <v>Not Found</v>
      </c>
      <c r="U1006" s="2" t="str">
        <f>_xlfn.XLOOKUP(Table2[[#This Row],[Adjusted Form '#]],[1]COMPLETED!$D:$D,[2]COMPLETED!$M:$M,"Not Found")</f>
        <v>Not Found</v>
      </c>
      <c r="V1006" s="17" t="str">
        <f>_xlfn.XLOOKUP(Table2[[#This Row],[Adjusted Form '#]],[2]COMPLETED!$D:$D,[2]COMPLETED!$O:$O,"Not Found")</f>
        <v>Not Found</v>
      </c>
      <c r="W1006" s="2" t="str">
        <f>_xlfn.XLOOKUP(Table2[[#This Row],[Adjusted Form '#]],[2]BILLED!$D:$D,[2]BILLED!$M:$M,"Not Found")</f>
        <v>1Z5063E0YW40086856</v>
      </c>
      <c r="X1006" s="17" t="e">
        <f>_xlfn.XLOOKUP(Table2[[#This Row],[Adjusted Form '#]],[2]BILLED!$D:$D,[1]BILLED!$O:$O,"Not Found")</f>
        <v>#REF!</v>
      </c>
      <c r="Y1006" s="17" t="e">
        <f>_xlfn.XLOOKUP(Table2[[#This Row],[Adjusted Form '#]],'[2]REJECTED ORDERS'!$D:$D,'[2]REJECTED ORDERS'!$E:$E)</f>
        <v>#N/A</v>
      </c>
      <c r="Z1006" s="1"/>
      <c r="AA1006" s="1"/>
      <c r="AB1006" s="8"/>
      <c r="AC1006" s="8"/>
      <c r="AD1006" s="8"/>
      <c r="AE1006" s="8"/>
      <c r="AF1006" s="8"/>
      <c r="AG1006" s="8"/>
      <c r="AH1006" s="8"/>
      <c r="AI1006" s="8"/>
      <c r="AJ1006" s="8"/>
    </row>
    <row r="1007" spans="1:36" ht="15" customHeight="1" x14ac:dyDescent="0.35">
      <c r="A1007" s="4" t="s">
        <v>1522</v>
      </c>
      <c r="B1007" s="1" t="s">
        <v>4183</v>
      </c>
      <c r="C1007" s="11">
        <v>45061</v>
      </c>
      <c r="D1007" s="11" t="s">
        <v>5613</v>
      </c>
      <c r="E1007" s="1" t="s">
        <v>21</v>
      </c>
      <c r="F1007" s="1" t="s">
        <v>5617</v>
      </c>
      <c r="G1007" s="6">
        <f>COUNTIF(F:F,Table2[[#This Row],[Form '#]])</f>
        <v>1</v>
      </c>
      <c r="H1007" s="1" t="s">
        <v>5090</v>
      </c>
      <c r="I1007" s="1" t="s">
        <v>3864</v>
      </c>
      <c r="J1007" s="1" t="s">
        <v>78</v>
      </c>
      <c r="K1007" s="1" t="s">
        <v>3879</v>
      </c>
      <c r="L1007" s="1"/>
      <c r="M1007" s="6" t="str">
        <f>IF(Table2[[#This Row],[Corrected Form '#
 (If Duplicated)]]="",Table2[[#This Row],[Form '#]],Table2[[#This Row],[Corrected Form '#
 (If Duplicated)]])</f>
        <v>7818-28643</v>
      </c>
      <c r="N1007" s="1" t="s">
        <v>49</v>
      </c>
      <c r="O1007" s="6" t="str">
        <f>IF(Table2[[#This Row],[POG CONFIRMATION RECEIPT OF ORDER
(DATE &amp; TIME)]]="","No Confirmation","Received Confirmation")</f>
        <v>Received Confirmation</v>
      </c>
      <c r="P1007" s="6">
        <f ca="1">TODAY()-Table2[[#This Row],[DATE SENT TO POG]]</f>
        <v>242</v>
      </c>
      <c r="Q1007" s="6" t="s">
        <v>5803</v>
      </c>
      <c r="R10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7" s="2" t="str">
        <f>_xlfn.XLOOKUP(Table2[[#This Row],[Adjusted Form '#]],'[2]IN PROGRESS'!$D:$D,'[2]IN PROGRESS'!$M:$M,"Not Found")</f>
        <v>Not Found</v>
      </c>
      <c r="U1007" s="2" t="str">
        <f>_xlfn.XLOOKUP(Table2[[#This Row],[Adjusted Form '#]],[1]COMPLETED!$D:$D,[2]COMPLETED!$M:$M,"Not Found")</f>
        <v>Not Found</v>
      </c>
      <c r="V1007" s="17" t="str">
        <f>_xlfn.XLOOKUP(Table2[[#This Row],[Adjusted Form '#]],[2]COMPLETED!$D:$D,[2]COMPLETED!$O:$O,"Not Found")</f>
        <v>Not Found</v>
      </c>
      <c r="W1007" s="2" t="str">
        <f>_xlfn.XLOOKUP(Table2[[#This Row],[Adjusted Form '#]],[2]BILLED!$D:$D,[2]BILLED!$M:$M,"Not Found")</f>
        <v>9402 1112 0620 7063 4893 80</v>
      </c>
      <c r="X1007" s="17" t="e">
        <f>_xlfn.XLOOKUP(Table2[[#This Row],[Adjusted Form '#]],[2]BILLED!$D:$D,[1]BILLED!$O:$O,"Not Found")</f>
        <v>#REF!</v>
      </c>
      <c r="Y1007" s="17" t="e">
        <f>_xlfn.XLOOKUP(Table2[[#This Row],[Adjusted Form '#]],'[2]REJECTED ORDERS'!$D:$D,'[2]REJECTED ORDERS'!$E:$E)</f>
        <v>#N/A</v>
      </c>
      <c r="Z1007" s="1"/>
      <c r="AA1007" s="1"/>
      <c r="AB1007" s="8"/>
      <c r="AC1007" s="8"/>
      <c r="AD1007" s="8"/>
      <c r="AE1007" s="8"/>
      <c r="AF1007" s="8"/>
      <c r="AG1007" s="8"/>
      <c r="AH1007" s="8"/>
      <c r="AI1007" s="8"/>
      <c r="AJ1007" s="8"/>
    </row>
    <row r="1008" spans="1:36" ht="15" customHeight="1" x14ac:dyDescent="0.35">
      <c r="A1008" s="4" t="s">
        <v>1524</v>
      </c>
      <c r="B1008" s="1" t="s">
        <v>2760</v>
      </c>
      <c r="C1008" s="11">
        <v>45061</v>
      </c>
      <c r="D1008" s="11" t="s">
        <v>5618</v>
      </c>
      <c r="E1008" s="1" t="s">
        <v>21</v>
      </c>
      <c r="F1008" s="1" t="s">
        <v>5619</v>
      </c>
      <c r="G1008" s="6">
        <f>COUNTIF(F:F,Table2[[#This Row],[Form '#]])</f>
        <v>1</v>
      </c>
      <c r="H1008" s="1" t="s">
        <v>5620</v>
      </c>
      <c r="I1008" s="1" t="s">
        <v>3852</v>
      </c>
      <c r="J1008" s="1" t="s">
        <v>80</v>
      </c>
      <c r="K1008" s="1" t="s">
        <v>3853</v>
      </c>
      <c r="L1008" s="1"/>
      <c r="M1008" s="6" t="str">
        <f>IF(Table2[[#This Row],[Corrected Form '#
 (If Duplicated)]]="",Table2[[#This Row],[Form '#]],Table2[[#This Row],[Corrected Form '#
 (If Duplicated)]])</f>
        <v>7818-16683</v>
      </c>
      <c r="N1008" s="1" t="s">
        <v>49</v>
      </c>
      <c r="O1008" s="6" t="str">
        <f>IF(Table2[[#This Row],[POG CONFIRMATION RECEIPT OF ORDER
(DATE &amp; TIME)]]="","No Confirmation","Received Confirmation")</f>
        <v>Received Confirmation</v>
      </c>
      <c r="P1008" s="6">
        <f ca="1">TODAY()-Table2[[#This Row],[DATE SENT TO POG]]</f>
        <v>242</v>
      </c>
      <c r="Q1008" s="6" t="s">
        <v>5803</v>
      </c>
      <c r="R10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8" s="2" t="str">
        <f>_xlfn.XLOOKUP(Table2[[#This Row],[Adjusted Form '#]],'[2]IN PROGRESS'!$D:$D,'[2]IN PROGRESS'!$M:$M,"Not Found")</f>
        <v>Not Found</v>
      </c>
      <c r="U1008" s="2" t="str">
        <f>_xlfn.XLOOKUP(Table2[[#This Row],[Adjusted Form '#]],[1]COMPLETED!$D:$D,[2]COMPLETED!$M:$M,"Not Found")</f>
        <v>Not Found</v>
      </c>
      <c r="V1008" s="17" t="str">
        <f>_xlfn.XLOOKUP(Table2[[#This Row],[Adjusted Form '#]],[2]COMPLETED!$D:$D,[2]COMPLETED!$O:$O,"Not Found")</f>
        <v>Not Found</v>
      </c>
      <c r="W1008" s="2" t="str">
        <f>_xlfn.XLOOKUP(Table2[[#This Row],[Adjusted Form '#]],[2]BILLED!$D:$D,[2]BILLED!$M:$M,"Not Found")</f>
        <v>1Z5063E0YW42453955</v>
      </c>
      <c r="X1008" s="17" t="e">
        <f>_xlfn.XLOOKUP(Table2[[#This Row],[Adjusted Form '#]],[2]BILLED!$D:$D,[1]BILLED!$O:$O,"Not Found")</f>
        <v>#REF!</v>
      </c>
      <c r="Y1008" s="17" t="e">
        <f>_xlfn.XLOOKUP(Table2[[#This Row],[Adjusted Form '#]],'[2]REJECTED ORDERS'!$D:$D,'[2]REJECTED ORDERS'!$E:$E)</f>
        <v>#N/A</v>
      </c>
      <c r="Z1008" s="1"/>
      <c r="AA1008" s="1"/>
      <c r="AB1008" s="8"/>
      <c r="AC1008" s="8"/>
      <c r="AD1008" s="8"/>
      <c r="AE1008" s="8"/>
      <c r="AF1008" s="8"/>
      <c r="AG1008" s="8"/>
      <c r="AH1008" s="8"/>
      <c r="AI1008" s="8"/>
      <c r="AJ1008" s="8"/>
    </row>
    <row r="1009" spans="1:36" ht="15" customHeight="1" x14ac:dyDescent="0.35">
      <c r="A1009" s="4" t="s">
        <v>1526</v>
      </c>
      <c r="B1009" s="1" t="s">
        <v>774</v>
      </c>
      <c r="C1009" s="11">
        <v>45061</v>
      </c>
      <c r="D1009" s="11" t="s">
        <v>5618</v>
      </c>
      <c r="E1009" s="1" t="s">
        <v>21</v>
      </c>
      <c r="F1009" s="1" t="s">
        <v>5621</v>
      </c>
      <c r="G1009" s="6">
        <f>COUNTIF(F:F,Table2[[#This Row],[Form '#]])</f>
        <v>1</v>
      </c>
      <c r="H1009" s="1" t="s">
        <v>449</v>
      </c>
      <c r="I1009" s="1" t="s">
        <v>3864</v>
      </c>
      <c r="J1009" s="1" t="s">
        <v>78</v>
      </c>
      <c r="K1009" s="1" t="s">
        <v>3879</v>
      </c>
      <c r="L1009" s="1"/>
      <c r="M1009" s="6" t="str">
        <f>IF(Table2[[#This Row],[Corrected Form '#
 (If Duplicated)]]="",Table2[[#This Row],[Form '#]],Table2[[#This Row],[Corrected Form '#
 (If Duplicated)]])</f>
        <v>7818-10615</v>
      </c>
      <c r="N1009" s="1" t="s">
        <v>49</v>
      </c>
      <c r="O1009" s="6" t="str">
        <f>IF(Table2[[#This Row],[POG CONFIRMATION RECEIPT OF ORDER
(DATE &amp; TIME)]]="","No Confirmation","Received Confirmation")</f>
        <v>Received Confirmation</v>
      </c>
      <c r="P1009" s="6">
        <f ca="1">TODAY()-Table2[[#This Row],[DATE SENT TO POG]]</f>
        <v>242</v>
      </c>
      <c r="Q1009" s="6" t="s">
        <v>5803</v>
      </c>
      <c r="R10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09" s="2" t="str">
        <f>_xlfn.XLOOKUP(Table2[[#This Row],[Adjusted Form '#]],'[2]IN PROGRESS'!$D:$D,'[2]IN PROGRESS'!$M:$M,"Not Found")</f>
        <v>Not Found</v>
      </c>
      <c r="U1009" s="2" t="str">
        <f>_xlfn.XLOOKUP(Table2[[#This Row],[Adjusted Form '#]],[1]COMPLETED!$D:$D,[2]COMPLETED!$M:$M,"Not Found")</f>
        <v>Not Found</v>
      </c>
      <c r="V1009" s="17" t="str">
        <f>_xlfn.XLOOKUP(Table2[[#This Row],[Adjusted Form '#]],[2]COMPLETED!$D:$D,[2]COMPLETED!$O:$O,"Not Found")</f>
        <v>Not Found</v>
      </c>
      <c r="W1009" s="2" t="str">
        <f>_xlfn.XLOOKUP(Table2[[#This Row],[Adjusted Form '#]],[2]BILLED!$D:$D,[2]BILLED!$M:$M,"Not Found")</f>
        <v>1Z5063E0YW40705507</v>
      </c>
      <c r="X1009" s="17" t="e">
        <f>_xlfn.XLOOKUP(Table2[[#This Row],[Adjusted Form '#]],[2]BILLED!$D:$D,[1]BILLED!$O:$O,"Not Found")</f>
        <v>#REF!</v>
      </c>
      <c r="Y1009" s="17" t="e">
        <f>_xlfn.XLOOKUP(Table2[[#This Row],[Adjusted Form '#]],'[2]REJECTED ORDERS'!$D:$D,'[2]REJECTED ORDERS'!$E:$E)</f>
        <v>#N/A</v>
      </c>
      <c r="Z1009" s="1"/>
      <c r="AA1009" s="1"/>
      <c r="AB1009" s="8"/>
      <c r="AC1009" s="8"/>
      <c r="AD1009" s="8"/>
      <c r="AE1009" s="8"/>
      <c r="AF1009" s="8"/>
      <c r="AG1009" s="8"/>
      <c r="AH1009" s="8"/>
      <c r="AI1009" s="8"/>
      <c r="AJ1009" s="8"/>
    </row>
    <row r="1010" spans="1:36" ht="15" customHeight="1" x14ac:dyDescent="0.35">
      <c r="A1010" s="4" t="s">
        <v>1527</v>
      </c>
      <c r="B1010" s="1" t="s">
        <v>3466</v>
      </c>
      <c r="C1010" s="11">
        <v>45061</v>
      </c>
      <c r="D1010" s="11" t="s">
        <v>5622</v>
      </c>
      <c r="E1010" s="1" t="s">
        <v>21</v>
      </c>
      <c r="F1010" s="1" t="s">
        <v>5623</v>
      </c>
      <c r="G1010" s="6">
        <f>COUNTIF(F:F,Table2[[#This Row],[Form '#]])</f>
        <v>1</v>
      </c>
      <c r="H1010" s="1" t="s">
        <v>5624</v>
      </c>
      <c r="I1010" s="1" t="s">
        <v>3852</v>
      </c>
      <c r="J1010" s="1" t="s">
        <v>80</v>
      </c>
      <c r="K1010" s="1" t="s">
        <v>3853</v>
      </c>
      <c r="L1010" s="1"/>
      <c r="M1010" s="6" t="str">
        <f>IF(Table2[[#This Row],[Corrected Form '#
 (If Duplicated)]]="",Table2[[#This Row],[Form '#]],Table2[[#This Row],[Corrected Form '#
 (If Duplicated)]])</f>
        <v>7818-29774</v>
      </c>
      <c r="N1010" s="1" t="s">
        <v>49</v>
      </c>
      <c r="O1010" s="6" t="str">
        <f>IF(Table2[[#This Row],[POG CONFIRMATION RECEIPT OF ORDER
(DATE &amp; TIME)]]="","No Confirmation","Received Confirmation")</f>
        <v>Received Confirmation</v>
      </c>
      <c r="P1010" s="6">
        <f ca="1">TODAY()-Table2[[#This Row],[DATE SENT TO POG]]</f>
        <v>242</v>
      </c>
      <c r="Q1010" s="6" t="s">
        <v>5803</v>
      </c>
      <c r="R10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0" s="2" t="str">
        <f>_xlfn.XLOOKUP(Table2[[#This Row],[Adjusted Form '#]],'[2]IN PROGRESS'!$D:$D,'[2]IN PROGRESS'!$M:$M,"Not Found")</f>
        <v>Not Found</v>
      </c>
      <c r="U1010" s="2" t="str">
        <f>_xlfn.XLOOKUP(Table2[[#This Row],[Adjusted Form '#]],[1]COMPLETED!$D:$D,[2]COMPLETED!$M:$M,"Not Found")</f>
        <v>Not Found</v>
      </c>
      <c r="V1010" s="17" t="str">
        <f>_xlfn.XLOOKUP(Table2[[#This Row],[Adjusted Form '#]],[2]COMPLETED!$D:$D,[2]COMPLETED!$O:$O,"Not Found")</f>
        <v>Not Found</v>
      </c>
      <c r="W1010" s="2" t="str">
        <f>_xlfn.XLOOKUP(Table2[[#This Row],[Adjusted Form '#]],[2]BILLED!$D:$D,[2]BILLED!$M:$M,"Not Found")</f>
        <v>1Z5063E0YW41382248</v>
      </c>
      <c r="X1010" s="17" t="e">
        <f>_xlfn.XLOOKUP(Table2[[#This Row],[Adjusted Form '#]],[2]BILLED!$D:$D,[1]BILLED!$O:$O,"Not Found")</f>
        <v>#REF!</v>
      </c>
      <c r="Y1010" s="17" t="e">
        <f>_xlfn.XLOOKUP(Table2[[#This Row],[Adjusted Form '#]],'[2]REJECTED ORDERS'!$D:$D,'[2]REJECTED ORDERS'!$E:$E)</f>
        <v>#N/A</v>
      </c>
      <c r="Z1010" s="1"/>
      <c r="AA1010" s="1"/>
      <c r="AB1010" s="8"/>
      <c r="AC1010" s="8"/>
      <c r="AD1010" s="8"/>
      <c r="AE1010" s="8"/>
      <c r="AF1010" s="8"/>
      <c r="AG1010" s="8"/>
      <c r="AH1010" s="8"/>
      <c r="AI1010" s="8"/>
      <c r="AJ1010" s="8"/>
    </row>
    <row r="1011" spans="1:36" ht="15" customHeight="1" x14ac:dyDescent="0.35">
      <c r="A1011" s="4" t="s">
        <v>1529</v>
      </c>
      <c r="B1011" s="1" t="s">
        <v>5308</v>
      </c>
      <c r="C1011" s="11">
        <v>45061</v>
      </c>
      <c r="E1011" s="1" t="s">
        <v>73</v>
      </c>
      <c r="F1011" s="1" t="s">
        <v>5625</v>
      </c>
      <c r="G1011" s="6">
        <f>COUNTIF(F:F,Table2[[#This Row],[Form '#]])</f>
        <v>1</v>
      </c>
      <c r="H1011" s="1" t="s">
        <v>5626</v>
      </c>
      <c r="I1011" s="1" t="s">
        <v>3864</v>
      </c>
      <c r="J1011" s="1" t="s">
        <v>78</v>
      </c>
      <c r="K1011" s="1" t="s">
        <v>3879</v>
      </c>
      <c r="L1011" s="1"/>
      <c r="M1011" s="6" t="str">
        <f>IF(Table2[[#This Row],[Corrected Form '#
 (If Duplicated)]]="",Table2[[#This Row],[Form '#]],Table2[[#This Row],[Corrected Form '#
 (If Duplicated)]])</f>
        <v>7823-03332</v>
      </c>
      <c r="N1011" s="1" t="s">
        <v>49</v>
      </c>
      <c r="O1011" s="6" t="str">
        <f>IF(Table2[[#This Row],[POG CONFIRMATION RECEIPT OF ORDER
(DATE &amp; TIME)]]="","No Confirmation","Received Confirmation")</f>
        <v>No Confirmation</v>
      </c>
      <c r="P1011" s="6">
        <f ca="1">TODAY()-Table2[[#This Row],[DATE SENT TO POG]]</f>
        <v>242</v>
      </c>
      <c r="Q1011" s="6" t="s">
        <v>5803</v>
      </c>
      <c r="R10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1" s="2" t="str">
        <f>_xlfn.XLOOKUP(Table2[[#This Row],[Adjusted Form '#]],'[2]IN PROGRESS'!$D:$D,'[2]IN PROGRESS'!$M:$M,"Not Found")</f>
        <v>Not Found</v>
      </c>
      <c r="U1011" s="2" t="str">
        <f>_xlfn.XLOOKUP(Table2[[#This Row],[Adjusted Form '#]],[1]COMPLETED!$D:$D,[2]COMPLETED!$M:$M,"Not Found")</f>
        <v>Not Found</v>
      </c>
      <c r="V1011" s="17" t="str">
        <f>_xlfn.XLOOKUP(Table2[[#This Row],[Adjusted Form '#]],[2]COMPLETED!$D:$D,[2]COMPLETED!$O:$O,"Not Found")</f>
        <v>Not Found</v>
      </c>
      <c r="W1011" s="2" t="str">
        <f>_xlfn.XLOOKUP(Table2[[#This Row],[Adjusted Form '#]],[2]BILLED!$D:$D,[2]BILLED!$M:$M,"Not Found")</f>
        <v>9400 1361 0605 3088 5669 04</v>
      </c>
      <c r="X1011" s="17" t="e">
        <f>_xlfn.XLOOKUP(Table2[[#This Row],[Adjusted Form '#]],[2]BILLED!$D:$D,[1]BILLED!$O:$O,"Not Found")</f>
        <v>#REF!</v>
      </c>
      <c r="Y1011" s="17" t="e">
        <f>_xlfn.XLOOKUP(Table2[[#This Row],[Adjusted Form '#]],'[2]REJECTED ORDERS'!$D:$D,'[2]REJECTED ORDERS'!$E:$E)</f>
        <v>#N/A</v>
      </c>
      <c r="Z1011" s="1"/>
      <c r="AA1011" s="1"/>
      <c r="AB1011" s="8"/>
      <c r="AC1011" s="8"/>
      <c r="AD1011" s="8"/>
      <c r="AE1011" s="8"/>
      <c r="AF1011" s="8"/>
      <c r="AG1011" s="8"/>
      <c r="AH1011" s="8"/>
      <c r="AI1011" s="8"/>
      <c r="AJ1011" s="8"/>
    </row>
    <row r="1012" spans="1:36" ht="15" customHeight="1" x14ac:dyDescent="0.35">
      <c r="A1012" s="4" t="s">
        <v>1530</v>
      </c>
      <c r="B1012" s="1" t="s">
        <v>5627</v>
      </c>
      <c r="C1012" s="11">
        <v>45062</v>
      </c>
      <c r="E1012" s="1" t="s">
        <v>73</v>
      </c>
      <c r="F1012" s="1" t="s">
        <v>5628</v>
      </c>
      <c r="G1012" s="6">
        <f>COUNTIF(F:F,Table2[[#This Row],[Form '#]])</f>
        <v>1</v>
      </c>
      <c r="H1012" s="1" t="s">
        <v>5629</v>
      </c>
      <c r="I1012" s="1" t="s">
        <v>3891</v>
      </c>
      <c r="J1012" s="1" t="s">
        <v>3891</v>
      </c>
      <c r="K1012" s="1" t="s">
        <v>3891</v>
      </c>
      <c r="L1012" s="1"/>
      <c r="M1012" s="6" t="str">
        <f>IF(Table2[[#This Row],[Corrected Form '#
 (If Duplicated)]]="",Table2[[#This Row],[Form '#]],Table2[[#This Row],[Corrected Form '#
 (If Duplicated)]])</f>
        <v>7823-02556</v>
      </c>
      <c r="N1012" s="1" t="s">
        <v>49</v>
      </c>
      <c r="O1012" s="6" t="str">
        <f>IF(Table2[[#This Row],[POG CONFIRMATION RECEIPT OF ORDER
(DATE &amp; TIME)]]="","No Confirmation","Received Confirmation")</f>
        <v>No Confirmation</v>
      </c>
      <c r="P1012" s="6">
        <f ca="1">TODAY()-Table2[[#This Row],[DATE SENT TO POG]]</f>
        <v>241</v>
      </c>
      <c r="Q1012" s="6" t="s">
        <v>5803</v>
      </c>
      <c r="R10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2" s="2" t="str">
        <f>_xlfn.XLOOKUP(Table2[[#This Row],[Adjusted Form '#]],'[2]IN PROGRESS'!$D:$D,'[2]IN PROGRESS'!$M:$M,"Not Found")</f>
        <v>Not Found</v>
      </c>
      <c r="U1012" s="2" t="str">
        <f>_xlfn.XLOOKUP(Table2[[#This Row],[Adjusted Form '#]],[1]COMPLETED!$D:$D,[2]COMPLETED!$M:$M,"Not Found")</f>
        <v>Not Found</v>
      </c>
      <c r="V1012" s="17" t="str">
        <f>_xlfn.XLOOKUP(Table2[[#This Row],[Adjusted Form '#]],[2]COMPLETED!$D:$D,[2]COMPLETED!$O:$O,"Not Found")</f>
        <v>Not Found</v>
      </c>
      <c r="W1012" s="2" t="str">
        <f>_xlfn.XLOOKUP(Table2[[#This Row],[Adjusted Form '#]],[2]BILLED!$D:$D,[2]BILLED!$M:$M,"Not Found")</f>
        <v>9402 1112 0620 7688 7208 44</v>
      </c>
      <c r="X1012" s="17" t="e">
        <f>_xlfn.XLOOKUP(Table2[[#This Row],[Adjusted Form '#]],[2]BILLED!$D:$D,[1]BILLED!$O:$O,"Not Found")</f>
        <v>#REF!</v>
      </c>
      <c r="Y1012" s="17" t="e">
        <f>_xlfn.XLOOKUP(Table2[[#This Row],[Adjusted Form '#]],'[2]REJECTED ORDERS'!$D:$D,'[2]REJECTED ORDERS'!$E:$E)</f>
        <v>#N/A</v>
      </c>
      <c r="Z1012" s="1"/>
      <c r="AA1012" s="1"/>
      <c r="AB1012" s="8"/>
      <c r="AC1012" s="8"/>
      <c r="AD1012" s="8"/>
      <c r="AE1012" s="8"/>
      <c r="AF1012" s="8"/>
      <c r="AG1012" s="8"/>
      <c r="AH1012" s="8"/>
      <c r="AI1012" s="8"/>
      <c r="AJ1012" s="8"/>
    </row>
    <row r="1013" spans="1:36" ht="15" customHeight="1" x14ac:dyDescent="0.35">
      <c r="A1013" s="4" t="s">
        <v>1531</v>
      </c>
      <c r="B1013" s="1" t="s">
        <v>3582</v>
      </c>
      <c r="C1013" s="11">
        <v>45062</v>
      </c>
      <c r="D1013" s="11" t="s">
        <v>5630</v>
      </c>
      <c r="E1013" s="1" t="s">
        <v>21</v>
      </c>
      <c r="F1013" s="1" t="s">
        <v>5631</v>
      </c>
      <c r="G1013" s="6">
        <f>COUNTIF(F:F,Table2[[#This Row],[Form '#]])</f>
        <v>1</v>
      </c>
      <c r="H1013" s="1" t="s">
        <v>1400</v>
      </c>
      <c r="I1013" s="1" t="s">
        <v>3852</v>
      </c>
      <c r="J1013" s="1" t="s">
        <v>80</v>
      </c>
      <c r="K1013" s="1" t="s">
        <v>3853</v>
      </c>
      <c r="L1013" s="1"/>
      <c r="M1013" s="6" t="str">
        <f>IF(Table2[[#This Row],[Corrected Form '#
 (If Duplicated)]]="",Table2[[#This Row],[Form '#]],Table2[[#This Row],[Corrected Form '#
 (If Duplicated)]])</f>
        <v>7818-15688</v>
      </c>
      <c r="N1013" s="1" t="s">
        <v>49</v>
      </c>
      <c r="O1013" s="6" t="str">
        <f>IF(Table2[[#This Row],[POG CONFIRMATION RECEIPT OF ORDER
(DATE &amp; TIME)]]="","No Confirmation","Received Confirmation")</f>
        <v>Received Confirmation</v>
      </c>
      <c r="P1013" s="6">
        <f ca="1">TODAY()-Table2[[#This Row],[DATE SENT TO POG]]</f>
        <v>241</v>
      </c>
      <c r="Q1013" s="6" t="s">
        <v>5803</v>
      </c>
      <c r="R10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3" s="2" t="str">
        <f>_xlfn.XLOOKUP(Table2[[#This Row],[Adjusted Form '#]],'[2]IN PROGRESS'!$D:$D,'[2]IN PROGRESS'!$M:$M,"Not Found")</f>
        <v>Not Found</v>
      </c>
      <c r="U1013" s="2" t="str">
        <f>_xlfn.XLOOKUP(Table2[[#This Row],[Adjusted Form '#]],[1]COMPLETED!$D:$D,[2]COMPLETED!$M:$M,"Not Found")</f>
        <v>Not Found</v>
      </c>
      <c r="V1013" s="17" t="str">
        <f>_xlfn.XLOOKUP(Table2[[#This Row],[Adjusted Form '#]],[2]COMPLETED!$D:$D,[2]COMPLETED!$O:$O,"Not Found")</f>
        <v>Not Found</v>
      </c>
      <c r="W1013" s="2" t="str">
        <f>_xlfn.XLOOKUP(Table2[[#This Row],[Adjusted Form '#]],[2]BILLED!$D:$D,[2]BILLED!$M:$M,"Not Found")</f>
        <v>1Z5063E0YW41510760</v>
      </c>
      <c r="X1013" s="17" t="e">
        <f>_xlfn.XLOOKUP(Table2[[#This Row],[Adjusted Form '#]],[2]BILLED!$D:$D,[1]BILLED!$O:$O,"Not Found")</f>
        <v>#REF!</v>
      </c>
      <c r="Y1013" s="17" t="e">
        <f>_xlfn.XLOOKUP(Table2[[#This Row],[Adjusted Form '#]],'[2]REJECTED ORDERS'!$D:$D,'[2]REJECTED ORDERS'!$E:$E)</f>
        <v>#N/A</v>
      </c>
      <c r="Z1013" s="1"/>
      <c r="AA1013" s="1"/>
      <c r="AB1013" s="8"/>
      <c r="AC1013" s="8"/>
      <c r="AD1013" s="8"/>
      <c r="AE1013" s="8"/>
      <c r="AF1013" s="8"/>
      <c r="AG1013" s="8"/>
      <c r="AH1013" s="8"/>
      <c r="AI1013" s="8"/>
      <c r="AJ1013" s="8"/>
    </row>
    <row r="1014" spans="1:36" ht="15" customHeight="1" x14ac:dyDescent="0.35">
      <c r="A1014" s="4" t="s">
        <v>1533</v>
      </c>
      <c r="B1014" s="1" t="s">
        <v>3623</v>
      </c>
      <c r="C1014" s="11">
        <v>45062</v>
      </c>
      <c r="D1014" s="11" t="s">
        <v>5632</v>
      </c>
      <c r="E1014" s="1" t="s">
        <v>191</v>
      </c>
      <c r="F1014" s="1" t="s">
        <v>5868</v>
      </c>
      <c r="G1014" s="6">
        <f>COUNTIF(F:F,Table2[[#This Row],[Form '#]])</f>
        <v>1</v>
      </c>
      <c r="H1014" s="1" t="s">
        <v>2234</v>
      </c>
      <c r="I1014" s="1" t="s">
        <v>28</v>
      </c>
      <c r="J1014" s="1" t="s">
        <v>69</v>
      </c>
      <c r="K1014" s="1" t="s">
        <v>4011</v>
      </c>
      <c r="L1014" s="1"/>
      <c r="M1014" s="6" t="str">
        <f>IF(Table2[[#This Row],[Corrected Form '#
 (If Duplicated)]]="",Table2[[#This Row],[Form '#]],Table2[[#This Row],[Corrected Form '#
 (If Duplicated)]])</f>
        <v>7812-03361</v>
      </c>
      <c r="N1014" s="1" t="s">
        <v>49</v>
      </c>
      <c r="O1014" s="6" t="str">
        <f>IF(Table2[[#This Row],[POG CONFIRMATION RECEIPT OF ORDER
(DATE &amp; TIME)]]="","No Confirmation","Received Confirmation")</f>
        <v>Received Confirmation</v>
      </c>
      <c r="P1014" s="6">
        <f ca="1">TODAY()-Table2[[#This Row],[DATE SENT TO POG]]</f>
        <v>241</v>
      </c>
      <c r="Q1014" s="6" t="s">
        <v>5803</v>
      </c>
      <c r="R10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4" s="2" t="str">
        <f>_xlfn.XLOOKUP(Table2[[#This Row],[Adjusted Form '#]],'[2]IN PROGRESS'!$D:$D,'[2]IN PROGRESS'!$M:$M,"Not Found")</f>
        <v>Not Found</v>
      </c>
      <c r="U1014" s="2" t="str">
        <f>_xlfn.XLOOKUP(Table2[[#This Row],[Adjusted Form '#]],[1]COMPLETED!$D:$D,[2]COMPLETED!$M:$M,"Not Found")</f>
        <v>Not Found</v>
      </c>
      <c r="V1014" s="17" t="str">
        <f>_xlfn.XLOOKUP(Table2[[#This Row],[Adjusted Form '#]],[2]COMPLETED!$D:$D,[2]COMPLETED!$O:$O,"Not Found")</f>
        <v>Not Found</v>
      </c>
      <c r="W1014" s="2" t="str">
        <f>_xlfn.XLOOKUP(Table2[[#This Row],[Adjusted Form '#]],[2]BILLED!$D:$D,[2]BILLED!$M:$M,"Not Found")</f>
        <v>1Z5063E0YW41516344</v>
      </c>
      <c r="X1014" s="17" t="e">
        <f>_xlfn.XLOOKUP(Table2[[#This Row],[Adjusted Form '#]],[2]BILLED!$D:$D,[1]BILLED!$O:$O,"Not Found")</f>
        <v>#REF!</v>
      </c>
      <c r="Y1014" s="17" t="e">
        <f>_xlfn.XLOOKUP(Table2[[#This Row],[Adjusted Form '#]],'[2]REJECTED ORDERS'!$D:$D,'[2]REJECTED ORDERS'!$E:$E)</f>
        <v>#N/A</v>
      </c>
      <c r="Z1014" s="1"/>
      <c r="AA1014" s="1"/>
      <c r="AB1014" s="8"/>
      <c r="AC1014" s="8"/>
      <c r="AD1014" s="8"/>
      <c r="AE1014" s="8"/>
      <c r="AF1014" s="8"/>
      <c r="AG1014" s="8"/>
      <c r="AH1014" s="8"/>
      <c r="AI1014" s="8"/>
      <c r="AJ1014" s="8"/>
    </row>
    <row r="1015" spans="1:36" ht="15" customHeight="1" x14ac:dyDescent="0.35">
      <c r="A1015" s="4" t="s">
        <v>1535</v>
      </c>
      <c r="B1015" s="1" t="s">
        <v>3623</v>
      </c>
      <c r="C1015" s="11">
        <v>45062</v>
      </c>
      <c r="D1015" s="11" t="s">
        <v>5632</v>
      </c>
      <c r="E1015" s="1" t="s">
        <v>191</v>
      </c>
      <c r="F1015" s="1" t="s">
        <v>5633</v>
      </c>
      <c r="G1015" s="6">
        <f>COUNTIF(F:F,Table2[[#This Row],[Form '#]])</f>
        <v>1</v>
      </c>
      <c r="H1015" s="1" t="s">
        <v>2068</v>
      </c>
      <c r="I1015" s="1" t="s">
        <v>28</v>
      </c>
      <c r="J1015" s="1" t="s">
        <v>69</v>
      </c>
      <c r="K1015" s="1" t="s">
        <v>4011</v>
      </c>
      <c r="L1015" s="1"/>
      <c r="M1015" s="6" t="str">
        <f>IF(Table2[[#This Row],[Corrected Form '#
 (If Duplicated)]]="",Table2[[#This Row],[Form '#]],Table2[[#This Row],[Corrected Form '#
 (If Duplicated)]])</f>
        <v>7812-03356</v>
      </c>
      <c r="N1015" s="1" t="s">
        <v>49</v>
      </c>
      <c r="O1015" s="6" t="str">
        <f>IF(Table2[[#This Row],[POG CONFIRMATION RECEIPT OF ORDER
(DATE &amp; TIME)]]="","No Confirmation","Received Confirmation")</f>
        <v>Received Confirmation</v>
      </c>
      <c r="P1015" s="6">
        <f ca="1">TODAY()-Table2[[#This Row],[DATE SENT TO POG]]</f>
        <v>241</v>
      </c>
      <c r="Q1015" s="6" t="s">
        <v>5803</v>
      </c>
      <c r="R10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5" s="2" t="str">
        <f>_xlfn.XLOOKUP(Table2[[#This Row],[Adjusted Form '#]],'[2]IN PROGRESS'!$D:$D,'[2]IN PROGRESS'!$M:$M,"Not Found")</f>
        <v>Not Found</v>
      </c>
      <c r="U1015" s="2" t="str">
        <f>_xlfn.XLOOKUP(Table2[[#This Row],[Adjusted Form '#]],[1]COMPLETED!$D:$D,[2]COMPLETED!$M:$M,"Not Found")</f>
        <v>Not Found</v>
      </c>
      <c r="V1015" s="17" t="str">
        <f>_xlfn.XLOOKUP(Table2[[#This Row],[Adjusted Form '#]],[2]COMPLETED!$D:$D,[2]COMPLETED!$O:$O,"Not Found")</f>
        <v>Not Found</v>
      </c>
      <c r="W1015" s="2" t="str">
        <f>_xlfn.XLOOKUP(Table2[[#This Row],[Adjusted Form '#]],[2]BILLED!$D:$D,[2]BILLED!$M:$M,"Not Found")</f>
        <v>1Z5063E0YW41177701</v>
      </c>
      <c r="X1015" s="17" t="e">
        <f>_xlfn.XLOOKUP(Table2[[#This Row],[Adjusted Form '#]],[2]BILLED!$D:$D,[1]BILLED!$O:$O,"Not Found")</f>
        <v>#REF!</v>
      </c>
      <c r="Y1015" s="17" t="e">
        <f>_xlfn.XLOOKUP(Table2[[#This Row],[Adjusted Form '#]],'[2]REJECTED ORDERS'!$D:$D,'[2]REJECTED ORDERS'!$E:$E)</f>
        <v>#N/A</v>
      </c>
      <c r="Z1015" s="1"/>
      <c r="AA1015" s="1"/>
      <c r="AB1015" s="8"/>
      <c r="AC1015" s="8"/>
      <c r="AD1015" s="8"/>
      <c r="AE1015" s="8"/>
      <c r="AF1015" s="8"/>
      <c r="AG1015" s="8"/>
      <c r="AH1015" s="8"/>
      <c r="AI1015" s="8"/>
      <c r="AJ1015" s="8"/>
    </row>
    <row r="1016" spans="1:36" ht="15" customHeight="1" x14ac:dyDescent="0.35">
      <c r="A1016" s="4" t="s">
        <v>1537</v>
      </c>
      <c r="B1016" s="1" t="s">
        <v>3623</v>
      </c>
      <c r="C1016" s="11">
        <v>45062</v>
      </c>
      <c r="D1016" s="11" t="s">
        <v>5632</v>
      </c>
      <c r="E1016" s="1" t="s">
        <v>191</v>
      </c>
      <c r="F1016" s="1" t="s">
        <v>5634</v>
      </c>
      <c r="G1016" s="6">
        <f>COUNTIF(F:F,Table2[[#This Row],[Form '#]])</f>
        <v>1</v>
      </c>
      <c r="H1016" s="1" t="s">
        <v>2140</v>
      </c>
      <c r="I1016" s="1" t="s">
        <v>28</v>
      </c>
      <c r="J1016" s="1" t="s">
        <v>69</v>
      </c>
      <c r="K1016" s="1" t="s">
        <v>4011</v>
      </c>
      <c r="L1016" s="1"/>
      <c r="M1016" s="6" t="str">
        <f>IF(Table2[[#This Row],[Corrected Form '#
 (If Duplicated)]]="",Table2[[#This Row],[Form '#]],Table2[[#This Row],[Corrected Form '#
 (If Duplicated)]])</f>
        <v>7812-02187</v>
      </c>
      <c r="N1016" s="1" t="s">
        <v>49</v>
      </c>
      <c r="O1016" s="6" t="str">
        <f>IF(Table2[[#This Row],[POG CONFIRMATION RECEIPT OF ORDER
(DATE &amp; TIME)]]="","No Confirmation","Received Confirmation")</f>
        <v>Received Confirmation</v>
      </c>
      <c r="P1016" s="6">
        <f ca="1">TODAY()-Table2[[#This Row],[DATE SENT TO POG]]</f>
        <v>241</v>
      </c>
      <c r="Q1016" s="6" t="s">
        <v>5803</v>
      </c>
      <c r="R10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6" s="2" t="str">
        <f>_xlfn.XLOOKUP(Table2[[#This Row],[Adjusted Form '#]],'[2]IN PROGRESS'!$D:$D,'[2]IN PROGRESS'!$M:$M,"Not Found")</f>
        <v>Not Found</v>
      </c>
      <c r="U1016" s="2" t="str">
        <f>_xlfn.XLOOKUP(Table2[[#This Row],[Adjusted Form '#]],[1]COMPLETED!$D:$D,[2]COMPLETED!$M:$M,"Not Found")</f>
        <v>Not Found</v>
      </c>
      <c r="V1016" s="17" t="str">
        <f>_xlfn.XLOOKUP(Table2[[#This Row],[Adjusted Form '#]],[2]COMPLETED!$D:$D,[2]COMPLETED!$O:$O,"Not Found")</f>
        <v>Not Found</v>
      </c>
      <c r="W1016" s="2" t="str">
        <f>_xlfn.XLOOKUP(Table2[[#This Row],[Adjusted Form '#]],[2]BILLED!$D:$D,[2]BILLED!$M:$M,"Not Found")</f>
        <v>1Z5063E0YW42515852</v>
      </c>
      <c r="X1016" s="17" t="e">
        <f>_xlfn.XLOOKUP(Table2[[#This Row],[Adjusted Form '#]],[2]BILLED!$D:$D,[1]BILLED!$O:$O,"Not Found")</f>
        <v>#REF!</v>
      </c>
      <c r="Y1016" s="17" t="e">
        <f>_xlfn.XLOOKUP(Table2[[#This Row],[Adjusted Form '#]],'[2]REJECTED ORDERS'!$D:$D,'[2]REJECTED ORDERS'!$E:$E)</f>
        <v>#N/A</v>
      </c>
      <c r="Z1016" s="1"/>
      <c r="AA1016" s="1"/>
      <c r="AB1016" s="8"/>
      <c r="AC1016" s="8"/>
      <c r="AD1016" s="8"/>
      <c r="AE1016" s="8"/>
      <c r="AF1016" s="8"/>
      <c r="AG1016" s="8"/>
      <c r="AH1016" s="8"/>
      <c r="AI1016" s="8"/>
      <c r="AJ1016" s="8"/>
    </row>
    <row r="1017" spans="1:36" ht="15" customHeight="1" x14ac:dyDescent="0.35">
      <c r="A1017" s="4" t="s">
        <v>1538</v>
      </c>
      <c r="B1017" s="1" t="s">
        <v>3623</v>
      </c>
      <c r="C1017" s="11">
        <v>45062</v>
      </c>
      <c r="D1017" s="11" t="s">
        <v>5632</v>
      </c>
      <c r="E1017" s="1" t="s">
        <v>191</v>
      </c>
      <c r="F1017" s="1" t="s">
        <v>5635</v>
      </c>
      <c r="G1017" s="6">
        <f>COUNTIF(F:F,Table2[[#This Row],[Form '#]])</f>
        <v>1</v>
      </c>
      <c r="H1017" s="1" t="s">
        <v>5636</v>
      </c>
      <c r="I1017" s="1" t="s">
        <v>3864</v>
      </c>
      <c r="J1017" s="1" t="s">
        <v>78</v>
      </c>
      <c r="K1017" s="1" t="s">
        <v>3879</v>
      </c>
      <c r="L1017" s="1"/>
      <c r="M1017" s="6" t="str">
        <f>IF(Table2[[#This Row],[Corrected Form '#
 (If Duplicated)]]="",Table2[[#This Row],[Form '#]],Table2[[#This Row],[Corrected Form '#
 (If Duplicated)]])</f>
        <v>7812-3791</v>
      </c>
      <c r="N1017" s="1" t="s">
        <v>49</v>
      </c>
      <c r="O1017" s="6" t="str">
        <f>IF(Table2[[#This Row],[POG CONFIRMATION RECEIPT OF ORDER
(DATE &amp; TIME)]]="","No Confirmation","Received Confirmation")</f>
        <v>Received Confirmation</v>
      </c>
      <c r="P1017" s="6">
        <f ca="1">TODAY()-Table2[[#This Row],[DATE SENT TO POG]]</f>
        <v>241</v>
      </c>
      <c r="Q1017" s="6" t="s">
        <v>5803</v>
      </c>
      <c r="R10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7" s="2" t="str">
        <f>_xlfn.XLOOKUP(Table2[[#This Row],[Adjusted Form '#]],'[2]IN PROGRESS'!$D:$D,'[2]IN PROGRESS'!$M:$M,"Not Found")</f>
        <v>Not Found</v>
      </c>
      <c r="U1017" s="2" t="str">
        <f>_xlfn.XLOOKUP(Table2[[#This Row],[Adjusted Form '#]],[1]COMPLETED!$D:$D,[2]COMPLETED!$M:$M,"Not Found")</f>
        <v>Not Found</v>
      </c>
      <c r="V1017" s="17" t="str">
        <f>_xlfn.XLOOKUP(Table2[[#This Row],[Adjusted Form '#]],[2]COMPLETED!$D:$D,[2]COMPLETED!$O:$O,"Not Found")</f>
        <v>Not Found</v>
      </c>
      <c r="W1017" s="2" t="str">
        <f>_xlfn.XLOOKUP(Table2[[#This Row],[Adjusted Form '#]],[2]BILLED!$D:$D,[2]BILLED!$M:$M,"Not Found")</f>
        <v>1Z5063E0YW41757272</v>
      </c>
      <c r="X1017" s="17" t="e">
        <f>_xlfn.XLOOKUP(Table2[[#This Row],[Adjusted Form '#]],[2]BILLED!$D:$D,[1]BILLED!$O:$O,"Not Found")</f>
        <v>#REF!</v>
      </c>
      <c r="Y1017" s="17" t="e">
        <f>_xlfn.XLOOKUP(Table2[[#This Row],[Adjusted Form '#]],'[2]REJECTED ORDERS'!$D:$D,'[2]REJECTED ORDERS'!$E:$E)</f>
        <v>#N/A</v>
      </c>
      <c r="Z1017" s="1"/>
      <c r="AA1017" s="1"/>
      <c r="AB1017" s="8"/>
      <c r="AC1017" s="8"/>
      <c r="AD1017" s="8"/>
      <c r="AE1017" s="8"/>
      <c r="AF1017" s="8"/>
      <c r="AG1017" s="8"/>
      <c r="AH1017" s="8"/>
      <c r="AI1017" s="8"/>
      <c r="AJ1017" s="8"/>
    </row>
    <row r="1018" spans="1:36" ht="15" customHeight="1" x14ac:dyDescent="0.35">
      <c r="A1018" s="4" t="s">
        <v>1540</v>
      </c>
      <c r="B1018" s="1" t="s">
        <v>3623</v>
      </c>
      <c r="C1018" s="11">
        <v>45062</v>
      </c>
      <c r="D1018" s="11" t="s">
        <v>5632</v>
      </c>
      <c r="E1018" s="1" t="s">
        <v>191</v>
      </c>
      <c r="F1018" s="1" t="s">
        <v>5637</v>
      </c>
      <c r="G1018" s="6">
        <f>COUNTIF(F:F,Table2[[#This Row],[Form '#]])</f>
        <v>1</v>
      </c>
      <c r="H1018" s="1" t="s">
        <v>3593</v>
      </c>
      <c r="I1018" s="1" t="s">
        <v>3864</v>
      </c>
      <c r="J1018" s="1" t="s">
        <v>78</v>
      </c>
      <c r="K1018" s="1" t="s">
        <v>3879</v>
      </c>
      <c r="L1018" s="1"/>
      <c r="M1018" s="6" t="str">
        <f>IF(Table2[[#This Row],[Corrected Form '#
 (If Duplicated)]]="",Table2[[#This Row],[Form '#]],Table2[[#This Row],[Corrected Form '#
 (If Duplicated)]])</f>
        <v>7812-0800</v>
      </c>
      <c r="N1018" s="1" t="s">
        <v>49</v>
      </c>
      <c r="O1018" s="6" t="str">
        <f>IF(Table2[[#This Row],[POG CONFIRMATION RECEIPT OF ORDER
(DATE &amp; TIME)]]="","No Confirmation","Received Confirmation")</f>
        <v>Received Confirmation</v>
      </c>
      <c r="P1018" s="6">
        <f ca="1">TODAY()-Table2[[#This Row],[DATE SENT TO POG]]</f>
        <v>241</v>
      </c>
      <c r="Q1018" s="6" t="s">
        <v>5802</v>
      </c>
      <c r="R10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01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018" s="2" t="str">
        <f>_xlfn.XLOOKUP(Table2[[#This Row],[Adjusted Form '#]],'[2]IN PROGRESS'!$D:$D,'[2]IN PROGRESS'!$M:$M,"Not Found")</f>
        <v>Not Found</v>
      </c>
      <c r="U1018" s="2" t="str">
        <f>_xlfn.XLOOKUP(Table2[[#This Row],[Adjusted Form '#]],[1]COMPLETED!$D:$D,[2]COMPLETED!$M:$M,"Not Found")</f>
        <v>Not Found</v>
      </c>
      <c r="V1018" s="17" t="str">
        <f>_xlfn.XLOOKUP(Table2[[#This Row],[Adjusted Form '#]],[2]COMPLETED!$D:$D,[2]COMPLETED!$O:$O,"Not Found")</f>
        <v>Not Found</v>
      </c>
      <c r="W1018" s="2" t="str">
        <f>_xlfn.XLOOKUP(Table2[[#This Row],[Adjusted Form '#]],[2]BILLED!$D:$D,[2]BILLED!$M:$M,"Not Found")</f>
        <v>Not Found</v>
      </c>
      <c r="X1018" s="17" t="str">
        <f>_xlfn.XLOOKUP(Table2[[#This Row],[Adjusted Form '#]],[2]BILLED!$D:$D,[1]BILLED!$O:$O,"Not Found")</f>
        <v>Not Found</v>
      </c>
      <c r="Y1018" s="17" t="e">
        <f>_xlfn.XLOOKUP(Table2[[#This Row],[Adjusted Form '#]],'[2]REJECTED ORDERS'!$D:$D,'[2]REJECTED ORDERS'!$E:$E)</f>
        <v>#N/A</v>
      </c>
      <c r="Z1018" s="1"/>
      <c r="AA1018" s="1"/>
      <c r="AB1018" s="8"/>
      <c r="AC1018" s="8"/>
      <c r="AD1018" s="8"/>
      <c r="AE1018" s="8"/>
      <c r="AF1018" s="8"/>
      <c r="AG1018" s="8"/>
      <c r="AH1018" s="8"/>
      <c r="AI1018" s="8"/>
      <c r="AJ1018" s="8"/>
    </row>
    <row r="1019" spans="1:36" ht="15" customHeight="1" x14ac:dyDescent="0.35">
      <c r="A1019" s="4" t="s">
        <v>1541</v>
      </c>
      <c r="B1019" s="1" t="s">
        <v>3623</v>
      </c>
      <c r="C1019" s="11">
        <v>45062</v>
      </c>
      <c r="D1019" s="11" t="s">
        <v>5632</v>
      </c>
      <c r="E1019" s="1" t="s">
        <v>191</v>
      </c>
      <c r="F1019" s="1" t="s">
        <v>5638</v>
      </c>
      <c r="G1019" s="6">
        <f>COUNTIF(F:F,Table2[[#This Row],[Form '#]])</f>
        <v>1</v>
      </c>
      <c r="H1019" s="1" t="s">
        <v>2769</v>
      </c>
      <c r="I1019" s="1" t="s">
        <v>758</v>
      </c>
      <c r="J1019" s="1" t="s">
        <v>78</v>
      </c>
      <c r="K1019" s="1" t="s">
        <v>3853</v>
      </c>
      <c r="L1019" s="1"/>
      <c r="M1019" s="6" t="str">
        <f>IF(Table2[[#This Row],[Corrected Form '#
 (If Duplicated)]]="",Table2[[#This Row],[Form '#]],Table2[[#This Row],[Corrected Form '#
 (If Duplicated)]])</f>
        <v>7812-3682</v>
      </c>
      <c r="N1019" s="1" t="s">
        <v>49</v>
      </c>
      <c r="O1019" s="6" t="str">
        <f>IF(Table2[[#This Row],[POG CONFIRMATION RECEIPT OF ORDER
(DATE &amp; TIME)]]="","No Confirmation","Received Confirmation")</f>
        <v>Received Confirmation</v>
      </c>
      <c r="P1019" s="6">
        <f ca="1">TODAY()-Table2[[#This Row],[DATE SENT TO POG]]</f>
        <v>241</v>
      </c>
      <c r="Q1019" s="6" t="s">
        <v>5803</v>
      </c>
      <c r="R10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19" s="2" t="str">
        <f>_xlfn.XLOOKUP(Table2[[#This Row],[Adjusted Form '#]],'[2]IN PROGRESS'!$D:$D,'[2]IN PROGRESS'!$M:$M,"Not Found")</f>
        <v>Not Found</v>
      </c>
      <c r="U1019" s="2" t="str">
        <f>_xlfn.XLOOKUP(Table2[[#This Row],[Adjusted Form '#]],[1]COMPLETED!$D:$D,[2]COMPLETED!$M:$M,"Not Found")</f>
        <v>Not Found</v>
      </c>
      <c r="V1019" s="17" t="str">
        <f>_xlfn.XLOOKUP(Table2[[#This Row],[Adjusted Form '#]],[2]COMPLETED!$D:$D,[2]COMPLETED!$O:$O,"Not Found")</f>
        <v>Not Found</v>
      </c>
      <c r="W1019" s="2" t="str">
        <f>_xlfn.XLOOKUP(Table2[[#This Row],[Adjusted Form '#]],[2]BILLED!$D:$D,[2]BILLED!$M:$M,"Not Found")</f>
        <v>1Z5063E0YW42605200</v>
      </c>
      <c r="X1019" s="17" t="e">
        <f>_xlfn.XLOOKUP(Table2[[#This Row],[Adjusted Form '#]],[2]BILLED!$D:$D,[1]BILLED!$O:$O,"Not Found")</f>
        <v>#REF!</v>
      </c>
      <c r="Y1019" s="17" t="e">
        <f>_xlfn.XLOOKUP(Table2[[#This Row],[Adjusted Form '#]],'[2]REJECTED ORDERS'!$D:$D,'[2]REJECTED ORDERS'!$E:$E)</f>
        <v>#N/A</v>
      </c>
      <c r="Z1019" s="1"/>
      <c r="AA1019" s="1"/>
      <c r="AB1019" s="8"/>
      <c r="AC1019" s="8"/>
      <c r="AD1019" s="8"/>
      <c r="AE1019" s="8"/>
      <c r="AF1019" s="8"/>
      <c r="AG1019" s="8"/>
      <c r="AH1019" s="8"/>
      <c r="AI1019" s="8"/>
      <c r="AJ1019" s="8"/>
    </row>
    <row r="1020" spans="1:36" ht="15" customHeight="1" x14ac:dyDescent="0.35">
      <c r="A1020" s="4" t="s">
        <v>1542</v>
      </c>
      <c r="B1020" s="1" t="s">
        <v>3623</v>
      </c>
      <c r="C1020" s="11">
        <v>45062</v>
      </c>
      <c r="D1020" s="11" t="s">
        <v>5632</v>
      </c>
      <c r="E1020" s="1" t="s">
        <v>191</v>
      </c>
      <c r="F1020" s="1" t="s">
        <v>4496</v>
      </c>
      <c r="G1020" s="6">
        <f>COUNTIF(F:F,Table2[[#This Row],[Form '#]])</f>
        <v>2</v>
      </c>
      <c r="H1020" s="1" t="s">
        <v>3004</v>
      </c>
      <c r="I1020" s="1" t="s">
        <v>3864</v>
      </c>
      <c r="J1020" s="1" t="s">
        <v>78</v>
      </c>
      <c r="K1020" s="1" t="s">
        <v>3879</v>
      </c>
      <c r="L1020" s="1"/>
      <c r="M1020" s="6" t="str">
        <f>IF(Table2[[#This Row],[Corrected Form '#
 (If Duplicated)]]="",Table2[[#This Row],[Form '#]],Table2[[#This Row],[Corrected Form '#
 (If Duplicated)]])</f>
        <v>7812-3603</v>
      </c>
      <c r="N1020" s="1" t="s">
        <v>49</v>
      </c>
      <c r="O1020" s="6" t="str">
        <f>IF(Table2[[#This Row],[POG CONFIRMATION RECEIPT OF ORDER
(DATE &amp; TIME)]]="","No Confirmation","Received Confirmation")</f>
        <v>Received Confirmation</v>
      </c>
      <c r="P1020" s="6">
        <f ca="1">TODAY()-Table2[[#This Row],[DATE SENT TO POG]]</f>
        <v>241</v>
      </c>
      <c r="Q1020" s="6" t="s">
        <v>5803</v>
      </c>
      <c r="R10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0" s="2" t="str">
        <f>_xlfn.XLOOKUP(Table2[[#This Row],[Adjusted Form '#]],'[2]IN PROGRESS'!$D:$D,'[2]IN PROGRESS'!$M:$M,"Not Found")</f>
        <v>Not Found</v>
      </c>
      <c r="U1020" s="2" t="str">
        <f>_xlfn.XLOOKUP(Table2[[#This Row],[Adjusted Form '#]],[1]COMPLETED!$D:$D,[2]COMPLETED!$M:$M,"Not Found")</f>
        <v>Not Found</v>
      </c>
      <c r="V1020" s="17" t="str">
        <f>_xlfn.XLOOKUP(Table2[[#This Row],[Adjusted Form '#]],[2]COMPLETED!$D:$D,[2]COMPLETED!$O:$O,"Not Found")</f>
        <v>Not Found</v>
      </c>
      <c r="W1020" s="2" t="str">
        <f>_xlfn.XLOOKUP(Table2[[#This Row],[Adjusted Form '#]],[2]BILLED!$D:$D,[2]BILLED!$M:$M,"Not Found")</f>
        <v>9402 1112 0620 7082 9843 16</v>
      </c>
      <c r="X1020" s="17" t="e">
        <f>_xlfn.XLOOKUP(Table2[[#This Row],[Adjusted Form '#]],[2]BILLED!$D:$D,[1]BILLED!$O:$O,"Not Found")</f>
        <v>#REF!</v>
      </c>
      <c r="Y1020" s="17" t="e">
        <f>_xlfn.XLOOKUP(Table2[[#This Row],[Adjusted Form '#]],'[2]REJECTED ORDERS'!$D:$D,'[2]REJECTED ORDERS'!$E:$E)</f>
        <v>#N/A</v>
      </c>
      <c r="Z1020" s="1"/>
      <c r="AA1020" s="1"/>
      <c r="AB1020" s="8"/>
      <c r="AC1020" s="8"/>
      <c r="AD1020" s="8"/>
      <c r="AE1020" s="8"/>
      <c r="AF1020" s="8"/>
      <c r="AG1020" s="8"/>
      <c r="AH1020" s="8"/>
      <c r="AI1020" s="8"/>
      <c r="AJ1020" s="8"/>
    </row>
    <row r="1021" spans="1:36" ht="15" customHeight="1" x14ac:dyDescent="0.35">
      <c r="A1021" s="4" t="s">
        <v>1544</v>
      </c>
      <c r="B1021" s="1" t="s">
        <v>3623</v>
      </c>
      <c r="C1021" s="11">
        <v>45062</v>
      </c>
      <c r="D1021" s="11" t="s">
        <v>5632</v>
      </c>
      <c r="E1021" s="1" t="s">
        <v>191</v>
      </c>
      <c r="F1021" s="1" t="s">
        <v>5639</v>
      </c>
      <c r="G1021" s="6">
        <f>COUNTIF(F:F,Table2[[#This Row],[Form '#]])</f>
        <v>1</v>
      </c>
      <c r="H1021" s="1" t="s">
        <v>1359</v>
      </c>
      <c r="I1021" s="1" t="s">
        <v>28</v>
      </c>
      <c r="J1021" s="1" t="s">
        <v>69</v>
      </c>
      <c r="K1021" s="1" t="s">
        <v>4011</v>
      </c>
      <c r="L1021" s="1"/>
      <c r="M1021" s="6" t="str">
        <f>IF(Table2[[#This Row],[Corrected Form '#
 (If Duplicated)]]="",Table2[[#This Row],[Form '#]],Table2[[#This Row],[Corrected Form '#
 (If Duplicated)]])</f>
        <v>7812-3750</v>
      </c>
      <c r="N1021" s="1" t="s">
        <v>49</v>
      </c>
      <c r="O1021" s="6" t="str">
        <f>IF(Table2[[#This Row],[POG CONFIRMATION RECEIPT OF ORDER
(DATE &amp; TIME)]]="","No Confirmation","Received Confirmation")</f>
        <v>Received Confirmation</v>
      </c>
      <c r="P1021" s="6">
        <f ca="1">TODAY()-Table2[[#This Row],[DATE SENT TO POG]]</f>
        <v>241</v>
      </c>
      <c r="Q1021" s="6" t="s">
        <v>5802</v>
      </c>
      <c r="R10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02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021" s="2" t="str">
        <f>_xlfn.XLOOKUP(Table2[[#This Row],[Adjusted Form '#]],'[2]IN PROGRESS'!$D:$D,'[2]IN PROGRESS'!$M:$M,"Not Found")</f>
        <v>Not Found</v>
      </c>
      <c r="U1021" s="2" t="str">
        <f>_xlfn.XLOOKUP(Table2[[#This Row],[Adjusted Form '#]],[1]COMPLETED!$D:$D,[2]COMPLETED!$M:$M,"Not Found")</f>
        <v>Not Found</v>
      </c>
      <c r="V1021" s="17" t="str">
        <f>_xlfn.XLOOKUP(Table2[[#This Row],[Adjusted Form '#]],[2]COMPLETED!$D:$D,[2]COMPLETED!$O:$O,"Not Found")</f>
        <v>Not Found</v>
      </c>
      <c r="W1021" s="2" t="str">
        <f>_xlfn.XLOOKUP(Table2[[#This Row],[Adjusted Form '#]],[2]BILLED!$D:$D,[2]BILLED!$M:$M,"Not Found")</f>
        <v>Not Found</v>
      </c>
      <c r="X1021" s="17" t="str">
        <f>_xlfn.XLOOKUP(Table2[[#This Row],[Adjusted Form '#]],[2]BILLED!$D:$D,[1]BILLED!$O:$O,"Not Found")</f>
        <v>Not Found</v>
      </c>
      <c r="Y1021" s="17" t="e">
        <f>_xlfn.XLOOKUP(Table2[[#This Row],[Adjusted Form '#]],'[2]REJECTED ORDERS'!$D:$D,'[2]REJECTED ORDERS'!$E:$E)</f>
        <v>#N/A</v>
      </c>
      <c r="Z1021" s="1"/>
      <c r="AA1021" s="1"/>
      <c r="AB1021" s="8"/>
      <c r="AC1021" s="8"/>
      <c r="AD1021" s="8"/>
      <c r="AE1021" s="8"/>
      <c r="AF1021" s="8"/>
      <c r="AG1021" s="8"/>
      <c r="AH1021" s="8"/>
      <c r="AI1021" s="8"/>
      <c r="AJ1021" s="8"/>
    </row>
    <row r="1022" spans="1:36" ht="15" customHeight="1" x14ac:dyDescent="0.35">
      <c r="A1022" s="4" t="s">
        <v>1545</v>
      </c>
      <c r="B1022" s="1" t="s">
        <v>3500</v>
      </c>
      <c r="C1022" s="11">
        <v>45062</v>
      </c>
      <c r="D1022" s="11" t="s">
        <v>5640</v>
      </c>
      <c r="E1022" s="1" t="s">
        <v>14</v>
      </c>
      <c r="F1022" s="1" t="s">
        <v>5641</v>
      </c>
      <c r="G1022" s="6">
        <f>COUNTIF(F:F,Table2[[#This Row],[Form '#]])</f>
        <v>1</v>
      </c>
      <c r="H1022" s="1" t="s">
        <v>5642</v>
      </c>
      <c r="I1022" s="1" t="s">
        <v>3864</v>
      </c>
      <c r="J1022" s="1" t="s">
        <v>3891</v>
      </c>
      <c r="K1022" s="1" t="s">
        <v>3879</v>
      </c>
      <c r="L1022" s="1"/>
      <c r="M1022" s="6" t="str">
        <f>IF(Table2[[#This Row],[Corrected Form '#
 (If Duplicated)]]="",Table2[[#This Row],[Form '#]],Table2[[#This Row],[Corrected Form '#
 (If Duplicated)]])</f>
        <v>7810-01715</v>
      </c>
      <c r="N1022" s="1" t="s">
        <v>49</v>
      </c>
      <c r="O1022" s="6" t="str">
        <f>IF(Table2[[#This Row],[POG CONFIRMATION RECEIPT OF ORDER
(DATE &amp; TIME)]]="","No Confirmation","Received Confirmation")</f>
        <v>Received Confirmation</v>
      </c>
      <c r="P1022" s="6">
        <f ca="1">TODAY()-Table2[[#This Row],[DATE SENT TO POG]]</f>
        <v>241</v>
      </c>
      <c r="Q1022" s="6" t="s">
        <v>5803</v>
      </c>
      <c r="R10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2" s="2" t="str">
        <f>_xlfn.XLOOKUP(Table2[[#This Row],[Adjusted Form '#]],'[2]IN PROGRESS'!$D:$D,'[2]IN PROGRESS'!$M:$M,"Not Found")</f>
        <v>Not Found</v>
      </c>
      <c r="U1022" s="2" t="str">
        <f>_xlfn.XLOOKUP(Table2[[#This Row],[Adjusted Form '#]],[1]COMPLETED!$D:$D,[2]COMPLETED!$M:$M,"Not Found")</f>
        <v>Not Found</v>
      </c>
      <c r="V1022" s="17" t="str">
        <f>_xlfn.XLOOKUP(Table2[[#This Row],[Adjusted Form '#]],[2]COMPLETED!$D:$D,[2]COMPLETED!$O:$O,"Not Found")</f>
        <v>Not Found</v>
      </c>
      <c r="W1022" s="2" t="str">
        <f>_xlfn.XLOOKUP(Table2[[#This Row],[Adjusted Form '#]],[2]BILLED!$D:$D,[2]BILLED!$M:$M,"Not Found")</f>
        <v>1Z5063E0YW40798695</v>
      </c>
      <c r="X1022" s="17" t="e">
        <f>_xlfn.XLOOKUP(Table2[[#This Row],[Adjusted Form '#]],[2]BILLED!$D:$D,[1]BILLED!$O:$O,"Not Found")</f>
        <v>#REF!</v>
      </c>
      <c r="Y1022" s="17" t="e">
        <f>_xlfn.XLOOKUP(Table2[[#This Row],[Adjusted Form '#]],'[2]REJECTED ORDERS'!$D:$D,'[2]REJECTED ORDERS'!$E:$E)</f>
        <v>#N/A</v>
      </c>
      <c r="Z1022" s="1"/>
      <c r="AA1022" s="1"/>
      <c r="AB1022" s="8"/>
      <c r="AC1022" s="8"/>
      <c r="AD1022" s="8"/>
      <c r="AE1022" s="8"/>
      <c r="AF1022" s="8"/>
      <c r="AG1022" s="8"/>
      <c r="AH1022" s="8"/>
      <c r="AI1022" s="8"/>
      <c r="AJ1022" s="8"/>
    </row>
    <row r="1023" spans="1:36" ht="15" customHeight="1" x14ac:dyDescent="0.35">
      <c r="A1023" s="4" t="s">
        <v>1546</v>
      </c>
      <c r="B1023" s="1" t="s">
        <v>526</v>
      </c>
      <c r="C1023" s="11">
        <v>45062</v>
      </c>
      <c r="D1023" s="11" t="s">
        <v>5643</v>
      </c>
      <c r="E1023" s="1" t="s">
        <v>73</v>
      </c>
      <c r="F1023" s="1" t="s">
        <v>5644</v>
      </c>
      <c r="G1023" s="6">
        <f>COUNTIF(F:F,Table2[[#This Row],[Form '#]])</f>
        <v>1</v>
      </c>
      <c r="H1023" s="1" t="s">
        <v>5645</v>
      </c>
      <c r="I1023" s="1" t="s">
        <v>177</v>
      </c>
      <c r="J1023" s="1" t="s">
        <v>75</v>
      </c>
      <c r="K1023" s="1" t="s">
        <v>3853</v>
      </c>
      <c r="L1023" s="1"/>
      <c r="M1023" s="6" t="str">
        <f>IF(Table2[[#This Row],[Corrected Form '#
 (If Duplicated)]]="",Table2[[#This Row],[Form '#]],Table2[[#This Row],[Corrected Form '#
 (If Duplicated)]])</f>
        <v>7823-01536</v>
      </c>
      <c r="N1023" s="1" t="s">
        <v>49</v>
      </c>
      <c r="O1023" s="6" t="str">
        <f>IF(Table2[[#This Row],[POG CONFIRMATION RECEIPT OF ORDER
(DATE &amp; TIME)]]="","No Confirmation","Received Confirmation")</f>
        <v>Received Confirmation</v>
      </c>
      <c r="P1023" s="6">
        <f ca="1">TODAY()-Table2[[#This Row],[DATE SENT TO POG]]</f>
        <v>241</v>
      </c>
      <c r="Q1023" s="6" t="s">
        <v>5803</v>
      </c>
      <c r="R10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3" s="2" t="str">
        <f>_xlfn.XLOOKUP(Table2[[#This Row],[Adjusted Form '#]],'[2]IN PROGRESS'!$D:$D,'[2]IN PROGRESS'!$M:$M,"Not Found")</f>
        <v>Not Found</v>
      </c>
      <c r="U1023" s="2" t="str">
        <f>_xlfn.XLOOKUP(Table2[[#This Row],[Adjusted Form '#]],[1]COMPLETED!$D:$D,[2]COMPLETED!$M:$M,"Not Found")</f>
        <v>Not Found</v>
      </c>
      <c r="V1023" s="17" t="str">
        <f>_xlfn.XLOOKUP(Table2[[#This Row],[Adjusted Form '#]],[2]COMPLETED!$D:$D,[2]COMPLETED!$O:$O,"Not Found")</f>
        <v>Not Found</v>
      </c>
      <c r="W1023" s="2" t="str">
        <f>_xlfn.XLOOKUP(Table2[[#This Row],[Adjusted Form '#]],[2]BILLED!$D:$D,[2]BILLED!$M:$M,"Not Found")</f>
        <v>1Z5063E0YW40928937</v>
      </c>
      <c r="X1023" s="17" t="e">
        <f>_xlfn.XLOOKUP(Table2[[#This Row],[Adjusted Form '#]],[2]BILLED!$D:$D,[1]BILLED!$O:$O,"Not Found")</f>
        <v>#REF!</v>
      </c>
      <c r="Y1023" s="17" t="e">
        <f>_xlfn.XLOOKUP(Table2[[#This Row],[Adjusted Form '#]],'[2]REJECTED ORDERS'!$D:$D,'[2]REJECTED ORDERS'!$E:$E)</f>
        <v>#N/A</v>
      </c>
      <c r="Z1023" s="1"/>
      <c r="AA1023" s="1"/>
      <c r="AB1023" s="8"/>
      <c r="AC1023" s="8"/>
      <c r="AD1023" s="8"/>
      <c r="AE1023" s="8"/>
      <c r="AF1023" s="8"/>
      <c r="AG1023" s="8"/>
      <c r="AH1023" s="8"/>
      <c r="AI1023" s="8"/>
      <c r="AJ1023" s="8"/>
    </row>
    <row r="1024" spans="1:36" ht="15" customHeight="1" x14ac:dyDescent="0.35">
      <c r="A1024" s="4" t="s">
        <v>1547</v>
      </c>
      <c r="B1024" s="1" t="s">
        <v>3760</v>
      </c>
      <c r="C1024" s="11">
        <v>45062</v>
      </c>
      <c r="D1024" s="11" t="s">
        <v>5646</v>
      </c>
      <c r="E1024" s="1" t="s">
        <v>21</v>
      </c>
      <c r="F1024" s="1" t="s">
        <v>5647</v>
      </c>
      <c r="G1024" s="6">
        <f>COUNTIF(F:F,Table2[[#This Row],[Form '#]])</f>
        <v>1</v>
      </c>
      <c r="H1024" s="1" t="s">
        <v>5648</v>
      </c>
      <c r="I1024" s="1" t="s">
        <v>3864</v>
      </c>
      <c r="J1024" s="1" t="s">
        <v>78</v>
      </c>
      <c r="K1024" s="1" t="s">
        <v>3879</v>
      </c>
      <c r="L1024" s="1"/>
      <c r="M1024" s="6" t="str">
        <f>IF(Table2[[#This Row],[Corrected Form '#
 (If Duplicated)]]="",Table2[[#This Row],[Form '#]],Table2[[#This Row],[Corrected Form '#
 (If Duplicated)]])</f>
        <v>7818-26838</v>
      </c>
      <c r="N1024" s="1" t="s">
        <v>49</v>
      </c>
      <c r="O1024" s="6" t="str">
        <f>IF(Table2[[#This Row],[POG CONFIRMATION RECEIPT OF ORDER
(DATE &amp; TIME)]]="","No Confirmation","Received Confirmation")</f>
        <v>Received Confirmation</v>
      </c>
      <c r="P1024" s="6">
        <f ca="1">TODAY()-Table2[[#This Row],[DATE SENT TO POG]]</f>
        <v>241</v>
      </c>
      <c r="Q1024" s="6" t="s">
        <v>5803</v>
      </c>
      <c r="R10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4" s="2" t="str">
        <f>_xlfn.XLOOKUP(Table2[[#This Row],[Adjusted Form '#]],'[2]IN PROGRESS'!$D:$D,'[2]IN PROGRESS'!$M:$M,"Not Found")</f>
        <v>Not Found</v>
      </c>
      <c r="U1024" s="2" t="str">
        <f>_xlfn.XLOOKUP(Table2[[#This Row],[Adjusted Form '#]],[1]COMPLETED!$D:$D,[2]COMPLETED!$M:$M,"Not Found")</f>
        <v>Not Found</v>
      </c>
      <c r="V1024" s="17" t="str">
        <f>_xlfn.XLOOKUP(Table2[[#This Row],[Adjusted Form '#]],[2]COMPLETED!$D:$D,[2]COMPLETED!$O:$O,"Not Found")</f>
        <v>Not Found</v>
      </c>
      <c r="W1024" s="2" t="str">
        <f>_xlfn.XLOOKUP(Table2[[#This Row],[Adjusted Form '#]],[2]BILLED!$D:$D,[2]BILLED!$M:$M,"Not Found")</f>
        <v>1Z5063E0YW40924128</v>
      </c>
      <c r="X1024" s="17" t="e">
        <f>_xlfn.XLOOKUP(Table2[[#This Row],[Adjusted Form '#]],[2]BILLED!$D:$D,[1]BILLED!$O:$O,"Not Found")</f>
        <v>#REF!</v>
      </c>
      <c r="Y1024" s="17" t="e">
        <f>_xlfn.XLOOKUP(Table2[[#This Row],[Adjusted Form '#]],'[2]REJECTED ORDERS'!$D:$D,'[2]REJECTED ORDERS'!$E:$E)</f>
        <v>#N/A</v>
      </c>
      <c r="Z1024" s="1"/>
      <c r="AA1024" s="1"/>
      <c r="AB1024" s="8"/>
      <c r="AC1024" s="8"/>
      <c r="AD1024" s="8"/>
      <c r="AE1024" s="8"/>
      <c r="AF1024" s="8"/>
      <c r="AG1024" s="8"/>
      <c r="AH1024" s="8"/>
      <c r="AI1024" s="8"/>
      <c r="AJ1024" s="8"/>
    </row>
    <row r="1025" spans="1:36" ht="15" customHeight="1" x14ac:dyDescent="0.35">
      <c r="A1025" s="4" t="s">
        <v>1549</v>
      </c>
      <c r="B1025" s="1" t="s">
        <v>3760</v>
      </c>
      <c r="C1025" s="11">
        <v>45062</v>
      </c>
      <c r="D1025" s="11" t="s">
        <v>5646</v>
      </c>
      <c r="E1025" s="1" t="s">
        <v>21</v>
      </c>
      <c r="F1025" s="1" t="s">
        <v>5649</v>
      </c>
      <c r="G1025" s="6">
        <f>COUNTIF(F:F,Table2[[#This Row],[Form '#]])</f>
        <v>1</v>
      </c>
      <c r="H1025" s="1" t="s">
        <v>5650</v>
      </c>
      <c r="I1025" s="1" t="s">
        <v>3852</v>
      </c>
      <c r="J1025" s="1" t="s">
        <v>80</v>
      </c>
      <c r="K1025" s="1" t="s">
        <v>3853</v>
      </c>
      <c r="L1025" s="1"/>
      <c r="M1025" s="6" t="str">
        <f>IF(Table2[[#This Row],[Corrected Form '#
 (If Duplicated)]]="",Table2[[#This Row],[Form '#]],Table2[[#This Row],[Corrected Form '#
 (If Duplicated)]])</f>
        <v>7818-26847</v>
      </c>
      <c r="N1025" s="1" t="s">
        <v>49</v>
      </c>
      <c r="O1025" s="6" t="str">
        <f>IF(Table2[[#This Row],[POG CONFIRMATION RECEIPT OF ORDER
(DATE &amp; TIME)]]="","No Confirmation","Received Confirmation")</f>
        <v>Received Confirmation</v>
      </c>
      <c r="P1025" s="6">
        <f ca="1">TODAY()-Table2[[#This Row],[DATE SENT TO POG]]</f>
        <v>241</v>
      </c>
      <c r="Q1025" s="6" t="s">
        <v>5803</v>
      </c>
      <c r="R10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5" s="2" t="str">
        <f>_xlfn.XLOOKUP(Table2[[#This Row],[Adjusted Form '#]],'[2]IN PROGRESS'!$D:$D,'[2]IN PROGRESS'!$M:$M,"Not Found")</f>
        <v>Not Found</v>
      </c>
      <c r="U1025" s="2" t="str">
        <f>_xlfn.XLOOKUP(Table2[[#This Row],[Adjusted Form '#]],[1]COMPLETED!$D:$D,[2]COMPLETED!$M:$M,"Not Found")</f>
        <v>Not Found</v>
      </c>
      <c r="V1025" s="17" t="str">
        <f>_xlfn.XLOOKUP(Table2[[#This Row],[Adjusted Form '#]],[2]COMPLETED!$D:$D,[2]COMPLETED!$O:$O,"Not Found")</f>
        <v>Not Found</v>
      </c>
      <c r="W1025" s="2" t="str">
        <f>_xlfn.XLOOKUP(Table2[[#This Row],[Adjusted Form '#]],[2]BILLED!$D:$D,[2]BILLED!$M:$M,"Not Found")</f>
        <v>1Z5063E0YW41990706</v>
      </c>
      <c r="X1025" s="17" t="e">
        <f>_xlfn.XLOOKUP(Table2[[#This Row],[Adjusted Form '#]],[2]BILLED!$D:$D,[1]BILLED!$O:$O,"Not Found")</f>
        <v>#REF!</v>
      </c>
      <c r="Y1025" s="17" t="e">
        <f>_xlfn.XLOOKUP(Table2[[#This Row],[Adjusted Form '#]],'[2]REJECTED ORDERS'!$D:$D,'[2]REJECTED ORDERS'!$E:$E)</f>
        <v>#N/A</v>
      </c>
      <c r="Z1025" s="1"/>
      <c r="AA1025" s="1"/>
      <c r="AB1025" s="8"/>
      <c r="AC1025" s="8"/>
      <c r="AD1025" s="8"/>
      <c r="AE1025" s="8"/>
      <c r="AF1025" s="8"/>
      <c r="AG1025" s="8"/>
      <c r="AH1025" s="8"/>
      <c r="AI1025" s="8"/>
      <c r="AJ1025" s="8"/>
    </row>
    <row r="1026" spans="1:36" ht="15" customHeight="1" x14ac:dyDescent="0.35">
      <c r="A1026" s="4" t="s">
        <v>1550</v>
      </c>
      <c r="B1026" s="1" t="s">
        <v>3760</v>
      </c>
      <c r="C1026" s="11">
        <v>45062</v>
      </c>
      <c r="D1026" s="11" t="s">
        <v>5646</v>
      </c>
      <c r="E1026" s="1" t="s">
        <v>21</v>
      </c>
      <c r="F1026" s="1" t="s">
        <v>5651</v>
      </c>
      <c r="G1026" s="6">
        <f>COUNTIF(F:F,Table2[[#This Row],[Form '#]])</f>
        <v>1</v>
      </c>
      <c r="H1026" s="1" t="s">
        <v>683</v>
      </c>
      <c r="I1026" s="1" t="s">
        <v>127</v>
      </c>
      <c r="J1026" s="1" t="s">
        <v>3891</v>
      </c>
      <c r="K1026" s="1" t="s">
        <v>4011</v>
      </c>
      <c r="L1026" s="1"/>
      <c r="M1026" s="6" t="str">
        <f>IF(Table2[[#This Row],[Corrected Form '#
 (If Duplicated)]]="",Table2[[#This Row],[Form '#]],Table2[[#This Row],[Corrected Form '#
 (If Duplicated)]])</f>
        <v>7818-02793</v>
      </c>
      <c r="N1026" s="1" t="s">
        <v>49</v>
      </c>
      <c r="O1026" s="6" t="str">
        <f>IF(Table2[[#This Row],[POG CONFIRMATION RECEIPT OF ORDER
(DATE &amp; TIME)]]="","No Confirmation","Received Confirmation")</f>
        <v>Received Confirmation</v>
      </c>
      <c r="P1026" s="6">
        <f ca="1">TODAY()-Table2[[#This Row],[DATE SENT TO POG]]</f>
        <v>241</v>
      </c>
      <c r="Q1026" s="6" t="s">
        <v>5802</v>
      </c>
      <c r="R10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02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026" s="2" t="str">
        <f>_xlfn.XLOOKUP(Table2[[#This Row],[Adjusted Form '#]],'[2]IN PROGRESS'!$D:$D,'[2]IN PROGRESS'!$M:$M,"Not Found")</f>
        <v>Not Found</v>
      </c>
      <c r="U1026" s="2" t="str">
        <f>_xlfn.XLOOKUP(Table2[[#This Row],[Adjusted Form '#]],[1]COMPLETED!$D:$D,[2]COMPLETED!$M:$M,"Not Found")</f>
        <v>Not Found</v>
      </c>
      <c r="V1026" s="17" t="str">
        <f>_xlfn.XLOOKUP(Table2[[#This Row],[Adjusted Form '#]],[2]COMPLETED!$D:$D,[2]COMPLETED!$O:$O,"Not Found")</f>
        <v>Not Found</v>
      </c>
      <c r="W1026" s="2" t="str">
        <f>_xlfn.XLOOKUP(Table2[[#This Row],[Adjusted Form '#]],[2]BILLED!$D:$D,[2]BILLED!$M:$M,"Not Found")</f>
        <v>Not Found</v>
      </c>
      <c r="X1026" s="17" t="str">
        <f>_xlfn.XLOOKUP(Table2[[#This Row],[Adjusted Form '#]],[2]BILLED!$D:$D,[1]BILLED!$O:$O,"Not Found")</f>
        <v>Not Found</v>
      </c>
      <c r="Y1026" s="17" t="e">
        <f>_xlfn.XLOOKUP(Table2[[#This Row],[Adjusted Form '#]],'[2]REJECTED ORDERS'!$D:$D,'[2]REJECTED ORDERS'!$E:$E)</f>
        <v>#N/A</v>
      </c>
      <c r="Z1026" s="1"/>
      <c r="AA1026" s="1"/>
      <c r="AB1026" s="8"/>
      <c r="AC1026" s="8"/>
      <c r="AD1026" s="8"/>
      <c r="AE1026" s="8"/>
      <c r="AF1026" s="8"/>
      <c r="AG1026" s="8"/>
      <c r="AH1026" s="8"/>
      <c r="AI1026" s="8"/>
      <c r="AJ1026" s="8"/>
    </row>
    <row r="1027" spans="1:36" ht="15" customHeight="1" x14ac:dyDescent="0.35">
      <c r="A1027" s="4" t="s">
        <v>1551</v>
      </c>
      <c r="B1027" s="1" t="s">
        <v>772</v>
      </c>
      <c r="C1027" s="11">
        <v>45062</v>
      </c>
      <c r="D1027" s="11" t="s">
        <v>5643</v>
      </c>
      <c r="E1027" s="1" t="s">
        <v>21</v>
      </c>
      <c r="F1027" s="1" t="s">
        <v>5652</v>
      </c>
      <c r="G1027" s="6">
        <f>COUNTIF(F:F,Table2[[#This Row],[Form '#]])</f>
        <v>1</v>
      </c>
      <c r="H1027" s="1" t="s">
        <v>3519</v>
      </c>
      <c r="I1027" s="1" t="s">
        <v>177</v>
      </c>
      <c r="J1027" s="1" t="s">
        <v>75</v>
      </c>
      <c r="K1027" s="1" t="s">
        <v>4011</v>
      </c>
      <c r="L1027" s="1"/>
      <c r="M1027" s="6" t="str">
        <f>IF(Table2[[#This Row],[Corrected Form '#
 (If Duplicated)]]="",Table2[[#This Row],[Form '#]],Table2[[#This Row],[Corrected Form '#
 (If Duplicated)]])</f>
        <v>7818-29676</v>
      </c>
      <c r="N1027" s="1" t="s">
        <v>49</v>
      </c>
      <c r="O1027" s="6" t="str">
        <f>IF(Table2[[#This Row],[POG CONFIRMATION RECEIPT OF ORDER
(DATE &amp; TIME)]]="","No Confirmation","Received Confirmation")</f>
        <v>Received Confirmation</v>
      </c>
      <c r="P1027" s="6">
        <f ca="1">TODAY()-Table2[[#This Row],[DATE SENT TO POG]]</f>
        <v>241</v>
      </c>
      <c r="Q1027" s="6" t="s">
        <v>5803</v>
      </c>
      <c r="R10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7" s="2" t="str">
        <f>_xlfn.XLOOKUP(Table2[[#This Row],[Adjusted Form '#]],'[2]IN PROGRESS'!$D:$D,'[2]IN PROGRESS'!$M:$M,"Not Found")</f>
        <v>Not Found</v>
      </c>
      <c r="U1027" s="2" t="str">
        <f>_xlfn.XLOOKUP(Table2[[#This Row],[Adjusted Form '#]],[1]COMPLETED!$D:$D,[2]COMPLETED!$M:$M,"Not Found")</f>
        <v>Not Found</v>
      </c>
      <c r="V1027" s="17" t="str">
        <f>_xlfn.XLOOKUP(Table2[[#This Row],[Adjusted Form '#]],[2]COMPLETED!$D:$D,[2]COMPLETED!$O:$O,"Not Found")</f>
        <v>Not Found</v>
      </c>
      <c r="W1027" s="2" t="str">
        <f>_xlfn.XLOOKUP(Table2[[#This Row],[Adjusted Form '#]],[2]BILLED!$D:$D,[2]BILLED!$M:$M,"Not Found")</f>
        <v>1Z5063E0YW42392860</v>
      </c>
      <c r="X1027" s="17" t="e">
        <f>_xlfn.XLOOKUP(Table2[[#This Row],[Adjusted Form '#]],[2]BILLED!$D:$D,[1]BILLED!$O:$O,"Not Found")</f>
        <v>#REF!</v>
      </c>
      <c r="Y1027" s="17" t="e">
        <f>_xlfn.XLOOKUP(Table2[[#This Row],[Adjusted Form '#]],'[2]REJECTED ORDERS'!$D:$D,'[2]REJECTED ORDERS'!$E:$E)</f>
        <v>#N/A</v>
      </c>
      <c r="Z1027" s="1"/>
      <c r="AA1027" s="1"/>
      <c r="AB1027" s="8"/>
      <c r="AC1027" s="8"/>
      <c r="AD1027" s="8"/>
      <c r="AE1027" s="8"/>
      <c r="AF1027" s="8"/>
      <c r="AG1027" s="8"/>
      <c r="AH1027" s="8"/>
      <c r="AI1027" s="8"/>
      <c r="AJ1027" s="8"/>
    </row>
    <row r="1028" spans="1:36" ht="15" customHeight="1" x14ac:dyDescent="0.35">
      <c r="A1028" s="4" t="s">
        <v>1553</v>
      </c>
      <c r="B1028" s="1" t="s">
        <v>5653</v>
      </c>
      <c r="C1028" s="11">
        <v>45062</v>
      </c>
      <c r="D1028" s="11" t="s">
        <v>5654</v>
      </c>
      <c r="E1028" s="1" t="s">
        <v>73</v>
      </c>
      <c r="F1028" s="1" t="s">
        <v>5655</v>
      </c>
      <c r="G1028" s="6">
        <f>COUNTIF(F:F,Table2[[#This Row],[Form '#]])</f>
        <v>1</v>
      </c>
      <c r="H1028" s="1" t="s">
        <v>5656</v>
      </c>
      <c r="I1028" s="1" t="s">
        <v>28</v>
      </c>
      <c r="J1028" s="1" t="s">
        <v>69</v>
      </c>
      <c r="K1028" s="1" t="s">
        <v>4011</v>
      </c>
      <c r="L1028" s="1"/>
      <c r="M1028" s="6" t="str">
        <f>IF(Table2[[#This Row],[Corrected Form '#
 (If Duplicated)]]="",Table2[[#This Row],[Form '#]],Table2[[#This Row],[Corrected Form '#
 (If Duplicated)]])</f>
        <v>7823-02660</v>
      </c>
      <c r="N1028" s="1" t="s">
        <v>49</v>
      </c>
      <c r="O1028" s="6" t="str">
        <f>IF(Table2[[#This Row],[POG CONFIRMATION RECEIPT OF ORDER
(DATE &amp; TIME)]]="","No Confirmation","Received Confirmation")</f>
        <v>Received Confirmation</v>
      </c>
      <c r="P1028" s="6">
        <f ca="1">TODAY()-Table2[[#This Row],[DATE SENT TO POG]]</f>
        <v>241</v>
      </c>
      <c r="Q1028" s="6" t="s">
        <v>5803</v>
      </c>
      <c r="R10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8" s="2" t="str">
        <f>_xlfn.XLOOKUP(Table2[[#This Row],[Adjusted Form '#]],'[2]IN PROGRESS'!$D:$D,'[2]IN PROGRESS'!$M:$M,"Not Found")</f>
        <v>Not Found</v>
      </c>
      <c r="U1028" s="2" t="str">
        <f>_xlfn.XLOOKUP(Table2[[#This Row],[Adjusted Form '#]],[1]COMPLETED!$D:$D,[2]COMPLETED!$M:$M,"Not Found")</f>
        <v>Not Found</v>
      </c>
      <c r="V1028" s="17" t="str">
        <f>_xlfn.XLOOKUP(Table2[[#This Row],[Adjusted Form '#]],[2]COMPLETED!$D:$D,[2]COMPLETED!$O:$O,"Not Found")</f>
        <v>Not Found</v>
      </c>
      <c r="W1028" s="2" t="str">
        <f>_xlfn.XLOOKUP(Table2[[#This Row],[Adjusted Form '#]],[2]BILLED!$D:$D,[2]BILLED!$M:$M,"Not Found")</f>
        <v>1Z5063E0YW41007742</v>
      </c>
      <c r="X1028" s="17" t="e">
        <f>_xlfn.XLOOKUP(Table2[[#This Row],[Adjusted Form '#]],[2]BILLED!$D:$D,[1]BILLED!$O:$O,"Not Found")</f>
        <v>#REF!</v>
      </c>
      <c r="Y1028" s="17" t="e">
        <f>_xlfn.XLOOKUP(Table2[[#This Row],[Adjusted Form '#]],'[2]REJECTED ORDERS'!$D:$D,'[2]REJECTED ORDERS'!$E:$E)</f>
        <v>#N/A</v>
      </c>
      <c r="Z1028" s="1"/>
      <c r="AA1028" s="1"/>
      <c r="AB1028" s="8"/>
      <c r="AC1028" s="8"/>
      <c r="AD1028" s="8"/>
      <c r="AE1028" s="8"/>
      <c r="AF1028" s="8"/>
      <c r="AG1028" s="8"/>
      <c r="AH1028" s="8"/>
      <c r="AI1028" s="8"/>
      <c r="AJ1028" s="8"/>
    </row>
    <row r="1029" spans="1:36" ht="15" customHeight="1" x14ac:dyDescent="0.35">
      <c r="A1029" s="4" t="s">
        <v>1554</v>
      </c>
      <c r="B1029" s="1" t="s">
        <v>1998</v>
      </c>
      <c r="C1029" s="11">
        <v>45063</v>
      </c>
      <c r="D1029" s="11" t="s">
        <v>5657</v>
      </c>
      <c r="E1029" s="1" t="s">
        <v>21</v>
      </c>
      <c r="F1029" s="1" t="s">
        <v>5658</v>
      </c>
      <c r="G1029" s="6">
        <f>COUNTIF(F:F,Table2[[#This Row],[Form '#]])</f>
        <v>1</v>
      </c>
      <c r="H1029" s="1" t="s">
        <v>5659</v>
      </c>
      <c r="I1029" s="1" t="s">
        <v>758</v>
      </c>
      <c r="J1029" s="1" t="s">
        <v>78</v>
      </c>
      <c r="K1029" s="1" t="s">
        <v>3853</v>
      </c>
      <c r="L1029" s="1"/>
      <c r="M1029" s="6" t="str">
        <f>IF(Table2[[#This Row],[Corrected Form '#
 (If Duplicated)]]="",Table2[[#This Row],[Form '#]],Table2[[#This Row],[Corrected Form '#
 (If Duplicated)]])</f>
        <v>7818-11378</v>
      </c>
      <c r="N1029" s="1" t="s">
        <v>49</v>
      </c>
      <c r="O1029" s="6" t="str">
        <f>IF(Table2[[#This Row],[POG CONFIRMATION RECEIPT OF ORDER
(DATE &amp; TIME)]]="","No Confirmation","Received Confirmation")</f>
        <v>Received Confirmation</v>
      </c>
      <c r="P1029" s="6">
        <f ca="1">TODAY()-Table2[[#This Row],[DATE SENT TO POG]]</f>
        <v>240</v>
      </c>
      <c r="Q1029" s="6" t="s">
        <v>5803</v>
      </c>
      <c r="R10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29" s="2" t="str">
        <f>_xlfn.XLOOKUP(Table2[[#This Row],[Adjusted Form '#]],'[2]IN PROGRESS'!$D:$D,'[2]IN PROGRESS'!$M:$M,"Not Found")</f>
        <v>Not Found</v>
      </c>
      <c r="U1029" s="2" t="str">
        <f>_xlfn.XLOOKUP(Table2[[#This Row],[Adjusted Form '#]],[1]COMPLETED!$D:$D,[2]COMPLETED!$M:$M,"Not Found")</f>
        <v>Not Found</v>
      </c>
      <c r="V1029" s="17" t="str">
        <f>_xlfn.XLOOKUP(Table2[[#This Row],[Adjusted Form '#]],[2]COMPLETED!$D:$D,[2]COMPLETED!$O:$O,"Not Found")</f>
        <v>Not Found</v>
      </c>
      <c r="W1029" s="2" t="str">
        <f>_xlfn.XLOOKUP(Table2[[#This Row],[Adjusted Form '#]],[2]BILLED!$D:$D,[2]BILLED!$M:$M,"Not Found")</f>
        <v>1Z5063E0YW40063826</v>
      </c>
      <c r="X1029" s="17" t="e">
        <f>_xlfn.XLOOKUP(Table2[[#This Row],[Adjusted Form '#]],[2]BILLED!$D:$D,[1]BILLED!$O:$O,"Not Found")</f>
        <v>#REF!</v>
      </c>
      <c r="Y1029" s="17" t="e">
        <f>_xlfn.XLOOKUP(Table2[[#This Row],[Adjusted Form '#]],'[2]REJECTED ORDERS'!$D:$D,'[2]REJECTED ORDERS'!$E:$E)</f>
        <v>#N/A</v>
      </c>
      <c r="Z1029" s="1"/>
      <c r="AA1029" s="1"/>
      <c r="AB1029" s="8"/>
      <c r="AC1029" s="8"/>
      <c r="AD1029" s="8"/>
      <c r="AE1029" s="8"/>
      <c r="AF1029" s="8"/>
      <c r="AG1029" s="8"/>
      <c r="AH1029" s="8"/>
      <c r="AI1029" s="8"/>
      <c r="AJ1029" s="8"/>
    </row>
    <row r="1030" spans="1:36" ht="15" customHeight="1" x14ac:dyDescent="0.35">
      <c r="A1030" s="4" t="s">
        <v>1555</v>
      </c>
      <c r="B1030" s="1" t="s">
        <v>5660</v>
      </c>
      <c r="C1030" s="11">
        <v>45063</v>
      </c>
      <c r="D1030" s="11" t="s">
        <v>5661</v>
      </c>
      <c r="E1030" s="1" t="s">
        <v>191</v>
      </c>
      <c r="F1030" s="1" t="s">
        <v>3778</v>
      </c>
      <c r="G1030" s="6">
        <f>COUNTIF(F:F,Table2[[#This Row],[Form '#]])</f>
        <v>1</v>
      </c>
      <c r="H1030" s="1" t="s">
        <v>3779</v>
      </c>
      <c r="I1030" s="1" t="s">
        <v>758</v>
      </c>
      <c r="J1030" s="1" t="s">
        <v>78</v>
      </c>
      <c r="K1030" s="1" t="s">
        <v>3853</v>
      </c>
      <c r="L1030" s="1"/>
      <c r="M1030" s="6" t="str">
        <f>IF(Table2[[#This Row],[Corrected Form '#
 (If Duplicated)]]="",Table2[[#This Row],[Form '#]],Table2[[#This Row],[Corrected Form '#
 (If Duplicated)]])</f>
        <v>7812-02665</v>
      </c>
      <c r="N1030" s="1" t="s">
        <v>49</v>
      </c>
      <c r="O1030" s="6" t="str">
        <f>IF(Table2[[#This Row],[POG CONFIRMATION RECEIPT OF ORDER
(DATE &amp; TIME)]]="","No Confirmation","Received Confirmation")</f>
        <v>Received Confirmation</v>
      </c>
      <c r="P1030" s="6">
        <f ca="1">TODAY()-Table2[[#This Row],[DATE SENT TO POG]]</f>
        <v>240</v>
      </c>
      <c r="Q1030" s="6" t="s">
        <v>5803</v>
      </c>
      <c r="R10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0" s="2" t="str">
        <f>_xlfn.XLOOKUP(Table2[[#This Row],[Adjusted Form '#]],'[2]IN PROGRESS'!$D:$D,'[2]IN PROGRESS'!$M:$M,"Not Found")</f>
        <v>Not Found</v>
      </c>
      <c r="U1030" s="2" t="str">
        <f>_xlfn.XLOOKUP(Table2[[#This Row],[Adjusted Form '#]],[1]COMPLETED!$D:$D,[2]COMPLETED!$M:$M,"Not Found")</f>
        <v>Not Found</v>
      </c>
      <c r="V1030" s="17" t="str">
        <f>_xlfn.XLOOKUP(Table2[[#This Row],[Adjusted Form '#]],[2]COMPLETED!$D:$D,[2]COMPLETED!$O:$O,"Not Found")</f>
        <v>Not Found</v>
      </c>
      <c r="W1030" s="2" t="str">
        <f>_xlfn.XLOOKUP(Table2[[#This Row],[Adjusted Form '#]],[2]BILLED!$D:$D,[2]BILLED!$M:$M,"Not Found")</f>
        <v>1Z5063E0YW42073099</v>
      </c>
      <c r="X1030" s="17" t="e">
        <f>_xlfn.XLOOKUP(Table2[[#This Row],[Adjusted Form '#]],[2]BILLED!$D:$D,[1]BILLED!$O:$O,"Not Found")</f>
        <v>#REF!</v>
      </c>
      <c r="Y1030" s="17" t="str">
        <f>_xlfn.XLOOKUP(Table2[[#This Row],[Adjusted Form '#]],'[2]REJECTED ORDERS'!$D:$D,'[2]REJECTED ORDERS'!$E:$E)</f>
        <v>FORM NUMBER ALREADY USED</v>
      </c>
      <c r="Z1030" s="1"/>
      <c r="AA1030" s="1"/>
      <c r="AB1030" s="8"/>
      <c r="AC1030" s="8"/>
      <c r="AD1030" s="8"/>
      <c r="AE1030" s="8"/>
      <c r="AF1030" s="8"/>
      <c r="AG1030" s="8"/>
      <c r="AH1030" s="8"/>
      <c r="AI1030" s="8"/>
      <c r="AJ1030" s="8"/>
    </row>
    <row r="1031" spans="1:36" ht="15" customHeight="1" x14ac:dyDescent="0.35">
      <c r="A1031" s="4" t="s">
        <v>1556</v>
      </c>
      <c r="B1031" s="1" t="s">
        <v>1412</v>
      </c>
      <c r="C1031" s="11">
        <v>45063</v>
      </c>
      <c r="D1031" s="11" t="s">
        <v>5661</v>
      </c>
      <c r="E1031" s="1" t="s">
        <v>21</v>
      </c>
      <c r="F1031" s="1" t="s">
        <v>5662</v>
      </c>
      <c r="G1031" s="6">
        <f>COUNTIF(F:F,Table2[[#This Row],[Form '#]])</f>
        <v>1</v>
      </c>
      <c r="H1031" s="1" t="s">
        <v>5663</v>
      </c>
      <c r="I1031" s="1" t="s">
        <v>3852</v>
      </c>
      <c r="J1031" s="1" t="s">
        <v>80</v>
      </c>
      <c r="K1031" s="1" t="s">
        <v>3853</v>
      </c>
      <c r="L1031" s="1"/>
      <c r="M1031" s="6" t="str">
        <f>IF(Table2[[#This Row],[Corrected Form '#
 (If Duplicated)]]="",Table2[[#This Row],[Form '#]],Table2[[#This Row],[Corrected Form '#
 (If Duplicated)]])</f>
        <v>7818-13374</v>
      </c>
      <c r="N1031" s="1" t="s">
        <v>49</v>
      </c>
      <c r="O1031" s="6" t="str">
        <f>IF(Table2[[#This Row],[POG CONFIRMATION RECEIPT OF ORDER
(DATE &amp; TIME)]]="","No Confirmation","Received Confirmation")</f>
        <v>Received Confirmation</v>
      </c>
      <c r="P1031" s="6">
        <f ca="1">TODAY()-Table2[[#This Row],[DATE SENT TO POG]]</f>
        <v>240</v>
      </c>
      <c r="Q1031" s="6" t="s">
        <v>5803</v>
      </c>
      <c r="R10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1" s="2" t="str">
        <f>_xlfn.XLOOKUP(Table2[[#This Row],[Adjusted Form '#]],'[2]IN PROGRESS'!$D:$D,'[2]IN PROGRESS'!$M:$M,"Not Found")</f>
        <v>Not Found</v>
      </c>
      <c r="U1031" s="2" t="str">
        <f>_xlfn.XLOOKUP(Table2[[#This Row],[Adjusted Form '#]],[1]COMPLETED!$D:$D,[2]COMPLETED!$M:$M,"Not Found")</f>
        <v>Not Found</v>
      </c>
      <c r="V1031" s="17" t="str">
        <f>_xlfn.XLOOKUP(Table2[[#This Row],[Adjusted Form '#]],[2]COMPLETED!$D:$D,[2]COMPLETED!$O:$O,"Not Found")</f>
        <v>Not Found</v>
      </c>
      <c r="W1031" s="2" t="str">
        <f>_xlfn.XLOOKUP(Table2[[#This Row],[Adjusted Form '#]],[2]BILLED!$D:$D,[2]BILLED!$M:$M,"Not Found")</f>
        <v>1Z5063E0YW40183385</v>
      </c>
      <c r="X1031" s="17" t="e">
        <f>_xlfn.XLOOKUP(Table2[[#This Row],[Adjusted Form '#]],[2]BILLED!$D:$D,[1]BILLED!$O:$O,"Not Found")</f>
        <v>#REF!</v>
      </c>
      <c r="Y1031" s="17" t="e">
        <f>_xlfn.XLOOKUP(Table2[[#This Row],[Adjusted Form '#]],'[2]REJECTED ORDERS'!$D:$D,'[2]REJECTED ORDERS'!$E:$E)</f>
        <v>#N/A</v>
      </c>
      <c r="Z1031" s="1"/>
      <c r="AA1031" s="1"/>
      <c r="AB1031" s="8"/>
      <c r="AC1031" s="8"/>
      <c r="AD1031" s="8"/>
      <c r="AE1031" s="8"/>
      <c r="AF1031" s="8"/>
      <c r="AG1031" s="8"/>
      <c r="AH1031" s="8"/>
      <c r="AI1031" s="8"/>
      <c r="AJ1031" s="8"/>
    </row>
    <row r="1032" spans="1:36" ht="15" customHeight="1" x14ac:dyDescent="0.35">
      <c r="A1032" s="4" t="s">
        <v>1557</v>
      </c>
      <c r="B1032" s="1" t="s">
        <v>1412</v>
      </c>
      <c r="C1032" s="11">
        <v>45063</v>
      </c>
      <c r="D1032" s="11" t="s">
        <v>5661</v>
      </c>
      <c r="E1032" s="1" t="s">
        <v>21</v>
      </c>
      <c r="F1032" s="1" t="s">
        <v>5664</v>
      </c>
      <c r="G1032" s="6">
        <f>COUNTIF(F:F,Table2[[#This Row],[Form '#]])</f>
        <v>1</v>
      </c>
      <c r="H1032" s="1" t="s">
        <v>2860</v>
      </c>
      <c r="I1032" s="1" t="s">
        <v>177</v>
      </c>
      <c r="J1032" s="1" t="s">
        <v>3891</v>
      </c>
      <c r="K1032" s="1" t="s">
        <v>3853</v>
      </c>
      <c r="L1032" s="1"/>
      <c r="M1032" s="6" t="str">
        <f>IF(Table2[[#This Row],[Corrected Form '#
 (If Duplicated)]]="",Table2[[#This Row],[Form '#]],Table2[[#This Row],[Corrected Form '#
 (If Duplicated)]])</f>
        <v>7818-26159</v>
      </c>
      <c r="N1032" s="1" t="s">
        <v>49</v>
      </c>
      <c r="O1032" s="6" t="str">
        <f>IF(Table2[[#This Row],[POG CONFIRMATION RECEIPT OF ORDER
(DATE &amp; TIME)]]="","No Confirmation","Received Confirmation")</f>
        <v>Received Confirmation</v>
      </c>
      <c r="P1032" s="6">
        <f ca="1">TODAY()-Table2[[#This Row],[DATE SENT TO POG]]</f>
        <v>240</v>
      </c>
      <c r="Q1032" s="6" t="s">
        <v>5803</v>
      </c>
      <c r="R10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2" s="2" t="str">
        <f>_xlfn.XLOOKUP(Table2[[#This Row],[Adjusted Form '#]],'[2]IN PROGRESS'!$D:$D,'[2]IN PROGRESS'!$M:$M,"Not Found")</f>
        <v>Not Found</v>
      </c>
      <c r="U1032" s="2" t="str">
        <f>_xlfn.XLOOKUP(Table2[[#This Row],[Adjusted Form '#]],[1]COMPLETED!$D:$D,[2]COMPLETED!$M:$M,"Not Found")</f>
        <v>Not Found</v>
      </c>
      <c r="V1032" s="17" t="str">
        <f>_xlfn.XLOOKUP(Table2[[#This Row],[Adjusted Form '#]],[2]COMPLETED!$D:$D,[2]COMPLETED!$O:$O,"Not Found")</f>
        <v>Not Found</v>
      </c>
      <c r="W1032" s="2" t="str">
        <f>_xlfn.XLOOKUP(Table2[[#This Row],[Adjusted Form '#]],[2]BILLED!$D:$D,[2]BILLED!$M:$M,"Not Found")</f>
        <v>1Z5063E0YW40472876</v>
      </c>
      <c r="X1032" s="17" t="e">
        <f>_xlfn.XLOOKUP(Table2[[#This Row],[Adjusted Form '#]],[2]BILLED!$D:$D,[1]BILLED!$O:$O,"Not Found")</f>
        <v>#REF!</v>
      </c>
      <c r="Y1032" s="17" t="e">
        <f>_xlfn.XLOOKUP(Table2[[#This Row],[Adjusted Form '#]],'[2]REJECTED ORDERS'!$D:$D,'[2]REJECTED ORDERS'!$E:$E)</f>
        <v>#N/A</v>
      </c>
      <c r="Z1032" s="1"/>
      <c r="AA1032" s="1"/>
      <c r="AB1032" s="8"/>
      <c r="AC1032" s="8"/>
      <c r="AD1032" s="8"/>
      <c r="AE1032" s="8"/>
      <c r="AF1032" s="8"/>
      <c r="AG1032" s="8"/>
      <c r="AH1032" s="8"/>
      <c r="AI1032" s="8"/>
      <c r="AJ1032" s="8"/>
    </row>
    <row r="1033" spans="1:36" ht="15" customHeight="1" x14ac:dyDescent="0.35">
      <c r="A1033" s="4" t="s">
        <v>1558</v>
      </c>
      <c r="B1033" s="1" t="s">
        <v>1272</v>
      </c>
      <c r="C1033" s="11">
        <v>45063</v>
      </c>
      <c r="E1033" s="1" t="s">
        <v>21</v>
      </c>
      <c r="F1033" s="1" t="s">
        <v>3746</v>
      </c>
      <c r="G1033" s="6">
        <f>COUNTIF(F:F,Table2[[#This Row],[Form '#]])</f>
        <v>1</v>
      </c>
      <c r="H1033" s="1" t="s">
        <v>2419</v>
      </c>
      <c r="I1033" s="1" t="s">
        <v>3864</v>
      </c>
      <c r="J1033" s="1" t="s">
        <v>78</v>
      </c>
      <c r="K1033" s="1" t="s">
        <v>3879</v>
      </c>
      <c r="L1033" s="1"/>
      <c r="M1033" s="6" t="str">
        <f>IF(Table2[[#This Row],[Corrected Form '#
 (If Duplicated)]]="",Table2[[#This Row],[Form '#]],Table2[[#This Row],[Corrected Form '#
 (If Duplicated)]])</f>
        <v>7818-10968</v>
      </c>
      <c r="N1033" s="1" t="s">
        <v>49</v>
      </c>
      <c r="O1033" s="6" t="str">
        <f>IF(Table2[[#This Row],[POG CONFIRMATION RECEIPT OF ORDER
(DATE &amp; TIME)]]="","No Confirmation","Received Confirmation")</f>
        <v>No Confirmation</v>
      </c>
      <c r="P1033" s="6">
        <f ca="1">TODAY()-Table2[[#This Row],[DATE SENT TO POG]]</f>
        <v>240</v>
      </c>
      <c r="Q1033" s="6" t="s">
        <v>5803</v>
      </c>
      <c r="R10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3" s="2" t="str">
        <f>_xlfn.XLOOKUP(Table2[[#This Row],[Adjusted Form '#]],'[2]IN PROGRESS'!$D:$D,'[2]IN PROGRESS'!$M:$M,"Not Found")</f>
        <v>Not Found</v>
      </c>
      <c r="U1033" s="2" t="str">
        <f>_xlfn.XLOOKUP(Table2[[#This Row],[Adjusted Form '#]],[1]COMPLETED!$D:$D,[2]COMPLETED!$M:$M,"Not Found")</f>
        <v>Not Found</v>
      </c>
      <c r="V1033" s="17" t="str">
        <f>_xlfn.XLOOKUP(Table2[[#This Row],[Adjusted Form '#]],[2]COMPLETED!$D:$D,[2]COMPLETED!$O:$O,"Not Found")</f>
        <v>Not Found</v>
      </c>
      <c r="W1033" s="2" t="str">
        <f>_xlfn.XLOOKUP(Table2[[#This Row],[Adjusted Form '#]],[2]BILLED!$D:$D,[2]BILLED!$M:$M,"Not Found")</f>
        <v>9402 1112 0620 7093 5129 97</v>
      </c>
      <c r="X1033" s="17" t="e">
        <f>_xlfn.XLOOKUP(Table2[[#This Row],[Adjusted Form '#]],[2]BILLED!$D:$D,[1]BILLED!$O:$O,"Not Found")</f>
        <v>#REF!</v>
      </c>
      <c r="Y1033" s="17" t="str">
        <f>_xlfn.XLOOKUP(Table2[[#This Row],[Adjusted Form '#]],'[2]REJECTED ORDERS'!$D:$D,'[2]REJECTED ORDERS'!$E:$E)</f>
        <v>FORM NUMBER ALREADY USED</v>
      </c>
      <c r="Z1033" s="1"/>
      <c r="AA1033" s="1"/>
      <c r="AB1033" s="8"/>
      <c r="AC1033" s="8"/>
      <c r="AD1033" s="8"/>
      <c r="AE1033" s="8"/>
      <c r="AF1033" s="8"/>
      <c r="AG1033" s="8"/>
      <c r="AH1033" s="8"/>
      <c r="AI1033" s="8"/>
      <c r="AJ1033" s="8"/>
    </row>
    <row r="1034" spans="1:36" ht="15" customHeight="1" x14ac:dyDescent="0.35">
      <c r="A1034" s="4" t="s">
        <v>1559</v>
      </c>
      <c r="B1034" s="1" t="s">
        <v>660</v>
      </c>
      <c r="C1034" s="11">
        <v>45063</v>
      </c>
      <c r="D1034" s="11" t="s">
        <v>5665</v>
      </c>
      <c r="E1034" s="1" t="s">
        <v>191</v>
      </c>
      <c r="F1034" s="7" t="s">
        <v>2581</v>
      </c>
      <c r="G1034" s="6">
        <f>COUNTIF(F:F,Table2[[#This Row],[Form '#]])</f>
        <v>2</v>
      </c>
      <c r="H1034" s="1" t="s">
        <v>5666</v>
      </c>
      <c r="I1034" s="1" t="s">
        <v>127</v>
      </c>
      <c r="J1034" s="1" t="s">
        <v>74</v>
      </c>
      <c r="K1034" s="1" t="s">
        <v>4011</v>
      </c>
      <c r="L1034" s="1"/>
      <c r="M1034" s="6" t="str">
        <f>IF(Table2[[#This Row],[Corrected Form '#
 (If Duplicated)]]="",Table2[[#This Row],[Form '#]],Table2[[#This Row],[Corrected Form '#
 (If Duplicated)]])</f>
        <v>7812-00800</v>
      </c>
      <c r="N1034" s="1" t="s">
        <v>49</v>
      </c>
      <c r="O1034" s="6" t="str">
        <f>IF(Table2[[#This Row],[POG CONFIRMATION RECEIPT OF ORDER
(DATE &amp; TIME)]]="","No Confirmation","Received Confirmation")</f>
        <v>Received Confirmation</v>
      </c>
      <c r="P1034" s="6">
        <f ca="1">TODAY()-Table2[[#This Row],[DATE SENT TO POG]]</f>
        <v>240</v>
      </c>
      <c r="Q1034" s="6" t="s">
        <v>5803</v>
      </c>
      <c r="R10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4" s="2" t="str">
        <f>_xlfn.XLOOKUP(Table2[[#This Row],[Adjusted Form '#]],'[2]IN PROGRESS'!$D:$D,'[2]IN PROGRESS'!$M:$M,"Not Found")</f>
        <v>Not Found</v>
      </c>
      <c r="U1034" s="2" t="str">
        <f>_xlfn.XLOOKUP(Table2[[#This Row],[Adjusted Form '#]],[1]COMPLETED!$D:$D,[2]COMPLETED!$M:$M,"Not Found")</f>
        <v>Not Found</v>
      </c>
      <c r="V1034" s="17" t="str">
        <f>_xlfn.XLOOKUP(Table2[[#This Row],[Adjusted Form '#]],[2]COMPLETED!$D:$D,[2]COMPLETED!$O:$O,"Not Found")</f>
        <v>Not Found</v>
      </c>
      <c r="W1034" s="2" t="str">
        <f>_xlfn.XLOOKUP(Table2[[#This Row],[Adjusted Form '#]],[2]BILLED!$D:$D,[2]BILLED!$M:$M,"Not Found")</f>
        <v>1Z5063E0YW41239322</v>
      </c>
      <c r="X1034" s="17" t="e">
        <f>_xlfn.XLOOKUP(Table2[[#This Row],[Adjusted Form '#]],[2]BILLED!$D:$D,[1]BILLED!$O:$O,"Not Found")</f>
        <v>#REF!</v>
      </c>
      <c r="Y1034" s="17" t="str">
        <f>_xlfn.XLOOKUP(Table2[[#This Row],[Adjusted Form '#]],'[2]REJECTED ORDERS'!$D:$D,'[2]REJECTED ORDERS'!$E:$E)</f>
        <v>FORM NUMBER ALREADY USED</v>
      </c>
      <c r="Z1034" s="1"/>
      <c r="AA1034" s="1"/>
      <c r="AB1034" s="8"/>
      <c r="AC1034" s="8"/>
      <c r="AD1034" s="8"/>
      <c r="AE1034" s="8"/>
      <c r="AF1034" s="8"/>
      <c r="AG1034" s="8"/>
      <c r="AH1034" s="8"/>
      <c r="AI1034" s="8"/>
      <c r="AJ1034" s="8"/>
    </row>
    <row r="1035" spans="1:36" ht="15" customHeight="1" x14ac:dyDescent="0.35">
      <c r="A1035" s="4" t="s">
        <v>1560</v>
      </c>
      <c r="B1035" s="1" t="s">
        <v>660</v>
      </c>
      <c r="C1035" s="11">
        <v>45063</v>
      </c>
      <c r="D1035" s="11" t="s">
        <v>5665</v>
      </c>
      <c r="E1035" s="1" t="s">
        <v>191</v>
      </c>
      <c r="F1035" s="1" t="s">
        <v>3749</v>
      </c>
      <c r="G1035" s="6">
        <f>COUNTIF(F:F,Table2[[#This Row],[Form '#]])</f>
        <v>1</v>
      </c>
      <c r="H1035" s="1" t="s">
        <v>1336</v>
      </c>
      <c r="I1035" s="1" t="s">
        <v>177</v>
      </c>
      <c r="J1035" s="1" t="s">
        <v>75</v>
      </c>
      <c r="K1035" s="1" t="s">
        <v>3853</v>
      </c>
      <c r="L1035" s="1"/>
      <c r="M1035" s="6" t="str">
        <f>IF(Table2[[#This Row],[Corrected Form '#
 (If Duplicated)]]="",Table2[[#This Row],[Form '#]],Table2[[#This Row],[Corrected Form '#
 (If Duplicated)]])</f>
        <v>7812-02645</v>
      </c>
      <c r="N1035" s="1" t="s">
        <v>49</v>
      </c>
      <c r="O1035" s="6" t="str">
        <f>IF(Table2[[#This Row],[POG CONFIRMATION RECEIPT OF ORDER
(DATE &amp; TIME)]]="","No Confirmation","Received Confirmation")</f>
        <v>Received Confirmation</v>
      </c>
      <c r="P1035" s="6">
        <f ca="1">TODAY()-Table2[[#This Row],[DATE SENT TO POG]]</f>
        <v>240</v>
      </c>
      <c r="Q1035" s="6" t="s">
        <v>5803</v>
      </c>
      <c r="R10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5" s="2" t="str">
        <f>_xlfn.XLOOKUP(Table2[[#This Row],[Adjusted Form '#]],'[2]IN PROGRESS'!$D:$D,'[2]IN PROGRESS'!$M:$M,"Not Found")</f>
        <v>Not Found</v>
      </c>
      <c r="U1035" s="2" t="str">
        <f>_xlfn.XLOOKUP(Table2[[#This Row],[Adjusted Form '#]],[1]COMPLETED!$D:$D,[2]COMPLETED!$M:$M,"Not Found")</f>
        <v>Not Found</v>
      </c>
      <c r="V1035" s="17" t="str">
        <f>_xlfn.XLOOKUP(Table2[[#This Row],[Adjusted Form '#]],[2]COMPLETED!$D:$D,[2]COMPLETED!$O:$O,"Not Found")</f>
        <v>Not Found</v>
      </c>
      <c r="W1035" s="2" t="str">
        <f>_xlfn.XLOOKUP(Table2[[#This Row],[Adjusted Form '#]],[2]BILLED!$D:$D,[2]BILLED!$M:$M,"Not Found")</f>
        <v>1Z5063E0YW42356284</v>
      </c>
      <c r="X1035" s="17" t="e">
        <f>_xlfn.XLOOKUP(Table2[[#This Row],[Adjusted Form '#]],[2]BILLED!$D:$D,[1]BILLED!$O:$O,"Not Found")</f>
        <v>#REF!</v>
      </c>
      <c r="Y1035" s="17" t="str">
        <f>_xlfn.XLOOKUP(Table2[[#This Row],[Adjusted Form '#]],'[2]REJECTED ORDERS'!$D:$D,'[2]REJECTED ORDERS'!$E:$E)</f>
        <v>FORM NUMBER ALREADY USED</v>
      </c>
      <c r="Z1035" s="1"/>
      <c r="AA1035" s="1"/>
      <c r="AB1035" s="8"/>
      <c r="AC1035" s="8"/>
      <c r="AD1035" s="8"/>
      <c r="AE1035" s="8"/>
      <c r="AF1035" s="8"/>
      <c r="AG1035" s="8"/>
      <c r="AH1035" s="8"/>
      <c r="AI1035" s="8"/>
      <c r="AJ1035" s="8"/>
    </row>
    <row r="1036" spans="1:36" ht="15" customHeight="1" x14ac:dyDescent="0.35">
      <c r="A1036" s="4" t="s">
        <v>1561</v>
      </c>
      <c r="B1036" s="1" t="s">
        <v>1344</v>
      </c>
      <c r="C1036" s="11">
        <v>45063</v>
      </c>
      <c r="D1036" s="11" t="s">
        <v>5665</v>
      </c>
      <c r="E1036" s="1" t="s">
        <v>21</v>
      </c>
      <c r="F1036" s="1" t="s">
        <v>5667</v>
      </c>
      <c r="G1036" s="6">
        <f>COUNTIF(F:F,Table2[[#This Row],[Form '#]])</f>
        <v>1</v>
      </c>
      <c r="H1036" s="1" t="s">
        <v>5668</v>
      </c>
      <c r="I1036" s="1" t="s">
        <v>3852</v>
      </c>
      <c r="J1036" s="1" t="s">
        <v>80</v>
      </c>
      <c r="K1036" s="1" t="s">
        <v>3853</v>
      </c>
      <c r="L1036" s="1"/>
      <c r="M1036" s="6" t="str">
        <f>IF(Table2[[#This Row],[Corrected Form '#
 (If Duplicated)]]="",Table2[[#This Row],[Form '#]],Table2[[#This Row],[Corrected Form '#
 (If Duplicated)]])</f>
        <v>7818-13588</v>
      </c>
      <c r="N1036" s="1" t="s">
        <v>49</v>
      </c>
      <c r="O1036" s="6" t="str">
        <f>IF(Table2[[#This Row],[POG CONFIRMATION RECEIPT OF ORDER
(DATE &amp; TIME)]]="","No Confirmation","Received Confirmation")</f>
        <v>Received Confirmation</v>
      </c>
      <c r="P1036" s="6">
        <f ca="1">TODAY()-Table2[[#This Row],[DATE SENT TO POG]]</f>
        <v>240</v>
      </c>
      <c r="Q1036" s="6" t="s">
        <v>5803</v>
      </c>
      <c r="R10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6" s="2" t="str">
        <f>_xlfn.XLOOKUP(Table2[[#This Row],[Adjusted Form '#]],'[2]IN PROGRESS'!$D:$D,'[2]IN PROGRESS'!$M:$M,"Not Found")</f>
        <v>Not Found</v>
      </c>
      <c r="U1036" s="2" t="str">
        <f>_xlfn.XLOOKUP(Table2[[#This Row],[Adjusted Form '#]],[1]COMPLETED!$D:$D,[2]COMPLETED!$M:$M,"Not Found")</f>
        <v>Not Found</v>
      </c>
      <c r="V1036" s="17" t="str">
        <f>_xlfn.XLOOKUP(Table2[[#This Row],[Adjusted Form '#]],[2]COMPLETED!$D:$D,[2]COMPLETED!$O:$O,"Not Found")</f>
        <v>Not Found</v>
      </c>
      <c r="W1036" s="2" t="str">
        <f>_xlfn.XLOOKUP(Table2[[#This Row],[Adjusted Form '#]],[2]BILLED!$D:$D,[2]BILLED!$M:$M,"Not Found")</f>
        <v>9402 1112 0620 7089 0129 06</v>
      </c>
      <c r="X1036" s="17" t="e">
        <f>_xlfn.XLOOKUP(Table2[[#This Row],[Adjusted Form '#]],[2]BILLED!$D:$D,[1]BILLED!$O:$O,"Not Found")</f>
        <v>#REF!</v>
      </c>
      <c r="Y1036" s="17" t="e">
        <f>_xlfn.XLOOKUP(Table2[[#This Row],[Adjusted Form '#]],'[2]REJECTED ORDERS'!$D:$D,'[2]REJECTED ORDERS'!$E:$E)</f>
        <v>#N/A</v>
      </c>
      <c r="Z1036" s="1"/>
      <c r="AA1036" s="1"/>
      <c r="AB1036" s="8"/>
      <c r="AC1036" s="8"/>
      <c r="AD1036" s="8"/>
      <c r="AE1036" s="8"/>
      <c r="AF1036" s="8"/>
      <c r="AG1036" s="8"/>
      <c r="AH1036" s="8"/>
      <c r="AI1036" s="8"/>
      <c r="AJ1036" s="8"/>
    </row>
    <row r="1037" spans="1:36" ht="15" customHeight="1" x14ac:dyDescent="0.35">
      <c r="A1037" s="4" t="s">
        <v>1563</v>
      </c>
      <c r="B1037" s="1" t="s">
        <v>1344</v>
      </c>
      <c r="C1037" s="11">
        <v>45063</v>
      </c>
      <c r="D1037" s="11" t="s">
        <v>5665</v>
      </c>
      <c r="E1037" s="1" t="s">
        <v>21</v>
      </c>
      <c r="F1037" s="1" t="s">
        <v>5669</v>
      </c>
      <c r="G1037" s="6">
        <f>COUNTIF(F:F,Table2[[#This Row],[Form '#]])</f>
        <v>1</v>
      </c>
      <c r="H1037" s="1" t="s">
        <v>5670</v>
      </c>
      <c r="I1037" s="1" t="s">
        <v>3852</v>
      </c>
      <c r="J1037" s="1" t="s">
        <v>80</v>
      </c>
      <c r="K1037" s="1" t="s">
        <v>3853</v>
      </c>
      <c r="L1037" s="1"/>
      <c r="M1037" s="6" t="str">
        <f>IF(Table2[[#This Row],[Corrected Form '#
 (If Duplicated)]]="",Table2[[#This Row],[Form '#]],Table2[[#This Row],[Corrected Form '#
 (If Duplicated)]])</f>
        <v>7818-13461</v>
      </c>
      <c r="N1037" s="1" t="s">
        <v>49</v>
      </c>
      <c r="O1037" s="6" t="str">
        <f>IF(Table2[[#This Row],[POG CONFIRMATION RECEIPT OF ORDER
(DATE &amp; TIME)]]="","No Confirmation","Received Confirmation")</f>
        <v>Received Confirmation</v>
      </c>
      <c r="P1037" s="6">
        <f ca="1">TODAY()-Table2[[#This Row],[DATE SENT TO POG]]</f>
        <v>240</v>
      </c>
      <c r="Q1037" s="6" t="s">
        <v>5803</v>
      </c>
      <c r="R10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7" s="2" t="str">
        <f>_xlfn.XLOOKUP(Table2[[#This Row],[Adjusted Form '#]],'[2]IN PROGRESS'!$D:$D,'[2]IN PROGRESS'!$M:$M,"Not Found")</f>
        <v>Not Found</v>
      </c>
      <c r="U1037" s="2" t="str">
        <f>_xlfn.XLOOKUP(Table2[[#This Row],[Adjusted Form '#]],[1]COMPLETED!$D:$D,[2]COMPLETED!$M:$M,"Not Found")</f>
        <v>Not Found</v>
      </c>
      <c r="V1037" s="17" t="str">
        <f>_xlfn.XLOOKUP(Table2[[#This Row],[Adjusted Form '#]],[2]COMPLETED!$D:$D,[2]COMPLETED!$O:$O,"Not Found")</f>
        <v>Not Found</v>
      </c>
      <c r="W1037" s="2" t="str">
        <f>_xlfn.XLOOKUP(Table2[[#This Row],[Adjusted Form '#]],[2]BILLED!$D:$D,[2]BILLED!$M:$M,"Not Found")</f>
        <v>1Z5063E0YW41686072</v>
      </c>
      <c r="X1037" s="17" t="e">
        <f>_xlfn.XLOOKUP(Table2[[#This Row],[Adjusted Form '#]],[2]BILLED!$D:$D,[1]BILLED!$O:$O,"Not Found")</f>
        <v>#REF!</v>
      </c>
      <c r="Y1037" s="17" t="e">
        <f>_xlfn.XLOOKUP(Table2[[#This Row],[Adjusted Form '#]],'[2]REJECTED ORDERS'!$D:$D,'[2]REJECTED ORDERS'!$E:$E)</f>
        <v>#N/A</v>
      </c>
      <c r="Z1037" s="1"/>
      <c r="AA1037" s="1"/>
      <c r="AB1037" s="8"/>
      <c r="AC1037" s="8"/>
      <c r="AD1037" s="8"/>
      <c r="AE1037" s="8"/>
      <c r="AF1037" s="8"/>
      <c r="AG1037" s="8"/>
      <c r="AH1037" s="8"/>
      <c r="AI1037" s="8"/>
      <c r="AJ1037" s="8"/>
    </row>
    <row r="1038" spans="1:36" ht="15" customHeight="1" x14ac:dyDescent="0.35">
      <c r="A1038" s="4" t="s">
        <v>1567</v>
      </c>
      <c r="B1038" s="1" t="s">
        <v>287</v>
      </c>
      <c r="C1038" s="11">
        <v>45063</v>
      </c>
      <c r="D1038" s="11" t="s">
        <v>5671</v>
      </c>
      <c r="E1038" s="1" t="s">
        <v>21</v>
      </c>
      <c r="F1038" s="1" t="s">
        <v>5672</v>
      </c>
      <c r="G1038" s="6">
        <f>COUNTIF(F:F,Table2[[#This Row],[Form '#]])</f>
        <v>1</v>
      </c>
      <c r="H1038" s="1" t="s">
        <v>3468</v>
      </c>
      <c r="I1038" s="1" t="s">
        <v>177</v>
      </c>
      <c r="J1038" s="1" t="s">
        <v>75</v>
      </c>
      <c r="K1038" s="1" t="s">
        <v>3853</v>
      </c>
      <c r="L1038" s="1"/>
      <c r="M1038" s="6" t="str">
        <f>IF(Table2[[#This Row],[Corrected Form '#
 (If Duplicated)]]="",Table2[[#This Row],[Form '#]],Table2[[#This Row],[Corrected Form '#
 (If Duplicated)]])</f>
        <v>7818-29578</v>
      </c>
      <c r="N1038" s="1" t="s">
        <v>49</v>
      </c>
      <c r="O1038" s="6" t="str">
        <f>IF(Table2[[#This Row],[POG CONFIRMATION RECEIPT OF ORDER
(DATE &amp; TIME)]]="","No Confirmation","Received Confirmation")</f>
        <v>Received Confirmation</v>
      </c>
      <c r="P1038" s="6">
        <f ca="1">TODAY()-Table2[[#This Row],[DATE SENT TO POG]]</f>
        <v>240</v>
      </c>
      <c r="Q1038" s="6" t="s">
        <v>5803</v>
      </c>
      <c r="R10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8" s="2" t="str">
        <f>_xlfn.XLOOKUP(Table2[[#This Row],[Adjusted Form '#]],'[2]IN PROGRESS'!$D:$D,'[2]IN PROGRESS'!$M:$M,"Not Found")</f>
        <v>Not Found</v>
      </c>
      <c r="U1038" s="2" t="str">
        <f>_xlfn.XLOOKUP(Table2[[#This Row],[Adjusted Form '#]],[1]COMPLETED!$D:$D,[2]COMPLETED!$M:$M,"Not Found")</f>
        <v>Not Found</v>
      </c>
      <c r="V1038" s="17" t="str">
        <f>_xlfn.XLOOKUP(Table2[[#This Row],[Adjusted Form '#]],[2]COMPLETED!$D:$D,[2]COMPLETED!$O:$O,"Not Found")</f>
        <v>Not Found</v>
      </c>
      <c r="W1038" s="2" t="str">
        <f>_xlfn.XLOOKUP(Table2[[#This Row],[Adjusted Form '#]],[2]BILLED!$D:$D,[2]BILLED!$M:$M,"Not Found")</f>
        <v>1Z5063E0YW41625440</v>
      </c>
      <c r="X1038" s="17" t="e">
        <f>_xlfn.XLOOKUP(Table2[[#This Row],[Adjusted Form '#]],[2]BILLED!$D:$D,[1]BILLED!$O:$O,"Not Found")</f>
        <v>#REF!</v>
      </c>
      <c r="Y1038" s="17" t="e">
        <f>_xlfn.XLOOKUP(Table2[[#This Row],[Adjusted Form '#]],'[2]REJECTED ORDERS'!$D:$D,'[2]REJECTED ORDERS'!$E:$E)</f>
        <v>#N/A</v>
      </c>
      <c r="Z1038" s="1"/>
      <c r="AA1038" s="1"/>
      <c r="AB1038" s="8"/>
      <c r="AC1038" s="8"/>
      <c r="AD1038" s="8"/>
      <c r="AE1038" s="8"/>
      <c r="AF1038" s="8"/>
      <c r="AG1038" s="8"/>
      <c r="AH1038" s="8"/>
      <c r="AI1038" s="8"/>
      <c r="AJ1038" s="8"/>
    </row>
    <row r="1039" spans="1:36" ht="15" customHeight="1" x14ac:dyDescent="0.35">
      <c r="A1039" s="4" t="s">
        <v>1570</v>
      </c>
      <c r="B1039" s="1" t="s">
        <v>287</v>
      </c>
      <c r="C1039" s="11">
        <v>45063</v>
      </c>
      <c r="D1039" s="11" t="s">
        <v>5671</v>
      </c>
      <c r="E1039" s="1" t="s">
        <v>21</v>
      </c>
      <c r="F1039" s="1" t="s">
        <v>5673</v>
      </c>
      <c r="G1039" s="6">
        <f>COUNTIF(F:F,Table2[[#This Row],[Form '#]])</f>
        <v>1</v>
      </c>
      <c r="H1039" s="1" t="s">
        <v>5674</v>
      </c>
      <c r="I1039" s="1" t="s">
        <v>3891</v>
      </c>
      <c r="J1039" s="1" t="s">
        <v>3891</v>
      </c>
      <c r="K1039" s="1" t="s">
        <v>3891</v>
      </c>
      <c r="L1039" s="1"/>
      <c r="M1039" s="6" t="str">
        <f>IF(Table2[[#This Row],[Corrected Form '#
 (If Duplicated)]]="",Table2[[#This Row],[Form '#]],Table2[[#This Row],[Corrected Form '#
 (If Duplicated)]])</f>
        <v>7818-16315</v>
      </c>
      <c r="N1039" s="1" t="s">
        <v>49</v>
      </c>
      <c r="O1039" s="6" t="str">
        <f>IF(Table2[[#This Row],[POG CONFIRMATION RECEIPT OF ORDER
(DATE &amp; TIME)]]="","No Confirmation","Received Confirmation")</f>
        <v>Received Confirmation</v>
      </c>
      <c r="P1039" s="6">
        <f ca="1">TODAY()-Table2[[#This Row],[DATE SENT TO POG]]</f>
        <v>240</v>
      </c>
      <c r="Q1039" s="6" t="s">
        <v>5803</v>
      </c>
      <c r="R10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39" s="2" t="str">
        <f>_xlfn.XLOOKUP(Table2[[#This Row],[Adjusted Form '#]],'[2]IN PROGRESS'!$D:$D,'[2]IN PROGRESS'!$M:$M,"Not Found")</f>
        <v>Not Found</v>
      </c>
      <c r="U1039" s="2" t="str">
        <f>_xlfn.XLOOKUP(Table2[[#This Row],[Adjusted Form '#]],[1]COMPLETED!$D:$D,[2]COMPLETED!$M:$M,"Not Found")</f>
        <v>Not Found</v>
      </c>
      <c r="V1039" s="17" t="str">
        <f>_xlfn.XLOOKUP(Table2[[#This Row],[Adjusted Form '#]],[2]COMPLETED!$D:$D,[2]COMPLETED!$O:$O,"Not Found")</f>
        <v>Not Found</v>
      </c>
      <c r="W1039" s="2" t="str">
        <f>_xlfn.XLOOKUP(Table2[[#This Row],[Adjusted Form '#]],[2]BILLED!$D:$D,[2]BILLED!$M:$M,"Not Found")</f>
        <v>1Z5063E0YW42525190</v>
      </c>
      <c r="X1039" s="17" t="e">
        <f>_xlfn.XLOOKUP(Table2[[#This Row],[Adjusted Form '#]],[2]BILLED!$D:$D,[1]BILLED!$O:$O,"Not Found")</f>
        <v>#REF!</v>
      </c>
      <c r="Y1039" s="17" t="e">
        <f>_xlfn.XLOOKUP(Table2[[#This Row],[Adjusted Form '#]],'[2]REJECTED ORDERS'!$D:$D,'[2]REJECTED ORDERS'!$E:$E)</f>
        <v>#N/A</v>
      </c>
      <c r="Z1039" s="1"/>
      <c r="AA1039" s="1"/>
      <c r="AB1039" s="8"/>
      <c r="AC1039" s="8"/>
      <c r="AD1039" s="8"/>
      <c r="AE1039" s="8"/>
      <c r="AF1039" s="8"/>
      <c r="AG1039" s="8"/>
      <c r="AH1039" s="8"/>
      <c r="AI1039" s="8"/>
      <c r="AJ1039" s="8"/>
    </row>
    <row r="1040" spans="1:36" ht="15" customHeight="1" x14ac:dyDescent="0.35">
      <c r="A1040" s="4" t="s">
        <v>1571</v>
      </c>
      <c r="B1040" s="1" t="s">
        <v>2191</v>
      </c>
      <c r="C1040" s="11">
        <v>45063</v>
      </c>
      <c r="E1040" s="1" t="s">
        <v>48</v>
      </c>
      <c r="F1040" s="1" t="s">
        <v>5675</v>
      </c>
      <c r="G1040" s="6">
        <f>COUNTIF(F:F,Table2[[#This Row],[Form '#]])</f>
        <v>1</v>
      </c>
      <c r="H1040" s="1" t="s">
        <v>5676</v>
      </c>
      <c r="I1040" s="1" t="s">
        <v>3864</v>
      </c>
      <c r="J1040" s="1" t="s">
        <v>78</v>
      </c>
      <c r="K1040" s="1" t="s">
        <v>3879</v>
      </c>
      <c r="L1040" s="1"/>
      <c r="M1040" s="6" t="str">
        <f>IF(Table2[[#This Row],[Corrected Form '#
 (If Duplicated)]]="",Table2[[#This Row],[Form '#]],Table2[[#This Row],[Corrected Form '#
 (If Duplicated)]])</f>
        <v>7819-00482</v>
      </c>
      <c r="N1040" s="1" t="s">
        <v>49</v>
      </c>
      <c r="O1040" s="6" t="str">
        <f>IF(Table2[[#This Row],[POG CONFIRMATION RECEIPT OF ORDER
(DATE &amp; TIME)]]="","No Confirmation","Received Confirmation")</f>
        <v>No Confirmation</v>
      </c>
      <c r="P1040" s="6">
        <f ca="1">TODAY()-Table2[[#This Row],[DATE SENT TO POG]]</f>
        <v>240</v>
      </c>
      <c r="Q1040" s="6" t="s">
        <v>5803</v>
      </c>
      <c r="R10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0" s="2" t="str">
        <f>_xlfn.XLOOKUP(Table2[[#This Row],[Adjusted Form '#]],'[2]IN PROGRESS'!$D:$D,'[2]IN PROGRESS'!$M:$M,"Not Found")</f>
        <v>Not Found</v>
      </c>
      <c r="U1040" s="2" t="str">
        <f>_xlfn.XLOOKUP(Table2[[#This Row],[Adjusted Form '#]],[1]COMPLETED!$D:$D,[2]COMPLETED!$M:$M,"Not Found")</f>
        <v>Not Found</v>
      </c>
      <c r="V1040" s="17" t="str">
        <f>_xlfn.XLOOKUP(Table2[[#This Row],[Adjusted Form '#]],[2]COMPLETED!$D:$D,[2]COMPLETED!$O:$O,"Not Found")</f>
        <v>Not Found</v>
      </c>
      <c r="W1040" s="2" t="str">
        <f>_xlfn.XLOOKUP(Table2[[#This Row],[Adjusted Form '#]],[2]BILLED!$D:$D,[2]BILLED!$M:$M,"Not Found")</f>
        <v>9400 1112 0620 9964 8348 10</v>
      </c>
      <c r="X1040" s="17" t="e">
        <f>_xlfn.XLOOKUP(Table2[[#This Row],[Adjusted Form '#]],[2]BILLED!$D:$D,[1]BILLED!$O:$O,"Not Found")</f>
        <v>#REF!</v>
      </c>
      <c r="Y1040" s="17" t="e">
        <f>_xlfn.XLOOKUP(Table2[[#This Row],[Adjusted Form '#]],'[2]REJECTED ORDERS'!$D:$D,'[2]REJECTED ORDERS'!$E:$E)</f>
        <v>#N/A</v>
      </c>
      <c r="Z1040" s="1"/>
      <c r="AA1040" s="1"/>
      <c r="AB1040" s="8"/>
      <c r="AC1040" s="8"/>
      <c r="AD1040" s="8"/>
      <c r="AE1040" s="8"/>
      <c r="AF1040" s="8"/>
      <c r="AG1040" s="8"/>
      <c r="AH1040" s="8"/>
      <c r="AI1040" s="8"/>
      <c r="AJ1040" s="8"/>
    </row>
    <row r="1041" spans="1:36" ht="15" customHeight="1" x14ac:dyDescent="0.35">
      <c r="A1041" s="4" t="s">
        <v>1574</v>
      </c>
      <c r="B1041" s="1" t="s">
        <v>2191</v>
      </c>
      <c r="C1041" s="11">
        <v>45063</v>
      </c>
      <c r="E1041" s="1" t="s">
        <v>48</v>
      </c>
      <c r="F1041" s="1" t="s">
        <v>5677</v>
      </c>
      <c r="G1041" s="6">
        <f>COUNTIF(F:F,Table2[[#This Row],[Form '#]])</f>
        <v>1</v>
      </c>
      <c r="H1041" s="1" t="s">
        <v>5678</v>
      </c>
      <c r="I1041" s="1" t="s">
        <v>3891</v>
      </c>
      <c r="J1041" s="1" t="s">
        <v>3891</v>
      </c>
      <c r="K1041" s="1" t="s">
        <v>3891</v>
      </c>
      <c r="L1041" s="1"/>
      <c r="M1041" s="6" t="str">
        <f>IF(Table2[[#This Row],[Corrected Form '#
 (If Duplicated)]]="",Table2[[#This Row],[Form '#]],Table2[[#This Row],[Corrected Form '#
 (If Duplicated)]])</f>
        <v>7819-00481</v>
      </c>
      <c r="N1041" s="1" t="s">
        <v>49</v>
      </c>
      <c r="O1041" s="6" t="str">
        <f>IF(Table2[[#This Row],[POG CONFIRMATION RECEIPT OF ORDER
(DATE &amp; TIME)]]="","No Confirmation","Received Confirmation")</f>
        <v>No Confirmation</v>
      </c>
      <c r="P1041" s="6">
        <f ca="1">TODAY()-Table2[[#This Row],[DATE SENT TO POG]]</f>
        <v>240</v>
      </c>
      <c r="Q1041" s="6" t="s">
        <v>5802</v>
      </c>
      <c r="R10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04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041" s="2" t="str">
        <f>_xlfn.XLOOKUP(Table2[[#This Row],[Adjusted Form '#]],'[2]IN PROGRESS'!$D:$D,'[2]IN PROGRESS'!$M:$M,"Not Found")</f>
        <v>Not Found</v>
      </c>
      <c r="U1041" s="2" t="str">
        <f>_xlfn.XLOOKUP(Table2[[#This Row],[Adjusted Form '#]],[1]COMPLETED!$D:$D,[2]COMPLETED!$M:$M,"Not Found")</f>
        <v>Not Found</v>
      </c>
      <c r="V1041" s="17" t="str">
        <f>_xlfn.XLOOKUP(Table2[[#This Row],[Adjusted Form '#]],[2]COMPLETED!$D:$D,[2]COMPLETED!$O:$O,"Not Found")</f>
        <v>Not Found</v>
      </c>
      <c r="W1041" s="2" t="str">
        <f>_xlfn.XLOOKUP(Table2[[#This Row],[Adjusted Form '#]],[2]BILLED!$D:$D,[2]BILLED!$M:$M,"Not Found")</f>
        <v>Not Found</v>
      </c>
      <c r="X1041" s="17" t="str">
        <f>_xlfn.XLOOKUP(Table2[[#This Row],[Adjusted Form '#]],[2]BILLED!$D:$D,[1]BILLED!$O:$O,"Not Found")</f>
        <v>Not Found</v>
      </c>
      <c r="Y1041" s="17" t="e">
        <f>_xlfn.XLOOKUP(Table2[[#This Row],[Adjusted Form '#]],'[2]REJECTED ORDERS'!$D:$D,'[2]REJECTED ORDERS'!$E:$E)</f>
        <v>#N/A</v>
      </c>
      <c r="Z1041" s="1"/>
      <c r="AA1041" s="1"/>
      <c r="AB1041" s="8"/>
      <c r="AC1041" s="8"/>
      <c r="AD1041" s="8"/>
      <c r="AE1041" s="8"/>
      <c r="AF1041" s="8"/>
      <c r="AG1041" s="8"/>
      <c r="AH1041" s="8"/>
      <c r="AI1041" s="8"/>
      <c r="AJ1041" s="8"/>
    </row>
    <row r="1042" spans="1:36" ht="15" customHeight="1" x14ac:dyDescent="0.35">
      <c r="A1042" s="4" t="s">
        <v>1575</v>
      </c>
      <c r="B1042" s="1" t="s">
        <v>2679</v>
      </c>
      <c r="C1042" s="11">
        <v>45063</v>
      </c>
      <c r="D1042" s="11" t="s">
        <v>5679</v>
      </c>
      <c r="E1042" s="1" t="s">
        <v>21</v>
      </c>
      <c r="F1042" s="1" t="s">
        <v>5680</v>
      </c>
      <c r="G1042" s="6">
        <f>COUNTIF(F:F,Table2[[#This Row],[Form '#]])</f>
        <v>1</v>
      </c>
      <c r="H1042" s="1" t="s">
        <v>5681</v>
      </c>
      <c r="I1042" s="1" t="s">
        <v>177</v>
      </c>
      <c r="J1042" s="1" t="s">
        <v>75</v>
      </c>
      <c r="K1042" s="1" t="s">
        <v>3853</v>
      </c>
      <c r="L1042" s="1"/>
      <c r="M1042" s="6" t="str">
        <f>IF(Table2[[#This Row],[Corrected Form '#
 (If Duplicated)]]="",Table2[[#This Row],[Form '#]],Table2[[#This Row],[Corrected Form '#
 (If Duplicated)]])</f>
        <v>7818-26608</v>
      </c>
      <c r="N1042" s="1" t="s">
        <v>49</v>
      </c>
      <c r="O1042" s="6" t="str">
        <f>IF(Table2[[#This Row],[POG CONFIRMATION RECEIPT OF ORDER
(DATE &amp; TIME)]]="","No Confirmation","Received Confirmation")</f>
        <v>Received Confirmation</v>
      </c>
      <c r="P1042" s="6">
        <f ca="1">TODAY()-Table2[[#This Row],[DATE SENT TO POG]]</f>
        <v>240</v>
      </c>
      <c r="Q1042" s="6" t="s">
        <v>5803</v>
      </c>
      <c r="R10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2" s="2" t="str">
        <f>_xlfn.XLOOKUP(Table2[[#This Row],[Adjusted Form '#]],'[2]IN PROGRESS'!$D:$D,'[2]IN PROGRESS'!$M:$M,"Not Found")</f>
        <v>Not Found</v>
      </c>
      <c r="U1042" s="2" t="str">
        <f>_xlfn.XLOOKUP(Table2[[#This Row],[Adjusted Form '#]],[1]COMPLETED!$D:$D,[2]COMPLETED!$M:$M,"Not Found")</f>
        <v>Not Found</v>
      </c>
      <c r="V1042" s="17" t="str">
        <f>_xlfn.XLOOKUP(Table2[[#This Row],[Adjusted Form '#]],[2]COMPLETED!$D:$D,[2]COMPLETED!$O:$O,"Not Found")</f>
        <v>Not Found</v>
      </c>
      <c r="W1042" s="2" t="str">
        <f>_xlfn.XLOOKUP(Table2[[#This Row],[Adjusted Form '#]],[2]BILLED!$D:$D,[2]BILLED!$M:$M,"Not Found")</f>
        <v>1Z5063E0YW40733683</v>
      </c>
      <c r="X1042" s="17" t="e">
        <f>_xlfn.XLOOKUP(Table2[[#This Row],[Adjusted Form '#]],[2]BILLED!$D:$D,[1]BILLED!$O:$O,"Not Found")</f>
        <v>#REF!</v>
      </c>
      <c r="Y1042" s="17" t="e">
        <f>_xlfn.XLOOKUP(Table2[[#This Row],[Adjusted Form '#]],'[2]REJECTED ORDERS'!$D:$D,'[2]REJECTED ORDERS'!$E:$E)</f>
        <v>#N/A</v>
      </c>
      <c r="Z1042" s="1"/>
      <c r="AA1042" s="1"/>
      <c r="AB1042" s="8"/>
      <c r="AC1042" s="8"/>
      <c r="AD1042" s="8"/>
      <c r="AE1042" s="8"/>
      <c r="AF1042" s="8"/>
      <c r="AG1042" s="8"/>
      <c r="AH1042" s="8"/>
      <c r="AI1042" s="8"/>
      <c r="AJ1042" s="8"/>
    </row>
    <row r="1043" spans="1:36" ht="15" customHeight="1" x14ac:dyDescent="0.35">
      <c r="A1043" s="4" t="s">
        <v>1576</v>
      </c>
      <c r="B1043" s="1" t="s">
        <v>3570</v>
      </c>
      <c r="C1043" s="11">
        <v>45064</v>
      </c>
      <c r="E1043" s="1" t="s">
        <v>21</v>
      </c>
      <c r="F1043" s="1" t="s">
        <v>4816</v>
      </c>
      <c r="G1043" s="6">
        <f>COUNTIF(F:F,Table2[[#This Row],[Form '#]])</f>
        <v>2</v>
      </c>
      <c r="H1043" s="1" t="s">
        <v>4817</v>
      </c>
      <c r="I1043" s="1" t="s">
        <v>3852</v>
      </c>
      <c r="J1043" s="1" t="s">
        <v>80</v>
      </c>
      <c r="K1043" s="1" t="s">
        <v>3853</v>
      </c>
      <c r="L1043" s="1"/>
      <c r="M1043" s="6" t="str">
        <f>IF(Table2[[#This Row],[Corrected Form '#
 (If Duplicated)]]="",Table2[[#This Row],[Form '#]],Table2[[#This Row],[Corrected Form '#
 (If Duplicated)]])</f>
        <v>7818-21960</v>
      </c>
      <c r="N1043" s="1" t="s">
        <v>49</v>
      </c>
      <c r="O1043" s="6" t="str">
        <f>IF(Table2[[#This Row],[POG CONFIRMATION RECEIPT OF ORDER
(DATE &amp; TIME)]]="","No Confirmation","Received Confirmation")</f>
        <v>No Confirmation</v>
      </c>
      <c r="P1043" s="6">
        <f ca="1">TODAY()-Table2[[#This Row],[DATE SENT TO POG]]</f>
        <v>239</v>
      </c>
      <c r="Q1043" s="6" t="s">
        <v>5803</v>
      </c>
      <c r="R10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3" s="2" t="str">
        <f>_xlfn.XLOOKUP(Table2[[#This Row],[Adjusted Form '#]],'[2]IN PROGRESS'!$D:$D,'[2]IN PROGRESS'!$M:$M,"Not Found")</f>
        <v>Not Found</v>
      </c>
      <c r="U1043" s="2" t="str">
        <f>_xlfn.XLOOKUP(Table2[[#This Row],[Adjusted Form '#]],[1]COMPLETED!$D:$D,[2]COMPLETED!$M:$M,"Not Found")</f>
        <v>Not Found</v>
      </c>
      <c r="V1043" s="17" t="str">
        <f>_xlfn.XLOOKUP(Table2[[#This Row],[Adjusted Form '#]],[2]COMPLETED!$D:$D,[2]COMPLETED!$O:$O,"Not Found")</f>
        <v>Not Found</v>
      </c>
      <c r="W1043" s="2" t="str">
        <f>_xlfn.XLOOKUP(Table2[[#This Row],[Adjusted Form '#]],[2]BILLED!$D:$D,[2]BILLED!$M:$M,"Not Found")</f>
        <v>1Z5063E0YW41980735</v>
      </c>
      <c r="X1043" s="17" t="e">
        <f>_xlfn.XLOOKUP(Table2[[#This Row],[Adjusted Form '#]],[2]BILLED!$D:$D,[1]BILLED!$O:$O,"Not Found")</f>
        <v>#REF!</v>
      </c>
      <c r="Y1043" s="17" t="e">
        <f>_xlfn.XLOOKUP(Table2[[#This Row],[Adjusted Form '#]],'[2]REJECTED ORDERS'!$D:$D,'[2]REJECTED ORDERS'!$E:$E)</f>
        <v>#N/A</v>
      </c>
      <c r="Z1043" s="1"/>
      <c r="AA1043" s="1"/>
      <c r="AB1043" s="8"/>
      <c r="AC1043" s="8"/>
      <c r="AD1043" s="8"/>
      <c r="AE1043" s="8"/>
      <c r="AF1043" s="8"/>
      <c r="AG1043" s="8"/>
      <c r="AH1043" s="8"/>
      <c r="AI1043" s="8"/>
      <c r="AJ1043" s="8"/>
    </row>
    <row r="1044" spans="1:36" ht="15" customHeight="1" x14ac:dyDescent="0.35">
      <c r="A1044" s="4" t="s">
        <v>8224</v>
      </c>
      <c r="B1044" s="1" t="s">
        <v>1015</v>
      </c>
      <c r="C1044" s="11">
        <v>45064</v>
      </c>
      <c r="D1044" s="11" t="s">
        <v>5682</v>
      </c>
      <c r="E1044" s="1" t="s">
        <v>14</v>
      </c>
      <c r="F1044" s="1" t="s">
        <v>5683</v>
      </c>
      <c r="G1044" s="6">
        <f>COUNTIF(F:F,Table2[[#This Row],[Form '#]])</f>
        <v>1</v>
      </c>
      <c r="H1044" s="1" t="s">
        <v>2188</v>
      </c>
      <c r="I1044" s="1" t="s">
        <v>127</v>
      </c>
      <c r="J1044" s="1" t="s">
        <v>74</v>
      </c>
      <c r="K1044" s="1" t="s">
        <v>3883</v>
      </c>
      <c r="L1044" s="1"/>
      <c r="M1044" s="6" t="str">
        <f>IF(Table2[[#This Row],[Corrected Form '#
 (If Duplicated)]]="",Table2[[#This Row],[Form '#]],Table2[[#This Row],[Corrected Form '#
 (If Duplicated)]])</f>
        <v>7810-01268</v>
      </c>
      <c r="N1044" s="1" t="s">
        <v>49</v>
      </c>
      <c r="O1044" s="6" t="str">
        <f>IF(Table2[[#This Row],[POG CONFIRMATION RECEIPT OF ORDER
(DATE &amp; TIME)]]="","No Confirmation","Received Confirmation")</f>
        <v>Received Confirmation</v>
      </c>
      <c r="P1044" s="6">
        <f ca="1">TODAY()-Table2[[#This Row],[DATE SENT TO POG]]</f>
        <v>239</v>
      </c>
      <c r="Q1044" s="6" t="s">
        <v>5803</v>
      </c>
      <c r="R10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4" s="2" t="str">
        <f>_xlfn.XLOOKUP(Table2[[#This Row],[Adjusted Form '#]],'[2]IN PROGRESS'!$D:$D,'[2]IN PROGRESS'!$M:$M,"Not Found")</f>
        <v>Not Found</v>
      </c>
      <c r="U1044" s="2" t="str">
        <f>_xlfn.XLOOKUP(Table2[[#This Row],[Adjusted Form '#]],[1]COMPLETED!$D:$D,[2]COMPLETED!$M:$M,"Not Found")</f>
        <v>Not Found</v>
      </c>
      <c r="V1044" s="17" t="str">
        <f>_xlfn.XLOOKUP(Table2[[#This Row],[Adjusted Form '#]],[2]COMPLETED!$D:$D,[2]COMPLETED!$O:$O,"Not Found")</f>
        <v>Not Found</v>
      </c>
      <c r="W1044" s="2" t="str">
        <f>_xlfn.XLOOKUP(Table2[[#This Row],[Adjusted Form '#]],[2]BILLED!$D:$D,[2]BILLED!$M:$M,"Not Found")</f>
        <v>1Z5063E0YW41917107</v>
      </c>
      <c r="X1044" s="17" t="e">
        <f>_xlfn.XLOOKUP(Table2[[#This Row],[Adjusted Form '#]],[2]BILLED!$D:$D,[1]BILLED!$O:$O,"Not Found")</f>
        <v>#REF!</v>
      </c>
      <c r="Y1044" s="17" t="e">
        <f>_xlfn.XLOOKUP(Table2[[#This Row],[Adjusted Form '#]],'[2]REJECTED ORDERS'!$D:$D,'[2]REJECTED ORDERS'!$E:$E)</f>
        <v>#N/A</v>
      </c>
      <c r="Z1044" s="1"/>
      <c r="AA1044" s="1"/>
      <c r="AB1044" s="8"/>
      <c r="AC1044" s="8"/>
      <c r="AD1044" s="8"/>
      <c r="AE1044" s="8"/>
      <c r="AF1044" s="8"/>
      <c r="AG1044" s="8"/>
      <c r="AH1044" s="8"/>
      <c r="AI1044" s="8"/>
      <c r="AJ1044" s="8"/>
    </row>
    <row r="1045" spans="1:36" ht="15" customHeight="1" x14ac:dyDescent="0.35">
      <c r="A1045" s="4" t="s">
        <v>8225</v>
      </c>
      <c r="B1045" s="1" t="s">
        <v>2114</v>
      </c>
      <c r="C1045" s="11">
        <v>45064</v>
      </c>
      <c r="D1045" s="11" t="s">
        <v>5684</v>
      </c>
      <c r="E1045" s="1" t="s">
        <v>191</v>
      </c>
      <c r="F1045" s="1" t="s">
        <v>5685</v>
      </c>
      <c r="G1045" s="6">
        <f>COUNTIF(F:F,Table2[[#This Row],[Form '#]])</f>
        <v>1</v>
      </c>
      <c r="H1045" s="1" t="s">
        <v>5686</v>
      </c>
      <c r="I1045" s="1" t="s">
        <v>758</v>
      </c>
      <c r="J1045" s="1" t="s">
        <v>3891</v>
      </c>
      <c r="K1045" s="1" t="s">
        <v>3853</v>
      </c>
      <c r="L1045" s="1"/>
      <c r="M1045" s="6" t="str">
        <f>IF(Table2[[#This Row],[Corrected Form '#
 (If Duplicated)]]="",Table2[[#This Row],[Form '#]],Table2[[#This Row],[Corrected Form '#
 (If Duplicated)]])</f>
        <v>7812-3944</v>
      </c>
      <c r="N1045" s="1" t="s">
        <v>49</v>
      </c>
      <c r="O1045" s="6" t="str">
        <f>IF(Table2[[#This Row],[POG CONFIRMATION RECEIPT OF ORDER
(DATE &amp; TIME)]]="","No Confirmation","Received Confirmation")</f>
        <v>Received Confirmation</v>
      </c>
      <c r="P1045" s="6">
        <f ca="1">TODAY()-Table2[[#This Row],[DATE SENT TO POG]]</f>
        <v>239</v>
      </c>
      <c r="Q1045" s="6" t="s">
        <v>5803</v>
      </c>
      <c r="R10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5" s="2" t="str">
        <f>_xlfn.XLOOKUP(Table2[[#This Row],[Adjusted Form '#]],'[2]IN PROGRESS'!$D:$D,'[2]IN PROGRESS'!$M:$M,"Not Found")</f>
        <v>Not Found</v>
      </c>
      <c r="U1045" s="2" t="str">
        <f>_xlfn.XLOOKUP(Table2[[#This Row],[Adjusted Form '#]],[1]COMPLETED!$D:$D,[2]COMPLETED!$M:$M,"Not Found")</f>
        <v>Not Found</v>
      </c>
      <c r="V1045" s="17" t="str">
        <f>_xlfn.XLOOKUP(Table2[[#This Row],[Adjusted Form '#]],[2]COMPLETED!$D:$D,[2]COMPLETED!$O:$O,"Not Found")</f>
        <v>Not Found</v>
      </c>
      <c r="W1045" s="2" t="str">
        <f>_xlfn.XLOOKUP(Table2[[#This Row],[Adjusted Form '#]],[2]BILLED!$D:$D,[2]BILLED!$M:$M,"Not Found")</f>
        <v>1Z5063E0YW42564031</v>
      </c>
      <c r="X1045" s="17" t="e">
        <f>_xlfn.XLOOKUP(Table2[[#This Row],[Adjusted Form '#]],[2]BILLED!$D:$D,[1]BILLED!$O:$O,"Not Found")</f>
        <v>#REF!</v>
      </c>
      <c r="Y1045" s="17" t="e">
        <f>_xlfn.XLOOKUP(Table2[[#This Row],[Adjusted Form '#]],'[2]REJECTED ORDERS'!$D:$D,'[2]REJECTED ORDERS'!$E:$E)</f>
        <v>#N/A</v>
      </c>
      <c r="Z1045" s="1"/>
      <c r="AA1045" s="1"/>
      <c r="AB1045" s="8"/>
      <c r="AC1045" s="8"/>
      <c r="AD1045" s="8"/>
      <c r="AE1045" s="8"/>
      <c r="AF1045" s="8"/>
      <c r="AG1045" s="8"/>
      <c r="AH1045" s="8"/>
      <c r="AI1045" s="8"/>
      <c r="AJ1045" s="8"/>
    </row>
    <row r="1046" spans="1:36" ht="15" customHeight="1" x14ac:dyDescent="0.35">
      <c r="A1046" s="4" t="s">
        <v>1578</v>
      </c>
      <c r="B1046" s="1" t="s">
        <v>2114</v>
      </c>
      <c r="C1046" s="11">
        <v>45064</v>
      </c>
      <c r="E1046" s="1" t="s">
        <v>191</v>
      </c>
      <c r="F1046" s="1" t="s">
        <v>5687</v>
      </c>
      <c r="G1046" s="6">
        <f>COUNTIF(F:F,Table2[[#This Row],[Form '#]])</f>
        <v>1</v>
      </c>
      <c r="H1046" s="1" t="s">
        <v>5689</v>
      </c>
      <c r="I1046" s="1" t="s">
        <v>177</v>
      </c>
      <c r="J1046" s="1" t="s">
        <v>3891</v>
      </c>
      <c r="K1046" s="1" t="s">
        <v>5688</v>
      </c>
      <c r="L1046" s="1"/>
      <c r="M1046" s="6" t="str">
        <f>IF(Table2[[#This Row],[Corrected Form '#
 (If Duplicated)]]="",Table2[[#This Row],[Form '#]],Table2[[#This Row],[Corrected Form '#
 (If Duplicated)]])</f>
        <v>7812-00845</v>
      </c>
      <c r="N1046" s="1" t="s">
        <v>49</v>
      </c>
      <c r="O1046" s="6" t="str">
        <f>IF(Table2[[#This Row],[POG CONFIRMATION RECEIPT OF ORDER
(DATE &amp; TIME)]]="","No Confirmation","Received Confirmation")</f>
        <v>No Confirmation</v>
      </c>
      <c r="P1046" s="6">
        <f ca="1">TODAY()-Table2[[#This Row],[DATE SENT TO POG]]</f>
        <v>239</v>
      </c>
      <c r="Q1046" s="6" t="s">
        <v>5803</v>
      </c>
      <c r="R10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6" s="2" t="str">
        <f>_xlfn.XLOOKUP(Table2[[#This Row],[Adjusted Form '#]],'[2]IN PROGRESS'!$D:$D,'[2]IN PROGRESS'!$M:$M,"Not Found")</f>
        <v>Not Found</v>
      </c>
      <c r="U1046" s="2" t="str">
        <f>_xlfn.XLOOKUP(Table2[[#This Row],[Adjusted Form '#]],[1]COMPLETED!$D:$D,[2]COMPLETED!$M:$M,"Not Found")</f>
        <v>Not Found</v>
      </c>
      <c r="V1046" s="17" t="str">
        <f>_xlfn.XLOOKUP(Table2[[#This Row],[Adjusted Form '#]],[2]COMPLETED!$D:$D,[2]COMPLETED!$O:$O,"Not Found")</f>
        <v>Not Found</v>
      </c>
      <c r="W1046" s="2" t="str">
        <f>_xlfn.XLOOKUP(Table2[[#This Row],[Adjusted Form '#]],[2]BILLED!$D:$D,[2]BILLED!$M:$M,"Not Found")</f>
        <v>9400 1112 0620 7086 0476 20</v>
      </c>
      <c r="X1046" s="17" t="e">
        <f>_xlfn.XLOOKUP(Table2[[#This Row],[Adjusted Form '#]],[2]BILLED!$D:$D,[1]BILLED!$O:$O,"Not Found")</f>
        <v>#REF!</v>
      </c>
      <c r="Y1046" s="17" t="e">
        <f>_xlfn.XLOOKUP(Table2[[#This Row],[Adjusted Form '#]],'[2]REJECTED ORDERS'!$D:$D,'[2]REJECTED ORDERS'!$E:$E)</f>
        <v>#N/A</v>
      </c>
      <c r="Z1046" s="1"/>
      <c r="AA1046" s="1"/>
      <c r="AB1046" s="8"/>
      <c r="AC1046" s="8"/>
      <c r="AD1046" s="8"/>
      <c r="AE1046" s="8"/>
      <c r="AF1046" s="8"/>
      <c r="AG1046" s="8"/>
      <c r="AH1046" s="8"/>
      <c r="AI1046" s="8"/>
      <c r="AJ1046" s="8"/>
    </row>
    <row r="1047" spans="1:36" ht="15" customHeight="1" x14ac:dyDescent="0.35">
      <c r="A1047" s="4" t="s">
        <v>1580</v>
      </c>
      <c r="B1047" s="1" t="s">
        <v>2114</v>
      </c>
      <c r="C1047" s="11">
        <v>45064</v>
      </c>
      <c r="E1047" s="1" t="s">
        <v>191</v>
      </c>
      <c r="F1047" s="1" t="s">
        <v>5690</v>
      </c>
      <c r="G1047" s="6">
        <f>COUNTIF(F:F,Table2[[#This Row],[Form '#]])</f>
        <v>1</v>
      </c>
      <c r="H1047" s="1" t="s">
        <v>3753</v>
      </c>
      <c r="I1047" s="1" t="s">
        <v>3852</v>
      </c>
      <c r="J1047" s="1" t="s">
        <v>75</v>
      </c>
      <c r="K1047" s="1" t="s">
        <v>3853</v>
      </c>
      <c r="L1047" s="1"/>
      <c r="M1047" s="6" t="str">
        <f>IF(Table2[[#This Row],[Corrected Form '#
 (If Duplicated)]]="",Table2[[#This Row],[Form '#]],Table2[[#This Row],[Corrected Form '#
 (If Duplicated)]])</f>
        <v>7812-4008</v>
      </c>
      <c r="N1047" s="1" t="s">
        <v>49</v>
      </c>
      <c r="O1047" s="6" t="str">
        <f>IF(Table2[[#This Row],[POG CONFIRMATION RECEIPT OF ORDER
(DATE &amp; TIME)]]="","No Confirmation","Received Confirmation")</f>
        <v>No Confirmation</v>
      </c>
      <c r="P1047" s="6">
        <f ca="1">TODAY()-Table2[[#This Row],[DATE SENT TO POG]]</f>
        <v>239</v>
      </c>
      <c r="Q1047" s="6" t="s">
        <v>5803</v>
      </c>
      <c r="R10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7" s="2" t="str">
        <f>_xlfn.XLOOKUP(Table2[[#This Row],[Adjusted Form '#]],'[2]IN PROGRESS'!$D:$D,'[2]IN PROGRESS'!$M:$M,"Not Found")</f>
        <v>Not Found</v>
      </c>
      <c r="U1047" s="2" t="str">
        <f>_xlfn.XLOOKUP(Table2[[#This Row],[Adjusted Form '#]],[1]COMPLETED!$D:$D,[2]COMPLETED!$M:$M,"Not Found")</f>
        <v>Not Found</v>
      </c>
      <c r="V1047" s="17" t="str">
        <f>_xlfn.XLOOKUP(Table2[[#This Row],[Adjusted Form '#]],[2]COMPLETED!$D:$D,[2]COMPLETED!$O:$O,"Not Found")</f>
        <v>Not Found</v>
      </c>
      <c r="W1047" s="2" t="str">
        <f>_xlfn.XLOOKUP(Table2[[#This Row],[Adjusted Form '#]],[2]BILLED!$D:$D,[2]BILLED!$M:$M,"Not Found")</f>
        <v>1Z5063E0YW42419153</v>
      </c>
      <c r="X1047" s="17" t="e">
        <f>_xlfn.XLOOKUP(Table2[[#This Row],[Adjusted Form '#]],[2]BILLED!$D:$D,[1]BILLED!$O:$O,"Not Found")</f>
        <v>#REF!</v>
      </c>
      <c r="Y1047" s="17" t="e">
        <f>_xlfn.XLOOKUP(Table2[[#This Row],[Adjusted Form '#]],'[2]REJECTED ORDERS'!$D:$D,'[2]REJECTED ORDERS'!$E:$E)</f>
        <v>#N/A</v>
      </c>
      <c r="Z1047" s="1"/>
      <c r="AA1047" s="1"/>
      <c r="AB1047" s="8"/>
      <c r="AC1047" s="8"/>
      <c r="AD1047" s="8"/>
      <c r="AE1047" s="8"/>
      <c r="AF1047" s="8"/>
      <c r="AG1047" s="8"/>
      <c r="AH1047" s="8"/>
      <c r="AI1047" s="8"/>
      <c r="AJ1047" s="8"/>
    </row>
    <row r="1048" spans="1:36" ht="15" customHeight="1" x14ac:dyDescent="0.35">
      <c r="A1048" s="4" t="s">
        <v>1581</v>
      </c>
      <c r="B1048" s="1" t="s">
        <v>2114</v>
      </c>
      <c r="C1048" s="11">
        <v>45064</v>
      </c>
      <c r="E1048" s="1" t="s">
        <v>191</v>
      </c>
      <c r="F1048" s="1" t="s">
        <v>5691</v>
      </c>
      <c r="G1048" s="6">
        <f>COUNTIF(F:F,Table2[[#This Row],[Form '#]])</f>
        <v>1</v>
      </c>
      <c r="H1048" s="1" t="s">
        <v>5692</v>
      </c>
      <c r="I1048" s="1" t="s">
        <v>177</v>
      </c>
      <c r="J1048" s="1" t="s">
        <v>75</v>
      </c>
      <c r="K1048" s="1" t="s">
        <v>4011</v>
      </c>
      <c r="L1048" s="1"/>
      <c r="M1048" s="6" t="str">
        <f>IF(Table2[[#This Row],[Corrected Form '#
 (If Duplicated)]]="",Table2[[#This Row],[Form '#]],Table2[[#This Row],[Corrected Form '#
 (If Duplicated)]])</f>
        <v>7812-3706</v>
      </c>
      <c r="N1048" s="1" t="s">
        <v>49</v>
      </c>
      <c r="O1048" s="6" t="str">
        <f>IF(Table2[[#This Row],[POG CONFIRMATION RECEIPT OF ORDER
(DATE &amp; TIME)]]="","No Confirmation","Received Confirmation")</f>
        <v>No Confirmation</v>
      </c>
      <c r="P1048" s="6">
        <f ca="1">TODAY()-Table2[[#This Row],[DATE SENT TO POG]]</f>
        <v>239</v>
      </c>
      <c r="Q1048" s="6" t="s">
        <v>5803</v>
      </c>
      <c r="R10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8" s="2" t="str">
        <f>_xlfn.XLOOKUP(Table2[[#This Row],[Adjusted Form '#]],'[2]IN PROGRESS'!$D:$D,'[2]IN PROGRESS'!$M:$M,"Not Found")</f>
        <v>Not Found</v>
      </c>
      <c r="U1048" s="2" t="str">
        <f>_xlfn.XLOOKUP(Table2[[#This Row],[Adjusted Form '#]],[1]COMPLETED!$D:$D,[2]COMPLETED!$M:$M,"Not Found")</f>
        <v>Not Found</v>
      </c>
      <c r="V1048" s="17" t="str">
        <f>_xlfn.XLOOKUP(Table2[[#This Row],[Adjusted Form '#]],[2]COMPLETED!$D:$D,[2]COMPLETED!$O:$O,"Not Found")</f>
        <v>Not Found</v>
      </c>
      <c r="W1048" s="2" t="str">
        <f>_xlfn.XLOOKUP(Table2[[#This Row],[Adjusted Form '#]],[2]BILLED!$D:$D,[2]BILLED!$M:$M,"Not Found")</f>
        <v>1Z5063E0YW42047233</v>
      </c>
      <c r="X1048" s="17" t="e">
        <f>_xlfn.XLOOKUP(Table2[[#This Row],[Adjusted Form '#]],[2]BILLED!$D:$D,[1]BILLED!$O:$O,"Not Found")</f>
        <v>#REF!</v>
      </c>
      <c r="Y1048" s="17" t="e">
        <f>_xlfn.XLOOKUP(Table2[[#This Row],[Adjusted Form '#]],'[2]REJECTED ORDERS'!$D:$D,'[2]REJECTED ORDERS'!$E:$E)</f>
        <v>#N/A</v>
      </c>
      <c r="Z1048" s="1"/>
      <c r="AA1048" s="1"/>
      <c r="AB1048" s="8"/>
      <c r="AC1048" s="8"/>
      <c r="AD1048" s="8"/>
      <c r="AE1048" s="8"/>
      <c r="AF1048" s="8"/>
      <c r="AG1048" s="8"/>
      <c r="AH1048" s="8"/>
      <c r="AI1048" s="8"/>
      <c r="AJ1048" s="8"/>
    </row>
    <row r="1049" spans="1:36" ht="15" customHeight="1" x14ac:dyDescent="0.35">
      <c r="A1049" s="4" t="s">
        <v>1583</v>
      </c>
      <c r="B1049" s="1" t="s">
        <v>1319</v>
      </c>
      <c r="C1049" s="11">
        <v>45064</v>
      </c>
      <c r="D1049" s="11" t="s">
        <v>5684</v>
      </c>
      <c r="E1049" s="1" t="s">
        <v>21</v>
      </c>
      <c r="F1049" s="1" t="s">
        <v>5693</v>
      </c>
      <c r="G1049" s="6">
        <f>COUNTIF(F:F,Table2[[#This Row],[Form '#]])</f>
        <v>1</v>
      </c>
      <c r="H1049" s="1" t="s">
        <v>5694</v>
      </c>
      <c r="I1049" s="1" t="s">
        <v>177</v>
      </c>
      <c r="J1049" s="1" t="s">
        <v>75</v>
      </c>
      <c r="K1049" s="1" t="s">
        <v>3853</v>
      </c>
      <c r="L1049" s="1"/>
      <c r="M1049" s="6" t="str">
        <f>IF(Table2[[#This Row],[Corrected Form '#
 (If Duplicated)]]="",Table2[[#This Row],[Form '#]],Table2[[#This Row],[Corrected Form '#
 (If Duplicated)]])</f>
        <v>7818-29579</v>
      </c>
      <c r="N1049" s="1" t="s">
        <v>49</v>
      </c>
      <c r="O1049" s="6" t="str">
        <f>IF(Table2[[#This Row],[POG CONFIRMATION RECEIPT OF ORDER
(DATE &amp; TIME)]]="","No Confirmation","Received Confirmation")</f>
        <v>Received Confirmation</v>
      </c>
      <c r="P1049" s="6">
        <f ca="1">TODAY()-Table2[[#This Row],[DATE SENT TO POG]]</f>
        <v>239</v>
      </c>
      <c r="Q1049" s="6" t="s">
        <v>5803</v>
      </c>
      <c r="R10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49" s="2" t="str">
        <f>_xlfn.XLOOKUP(Table2[[#This Row],[Adjusted Form '#]],'[2]IN PROGRESS'!$D:$D,'[2]IN PROGRESS'!$M:$M,"Not Found")</f>
        <v>Not Found</v>
      </c>
      <c r="U1049" s="2" t="str">
        <f>_xlfn.XLOOKUP(Table2[[#This Row],[Adjusted Form '#]],[1]COMPLETED!$D:$D,[2]COMPLETED!$M:$M,"Not Found")</f>
        <v>Not Found</v>
      </c>
      <c r="V1049" s="17" t="str">
        <f>_xlfn.XLOOKUP(Table2[[#This Row],[Adjusted Form '#]],[2]COMPLETED!$D:$D,[2]COMPLETED!$O:$O,"Not Found")</f>
        <v>Not Found</v>
      </c>
      <c r="W1049" s="2" t="str">
        <f>_xlfn.XLOOKUP(Table2[[#This Row],[Adjusted Form '#]],[2]BILLED!$D:$D,[2]BILLED!$M:$M,"Not Found")</f>
        <v>1Z5063E0YW42319074</v>
      </c>
      <c r="X1049" s="17" t="e">
        <f>_xlfn.XLOOKUP(Table2[[#This Row],[Adjusted Form '#]],[2]BILLED!$D:$D,[1]BILLED!$O:$O,"Not Found")</f>
        <v>#REF!</v>
      </c>
      <c r="Y1049" s="17" t="e">
        <f>_xlfn.XLOOKUP(Table2[[#This Row],[Adjusted Form '#]],'[2]REJECTED ORDERS'!$D:$D,'[2]REJECTED ORDERS'!$E:$E)</f>
        <v>#N/A</v>
      </c>
      <c r="Z1049" s="1"/>
      <c r="AA1049" s="1"/>
      <c r="AB1049" s="8"/>
      <c r="AC1049" s="8"/>
      <c r="AD1049" s="8"/>
      <c r="AE1049" s="8"/>
      <c r="AF1049" s="8"/>
      <c r="AG1049" s="8"/>
      <c r="AH1049" s="8"/>
      <c r="AI1049" s="8"/>
      <c r="AJ1049" s="8"/>
    </row>
    <row r="1050" spans="1:36" ht="15" customHeight="1" x14ac:dyDescent="0.35">
      <c r="A1050" s="4" t="s">
        <v>1584</v>
      </c>
      <c r="B1050" s="1" t="s">
        <v>3635</v>
      </c>
      <c r="C1050" s="11">
        <v>45064</v>
      </c>
      <c r="D1050" s="11" t="s">
        <v>5695</v>
      </c>
      <c r="E1050" s="1" t="s">
        <v>21</v>
      </c>
      <c r="F1050" s="1" t="s">
        <v>5696</v>
      </c>
      <c r="G1050" s="6">
        <f>COUNTIF(F:F,Table2[[#This Row],[Form '#]])</f>
        <v>1</v>
      </c>
      <c r="H1050" s="1" t="s">
        <v>427</v>
      </c>
      <c r="I1050" s="1" t="s">
        <v>3852</v>
      </c>
      <c r="J1050" s="1" t="s">
        <v>75</v>
      </c>
      <c r="K1050" s="1" t="s">
        <v>4011</v>
      </c>
      <c r="L1050" s="1"/>
      <c r="M1050" s="6" t="str">
        <f>IF(Table2[[#This Row],[Corrected Form '#
 (If Duplicated)]]="",Table2[[#This Row],[Form '#]],Table2[[#This Row],[Corrected Form '#
 (If Duplicated)]])</f>
        <v>7818-21330</v>
      </c>
      <c r="N1050" s="1" t="s">
        <v>49</v>
      </c>
      <c r="O1050" s="6" t="str">
        <f>IF(Table2[[#This Row],[POG CONFIRMATION RECEIPT OF ORDER
(DATE &amp; TIME)]]="","No Confirmation","Received Confirmation")</f>
        <v>Received Confirmation</v>
      </c>
      <c r="P1050" s="6">
        <f ca="1">TODAY()-Table2[[#This Row],[DATE SENT TO POG]]</f>
        <v>239</v>
      </c>
      <c r="Q1050" s="6" t="s">
        <v>5803</v>
      </c>
      <c r="R10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0" s="2" t="str">
        <f>_xlfn.XLOOKUP(Table2[[#This Row],[Adjusted Form '#]],'[2]IN PROGRESS'!$D:$D,'[2]IN PROGRESS'!$M:$M,"Not Found")</f>
        <v>Not Found</v>
      </c>
      <c r="U1050" s="2" t="str">
        <f>_xlfn.XLOOKUP(Table2[[#This Row],[Adjusted Form '#]],[1]COMPLETED!$D:$D,[2]COMPLETED!$M:$M,"Not Found")</f>
        <v>Not Found</v>
      </c>
      <c r="V1050" s="17" t="str">
        <f>_xlfn.XLOOKUP(Table2[[#This Row],[Adjusted Form '#]],[2]COMPLETED!$D:$D,[2]COMPLETED!$O:$O,"Not Found")</f>
        <v>Not Found</v>
      </c>
      <c r="W1050" s="2" t="str">
        <f>_xlfn.XLOOKUP(Table2[[#This Row],[Adjusted Form '#]],[2]BILLED!$D:$D,[2]BILLED!$M:$M,"Not Found")</f>
        <v>1Z5063E0YW41819099</v>
      </c>
      <c r="X1050" s="17" t="e">
        <f>_xlfn.XLOOKUP(Table2[[#This Row],[Adjusted Form '#]],[2]BILLED!$D:$D,[1]BILLED!$O:$O,"Not Found")</f>
        <v>#REF!</v>
      </c>
      <c r="Y1050" s="17" t="e">
        <f>_xlfn.XLOOKUP(Table2[[#This Row],[Adjusted Form '#]],'[2]REJECTED ORDERS'!$D:$D,'[2]REJECTED ORDERS'!$E:$E)</f>
        <v>#N/A</v>
      </c>
      <c r="Z1050" s="1"/>
      <c r="AA1050" s="1"/>
      <c r="AB1050" s="8"/>
      <c r="AC1050" s="8"/>
      <c r="AD1050" s="8"/>
      <c r="AE1050" s="8"/>
      <c r="AF1050" s="8"/>
      <c r="AG1050" s="8"/>
      <c r="AH1050" s="8"/>
      <c r="AI1050" s="8"/>
      <c r="AJ1050" s="8"/>
    </row>
    <row r="1051" spans="1:36" ht="15" customHeight="1" x14ac:dyDescent="0.35">
      <c r="A1051" s="4" t="s">
        <v>1585</v>
      </c>
      <c r="B1051" s="1" t="s">
        <v>3635</v>
      </c>
      <c r="C1051" s="11">
        <v>45064</v>
      </c>
      <c r="D1051" s="11" t="s">
        <v>5695</v>
      </c>
      <c r="E1051" s="1" t="s">
        <v>21</v>
      </c>
      <c r="F1051" s="1" t="s">
        <v>5697</v>
      </c>
      <c r="G1051" s="6">
        <f>COUNTIF(F:F,Table2[[#This Row],[Form '#]])</f>
        <v>1</v>
      </c>
      <c r="H1051" s="1" t="s">
        <v>3620</v>
      </c>
      <c r="I1051" s="1" t="s">
        <v>127</v>
      </c>
      <c r="J1051" s="1" t="s">
        <v>71</v>
      </c>
      <c r="K1051" s="1" t="s">
        <v>3883</v>
      </c>
      <c r="L1051" s="1"/>
      <c r="M1051" s="6" t="str">
        <f>IF(Table2[[#This Row],[Corrected Form '#
 (If Duplicated)]]="",Table2[[#This Row],[Form '#]],Table2[[#This Row],[Corrected Form '#
 (If Duplicated)]])</f>
        <v>7818-11970</v>
      </c>
      <c r="N1051" s="1" t="s">
        <v>49</v>
      </c>
      <c r="O1051" s="6" t="str">
        <f>IF(Table2[[#This Row],[POG CONFIRMATION RECEIPT OF ORDER
(DATE &amp; TIME)]]="","No Confirmation","Received Confirmation")</f>
        <v>Received Confirmation</v>
      </c>
      <c r="P1051" s="6">
        <f ca="1">TODAY()-Table2[[#This Row],[DATE SENT TO POG]]</f>
        <v>239</v>
      </c>
      <c r="Q1051" s="6" t="s">
        <v>5803</v>
      </c>
      <c r="R10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1" s="2" t="str">
        <f>_xlfn.XLOOKUP(Table2[[#This Row],[Adjusted Form '#]],'[2]IN PROGRESS'!$D:$D,'[2]IN PROGRESS'!$M:$M,"Not Found")</f>
        <v>Not Found</v>
      </c>
      <c r="U1051" s="2" t="str">
        <f>_xlfn.XLOOKUP(Table2[[#This Row],[Adjusted Form '#]],[1]COMPLETED!$D:$D,[2]COMPLETED!$M:$M,"Not Found")</f>
        <v>Not Found</v>
      </c>
      <c r="V1051" s="17" t="str">
        <f>_xlfn.XLOOKUP(Table2[[#This Row],[Adjusted Form '#]],[2]COMPLETED!$D:$D,[2]COMPLETED!$O:$O,"Not Found")</f>
        <v>Not Found</v>
      </c>
      <c r="W1051" s="2" t="str">
        <f>_xlfn.XLOOKUP(Table2[[#This Row],[Adjusted Form '#]],[2]BILLED!$D:$D,[2]BILLED!$M:$M,"Not Found")</f>
        <v>1Z5063E0YW41819866</v>
      </c>
      <c r="X1051" s="17" t="e">
        <f>_xlfn.XLOOKUP(Table2[[#This Row],[Adjusted Form '#]],[2]BILLED!$D:$D,[1]BILLED!$O:$O,"Not Found")</f>
        <v>#REF!</v>
      </c>
      <c r="Y1051" s="17" t="e">
        <f>_xlfn.XLOOKUP(Table2[[#This Row],[Adjusted Form '#]],'[2]REJECTED ORDERS'!$D:$D,'[2]REJECTED ORDERS'!$E:$E)</f>
        <v>#N/A</v>
      </c>
      <c r="Z1051" s="1"/>
      <c r="AA1051" s="1"/>
      <c r="AB1051" s="8"/>
      <c r="AC1051" s="8"/>
      <c r="AD1051" s="8"/>
      <c r="AE1051" s="8"/>
      <c r="AF1051" s="8"/>
      <c r="AG1051" s="8"/>
      <c r="AH1051" s="8"/>
      <c r="AI1051" s="8"/>
      <c r="AJ1051" s="8"/>
    </row>
    <row r="1052" spans="1:36" ht="15" customHeight="1" x14ac:dyDescent="0.35">
      <c r="A1052" s="4" t="s">
        <v>1587</v>
      </c>
      <c r="B1052" s="1" t="s">
        <v>3635</v>
      </c>
      <c r="C1052" s="11">
        <v>45064</v>
      </c>
      <c r="D1052" s="11" t="s">
        <v>5695</v>
      </c>
      <c r="E1052" s="1" t="s">
        <v>21</v>
      </c>
      <c r="F1052" s="1" t="s">
        <v>5698</v>
      </c>
      <c r="G1052" s="6">
        <f>COUNTIF(F:F,Table2[[#This Row],[Form '#]])</f>
        <v>1</v>
      </c>
      <c r="H1052" s="1" t="s">
        <v>3505</v>
      </c>
      <c r="I1052" s="1" t="s">
        <v>3864</v>
      </c>
      <c r="J1052" s="1" t="s">
        <v>78</v>
      </c>
      <c r="K1052" s="1" t="s">
        <v>3879</v>
      </c>
      <c r="L1052" s="1"/>
      <c r="M1052" s="6" t="str">
        <f>IF(Table2[[#This Row],[Corrected Form '#
 (If Duplicated)]]="",Table2[[#This Row],[Form '#]],Table2[[#This Row],[Corrected Form '#
 (If Duplicated)]])</f>
        <v>7818-25734</v>
      </c>
      <c r="N1052" s="1" t="s">
        <v>49</v>
      </c>
      <c r="O1052" s="6" t="str">
        <f>IF(Table2[[#This Row],[POG CONFIRMATION RECEIPT OF ORDER
(DATE &amp; TIME)]]="","No Confirmation","Received Confirmation")</f>
        <v>Received Confirmation</v>
      </c>
      <c r="P1052" s="6">
        <f ca="1">TODAY()-Table2[[#This Row],[DATE SENT TO POG]]</f>
        <v>239</v>
      </c>
      <c r="Q1052" s="6" t="s">
        <v>5803</v>
      </c>
      <c r="R10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2" s="2" t="str">
        <f>_xlfn.XLOOKUP(Table2[[#This Row],[Adjusted Form '#]],'[2]IN PROGRESS'!$D:$D,'[2]IN PROGRESS'!$M:$M,"Not Found")</f>
        <v>Not Found</v>
      </c>
      <c r="U1052" s="2" t="str">
        <f>_xlfn.XLOOKUP(Table2[[#This Row],[Adjusted Form '#]],[1]COMPLETED!$D:$D,[2]COMPLETED!$M:$M,"Not Found")</f>
        <v>Not Found</v>
      </c>
      <c r="V1052" s="17" t="str">
        <f>_xlfn.XLOOKUP(Table2[[#This Row],[Adjusted Form '#]],[2]COMPLETED!$D:$D,[2]COMPLETED!$O:$O,"Not Found")</f>
        <v>Not Found</v>
      </c>
      <c r="W1052" s="2" t="str">
        <f>_xlfn.XLOOKUP(Table2[[#This Row],[Adjusted Form '#]],[2]BILLED!$D:$D,[2]BILLED!$M:$M,"Not Found")</f>
        <v>1Z5063E0YW42496114</v>
      </c>
      <c r="X1052" s="17" t="e">
        <f>_xlfn.XLOOKUP(Table2[[#This Row],[Adjusted Form '#]],[2]BILLED!$D:$D,[1]BILLED!$O:$O,"Not Found")</f>
        <v>#REF!</v>
      </c>
      <c r="Y1052" s="17" t="e">
        <f>_xlfn.XLOOKUP(Table2[[#This Row],[Adjusted Form '#]],'[2]REJECTED ORDERS'!$D:$D,'[2]REJECTED ORDERS'!$E:$E)</f>
        <v>#N/A</v>
      </c>
      <c r="Z1052" s="1"/>
      <c r="AA1052" s="1"/>
      <c r="AB1052" s="8"/>
      <c r="AC1052" s="8"/>
      <c r="AD1052" s="8"/>
      <c r="AE1052" s="8"/>
      <c r="AF1052" s="8"/>
      <c r="AG1052" s="8"/>
      <c r="AH1052" s="8"/>
      <c r="AI1052" s="8"/>
      <c r="AJ1052" s="8"/>
    </row>
    <row r="1053" spans="1:36" ht="15" customHeight="1" x14ac:dyDescent="0.35">
      <c r="A1053" s="4" t="s">
        <v>1590</v>
      </c>
      <c r="B1053" s="1" t="s">
        <v>3635</v>
      </c>
      <c r="C1053" s="11">
        <v>45064</v>
      </c>
      <c r="D1053" s="11" t="s">
        <v>5695</v>
      </c>
      <c r="E1053" s="1" t="s">
        <v>21</v>
      </c>
      <c r="F1053" s="1" t="s">
        <v>5699</v>
      </c>
      <c r="G1053" s="6">
        <f>COUNTIF(F:F,Table2[[#This Row],[Form '#]])</f>
        <v>1</v>
      </c>
      <c r="H1053" s="1" t="s">
        <v>5700</v>
      </c>
      <c r="I1053" s="1" t="s">
        <v>3852</v>
      </c>
      <c r="J1053" s="1" t="s">
        <v>78</v>
      </c>
      <c r="K1053" s="1" t="s">
        <v>3853</v>
      </c>
      <c r="L1053" s="1"/>
      <c r="M1053" s="6" t="str">
        <f>IF(Table2[[#This Row],[Corrected Form '#
 (If Duplicated)]]="",Table2[[#This Row],[Form '#]],Table2[[#This Row],[Corrected Form '#
 (If Duplicated)]])</f>
        <v>7818-28388</v>
      </c>
      <c r="N1053" s="1" t="s">
        <v>49</v>
      </c>
      <c r="O1053" s="6" t="str">
        <f>IF(Table2[[#This Row],[POG CONFIRMATION RECEIPT OF ORDER
(DATE &amp; TIME)]]="","No Confirmation","Received Confirmation")</f>
        <v>Received Confirmation</v>
      </c>
      <c r="P1053" s="6">
        <f ca="1">TODAY()-Table2[[#This Row],[DATE SENT TO POG]]</f>
        <v>239</v>
      </c>
      <c r="Q1053" s="6" t="s">
        <v>5803</v>
      </c>
      <c r="R10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3" s="2" t="str">
        <f>_xlfn.XLOOKUP(Table2[[#This Row],[Adjusted Form '#]],'[2]IN PROGRESS'!$D:$D,'[2]IN PROGRESS'!$M:$M,"Not Found")</f>
        <v>Not Found</v>
      </c>
      <c r="U1053" s="2" t="str">
        <f>_xlfn.XLOOKUP(Table2[[#This Row],[Adjusted Form '#]],[1]COMPLETED!$D:$D,[2]COMPLETED!$M:$M,"Not Found")</f>
        <v>Not Found</v>
      </c>
      <c r="V1053" s="17" t="str">
        <f>_xlfn.XLOOKUP(Table2[[#This Row],[Adjusted Form '#]],[2]COMPLETED!$D:$D,[2]COMPLETED!$O:$O,"Not Found")</f>
        <v>Not Found</v>
      </c>
      <c r="W1053" s="2" t="str">
        <f>_xlfn.XLOOKUP(Table2[[#This Row],[Adjusted Form '#]],[2]BILLED!$D:$D,[2]BILLED!$M:$M,"Not Found")</f>
        <v>1Z5063E0YW41201102</v>
      </c>
      <c r="X1053" s="17" t="e">
        <f>_xlfn.XLOOKUP(Table2[[#This Row],[Adjusted Form '#]],[2]BILLED!$D:$D,[1]BILLED!$O:$O,"Not Found")</f>
        <v>#REF!</v>
      </c>
      <c r="Y1053" s="17" t="str">
        <f>_xlfn.XLOOKUP(Table2[[#This Row],[Adjusted Form '#]],'[2]REJECTED ORDERS'!$D:$D,'[2]REJECTED ORDERS'!$E:$E)</f>
        <v>FORM NOT SIGNED</v>
      </c>
      <c r="Z1053" s="1"/>
      <c r="AA1053" s="1"/>
      <c r="AB1053" s="8"/>
      <c r="AC1053" s="8"/>
      <c r="AD1053" s="8"/>
      <c r="AE1053" s="8"/>
      <c r="AF1053" s="8"/>
      <c r="AG1053" s="8"/>
      <c r="AH1053" s="8"/>
      <c r="AI1053" s="8"/>
      <c r="AJ1053" s="8"/>
    </row>
    <row r="1054" spans="1:36" ht="15" customHeight="1" x14ac:dyDescent="0.35">
      <c r="A1054" s="4" t="s">
        <v>1594</v>
      </c>
      <c r="B1054" s="1" t="s">
        <v>3635</v>
      </c>
      <c r="C1054" s="11">
        <v>45064</v>
      </c>
      <c r="D1054" s="11" t="s">
        <v>5695</v>
      </c>
      <c r="E1054" s="1" t="s">
        <v>21</v>
      </c>
      <c r="F1054" s="1" t="s">
        <v>5701</v>
      </c>
      <c r="G1054" s="6">
        <f>COUNTIF(F:F,Table2[[#This Row],[Form '#]])</f>
        <v>1</v>
      </c>
      <c r="H1054" s="1" t="s">
        <v>626</v>
      </c>
      <c r="I1054" s="1" t="s">
        <v>127</v>
      </c>
      <c r="J1054" s="1" t="s">
        <v>76</v>
      </c>
      <c r="K1054" s="1" t="s">
        <v>3883</v>
      </c>
      <c r="L1054" s="1"/>
      <c r="M1054" s="6" t="str">
        <f>IF(Table2[[#This Row],[Corrected Form '#
 (If Duplicated)]]="",Table2[[#This Row],[Form '#]],Table2[[#This Row],[Corrected Form '#
 (If Duplicated)]])</f>
        <v>7818-08653</v>
      </c>
      <c r="N1054" s="1" t="s">
        <v>49</v>
      </c>
      <c r="O1054" s="6" t="str">
        <f>IF(Table2[[#This Row],[POG CONFIRMATION RECEIPT OF ORDER
(DATE &amp; TIME)]]="","No Confirmation","Received Confirmation")</f>
        <v>Received Confirmation</v>
      </c>
      <c r="P1054" s="6">
        <f ca="1">TODAY()-Table2[[#This Row],[DATE SENT TO POG]]</f>
        <v>239</v>
      </c>
      <c r="Q1054" s="6" t="s">
        <v>5803</v>
      </c>
      <c r="R10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4" s="2" t="str">
        <f>_xlfn.XLOOKUP(Table2[[#This Row],[Adjusted Form '#]],'[2]IN PROGRESS'!$D:$D,'[2]IN PROGRESS'!$M:$M,"Not Found")</f>
        <v>Not Found</v>
      </c>
      <c r="U1054" s="2" t="str">
        <f>_xlfn.XLOOKUP(Table2[[#This Row],[Adjusted Form '#]],[1]COMPLETED!$D:$D,[2]COMPLETED!$M:$M,"Not Found")</f>
        <v>Not Found</v>
      </c>
      <c r="V1054" s="17" t="str">
        <f>_xlfn.XLOOKUP(Table2[[#This Row],[Adjusted Form '#]],[2]COMPLETED!$D:$D,[2]COMPLETED!$O:$O,"Not Found")</f>
        <v>Not Found</v>
      </c>
      <c r="W1054" s="2" t="str">
        <f>_xlfn.XLOOKUP(Table2[[#This Row],[Adjusted Form '#]],[2]BILLED!$D:$D,[2]BILLED!$M:$M,"Not Found")</f>
        <v>1Z5063E0YW41486609</v>
      </c>
      <c r="X1054" s="17" t="e">
        <f>_xlfn.XLOOKUP(Table2[[#This Row],[Adjusted Form '#]],[2]BILLED!$D:$D,[1]BILLED!$O:$O,"Not Found")</f>
        <v>#REF!</v>
      </c>
      <c r="Y1054" s="17" t="e">
        <f>_xlfn.XLOOKUP(Table2[[#This Row],[Adjusted Form '#]],'[2]REJECTED ORDERS'!$D:$D,'[2]REJECTED ORDERS'!$E:$E)</f>
        <v>#N/A</v>
      </c>
      <c r="Z1054" s="1"/>
      <c r="AA1054" s="1"/>
      <c r="AB1054" s="8"/>
      <c r="AC1054" s="8"/>
      <c r="AD1054" s="8"/>
      <c r="AE1054" s="8"/>
      <c r="AF1054" s="8"/>
      <c r="AG1054" s="8"/>
      <c r="AH1054" s="8"/>
      <c r="AI1054" s="8"/>
      <c r="AJ1054" s="8"/>
    </row>
    <row r="1055" spans="1:36" ht="15" customHeight="1" x14ac:dyDescent="0.35">
      <c r="A1055" s="4" t="s">
        <v>1595</v>
      </c>
      <c r="B1055" s="1" t="s">
        <v>3567</v>
      </c>
      <c r="C1055" s="11">
        <v>45065</v>
      </c>
      <c r="D1055" s="11" t="s">
        <v>5702</v>
      </c>
      <c r="E1055" s="1" t="s">
        <v>21</v>
      </c>
      <c r="F1055" s="1" t="s">
        <v>5703</v>
      </c>
      <c r="G1055" s="6">
        <f>COUNTIF(F:F,Table2[[#This Row],[Form '#]])</f>
        <v>1</v>
      </c>
      <c r="H1055" s="1" t="s">
        <v>5704</v>
      </c>
      <c r="I1055" s="1" t="s">
        <v>127</v>
      </c>
      <c r="J1055" s="1" t="s">
        <v>74</v>
      </c>
      <c r="K1055" s="1" t="s">
        <v>4011</v>
      </c>
      <c r="L1055" s="1"/>
      <c r="M1055" s="6" t="str">
        <f>IF(Table2[[#This Row],[Corrected Form '#
 (If Duplicated)]]="",Table2[[#This Row],[Form '#]],Table2[[#This Row],[Corrected Form '#
 (If Duplicated)]])</f>
        <v>7818-25321</v>
      </c>
      <c r="N1055" s="1" t="s">
        <v>49</v>
      </c>
      <c r="O1055" s="6" t="str">
        <f>IF(Table2[[#This Row],[POG CONFIRMATION RECEIPT OF ORDER
(DATE &amp; TIME)]]="","No Confirmation","Received Confirmation")</f>
        <v>Received Confirmation</v>
      </c>
      <c r="P1055" s="6">
        <f ca="1">TODAY()-Table2[[#This Row],[DATE SENT TO POG]]</f>
        <v>238</v>
      </c>
      <c r="Q1055" s="6" t="s">
        <v>5803</v>
      </c>
      <c r="R10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5" s="2" t="str">
        <f>_xlfn.XLOOKUP(Table2[[#This Row],[Adjusted Form '#]],'[2]IN PROGRESS'!$D:$D,'[2]IN PROGRESS'!$M:$M,"Not Found")</f>
        <v>Not Found</v>
      </c>
      <c r="U1055" s="2" t="str">
        <f>_xlfn.XLOOKUP(Table2[[#This Row],[Adjusted Form '#]],[1]COMPLETED!$D:$D,[2]COMPLETED!$M:$M,"Not Found")</f>
        <v>Not Found</v>
      </c>
      <c r="V1055" s="17" t="str">
        <f>_xlfn.XLOOKUP(Table2[[#This Row],[Adjusted Form '#]],[2]COMPLETED!$D:$D,[2]COMPLETED!$O:$O,"Not Found")</f>
        <v>Not Found</v>
      </c>
      <c r="W1055" s="2" t="str">
        <f>_xlfn.XLOOKUP(Table2[[#This Row],[Adjusted Form '#]],[2]BILLED!$D:$D,[2]BILLED!$M:$M,"Not Found")</f>
        <v>1Z5063E0YW42403026</v>
      </c>
      <c r="X1055" s="17" t="e">
        <f>_xlfn.XLOOKUP(Table2[[#This Row],[Adjusted Form '#]],[2]BILLED!$D:$D,[1]BILLED!$O:$O,"Not Found")</f>
        <v>#REF!</v>
      </c>
      <c r="Y1055" s="17" t="e">
        <f>_xlfn.XLOOKUP(Table2[[#This Row],[Adjusted Form '#]],'[2]REJECTED ORDERS'!$D:$D,'[2]REJECTED ORDERS'!$E:$E)</f>
        <v>#N/A</v>
      </c>
      <c r="Z1055" s="1"/>
      <c r="AA1055" s="1"/>
      <c r="AB1055" s="8"/>
      <c r="AC1055" s="8"/>
      <c r="AD1055" s="8"/>
      <c r="AE1055" s="8"/>
      <c r="AF1055" s="8"/>
      <c r="AG1055" s="8"/>
      <c r="AH1055" s="8"/>
      <c r="AI1055" s="8"/>
      <c r="AJ1055" s="8"/>
    </row>
    <row r="1056" spans="1:36" ht="15" customHeight="1" x14ac:dyDescent="0.35">
      <c r="A1056" s="4" t="s">
        <v>1596</v>
      </c>
      <c r="B1056" s="1" t="s">
        <v>4618</v>
      </c>
      <c r="C1056" s="11">
        <v>45065</v>
      </c>
      <c r="D1056" s="11" t="s">
        <v>5705</v>
      </c>
      <c r="E1056" s="1" t="s">
        <v>14</v>
      </c>
      <c r="F1056" s="1" t="s">
        <v>5706</v>
      </c>
      <c r="G1056" s="6">
        <f>COUNTIF(F:F,Table2[[#This Row],[Form '#]])</f>
        <v>1</v>
      </c>
      <c r="H1056" s="1" t="s">
        <v>3088</v>
      </c>
      <c r="I1056" s="1" t="s">
        <v>3852</v>
      </c>
      <c r="J1056" s="1" t="s">
        <v>75</v>
      </c>
      <c r="K1056" s="1" t="s">
        <v>4011</v>
      </c>
      <c r="L1056" s="1"/>
      <c r="M1056" s="6" t="str">
        <f>IF(Table2[[#This Row],[Corrected Form '#
 (If Duplicated)]]="",Table2[[#This Row],[Form '#]],Table2[[#This Row],[Corrected Form '#
 (If Duplicated)]])</f>
        <v>7810-01876</v>
      </c>
      <c r="N1056" s="1" t="s">
        <v>49</v>
      </c>
      <c r="O1056" s="6" t="str">
        <f>IF(Table2[[#This Row],[POG CONFIRMATION RECEIPT OF ORDER
(DATE &amp; TIME)]]="","No Confirmation","Received Confirmation")</f>
        <v>Received Confirmation</v>
      </c>
      <c r="P1056" s="6">
        <f ca="1">TODAY()-Table2[[#This Row],[DATE SENT TO POG]]</f>
        <v>238</v>
      </c>
      <c r="Q1056" s="6" t="s">
        <v>5803</v>
      </c>
      <c r="R10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6" s="2" t="str">
        <f>_xlfn.XLOOKUP(Table2[[#This Row],[Adjusted Form '#]],'[2]IN PROGRESS'!$D:$D,'[2]IN PROGRESS'!$M:$M,"Not Found")</f>
        <v>Not Found</v>
      </c>
      <c r="U1056" s="2" t="str">
        <f>_xlfn.XLOOKUP(Table2[[#This Row],[Adjusted Form '#]],[1]COMPLETED!$D:$D,[2]COMPLETED!$M:$M,"Not Found")</f>
        <v>Not Found</v>
      </c>
      <c r="V1056" s="17" t="str">
        <f>_xlfn.XLOOKUP(Table2[[#This Row],[Adjusted Form '#]],[2]COMPLETED!$D:$D,[2]COMPLETED!$O:$O,"Not Found")</f>
        <v>Not Found</v>
      </c>
      <c r="W1056" s="2" t="str">
        <f>_xlfn.XLOOKUP(Table2[[#This Row],[Adjusted Form '#]],[2]BILLED!$D:$D,[2]BILLED!$M:$M,"Not Found")</f>
        <v>1Z5063E0YW42995950</v>
      </c>
      <c r="X1056" s="17" t="e">
        <f>_xlfn.XLOOKUP(Table2[[#This Row],[Adjusted Form '#]],[2]BILLED!$D:$D,[1]BILLED!$O:$O,"Not Found")</f>
        <v>#REF!</v>
      </c>
      <c r="Y1056" s="17" t="e">
        <f>_xlfn.XLOOKUP(Table2[[#This Row],[Adjusted Form '#]],'[2]REJECTED ORDERS'!$D:$D,'[2]REJECTED ORDERS'!$E:$E)</f>
        <v>#N/A</v>
      </c>
      <c r="Z1056" s="1"/>
      <c r="AA1056" s="1"/>
      <c r="AB1056" s="8"/>
      <c r="AC1056" s="8"/>
      <c r="AD1056" s="8"/>
      <c r="AE1056" s="8"/>
      <c r="AF1056" s="8"/>
      <c r="AG1056" s="8"/>
      <c r="AH1056" s="8"/>
      <c r="AI1056" s="8"/>
      <c r="AJ1056" s="8"/>
    </row>
    <row r="1057" spans="1:36" ht="15" customHeight="1" x14ac:dyDescent="0.35">
      <c r="A1057" s="4" t="s">
        <v>1597</v>
      </c>
      <c r="B1057" s="1" t="s">
        <v>759</v>
      </c>
      <c r="C1057" s="11">
        <v>45065</v>
      </c>
      <c r="D1057" s="11" t="s">
        <v>5707</v>
      </c>
      <c r="E1057" s="1" t="s">
        <v>21</v>
      </c>
      <c r="F1057" s="1" t="s">
        <v>5708</v>
      </c>
      <c r="G1057" s="6">
        <f>COUNTIF(F:F,Table2[[#This Row],[Form '#]])</f>
        <v>1</v>
      </c>
      <c r="H1057" s="1" t="s">
        <v>5709</v>
      </c>
      <c r="I1057" s="1" t="s">
        <v>28</v>
      </c>
      <c r="J1057" s="1" t="s">
        <v>3891</v>
      </c>
      <c r="K1057" s="1" t="s">
        <v>4631</v>
      </c>
      <c r="L1057" s="1"/>
      <c r="M1057" s="6" t="str">
        <f>IF(Table2[[#This Row],[Corrected Form '#
 (If Duplicated)]]="",Table2[[#This Row],[Form '#]],Table2[[#This Row],[Corrected Form '#
 (If Duplicated)]])</f>
        <v>7818-23301</v>
      </c>
      <c r="N1057" s="1" t="s">
        <v>49</v>
      </c>
      <c r="O1057" s="6" t="str">
        <f>IF(Table2[[#This Row],[POG CONFIRMATION RECEIPT OF ORDER
(DATE &amp; TIME)]]="","No Confirmation","Received Confirmation")</f>
        <v>Received Confirmation</v>
      </c>
      <c r="P1057" s="6">
        <f ca="1">TODAY()-Table2[[#This Row],[DATE SENT TO POG]]</f>
        <v>238</v>
      </c>
      <c r="Q1057" s="6" t="s">
        <v>5803</v>
      </c>
      <c r="R10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7" s="2" t="str">
        <f>_xlfn.XLOOKUP(Table2[[#This Row],[Adjusted Form '#]],'[2]IN PROGRESS'!$D:$D,'[2]IN PROGRESS'!$M:$M,"Not Found")</f>
        <v>Not Found</v>
      </c>
      <c r="U1057" s="2" t="str">
        <f>_xlfn.XLOOKUP(Table2[[#This Row],[Adjusted Form '#]],[1]COMPLETED!$D:$D,[2]COMPLETED!$M:$M,"Not Found")</f>
        <v>Not Found</v>
      </c>
      <c r="V1057" s="17" t="str">
        <f>_xlfn.XLOOKUP(Table2[[#This Row],[Adjusted Form '#]],[2]COMPLETED!$D:$D,[2]COMPLETED!$O:$O,"Not Found")</f>
        <v>Not Found</v>
      </c>
      <c r="W1057" s="2" t="str">
        <f>_xlfn.XLOOKUP(Table2[[#This Row],[Adjusted Form '#]],[2]BILLED!$D:$D,[2]BILLED!$M:$M,"Not Found")</f>
        <v>1Z5063E0YW40790924</v>
      </c>
      <c r="X1057" s="17" t="e">
        <f>_xlfn.XLOOKUP(Table2[[#This Row],[Adjusted Form '#]],[2]BILLED!$D:$D,[1]BILLED!$O:$O,"Not Found")</f>
        <v>#REF!</v>
      </c>
      <c r="Y1057" s="17" t="e">
        <f>_xlfn.XLOOKUP(Table2[[#This Row],[Adjusted Form '#]],'[2]REJECTED ORDERS'!$D:$D,'[2]REJECTED ORDERS'!$E:$E)</f>
        <v>#N/A</v>
      </c>
      <c r="Z1057" s="1"/>
      <c r="AA1057" s="1"/>
      <c r="AB1057" s="8"/>
      <c r="AC1057" s="8"/>
      <c r="AD1057" s="8"/>
      <c r="AE1057" s="8"/>
      <c r="AF1057" s="8"/>
      <c r="AG1057" s="8"/>
      <c r="AH1057" s="8"/>
      <c r="AI1057" s="8"/>
      <c r="AJ1057" s="8"/>
    </row>
    <row r="1058" spans="1:36" ht="15" customHeight="1" x14ac:dyDescent="0.35">
      <c r="A1058" s="4" t="s">
        <v>1598</v>
      </c>
      <c r="B1058" s="1" t="s">
        <v>815</v>
      </c>
      <c r="C1058" s="11">
        <v>45065</v>
      </c>
      <c r="E1058" s="1" t="s">
        <v>21</v>
      </c>
      <c r="F1058" s="1" t="s">
        <v>5710</v>
      </c>
      <c r="G1058" s="6">
        <f>COUNTIF(F:F,Table2[[#This Row],[Form '#]])</f>
        <v>1</v>
      </c>
      <c r="H1058" s="1" t="s">
        <v>3163</v>
      </c>
      <c r="I1058" s="1" t="s">
        <v>177</v>
      </c>
      <c r="J1058" s="1" t="s">
        <v>75</v>
      </c>
      <c r="K1058" s="1" t="s">
        <v>4011</v>
      </c>
      <c r="L1058" s="1"/>
      <c r="M1058" s="6" t="str">
        <f>IF(Table2[[#This Row],[Corrected Form '#
 (If Duplicated)]]="",Table2[[#This Row],[Form '#]],Table2[[#This Row],[Corrected Form '#
 (If Duplicated)]])</f>
        <v>7818-26036</v>
      </c>
      <c r="N1058" s="1" t="s">
        <v>49</v>
      </c>
      <c r="O1058" s="6" t="str">
        <f>IF(Table2[[#This Row],[POG CONFIRMATION RECEIPT OF ORDER
(DATE &amp; TIME)]]="","No Confirmation","Received Confirmation")</f>
        <v>No Confirmation</v>
      </c>
      <c r="P1058" s="6">
        <f ca="1">TODAY()-Table2[[#This Row],[DATE SENT TO POG]]</f>
        <v>238</v>
      </c>
      <c r="Q1058" s="6" t="s">
        <v>5803</v>
      </c>
      <c r="R10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8" s="2" t="str">
        <f>_xlfn.XLOOKUP(Table2[[#This Row],[Adjusted Form '#]],'[2]IN PROGRESS'!$D:$D,'[2]IN PROGRESS'!$M:$M,"Not Found")</f>
        <v>Not Found</v>
      </c>
      <c r="U1058" s="2" t="str">
        <f>_xlfn.XLOOKUP(Table2[[#This Row],[Adjusted Form '#]],[1]COMPLETED!$D:$D,[2]COMPLETED!$M:$M,"Not Found")</f>
        <v>Not Found</v>
      </c>
      <c r="V1058" s="17" t="str">
        <f>_xlfn.XLOOKUP(Table2[[#This Row],[Adjusted Form '#]],[2]COMPLETED!$D:$D,[2]COMPLETED!$O:$O,"Not Found")</f>
        <v>Not Found</v>
      </c>
      <c r="W1058" s="2" t="str">
        <f>_xlfn.XLOOKUP(Table2[[#This Row],[Adjusted Form '#]],[2]BILLED!$D:$D,[2]BILLED!$M:$M,"Not Found")</f>
        <v>9400 1361 0605 3336 3992 30</v>
      </c>
      <c r="X1058" s="17" t="e">
        <f>_xlfn.XLOOKUP(Table2[[#This Row],[Adjusted Form '#]],[2]BILLED!$D:$D,[1]BILLED!$O:$O,"Not Found")</f>
        <v>#REF!</v>
      </c>
      <c r="Y1058" s="17" t="e">
        <f>_xlfn.XLOOKUP(Table2[[#This Row],[Adjusted Form '#]],'[2]REJECTED ORDERS'!$D:$D,'[2]REJECTED ORDERS'!$E:$E)</f>
        <v>#N/A</v>
      </c>
      <c r="Z1058" s="1"/>
      <c r="AA1058" s="1"/>
      <c r="AB1058" s="8"/>
      <c r="AC1058" s="8"/>
      <c r="AD1058" s="8"/>
      <c r="AE1058" s="8"/>
      <c r="AF1058" s="8"/>
      <c r="AG1058" s="8"/>
      <c r="AH1058" s="8"/>
      <c r="AI1058" s="8"/>
      <c r="AJ1058" s="8"/>
    </row>
    <row r="1059" spans="1:36" ht="15" customHeight="1" x14ac:dyDescent="0.35">
      <c r="A1059" s="4" t="s">
        <v>1599</v>
      </c>
      <c r="B1059" s="1" t="s">
        <v>2639</v>
      </c>
      <c r="C1059" s="11">
        <v>45068</v>
      </c>
      <c r="D1059" s="11" t="s">
        <v>5711</v>
      </c>
      <c r="E1059" s="1" t="s">
        <v>3625</v>
      </c>
      <c r="F1059" s="1" t="s">
        <v>5712</v>
      </c>
      <c r="G1059" s="6">
        <f>COUNTIF(F:F,Table2[[#This Row],[Form '#]])</f>
        <v>1</v>
      </c>
      <c r="H1059" s="1"/>
      <c r="I1059" s="1" t="s">
        <v>3852</v>
      </c>
      <c r="J1059" s="1" t="s">
        <v>75</v>
      </c>
      <c r="K1059" s="1" t="s">
        <v>4011</v>
      </c>
      <c r="L1059" s="1"/>
      <c r="M1059" s="6" t="str">
        <f>IF(Table2[[#This Row],[Corrected Form '#
 (If Duplicated)]]="",Table2[[#This Row],[Form '#]],Table2[[#This Row],[Corrected Form '#
 (If Duplicated)]])</f>
        <v>7815-00100</v>
      </c>
      <c r="N1059" s="1" t="s">
        <v>49</v>
      </c>
      <c r="O1059" s="6" t="str">
        <f>IF(Table2[[#This Row],[POG CONFIRMATION RECEIPT OF ORDER
(DATE &amp; TIME)]]="","No Confirmation","Received Confirmation")</f>
        <v>Received Confirmation</v>
      </c>
      <c r="P1059" s="6">
        <f ca="1">TODAY()-Table2[[#This Row],[DATE SENT TO POG]]</f>
        <v>235</v>
      </c>
      <c r="Q1059" s="6" t="s">
        <v>5803</v>
      </c>
      <c r="R10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59" s="2" t="str">
        <f>_xlfn.XLOOKUP(Table2[[#This Row],[Adjusted Form '#]],'[2]IN PROGRESS'!$D:$D,'[2]IN PROGRESS'!$M:$M,"Not Found")</f>
        <v>Not Found</v>
      </c>
      <c r="U1059" s="2" t="str">
        <f>_xlfn.XLOOKUP(Table2[[#This Row],[Adjusted Form '#]],[1]COMPLETED!$D:$D,[2]COMPLETED!$M:$M,"Not Found")</f>
        <v>Not Found</v>
      </c>
      <c r="V1059" s="17" t="str">
        <f>_xlfn.XLOOKUP(Table2[[#This Row],[Adjusted Form '#]],[2]COMPLETED!$D:$D,[2]COMPLETED!$O:$O,"Not Found")</f>
        <v>Not Found</v>
      </c>
      <c r="W1059" s="2" t="str">
        <f>_xlfn.XLOOKUP(Table2[[#This Row],[Adjusted Form '#]],[2]BILLED!$D:$D,[2]BILLED!$M:$M,"Not Found")</f>
        <v>1Z5063E0YW41932519</v>
      </c>
      <c r="X1059" s="17" t="e">
        <f>_xlfn.XLOOKUP(Table2[[#This Row],[Adjusted Form '#]],[2]BILLED!$D:$D,[1]BILLED!$O:$O,"Not Found")</f>
        <v>#REF!</v>
      </c>
      <c r="Y1059" s="17" t="e">
        <f>_xlfn.XLOOKUP(Table2[[#This Row],[Adjusted Form '#]],'[2]REJECTED ORDERS'!$D:$D,'[2]REJECTED ORDERS'!$E:$E)</f>
        <v>#N/A</v>
      </c>
      <c r="Z1059" s="1"/>
      <c r="AA1059" s="1"/>
      <c r="AB1059" s="8"/>
      <c r="AC1059" s="8"/>
      <c r="AD1059" s="8"/>
      <c r="AE1059" s="8"/>
      <c r="AF1059" s="8"/>
      <c r="AG1059" s="8"/>
      <c r="AH1059" s="8"/>
      <c r="AI1059" s="8"/>
      <c r="AJ1059" s="8"/>
    </row>
    <row r="1060" spans="1:36" ht="15" customHeight="1" x14ac:dyDescent="0.35">
      <c r="A1060" s="4" t="s">
        <v>1600</v>
      </c>
      <c r="B1060" s="1" t="s">
        <v>2639</v>
      </c>
      <c r="C1060" s="11">
        <v>45068</v>
      </c>
      <c r="D1060" s="11" t="s">
        <v>5711</v>
      </c>
      <c r="E1060" s="1" t="s">
        <v>21</v>
      </c>
      <c r="F1060" s="1" t="s">
        <v>5713</v>
      </c>
      <c r="G1060" s="6">
        <f>COUNTIF(F:F,Table2[[#This Row],[Form '#]])</f>
        <v>1</v>
      </c>
      <c r="H1060" s="1" t="s">
        <v>5714</v>
      </c>
      <c r="I1060" s="1" t="s">
        <v>3852</v>
      </c>
      <c r="J1060" s="1" t="s">
        <v>80</v>
      </c>
      <c r="K1060" s="1" t="s">
        <v>3853</v>
      </c>
      <c r="L1060" s="1"/>
      <c r="M1060" s="6" t="str">
        <f>IF(Table2[[#This Row],[Corrected Form '#
 (If Duplicated)]]="",Table2[[#This Row],[Form '#]],Table2[[#This Row],[Corrected Form '#
 (If Duplicated)]])</f>
        <v>7818-00115</v>
      </c>
      <c r="N1060" s="1" t="s">
        <v>49</v>
      </c>
      <c r="O1060" s="6" t="str">
        <f>IF(Table2[[#This Row],[POG CONFIRMATION RECEIPT OF ORDER
(DATE &amp; TIME)]]="","No Confirmation","Received Confirmation")</f>
        <v>Received Confirmation</v>
      </c>
      <c r="P1060" s="6">
        <f ca="1">TODAY()-Table2[[#This Row],[DATE SENT TO POG]]</f>
        <v>235</v>
      </c>
      <c r="Q1060" s="6" t="s">
        <v>5802</v>
      </c>
      <c r="R10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06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060" s="2" t="str">
        <f>_xlfn.XLOOKUP(Table2[[#This Row],[Adjusted Form '#]],'[2]IN PROGRESS'!$D:$D,'[2]IN PROGRESS'!$M:$M,"Not Found")</f>
        <v>Not Found</v>
      </c>
      <c r="U1060" s="2" t="str">
        <f>_xlfn.XLOOKUP(Table2[[#This Row],[Adjusted Form '#]],[1]COMPLETED!$D:$D,[2]COMPLETED!$M:$M,"Not Found")</f>
        <v>Not Found</v>
      </c>
      <c r="V1060" s="17" t="str">
        <f>_xlfn.XLOOKUP(Table2[[#This Row],[Adjusted Form '#]],[2]COMPLETED!$D:$D,[2]COMPLETED!$O:$O,"Not Found")</f>
        <v>Not Found</v>
      </c>
      <c r="W1060" s="2" t="str">
        <f>_xlfn.XLOOKUP(Table2[[#This Row],[Adjusted Form '#]],[2]BILLED!$D:$D,[2]BILLED!$M:$M,"Not Found")</f>
        <v>Not Found</v>
      </c>
      <c r="X1060" s="17" t="str">
        <f>_xlfn.XLOOKUP(Table2[[#This Row],[Adjusted Form '#]],[2]BILLED!$D:$D,[1]BILLED!$O:$O,"Not Found")</f>
        <v>Not Found</v>
      </c>
      <c r="Y1060" s="17" t="e">
        <f>_xlfn.XLOOKUP(Table2[[#This Row],[Adjusted Form '#]],'[2]REJECTED ORDERS'!$D:$D,'[2]REJECTED ORDERS'!$E:$E)</f>
        <v>#N/A</v>
      </c>
      <c r="Z1060" s="1"/>
      <c r="AA1060" s="1"/>
      <c r="AB1060" s="8"/>
      <c r="AC1060" s="8"/>
      <c r="AD1060" s="8"/>
      <c r="AE1060" s="8"/>
      <c r="AF1060" s="8"/>
      <c r="AG1060" s="8"/>
      <c r="AH1060" s="8"/>
      <c r="AI1060" s="8"/>
      <c r="AJ1060" s="8"/>
    </row>
    <row r="1061" spans="1:36" ht="15" customHeight="1" x14ac:dyDescent="0.35">
      <c r="A1061" s="4" t="s">
        <v>1602</v>
      </c>
      <c r="B1061" s="1" t="s">
        <v>4207</v>
      </c>
      <c r="C1061" s="11">
        <v>45068</v>
      </c>
      <c r="E1061" s="1" t="s">
        <v>21</v>
      </c>
      <c r="F1061" s="1" t="s">
        <v>5715</v>
      </c>
      <c r="G1061" s="6">
        <f>COUNTIF(F:F,Table2[[#This Row],[Form '#]])</f>
        <v>1</v>
      </c>
      <c r="H1061" s="1" t="s">
        <v>3590</v>
      </c>
      <c r="I1061" s="1" t="s">
        <v>3864</v>
      </c>
      <c r="J1061" s="1" t="s">
        <v>3891</v>
      </c>
      <c r="K1061" s="1" t="s">
        <v>3879</v>
      </c>
      <c r="L1061" s="1"/>
      <c r="M1061" s="6" t="str">
        <f>IF(Table2[[#This Row],[Corrected Form '#
 (If Duplicated)]]="",Table2[[#This Row],[Form '#]],Table2[[#This Row],[Corrected Form '#
 (If Duplicated)]])</f>
        <v>7818-30780</v>
      </c>
      <c r="N1061" s="1" t="s">
        <v>49</v>
      </c>
      <c r="O1061" s="6" t="str">
        <f>IF(Table2[[#This Row],[POG CONFIRMATION RECEIPT OF ORDER
(DATE &amp; TIME)]]="","No Confirmation","Received Confirmation")</f>
        <v>No Confirmation</v>
      </c>
      <c r="P1061" s="6">
        <f ca="1">TODAY()-Table2[[#This Row],[DATE SENT TO POG]]</f>
        <v>235</v>
      </c>
      <c r="Q1061" s="6" t="s">
        <v>5803</v>
      </c>
      <c r="R10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1" s="2" t="str">
        <f>_xlfn.XLOOKUP(Table2[[#This Row],[Adjusted Form '#]],'[2]IN PROGRESS'!$D:$D,'[2]IN PROGRESS'!$M:$M,"Not Found")</f>
        <v>Not Found</v>
      </c>
      <c r="U1061" s="2" t="str">
        <f>_xlfn.XLOOKUP(Table2[[#This Row],[Adjusted Form '#]],[1]COMPLETED!$D:$D,[2]COMPLETED!$M:$M,"Not Found")</f>
        <v>Not Found</v>
      </c>
      <c r="V1061" s="17" t="str">
        <f>_xlfn.XLOOKUP(Table2[[#This Row],[Adjusted Form '#]],[2]COMPLETED!$D:$D,[2]COMPLETED!$O:$O,"Not Found")</f>
        <v>Not Found</v>
      </c>
      <c r="W1061" s="2" t="str">
        <f>_xlfn.XLOOKUP(Table2[[#This Row],[Adjusted Form '#]],[2]BILLED!$D:$D,[2]BILLED!$M:$M,"Not Found")</f>
        <v>9400 1112 0620 7086 0647 71</v>
      </c>
      <c r="X1061" s="17" t="e">
        <f>_xlfn.XLOOKUP(Table2[[#This Row],[Adjusted Form '#]],[2]BILLED!$D:$D,[1]BILLED!$O:$O,"Not Found")</f>
        <v>#REF!</v>
      </c>
      <c r="Y1061" s="17" t="e">
        <f>_xlfn.XLOOKUP(Table2[[#This Row],[Adjusted Form '#]],'[2]REJECTED ORDERS'!$D:$D,'[2]REJECTED ORDERS'!$E:$E)</f>
        <v>#N/A</v>
      </c>
      <c r="Z1061" s="1"/>
      <c r="AA1061" s="1"/>
      <c r="AB1061" s="8"/>
      <c r="AC1061" s="8"/>
      <c r="AD1061" s="8"/>
      <c r="AE1061" s="8"/>
      <c r="AF1061" s="8"/>
      <c r="AG1061" s="8"/>
      <c r="AH1061" s="8"/>
      <c r="AI1061" s="8"/>
      <c r="AJ1061" s="8"/>
    </row>
    <row r="1062" spans="1:36" ht="15" customHeight="1" x14ac:dyDescent="0.35">
      <c r="A1062" s="4" t="s">
        <v>1603</v>
      </c>
      <c r="B1062" s="1" t="s">
        <v>3747</v>
      </c>
      <c r="C1062" s="11">
        <v>45068</v>
      </c>
      <c r="D1062" s="11" t="s">
        <v>5716</v>
      </c>
      <c r="E1062" s="1" t="s">
        <v>64</v>
      </c>
      <c r="F1062" s="1" t="s">
        <v>5717</v>
      </c>
      <c r="G1062" s="6">
        <f>COUNTIF(F:F,Table2[[#This Row],[Form '#]])</f>
        <v>1</v>
      </c>
      <c r="H1062" s="1" t="s">
        <v>5718</v>
      </c>
      <c r="I1062" s="1" t="s">
        <v>3864</v>
      </c>
      <c r="J1062" s="1" t="s">
        <v>3891</v>
      </c>
      <c r="K1062" s="1" t="s">
        <v>3891</v>
      </c>
      <c r="L1062" s="1"/>
      <c r="M1062" s="6" t="str">
        <f>IF(Table2[[#This Row],[Corrected Form '#
 (If Duplicated)]]="",Table2[[#This Row],[Form '#]],Table2[[#This Row],[Corrected Form '#
 (If Duplicated)]])</f>
        <v>7824-00441</v>
      </c>
      <c r="N1062" s="1" t="s">
        <v>49</v>
      </c>
      <c r="O1062" s="6" t="str">
        <f>IF(Table2[[#This Row],[POG CONFIRMATION RECEIPT OF ORDER
(DATE &amp; TIME)]]="","No Confirmation","Received Confirmation")</f>
        <v>Received Confirmation</v>
      </c>
      <c r="P1062" s="6">
        <f ca="1">TODAY()-Table2[[#This Row],[DATE SENT TO POG]]</f>
        <v>235</v>
      </c>
      <c r="Q1062" s="6" t="s">
        <v>5803</v>
      </c>
      <c r="R10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2" s="2" t="str">
        <f>_xlfn.XLOOKUP(Table2[[#This Row],[Adjusted Form '#]],'[2]IN PROGRESS'!$D:$D,'[2]IN PROGRESS'!$M:$M,"Not Found")</f>
        <v>Not Found</v>
      </c>
      <c r="U1062" s="2" t="str">
        <f>_xlfn.XLOOKUP(Table2[[#This Row],[Adjusted Form '#]],[1]COMPLETED!$D:$D,[2]COMPLETED!$M:$M,"Not Found")</f>
        <v>Not Found</v>
      </c>
      <c r="V1062" s="17" t="str">
        <f>_xlfn.XLOOKUP(Table2[[#This Row],[Adjusted Form '#]],[2]COMPLETED!$D:$D,[2]COMPLETED!$O:$O,"Not Found")</f>
        <v>Not Found</v>
      </c>
      <c r="W1062" s="2" t="str">
        <f>_xlfn.XLOOKUP(Table2[[#This Row],[Adjusted Form '#]],[2]BILLED!$D:$D,[2]BILLED!$M:$M,"Not Found")</f>
        <v>1Z5063E0YW42968186</v>
      </c>
      <c r="X1062" s="17" t="e">
        <f>_xlfn.XLOOKUP(Table2[[#This Row],[Adjusted Form '#]],[2]BILLED!$D:$D,[1]BILLED!$O:$O,"Not Found")</f>
        <v>#REF!</v>
      </c>
      <c r="Y1062" s="17" t="e">
        <f>_xlfn.XLOOKUP(Table2[[#This Row],[Adjusted Form '#]],'[2]REJECTED ORDERS'!$D:$D,'[2]REJECTED ORDERS'!$E:$E)</f>
        <v>#N/A</v>
      </c>
      <c r="Z1062" s="1"/>
      <c r="AA1062" s="1"/>
      <c r="AB1062" s="8"/>
      <c r="AC1062" s="8"/>
      <c r="AD1062" s="8"/>
      <c r="AE1062" s="8"/>
      <c r="AF1062" s="8"/>
      <c r="AG1062" s="8"/>
      <c r="AH1062" s="8"/>
      <c r="AI1062" s="8"/>
      <c r="AJ1062" s="8"/>
    </row>
    <row r="1063" spans="1:36" ht="15" customHeight="1" x14ac:dyDescent="0.35">
      <c r="A1063" s="4" t="s">
        <v>1605</v>
      </c>
      <c r="B1063" s="1" t="s">
        <v>5719</v>
      </c>
      <c r="C1063" s="11">
        <v>45068</v>
      </c>
      <c r="D1063" s="11" t="s">
        <v>5720</v>
      </c>
      <c r="E1063" s="1" t="s">
        <v>21</v>
      </c>
      <c r="F1063" s="1" t="s">
        <v>5721</v>
      </c>
      <c r="G1063" s="6">
        <f>COUNTIF(F:F,Table2[[#This Row],[Form '#]])</f>
        <v>1</v>
      </c>
      <c r="H1063" s="1" t="s">
        <v>2674</v>
      </c>
      <c r="I1063" s="1" t="s">
        <v>127</v>
      </c>
      <c r="J1063" s="1" t="s">
        <v>76</v>
      </c>
      <c r="K1063" s="1" t="s">
        <v>4011</v>
      </c>
      <c r="L1063" s="1"/>
      <c r="M1063" s="6" t="str">
        <f>IF(Table2[[#This Row],[Corrected Form '#
 (If Duplicated)]]="",Table2[[#This Row],[Form '#]],Table2[[#This Row],[Corrected Form '#
 (If Duplicated)]])</f>
        <v>7818-07983</v>
      </c>
      <c r="N1063" s="1" t="s">
        <v>49</v>
      </c>
      <c r="O1063" s="6" t="str">
        <f>IF(Table2[[#This Row],[POG CONFIRMATION RECEIPT OF ORDER
(DATE &amp; TIME)]]="","No Confirmation","Received Confirmation")</f>
        <v>Received Confirmation</v>
      </c>
      <c r="P1063" s="6">
        <f ca="1">TODAY()-Table2[[#This Row],[DATE SENT TO POG]]</f>
        <v>235</v>
      </c>
      <c r="Q1063" s="6" t="s">
        <v>5803</v>
      </c>
      <c r="R10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3" s="2" t="str">
        <f>_xlfn.XLOOKUP(Table2[[#This Row],[Adjusted Form '#]],'[2]IN PROGRESS'!$D:$D,'[2]IN PROGRESS'!$M:$M,"Not Found")</f>
        <v>Not Found</v>
      </c>
      <c r="U1063" s="2" t="str">
        <f>_xlfn.XLOOKUP(Table2[[#This Row],[Adjusted Form '#]],[1]COMPLETED!$D:$D,[2]COMPLETED!$M:$M,"Not Found")</f>
        <v>Not Found</v>
      </c>
      <c r="V1063" s="17" t="str">
        <f>_xlfn.XLOOKUP(Table2[[#This Row],[Adjusted Form '#]],[2]COMPLETED!$D:$D,[2]COMPLETED!$O:$O,"Not Found")</f>
        <v>Not Found</v>
      </c>
      <c r="W1063" s="2" t="str">
        <f>_xlfn.XLOOKUP(Table2[[#This Row],[Adjusted Form '#]],[2]BILLED!$D:$D,[2]BILLED!$M:$M,"Not Found")</f>
        <v>1Z5063E0YW42944139</v>
      </c>
      <c r="X1063" s="17" t="e">
        <f>_xlfn.XLOOKUP(Table2[[#This Row],[Adjusted Form '#]],[2]BILLED!$D:$D,[1]BILLED!$O:$O,"Not Found")</f>
        <v>#REF!</v>
      </c>
      <c r="Y1063" s="17" t="e">
        <f>_xlfn.XLOOKUP(Table2[[#This Row],[Adjusted Form '#]],'[2]REJECTED ORDERS'!$D:$D,'[2]REJECTED ORDERS'!$E:$E)</f>
        <v>#N/A</v>
      </c>
      <c r="Z1063" s="1"/>
      <c r="AA1063" s="1"/>
      <c r="AB1063" s="8"/>
      <c r="AC1063" s="8"/>
      <c r="AD1063" s="8"/>
      <c r="AE1063" s="8"/>
      <c r="AF1063" s="8"/>
      <c r="AG1063" s="8"/>
      <c r="AH1063" s="8"/>
      <c r="AI1063" s="8"/>
      <c r="AJ1063" s="8"/>
    </row>
    <row r="1064" spans="1:36" ht="15" customHeight="1" x14ac:dyDescent="0.35">
      <c r="A1064" s="4" t="s">
        <v>1606</v>
      </c>
      <c r="B1064" s="1" t="s">
        <v>5719</v>
      </c>
      <c r="C1064" s="11">
        <v>45068</v>
      </c>
      <c r="D1064" s="11" t="s">
        <v>5720</v>
      </c>
      <c r="E1064" s="1" t="s">
        <v>21</v>
      </c>
      <c r="F1064" s="1" t="s">
        <v>5722</v>
      </c>
      <c r="G1064" s="6">
        <f>COUNTIF(F:F,Table2[[#This Row],[Form '#]])</f>
        <v>1</v>
      </c>
      <c r="H1064" s="1" t="s">
        <v>5723</v>
      </c>
      <c r="I1064" s="1" t="s">
        <v>3852</v>
      </c>
      <c r="J1064" s="1" t="s">
        <v>80</v>
      </c>
      <c r="K1064" s="1" t="s">
        <v>3853</v>
      </c>
      <c r="L1064" s="1"/>
      <c r="M1064" s="6" t="str">
        <f>IF(Table2[[#This Row],[Corrected Form '#
 (If Duplicated)]]="",Table2[[#This Row],[Form '#]],Table2[[#This Row],[Corrected Form '#
 (If Duplicated)]])</f>
        <v>7818-28408</v>
      </c>
      <c r="N1064" s="1" t="s">
        <v>49</v>
      </c>
      <c r="O1064" s="6" t="str">
        <f>IF(Table2[[#This Row],[POG CONFIRMATION RECEIPT OF ORDER
(DATE &amp; TIME)]]="","No Confirmation","Received Confirmation")</f>
        <v>Received Confirmation</v>
      </c>
      <c r="P1064" s="6">
        <f ca="1">TODAY()-Table2[[#This Row],[DATE SENT TO POG]]</f>
        <v>235</v>
      </c>
      <c r="Q1064" s="6" t="s">
        <v>5803</v>
      </c>
      <c r="R10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4" s="2" t="str">
        <f>_xlfn.XLOOKUP(Table2[[#This Row],[Adjusted Form '#]],'[2]IN PROGRESS'!$D:$D,'[2]IN PROGRESS'!$M:$M,"Not Found")</f>
        <v>Not Found</v>
      </c>
      <c r="U1064" s="2" t="str">
        <f>_xlfn.XLOOKUP(Table2[[#This Row],[Adjusted Form '#]],[1]COMPLETED!$D:$D,[2]COMPLETED!$M:$M,"Not Found")</f>
        <v>Not Found</v>
      </c>
      <c r="V1064" s="17" t="str">
        <f>_xlfn.XLOOKUP(Table2[[#This Row],[Adjusted Form '#]],[2]COMPLETED!$D:$D,[2]COMPLETED!$O:$O,"Not Found")</f>
        <v>Not Found</v>
      </c>
      <c r="W1064" s="2" t="str">
        <f>_xlfn.XLOOKUP(Table2[[#This Row],[Adjusted Form '#]],[2]BILLED!$D:$D,[2]BILLED!$M:$M,"Not Found")</f>
        <v>1Z5063E0YW42267166</v>
      </c>
      <c r="X1064" s="17" t="e">
        <f>_xlfn.XLOOKUP(Table2[[#This Row],[Adjusted Form '#]],[2]BILLED!$D:$D,[1]BILLED!$O:$O,"Not Found")</f>
        <v>#REF!</v>
      </c>
      <c r="Y1064" s="17" t="e">
        <f>_xlfn.XLOOKUP(Table2[[#This Row],[Adjusted Form '#]],'[2]REJECTED ORDERS'!$D:$D,'[2]REJECTED ORDERS'!$E:$E)</f>
        <v>#N/A</v>
      </c>
      <c r="Z1064" s="1"/>
      <c r="AA1064" s="1"/>
      <c r="AB1064" s="8"/>
      <c r="AC1064" s="8"/>
      <c r="AD1064" s="8"/>
      <c r="AE1064" s="8"/>
      <c r="AF1064" s="8"/>
      <c r="AG1064" s="8"/>
      <c r="AH1064" s="8"/>
      <c r="AI1064" s="8"/>
      <c r="AJ1064" s="8"/>
    </row>
    <row r="1065" spans="1:36" ht="15" customHeight="1" x14ac:dyDescent="0.35">
      <c r="A1065" s="4" t="s">
        <v>1608</v>
      </c>
      <c r="B1065" s="1" t="s">
        <v>5719</v>
      </c>
      <c r="C1065" s="11">
        <v>45068</v>
      </c>
      <c r="D1065" s="11" t="s">
        <v>5720</v>
      </c>
      <c r="E1065" s="1" t="s">
        <v>21</v>
      </c>
      <c r="F1065" s="1" t="s">
        <v>5724</v>
      </c>
      <c r="G1065" s="6">
        <f>COUNTIF(F:F,Table2[[#This Row],[Form '#]])</f>
        <v>1</v>
      </c>
      <c r="H1065" s="1" t="s">
        <v>5725</v>
      </c>
      <c r="I1065" s="1" t="s">
        <v>3852</v>
      </c>
      <c r="J1065" s="1" t="s">
        <v>80</v>
      </c>
      <c r="K1065" s="1" t="s">
        <v>4011</v>
      </c>
      <c r="L1065" s="1"/>
      <c r="M1065" s="6" t="str">
        <f>IF(Table2[[#This Row],[Corrected Form '#
 (If Duplicated)]]="",Table2[[#This Row],[Form '#]],Table2[[#This Row],[Corrected Form '#
 (If Duplicated)]])</f>
        <v>7818-30779</v>
      </c>
      <c r="N1065" s="1" t="s">
        <v>49</v>
      </c>
      <c r="O1065" s="6" t="str">
        <f>IF(Table2[[#This Row],[POG CONFIRMATION RECEIPT OF ORDER
(DATE &amp; TIME)]]="","No Confirmation","Received Confirmation")</f>
        <v>Received Confirmation</v>
      </c>
      <c r="P1065" s="6">
        <f ca="1">TODAY()-Table2[[#This Row],[DATE SENT TO POG]]</f>
        <v>235</v>
      </c>
      <c r="Q1065" s="6" t="s">
        <v>5803</v>
      </c>
      <c r="R10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5" s="2" t="str">
        <f>_xlfn.XLOOKUP(Table2[[#This Row],[Adjusted Form '#]],'[2]IN PROGRESS'!$D:$D,'[2]IN PROGRESS'!$M:$M,"Not Found")</f>
        <v>Not Found</v>
      </c>
      <c r="U1065" s="2" t="str">
        <f>_xlfn.XLOOKUP(Table2[[#This Row],[Adjusted Form '#]],[1]COMPLETED!$D:$D,[2]COMPLETED!$M:$M,"Not Found")</f>
        <v>Not Found</v>
      </c>
      <c r="V1065" s="17" t="str">
        <f>_xlfn.XLOOKUP(Table2[[#This Row],[Adjusted Form '#]],[2]COMPLETED!$D:$D,[2]COMPLETED!$O:$O,"Not Found")</f>
        <v>Not Found</v>
      </c>
      <c r="W1065" s="2" t="str">
        <f>_xlfn.XLOOKUP(Table2[[#This Row],[Adjusted Form '#]],[2]BILLED!$D:$D,[2]BILLED!$M:$M,"Not Found")</f>
        <v>1Z5063E0YW41572677</v>
      </c>
      <c r="X1065" s="17" t="e">
        <f>_xlfn.XLOOKUP(Table2[[#This Row],[Adjusted Form '#]],[2]BILLED!$D:$D,[1]BILLED!$O:$O,"Not Found")</f>
        <v>#REF!</v>
      </c>
      <c r="Y1065" s="17" t="e">
        <f>_xlfn.XLOOKUP(Table2[[#This Row],[Adjusted Form '#]],'[2]REJECTED ORDERS'!$D:$D,'[2]REJECTED ORDERS'!$E:$E)</f>
        <v>#N/A</v>
      </c>
      <c r="Z1065" s="1"/>
      <c r="AA1065" s="1"/>
      <c r="AB1065" s="8"/>
      <c r="AC1065" s="8"/>
      <c r="AD1065" s="8"/>
      <c r="AE1065" s="8"/>
      <c r="AF1065" s="8"/>
      <c r="AG1065" s="8"/>
      <c r="AH1065" s="8"/>
      <c r="AI1065" s="8"/>
      <c r="AJ1065" s="8"/>
    </row>
    <row r="1066" spans="1:36" ht="15" customHeight="1" x14ac:dyDescent="0.35">
      <c r="A1066" s="4" t="s">
        <v>1609</v>
      </c>
      <c r="B1066" s="1" t="s">
        <v>5719</v>
      </c>
      <c r="C1066" s="11">
        <v>45068</v>
      </c>
      <c r="D1066" s="11" t="s">
        <v>5720</v>
      </c>
      <c r="E1066" s="1" t="s">
        <v>21</v>
      </c>
      <c r="F1066" s="1" t="s">
        <v>5726</v>
      </c>
      <c r="G1066" s="6">
        <f>COUNTIF(F:F,Table2[[#This Row],[Form '#]])</f>
        <v>1</v>
      </c>
      <c r="H1066" s="1" t="s">
        <v>5727</v>
      </c>
      <c r="I1066" s="1" t="s">
        <v>28</v>
      </c>
      <c r="J1066" s="1" t="s">
        <v>80</v>
      </c>
      <c r="K1066" s="1" t="s">
        <v>4631</v>
      </c>
      <c r="L1066" s="1"/>
      <c r="M1066" s="6" t="str">
        <f>IF(Table2[[#This Row],[Corrected Form '#
 (If Duplicated)]]="",Table2[[#This Row],[Form '#]],Table2[[#This Row],[Corrected Form '#
 (If Duplicated)]])</f>
        <v>7818-26085</v>
      </c>
      <c r="N1066" s="1" t="s">
        <v>49</v>
      </c>
      <c r="O1066" s="6" t="str">
        <f>IF(Table2[[#This Row],[POG CONFIRMATION RECEIPT OF ORDER
(DATE &amp; TIME)]]="","No Confirmation","Received Confirmation")</f>
        <v>Received Confirmation</v>
      </c>
      <c r="P1066" s="6">
        <f ca="1">TODAY()-Table2[[#This Row],[DATE SENT TO POG]]</f>
        <v>235</v>
      </c>
      <c r="Q1066" s="6" t="s">
        <v>5803</v>
      </c>
      <c r="R10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6" s="2" t="str">
        <f>_xlfn.XLOOKUP(Table2[[#This Row],[Adjusted Form '#]],'[2]IN PROGRESS'!$D:$D,'[2]IN PROGRESS'!$M:$M,"Not Found")</f>
        <v>Not Found</v>
      </c>
      <c r="U1066" s="2" t="str">
        <f>_xlfn.XLOOKUP(Table2[[#This Row],[Adjusted Form '#]],[1]COMPLETED!$D:$D,[2]COMPLETED!$M:$M,"Not Found")</f>
        <v>Not Found</v>
      </c>
      <c r="V1066" s="17" t="str">
        <f>_xlfn.XLOOKUP(Table2[[#This Row],[Adjusted Form '#]],[2]COMPLETED!$D:$D,[2]COMPLETED!$O:$O,"Not Found")</f>
        <v>Not Found</v>
      </c>
      <c r="W1066" s="2" t="str">
        <f>_xlfn.XLOOKUP(Table2[[#This Row],[Adjusted Form '#]],[2]BILLED!$D:$D,[2]BILLED!$M:$M,"Not Found")</f>
        <v>1Z5063E0YW42242307</v>
      </c>
      <c r="X1066" s="17" t="e">
        <f>_xlfn.XLOOKUP(Table2[[#This Row],[Adjusted Form '#]],[2]BILLED!$D:$D,[1]BILLED!$O:$O,"Not Found")</f>
        <v>#REF!</v>
      </c>
      <c r="Y1066" s="17" t="e">
        <f>_xlfn.XLOOKUP(Table2[[#This Row],[Adjusted Form '#]],'[2]REJECTED ORDERS'!$D:$D,'[2]REJECTED ORDERS'!$E:$E)</f>
        <v>#N/A</v>
      </c>
      <c r="Z1066" s="1"/>
      <c r="AA1066" s="1"/>
      <c r="AB1066" s="8"/>
      <c r="AC1066" s="8"/>
      <c r="AD1066" s="8"/>
      <c r="AE1066" s="8"/>
      <c r="AF1066" s="8"/>
      <c r="AG1066" s="8"/>
      <c r="AH1066" s="8"/>
      <c r="AI1066" s="8"/>
      <c r="AJ1066" s="8"/>
    </row>
    <row r="1067" spans="1:36" ht="15" customHeight="1" x14ac:dyDescent="0.35">
      <c r="A1067" s="4" t="s">
        <v>1610</v>
      </c>
      <c r="B1067" s="1" t="s">
        <v>5719</v>
      </c>
      <c r="C1067" s="11">
        <v>45068</v>
      </c>
      <c r="D1067" s="11" t="s">
        <v>5720</v>
      </c>
      <c r="E1067" s="1" t="s">
        <v>21</v>
      </c>
      <c r="F1067" s="1" t="s">
        <v>5728</v>
      </c>
      <c r="G1067" s="6">
        <f>COUNTIF(F:F,Table2[[#This Row],[Form '#]])</f>
        <v>1</v>
      </c>
      <c r="H1067" s="1" t="s">
        <v>5729</v>
      </c>
      <c r="I1067" s="1" t="s">
        <v>28</v>
      </c>
      <c r="J1067" s="1" t="s">
        <v>3891</v>
      </c>
      <c r="K1067" s="1" t="s">
        <v>4631</v>
      </c>
      <c r="L1067" s="1"/>
      <c r="M1067" s="6" t="str">
        <f>IF(Table2[[#This Row],[Corrected Form '#
 (If Duplicated)]]="",Table2[[#This Row],[Form '#]],Table2[[#This Row],[Corrected Form '#
 (If Duplicated)]])</f>
        <v>7818-28690</v>
      </c>
      <c r="N1067" s="1" t="s">
        <v>49</v>
      </c>
      <c r="O1067" s="6" t="str">
        <f>IF(Table2[[#This Row],[POG CONFIRMATION RECEIPT OF ORDER
(DATE &amp; TIME)]]="","No Confirmation","Received Confirmation")</f>
        <v>Received Confirmation</v>
      </c>
      <c r="P1067" s="6">
        <f ca="1">TODAY()-Table2[[#This Row],[DATE SENT TO POG]]</f>
        <v>235</v>
      </c>
      <c r="Q1067" s="6" t="s">
        <v>5803</v>
      </c>
      <c r="R10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7" s="2" t="str">
        <f>_xlfn.XLOOKUP(Table2[[#This Row],[Adjusted Form '#]],'[2]IN PROGRESS'!$D:$D,'[2]IN PROGRESS'!$M:$M,"Not Found")</f>
        <v>Not Found</v>
      </c>
      <c r="U1067" s="2" t="str">
        <f>_xlfn.XLOOKUP(Table2[[#This Row],[Adjusted Form '#]],[1]COMPLETED!$D:$D,[2]COMPLETED!$M:$M,"Not Found")</f>
        <v>Not Found</v>
      </c>
      <c r="V1067" s="17" t="str">
        <f>_xlfn.XLOOKUP(Table2[[#This Row],[Adjusted Form '#]],[2]COMPLETED!$D:$D,[2]COMPLETED!$O:$O,"Not Found")</f>
        <v>Not Found</v>
      </c>
      <c r="W1067" s="2" t="str">
        <f>_xlfn.XLOOKUP(Table2[[#This Row],[Adjusted Form '#]],[2]BILLED!$D:$D,[2]BILLED!$M:$M,"Not Found")</f>
        <v>1Z5063E0YW40109821</v>
      </c>
      <c r="X1067" s="17" t="e">
        <f>_xlfn.XLOOKUP(Table2[[#This Row],[Adjusted Form '#]],[2]BILLED!$D:$D,[1]BILLED!$O:$O,"Not Found")</f>
        <v>#REF!</v>
      </c>
      <c r="Y1067" s="17" t="e">
        <f>_xlfn.XLOOKUP(Table2[[#This Row],[Adjusted Form '#]],'[2]REJECTED ORDERS'!$D:$D,'[2]REJECTED ORDERS'!$E:$E)</f>
        <v>#N/A</v>
      </c>
      <c r="Z1067" s="1"/>
      <c r="AA1067" s="1"/>
      <c r="AB1067" s="8"/>
      <c r="AC1067" s="8"/>
      <c r="AD1067" s="8"/>
      <c r="AE1067" s="8"/>
      <c r="AF1067" s="8"/>
      <c r="AG1067" s="8"/>
      <c r="AH1067" s="8"/>
      <c r="AI1067" s="8"/>
      <c r="AJ1067" s="8"/>
    </row>
    <row r="1068" spans="1:36" ht="15" customHeight="1" x14ac:dyDescent="0.35">
      <c r="A1068" s="4" t="s">
        <v>1612</v>
      </c>
      <c r="B1068" s="1" t="s">
        <v>496</v>
      </c>
      <c r="C1068" s="11">
        <v>45069</v>
      </c>
      <c r="D1068" s="11" t="s">
        <v>5730</v>
      </c>
      <c r="E1068" s="1" t="s">
        <v>191</v>
      </c>
      <c r="F1068" s="1" t="s">
        <v>5731</v>
      </c>
      <c r="G1068" s="6">
        <f>COUNTIF(F:F,Table2[[#This Row],[Form '#]])</f>
        <v>1</v>
      </c>
      <c r="H1068" s="1" t="s">
        <v>5732</v>
      </c>
      <c r="I1068" s="1" t="s">
        <v>28</v>
      </c>
      <c r="J1068" s="1" t="s">
        <v>69</v>
      </c>
      <c r="K1068" s="1" t="s">
        <v>4011</v>
      </c>
      <c r="L1068" s="1"/>
      <c r="M1068" s="6" t="str">
        <f>IF(Table2[[#This Row],[Corrected Form '#
 (If Duplicated)]]="",Table2[[#This Row],[Form '#]],Table2[[#This Row],[Corrected Form '#
 (If Duplicated)]])</f>
        <v>7812-4009</v>
      </c>
      <c r="N1068" s="1" t="s">
        <v>49</v>
      </c>
      <c r="O1068" s="6" t="str">
        <f>IF(Table2[[#This Row],[POG CONFIRMATION RECEIPT OF ORDER
(DATE &amp; TIME)]]="","No Confirmation","Received Confirmation")</f>
        <v>Received Confirmation</v>
      </c>
      <c r="P1068" s="6">
        <f ca="1">TODAY()-Table2[[#This Row],[DATE SENT TO POG]]</f>
        <v>234</v>
      </c>
      <c r="Q1068" s="6" t="s">
        <v>5803</v>
      </c>
      <c r="R10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8" s="2" t="str">
        <f>_xlfn.XLOOKUP(Table2[[#This Row],[Adjusted Form '#]],'[2]IN PROGRESS'!$D:$D,'[2]IN PROGRESS'!$M:$M,"Not Found")</f>
        <v>Not Found</v>
      </c>
      <c r="U1068" s="2" t="str">
        <f>_xlfn.XLOOKUP(Table2[[#This Row],[Adjusted Form '#]],[1]COMPLETED!$D:$D,[2]COMPLETED!$M:$M,"Not Found")</f>
        <v>Not Found</v>
      </c>
      <c r="V1068" s="17" t="str">
        <f>_xlfn.XLOOKUP(Table2[[#This Row],[Adjusted Form '#]],[2]COMPLETED!$D:$D,[2]COMPLETED!$O:$O,"Not Found")</f>
        <v>Not Found</v>
      </c>
      <c r="W1068" s="2" t="str">
        <f>_xlfn.XLOOKUP(Table2[[#This Row],[Adjusted Form '#]],[2]BILLED!$D:$D,[2]BILLED!$M:$M,"Not Found")</f>
        <v>1Z5063E0YW41670892</v>
      </c>
      <c r="X1068" s="17" t="e">
        <f>_xlfn.XLOOKUP(Table2[[#This Row],[Adjusted Form '#]],[2]BILLED!$D:$D,[1]BILLED!$O:$O,"Not Found")</f>
        <v>#REF!</v>
      </c>
      <c r="Y1068" s="17" t="e">
        <f>_xlfn.XLOOKUP(Table2[[#This Row],[Adjusted Form '#]],'[2]REJECTED ORDERS'!$D:$D,'[2]REJECTED ORDERS'!$E:$E)</f>
        <v>#N/A</v>
      </c>
      <c r="Z1068" s="1"/>
      <c r="AA1068" s="1"/>
      <c r="AB1068" s="8"/>
      <c r="AC1068" s="8"/>
      <c r="AD1068" s="8"/>
      <c r="AE1068" s="8"/>
      <c r="AF1068" s="8"/>
      <c r="AG1068" s="8"/>
      <c r="AH1068" s="8"/>
      <c r="AI1068" s="8"/>
      <c r="AJ1068" s="8"/>
    </row>
    <row r="1069" spans="1:36" ht="15" customHeight="1" x14ac:dyDescent="0.35">
      <c r="A1069" s="4" t="s">
        <v>1613</v>
      </c>
      <c r="B1069" s="1" t="s">
        <v>496</v>
      </c>
      <c r="C1069" s="11">
        <v>45069</v>
      </c>
      <c r="D1069" s="11" t="s">
        <v>5730</v>
      </c>
      <c r="E1069" s="1" t="s">
        <v>191</v>
      </c>
      <c r="F1069" s="1" t="s">
        <v>5733</v>
      </c>
      <c r="G1069" s="6">
        <f>COUNTIF(F:F,Table2[[#This Row],[Form '#]])</f>
        <v>1</v>
      </c>
      <c r="H1069" s="1" t="s">
        <v>5734</v>
      </c>
      <c r="I1069" s="1" t="s">
        <v>28</v>
      </c>
      <c r="J1069" s="1" t="s">
        <v>69</v>
      </c>
      <c r="K1069" s="1" t="s">
        <v>4631</v>
      </c>
      <c r="L1069" s="1"/>
      <c r="M1069" s="6" t="str">
        <f>IF(Table2[[#This Row],[Corrected Form '#
 (If Duplicated)]]="",Table2[[#This Row],[Form '#]],Table2[[#This Row],[Corrected Form '#
 (If Duplicated)]])</f>
        <v>7812-01877</v>
      </c>
      <c r="N1069" s="1" t="s">
        <v>49</v>
      </c>
      <c r="O1069" s="6" t="str">
        <f>IF(Table2[[#This Row],[POG CONFIRMATION RECEIPT OF ORDER
(DATE &amp; TIME)]]="","No Confirmation","Received Confirmation")</f>
        <v>Received Confirmation</v>
      </c>
      <c r="P1069" s="6">
        <f ca="1">TODAY()-Table2[[#This Row],[DATE SENT TO POG]]</f>
        <v>234</v>
      </c>
      <c r="Q1069" s="6" t="s">
        <v>5803</v>
      </c>
      <c r="R10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69" s="2" t="str">
        <f>_xlfn.XLOOKUP(Table2[[#This Row],[Adjusted Form '#]],'[2]IN PROGRESS'!$D:$D,'[2]IN PROGRESS'!$M:$M,"Not Found")</f>
        <v>Not Found</v>
      </c>
      <c r="U1069" s="2" t="str">
        <f>_xlfn.XLOOKUP(Table2[[#This Row],[Adjusted Form '#]],[1]COMPLETED!$D:$D,[2]COMPLETED!$M:$M,"Not Found")</f>
        <v>Not Found</v>
      </c>
      <c r="V1069" s="17" t="str">
        <f>_xlfn.XLOOKUP(Table2[[#This Row],[Adjusted Form '#]],[2]COMPLETED!$D:$D,[2]COMPLETED!$O:$O,"Not Found")</f>
        <v>Not Found</v>
      </c>
      <c r="W1069" s="2" t="str">
        <f>_xlfn.XLOOKUP(Table2[[#This Row],[Adjusted Form '#]],[2]BILLED!$D:$D,[2]BILLED!$M:$M,"Not Found")</f>
        <v>1Z5063E0YW42506915</v>
      </c>
      <c r="X1069" s="17" t="e">
        <f>_xlfn.XLOOKUP(Table2[[#This Row],[Adjusted Form '#]],[2]BILLED!$D:$D,[1]BILLED!$O:$O,"Not Found")</f>
        <v>#REF!</v>
      </c>
      <c r="Y1069" s="17" t="e">
        <f>_xlfn.XLOOKUP(Table2[[#This Row],[Adjusted Form '#]],'[2]REJECTED ORDERS'!$D:$D,'[2]REJECTED ORDERS'!$E:$E)</f>
        <v>#N/A</v>
      </c>
      <c r="Z1069" s="1"/>
      <c r="AA1069" s="1"/>
      <c r="AB1069" s="8"/>
      <c r="AC1069" s="8"/>
      <c r="AD1069" s="8"/>
      <c r="AE1069" s="8"/>
      <c r="AF1069" s="8"/>
      <c r="AG1069" s="8"/>
      <c r="AH1069" s="8"/>
      <c r="AI1069" s="8"/>
      <c r="AJ1069" s="8"/>
    </row>
    <row r="1070" spans="1:36" ht="15" customHeight="1" x14ac:dyDescent="0.35">
      <c r="A1070" s="4" t="s">
        <v>1614</v>
      </c>
      <c r="B1070" s="1" t="s">
        <v>496</v>
      </c>
      <c r="C1070" s="11">
        <v>45069</v>
      </c>
      <c r="D1070" s="11" t="s">
        <v>5730</v>
      </c>
      <c r="E1070" s="1" t="s">
        <v>191</v>
      </c>
      <c r="F1070" s="1" t="s">
        <v>5735</v>
      </c>
      <c r="G1070" s="6">
        <f>COUNTIF(F:F,Table2[[#This Row],[Form '#]])</f>
        <v>1</v>
      </c>
      <c r="H1070" s="1" t="s">
        <v>5736</v>
      </c>
      <c r="I1070" s="1" t="s">
        <v>3864</v>
      </c>
      <c r="J1070" s="1" t="s">
        <v>78</v>
      </c>
      <c r="K1070" s="1" t="s">
        <v>3879</v>
      </c>
      <c r="L1070" s="1"/>
      <c r="M1070" s="6" t="str">
        <f>IF(Table2[[#This Row],[Corrected Form '#
 (If Duplicated)]]="",Table2[[#This Row],[Form '#]],Table2[[#This Row],[Corrected Form '#
 (If Duplicated)]])</f>
        <v>7812-3635</v>
      </c>
      <c r="N1070" s="1" t="s">
        <v>49</v>
      </c>
      <c r="O1070" s="6" t="str">
        <f>IF(Table2[[#This Row],[POG CONFIRMATION RECEIPT OF ORDER
(DATE &amp; TIME)]]="","No Confirmation","Received Confirmation")</f>
        <v>Received Confirmation</v>
      </c>
      <c r="P1070" s="6">
        <f ca="1">TODAY()-Table2[[#This Row],[DATE SENT TO POG]]</f>
        <v>234</v>
      </c>
      <c r="Q1070" s="6" t="s">
        <v>5803</v>
      </c>
      <c r="R10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0" s="2" t="str">
        <f>_xlfn.XLOOKUP(Table2[[#This Row],[Adjusted Form '#]],'[2]IN PROGRESS'!$D:$D,'[2]IN PROGRESS'!$M:$M,"Not Found")</f>
        <v>Not Found</v>
      </c>
      <c r="U1070" s="2" t="str">
        <f>_xlfn.XLOOKUP(Table2[[#This Row],[Adjusted Form '#]],[1]COMPLETED!$D:$D,[2]COMPLETED!$M:$M,"Not Found")</f>
        <v>Not Found</v>
      </c>
      <c r="V1070" s="17" t="str">
        <f>_xlfn.XLOOKUP(Table2[[#This Row],[Adjusted Form '#]],[2]COMPLETED!$D:$D,[2]COMPLETED!$O:$O,"Not Found")</f>
        <v>Not Found</v>
      </c>
      <c r="W1070" s="2" t="str">
        <f>_xlfn.XLOOKUP(Table2[[#This Row],[Adjusted Form '#]],[2]BILLED!$D:$D,[2]BILLED!$M:$M,"Not Found")</f>
        <v>1Z5063E0YW40993643</v>
      </c>
      <c r="X1070" s="17" t="e">
        <f>_xlfn.XLOOKUP(Table2[[#This Row],[Adjusted Form '#]],[2]BILLED!$D:$D,[1]BILLED!$O:$O,"Not Found")</f>
        <v>#REF!</v>
      </c>
      <c r="Y1070" s="17" t="e">
        <f>_xlfn.XLOOKUP(Table2[[#This Row],[Adjusted Form '#]],'[2]REJECTED ORDERS'!$D:$D,'[2]REJECTED ORDERS'!$E:$E)</f>
        <v>#N/A</v>
      </c>
      <c r="Z1070" s="1"/>
      <c r="AA1070" s="1"/>
      <c r="AB1070" s="8"/>
      <c r="AC1070" s="8"/>
      <c r="AD1070" s="8"/>
      <c r="AE1070" s="8"/>
      <c r="AF1070" s="8"/>
      <c r="AG1070" s="8"/>
      <c r="AH1070" s="8"/>
      <c r="AI1070" s="8"/>
      <c r="AJ1070" s="8"/>
    </row>
    <row r="1071" spans="1:36" ht="15" customHeight="1" x14ac:dyDescent="0.35">
      <c r="A1071" s="4" t="s">
        <v>1615</v>
      </c>
      <c r="B1071" s="1" t="s">
        <v>496</v>
      </c>
      <c r="C1071" s="11">
        <v>45069</v>
      </c>
      <c r="D1071" s="11" t="s">
        <v>5730</v>
      </c>
      <c r="E1071" s="1" t="s">
        <v>191</v>
      </c>
      <c r="F1071" s="1" t="s">
        <v>5737</v>
      </c>
      <c r="G1071" s="6">
        <f>COUNTIF(F:F,Table2[[#This Row],[Form '#]])</f>
        <v>1</v>
      </c>
      <c r="H1071" s="1" t="s">
        <v>2237</v>
      </c>
      <c r="I1071" s="1" t="s">
        <v>127</v>
      </c>
      <c r="J1071" s="1" t="s">
        <v>76</v>
      </c>
      <c r="K1071" s="1" t="s">
        <v>4011</v>
      </c>
      <c r="L1071" s="1"/>
      <c r="M1071" s="6" t="str">
        <f>IF(Table2[[#This Row],[Corrected Form '#
 (If Duplicated)]]="",Table2[[#This Row],[Form '#]],Table2[[#This Row],[Corrected Form '#
 (If Duplicated)]])</f>
        <v>7812-02796</v>
      </c>
      <c r="N1071" s="1" t="s">
        <v>49</v>
      </c>
      <c r="O1071" s="6" t="str">
        <f>IF(Table2[[#This Row],[POG CONFIRMATION RECEIPT OF ORDER
(DATE &amp; TIME)]]="","No Confirmation","Received Confirmation")</f>
        <v>Received Confirmation</v>
      </c>
      <c r="P1071" s="6">
        <f ca="1">TODAY()-Table2[[#This Row],[DATE SENT TO POG]]</f>
        <v>234</v>
      </c>
      <c r="Q1071" s="6" t="s">
        <v>5803</v>
      </c>
      <c r="R10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1" s="2" t="str">
        <f>_xlfn.XLOOKUP(Table2[[#This Row],[Adjusted Form '#]],'[2]IN PROGRESS'!$D:$D,'[2]IN PROGRESS'!$M:$M,"Not Found")</f>
        <v>Not Found</v>
      </c>
      <c r="U1071" s="2" t="str">
        <f>_xlfn.XLOOKUP(Table2[[#This Row],[Adjusted Form '#]],[1]COMPLETED!$D:$D,[2]COMPLETED!$M:$M,"Not Found")</f>
        <v>Not Found</v>
      </c>
      <c r="V1071" s="17" t="str">
        <f>_xlfn.XLOOKUP(Table2[[#This Row],[Adjusted Form '#]],[2]COMPLETED!$D:$D,[2]COMPLETED!$O:$O,"Not Found")</f>
        <v>Not Found</v>
      </c>
      <c r="W1071" s="2" t="str">
        <f>_xlfn.XLOOKUP(Table2[[#This Row],[Adjusted Form '#]],[2]BILLED!$D:$D,[2]BILLED!$M:$M,"Not Found")</f>
        <v>1Z5063E0YW41029488</v>
      </c>
      <c r="X1071" s="17" t="e">
        <f>_xlfn.XLOOKUP(Table2[[#This Row],[Adjusted Form '#]],[2]BILLED!$D:$D,[1]BILLED!$O:$O,"Not Found")</f>
        <v>#REF!</v>
      </c>
      <c r="Y1071" s="17" t="e">
        <f>_xlfn.XLOOKUP(Table2[[#This Row],[Adjusted Form '#]],'[2]REJECTED ORDERS'!$D:$D,'[2]REJECTED ORDERS'!$E:$E)</f>
        <v>#N/A</v>
      </c>
      <c r="Z1071" s="1"/>
      <c r="AA1071" s="1"/>
      <c r="AB1071" s="8"/>
      <c r="AC1071" s="8"/>
      <c r="AD1071" s="8"/>
      <c r="AE1071" s="8"/>
      <c r="AF1071" s="8"/>
      <c r="AG1071" s="8"/>
      <c r="AH1071" s="8"/>
      <c r="AI1071" s="8"/>
      <c r="AJ1071" s="8"/>
    </row>
    <row r="1072" spans="1:36" ht="15" customHeight="1" x14ac:dyDescent="0.35">
      <c r="A1072" s="4" t="s">
        <v>1617</v>
      </c>
      <c r="B1072" s="1" t="s">
        <v>496</v>
      </c>
      <c r="C1072" s="11">
        <v>45069</v>
      </c>
      <c r="D1072" s="11" t="s">
        <v>5730</v>
      </c>
      <c r="E1072" s="1" t="s">
        <v>191</v>
      </c>
      <c r="F1072" s="1" t="s">
        <v>5738</v>
      </c>
      <c r="G1072" s="6">
        <f>COUNTIF(F:F,Table2[[#This Row],[Form '#]])</f>
        <v>1</v>
      </c>
      <c r="H1072" s="1" t="s">
        <v>5739</v>
      </c>
      <c r="I1072" s="1" t="s">
        <v>127</v>
      </c>
      <c r="J1072" s="1" t="s">
        <v>76</v>
      </c>
      <c r="K1072" s="1" t="s">
        <v>4011</v>
      </c>
      <c r="L1072" s="1"/>
      <c r="M1072" s="6" t="str">
        <f>IF(Table2[[#This Row],[Corrected Form '#
 (If Duplicated)]]="",Table2[[#This Row],[Form '#]],Table2[[#This Row],[Corrected Form '#
 (If Duplicated)]])</f>
        <v>7812-3574</v>
      </c>
      <c r="N1072" s="1" t="s">
        <v>49</v>
      </c>
      <c r="O1072" s="6" t="str">
        <f>IF(Table2[[#This Row],[POG CONFIRMATION RECEIPT OF ORDER
(DATE &amp; TIME)]]="","No Confirmation","Received Confirmation")</f>
        <v>Received Confirmation</v>
      </c>
      <c r="P1072" s="6">
        <f ca="1">TODAY()-Table2[[#This Row],[DATE SENT TO POG]]</f>
        <v>234</v>
      </c>
      <c r="Q1072" s="6" t="s">
        <v>5803</v>
      </c>
      <c r="R10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2" s="2" t="str">
        <f>_xlfn.XLOOKUP(Table2[[#This Row],[Adjusted Form '#]],'[2]IN PROGRESS'!$D:$D,'[2]IN PROGRESS'!$M:$M,"Not Found")</f>
        <v>Not Found</v>
      </c>
      <c r="U1072" s="2" t="str">
        <f>_xlfn.XLOOKUP(Table2[[#This Row],[Adjusted Form '#]],[1]COMPLETED!$D:$D,[2]COMPLETED!$M:$M,"Not Found")</f>
        <v>Not Found</v>
      </c>
      <c r="V1072" s="17" t="str">
        <f>_xlfn.XLOOKUP(Table2[[#This Row],[Adjusted Form '#]],[2]COMPLETED!$D:$D,[2]COMPLETED!$O:$O,"Not Found")</f>
        <v>Not Found</v>
      </c>
      <c r="W1072" s="2" t="str">
        <f>_xlfn.XLOOKUP(Table2[[#This Row],[Adjusted Form '#]],[2]BILLED!$D:$D,[2]BILLED!$M:$M,"Not Found")</f>
        <v>1Z5063E0YW42374282</v>
      </c>
      <c r="X1072" s="17" t="e">
        <f>_xlfn.XLOOKUP(Table2[[#This Row],[Adjusted Form '#]],[2]BILLED!$D:$D,[1]BILLED!$O:$O,"Not Found")</f>
        <v>#REF!</v>
      </c>
      <c r="Y1072" s="17" t="e">
        <f>_xlfn.XLOOKUP(Table2[[#This Row],[Adjusted Form '#]],'[2]REJECTED ORDERS'!$D:$D,'[2]REJECTED ORDERS'!$E:$E)</f>
        <v>#N/A</v>
      </c>
      <c r="Z1072" s="1"/>
      <c r="AA1072" s="1"/>
      <c r="AB1072" s="8"/>
      <c r="AC1072" s="8"/>
      <c r="AD1072" s="8"/>
      <c r="AE1072" s="8"/>
      <c r="AF1072" s="8"/>
      <c r="AG1072" s="8"/>
      <c r="AH1072" s="8"/>
      <c r="AI1072" s="8"/>
      <c r="AJ1072" s="8"/>
    </row>
    <row r="1073" spans="1:36" ht="15" customHeight="1" x14ac:dyDescent="0.35">
      <c r="A1073" s="4" t="s">
        <v>1618</v>
      </c>
      <c r="B1073" s="1" t="s">
        <v>496</v>
      </c>
      <c r="C1073" s="11">
        <v>45069</v>
      </c>
      <c r="D1073" s="11" t="s">
        <v>5730</v>
      </c>
      <c r="E1073" s="1" t="s">
        <v>191</v>
      </c>
      <c r="F1073" s="1" t="s">
        <v>5740</v>
      </c>
      <c r="G1073" s="6">
        <f>COUNTIF(F:F,Table2[[#This Row],[Form '#]])</f>
        <v>1</v>
      </c>
      <c r="H1073" s="1" t="s">
        <v>3465</v>
      </c>
      <c r="I1073" s="1" t="s">
        <v>127</v>
      </c>
      <c r="J1073" s="1" t="s">
        <v>76</v>
      </c>
      <c r="K1073" s="1" t="s">
        <v>4011</v>
      </c>
      <c r="L1073" s="1"/>
      <c r="M1073" s="6" t="str">
        <f>IF(Table2[[#This Row],[Corrected Form '#
 (If Duplicated)]]="",Table2[[#This Row],[Form '#]],Table2[[#This Row],[Corrected Form '#
 (If Duplicated)]])</f>
        <v>7812-02794</v>
      </c>
      <c r="N1073" s="1" t="s">
        <v>49</v>
      </c>
      <c r="O1073" s="6" t="str">
        <f>IF(Table2[[#This Row],[POG CONFIRMATION RECEIPT OF ORDER
(DATE &amp; TIME)]]="","No Confirmation","Received Confirmation")</f>
        <v>Received Confirmation</v>
      </c>
      <c r="P1073" s="6">
        <f ca="1">TODAY()-Table2[[#This Row],[DATE SENT TO POG]]</f>
        <v>234</v>
      </c>
      <c r="Q1073" s="6" t="s">
        <v>5803</v>
      </c>
      <c r="R10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3" s="2" t="str">
        <f>_xlfn.XLOOKUP(Table2[[#This Row],[Adjusted Form '#]],'[2]IN PROGRESS'!$D:$D,'[2]IN PROGRESS'!$M:$M,"Not Found")</f>
        <v>Not Found</v>
      </c>
      <c r="U1073" s="2" t="str">
        <f>_xlfn.XLOOKUP(Table2[[#This Row],[Adjusted Form '#]],[1]COMPLETED!$D:$D,[2]COMPLETED!$M:$M,"Not Found")</f>
        <v>Not Found</v>
      </c>
      <c r="V1073" s="17" t="str">
        <f>_xlfn.XLOOKUP(Table2[[#This Row],[Adjusted Form '#]],[2]COMPLETED!$D:$D,[2]COMPLETED!$O:$O,"Not Found")</f>
        <v>Not Found</v>
      </c>
      <c r="W1073" s="2" t="str">
        <f>_xlfn.XLOOKUP(Table2[[#This Row],[Adjusted Form '#]],[2]BILLED!$D:$D,[2]BILLED!$M:$M,"Not Found")</f>
        <v>1Z5063E0YW41987818</v>
      </c>
      <c r="X1073" s="17" t="e">
        <f>_xlfn.XLOOKUP(Table2[[#This Row],[Adjusted Form '#]],[2]BILLED!$D:$D,[1]BILLED!$O:$O,"Not Found")</f>
        <v>#REF!</v>
      </c>
      <c r="Y1073" s="17" t="e">
        <f>_xlfn.XLOOKUP(Table2[[#This Row],[Adjusted Form '#]],'[2]REJECTED ORDERS'!$D:$D,'[2]REJECTED ORDERS'!$E:$E)</f>
        <v>#N/A</v>
      </c>
      <c r="Z1073" s="1"/>
      <c r="AA1073" s="1"/>
      <c r="AB1073" s="8"/>
      <c r="AC1073" s="8"/>
      <c r="AD1073" s="8"/>
      <c r="AE1073" s="8"/>
      <c r="AF1073" s="8"/>
      <c r="AG1073" s="8"/>
      <c r="AH1073" s="8"/>
      <c r="AI1073" s="8"/>
      <c r="AJ1073" s="8"/>
    </row>
    <row r="1074" spans="1:36" ht="15" customHeight="1" x14ac:dyDescent="0.35">
      <c r="A1074" s="4" t="s">
        <v>1619</v>
      </c>
      <c r="B1074" s="1" t="s">
        <v>496</v>
      </c>
      <c r="C1074" s="11">
        <v>45069</v>
      </c>
      <c r="D1074" s="11" t="s">
        <v>5730</v>
      </c>
      <c r="E1074" s="1" t="s">
        <v>191</v>
      </c>
      <c r="F1074" s="1" t="s">
        <v>5741</v>
      </c>
      <c r="G1074" s="6">
        <f>COUNTIF(F:F,Table2[[#This Row],[Form '#]])</f>
        <v>1</v>
      </c>
      <c r="H1074" s="1" t="s">
        <v>2329</v>
      </c>
      <c r="I1074" s="1" t="s">
        <v>127</v>
      </c>
      <c r="J1074" s="1" t="s">
        <v>76</v>
      </c>
      <c r="K1074" s="1" t="s">
        <v>4011</v>
      </c>
      <c r="L1074" s="1"/>
      <c r="M1074" s="6" t="str">
        <f>IF(Table2[[#This Row],[Corrected Form '#
 (If Duplicated)]]="",Table2[[#This Row],[Form '#]],Table2[[#This Row],[Corrected Form '#
 (If Duplicated)]])</f>
        <v>7812-02797</v>
      </c>
      <c r="N1074" s="1" t="s">
        <v>49</v>
      </c>
      <c r="O1074" s="6" t="str">
        <f>IF(Table2[[#This Row],[POG CONFIRMATION RECEIPT OF ORDER
(DATE &amp; TIME)]]="","No Confirmation","Received Confirmation")</f>
        <v>Received Confirmation</v>
      </c>
      <c r="P1074" s="6">
        <f ca="1">TODAY()-Table2[[#This Row],[DATE SENT TO POG]]</f>
        <v>234</v>
      </c>
      <c r="Q1074" s="6" t="s">
        <v>5803</v>
      </c>
      <c r="R10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4" s="2" t="str">
        <f>_xlfn.XLOOKUP(Table2[[#This Row],[Adjusted Form '#]],'[2]IN PROGRESS'!$D:$D,'[2]IN PROGRESS'!$M:$M,"Not Found")</f>
        <v>Not Found</v>
      </c>
      <c r="U1074" s="2" t="str">
        <f>_xlfn.XLOOKUP(Table2[[#This Row],[Adjusted Form '#]],[1]COMPLETED!$D:$D,[2]COMPLETED!$M:$M,"Not Found")</f>
        <v>Not Found</v>
      </c>
      <c r="V1074" s="17" t="str">
        <f>_xlfn.XLOOKUP(Table2[[#This Row],[Adjusted Form '#]],[2]COMPLETED!$D:$D,[2]COMPLETED!$O:$O,"Not Found")</f>
        <v>Not Found</v>
      </c>
      <c r="W1074" s="2" t="str">
        <f>_xlfn.XLOOKUP(Table2[[#This Row],[Adjusted Form '#]],[2]BILLED!$D:$D,[2]BILLED!$M:$M,"Not Found")</f>
        <v>1Z5063E0YW42841053</v>
      </c>
      <c r="X1074" s="17" t="e">
        <f>_xlfn.XLOOKUP(Table2[[#This Row],[Adjusted Form '#]],[2]BILLED!$D:$D,[1]BILLED!$O:$O,"Not Found")</f>
        <v>#REF!</v>
      </c>
      <c r="Y1074" s="17" t="e">
        <f>_xlfn.XLOOKUP(Table2[[#This Row],[Adjusted Form '#]],'[2]REJECTED ORDERS'!$D:$D,'[2]REJECTED ORDERS'!$E:$E)</f>
        <v>#N/A</v>
      </c>
      <c r="Z1074" s="1"/>
      <c r="AA1074" s="1"/>
      <c r="AB1074" s="8"/>
      <c r="AC1074" s="8"/>
      <c r="AD1074" s="8"/>
      <c r="AE1074" s="8"/>
      <c r="AF1074" s="8"/>
      <c r="AG1074" s="8"/>
      <c r="AH1074" s="8"/>
      <c r="AI1074" s="8"/>
      <c r="AJ1074" s="8"/>
    </row>
    <row r="1075" spans="1:36" ht="15" customHeight="1" x14ac:dyDescent="0.35">
      <c r="A1075" s="4" t="s">
        <v>1621</v>
      </c>
      <c r="B1075" s="1" t="s">
        <v>3344</v>
      </c>
      <c r="C1075" s="11">
        <v>45069</v>
      </c>
      <c r="D1075" s="11" t="s">
        <v>5742</v>
      </c>
      <c r="E1075" s="1" t="s">
        <v>21</v>
      </c>
      <c r="F1075" s="1" t="s">
        <v>5743</v>
      </c>
      <c r="G1075" s="6">
        <f>COUNTIF(F:F,Table2[[#This Row],[Form '#]])</f>
        <v>1</v>
      </c>
      <c r="H1075" s="1" t="s">
        <v>5744</v>
      </c>
      <c r="I1075" s="1" t="s">
        <v>28</v>
      </c>
      <c r="J1075" s="1" t="s">
        <v>69</v>
      </c>
      <c r="K1075" s="1" t="s">
        <v>4011</v>
      </c>
      <c r="L1075" s="1"/>
      <c r="M1075" s="6" t="str">
        <f>IF(Table2[[#This Row],[Corrected Form '#
 (If Duplicated)]]="",Table2[[#This Row],[Form '#]],Table2[[#This Row],[Corrected Form '#
 (If Duplicated)]])</f>
        <v>7818-29580</v>
      </c>
      <c r="N1075" s="1" t="s">
        <v>49</v>
      </c>
      <c r="O1075" s="6" t="str">
        <f>IF(Table2[[#This Row],[POG CONFIRMATION RECEIPT OF ORDER
(DATE &amp; TIME)]]="","No Confirmation","Received Confirmation")</f>
        <v>Received Confirmation</v>
      </c>
      <c r="P1075" s="6">
        <f ca="1">TODAY()-Table2[[#This Row],[DATE SENT TO POG]]</f>
        <v>234</v>
      </c>
      <c r="Q1075" s="6" t="s">
        <v>5803</v>
      </c>
      <c r="R10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5" s="2" t="str">
        <f>_xlfn.XLOOKUP(Table2[[#This Row],[Adjusted Form '#]],'[2]IN PROGRESS'!$D:$D,'[2]IN PROGRESS'!$M:$M,"Not Found")</f>
        <v>Not Found</v>
      </c>
      <c r="U1075" s="2" t="str">
        <f>_xlfn.XLOOKUP(Table2[[#This Row],[Adjusted Form '#]],[1]COMPLETED!$D:$D,[2]COMPLETED!$M:$M,"Not Found")</f>
        <v>Not Found</v>
      </c>
      <c r="V1075" s="17" t="str">
        <f>_xlfn.XLOOKUP(Table2[[#This Row],[Adjusted Form '#]],[2]COMPLETED!$D:$D,[2]COMPLETED!$O:$O,"Not Found")</f>
        <v>Not Found</v>
      </c>
      <c r="W1075" s="2" t="str">
        <f>_xlfn.XLOOKUP(Table2[[#This Row],[Adjusted Form '#]],[2]BILLED!$D:$D,[2]BILLED!$M:$M,"Not Found")</f>
        <v>1Z5063E0YW41681282</v>
      </c>
      <c r="X1075" s="17" t="e">
        <f>_xlfn.XLOOKUP(Table2[[#This Row],[Adjusted Form '#]],[2]BILLED!$D:$D,[1]BILLED!$O:$O,"Not Found")</f>
        <v>#REF!</v>
      </c>
      <c r="Y1075" s="17" t="e">
        <f>_xlfn.XLOOKUP(Table2[[#This Row],[Adjusted Form '#]],'[2]REJECTED ORDERS'!$D:$D,'[2]REJECTED ORDERS'!$E:$E)</f>
        <v>#N/A</v>
      </c>
      <c r="Z1075" s="1"/>
      <c r="AA1075" s="1"/>
      <c r="AB1075" s="8"/>
      <c r="AC1075" s="8"/>
      <c r="AD1075" s="8"/>
      <c r="AE1075" s="8"/>
      <c r="AF1075" s="8"/>
      <c r="AG1075" s="8"/>
      <c r="AH1075" s="8"/>
      <c r="AI1075" s="8"/>
      <c r="AJ1075" s="8"/>
    </row>
    <row r="1076" spans="1:36" ht="15" customHeight="1" x14ac:dyDescent="0.35">
      <c r="A1076" s="4" t="s">
        <v>1622</v>
      </c>
      <c r="B1076" s="1" t="s">
        <v>3344</v>
      </c>
      <c r="C1076" s="11">
        <v>45069</v>
      </c>
      <c r="D1076" s="11" t="s">
        <v>5742</v>
      </c>
      <c r="E1076" s="1" t="s">
        <v>21</v>
      </c>
      <c r="F1076" s="1" t="s">
        <v>5745</v>
      </c>
      <c r="G1076" s="6">
        <f>COUNTIF(F:F,Table2[[#This Row],[Form '#]])</f>
        <v>1</v>
      </c>
      <c r="H1076" s="1" t="s">
        <v>3313</v>
      </c>
      <c r="I1076" s="1" t="s">
        <v>3852</v>
      </c>
      <c r="J1076" s="1" t="s">
        <v>80</v>
      </c>
      <c r="K1076" s="1" t="s">
        <v>4430</v>
      </c>
      <c r="L1076" s="1"/>
      <c r="M1076" s="6" t="str">
        <f>IF(Table2[[#This Row],[Corrected Form '#
 (If Duplicated)]]="",Table2[[#This Row],[Form '#]],Table2[[#This Row],[Corrected Form '#
 (If Duplicated)]])</f>
        <v>7818-17581</v>
      </c>
      <c r="N1076" s="1" t="s">
        <v>49</v>
      </c>
      <c r="O1076" s="6" t="str">
        <f>IF(Table2[[#This Row],[POG CONFIRMATION RECEIPT OF ORDER
(DATE &amp; TIME)]]="","No Confirmation","Received Confirmation")</f>
        <v>Received Confirmation</v>
      </c>
      <c r="P1076" s="6">
        <f ca="1">TODAY()-Table2[[#This Row],[DATE SENT TO POG]]</f>
        <v>234</v>
      </c>
      <c r="Q1076" s="6" t="s">
        <v>5803</v>
      </c>
      <c r="R10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6" s="2" t="str">
        <f>_xlfn.XLOOKUP(Table2[[#This Row],[Adjusted Form '#]],'[2]IN PROGRESS'!$D:$D,'[2]IN PROGRESS'!$M:$M,"Not Found")</f>
        <v>Not Found</v>
      </c>
      <c r="U1076" s="2" t="str">
        <f>_xlfn.XLOOKUP(Table2[[#This Row],[Adjusted Form '#]],[1]COMPLETED!$D:$D,[2]COMPLETED!$M:$M,"Not Found")</f>
        <v>Not Found</v>
      </c>
      <c r="V1076" s="17" t="str">
        <f>_xlfn.XLOOKUP(Table2[[#This Row],[Adjusted Form '#]],[2]COMPLETED!$D:$D,[2]COMPLETED!$O:$O,"Not Found")</f>
        <v>Not Found</v>
      </c>
      <c r="W1076" s="2" t="str">
        <f>_xlfn.XLOOKUP(Table2[[#This Row],[Adjusted Form '#]],[2]BILLED!$D:$D,[2]BILLED!$M:$M,"Not Found")</f>
        <v>1Z5063E0YW40206172</v>
      </c>
      <c r="X1076" s="17" t="e">
        <f>_xlfn.XLOOKUP(Table2[[#This Row],[Adjusted Form '#]],[2]BILLED!$D:$D,[1]BILLED!$O:$O,"Not Found")</f>
        <v>#REF!</v>
      </c>
      <c r="Y1076" s="17" t="e">
        <f>_xlfn.XLOOKUP(Table2[[#This Row],[Adjusted Form '#]],'[2]REJECTED ORDERS'!$D:$D,'[2]REJECTED ORDERS'!$E:$E)</f>
        <v>#N/A</v>
      </c>
      <c r="Z1076" s="1"/>
      <c r="AA1076" s="1"/>
      <c r="AB1076" s="8"/>
      <c r="AC1076" s="8"/>
      <c r="AD1076" s="8"/>
      <c r="AE1076" s="8"/>
      <c r="AF1076" s="8"/>
      <c r="AG1076" s="8"/>
      <c r="AH1076" s="8"/>
      <c r="AI1076" s="8"/>
      <c r="AJ1076" s="8"/>
    </row>
    <row r="1077" spans="1:36" ht="15" customHeight="1" x14ac:dyDescent="0.35">
      <c r="A1077" s="4" t="s">
        <v>1623</v>
      </c>
      <c r="B1077" s="1" t="s">
        <v>3344</v>
      </c>
      <c r="C1077" s="11">
        <v>45069</v>
      </c>
      <c r="D1077" s="11" t="s">
        <v>5742</v>
      </c>
      <c r="E1077" s="1" t="s">
        <v>21</v>
      </c>
      <c r="F1077" s="1" t="s">
        <v>5746</v>
      </c>
      <c r="G1077" s="6">
        <f>COUNTIF(F:F,Table2[[#This Row],[Form '#]])</f>
        <v>1</v>
      </c>
      <c r="H1077" s="1" t="s">
        <v>5747</v>
      </c>
      <c r="I1077" s="1" t="s">
        <v>3852</v>
      </c>
      <c r="J1077" s="1" t="s">
        <v>80</v>
      </c>
      <c r="K1077" s="1" t="s">
        <v>3853</v>
      </c>
      <c r="L1077" s="1"/>
      <c r="M1077" s="6" t="str">
        <f>IF(Table2[[#This Row],[Corrected Form '#
 (If Duplicated)]]="",Table2[[#This Row],[Form '#]],Table2[[#This Row],[Corrected Form '#
 (If Duplicated)]])</f>
        <v>7818-23018</v>
      </c>
      <c r="N1077" s="1" t="s">
        <v>49</v>
      </c>
      <c r="O1077" s="6" t="str">
        <f>IF(Table2[[#This Row],[POG CONFIRMATION RECEIPT OF ORDER
(DATE &amp; TIME)]]="","No Confirmation","Received Confirmation")</f>
        <v>Received Confirmation</v>
      </c>
      <c r="P1077" s="6">
        <f ca="1">TODAY()-Table2[[#This Row],[DATE SENT TO POG]]</f>
        <v>234</v>
      </c>
      <c r="Q1077" s="6" t="s">
        <v>5803</v>
      </c>
      <c r="R10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7" s="2" t="str">
        <f>_xlfn.XLOOKUP(Table2[[#This Row],[Adjusted Form '#]],'[2]IN PROGRESS'!$D:$D,'[2]IN PROGRESS'!$M:$M,"Not Found")</f>
        <v>Not Found</v>
      </c>
      <c r="U1077" s="2" t="str">
        <f>_xlfn.XLOOKUP(Table2[[#This Row],[Adjusted Form '#]],[1]COMPLETED!$D:$D,[2]COMPLETED!$M:$M,"Not Found")</f>
        <v>Not Found</v>
      </c>
      <c r="V1077" s="17" t="str">
        <f>_xlfn.XLOOKUP(Table2[[#This Row],[Adjusted Form '#]],[2]COMPLETED!$D:$D,[2]COMPLETED!$O:$O,"Not Found")</f>
        <v>Not Found</v>
      </c>
      <c r="W1077" s="2" t="str">
        <f>_xlfn.XLOOKUP(Table2[[#This Row],[Adjusted Form '#]],[2]BILLED!$D:$D,[2]BILLED!$M:$M,"Not Found")</f>
        <v>1Z5063E0YW42208523</v>
      </c>
      <c r="X1077" s="17" t="e">
        <f>_xlfn.XLOOKUP(Table2[[#This Row],[Adjusted Form '#]],[2]BILLED!$D:$D,[1]BILLED!$O:$O,"Not Found")</f>
        <v>#REF!</v>
      </c>
      <c r="Y1077" s="17" t="e">
        <f>_xlfn.XLOOKUP(Table2[[#This Row],[Adjusted Form '#]],'[2]REJECTED ORDERS'!$D:$D,'[2]REJECTED ORDERS'!$E:$E)</f>
        <v>#N/A</v>
      </c>
      <c r="Z1077" s="1"/>
      <c r="AA1077" s="1"/>
      <c r="AB1077" s="8"/>
      <c r="AC1077" s="8"/>
      <c r="AD1077" s="8"/>
      <c r="AE1077" s="8"/>
      <c r="AF1077" s="8"/>
      <c r="AG1077" s="8"/>
      <c r="AH1077" s="8"/>
      <c r="AI1077" s="8"/>
      <c r="AJ1077" s="8"/>
    </row>
    <row r="1078" spans="1:36" ht="15" customHeight="1" x14ac:dyDescent="0.35">
      <c r="A1078" s="4" t="s">
        <v>1624</v>
      </c>
      <c r="B1078" s="1" t="s">
        <v>2129</v>
      </c>
      <c r="C1078" s="11">
        <v>45069</v>
      </c>
      <c r="D1078" s="11" t="s">
        <v>5748</v>
      </c>
      <c r="E1078" s="1" t="s">
        <v>191</v>
      </c>
      <c r="F1078" s="1" t="s">
        <v>5749</v>
      </c>
      <c r="G1078" s="6">
        <f>COUNTIF(F:F,Table2[[#This Row],[Form '#]])</f>
        <v>1</v>
      </c>
      <c r="H1078" s="1" t="s">
        <v>2544</v>
      </c>
      <c r="I1078" s="1" t="s">
        <v>106</v>
      </c>
      <c r="J1078" s="1" t="s">
        <v>72</v>
      </c>
      <c r="K1078" s="1" t="s">
        <v>4011</v>
      </c>
      <c r="L1078" s="1"/>
      <c r="M1078" s="6" t="str">
        <f>IF(Table2[[#This Row],[Corrected Form '#
 (If Duplicated)]]="",Table2[[#This Row],[Form '#]],Table2[[#This Row],[Corrected Form '#
 (If Duplicated)]])</f>
        <v>7812-3748</v>
      </c>
      <c r="N1078" s="1" t="s">
        <v>49</v>
      </c>
      <c r="O1078" s="6" t="str">
        <f>IF(Table2[[#This Row],[POG CONFIRMATION RECEIPT OF ORDER
(DATE &amp; TIME)]]="","No Confirmation","Received Confirmation")</f>
        <v>Received Confirmation</v>
      </c>
      <c r="P1078" s="6">
        <f ca="1">TODAY()-Table2[[#This Row],[DATE SENT TO POG]]</f>
        <v>234</v>
      </c>
      <c r="Q1078" s="6" t="s">
        <v>5803</v>
      </c>
      <c r="R10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8" s="2" t="str">
        <f>_xlfn.XLOOKUP(Table2[[#This Row],[Adjusted Form '#]],'[2]IN PROGRESS'!$D:$D,'[2]IN PROGRESS'!$M:$M,"Not Found")</f>
        <v>Not Found</v>
      </c>
      <c r="U1078" s="2" t="str">
        <f>_xlfn.XLOOKUP(Table2[[#This Row],[Adjusted Form '#]],[1]COMPLETED!$D:$D,[2]COMPLETED!$M:$M,"Not Found")</f>
        <v>Not Found</v>
      </c>
      <c r="V1078" s="17" t="str">
        <f>_xlfn.XLOOKUP(Table2[[#This Row],[Adjusted Form '#]],[2]COMPLETED!$D:$D,[2]COMPLETED!$O:$O,"Not Found")</f>
        <v>Not Found</v>
      </c>
      <c r="W1078" s="2" t="str">
        <f>_xlfn.XLOOKUP(Table2[[#This Row],[Adjusted Form '#]],[2]BILLED!$D:$D,[2]BILLED!$M:$M,"Not Found")</f>
        <v>1Z5063E0YW40843591</v>
      </c>
      <c r="X1078" s="17" t="e">
        <f>_xlfn.XLOOKUP(Table2[[#This Row],[Adjusted Form '#]],[2]BILLED!$D:$D,[1]BILLED!$O:$O,"Not Found")</f>
        <v>#REF!</v>
      </c>
      <c r="Y1078" s="17" t="e">
        <f>_xlfn.XLOOKUP(Table2[[#This Row],[Adjusted Form '#]],'[2]REJECTED ORDERS'!$D:$D,'[2]REJECTED ORDERS'!$E:$E)</f>
        <v>#N/A</v>
      </c>
      <c r="Z1078" s="1"/>
      <c r="AA1078" s="1"/>
      <c r="AB1078" s="8"/>
      <c r="AC1078" s="8"/>
      <c r="AD1078" s="8"/>
      <c r="AE1078" s="8"/>
      <c r="AF1078" s="8"/>
      <c r="AG1078" s="8"/>
      <c r="AH1078" s="8"/>
      <c r="AI1078" s="8"/>
      <c r="AJ1078" s="8"/>
    </row>
    <row r="1079" spans="1:36" ht="15" customHeight="1" x14ac:dyDescent="0.35">
      <c r="A1079" s="4" t="s">
        <v>1625</v>
      </c>
      <c r="B1079" s="1" t="s">
        <v>4618</v>
      </c>
      <c r="C1079" s="11">
        <v>45069</v>
      </c>
      <c r="D1079" s="11" t="s">
        <v>5748</v>
      </c>
      <c r="E1079" s="1" t="s">
        <v>191</v>
      </c>
      <c r="F1079" s="1" t="s">
        <v>2631</v>
      </c>
      <c r="G1079" s="6">
        <f>COUNTIF(F:F,Table2[[#This Row],[Form '#]])</f>
        <v>2</v>
      </c>
      <c r="H1079" s="1" t="s">
        <v>2632</v>
      </c>
      <c r="I1079" s="1" t="s">
        <v>3852</v>
      </c>
      <c r="J1079" s="1" t="s">
        <v>78</v>
      </c>
      <c r="K1079" s="1" t="s">
        <v>3891</v>
      </c>
      <c r="L1079" s="1"/>
      <c r="M1079" s="6" t="str">
        <f>IF(Table2[[#This Row],[Corrected Form '#
 (If Duplicated)]]="",Table2[[#This Row],[Form '#]],Table2[[#This Row],[Corrected Form '#
 (If Duplicated)]])</f>
        <v>7812-02923</v>
      </c>
      <c r="N1079" s="1" t="s">
        <v>49</v>
      </c>
      <c r="O1079" s="6" t="str">
        <f>IF(Table2[[#This Row],[POG CONFIRMATION RECEIPT OF ORDER
(DATE &amp; TIME)]]="","No Confirmation","Received Confirmation")</f>
        <v>Received Confirmation</v>
      </c>
      <c r="P1079" s="6">
        <f ca="1">TODAY()-Table2[[#This Row],[DATE SENT TO POG]]</f>
        <v>234</v>
      </c>
      <c r="Q1079" s="6" t="s">
        <v>5803</v>
      </c>
      <c r="R10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79" s="2" t="str">
        <f>_xlfn.XLOOKUP(Table2[[#This Row],[Adjusted Form '#]],'[2]IN PROGRESS'!$D:$D,'[2]IN PROGRESS'!$M:$M,"Not Found")</f>
        <v>Not Found</v>
      </c>
      <c r="U1079" s="2" t="str">
        <f>_xlfn.XLOOKUP(Table2[[#This Row],[Adjusted Form '#]],[1]COMPLETED!$D:$D,[2]COMPLETED!$M:$M,"Not Found")</f>
        <v>Not Found</v>
      </c>
      <c r="V1079" s="17" t="str">
        <f>_xlfn.XLOOKUP(Table2[[#This Row],[Adjusted Form '#]],[2]COMPLETED!$D:$D,[2]COMPLETED!$O:$O,"Not Found")</f>
        <v>Not Found</v>
      </c>
      <c r="W1079" s="2" t="str">
        <f>_xlfn.XLOOKUP(Table2[[#This Row],[Adjusted Form '#]],[2]BILLED!$D:$D,[2]BILLED!$M:$M,"Not Found")</f>
        <v>9400 1112 0620 9507 4716 18</v>
      </c>
      <c r="X1079" s="17" t="e">
        <f>_xlfn.XLOOKUP(Table2[[#This Row],[Adjusted Form '#]],[2]BILLED!$D:$D,[1]BILLED!$O:$O,"Not Found")</f>
        <v>#REF!</v>
      </c>
      <c r="Y1079" s="17" t="str">
        <f>_xlfn.XLOOKUP(Table2[[#This Row],[Adjusted Form '#]],'[2]REJECTED ORDERS'!$D:$D,'[2]REJECTED ORDERS'!$E:$E)</f>
        <v>FORM NUMBER ALREADY USED</v>
      </c>
      <c r="Z1079" s="23" t="s">
        <v>6488</v>
      </c>
      <c r="AA1079" s="1"/>
      <c r="AB1079" s="8"/>
      <c r="AC1079" s="8"/>
      <c r="AD1079" s="8"/>
      <c r="AE1079" s="8"/>
      <c r="AF1079" s="8"/>
      <c r="AG1079" s="8"/>
      <c r="AH1079" s="8"/>
      <c r="AI1079" s="8"/>
      <c r="AJ1079" s="8"/>
    </row>
    <row r="1080" spans="1:36" ht="15" customHeight="1" x14ac:dyDescent="0.35">
      <c r="A1080" s="4" t="s">
        <v>1627</v>
      </c>
      <c r="B1080" s="1" t="s">
        <v>429</v>
      </c>
      <c r="C1080" s="11">
        <v>45069</v>
      </c>
      <c r="D1080" s="11" t="s">
        <v>5750</v>
      </c>
      <c r="E1080" s="1" t="s">
        <v>21</v>
      </c>
      <c r="F1080" s="1" t="s">
        <v>5751</v>
      </c>
      <c r="G1080" s="6">
        <f>COUNTIF(F:F,Table2[[#This Row],[Form '#]])</f>
        <v>1</v>
      </c>
      <c r="H1080" s="1" t="s">
        <v>5752</v>
      </c>
      <c r="I1080" s="1" t="s">
        <v>3864</v>
      </c>
      <c r="J1080" s="1" t="s">
        <v>78</v>
      </c>
      <c r="K1080" s="1" t="s">
        <v>3879</v>
      </c>
      <c r="L1080" s="1"/>
      <c r="M1080" s="6" t="str">
        <f>IF(Table2[[#This Row],[Corrected Form '#
 (If Duplicated)]]="",Table2[[#This Row],[Form '#]],Table2[[#This Row],[Corrected Form '#
 (If Duplicated)]])</f>
        <v>7818-28601</v>
      </c>
      <c r="N1080" s="1" t="s">
        <v>49</v>
      </c>
      <c r="O1080" s="6" t="str">
        <f>IF(Table2[[#This Row],[POG CONFIRMATION RECEIPT OF ORDER
(DATE &amp; TIME)]]="","No Confirmation","Received Confirmation")</f>
        <v>Received Confirmation</v>
      </c>
      <c r="P1080" s="6">
        <f ca="1">TODAY()-Table2[[#This Row],[DATE SENT TO POG]]</f>
        <v>234</v>
      </c>
      <c r="Q1080" s="6" t="s">
        <v>5803</v>
      </c>
      <c r="R10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0" s="2" t="str">
        <f>_xlfn.XLOOKUP(Table2[[#This Row],[Adjusted Form '#]],'[2]IN PROGRESS'!$D:$D,'[2]IN PROGRESS'!$M:$M,"Not Found")</f>
        <v>Not Found</v>
      </c>
      <c r="U1080" s="2" t="str">
        <f>_xlfn.XLOOKUP(Table2[[#This Row],[Adjusted Form '#]],[1]COMPLETED!$D:$D,[2]COMPLETED!$M:$M,"Not Found")</f>
        <v>Not Found</v>
      </c>
      <c r="V1080" s="17" t="str">
        <f>_xlfn.XLOOKUP(Table2[[#This Row],[Adjusted Form '#]],[2]COMPLETED!$D:$D,[2]COMPLETED!$O:$O,"Not Found")</f>
        <v>Not Found</v>
      </c>
      <c r="W1080" s="2" t="str">
        <f>_xlfn.XLOOKUP(Table2[[#This Row],[Adjusted Form '#]],[2]BILLED!$D:$D,[2]BILLED!$M:$M,"Not Found")</f>
        <v>1Z5063E0YW41574979</v>
      </c>
      <c r="X1080" s="17" t="e">
        <f>_xlfn.XLOOKUP(Table2[[#This Row],[Adjusted Form '#]],[2]BILLED!$D:$D,[1]BILLED!$O:$O,"Not Found")</f>
        <v>#REF!</v>
      </c>
      <c r="Y1080" s="17" t="e">
        <f>_xlfn.XLOOKUP(Table2[[#This Row],[Adjusted Form '#]],'[2]REJECTED ORDERS'!$D:$D,'[2]REJECTED ORDERS'!$E:$E)</f>
        <v>#N/A</v>
      </c>
      <c r="Z1080" s="1"/>
      <c r="AA1080" s="1"/>
      <c r="AB1080" s="8"/>
      <c r="AC1080" s="8"/>
      <c r="AD1080" s="8"/>
      <c r="AE1080" s="8"/>
      <c r="AF1080" s="8"/>
      <c r="AG1080" s="8"/>
      <c r="AH1080" s="8"/>
      <c r="AI1080" s="8"/>
      <c r="AJ1080" s="8"/>
    </row>
    <row r="1081" spans="1:36" ht="15" customHeight="1" x14ac:dyDescent="0.35">
      <c r="A1081" s="4" t="s">
        <v>1629</v>
      </c>
      <c r="B1081" s="1" t="s">
        <v>3449</v>
      </c>
      <c r="C1081" s="11">
        <v>45070</v>
      </c>
      <c r="D1081" s="11" t="s">
        <v>5753</v>
      </c>
      <c r="E1081" s="1" t="s">
        <v>21</v>
      </c>
      <c r="F1081" s="1" t="s">
        <v>5754</v>
      </c>
      <c r="G1081" s="6">
        <f>COUNTIF(F:F,Table2[[#This Row],[Form '#]])</f>
        <v>1</v>
      </c>
      <c r="H1081" s="1" t="s">
        <v>5755</v>
      </c>
      <c r="I1081" s="1" t="s">
        <v>3852</v>
      </c>
      <c r="J1081" s="1" t="s">
        <v>80</v>
      </c>
      <c r="K1081" s="1" t="s">
        <v>4430</v>
      </c>
      <c r="L1081" s="1"/>
      <c r="M1081" s="6" t="str">
        <f>IF(Table2[[#This Row],[Corrected Form '#
 (If Duplicated)]]="",Table2[[#This Row],[Form '#]],Table2[[#This Row],[Corrected Form '#
 (If Duplicated)]])</f>
        <v>7818-23536</v>
      </c>
      <c r="N1081" s="1" t="s">
        <v>49</v>
      </c>
      <c r="O1081" s="6" t="str">
        <f>IF(Table2[[#This Row],[POG CONFIRMATION RECEIPT OF ORDER
(DATE &amp; TIME)]]="","No Confirmation","Received Confirmation")</f>
        <v>Received Confirmation</v>
      </c>
      <c r="P1081" s="6">
        <f ca="1">TODAY()-Table2[[#This Row],[DATE SENT TO POG]]</f>
        <v>233</v>
      </c>
      <c r="Q1081" s="6" t="s">
        <v>5803</v>
      </c>
      <c r="R10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1" s="2" t="str">
        <f>_xlfn.XLOOKUP(Table2[[#This Row],[Adjusted Form '#]],'[2]IN PROGRESS'!$D:$D,'[2]IN PROGRESS'!$M:$M,"Not Found")</f>
        <v>Not Found</v>
      </c>
      <c r="U1081" s="2" t="str">
        <f>_xlfn.XLOOKUP(Table2[[#This Row],[Adjusted Form '#]],[1]COMPLETED!$D:$D,[2]COMPLETED!$M:$M,"Not Found")</f>
        <v>Not Found</v>
      </c>
      <c r="V1081" s="17" t="str">
        <f>_xlfn.XLOOKUP(Table2[[#This Row],[Adjusted Form '#]],[2]COMPLETED!$D:$D,[2]COMPLETED!$O:$O,"Not Found")</f>
        <v>Not Found</v>
      </c>
      <c r="W1081" s="2" t="str">
        <f>_xlfn.XLOOKUP(Table2[[#This Row],[Adjusted Form '#]],[2]BILLED!$D:$D,[2]BILLED!$M:$M,"Not Found")</f>
        <v>1Z5063E0YW41159258</v>
      </c>
      <c r="X1081" s="17" t="e">
        <f>_xlfn.XLOOKUP(Table2[[#This Row],[Adjusted Form '#]],[2]BILLED!$D:$D,[1]BILLED!$O:$O,"Not Found")</f>
        <v>#REF!</v>
      </c>
      <c r="Y1081" s="17" t="e">
        <f>_xlfn.XLOOKUP(Table2[[#This Row],[Adjusted Form '#]],'[2]REJECTED ORDERS'!$D:$D,'[2]REJECTED ORDERS'!$E:$E)</f>
        <v>#N/A</v>
      </c>
      <c r="Z1081" s="1"/>
      <c r="AA1081" s="1"/>
      <c r="AB1081" s="8"/>
      <c r="AC1081" s="8"/>
      <c r="AD1081" s="8"/>
      <c r="AE1081" s="8"/>
      <c r="AF1081" s="8"/>
      <c r="AG1081" s="8"/>
      <c r="AH1081" s="8"/>
      <c r="AI1081" s="8"/>
      <c r="AJ1081" s="8"/>
    </row>
    <row r="1082" spans="1:36" ht="15" customHeight="1" x14ac:dyDescent="0.35">
      <c r="A1082" s="4" t="s">
        <v>1631</v>
      </c>
      <c r="B1082" s="1" t="s">
        <v>3449</v>
      </c>
      <c r="C1082" s="11">
        <v>45070</v>
      </c>
      <c r="D1082" s="11" t="s">
        <v>5753</v>
      </c>
      <c r="E1082" s="1" t="s">
        <v>21</v>
      </c>
      <c r="F1082" s="1" t="s">
        <v>5756</v>
      </c>
      <c r="G1082" s="6">
        <f>COUNTIF(F:F,Table2[[#This Row],[Form '#]])</f>
        <v>1</v>
      </c>
      <c r="H1082" s="1" t="s">
        <v>3011</v>
      </c>
      <c r="I1082" s="1" t="s">
        <v>177</v>
      </c>
      <c r="J1082" s="1" t="s">
        <v>75</v>
      </c>
      <c r="K1082" s="1" t="s">
        <v>3853</v>
      </c>
      <c r="L1082" s="1"/>
      <c r="M1082" s="6" t="str">
        <f>IF(Table2[[#This Row],[Corrected Form '#
 (If Duplicated)]]="",Table2[[#This Row],[Form '#]],Table2[[#This Row],[Corrected Form '#
 (If Duplicated)]])</f>
        <v>7818-14943</v>
      </c>
      <c r="N1082" s="1" t="s">
        <v>49</v>
      </c>
      <c r="O1082" s="6" t="str">
        <f>IF(Table2[[#This Row],[POG CONFIRMATION RECEIPT OF ORDER
(DATE &amp; TIME)]]="","No Confirmation","Received Confirmation")</f>
        <v>Received Confirmation</v>
      </c>
      <c r="P1082" s="6">
        <f ca="1">TODAY()-Table2[[#This Row],[DATE SENT TO POG]]</f>
        <v>233</v>
      </c>
      <c r="Q1082" s="6" t="s">
        <v>5803</v>
      </c>
      <c r="R10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2" s="2" t="str">
        <f>_xlfn.XLOOKUP(Table2[[#This Row],[Adjusted Form '#]],'[2]IN PROGRESS'!$D:$D,'[2]IN PROGRESS'!$M:$M,"Not Found")</f>
        <v>Not Found</v>
      </c>
      <c r="U1082" s="2" t="str">
        <f>_xlfn.XLOOKUP(Table2[[#This Row],[Adjusted Form '#]],[1]COMPLETED!$D:$D,[2]COMPLETED!$M:$M,"Not Found")</f>
        <v>Not Found</v>
      </c>
      <c r="V1082" s="17" t="str">
        <f>_xlfn.XLOOKUP(Table2[[#This Row],[Adjusted Form '#]],[2]COMPLETED!$D:$D,[2]COMPLETED!$O:$O,"Not Found")</f>
        <v>Not Found</v>
      </c>
      <c r="W1082" s="2" t="str">
        <f>_xlfn.XLOOKUP(Table2[[#This Row],[Adjusted Form '#]],[2]BILLED!$D:$D,[2]BILLED!$M:$M,"Not Found")</f>
        <v>1Z5063E0YW42025337</v>
      </c>
      <c r="X1082" s="17" t="e">
        <f>_xlfn.XLOOKUP(Table2[[#This Row],[Adjusted Form '#]],[2]BILLED!$D:$D,[1]BILLED!$O:$O,"Not Found")</f>
        <v>#REF!</v>
      </c>
      <c r="Y1082" s="17" t="e">
        <f>_xlfn.XLOOKUP(Table2[[#This Row],[Adjusted Form '#]],'[2]REJECTED ORDERS'!$D:$D,'[2]REJECTED ORDERS'!$E:$E)</f>
        <v>#N/A</v>
      </c>
      <c r="Z1082" s="1"/>
      <c r="AA1082" s="1"/>
      <c r="AB1082" s="8"/>
      <c r="AC1082" s="8"/>
      <c r="AD1082" s="8"/>
      <c r="AE1082" s="8"/>
      <c r="AF1082" s="8"/>
      <c r="AG1082" s="8"/>
      <c r="AH1082" s="8"/>
      <c r="AI1082" s="8"/>
      <c r="AJ1082" s="8"/>
    </row>
    <row r="1083" spans="1:36" ht="15" customHeight="1" x14ac:dyDescent="0.35">
      <c r="A1083" s="4" t="s">
        <v>1633</v>
      </c>
      <c r="B1083" s="1" t="s">
        <v>3479</v>
      </c>
      <c r="C1083" s="11">
        <v>45070</v>
      </c>
      <c r="D1083" s="11" t="s">
        <v>5757</v>
      </c>
      <c r="E1083" s="1" t="s">
        <v>191</v>
      </c>
      <c r="F1083" s="1" t="s">
        <v>5758</v>
      </c>
      <c r="G1083" s="6">
        <f>COUNTIF(F:F,Table2[[#This Row],[Form '#]])</f>
        <v>1</v>
      </c>
      <c r="H1083" s="1" t="s">
        <v>3568</v>
      </c>
      <c r="I1083" s="1" t="s">
        <v>127</v>
      </c>
      <c r="J1083" s="1" t="s">
        <v>74</v>
      </c>
      <c r="K1083" s="1" t="s">
        <v>3891</v>
      </c>
      <c r="L1083" s="1"/>
      <c r="M1083" s="6" t="str">
        <f>IF(Table2[[#This Row],[Corrected Form '#
 (If Duplicated)]]="",Table2[[#This Row],[Form '#]],Table2[[#This Row],[Corrected Form '#
 (If Duplicated)]])</f>
        <v>7812-3907</v>
      </c>
      <c r="N1083" s="1" t="s">
        <v>49</v>
      </c>
      <c r="O1083" s="6" t="str">
        <f>IF(Table2[[#This Row],[POG CONFIRMATION RECEIPT OF ORDER
(DATE &amp; TIME)]]="","No Confirmation","Received Confirmation")</f>
        <v>Received Confirmation</v>
      </c>
      <c r="P1083" s="6">
        <f ca="1">TODAY()-Table2[[#This Row],[DATE SENT TO POG]]</f>
        <v>233</v>
      </c>
      <c r="Q1083" s="6" t="s">
        <v>5803</v>
      </c>
      <c r="R10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3" s="2" t="str">
        <f>_xlfn.XLOOKUP(Table2[[#This Row],[Adjusted Form '#]],'[2]IN PROGRESS'!$D:$D,'[2]IN PROGRESS'!$M:$M,"Not Found")</f>
        <v>Not Found</v>
      </c>
      <c r="U1083" s="2" t="str">
        <f>_xlfn.XLOOKUP(Table2[[#This Row],[Adjusted Form '#]],[1]COMPLETED!$D:$D,[2]COMPLETED!$M:$M,"Not Found")</f>
        <v>Not Found</v>
      </c>
      <c r="V1083" s="17" t="str">
        <f>_xlfn.XLOOKUP(Table2[[#This Row],[Adjusted Form '#]],[2]COMPLETED!$D:$D,[2]COMPLETED!$O:$O,"Not Found")</f>
        <v>Not Found</v>
      </c>
      <c r="W1083" s="2" t="str">
        <f>_xlfn.XLOOKUP(Table2[[#This Row],[Adjusted Form '#]],[2]BILLED!$D:$D,[2]BILLED!$M:$M,"Not Found")</f>
        <v>1Z5063E0YW40261497</v>
      </c>
      <c r="X1083" s="17" t="e">
        <f>_xlfn.XLOOKUP(Table2[[#This Row],[Adjusted Form '#]],[2]BILLED!$D:$D,[1]BILLED!$O:$O,"Not Found")</f>
        <v>#REF!</v>
      </c>
      <c r="Y1083" s="17" t="e">
        <f>_xlfn.XLOOKUP(Table2[[#This Row],[Adjusted Form '#]],'[2]REJECTED ORDERS'!$D:$D,'[2]REJECTED ORDERS'!$E:$E)</f>
        <v>#N/A</v>
      </c>
      <c r="Z1083" s="1"/>
      <c r="AA1083" s="1"/>
      <c r="AB1083" s="8"/>
      <c r="AC1083" s="8"/>
      <c r="AD1083" s="8"/>
      <c r="AE1083" s="8"/>
      <c r="AF1083" s="8"/>
      <c r="AG1083" s="8"/>
      <c r="AH1083" s="8"/>
      <c r="AI1083" s="8"/>
      <c r="AJ1083" s="8"/>
    </row>
    <row r="1084" spans="1:36" ht="15" customHeight="1" x14ac:dyDescent="0.35">
      <c r="A1084" s="4" t="s">
        <v>1634</v>
      </c>
      <c r="B1084" s="1" t="s">
        <v>3485</v>
      </c>
      <c r="C1084" s="11">
        <v>45070</v>
      </c>
      <c r="D1084" s="11" t="s">
        <v>5759</v>
      </c>
      <c r="E1084" s="1" t="s">
        <v>191</v>
      </c>
      <c r="F1084" s="1" t="s">
        <v>5760</v>
      </c>
      <c r="G1084" s="6">
        <f>COUNTIF(F:F,Table2[[#This Row],[Form '#]])</f>
        <v>1</v>
      </c>
      <c r="H1084" s="1" t="s">
        <v>5761</v>
      </c>
      <c r="I1084" s="1" t="s">
        <v>3852</v>
      </c>
      <c r="J1084" s="1" t="s">
        <v>75</v>
      </c>
      <c r="K1084" s="1" t="s">
        <v>3853</v>
      </c>
      <c r="L1084" s="1"/>
      <c r="M1084" s="6" t="str">
        <f>IF(Table2[[#This Row],[Corrected Form '#
 (If Duplicated)]]="",Table2[[#This Row],[Form '#]],Table2[[#This Row],[Corrected Form '#
 (If Duplicated)]])</f>
        <v>7812-03470</v>
      </c>
      <c r="N1084" s="1" t="s">
        <v>49</v>
      </c>
      <c r="O1084" s="6" t="str">
        <f>IF(Table2[[#This Row],[POG CONFIRMATION RECEIPT OF ORDER
(DATE &amp; TIME)]]="","No Confirmation","Received Confirmation")</f>
        <v>Received Confirmation</v>
      </c>
      <c r="P1084" s="6">
        <f ca="1">TODAY()-Table2[[#This Row],[DATE SENT TO POG]]</f>
        <v>233</v>
      </c>
      <c r="Q1084" s="6" t="s">
        <v>5803</v>
      </c>
      <c r="R10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4" s="2" t="str">
        <f>_xlfn.XLOOKUP(Table2[[#This Row],[Adjusted Form '#]],'[2]IN PROGRESS'!$D:$D,'[2]IN PROGRESS'!$M:$M,"Not Found")</f>
        <v>Not Found</v>
      </c>
      <c r="U1084" s="2" t="str">
        <f>_xlfn.XLOOKUP(Table2[[#This Row],[Adjusted Form '#]],[1]COMPLETED!$D:$D,[2]COMPLETED!$M:$M,"Not Found")</f>
        <v>Not Found</v>
      </c>
      <c r="V1084" s="17" t="str">
        <f>_xlfn.XLOOKUP(Table2[[#This Row],[Adjusted Form '#]],[2]COMPLETED!$D:$D,[2]COMPLETED!$O:$O,"Not Found")</f>
        <v>Not Found</v>
      </c>
      <c r="W1084" s="2" t="str">
        <f>_xlfn.XLOOKUP(Table2[[#This Row],[Adjusted Form '#]],[2]BILLED!$D:$D,[2]BILLED!$M:$M,"Not Found")</f>
        <v>1Z5063E0YW40272109</v>
      </c>
      <c r="X1084" s="17" t="e">
        <f>_xlfn.XLOOKUP(Table2[[#This Row],[Adjusted Form '#]],[2]BILLED!$D:$D,[1]BILLED!$O:$O,"Not Found")</f>
        <v>#REF!</v>
      </c>
      <c r="Y1084" s="17" t="e">
        <f>_xlfn.XLOOKUP(Table2[[#This Row],[Adjusted Form '#]],'[2]REJECTED ORDERS'!$D:$D,'[2]REJECTED ORDERS'!$E:$E)</f>
        <v>#N/A</v>
      </c>
      <c r="Z1084" s="1"/>
      <c r="AA1084" s="1"/>
      <c r="AB1084" s="8"/>
      <c r="AC1084" s="8"/>
      <c r="AD1084" s="8"/>
      <c r="AE1084" s="8"/>
      <c r="AF1084" s="8"/>
      <c r="AG1084" s="8"/>
      <c r="AH1084" s="8"/>
      <c r="AI1084" s="8"/>
      <c r="AJ1084" s="8"/>
    </row>
    <row r="1085" spans="1:36" ht="15" customHeight="1" x14ac:dyDescent="0.35">
      <c r="A1085" s="4" t="s">
        <v>1636</v>
      </c>
      <c r="B1085" s="1" t="s">
        <v>2065</v>
      </c>
      <c r="C1085" s="11">
        <v>45070</v>
      </c>
      <c r="E1085" s="1" t="s">
        <v>21</v>
      </c>
      <c r="F1085" s="1" t="s">
        <v>4157</v>
      </c>
      <c r="G1085" s="6">
        <f>COUNTIF(F:F,Table2[[#This Row],[Form '#]])</f>
        <v>2</v>
      </c>
      <c r="H1085" s="1" t="s">
        <v>4158</v>
      </c>
      <c r="I1085" s="1" t="s">
        <v>127</v>
      </c>
      <c r="J1085" s="1" t="s">
        <v>76</v>
      </c>
      <c r="K1085" s="1" t="s">
        <v>4011</v>
      </c>
      <c r="L1085" s="1"/>
      <c r="M1085" s="6" t="str">
        <f>IF(Table2[[#This Row],[Corrected Form '#
 (If Duplicated)]]="",Table2[[#This Row],[Form '#]],Table2[[#This Row],[Corrected Form '#
 (If Duplicated)]])</f>
        <v>7818-26089</v>
      </c>
      <c r="N1085" s="1" t="s">
        <v>104</v>
      </c>
      <c r="O1085" s="6" t="str">
        <f>IF(Table2[[#This Row],[POG CONFIRMATION RECEIPT OF ORDER
(DATE &amp; TIME)]]="","No Confirmation","Received Confirmation")</f>
        <v>No Confirmation</v>
      </c>
      <c r="P1085" s="6">
        <f ca="1">TODAY()-Table2[[#This Row],[DATE SENT TO POG]]</f>
        <v>233</v>
      </c>
      <c r="Q1085" s="6" t="s">
        <v>5803</v>
      </c>
      <c r="R10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5" s="2" t="str">
        <f>_xlfn.XLOOKUP(Table2[[#This Row],[Adjusted Form '#]],'[2]IN PROGRESS'!$D:$D,'[2]IN PROGRESS'!$M:$M,"Not Found")</f>
        <v>Not Found</v>
      </c>
      <c r="U1085" s="2" t="str">
        <f>_xlfn.XLOOKUP(Table2[[#This Row],[Adjusted Form '#]],[1]COMPLETED!$D:$D,[2]COMPLETED!$M:$M,"Not Found")</f>
        <v>Not Found</v>
      </c>
      <c r="V1085" s="17" t="str">
        <f>_xlfn.XLOOKUP(Table2[[#This Row],[Adjusted Form '#]],[2]COMPLETED!$D:$D,[2]COMPLETED!$O:$O,"Not Found")</f>
        <v>Not Found</v>
      </c>
      <c r="W1085" s="2" t="str">
        <f>_xlfn.XLOOKUP(Table2[[#This Row],[Adjusted Form '#]],[2]BILLED!$D:$D,[2]BILLED!$M:$M,"Not Found")</f>
        <v>1Z5063E0YW42193263</v>
      </c>
      <c r="X1085" s="17" t="e">
        <f>_xlfn.XLOOKUP(Table2[[#This Row],[Adjusted Form '#]],[2]BILLED!$D:$D,[1]BILLED!$O:$O,"Not Found")</f>
        <v>#REF!</v>
      </c>
      <c r="Y1085" s="17" t="e">
        <f>_xlfn.XLOOKUP(Table2[[#This Row],[Adjusted Form '#]],'[2]REJECTED ORDERS'!$D:$D,'[2]REJECTED ORDERS'!$E:$E)</f>
        <v>#N/A</v>
      </c>
      <c r="Z1085" s="1"/>
      <c r="AA1085" s="1"/>
      <c r="AB1085" s="8"/>
      <c r="AC1085" s="8"/>
      <c r="AD1085" s="8"/>
      <c r="AE1085" s="8"/>
      <c r="AF1085" s="8"/>
      <c r="AG1085" s="8"/>
      <c r="AH1085" s="8"/>
      <c r="AI1085" s="8"/>
      <c r="AJ1085" s="8"/>
    </row>
    <row r="1086" spans="1:36" ht="15" customHeight="1" x14ac:dyDescent="0.35">
      <c r="A1086" s="4" t="s">
        <v>1638</v>
      </c>
      <c r="B1086" s="1" t="s">
        <v>930</v>
      </c>
      <c r="C1086" s="11">
        <v>45070</v>
      </c>
      <c r="D1086" s="11" t="s">
        <v>5762</v>
      </c>
      <c r="E1086" s="1" t="s">
        <v>21</v>
      </c>
      <c r="F1086" s="1" t="s">
        <v>5763</v>
      </c>
      <c r="G1086" s="6">
        <f>COUNTIF(F:F,Table2[[#This Row],[Form '#]])</f>
        <v>1</v>
      </c>
      <c r="H1086" s="1" t="s">
        <v>5764</v>
      </c>
      <c r="I1086" s="1" t="s">
        <v>28</v>
      </c>
      <c r="J1086" s="1" t="s">
        <v>69</v>
      </c>
      <c r="K1086" s="1" t="s">
        <v>4631</v>
      </c>
      <c r="L1086" s="1"/>
      <c r="M1086" s="6" t="str">
        <f>IF(Table2[[#This Row],[Corrected Form '#
 (If Duplicated)]]="",Table2[[#This Row],[Form '#]],Table2[[#This Row],[Corrected Form '#
 (If Duplicated)]])</f>
        <v>7818-21975</v>
      </c>
      <c r="N1086" s="1" t="s">
        <v>49</v>
      </c>
      <c r="O1086" s="6" t="str">
        <f>IF(Table2[[#This Row],[POG CONFIRMATION RECEIPT OF ORDER
(DATE &amp; TIME)]]="","No Confirmation","Received Confirmation")</f>
        <v>Received Confirmation</v>
      </c>
      <c r="P1086" s="6">
        <f ca="1">TODAY()-Table2[[#This Row],[DATE SENT TO POG]]</f>
        <v>233</v>
      </c>
      <c r="Q1086" s="6" t="s">
        <v>5803</v>
      </c>
      <c r="R10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6" s="2" t="str">
        <f>_xlfn.XLOOKUP(Table2[[#This Row],[Adjusted Form '#]],'[2]IN PROGRESS'!$D:$D,'[2]IN PROGRESS'!$M:$M,"Not Found")</f>
        <v>Not Found</v>
      </c>
      <c r="U1086" s="2" t="str">
        <f>_xlfn.XLOOKUP(Table2[[#This Row],[Adjusted Form '#]],[1]COMPLETED!$D:$D,[2]COMPLETED!$M:$M,"Not Found")</f>
        <v>Not Found</v>
      </c>
      <c r="V1086" s="17" t="str">
        <f>_xlfn.XLOOKUP(Table2[[#This Row],[Adjusted Form '#]],[2]COMPLETED!$D:$D,[2]COMPLETED!$O:$O,"Not Found")</f>
        <v>Not Found</v>
      </c>
      <c r="W1086" s="2" t="str">
        <f>_xlfn.XLOOKUP(Table2[[#This Row],[Adjusted Form '#]],[2]BILLED!$D:$D,[2]BILLED!$M:$M,"Not Found")</f>
        <v>1Z5063E0YW41973618</v>
      </c>
      <c r="X1086" s="17" t="e">
        <f>_xlfn.XLOOKUP(Table2[[#This Row],[Adjusted Form '#]],[2]BILLED!$D:$D,[1]BILLED!$O:$O,"Not Found")</f>
        <v>#REF!</v>
      </c>
      <c r="Y1086" s="17" t="e">
        <f>_xlfn.XLOOKUP(Table2[[#This Row],[Adjusted Form '#]],'[2]REJECTED ORDERS'!$D:$D,'[2]REJECTED ORDERS'!$E:$E)</f>
        <v>#N/A</v>
      </c>
      <c r="Z1086" s="1"/>
      <c r="AA1086" s="1"/>
      <c r="AB1086" s="8"/>
      <c r="AC1086" s="8"/>
      <c r="AD1086" s="8"/>
      <c r="AE1086" s="8"/>
      <c r="AF1086" s="8"/>
      <c r="AG1086" s="8"/>
      <c r="AH1086" s="8"/>
      <c r="AI1086" s="8"/>
      <c r="AJ1086" s="8"/>
    </row>
    <row r="1087" spans="1:36" ht="15" customHeight="1" x14ac:dyDescent="0.35">
      <c r="A1087" s="4" t="s">
        <v>1639</v>
      </c>
      <c r="B1087" s="1" t="s">
        <v>930</v>
      </c>
      <c r="C1087" s="11">
        <v>45070</v>
      </c>
      <c r="D1087" s="11" t="s">
        <v>5762</v>
      </c>
      <c r="E1087" s="1" t="s">
        <v>21</v>
      </c>
      <c r="F1087" s="1" t="s">
        <v>4707</v>
      </c>
      <c r="G1087" s="6">
        <f>COUNTIF(F:F,Table2[[#This Row],[Form '#]])</f>
        <v>2</v>
      </c>
      <c r="H1087" s="1" t="s">
        <v>4708</v>
      </c>
      <c r="I1087" s="1" t="s">
        <v>127</v>
      </c>
      <c r="J1087" s="1" t="s">
        <v>76</v>
      </c>
      <c r="K1087" s="1" t="s">
        <v>3883</v>
      </c>
      <c r="L1087" s="1"/>
      <c r="M1087" s="6" t="str">
        <f>IF(Table2[[#This Row],[Corrected Form '#
 (If Duplicated)]]="",Table2[[#This Row],[Form '#]],Table2[[#This Row],[Corrected Form '#
 (If Duplicated)]])</f>
        <v>7818-24657</v>
      </c>
      <c r="N1087" s="1" t="s">
        <v>49</v>
      </c>
      <c r="O1087" s="6" t="str">
        <f>IF(Table2[[#This Row],[POG CONFIRMATION RECEIPT OF ORDER
(DATE &amp; TIME)]]="","No Confirmation","Received Confirmation")</f>
        <v>Received Confirmation</v>
      </c>
      <c r="P1087" s="6">
        <f ca="1">TODAY()-Table2[[#This Row],[DATE SENT TO POG]]</f>
        <v>233</v>
      </c>
      <c r="Q1087" s="6" t="s">
        <v>5803</v>
      </c>
      <c r="R10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7" s="2" t="str">
        <f>_xlfn.XLOOKUP(Table2[[#This Row],[Adjusted Form '#]],'[2]IN PROGRESS'!$D:$D,'[2]IN PROGRESS'!$M:$M,"Not Found")</f>
        <v>Not Found</v>
      </c>
      <c r="U1087" s="2" t="str">
        <f>_xlfn.XLOOKUP(Table2[[#This Row],[Adjusted Form '#]],[1]COMPLETED!$D:$D,[2]COMPLETED!$M:$M,"Not Found")</f>
        <v>Not Found</v>
      </c>
      <c r="V1087" s="17" t="str">
        <f>_xlfn.XLOOKUP(Table2[[#This Row],[Adjusted Form '#]],[2]COMPLETED!$D:$D,[2]COMPLETED!$O:$O,"Not Found")</f>
        <v>Not Found</v>
      </c>
      <c r="W1087" s="2" t="str">
        <f>_xlfn.XLOOKUP(Table2[[#This Row],[Adjusted Form '#]],[2]BILLED!$D:$D,[2]BILLED!$M:$M,"Not Found")</f>
        <v>1Z5063E0YW42725054</v>
      </c>
      <c r="X1087" s="17" t="e">
        <f>_xlfn.XLOOKUP(Table2[[#This Row],[Adjusted Form '#]],[2]BILLED!$D:$D,[1]BILLED!$O:$O,"Not Found")</f>
        <v>#REF!</v>
      </c>
      <c r="Y1087" s="17" t="e">
        <f>_xlfn.XLOOKUP(Table2[[#This Row],[Adjusted Form '#]],'[2]REJECTED ORDERS'!$D:$D,'[2]REJECTED ORDERS'!$E:$E)</f>
        <v>#N/A</v>
      </c>
      <c r="Z1087" s="1"/>
      <c r="AA1087" s="1"/>
      <c r="AB1087" s="8"/>
      <c r="AC1087" s="8"/>
      <c r="AD1087" s="8"/>
      <c r="AE1087" s="8"/>
      <c r="AF1087" s="8"/>
      <c r="AG1087" s="8"/>
      <c r="AH1087" s="8"/>
      <c r="AI1087" s="8"/>
      <c r="AJ1087" s="8"/>
    </row>
    <row r="1088" spans="1:36" ht="15" customHeight="1" x14ac:dyDescent="0.35">
      <c r="A1088" s="4" t="s">
        <v>1641</v>
      </c>
      <c r="B1088" s="1" t="s">
        <v>930</v>
      </c>
      <c r="C1088" s="11">
        <v>45070</v>
      </c>
      <c r="D1088" s="11" t="s">
        <v>5762</v>
      </c>
      <c r="E1088" s="1" t="s">
        <v>21</v>
      </c>
      <c r="F1088" s="1" t="s">
        <v>5765</v>
      </c>
      <c r="G1088" s="6">
        <f>COUNTIF(F:F,Table2[[#This Row],[Form '#]])</f>
        <v>1</v>
      </c>
      <c r="H1088" s="1" t="s">
        <v>5766</v>
      </c>
      <c r="I1088" s="1" t="s">
        <v>127</v>
      </c>
      <c r="J1088" s="1" t="s">
        <v>3891</v>
      </c>
      <c r="K1088" s="1" t="s">
        <v>4011</v>
      </c>
      <c r="L1088" s="1"/>
      <c r="M1088" s="6" t="str">
        <f>IF(Table2[[#This Row],[Corrected Form '#
 (If Duplicated)]]="",Table2[[#This Row],[Form '#]],Table2[[#This Row],[Corrected Form '#
 (If Duplicated)]])</f>
        <v>7818-29581</v>
      </c>
      <c r="N1088" s="1" t="s">
        <v>49</v>
      </c>
      <c r="O1088" s="6" t="str">
        <f>IF(Table2[[#This Row],[POG CONFIRMATION RECEIPT OF ORDER
(DATE &amp; TIME)]]="","No Confirmation","Received Confirmation")</f>
        <v>Received Confirmation</v>
      </c>
      <c r="P1088" s="6">
        <f ca="1">TODAY()-Table2[[#This Row],[DATE SENT TO POG]]</f>
        <v>233</v>
      </c>
      <c r="Q1088" s="6" t="s">
        <v>5803</v>
      </c>
      <c r="R10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8" s="2" t="str">
        <f>_xlfn.XLOOKUP(Table2[[#This Row],[Adjusted Form '#]],'[2]IN PROGRESS'!$D:$D,'[2]IN PROGRESS'!$M:$M,"Not Found")</f>
        <v>Not Found</v>
      </c>
      <c r="U1088" s="2" t="str">
        <f>_xlfn.XLOOKUP(Table2[[#This Row],[Adjusted Form '#]],[1]COMPLETED!$D:$D,[2]COMPLETED!$M:$M,"Not Found")</f>
        <v>Not Found</v>
      </c>
      <c r="V1088" s="17" t="str">
        <f>_xlfn.XLOOKUP(Table2[[#This Row],[Adjusted Form '#]],[2]COMPLETED!$D:$D,[2]COMPLETED!$O:$O,"Not Found")</f>
        <v>Not Found</v>
      </c>
      <c r="W1088" s="2" t="str">
        <f>_xlfn.XLOOKUP(Table2[[#This Row],[Adjusted Form '#]],[2]BILLED!$D:$D,[2]BILLED!$M:$M,"Not Found")</f>
        <v>1Z5063E0YW41583861</v>
      </c>
      <c r="X1088" s="17" t="e">
        <f>_xlfn.XLOOKUP(Table2[[#This Row],[Adjusted Form '#]],[2]BILLED!$D:$D,[1]BILLED!$O:$O,"Not Found")</f>
        <v>#REF!</v>
      </c>
      <c r="Y1088" s="17" t="e">
        <f>_xlfn.XLOOKUP(Table2[[#This Row],[Adjusted Form '#]],'[2]REJECTED ORDERS'!$D:$D,'[2]REJECTED ORDERS'!$E:$E)</f>
        <v>#N/A</v>
      </c>
      <c r="Z1088" s="1"/>
      <c r="AA1088" s="1"/>
      <c r="AB1088" s="8"/>
      <c r="AC1088" s="8"/>
      <c r="AD1088" s="8"/>
      <c r="AE1088" s="8"/>
      <c r="AF1088" s="8"/>
      <c r="AG1088" s="8"/>
      <c r="AH1088" s="8"/>
      <c r="AI1088" s="8"/>
      <c r="AJ1088" s="8"/>
    </row>
    <row r="1089" spans="1:36" ht="15" customHeight="1" x14ac:dyDescent="0.35">
      <c r="A1089" s="4" t="s">
        <v>1642</v>
      </c>
      <c r="B1089" s="1" t="s">
        <v>4506</v>
      </c>
      <c r="C1089" s="11">
        <v>45070</v>
      </c>
      <c r="D1089" s="11" t="s">
        <v>5762</v>
      </c>
      <c r="E1089" s="1" t="s">
        <v>21</v>
      </c>
      <c r="F1089" s="1" t="s">
        <v>3541</v>
      </c>
      <c r="G1089" s="6">
        <f>COUNTIF(F:F,Table2[[#This Row],[Form '#]])</f>
        <v>1</v>
      </c>
      <c r="H1089" s="1" t="s">
        <v>2614</v>
      </c>
      <c r="I1089" s="1" t="s">
        <v>3852</v>
      </c>
      <c r="J1089" s="1" t="s">
        <v>75</v>
      </c>
      <c r="K1089" s="1" t="s">
        <v>3853</v>
      </c>
      <c r="L1089" s="1"/>
      <c r="M1089" s="6" t="str">
        <f>IF(Table2[[#This Row],[Corrected Form '#
 (If Duplicated)]]="",Table2[[#This Row],[Form '#]],Table2[[#This Row],[Corrected Form '#
 (If Duplicated)]])</f>
        <v>7818-21701</v>
      </c>
      <c r="N1089" s="1" t="s">
        <v>49</v>
      </c>
      <c r="O1089" s="6" t="str">
        <f>IF(Table2[[#This Row],[POG CONFIRMATION RECEIPT OF ORDER
(DATE &amp; TIME)]]="","No Confirmation","Received Confirmation")</f>
        <v>Received Confirmation</v>
      </c>
      <c r="P1089" s="6">
        <f ca="1">TODAY()-Table2[[#This Row],[DATE SENT TO POG]]</f>
        <v>233</v>
      </c>
      <c r="Q1089" s="6" t="s">
        <v>5803</v>
      </c>
      <c r="R10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89" s="2" t="str">
        <f>_xlfn.XLOOKUP(Table2[[#This Row],[Adjusted Form '#]],'[2]IN PROGRESS'!$D:$D,'[2]IN PROGRESS'!$M:$M,"Not Found")</f>
        <v>Not Found</v>
      </c>
      <c r="U1089" s="2" t="str">
        <f>_xlfn.XLOOKUP(Table2[[#This Row],[Adjusted Form '#]],[1]COMPLETED!$D:$D,[2]COMPLETED!$M:$M,"Not Found")</f>
        <v>Not Found</v>
      </c>
      <c r="V1089" s="17" t="str">
        <f>_xlfn.XLOOKUP(Table2[[#This Row],[Adjusted Form '#]],[2]COMPLETED!$D:$D,[2]COMPLETED!$O:$O,"Not Found")</f>
        <v>Not Found</v>
      </c>
      <c r="W1089" s="2" t="str">
        <f>_xlfn.XLOOKUP(Table2[[#This Row],[Adjusted Form '#]],[2]BILLED!$D:$D,[2]BILLED!$M:$M,"Not Found")</f>
        <v>9402 1112 0620 7694 0957 76</v>
      </c>
      <c r="X1089" s="17" t="e">
        <f>_xlfn.XLOOKUP(Table2[[#This Row],[Adjusted Form '#]],[2]BILLED!$D:$D,[1]BILLED!$O:$O,"Not Found")</f>
        <v>#REF!</v>
      </c>
      <c r="Y1089" s="17" t="e">
        <f>_xlfn.XLOOKUP(Table2[[#This Row],[Adjusted Form '#]],'[2]REJECTED ORDERS'!$D:$D,'[2]REJECTED ORDERS'!$E:$E)</f>
        <v>#N/A</v>
      </c>
      <c r="Z1089" s="1"/>
      <c r="AA1089" s="1"/>
      <c r="AB1089" s="8"/>
      <c r="AC1089" s="8"/>
      <c r="AD1089" s="8"/>
      <c r="AE1089" s="8"/>
      <c r="AF1089" s="8"/>
      <c r="AG1089" s="8"/>
      <c r="AH1089" s="8"/>
      <c r="AI1089" s="8"/>
      <c r="AJ1089" s="8"/>
    </row>
    <row r="1090" spans="1:36" ht="15" customHeight="1" x14ac:dyDescent="0.35">
      <c r="A1090" s="4" t="s">
        <v>1643</v>
      </c>
      <c r="B1090" s="1" t="s">
        <v>1838</v>
      </c>
      <c r="C1090" s="11">
        <v>45071</v>
      </c>
      <c r="D1090" s="11" t="s">
        <v>5767</v>
      </c>
      <c r="E1090" s="1" t="s">
        <v>191</v>
      </c>
      <c r="F1090" s="1" t="s">
        <v>5768</v>
      </c>
      <c r="G1090" s="6">
        <f>COUNTIF(F:F,Table2[[#This Row],[Form '#]])</f>
        <v>1</v>
      </c>
      <c r="H1090" s="1" t="s">
        <v>2040</v>
      </c>
      <c r="I1090" s="1" t="s">
        <v>758</v>
      </c>
      <c r="J1090" s="1" t="s">
        <v>78</v>
      </c>
      <c r="K1090" s="1" t="s">
        <v>3853</v>
      </c>
      <c r="L1090" s="1"/>
      <c r="M1090" s="6" t="str">
        <f>IF(Table2[[#This Row],[Corrected Form '#
 (If Duplicated)]]="",Table2[[#This Row],[Form '#]],Table2[[#This Row],[Corrected Form '#
 (If Duplicated)]])</f>
        <v>7812-3575</v>
      </c>
      <c r="N1090" s="1" t="s">
        <v>49</v>
      </c>
      <c r="O1090" s="6" t="str">
        <f>IF(Table2[[#This Row],[POG CONFIRMATION RECEIPT OF ORDER
(DATE &amp; TIME)]]="","No Confirmation","Received Confirmation")</f>
        <v>Received Confirmation</v>
      </c>
      <c r="P1090" s="6">
        <f ca="1">TODAY()-Table2[[#This Row],[DATE SENT TO POG]]</f>
        <v>232</v>
      </c>
      <c r="Q1090" s="6" t="s">
        <v>5803</v>
      </c>
      <c r="R10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0" s="2" t="str">
        <f>_xlfn.XLOOKUP(Table2[[#This Row],[Adjusted Form '#]],'[2]IN PROGRESS'!$D:$D,'[2]IN PROGRESS'!$M:$M,"Not Found")</f>
        <v>Not Found</v>
      </c>
      <c r="U1090" s="2" t="str">
        <f>_xlfn.XLOOKUP(Table2[[#This Row],[Adjusted Form '#]],[1]COMPLETED!$D:$D,[2]COMPLETED!$M:$M,"Not Found")</f>
        <v>Not Found</v>
      </c>
      <c r="V1090" s="17" t="str">
        <f>_xlfn.XLOOKUP(Table2[[#This Row],[Adjusted Form '#]],[2]COMPLETED!$D:$D,[2]COMPLETED!$O:$O,"Not Found")</f>
        <v>Not Found</v>
      </c>
      <c r="W1090" s="2" t="str">
        <f>_xlfn.XLOOKUP(Table2[[#This Row],[Adjusted Form '#]],[2]BILLED!$D:$D,[2]BILLED!$M:$M,"Not Found")</f>
        <v>1Z5063E0YW41217382</v>
      </c>
      <c r="X1090" s="17" t="e">
        <f>_xlfn.XLOOKUP(Table2[[#This Row],[Adjusted Form '#]],[2]BILLED!$D:$D,[1]BILLED!$O:$O,"Not Found")</f>
        <v>#REF!</v>
      </c>
      <c r="Y1090" s="17" t="e">
        <f>_xlfn.XLOOKUP(Table2[[#This Row],[Adjusted Form '#]],'[2]REJECTED ORDERS'!$D:$D,'[2]REJECTED ORDERS'!$E:$E)</f>
        <v>#N/A</v>
      </c>
      <c r="Z1090" s="1"/>
      <c r="AA1090" s="1"/>
      <c r="AB1090" s="8"/>
      <c r="AC1090" s="8"/>
      <c r="AD1090" s="8"/>
      <c r="AE1090" s="8"/>
      <c r="AF1090" s="8"/>
      <c r="AG1090" s="8"/>
      <c r="AH1090" s="8"/>
      <c r="AI1090" s="8"/>
      <c r="AJ1090" s="8"/>
    </row>
    <row r="1091" spans="1:36" ht="15" customHeight="1" x14ac:dyDescent="0.35">
      <c r="A1091" s="4" t="s">
        <v>1645</v>
      </c>
      <c r="B1091" s="1" t="s">
        <v>1838</v>
      </c>
      <c r="C1091" s="11">
        <v>45071</v>
      </c>
      <c r="D1091" s="11" t="s">
        <v>5767</v>
      </c>
      <c r="E1091" s="1" t="s">
        <v>191</v>
      </c>
      <c r="F1091" s="3" t="s">
        <v>5530</v>
      </c>
      <c r="G1091" s="6">
        <f>COUNTIF(F:F,Table2[[#This Row],[Form '#]])</f>
        <v>2</v>
      </c>
      <c r="H1091" s="1" t="s">
        <v>2433</v>
      </c>
      <c r="I1091" s="1" t="s">
        <v>177</v>
      </c>
      <c r="J1091" s="1" t="s">
        <v>3891</v>
      </c>
      <c r="K1091" s="1" t="s">
        <v>3891</v>
      </c>
      <c r="L1091" s="1"/>
      <c r="M1091" s="6" t="str">
        <f>IF(Table2[[#This Row],[Corrected Form '#
 (If Duplicated)]]="",Table2[[#This Row],[Form '#]],Table2[[#This Row],[Corrected Form '#
 (If Duplicated)]])</f>
        <v>7812-3857</v>
      </c>
      <c r="N1091" s="1" t="s">
        <v>49</v>
      </c>
      <c r="O1091" s="6" t="str">
        <f>IF(Table2[[#This Row],[POG CONFIRMATION RECEIPT OF ORDER
(DATE &amp; TIME)]]="","No Confirmation","Received Confirmation")</f>
        <v>Received Confirmation</v>
      </c>
      <c r="P1091" s="6">
        <f ca="1">TODAY()-Table2[[#This Row],[DATE SENT TO POG]]</f>
        <v>232</v>
      </c>
      <c r="Q1091" s="6" t="s">
        <v>5803</v>
      </c>
      <c r="R10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1" s="2" t="str">
        <f>_xlfn.XLOOKUP(Table2[[#This Row],[Adjusted Form '#]],'[2]IN PROGRESS'!$D:$D,'[2]IN PROGRESS'!$M:$M,"Not Found")</f>
        <v>Not Found</v>
      </c>
      <c r="U1091" s="2" t="str">
        <f>_xlfn.XLOOKUP(Table2[[#This Row],[Adjusted Form '#]],[1]COMPLETED!$D:$D,[2]COMPLETED!$M:$M,"Not Found")</f>
        <v>Not Found</v>
      </c>
      <c r="V1091" s="17" t="str">
        <f>_xlfn.XLOOKUP(Table2[[#This Row],[Adjusted Form '#]],[2]COMPLETED!$D:$D,[2]COMPLETED!$O:$O,"Not Found")</f>
        <v>Not Found</v>
      </c>
      <c r="W1091" s="2" t="str">
        <f>_xlfn.XLOOKUP(Table2[[#This Row],[Adjusted Form '#]],[2]BILLED!$D:$D,[2]BILLED!$M:$M,"Not Found")</f>
        <v>1Z5063E0YW41521203</v>
      </c>
      <c r="X1091" s="17" t="e">
        <f>_xlfn.XLOOKUP(Table2[[#This Row],[Adjusted Form '#]],[2]BILLED!$D:$D,[1]BILLED!$O:$O,"Not Found")</f>
        <v>#REF!</v>
      </c>
      <c r="Y1091" s="17" t="str">
        <f>_xlfn.XLOOKUP(Table2[[#This Row],[Adjusted Form '#]],'[2]REJECTED ORDERS'!$D:$D,'[2]REJECTED ORDERS'!$E:$E)</f>
        <v>FORM NUMBER ALREADY USED</v>
      </c>
      <c r="Z1091" s="1"/>
      <c r="AA1091" s="1"/>
      <c r="AB1091" s="8"/>
      <c r="AC1091" s="8"/>
      <c r="AD1091" s="8"/>
      <c r="AE1091" s="8"/>
      <c r="AF1091" s="8"/>
      <c r="AG1091" s="8"/>
      <c r="AH1091" s="8"/>
      <c r="AI1091" s="8"/>
      <c r="AJ1091" s="8"/>
    </row>
    <row r="1092" spans="1:36" ht="15" customHeight="1" x14ac:dyDescent="0.35">
      <c r="A1092" s="4" t="s">
        <v>1647</v>
      </c>
      <c r="B1092" s="1" t="s">
        <v>5769</v>
      </c>
      <c r="C1092" s="11">
        <v>45071</v>
      </c>
      <c r="D1092" s="11" t="s">
        <v>5770</v>
      </c>
      <c r="E1092" s="1" t="s">
        <v>21</v>
      </c>
      <c r="F1092" s="1" t="s">
        <v>5771</v>
      </c>
      <c r="G1092" s="6">
        <f>COUNTIF(F:F,Table2[[#This Row],[Form '#]])</f>
        <v>1</v>
      </c>
      <c r="H1092" s="1" t="s">
        <v>5773</v>
      </c>
      <c r="I1092" s="1" t="s">
        <v>127</v>
      </c>
      <c r="J1092" s="1" t="s">
        <v>76</v>
      </c>
      <c r="K1092" s="1" t="s">
        <v>5772</v>
      </c>
      <c r="L1092" s="1"/>
      <c r="M1092" s="6" t="str">
        <f>IF(Table2[[#This Row],[Corrected Form '#
 (If Duplicated)]]="",Table2[[#This Row],[Form '#]],Table2[[#This Row],[Corrected Form '#
 (If Duplicated)]])</f>
        <v>7818-25152</v>
      </c>
      <c r="N1092" s="1" t="s">
        <v>49</v>
      </c>
      <c r="O1092" s="6" t="str">
        <f>IF(Table2[[#This Row],[POG CONFIRMATION RECEIPT OF ORDER
(DATE &amp; TIME)]]="","No Confirmation","Received Confirmation")</f>
        <v>Received Confirmation</v>
      </c>
      <c r="P1092" s="6">
        <f ca="1">TODAY()-Table2[[#This Row],[DATE SENT TO POG]]</f>
        <v>232</v>
      </c>
      <c r="Q1092" s="6" t="s">
        <v>5803</v>
      </c>
      <c r="R10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2" s="2" t="str">
        <f>_xlfn.XLOOKUP(Table2[[#This Row],[Adjusted Form '#]],'[2]IN PROGRESS'!$D:$D,'[2]IN PROGRESS'!$M:$M,"Not Found")</f>
        <v>Not Found</v>
      </c>
      <c r="U1092" s="2" t="str">
        <f>_xlfn.XLOOKUP(Table2[[#This Row],[Adjusted Form '#]],[1]COMPLETED!$D:$D,[2]COMPLETED!$M:$M,"Not Found")</f>
        <v>Not Found</v>
      </c>
      <c r="V1092" s="17" t="str">
        <f>_xlfn.XLOOKUP(Table2[[#This Row],[Adjusted Form '#]],[2]COMPLETED!$D:$D,[2]COMPLETED!$O:$O,"Not Found")</f>
        <v>Not Found</v>
      </c>
      <c r="W1092" s="2" t="str">
        <f>_xlfn.XLOOKUP(Table2[[#This Row],[Adjusted Form '#]],[2]BILLED!$D:$D,[2]BILLED!$M:$M,"Not Found")</f>
        <v>1Z5063E0YW42331229</v>
      </c>
      <c r="X1092" s="17" t="e">
        <f>_xlfn.XLOOKUP(Table2[[#This Row],[Adjusted Form '#]],[2]BILLED!$D:$D,[1]BILLED!$O:$O,"Not Found")</f>
        <v>#REF!</v>
      </c>
      <c r="Y1092" s="17" t="e">
        <f>_xlfn.XLOOKUP(Table2[[#This Row],[Adjusted Form '#]],'[2]REJECTED ORDERS'!$D:$D,'[2]REJECTED ORDERS'!$E:$E)</f>
        <v>#N/A</v>
      </c>
      <c r="Z1092" s="1"/>
      <c r="AA1092" s="1"/>
      <c r="AB1092" s="8"/>
      <c r="AC1092" s="8"/>
      <c r="AD1092" s="8"/>
      <c r="AE1092" s="8"/>
      <c r="AF1092" s="8"/>
      <c r="AG1092" s="8"/>
      <c r="AH1092" s="8"/>
      <c r="AI1092" s="8"/>
      <c r="AJ1092" s="8"/>
    </row>
    <row r="1093" spans="1:36" ht="15" customHeight="1" x14ac:dyDescent="0.35">
      <c r="A1093" s="4" t="s">
        <v>1648</v>
      </c>
      <c r="B1093" s="1" t="s">
        <v>5769</v>
      </c>
      <c r="C1093" s="11">
        <v>45071</v>
      </c>
      <c r="D1093" s="11" t="s">
        <v>5770</v>
      </c>
      <c r="E1093" s="1" t="s">
        <v>21</v>
      </c>
      <c r="F1093" s="1" t="s">
        <v>5774</v>
      </c>
      <c r="G1093" s="6">
        <f>COUNTIF(F:F,Table2[[#This Row],[Form '#]])</f>
        <v>1</v>
      </c>
      <c r="H1093" s="1" t="s">
        <v>900</v>
      </c>
      <c r="I1093" s="1" t="s">
        <v>3852</v>
      </c>
      <c r="J1093" s="1" t="s">
        <v>80</v>
      </c>
      <c r="K1093" s="1" t="s">
        <v>3853</v>
      </c>
      <c r="L1093" s="1"/>
      <c r="M1093" s="6" t="str">
        <f>IF(Table2[[#This Row],[Corrected Form '#
 (If Duplicated)]]="",Table2[[#This Row],[Form '#]],Table2[[#This Row],[Corrected Form '#
 (If Duplicated)]])</f>
        <v>7818-26546</v>
      </c>
      <c r="N1093" s="1" t="s">
        <v>49</v>
      </c>
      <c r="O1093" s="6" t="str">
        <f>IF(Table2[[#This Row],[POG CONFIRMATION RECEIPT OF ORDER
(DATE &amp; TIME)]]="","No Confirmation","Received Confirmation")</f>
        <v>Received Confirmation</v>
      </c>
      <c r="P1093" s="6">
        <f ca="1">TODAY()-Table2[[#This Row],[DATE SENT TO POG]]</f>
        <v>232</v>
      </c>
      <c r="Q1093" s="6" t="s">
        <v>5803</v>
      </c>
      <c r="R10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3" s="2" t="str">
        <f>_xlfn.XLOOKUP(Table2[[#This Row],[Adjusted Form '#]],'[2]IN PROGRESS'!$D:$D,'[2]IN PROGRESS'!$M:$M,"Not Found")</f>
        <v>Not Found</v>
      </c>
      <c r="U1093" s="2" t="str">
        <f>_xlfn.XLOOKUP(Table2[[#This Row],[Adjusted Form '#]],[1]COMPLETED!$D:$D,[2]COMPLETED!$M:$M,"Not Found")</f>
        <v>Not Found</v>
      </c>
      <c r="V1093" s="17" t="str">
        <f>_xlfn.XLOOKUP(Table2[[#This Row],[Adjusted Form '#]],[2]COMPLETED!$D:$D,[2]COMPLETED!$O:$O,"Not Found")</f>
        <v>Not Found</v>
      </c>
      <c r="W1093" s="2" t="str">
        <f>_xlfn.XLOOKUP(Table2[[#This Row],[Adjusted Form '#]],[2]BILLED!$D:$D,[2]BILLED!$M:$M,"Not Found")</f>
        <v>1Z5063E0YW41820229</v>
      </c>
      <c r="X1093" s="17" t="e">
        <f>_xlfn.XLOOKUP(Table2[[#This Row],[Adjusted Form '#]],[2]BILLED!$D:$D,[1]BILLED!$O:$O,"Not Found")</f>
        <v>#REF!</v>
      </c>
      <c r="Y1093" s="17" t="e">
        <f>_xlfn.XLOOKUP(Table2[[#This Row],[Adjusted Form '#]],'[2]REJECTED ORDERS'!$D:$D,'[2]REJECTED ORDERS'!$E:$E)</f>
        <v>#N/A</v>
      </c>
      <c r="Z1093" s="1"/>
      <c r="AA1093" s="1"/>
      <c r="AB1093" s="8"/>
      <c r="AC1093" s="8"/>
      <c r="AD1093" s="8"/>
      <c r="AE1093" s="8"/>
      <c r="AF1093" s="8"/>
      <c r="AG1093" s="8"/>
      <c r="AH1093" s="8"/>
      <c r="AI1093" s="8"/>
      <c r="AJ1093" s="8"/>
    </row>
    <row r="1094" spans="1:36" ht="15" customHeight="1" x14ac:dyDescent="0.35">
      <c r="A1094" s="4" t="s">
        <v>1649</v>
      </c>
      <c r="B1094" s="1" t="s">
        <v>5769</v>
      </c>
      <c r="C1094" s="11">
        <v>45071</v>
      </c>
      <c r="D1094" s="11" t="s">
        <v>5770</v>
      </c>
      <c r="E1094" s="1" t="s">
        <v>21</v>
      </c>
      <c r="F1094" s="1" t="s">
        <v>5775</v>
      </c>
      <c r="G1094" s="6">
        <f>COUNTIF(F:F,Table2[[#This Row],[Form '#]])</f>
        <v>1</v>
      </c>
      <c r="H1094" s="1" t="s">
        <v>5776</v>
      </c>
      <c r="I1094" s="1" t="s">
        <v>3852</v>
      </c>
      <c r="J1094" s="1" t="s">
        <v>80</v>
      </c>
      <c r="K1094" s="1" t="s">
        <v>3853</v>
      </c>
      <c r="L1094" s="1"/>
      <c r="M1094" s="6" t="str">
        <f>IF(Table2[[#This Row],[Corrected Form '#
 (If Duplicated)]]="",Table2[[#This Row],[Form '#]],Table2[[#This Row],[Corrected Form '#
 (If Duplicated)]])</f>
        <v>7818-25165</v>
      </c>
      <c r="N1094" s="1" t="s">
        <v>49</v>
      </c>
      <c r="O1094" s="6" t="str">
        <f>IF(Table2[[#This Row],[POG CONFIRMATION RECEIPT OF ORDER
(DATE &amp; TIME)]]="","No Confirmation","Received Confirmation")</f>
        <v>Received Confirmation</v>
      </c>
      <c r="P1094" s="6">
        <f ca="1">TODAY()-Table2[[#This Row],[DATE SENT TO POG]]</f>
        <v>232</v>
      </c>
      <c r="Q1094" s="6" t="s">
        <v>5803</v>
      </c>
      <c r="R10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4" s="2" t="str">
        <f>_xlfn.XLOOKUP(Table2[[#This Row],[Adjusted Form '#]],'[2]IN PROGRESS'!$D:$D,'[2]IN PROGRESS'!$M:$M,"Not Found")</f>
        <v>Not Found</v>
      </c>
      <c r="U1094" s="2" t="str">
        <f>_xlfn.XLOOKUP(Table2[[#This Row],[Adjusted Form '#]],[1]COMPLETED!$D:$D,[2]COMPLETED!$M:$M,"Not Found")</f>
        <v>Not Found</v>
      </c>
      <c r="V1094" s="17" t="str">
        <f>_xlfn.XLOOKUP(Table2[[#This Row],[Adjusted Form '#]],[2]COMPLETED!$D:$D,[2]COMPLETED!$O:$O,"Not Found")</f>
        <v>Not Found</v>
      </c>
      <c r="W1094" s="2" t="str">
        <f>_xlfn.XLOOKUP(Table2[[#This Row],[Adjusted Form '#]],[2]BILLED!$D:$D,[2]BILLED!$M:$M,"Not Found")</f>
        <v>1Z5063E0YW41062067</v>
      </c>
      <c r="X1094" s="17" t="e">
        <f>_xlfn.XLOOKUP(Table2[[#This Row],[Adjusted Form '#]],[2]BILLED!$D:$D,[1]BILLED!$O:$O,"Not Found")</f>
        <v>#REF!</v>
      </c>
      <c r="Y1094" s="17" t="e">
        <f>_xlfn.XLOOKUP(Table2[[#This Row],[Adjusted Form '#]],'[2]REJECTED ORDERS'!$D:$D,'[2]REJECTED ORDERS'!$E:$E)</f>
        <v>#N/A</v>
      </c>
      <c r="Z1094" s="1"/>
      <c r="AA1094" s="1"/>
      <c r="AB1094" s="8"/>
      <c r="AC1094" s="8"/>
      <c r="AD1094" s="8"/>
      <c r="AE1094" s="8"/>
      <c r="AF1094" s="8"/>
      <c r="AG1094" s="8"/>
      <c r="AH1094" s="8"/>
      <c r="AI1094" s="8"/>
      <c r="AJ1094" s="8"/>
    </row>
    <row r="1095" spans="1:36" ht="15" customHeight="1" x14ac:dyDescent="0.35">
      <c r="A1095" s="4" t="s">
        <v>1651</v>
      </c>
      <c r="B1095" s="1" t="s">
        <v>2424</v>
      </c>
      <c r="C1095" s="11">
        <v>45072</v>
      </c>
      <c r="E1095" s="1" t="s">
        <v>21</v>
      </c>
      <c r="F1095" s="1" t="s">
        <v>5777</v>
      </c>
      <c r="G1095" s="6">
        <f>COUNTIF(F:F,Table2[[#This Row],[Form '#]])</f>
        <v>1</v>
      </c>
      <c r="H1095" s="1" t="s">
        <v>3564</v>
      </c>
      <c r="I1095" s="1" t="s">
        <v>3864</v>
      </c>
      <c r="J1095" s="1" t="s">
        <v>78</v>
      </c>
      <c r="K1095" s="1" t="s">
        <v>3879</v>
      </c>
      <c r="L1095" s="1"/>
      <c r="M1095" s="6" t="str">
        <f>IF(Table2[[#This Row],[Corrected Form '#
 (If Duplicated)]]="",Table2[[#This Row],[Form '#]],Table2[[#This Row],[Corrected Form '#
 (If Duplicated)]])</f>
        <v>7818-30789</v>
      </c>
      <c r="N1095" s="1" t="s">
        <v>104</v>
      </c>
      <c r="O1095" s="6" t="str">
        <f>IF(Table2[[#This Row],[POG CONFIRMATION RECEIPT OF ORDER
(DATE &amp; TIME)]]="","No Confirmation","Received Confirmation")</f>
        <v>No Confirmation</v>
      </c>
      <c r="P1095" s="6">
        <f ca="1">TODAY()-Table2[[#This Row],[DATE SENT TO POG]]</f>
        <v>231</v>
      </c>
      <c r="Q1095" s="6" t="s">
        <v>5803</v>
      </c>
      <c r="R10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5" s="2" t="str">
        <f>_xlfn.XLOOKUP(Table2[[#This Row],[Adjusted Form '#]],'[2]IN PROGRESS'!$D:$D,'[2]IN PROGRESS'!$M:$M,"Not Found")</f>
        <v>Not Found</v>
      </c>
      <c r="U1095" s="2" t="str">
        <f>_xlfn.XLOOKUP(Table2[[#This Row],[Adjusted Form '#]],[1]COMPLETED!$D:$D,[2]COMPLETED!$M:$M,"Not Found")</f>
        <v>Not Found</v>
      </c>
      <c r="V1095" s="17" t="str">
        <f>_xlfn.XLOOKUP(Table2[[#This Row],[Adjusted Form '#]],[2]COMPLETED!$D:$D,[2]COMPLETED!$O:$O,"Not Found")</f>
        <v>Not Found</v>
      </c>
      <c r="W1095" s="2" t="str">
        <f>_xlfn.XLOOKUP(Table2[[#This Row],[Adjusted Form '#]],[2]BILLED!$D:$D,[2]BILLED!$M:$M,"Not Found")</f>
        <v>1Z5063E0YW42512499</v>
      </c>
      <c r="X1095" s="17" t="e">
        <f>_xlfn.XLOOKUP(Table2[[#This Row],[Adjusted Form '#]],[2]BILLED!$D:$D,[1]BILLED!$O:$O,"Not Found")</f>
        <v>#REF!</v>
      </c>
      <c r="Y1095" s="17" t="e">
        <f>_xlfn.XLOOKUP(Table2[[#This Row],[Adjusted Form '#]],'[2]REJECTED ORDERS'!$D:$D,'[2]REJECTED ORDERS'!$E:$E)</f>
        <v>#N/A</v>
      </c>
      <c r="Z1095" s="1"/>
      <c r="AA1095" s="1"/>
      <c r="AB1095" s="8"/>
      <c r="AC1095" s="8"/>
      <c r="AD1095" s="8"/>
      <c r="AE1095" s="8"/>
      <c r="AF1095" s="8"/>
      <c r="AG1095" s="8"/>
      <c r="AH1095" s="8"/>
      <c r="AI1095" s="8"/>
      <c r="AJ1095" s="8"/>
    </row>
    <row r="1096" spans="1:36" ht="15" customHeight="1" x14ac:dyDescent="0.35">
      <c r="A1096" s="4" t="s">
        <v>1654</v>
      </c>
      <c r="B1096" s="1" t="s">
        <v>911</v>
      </c>
      <c r="C1096" s="11">
        <v>45072</v>
      </c>
      <c r="D1096" s="11" t="s">
        <v>5778</v>
      </c>
      <c r="E1096" s="1" t="s">
        <v>73</v>
      </c>
      <c r="F1096" s="1" t="s">
        <v>5779</v>
      </c>
      <c r="G1096" s="6">
        <f>COUNTIF(F:F,Table2[[#This Row],[Form '#]])</f>
        <v>1</v>
      </c>
      <c r="H1096" s="1" t="s">
        <v>5780</v>
      </c>
      <c r="I1096" s="1" t="s">
        <v>3852</v>
      </c>
      <c r="J1096" s="1" t="s">
        <v>80</v>
      </c>
      <c r="K1096" s="1" t="s">
        <v>4011</v>
      </c>
      <c r="L1096" s="1"/>
      <c r="M1096" s="6" t="str">
        <f>IF(Table2[[#This Row],[Corrected Form '#
 (If Duplicated)]]="",Table2[[#This Row],[Form '#]],Table2[[#This Row],[Corrected Form '#
 (If Duplicated)]])</f>
        <v>7823-02161</v>
      </c>
      <c r="N1096" s="1" t="s">
        <v>49</v>
      </c>
      <c r="O1096" s="6" t="str">
        <f>IF(Table2[[#This Row],[POG CONFIRMATION RECEIPT OF ORDER
(DATE &amp; TIME)]]="","No Confirmation","Received Confirmation")</f>
        <v>Received Confirmation</v>
      </c>
      <c r="P1096" s="6">
        <f ca="1">TODAY()-Table2[[#This Row],[DATE SENT TO POG]]</f>
        <v>231</v>
      </c>
      <c r="Q1096" s="6" t="s">
        <v>5803</v>
      </c>
      <c r="R10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6" s="2" t="str">
        <f>_xlfn.XLOOKUP(Table2[[#This Row],[Adjusted Form '#]],'[2]IN PROGRESS'!$D:$D,'[2]IN PROGRESS'!$M:$M,"Not Found")</f>
        <v>Not Found</v>
      </c>
      <c r="U1096" s="2" t="str">
        <f>_xlfn.XLOOKUP(Table2[[#This Row],[Adjusted Form '#]],[1]COMPLETED!$D:$D,[2]COMPLETED!$M:$M,"Not Found")</f>
        <v>Not Found</v>
      </c>
      <c r="V1096" s="17" t="str">
        <f>_xlfn.XLOOKUP(Table2[[#This Row],[Adjusted Form '#]],[2]COMPLETED!$D:$D,[2]COMPLETED!$O:$O,"Not Found")</f>
        <v>Not Found</v>
      </c>
      <c r="W1096" s="2" t="str">
        <f>_xlfn.XLOOKUP(Table2[[#This Row],[Adjusted Form '#]],[2]BILLED!$D:$D,[2]BILLED!$M:$M,"Not Found")</f>
        <v>9400 1112 0620 9882 0801 15</v>
      </c>
      <c r="X1096" s="17" t="e">
        <f>_xlfn.XLOOKUP(Table2[[#This Row],[Adjusted Form '#]],[2]BILLED!$D:$D,[1]BILLED!$O:$O,"Not Found")</f>
        <v>#REF!</v>
      </c>
      <c r="Y1096" s="17" t="e">
        <f>_xlfn.XLOOKUP(Table2[[#This Row],[Adjusted Form '#]],'[2]REJECTED ORDERS'!$D:$D,'[2]REJECTED ORDERS'!$E:$E)</f>
        <v>#N/A</v>
      </c>
      <c r="Z1096" s="1"/>
      <c r="AA1096" s="1"/>
      <c r="AB1096" s="8"/>
      <c r="AC1096" s="8"/>
      <c r="AD1096" s="8"/>
      <c r="AE1096" s="8"/>
      <c r="AF1096" s="8"/>
      <c r="AG1096" s="8"/>
      <c r="AH1096" s="8"/>
      <c r="AI1096" s="8"/>
      <c r="AJ1096" s="8"/>
    </row>
    <row r="1097" spans="1:36" ht="15" customHeight="1" x14ac:dyDescent="0.35">
      <c r="A1097" s="4" t="s">
        <v>1655</v>
      </c>
      <c r="B1097" s="1" t="s">
        <v>1838</v>
      </c>
      <c r="C1097" s="11">
        <v>45072</v>
      </c>
      <c r="D1097" s="11" t="s">
        <v>5781</v>
      </c>
      <c r="E1097" s="1" t="s">
        <v>21</v>
      </c>
      <c r="F1097" s="1" t="s">
        <v>5782</v>
      </c>
      <c r="G1097" s="6">
        <f>COUNTIF(F:F,Table2[[#This Row],[Form '#]])</f>
        <v>1</v>
      </c>
      <c r="H1097" s="1" t="s">
        <v>5783</v>
      </c>
      <c r="I1097" s="1" t="s">
        <v>3852</v>
      </c>
      <c r="J1097" s="1" t="s">
        <v>75</v>
      </c>
      <c r="K1097" s="1" t="s">
        <v>3853</v>
      </c>
      <c r="L1097" s="1"/>
      <c r="M1097" s="6" t="str">
        <f>IF(Table2[[#This Row],[Corrected Form '#
 (If Duplicated)]]="",Table2[[#This Row],[Form '#]],Table2[[#This Row],[Corrected Form '#
 (If Duplicated)]])</f>
        <v>7818-30791</v>
      </c>
      <c r="N1097" s="1" t="s">
        <v>49</v>
      </c>
      <c r="O1097" s="6" t="str">
        <f>IF(Table2[[#This Row],[POG CONFIRMATION RECEIPT OF ORDER
(DATE &amp; TIME)]]="","No Confirmation","Received Confirmation")</f>
        <v>Received Confirmation</v>
      </c>
      <c r="P1097" s="6">
        <f ca="1">TODAY()-Table2[[#This Row],[DATE SENT TO POG]]</f>
        <v>231</v>
      </c>
      <c r="Q1097" s="6" t="s">
        <v>5803</v>
      </c>
      <c r="R10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7" s="2" t="str">
        <f>_xlfn.XLOOKUP(Table2[[#This Row],[Adjusted Form '#]],'[2]IN PROGRESS'!$D:$D,'[2]IN PROGRESS'!$M:$M,"Not Found")</f>
        <v>Not Found</v>
      </c>
      <c r="U1097" s="2" t="str">
        <f>_xlfn.XLOOKUP(Table2[[#This Row],[Adjusted Form '#]],[1]COMPLETED!$D:$D,[2]COMPLETED!$M:$M,"Not Found")</f>
        <v>Not Found</v>
      </c>
      <c r="V1097" s="17" t="str">
        <f>_xlfn.XLOOKUP(Table2[[#This Row],[Adjusted Form '#]],[2]COMPLETED!$D:$D,[2]COMPLETED!$O:$O,"Not Found")</f>
        <v>Not Found</v>
      </c>
      <c r="W1097" s="2" t="str">
        <f>_xlfn.XLOOKUP(Table2[[#This Row],[Adjusted Form '#]],[2]BILLED!$D:$D,[2]BILLED!$M:$M,"Not Found")</f>
        <v>1Z5063E0YW41309229</v>
      </c>
      <c r="X1097" s="17" t="e">
        <f>_xlfn.XLOOKUP(Table2[[#This Row],[Adjusted Form '#]],[2]BILLED!$D:$D,[1]BILLED!$O:$O,"Not Found")</f>
        <v>#REF!</v>
      </c>
      <c r="Y1097" s="17" t="e">
        <f>_xlfn.XLOOKUP(Table2[[#This Row],[Adjusted Form '#]],'[2]REJECTED ORDERS'!$D:$D,'[2]REJECTED ORDERS'!$E:$E)</f>
        <v>#N/A</v>
      </c>
      <c r="Z1097" s="1"/>
      <c r="AA1097" s="1"/>
      <c r="AB1097" s="8"/>
      <c r="AC1097" s="8"/>
      <c r="AD1097" s="8"/>
      <c r="AE1097" s="8"/>
      <c r="AF1097" s="8"/>
      <c r="AG1097" s="8"/>
      <c r="AH1097" s="8"/>
      <c r="AI1097" s="8"/>
      <c r="AJ1097" s="8"/>
    </row>
    <row r="1098" spans="1:36" ht="15" customHeight="1" x14ac:dyDescent="0.35">
      <c r="A1098" s="4" t="s">
        <v>1656</v>
      </c>
      <c r="B1098" s="1" t="s">
        <v>1838</v>
      </c>
      <c r="C1098" s="11">
        <v>45072</v>
      </c>
      <c r="D1098" s="11" t="s">
        <v>5781</v>
      </c>
      <c r="E1098" s="1" t="s">
        <v>21</v>
      </c>
      <c r="F1098" s="1" t="s">
        <v>5784</v>
      </c>
      <c r="G1098" s="6">
        <f>COUNTIF(F:F,Table2[[#This Row],[Form '#]])</f>
        <v>1</v>
      </c>
      <c r="H1098" s="1" t="s">
        <v>5785</v>
      </c>
      <c r="I1098" s="1" t="s">
        <v>3852</v>
      </c>
      <c r="J1098" s="1" t="s">
        <v>75</v>
      </c>
      <c r="K1098" s="1" t="s">
        <v>3853</v>
      </c>
      <c r="L1098" s="1"/>
      <c r="M1098" s="6" t="str">
        <f>IF(Table2[[#This Row],[Corrected Form '#
 (If Duplicated)]]="",Table2[[#This Row],[Form '#]],Table2[[#This Row],[Corrected Form '#
 (If Duplicated)]])</f>
        <v>7818-07914</v>
      </c>
      <c r="N1098" s="1" t="s">
        <v>49</v>
      </c>
      <c r="O1098" s="6" t="str">
        <f>IF(Table2[[#This Row],[POG CONFIRMATION RECEIPT OF ORDER
(DATE &amp; TIME)]]="","No Confirmation","Received Confirmation")</f>
        <v>Received Confirmation</v>
      </c>
      <c r="P1098" s="6">
        <f ca="1">TODAY()-Table2[[#This Row],[DATE SENT TO POG]]</f>
        <v>231</v>
      </c>
      <c r="Q1098" s="6" t="s">
        <v>5803</v>
      </c>
      <c r="R10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8" s="2" t="str">
        <f>_xlfn.XLOOKUP(Table2[[#This Row],[Adjusted Form '#]],'[2]IN PROGRESS'!$D:$D,'[2]IN PROGRESS'!$M:$M,"Not Found")</f>
        <v>Not Found</v>
      </c>
      <c r="U1098" s="2" t="str">
        <f>_xlfn.XLOOKUP(Table2[[#This Row],[Adjusted Form '#]],[1]COMPLETED!$D:$D,[2]COMPLETED!$M:$M,"Not Found")</f>
        <v>Not Found</v>
      </c>
      <c r="V1098" s="17" t="str">
        <f>_xlfn.XLOOKUP(Table2[[#This Row],[Adjusted Form '#]],[2]COMPLETED!$D:$D,[2]COMPLETED!$O:$O,"Not Found")</f>
        <v>Not Found</v>
      </c>
      <c r="W1098" s="2" t="str">
        <f>_xlfn.XLOOKUP(Table2[[#This Row],[Adjusted Form '#]],[2]BILLED!$D:$D,[2]BILLED!$M:$M,"Not Found")</f>
        <v>1Z5063E0YW41964235</v>
      </c>
      <c r="X1098" s="17" t="e">
        <f>_xlfn.XLOOKUP(Table2[[#This Row],[Adjusted Form '#]],[2]BILLED!$D:$D,[1]BILLED!$O:$O,"Not Found")</f>
        <v>#REF!</v>
      </c>
      <c r="Y1098" s="17" t="e">
        <f>_xlfn.XLOOKUP(Table2[[#This Row],[Adjusted Form '#]],'[2]REJECTED ORDERS'!$D:$D,'[2]REJECTED ORDERS'!$E:$E)</f>
        <v>#N/A</v>
      </c>
      <c r="Z1098" s="1"/>
      <c r="AA1098" s="1"/>
      <c r="AB1098" s="8"/>
      <c r="AC1098" s="8"/>
      <c r="AD1098" s="8"/>
      <c r="AE1098" s="8"/>
      <c r="AF1098" s="8"/>
      <c r="AG1098" s="8"/>
      <c r="AH1098" s="8"/>
      <c r="AI1098" s="8"/>
      <c r="AJ1098" s="8"/>
    </row>
    <row r="1099" spans="1:36" ht="15" customHeight="1" x14ac:dyDescent="0.35">
      <c r="A1099" s="4" t="s">
        <v>1658</v>
      </c>
      <c r="B1099" s="1" t="s">
        <v>1838</v>
      </c>
      <c r="C1099" s="11">
        <v>45072</v>
      </c>
      <c r="D1099" s="11" t="s">
        <v>5781</v>
      </c>
      <c r="E1099" s="1" t="s">
        <v>21</v>
      </c>
      <c r="F1099" s="1" t="s">
        <v>5786</v>
      </c>
      <c r="G1099" s="6">
        <f>COUNTIF(F:F,Table2[[#This Row],[Form '#]])</f>
        <v>1</v>
      </c>
      <c r="H1099" s="1" t="s">
        <v>5787</v>
      </c>
      <c r="I1099" s="1" t="s">
        <v>177</v>
      </c>
      <c r="J1099" s="1" t="s">
        <v>75</v>
      </c>
      <c r="K1099" s="1" t="s">
        <v>4011</v>
      </c>
      <c r="L1099" s="1"/>
      <c r="M1099" s="6" t="str">
        <f>IF(Table2[[#This Row],[Corrected Form '#
 (If Duplicated)]]="",Table2[[#This Row],[Form '#]],Table2[[#This Row],[Corrected Form '#
 (If Duplicated)]])</f>
        <v>7818-24246</v>
      </c>
      <c r="N1099" s="1" t="s">
        <v>49</v>
      </c>
      <c r="O1099" s="6" t="str">
        <f>IF(Table2[[#This Row],[POG CONFIRMATION RECEIPT OF ORDER
(DATE &amp; TIME)]]="","No Confirmation","Received Confirmation")</f>
        <v>Received Confirmation</v>
      </c>
      <c r="P1099" s="6">
        <f ca="1">TODAY()-Table2[[#This Row],[DATE SENT TO POG]]</f>
        <v>231</v>
      </c>
      <c r="Q1099" s="6" t="s">
        <v>5803</v>
      </c>
      <c r="R10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0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099" s="2" t="str">
        <f>_xlfn.XLOOKUP(Table2[[#This Row],[Adjusted Form '#]],'[2]IN PROGRESS'!$D:$D,'[2]IN PROGRESS'!$M:$M,"Not Found")</f>
        <v>Not Found</v>
      </c>
      <c r="U1099" s="2" t="str">
        <f>_xlfn.XLOOKUP(Table2[[#This Row],[Adjusted Form '#]],[1]COMPLETED!$D:$D,[2]COMPLETED!$M:$M,"Not Found")</f>
        <v>Not Found</v>
      </c>
      <c r="V1099" s="17" t="str">
        <f>_xlfn.XLOOKUP(Table2[[#This Row],[Adjusted Form '#]],[2]COMPLETED!$D:$D,[2]COMPLETED!$O:$O,"Not Found")</f>
        <v>Not Found</v>
      </c>
      <c r="W1099" s="2" t="str">
        <f>_xlfn.XLOOKUP(Table2[[#This Row],[Adjusted Form '#]],[2]BILLED!$D:$D,[2]BILLED!$M:$M,"Not Found")</f>
        <v>1Z5063E0YW42513747</v>
      </c>
      <c r="X1099" s="17" t="e">
        <f>_xlfn.XLOOKUP(Table2[[#This Row],[Adjusted Form '#]],[2]BILLED!$D:$D,[1]BILLED!$O:$O,"Not Found")</f>
        <v>#REF!</v>
      </c>
      <c r="Y1099" s="17" t="e">
        <f>_xlfn.XLOOKUP(Table2[[#This Row],[Adjusted Form '#]],'[2]REJECTED ORDERS'!$D:$D,'[2]REJECTED ORDERS'!$E:$E)</f>
        <v>#N/A</v>
      </c>
      <c r="Z1099" s="1"/>
      <c r="AA1099" s="1"/>
      <c r="AB1099" s="8"/>
      <c r="AC1099" s="8"/>
      <c r="AD1099" s="8"/>
      <c r="AE1099" s="8"/>
      <c r="AF1099" s="8"/>
      <c r="AG1099" s="8"/>
      <c r="AH1099" s="8"/>
      <c r="AI1099" s="8"/>
      <c r="AJ1099" s="8"/>
    </row>
    <row r="1100" spans="1:36" ht="15" customHeight="1" x14ac:dyDescent="0.35">
      <c r="A1100" s="4" t="s">
        <v>1659</v>
      </c>
      <c r="B1100" s="1" t="s">
        <v>1838</v>
      </c>
      <c r="C1100" s="11">
        <v>45072</v>
      </c>
      <c r="D1100" s="11" t="s">
        <v>5788</v>
      </c>
      <c r="E1100" s="1" t="s">
        <v>73</v>
      </c>
      <c r="F1100" s="1" t="s">
        <v>5789</v>
      </c>
      <c r="G1100" s="6">
        <f>COUNTIF(F:F,Table2[[#This Row],[Form '#]])</f>
        <v>1</v>
      </c>
      <c r="H1100" s="1" t="s">
        <v>2487</v>
      </c>
      <c r="I1100" s="1" t="s">
        <v>3852</v>
      </c>
      <c r="J1100" s="1" t="s">
        <v>80</v>
      </c>
      <c r="K1100" s="1" t="s">
        <v>4011</v>
      </c>
      <c r="L1100" s="1"/>
      <c r="M1100" s="6" t="str">
        <f>IF(Table2[[#This Row],[Corrected Form '#
 (If Duplicated)]]="",Table2[[#This Row],[Form '#]],Table2[[#This Row],[Corrected Form '#
 (If Duplicated)]])</f>
        <v>7823-02110</v>
      </c>
      <c r="N1100" s="1" t="s">
        <v>49</v>
      </c>
      <c r="O1100" s="6" t="str">
        <f>IF(Table2[[#This Row],[POG CONFIRMATION RECEIPT OF ORDER
(DATE &amp; TIME)]]="","No Confirmation","Received Confirmation")</f>
        <v>Received Confirmation</v>
      </c>
      <c r="P1100" s="6">
        <f ca="1">TODAY()-Table2[[#This Row],[DATE SENT TO POG]]</f>
        <v>231</v>
      </c>
      <c r="Q1100" s="6" t="s">
        <v>5803</v>
      </c>
      <c r="R11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0" s="2" t="str">
        <f>_xlfn.XLOOKUP(Table2[[#This Row],[Adjusted Form '#]],'[2]IN PROGRESS'!$D:$D,'[2]IN PROGRESS'!$M:$M,"Not Found")</f>
        <v>Not Found</v>
      </c>
      <c r="U1100" s="2" t="str">
        <f>_xlfn.XLOOKUP(Table2[[#This Row],[Adjusted Form '#]],[1]COMPLETED!$D:$D,[2]COMPLETED!$M:$M,"Not Found")</f>
        <v>Not Found</v>
      </c>
      <c r="V1100" s="17" t="str">
        <f>_xlfn.XLOOKUP(Table2[[#This Row],[Adjusted Form '#]],[2]COMPLETED!$D:$D,[2]COMPLETED!$O:$O,"Not Found")</f>
        <v>Not Found</v>
      </c>
      <c r="W1100" s="2" t="str">
        <f>_xlfn.XLOOKUP(Table2[[#This Row],[Adjusted Form '#]],[2]BILLED!$D:$D,[2]BILLED!$M:$M,"Not Found")</f>
        <v>1Z5063E0YW40211264</v>
      </c>
      <c r="X1100" s="17" t="e">
        <f>_xlfn.XLOOKUP(Table2[[#This Row],[Adjusted Form '#]],[2]BILLED!$D:$D,[1]BILLED!$O:$O,"Not Found")</f>
        <v>#REF!</v>
      </c>
      <c r="Y1100" s="17" t="e">
        <f>_xlfn.XLOOKUP(Table2[[#This Row],[Adjusted Form '#]],'[2]REJECTED ORDERS'!$D:$D,'[2]REJECTED ORDERS'!$E:$E)</f>
        <v>#N/A</v>
      </c>
      <c r="Z1100" s="1"/>
      <c r="AA1100" s="1"/>
      <c r="AB1100" s="8"/>
      <c r="AC1100" s="8"/>
      <c r="AD1100" s="8"/>
      <c r="AE1100" s="8"/>
      <c r="AF1100" s="8"/>
      <c r="AG1100" s="8"/>
      <c r="AH1100" s="8"/>
      <c r="AI1100" s="8"/>
      <c r="AJ1100" s="8"/>
    </row>
    <row r="1101" spans="1:36" ht="15" customHeight="1" x14ac:dyDescent="0.35">
      <c r="A1101" s="4" t="s">
        <v>1660</v>
      </c>
      <c r="B1101" s="1" t="s">
        <v>5805</v>
      </c>
      <c r="C1101" s="11">
        <v>45076</v>
      </c>
      <c r="D1101" s="11" t="s">
        <v>5807</v>
      </c>
      <c r="E1101" s="1" t="s">
        <v>14</v>
      </c>
      <c r="F1101" s="1" t="s">
        <v>5806</v>
      </c>
      <c r="G1101" s="6">
        <f>COUNTIF(F:F,Table2[[#This Row],[Form '#]])</f>
        <v>1</v>
      </c>
      <c r="H1101" s="1" t="s">
        <v>508</v>
      </c>
      <c r="I1101" s="1" t="s">
        <v>758</v>
      </c>
      <c r="J1101" s="1" t="s">
        <v>78</v>
      </c>
      <c r="K1101" s="1" t="s">
        <v>3853</v>
      </c>
      <c r="L1101" s="1"/>
      <c r="M1101" s="6" t="str">
        <f>IF(Table2[[#This Row],[Corrected Form '#
 (If Duplicated)]]="",Table2[[#This Row],[Form '#]],Table2[[#This Row],[Corrected Form '#
 (If Duplicated)]])</f>
        <v>7810-01903</v>
      </c>
      <c r="N1101" s="1" t="s">
        <v>49</v>
      </c>
      <c r="O1101" s="6" t="str">
        <f>IF(Table2[[#This Row],[POG CONFIRMATION RECEIPT OF ORDER
(DATE &amp; TIME)]]="","No Confirmation","Received Confirmation")</f>
        <v>Received Confirmation</v>
      </c>
      <c r="P1101" s="6">
        <f ca="1">TODAY()-Table2[[#This Row],[DATE SENT TO POG]]</f>
        <v>227</v>
      </c>
      <c r="Q1101" s="6" t="s">
        <v>5803</v>
      </c>
      <c r="R11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1" s="2" t="str">
        <f>_xlfn.XLOOKUP(Table2[[#This Row],[Adjusted Form '#]],'[2]IN PROGRESS'!$D:$D,'[2]IN PROGRESS'!$M:$M,"Not Found")</f>
        <v>Not Found</v>
      </c>
      <c r="U1101" s="2" t="str">
        <f>_xlfn.XLOOKUP(Table2[[#This Row],[Adjusted Form '#]],[1]COMPLETED!$D:$D,[2]COMPLETED!$M:$M,"Not Found")</f>
        <v>Not Found</v>
      </c>
      <c r="V1101" s="17" t="str">
        <f>_xlfn.XLOOKUP(Table2[[#This Row],[Adjusted Form '#]],[2]COMPLETED!$D:$D,[2]COMPLETED!$O:$O,"Not Found")</f>
        <v>Not Found</v>
      </c>
      <c r="W1101" s="2" t="str">
        <f>_xlfn.XLOOKUP(Table2[[#This Row],[Adjusted Form '#]],[2]BILLED!$D:$D,[2]BILLED!$M:$M,"Not Found")</f>
        <v>1Z5063E0YW40436790</v>
      </c>
      <c r="X1101" s="17" t="e">
        <f>_xlfn.XLOOKUP(Table2[[#This Row],[Adjusted Form '#]],[2]BILLED!$D:$D,[1]BILLED!$O:$O,"Not Found")</f>
        <v>#REF!</v>
      </c>
      <c r="Y1101" s="17" t="e">
        <f>_xlfn.XLOOKUP(Table2[[#This Row],[Adjusted Form '#]],'[2]REJECTED ORDERS'!$D:$D,'[2]REJECTED ORDERS'!$E:$E)</f>
        <v>#N/A</v>
      </c>
      <c r="Z1101" s="1"/>
      <c r="AA1101" s="1"/>
      <c r="AE1101" s="1"/>
      <c r="AG1101" s="12"/>
      <c r="AH1101" s="1"/>
      <c r="AJ1101" s="8"/>
    </row>
    <row r="1102" spans="1:36" ht="15" customHeight="1" x14ac:dyDescent="0.35">
      <c r="A1102" s="4" t="s">
        <v>1662</v>
      </c>
      <c r="B1102" s="1" t="s">
        <v>1512</v>
      </c>
      <c r="C1102" s="11">
        <v>45076</v>
      </c>
      <c r="E1102" s="1" t="s">
        <v>21</v>
      </c>
      <c r="F1102" s="3" t="s">
        <v>3739</v>
      </c>
      <c r="G1102" s="6">
        <f>COUNTIF(F:F,Table2[[#This Row],[Form '#]])</f>
        <v>1</v>
      </c>
      <c r="H1102" s="1" t="s">
        <v>3676</v>
      </c>
      <c r="I1102" s="1" t="s">
        <v>127</v>
      </c>
      <c r="J1102" s="1" t="s">
        <v>76</v>
      </c>
      <c r="K1102" s="1" t="s">
        <v>3883</v>
      </c>
      <c r="L1102" s="1"/>
      <c r="M1102" s="6" t="str">
        <f>IF(Table2[[#This Row],[Corrected Form '#
 (If Duplicated)]]="",Table2[[#This Row],[Form '#]],Table2[[#This Row],[Corrected Form '#
 (If Duplicated)]])</f>
        <v>7818-25775</v>
      </c>
      <c r="N1102" s="1" t="s">
        <v>104</v>
      </c>
      <c r="O1102" s="6" t="str">
        <f>IF(Table2[[#This Row],[POG CONFIRMATION RECEIPT OF ORDER
(DATE &amp; TIME)]]="","No Confirmation","Received Confirmation")</f>
        <v>No Confirmation</v>
      </c>
      <c r="P1102" s="6">
        <f ca="1">TODAY()-Table2[[#This Row],[DATE SENT TO POG]]</f>
        <v>227</v>
      </c>
      <c r="Q1102" s="6" t="s">
        <v>5803</v>
      </c>
      <c r="R11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2" s="2" t="str">
        <f>_xlfn.XLOOKUP(Table2[[#This Row],[Adjusted Form '#]],'[2]IN PROGRESS'!$D:$D,'[2]IN PROGRESS'!$M:$M,"Not Found")</f>
        <v>Not Found</v>
      </c>
      <c r="U1102" s="2" t="str">
        <f>_xlfn.XLOOKUP(Table2[[#This Row],[Adjusted Form '#]],[1]COMPLETED!$D:$D,[2]COMPLETED!$M:$M,"Not Found")</f>
        <v>Not Found</v>
      </c>
      <c r="V1102" s="17" t="str">
        <f>_xlfn.XLOOKUP(Table2[[#This Row],[Adjusted Form '#]],[2]COMPLETED!$D:$D,[2]COMPLETED!$O:$O,"Not Found")</f>
        <v>Not Found</v>
      </c>
      <c r="W1102" s="2" t="str">
        <f>_xlfn.XLOOKUP(Table2[[#This Row],[Adjusted Form '#]],[2]BILLED!$D:$D,[2]BILLED!$M:$M,"Not Found")</f>
        <v>9400 1112 0620 7087 3205 00</v>
      </c>
      <c r="X1102" s="17" t="e">
        <f>_xlfn.XLOOKUP(Table2[[#This Row],[Adjusted Form '#]],[2]BILLED!$D:$D,[1]BILLED!$O:$O,"Not Found")</f>
        <v>#REF!</v>
      </c>
      <c r="Y1102" s="17" t="e">
        <f>_xlfn.XLOOKUP(Table2[[#This Row],[Adjusted Form '#]],'[2]REJECTED ORDERS'!$D:$D,'[2]REJECTED ORDERS'!$E:$E)</f>
        <v>#N/A</v>
      </c>
      <c r="Z1102" s="1"/>
      <c r="AA1102" s="1"/>
      <c r="AE1102" s="1"/>
      <c r="AG1102" s="12"/>
      <c r="AH1102" s="1"/>
      <c r="AJ1102" s="8"/>
    </row>
    <row r="1103" spans="1:36" ht="15" customHeight="1" x14ac:dyDescent="0.35">
      <c r="A1103" s="4" t="s">
        <v>1665</v>
      </c>
      <c r="B1103" s="1" t="s">
        <v>1319</v>
      </c>
      <c r="C1103" s="11">
        <v>45076</v>
      </c>
      <c r="D1103" s="11" t="s">
        <v>5861</v>
      </c>
      <c r="E1103" s="1" t="s">
        <v>191</v>
      </c>
      <c r="F1103" s="1" t="s">
        <v>5808</v>
      </c>
      <c r="G1103" s="6">
        <f>COUNTIF(F:F,Table2[[#This Row],[Form '#]])</f>
        <v>1</v>
      </c>
      <c r="H1103" s="1" t="s">
        <v>3469</v>
      </c>
      <c r="I1103" s="1" t="s">
        <v>3852</v>
      </c>
      <c r="J1103" s="1" t="s">
        <v>75</v>
      </c>
      <c r="K1103" s="1" t="s">
        <v>3891</v>
      </c>
      <c r="L1103" s="1"/>
      <c r="M1103" s="6" t="str">
        <f>IF(Table2[[#This Row],[Corrected Form '#
 (If Duplicated)]]="",Table2[[#This Row],[Form '#]],Table2[[#This Row],[Corrected Form '#
 (If Duplicated)]])</f>
        <v>7812-3909</v>
      </c>
      <c r="N1103" s="1" t="s">
        <v>49</v>
      </c>
      <c r="O1103" s="6" t="str">
        <f>IF(Table2[[#This Row],[POG CONFIRMATION RECEIPT OF ORDER
(DATE &amp; TIME)]]="","No Confirmation","Received Confirmation")</f>
        <v>Received Confirmation</v>
      </c>
      <c r="P1103" s="6">
        <f ca="1">TODAY()-Table2[[#This Row],[DATE SENT TO POG]]</f>
        <v>227</v>
      </c>
      <c r="Q1103" s="6" t="s">
        <v>5803</v>
      </c>
      <c r="R11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3" s="2" t="str">
        <f>_xlfn.XLOOKUP(Table2[[#This Row],[Adjusted Form '#]],'[2]IN PROGRESS'!$D:$D,'[2]IN PROGRESS'!$M:$M,"Not Found")</f>
        <v>Not Found</v>
      </c>
      <c r="U1103" s="2" t="str">
        <f>_xlfn.XLOOKUP(Table2[[#This Row],[Adjusted Form '#]],[1]COMPLETED!$D:$D,[2]COMPLETED!$M:$M,"Not Found")</f>
        <v>Not Found</v>
      </c>
      <c r="V1103" s="17" t="str">
        <f>_xlfn.XLOOKUP(Table2[[#This Row],[Adjusted Form '#]],[2]COMPLETED!$D:$D,[2]COMPLETED!$O:$O,"Not Found")</f>
        <v>Not Found</v>
      </c>
      <c r="W1103" s="2" t="str">
        <f>_xlfn.XLOOKUP(Table2[[#This Row],[Adjusted Form '#]],[2]BILLED!$D:$D,[2]BILLED!$M:$M,"Not Found")</f>
        <v>1Z5063E0YW40338388</v>
      </c>
      <c r="X1103" s="17" t="e">
        <f>_xlfn.XLOOKUP(Table2[[#This Row],[Adjusted Form '#]],[2]BILLED!$D:$D,[1]BILLED!$O:$O,"Not Found")</f>
        <v>#REF!</v>
      </c>
      <c r="Y1103" s="17" t="e">
        <f>_xlfn.XLOOKUP(Table2[[#This Row],[Adjusted Form '#]],'[2]REJECTED ORDERS'!$D:$D,'[2]REJECTED ORDERS'!$E:$E)</f>
        <v>#N/A</v>
      </c>
      <c r="Z1103" s="1"/>
      <c r="AA1103" s="1"/>
      <c r="AE1103" s="1"/>
      <c r="AG1103" s="12"/>
      <c r="AH1103" s="1"/>
      <c r="AJ1103" s="8"/>
    </row>
    <row r="1104" spans="1:36" ht="15" customHeight="1" x14ac:dyDescent="0.35">
      <c r="A1104" s="4" t="s">
        <v>1666</v>
      </c>
      <c r="B1104" s="1" t="s">
        <v>1319</v>
      </c>
      <c r="C1104" s="11">
        <v>45076</v>
      </c>
      <c r="D1104" s="11" t="s">
        <v>5861</v>
      </c>
      <c r="E1104" s="1" t="s">
        <v>191</v>
      </c>
      <c r="F1104" s="7" t="s">
        <v>4203</v>
      </c>
      <c r="G1104" s="6">
        <f>COUNTIF(F:F,Table2[[#This Row],[Form '#]])</f>
        <v>2</v>
      </c>
      <c r="H1104" s="1" t="s">
        <v>5666</v>
      </c>
      <c r="I1104" s="1" t="s">
        <v>127</v>
      </c>
      <c r="J1104" s="1" t="s">
        <v>74</v>
      </c>
      <c r="K1104" s="1" t="s">
        <v>4011</v>
      </c>
      <c r="L1104" s="1"/>
      <c r="M1104" s="6" t="str">
        <f>IF(Table2[[#This Row],[Corrected Form '#
 (If Duplicated)]]="",Table2[[#This Row],[Form '#]],Table2[[#This Row],[Corrected Form '#
 (If Duplicated)]])</f>
        <v>7812-00801</v>
      </c>
      <c r="N1104" s="1" t="s">
        <v>49</v>
      </c>
      <c r="O1104" s="6" t="str">
        <f>IF(Table2[[#This Row],[POG CONFIRMATION RECEIPT OF ORDER
(DATE &amp; TIME)]]="","No Confirmation","Received Confirmation")</f>
        <v>Received Confirmation</v>
      </c>
      <c r="P1104" s="6">
        <f ca="1">TODAY()-Table2[[#This Row],[DATE SENT TO POG]]</f>
        <v>227</v>
      </c>
      <c r="Q1104" s="6" t="s">
        <v>5803</v>
      </c>
      <c r="R11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4" s="2" t="str">
        <f>_xlfn.XLOOKUP(Table2[[#This Row],[Adjusted Form '#]],'[2]IN PROGRESS'!$D:$D,'[2]IN PROGRESS'!$M:$M,"Not Found")</f>
        <v>Not Found</v>
      </c>
      <c r="U1104" s="2" t="str">
        <f>_xlfn.XLOOKUP(Table2[[#This Row],[Adjusted Form '#]],[1]COMPLETED!$D:$D,[2]COMPLETED!$M:$M,"Not Found")</f>
        <v>Not Found</v>
      </c>
      <c r="V1104" s="17" t="str">
        <f>_xlfn.XLOOKUP(Table2[[#This Row],[Adjusted Form '#]],[2]COMPLETED!$D:$D,[2]COMPLETED!$O:$O,"Not Found")</f>
        <v>Not Found</v>
      </c>
      <c r="W1104" s="2" t="str">
        <f>_xlfn.XLOOKUP(Table2[[#This Row],[Adjusted Form '#]],[2]BILLED!$D:$D,[2]BILLED!$M:$M,"Not Found")</f>
        <v>1Z5063E0YW41641306</v>
      </c>
      <c r="X1104" s="17" t="e">
        <f>_xlfn.XLOOKUP(Table2[[#This Row],[Adjusted Form '#]],[2]BILLED!$D:$D,[1]BILLED!$O:$O,"Not Found")</f>
        <v>#REF!</v>
      </c>
      <c r="Y1104" s="17" t="str">
        <f>_xlfn.XLOOKUP(Table2[[#This Row],[Adjusted Form '#]],'[2]REJECTED ORDERS'!$D:$D,'[2]REJECTED ORDERS'!$E:$E)</f>
        <v>FORM NUMBER ALREADY USED</v>
      </c>
      <c r="Z1104" s="1"/>
      <c r="AA1104" s="1"/>
      <c r="AE1104" s="1"/>
      <c r="AG1104" s="12"/>
      <c r="AH1104" s="1"/>
      <c r="AJ1104" s="8"/>
    </row>
    <row r="1105" spans="1:36" ht="15" customHeight="1" x14ac:dyDescent="0.35">
      <c r="A1105" s="4" t="s">
        <v>1668</v>
      </c>
      <c r="B1105" s="1" t="s">
        <v>3761</v>
      </c>
      <c r="C1105" s="11">
        <v>45077</v>
      </c>
      <c r="D1105" s="11" t="s">
        <v>5862</v>
      </c>
      <c r="E1105" s="1" t="s">
        <v>21</v>
      </c>
      <c r="F1105" s="1" t="s">
        <v>5809</v>
      </c>
      <c r="G1105" s="6">
        <f>COUNTIF(F:F,Table2[[#This Row],[Form '#]])</f>
        <v>1</v>
      </c>
      <c r="H1105" s="1" t="s">
        <v>5810</v>
      </c>
      <c r="I1105" s="1" t="s">
        <v>3852</v>
      </c>
      <c r="J1105" s="1" t="s">
        <v>75</v>
      </c>
      <c r="K1105" s="1" t="s">
        <v>3853</v>
      </c>
      <c r="L1105" s="1"/>
      <c r="M1105" s="6" t="str">
        <f>IF(Table2[[#This Row],[Corrected Form '#
 (If Duplicated)]]="",Table2[[#This Row],[Form '#]],Table2[[#This Row],[Corrected Form '#
 (If Duplicated)]])</f>
        <v>7818-25149</v>
      </c>
      <c r="N1105" s="1" t="s">
        <v>49</v>
      </c>
      <c r="O1105" s="6" t="str">
        <f>IF(Table2[[#This Row],[POG CONFIRMATION RECEIPT OF ORDER
(DATE &amp; TIME)]]="","No Confirmation","Received Confirmation")</f>
        <v>Received Confirmation</v>
      </c>
      <c r="P1105" s="6">
        <f ca="1">TODAY()-Table2[[#This Row],[DATE SENT TO POG]]</f>
        <v>226</v>
      </c>
      <c r="Q1105" s="6" t="s">
        <v>5803</v>
      </c>
      <c r="R11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0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05" s="2" t="str">
        <f>_xlfn.XLOOKUP(Table2[[#This Row],[Adjusted Form '#]],'[2]IN PROGRESS'!$D:$D,'[2]IN PROGRESS'!$M:$M,"Not Found")</f>
        <v>Not Found</v>
      </c>
      <c r="U1105" s="2" t="str">
        <f>_xlfn.XLOOKUP(Table2[[#This Row],[Adjusted Form '#]],[1]COMPLETED!$D:$D,[2]COMPLETED!$M:$M,"Not Found")</f>
        <v>Not Found</v>
      </c>
      <c r="V1105" s="17">
        <f>_xlfn.XLOOKUP(Table2[[#This Row],[Adjusted Form '#]],[2]COMPLETED!$D:$D,[2]COMPLETED!$O:$O,"Not Found")</f>
        <v>0</v>
      </c>
      <c r="W1105" s="2" t="str">
        <f>_xlfn.XLOOKUP(Table2[[#This Row],[Adjusted Form '#]],[2]BILLED!$D:$D,[2]BILLED!$M:$M,"Not Found")</f>
        <v>Not Found</v>
      </c>
      <c r="X1105" s="17" t="str">
        <f>_xlfn.XLOOKUP(Table2[[#This Row],[Adjusted Form '#]],[2]BILLED!$D:$D,[1]BILLED!$O:$O,"Not Found")</f>
        <v>Not Found</v>
      </c>
      <c r="Y1105" s="17" t="e">
        <f>_xlfn.XLOOKUP(Table2[[#This Row],[Adjusted Form '#]],'[2]REJECTED ORDERS'!$D:$D,'[2]REJECTED ORDERS'!$E:$E)</f>
        <v>#N/A</v>
      </c>
      <c r="Z1105" s="1"/>
      <c r="AA1105" s="1"/>
      <c r="AE1105" s="1"/>
      <c r="AG1105" s="12"/>
      <c r="AH1105" s="1"/>
      <c r="AJ1105" s="8"/>
    </row>
    <row r="1106" spans="1:36" ht="15" customHeight="1" x14ac:dyDescent="0.35">
      <c r="A1106" s="4" t="s">
        <v>1670</v>
      </c>
      <c r="B1106" s="1" t="s">
        <v>3761</v>
      </c>
      <c r="C1106" s="11">
        <v>45077</v>
      </c>
      <c r="D1106" s="11" t="s">
        <v>5862</v>
      </c>
      <c r="E1106" s="1" t="s">
        <v>21</v>
      </c>
      <c r="F1106" s="1" t="s">
        <v>5811</v>
      </c>
      <c r="G1106" s="6">
        <f>COUNTIF(F:F,Table2[[#This Row],[Form '#]])</f>
        <v>1</v>
      </c>
      <c r="H1106" s="1" t="s">
        <v>5812</v>
      </c>
      <c r="I1106" s="1" t="s">
        <v>758</v>
      </c>
      <c r="J1106" s="1" t="s">
        <v>78</v>
      </c>
      <c r="K1106" s="1" t="s">
        <v>3853</v>
      </c>
      <c r="L1106" s="1"/>
      <c r="M1106" s="6" t="str">
        <f>IF(Table2[[#This Row],[Corrected Form '#
 (If Duplicated)]]="",Table2[[#This Row],[Form '#]],Table2[[#This Row],[Corrected Form '#
 (If Duplicated)]])</f>
        <v>7818-17695</v>
      </c>
      <c r="N1106" s="1" t="s">
        <v>49</v>
      </c>
      <c r="O1106" s="6" t="str">
        <f>IF(Table2[[#This Row],[POG CONFIRMATION RECEIPT OF ORDER
(DATE &amp; TIME)]]="","No Confirmation","Received Confirmation")</f>
        <v>Received Confirmation</v>
      </c>
      <c r="P1106" s="6">
        <f ca="1">TODAY()-Table2[[#This Row],[DATE SENT TO POG]]</f>
        <v>226</v>
      </c>
      <c r="Q1106" s="6" t="s">
        <v>5803</v>
      </c>
      <c r="R11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6" s="2" t="str">
        <f>_xlfn.XLOOKUP(Table2[[#This Row],[Adjusted Form '#]],'[2]IN PROGRESS'!$D:$D,'[2]IN PROGRESS'!$M:$M,"Not Found")</f>
        <v>Not Found</v>
      </c>
      <c r="U1106" s="2" t="str">
        <f>_xlfn.XLOOKUP(Table2[[#This Row],[Adjusted Form '#]],[1]COMPLETED!$D:$D,[2]COMPLETED!$M:$M,"Not Found")</f>
        <v>Not Found</v>
      </c>
      <c r="V1106" s="17" t="str">
        <f>_xlfn.XLOOKUP(Table2[[#This Row],[Adjusted Form '#]],[2]COMPLETED!$D:$D,[2]COMPLETED!$O:$O,"Not Found")</f>
        <v>Not Found</v>
      </c>
      <c r="W1106" s="2" t="str">
        <f>_xlfn.XLOOKUP(Table2[[#This Row],[Adjusted Form '#]],[2]BILLED!$D:$D,[2]BILLED!$M:$M,"Not Found")</f>
        <v>9405 5112 0620 9895 4406 19</v>
      </c>
      <c r="X1106" s="17" t="e">
        <f>_xlfn.XLOOKUP(Table2[[#This Row],[Adjusted Form '#]],[2]BILLED!$D:$D,[1]BILLED!$O:$O,"Not Found")</f>
        <v>#REF!</v>
      </c>
      <c r="Y1106" s="17" t="e">
        <f>_xlfn.XLOOKUP(Table2[[#This Row],[Adjusted Form '#]],'[2]REJECTED ORDERS'!$D:$D,'[2]REJECTED ORDERS'!$E:$E)</f>
        <v>#N/A</v>
      </c>
      <c r="Z1106" s="1"/>
      <c r="AA1106" s="1"/>
      <c r="AE1106" s="1"/>
      <c r="AG1106" s="12"/>
      <c r="AH1106" s="1"/>
      <c r="AJ1106" s="8"/>
    </row>
    <row r="1107" spans="1:36" ht="15" customHeight="1" x14ac:dyDescent="0.35">
      <c r="A1107" s="4" t="s">
        <v>1672</v>
      </c>
      <c r="B1107" s="1" t="s">
        <v>3761</v>
      </c>
      <c r="C1107" s="11">
        <v>45077</v>
      </c>
      <c r="D1107" s="11" t="s">
        <v>5862</v>
      </c>
      <c r="E1107" s="1" t="s">
        <v>21</v>
      </c>
      <c r="F1107" s="1" t="s">
        <v>5813</v>
      </c>
      <c r="G1107" s="6">
        <f>COUNTIF(F:F,Table2[[#This Row],[Form '#]])</f>
        <v>1</v>
      </c>
      <c r="H1107" s="1" t="s">
        <v>3502</v>
      </c>
      <c r="I1107" s="1" t="s">
        <v>3864</v>
      </c>
      <c r="J1107" s="1" t="s">
        <v>78</v>
      </c>
      <c r="K1107" s="1" t="s">
        <v>3879</v>
      </c>
      <c r="L1107" s="1"/>
      <c r="M1107" s="6" t="str">
        <f>IF(Table2[[#This Row],[Corrected Form '#
 (If Duplicated)]]="",Table2[[#This Row],[Form '#]],Table2[[#This Row],[Corrected Form '#
 (If Duplicated)]])</f>
        <v>7818-00815</v>
      </c>
      <c r="N1107" s="1" t="s">
        <v>49</v>
      </c>
      <c r="O1107" s="6" t="str">
        <f>IF(Table2[[#This Row],[POG CONFIRMATION RECEIPT OF ORDER
(DATE &amp; TIME)]]="","No Confirmation","Received Confirmation")</f>
        <v>Received Confirmation</v>
      </c>
      <c r="P1107" s="6">
        <f ca="1">TODAY()-Table2[[#This Row],[DATE SENT TO POG]]</f>
        <v>226</v>
      </c>
      <c r="Q1107" s="6" t="s">
        <v>5803</v>
      </c>
      <c r="R11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7" s="2" t="str">
        <f>_xlfn.XLOOKUP(Table2[[#This Row],[Adjusted Form '#]],'[2]IN PROGRESS'!$D:$D,'[2]IN PROGRESS'!$M:$M,"Not Found")</f>
        <v>Not Found</v>
      </c>
      <c r="U1107" s="2" t="str">
        <f>_xlfn.XLOOKUP(Table2[[#This Row],[Adjusted Form '#]],[1]COMPLETED!$D:$D,[2]COMPLETED!$M:$M,"Not Found")</f>
        <v>Not Found</v>
      </c>
      <c r="V1107" s="17" t="str">
        <f>_xlfn.XLOOKUP(Table2[[#This Row],[Adjusted Form '#]],[2]COMPLETED!$D:$D,[2]COMPLETED!$O:$O,"Not Found")</f>
        <v>Not Found</v>
      </c>
      <c r="W1107" s="2" t="str">
        <f>_xlfn.XLOOKUP(Table2[[#This Row],[Adjusted Form '#]],[2]BILLED!$D:$D,[2]BILLED!$M:$M,"Not Found")</f>
        <v>1Z5063E0YW41390248</v>
      </c>
      <c r="X1107" s="17" t="e">
        <f>_xlfn.XLOOKUP(Table2[[#This Row],[Adjusted Form '#]],[2]BILLED!$D:$D,[1]BILLED!$O:$O,"Not Found")</f>
        <v>#REF!</v>
      </c>
      <c r="Y1107" s="17" t="e">
        <f>_xlfn.XLOOKUP(Table2[[#This Row],[Adjusted Form '#]],'[2]REJECTED ORDERS'!$D:$D,'[2]REJECTED ORDERS'!$E:$E)</f>
        <v>#N/A</v>
      </c>
      <c r="Z1107" s="1"/>
      <c r="AA1107" s="1"/>
      <c r="AE1107" s="1"/>
      <c r="AG1107" s="12"/>
      <c r="AH1107" s="1"/>
      <c r="AJ1107" s="8"/>
    </row>
    <row r="1108" spans="1:36" ht="15" customHeight="1" x14ac:dyDescent="0.35">
      <c r="A1108" s="4" t="s">
        <v>1673</v>
      </c>
      <c r="B1108" s="1" t="s">
        <v>3761</v>
      </c>
      <c r="C1108" s="11">
        <v>45077</v>
      </c>
      <c r="D1108" s="11" t="s">
        <v>5862</v>
      </c>
      <c r="E1108" s="1" t="s">
        <v>21</v>
      </c>
      <c r="F1108" s="1" t="s">
        <v>5814</v>
      </c>
      <c r="G1108" s="6">
        <f>COUNTIF(F:F,Table2[[#This Row],[Form '#]])</f>
        <v>1</v>
      </c>
      <c r="H1108" s="1" t="s">
        <v>1990</v>
      </c>
      <c r="I1108" s="1" t="s">
        <v>3852</v>
      </c>
      <c r="J1108" s="1" t="s">
        <v>80</v>
      </c>
      <c r="K1108" s="1" t="s">
        <v>3853</v>
      </c>
      <c r="L1108" s="1"/>
      <c r="M1108" s="6" t="str">
        <f>IF(Table2[[#This Row],[Corrected Form '#
 (If Duplicated)]]="",Table2[[#This Row],[Form '#]],Table2[[#This Row],[Corrected Form '#
 (If Duplicated)]])</f>
        <v>7818-23032</v>
      </c>
      <c r="N1108" s="1" t="s">
        <v>49</v>
      </c>
      <c r="O1108" s="6" t="str">
        <f>IF(Table2[[#This Row],[POG CONFIRMATION RECEIPT OF ORDER
(DATE &amp; TIME)]]="","No Confirmation","Received Confirmation")</f>
        <v>Received Confirmation</v>
      </c>
      <c r="P1108" s="6">
        <f ca="1">TODAY()-Table2[[#This Row],[DATE SENT TO POG]]</f>
        <v>226</v>
      </c>
      <c r="Q1108" s="6" t="s">
        <v>5803</v>
      </c>
      <c r="R11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8" s="2" t="str">
        <f>_xlfn.XLOOKUP(Table2[[#This Row],[Adjusted Form '#]],'[2]IN PROGRESS'!$D:$D,'[2]IN PROGRESS'!$M:$M,"Not Found")</f>
        <v>Not Found</v>
      </c>
      <c r="U1108" s="2" t="str">
        <f>_xlfn.XLOOKUP(Table2[[#This Row],[Adjusted Form '#]],[1]COMPLETED!$D:$D,[2]COMPLETED!$M:$M,"Not Found")</f>
        <v>Not Found</v>
      </c>
      <c r="V1108" s="17" t="str">
        <f>_xlfn.XLOOKUP(Table2[[#This Row],[Adjusted Form '#]],[2]COMPLETED!$D:$D,[2]COMPLETED!$O:$O,"Not Found")</f>
        <v>Not Found</v>
      </c>
      <c r="W1108" s="2" t="str">
        <f>_xlfn.XLOOKUP(Table2[[#This Row],[Adjusted Form '#]],[2]BILLED!$D:$D,[2]BILLED!$M:$M,"Not Found")</f>
        <v>1Z5063E0YW40553805</v>
      </c>
      <c r="X1108" s="17" t="e">
        <f>_xlfn.XLOOKUP(Table2[[#This Row],[Adjusted Form '#]],[2]BILLED!$D:$D,[1]BILLED!$O:$O,"Not Found")</f>
        <v>#REF!</v>
      </c>
      <c r="Y1108" s="17" t="e">
        <f>_xlfn.XLOOKUP(Table2[[#This Row],[Adjusted Form '#]],'[2]REJECTED ORDERS'!$D:$D,'[2]REJECTED ORDERS'!$E:$E)</f>
        <v>#N/A</v>
      </c>
      <c r="Z1108" s="1"/>
      <c r="AA1108" s="1"/>
      <c r="AE1108" s="1"/>
      <c r="AG1108" s="12"/>
      <c r="AH1108" s="1"/>
      <c r="AJ1108" s="8"/>
    </row>
    <row r="1109" spans="1:36" ht="15" customHeight="1" x14ac:dyDescent="0.35">
      <c r="A1109" s="4" t="s">
        <v>1674</v>
      </c>
      <c r="B1109" s="1" t="s">
        <v>3761</v>
      </c>
      <c r="C1109" s="11">
        <v>45077</v>
      </c>
      <c r="D1109" s="11" t="s">
        <v>5862</v>
      </c>
      <c r="E1109" s="1" t="s">
        <v>21</v>
      </c>
      <c r="F1109" s="1" t="s">
        <v>5815</v>
      </c>
      <c r="G1109" s="6">
        <f>COUNTIF(F:F,Table2[[#This Row],[Form '#]])</f>
        <v>1</v>
      </c>
      <c r="H1109" s="1" t="s">
        <v>1901</v>
      </c>
      <c r="I1109" s="1" t="s">
        <v>3852</v>
      </c>
      <c r="J1109" s="1" t="s">
        <v>80</v>
      </c>
      <c r="K1109" s="1" t="s">
        <v>3853</v>
      </c>
      <c r="L1109" s="1"/>
      <c r="M1109" s="6" t="str">
        <f>IF(Table2[[#This Row],[Corrected Form '#
 (If Duplicated)]]="",Table2[[#This Row],[Form '#]],Table2[[#This Row],[Corrected Form '#
 (If Duplicated)]])</f>
        <v>7818-22268</v>
      </c>
      <c r="N1109" s="1" t="s">
        <v>49</v>
      </c>
      <c r="O1109" s="6" t="str">
        <f>IF(Table2[[#This Row],[POG CONFIRMATION RECEIPT OF ORDER
(DATE &amp; TIME)]]="","No Confirmation","Received Confirmation")</f>
        <v>Received Confirmation</v>
      </c>
      <c r="P1109" s="6">
        <f ca="1">TODAY()-Table2[[#This Row],[DATE SENT TO POG]]</f>
        <v>226</v>
      </c>
      <c r="Q1109" s="6" t="s">
        <v>5803</v>
      </c>
      <c r="R11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09" s="2" t="str">
        <f>_xlfn.XLOOKUP(Table2[[#This Row],[Adjusted Form '#]],'[2]IN PROGRESS'!$D:$D,'[2]IN PROGRESS'!$M:$M,"Not Found")</f>
        <v>Not Found</v>
      </c>
      <c r="U1109" s="2" t="str">
        <f>_xlfn.XLOOKUP(Table2[[#This Row],[Adjusted Form '#]],[1]COMPLETED!$D:$D,[2]COMPLETED!$M:$M,"Not Found")</f>
        <v>Not Found</v>
      </c>
      <c r="V1109" s="17" t="str">
        <f>_xlfn.XLOOKUP(Table2[[#This Row],[Adjusted Form '#]],[2]COMPLETED!$D:$D,[2]COMPLETED!$O:$O,"Not Found")</f>
        <v>Not Found</v>
      </c>
      <c r="W1109" s="2" t="str">
        <f>_xlfn.XLOOKUP(Table2[[#This Row],[Adjusted Form '#]],[2]BILLED!$D:$D,[2]BILLED!$M:$M,"Not Found")</f>
        <v>1Z5063E0YW42672174</v>
      </c>
      <c r="X1109" s="17" t="e">
        <f>_xlfn.XLOOKUP(Table2[[#This Row],[Adjusted Form '#]],[2]BILLED!$D:$D,[1]BILLED!$O:$O,"Not Found")</f>
        <v>#REF!</v>
      </c>
      <c r="Y1109" s="17" t="str">
        <f>_xlfn.XLOOKUP(Table2[[#This Row],[Adjusted Form '#]],'[2]REJECTED ORDERS'!$D:$D,'[2]REJECTED ORDERS'!$E:$E)</f>
        <v>FORM NOT SIGNED</v>
      </c>
      <c r="Z1109" s="1"/>
      <c r="AA1109" s="1"/>
      <c r="AE1109" s="1"/>
      <c r="AG1109" s="12"/>
      <c r="AH1109" s="1"/>
      <c r="AJ1109" s="8"/>
    </row>
    <row r="1110" spans="1:36" ht="15" customHeight="1" x14ac:dyDescent="0.35">
      <c r="A1110" s="4" t="s">
        <v>1675</v>
      </c>
      <c r="B1110" s="1" t="s">
        <v>3498</v>
      </c>
      <c r="C1110" s="11">
        <v>45077</v>
      </c>
      <c r="D1110" s="11" t="s">
        <v>5863</v>
      </c>
      <c r="E1110" s="1" t="s">
        <v>14</v>
      </c>
      <c r="F1110" s="1" t="s">
        <v>5816</v>
      </c>
      <c r="G1110" s="6">
        <f>COUNTIF(F:F,Table2[[#This Row],[Form '#]])</f>
        <v>1</v>
      </c>
      <c r="H1110" s="1" t="s">
        <v>5817</v>
      </c>
      <c r="I1110" s="1" t="s">
        <v>758</v>
      </c>
      <c r="J1110" s="1" t="s">
        <v>3891</v>
      </c>
      <c r="K1110" s="1" t="s">
        <v>3853</v>
      </c>
      <c r="L1110" s="1"/>
      <c r="M1110" s="6" t="str">
        <f>IF(Table2[[#This Row],[Corrected Form '#
 (If Duplicated)]]="",Table2[[#This Row],[Form '#]],Table2[[#This Row],[Corrected Form '#
 (If Duplicated)]])</f>
        <v>7810-01838</v>
      </c>
      <c r="N1110" s="1" t="s">
        <v>49</v>
      </c>
      <c r="O1110" s="6" t="str">
        <f>IF(Table2[[#This Row],[POG CONFIRMATION RECEIPT OF ORDER
(DATE &amp; TIME)]]="","No Confirmation","Received Confirmation")</f>
        <v>Received Confirmation</v>
      </c>
      <c r="P1110" s="6">
        <f ca="1">TODAY()-Table2[[#This Row],[DATE SENT TO POG]]</f>
        <v>226</v>
      </c>
      <c r="Q1110" s="6" t="s">
        <v>5803</v>
      </c>
      <c r="R11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0" s="2" t="str">
        <f>_xlfn.XLOOKUP(Table2[[#This Row],[Adjusted Form '#]],'[2]IN PROGRESS'!$D:$D,'[2]IN PROGRESS'!$M:$M,"Not Found")</f>
        <v>Not Found</v>
      </c>
      <c r="U1110" s="2" t="str">
        <f>_xlfn.XLOOKUP(Table2[[#This Row],[Adjusted Form '#]],[1]COMPLETED!$D:$D,[2]COMPLETED!$M:$M,"Not Found")</f>
        <v>Not Found</v>
      </c>
      <c r="V1110" s="17" t="str">
        <f>_xlfn.XLOOKUP(Table2[[#This Row],[Adjusted Form '#]],[2]COMPLETED!$D:$D,[2]COMPLETED!$O:$O,"Not Found")</f>
        <v>Not Found</v>
      </c>
      <c r="W1110" s="2" t="str">
        <f>_xlfn.XLOOKUP(Table2[[#This Row],[Adjusted Form '#]],[2]BILLED!$D:$D,[2]BILLED!$M:$M,"Not Found")</f>
        <v>1Z5063E0YW40116359</v>
      </c>
      <c r="X1110" s="17" t="e">
        <f>_xlfn.XLOOKUP(Table2[[#This Row],[Adjusted Form '#]],[2]BILLED!$D:$D,[1]BILLED!$O:$O,"Not Found")</f>
        <v>#REF!</v>
      </c>
      <c r="Y1110" s="17" t="e">
        <f>_xlfn.XLOOKUP(Table2[[#This Row],[Adjusted Form '#]],'[2]REJECTED ORDERS'!$D:$D,'[2]REJECTED ORDERS'!$E:$E)</f>
        <v>#N/A</v>
      </c>
      <c r="Z1110" s="1"/>
      <c r="AA1110" s="1"/>
      <c r="AE1110" s="1"/>
      <c r="AG1110" s="12"/>
      <c r="AH1110" s="1"/>
      <c r="AJ1110" s="8"/>
    </row>
    <row r="1111" spans="1:36" ht="15" customHeight="1" x14ac:dyDescent="0.35">
      <c r="A1111" s="4" t="s">
        <v>1676</v>
      </c>
      <c r="B1111" s="1" t="s">
        <v>3498</v>
      </c>
      <c r="C1111" s="11">
        <v>45077</v>
      </c>
      <c r="D1111" s="11" t="s">
        <v>5863</v>
      </c>
      <c r="E1111" s="1" t="s">
        <v>14</v>
      </c>
      <c r="F1111" s="1" t="s">
        <v>5818</v>
      </c>
      <c r="G1111" s="6">
        <f>COUNTIF(F:F,Table2[[#This Row],[Form '#]])</f>
        <v>1</v>
      </c>
      <c r="H1111" s="1" t="s">
        <v>5819</v>
      </c>
      <c r="I1111" s="1" t="s">
        <v>3852</v>
      </c>
      <c r="J1111" s="1" t="s">
        <v>75</v>
      </c>
      <c r="K1111" s="1" t="s">
        <v>4011</v>
      </c>
      <c r="L1111" s="1"/>
      <c r="M1111" s="6" t="str">
        <f>IF(Table2[[#This Row],[Corrected Form '#
 (If Duplicated)]]="",Table2[[#This Row],[Form '#]],Table2[[#This Row],[Corrected Form '#
 (If Duplicated)]])</f>
        <v>7810-01797</v>
      </c>
      <c r="N1111" s="1" t="s">
        <v>49</v>
      </c>
      <c r="O1111" s="6" t="str">
        <f>IF(Table2[[#This Row],[POG CONFIRMATION RECEIPT OF ORDER
(DATE &amp; TIME)]]="","No Confirmation","Received Confirmation")</f>
        <v>Received Confirmation</v>
      </c>
      <c r="P1111" s="6">
        <f ca="1">TODAY()-Table2[[#This Row],[DATE SENT TO POG]]</f>
        <v>226</v>
      </c>
      <c r="Q1111" s="6" t="s">
        <v>5803</v>
      </c>
      <c r="R11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1" s="2" t="str">
        <f>_xlfn.XLOOKUP(Table2[[#This Row],[Adjusted Form '#]],'[2]IN PROGRESS'!$D:$D,'[2]IN PROGRESS'!$M:$M,"Not Found")</f>
        <v>Not Found</v>
      </c>
      <c r="U1111" s="2" t="str">
        <f>_xlfn.XLOOKUP(Table2[[#This Row],[Adjusted Form '#]],[1]COMPLETED!$D:$D,[2]COMPLETED!$M:$M,"Not Found")</f>
        <v>Not Found</v>
      </c>
      <c r="V1111" s="17" t="str">
        <f>_xlfn.XLOOKUP(Table2[[#This Row],[Adjusted Form '#]],[2]COMPLETED!$D:$D,[2]COMPLETED!$O:$O,"Not Found")</f>
        <v>Not Found</v>
      </c>
      <c r="W1111" s="2" t="str">
        <f>_xlfn.XLOOKUP(Table2[[#This Row],[Adjusted Form '#]],[2]BILLED!$D:$D,[2]BILLED!$M:$M,"Not Found")</f>
        <v>1Z5063E0YW40345923</v>
      </c>
      <c r="X1111" s="17" t="e">
        <f>_xlfn.XLOOKUP(Table2[[#This Row],[Adjusted Form '#]],[2]BILLED!$D:$D,[1]BILLED!$O:$O,"Not Found")</f>
        <v>#REF!</v>
      </c>
      <c r="Y1111" s="17" t="e">
        <f>_xlfn.XLOOKUP(Table2[[#This Row],[Adjusted Form '#]],'[2]REJECTED ORDERS'!$D:$D,'[2]REJECTED ORDERS'!$E:$E)</f>
        <v>#N/A</v>
      </c>
      <c r="Z1111" s="1"/>
      <c r="AA1111" s="1"/>
      <c r="AE1111" s="1"/>
      <c r="AG1111" s="12"/>
      <c r="AH1111" s="1"/>
      <c r="AJ1111" s="8"/>
    </row>
    <row r="1112" spans="1:36" ht="15" customHeight="1" x14ac:dyDescent="0.35">
      <c r="A1112" s="4" t="s">
        <v>1678</v>
      </c>
      <c r="B1112" s="1" t="s">
        <v>265</v>
      </c>
      <c r="C1112" s="11">
        <v>45077</v>
      </c>
      <c r="D1112" s="11" t="s">
        <v>5863</v>
      </c>
      <c r="E1112" s="1" t="s">
        <v>191</v>
      </c>
      <c r="F1112" s="1" t="s">
        <v>5820</v>
      </c>
      <c r="G1112" s="6">
        <f>COUNTIF(F:F,Table2[[#This Row],[Form '#]])</f>
        <v>1</v>
      </c>
      <c r="H1112" s="1" t="s">
        <v>5821</v>
      </c>
      <c r="I1112" s="1" t="s">
        <v>3852</v>
      </c>
      <c r="J1112" s="1" t="s">
        <v>80</v>
      </c>
      <c r="K1112" s="1" t="s">
        <v>3853</v>
      </c>
      <c r="L1112" s="1"/>
      <c r="M1112" s="6" t="str">
        <f>IF(Table2[[#This Row],[Corrected Form '#
 (If Duplicated)]]="",Table2[[#This Row],[Form '#]],Table2[[#This Row],[Corrected Form '#
 (If Duplicated)]])</f>
        <v>7812-3610</v>
      </c>
      <c r="N1112" s="1" t="s">
        <v>49</v>
      </c>
      <c r="O1112" s="6" t="str">
        <f>IF(Table2[[#This Row],[POG CONFIRMATION RECEIPT OF ORDER
(DATE &amp; TIME)]]="","No Confirmation","Received Confirmation")</f>
        <v>Received Confirmation</v>
      </c>
      <c r="P1112" s="6">
        <f ca="1">TODAY()-Table2[[#This Row],[DATE SENT TO POG]]</f>
        <v>226</v>
      </c>
      <c r="Q1112" s="6" t="s">
        <v>5803</v>
      </c>
      <c r="R11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2" s="2" t="str">
        <f>_xlfn.XLOOKUP(Table2[[#This Row],[Adjusted Form '#]],'[2]IN PROGRESS'!$D:$D,'[2]IN PROGRESS'!$M:$M,"Not Found")</f>
        <v>Not Found</v>
      </c>
      <c r="U1112" s="2" t="str">
        <f>_xlfn.XLOOKUP(Table2[[#This Row],[Adjusted Form '#]],[1]COMPLETED!$D:$D,[2]COMPLETED!$M:$M,"Not Found")</f>
        <v>Not Found</v>
      </c>
      <c r="V1112" s="17" t="str">
        <f>_xlfn.XLOOKUP(Table2[[#This Row],[Adjusted Form '#]],[2]COMPLETED!$D:$D,[2]COMPLETED!$O:$O,"Not Found")</f>
        <v>Not Found</v>
      </c>
      <c r="W1112" s="2" t="str">
        <f>_xlfn.XLOOKUP(Table2[[#This Row],[Adjusted Form '#]],[2]BILLED!$D:$D,[2]BILLED!$M:$M,"Not Found")</f>
        <v>1Z5063E0YW41013164</v>
      </c>
      <c r="X1112" s="17" t="e">
        <f>_xlfn.XLOOKUP(Table2[[#This Row],[Adjusted Form '#]],[2]BILLED!$D:$D,[1]BILLED!$O:$O,"Not Found")</f>
        <v>#REF!</v>
      </c>
      <c r="Y1112" s="17" t="e">
        <f>_xlfn.XLOOKUP(Table2[[#This Row],[Adjusted Form '#]],'[2]REJECTED ORDERS'!$D:$D,'[2]REJECTED ORDERS'!$E:$E)</f>
        <v>#N/A</v>
      </c>
      <c r="Z1112" s="1"/>
      <c r="AA1112" s="1"/>
      <c r="AE1112" s="1"/>
      <c r="AG1112" s="12"/>
      <c r="AH1112" s="1"/>
      <c r="AJ1112" s="8"/>
    </row>
    <row r="1113" spans="1:36" ht="15" customHeight="1" x14ac:dyDescent="0.35">
      <c r="A1113" s="4" t="s">
        <v>1679</v>
      </c>
      <c r="B1113" s="1" t="s">
        <v>265</v>
      </c>
      <c r="C1113" s="11">
        <v>45077</v>
      </c>
      <c r="D1113" s="11" t="s">
        <v>5863</v>
      </c>
      <c r="E1113" s="1" t="s">
        <v>191</v>
      </c>
      <c r="F1113" s="1" t="s">
        <v>5822</v>
      </c>
      <c r="G1113" s="6">
        <f>COUNTIF(F:F,Table2[[#This Row],[Form '#]])</f>
        <v>1</v>
      </c>
      <c r="H1113" s="1" t="s">
        <v>1839</v>
      </c>
      <c r="I1113" s="1" t="s">
        <v>127</v>
      </c>
      <c r="J1113" s="1" t="s">
        <v>76</v>
      </c>
      <c r="K1113" s="1" t="s">
        <v>4011</v>
      </c>
      <c r="L1113" s="1"/>
      <c r="M1113" s="6" t="str">
        <f>IF(Table2[[#This Row],[Corrected Form '#
 (If Duplicated)]]="",Table2[[#This Row],[Form '#]],Table2[[#This Row],[Corrected Form '#
 (If Duplicated)]])</f>
        <v>7812-3715</v>
      </c>
      <c r="N1113" s="1" t="s">
        <v>49</v>
      </c>
      <c r="O1113" s="6" t="str">
        <f>IF(Table2[[#This Row],[POG CONFIRMATION RECEIPT OF ORDER
(DATE &amp; TIME)]]="","No Confirmation","Received Confirmation")</f>
        <v>Received Confirmation</v>
      </c>
      <c r="P1113" s="6">
        <f ca="1">TODAY()-Table2[[#This Row],[DATE SENT TO POG]]</f>
        <v>226</v>
      </c>
      <c r="Q1113" s="6" t="s">
        <v>5803</v>
      </c>
      <c r="R11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3" s="2" t="str">
        <f>_xlfn.XLOOKUP(Table2[[#This Row],[Adjusted Form '#]],'[2]IN PROGRESS'!$D:$D,'[2]IN PROGRESS'!$M:$M,"Not Found")</f>
        <v>Not Found</v>
      </c>
      <c r="U1113" s="2" t="str">
        <f>_xlfn.XLOOKUP(Table2[[#This Row],[Adjusted Form '#]],[1]COMPLETED!$D:$D,[2]COMPLETED!$M:$M,"Not Found")</f>
        <v>Not Found</v>
      </c>
      <c r="V1113" s="17" t="str">
        <f>_xlfn.XLOOKUP(Table2[[#This Row],[Adjusted Form '#]],[2]COMPLETED!$D:$D,[2]COMPLETED!$O:$O,"Not Found")</f>
        <v>Not Found</v>
      </c>
      <c r="W1113" s="2" t="str">
        <f>_xlfn.XLOOKUP(Table2[[#This Row],[Adjusted Form '#]],[2]BILLED!$D:$D,[2]BILLED!$M:$M,"Not Found")</f>
        <v>1Z5063E0YW42769383</v>
      </c>
      <c r="X1113" s="17" t="e">
        <f>_xlfn.XLOOKUP(Table2[[#This Row],[Adjusted Form '#]],[2]BILLED!$D:$D,[1]BILLED!$O:$O,"Not Found")</f>
        <v>#REF!</v>
      </c>
      <c r="Y1113" s="17" t="e">
        <f>_xlfn.XLOOKUP(Table2[[#This Row],[Adjusted Form '#]],'[2]REJECTED ORDERS'!$D:$D,'[2]REJECTED ORDERS'!$E:$E)</f>
        <v>#N/A</v>
      </c>
      <c r="Z1113" s="1"/>
      <c r="AA1113" s="1"/>
      <c r="AE1113" s="1"/>
      <c r="AG1113" s="12"/>
      <c r="AH1113" s="1"/>
      <c r="AJ1113" s="8"/>
    </row>
    <row r="1114" spans="1:36" ht="15" customHeight="1" x14ac:dyDescent="0.35">
      <c r="A1114" s="4" t="s">
        <v>1680</v>
      </c>
      <c r="B1114" s="1" t="s">
        <v>196</v>
      </c>
      <c r="C1114" s="11">
        <v>45077</v>
      </c>
      <c r="D1114" s="11" t="s">
        <v>5864</v>
      </c>
      <c r="E1114" s="1" t="s">
        <v>191</v>
      </c>
      <c r="F1114" s="1" t="s">
        <v>5823</v>
      </c>
      <c r="G1114" s="6">
        <f>COUNTIF(F:F,Table2[[#This Row],[Form '#]])</f>
        <v>1</v>
      </c>
      <c r="H1114" s="1" t="s">
        <v>5824</v>
      </c>
      <c r="I1114" s="1" t="s">
        <v>127</v>
      </c>
      <c r="J1114" s="1" t="s">
        <v>76</v>
      </c>
      <c r="K1114" s="1" t="s">
        <v>4011</v>
      </c>
      <c r="L1114" s="1"/>
      <c r="M1114" s="6" t="str">
        <f>IF(Table2[[#This Row],[Corrected Form '#
 (If Duplicated)]]="",Table2[[#This Row],[Form '#]],Table2[[#This Row],[Corrected Form '#
 (If Duplicated)]])</f>
        <v>7812-02799</v>
      </c>
      <c r="N1114" s="1" t="s">
        <v>49</v>
      </c>
      <c r="O1114" s="6" t="str">
        <f>IF(Table2[[#This Row],[POG CONFIRMATION RECEIPT OF ORDER
(DATE &amp; TIME)]]="","No Confirmation","Received Confirmation")</f>
        <v>Received Confirmation</v>
      </c>
      <c r="P1114" s="6">
        <f ca="1">TODAY()-Table2[[#This Row],[DATE SENT TO POG]]</f>
        <v>226</v>
      </c>
      <c r="Q1114" s="6" t="s">
        <v>5803</v>
      </c>
      <c r="R11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4" s="2" t="str">
        <f>_xlfn.XLOOKUP(Table2[[#This Row],[Adjusted Form '#]],'[2]IN PROGRESS'!$D:$D,'[2]IN PROGRESS'!$M:$M,"Not Found")</f>
        <v>Not Found</v>
      </c>
      <c r="U1114" s="2" t="str">
        <f>_xlfn.XLOOKUP(Table2[[#This Row],[Adjusted Form '#]],[1]COMPLETED!$D:$D,[2]COMPLETED!$M:$M,"Not Found")</f>
        <v>Not Found</v>
      </c>
      <c r="V1114" s="17" t="str">
        <f>_xlfn.XLOOKUP(Table2[[#This Row],[Adjusted Form '#]],[2]COMPLETED!$D:$D,[2]COMPLETED!$O:$O,"Not Found")</f>
        <v>Not Found</v>
      </c>
      <c r="W1114" s="2" t="str">
        <f>_xlfn.XLOOKUP(Table2[[#This Row],[Adjusted Form '#]],[2]BILLED!$D:$D,[2]BILLED!$M:$M,"Not Found")</f>
        <v>1Z5063E0YW41548355</v>
      </c>
      <c r="X1114" s="17" t="e">
        <f>_xlfn.XLOOKUP(Table2[[#This Row],[Adjusted Form '#]],[2]BILLED!$D:$D,[1]BILLED!$O:$O,"Not Found")</f>
        <v>#REF!</v>
      </c>
      <c r="Y1114" s="17" t="e">
        <f>_xlfn.XLOOKUP(Table2[[#This Row],[Adjusted Form '#]],'[2]REJECTED ORDERS'!$D:$D,'[2]REJECTED ORDERS'!$E:$E)</f>
        <v>#N/A</v>
      </c>
      <c r="Z1114" s="1"/>
      <c r="AA1114" s="1"/>
      <c r="AE1114" s="1"/>
      <c r="AG1114" s="12"/>
      <c r="AH1114" s="1"/>
      <c r="AJ1114" s="8"/>
    </row>
    <row r="1115" spans="1:36" ht="15" customHeight="1" x14ac:dyDescent="0.35">
      <c r="A1115" s="4" t="s">
        <v>1682</v>
      </c>
      <c r="B1115" s="1" t="s">
        <v>1012</v>
      </c>
      <c r="C1115" s="11">
        <v>45077</v>
      </c>
      <c r="D1115" s="11" t="s">
        <v>5864</v>
      </c>
      <c r="E1115" s="1" t="s">
        <v>21</v>
      </c>
      <c r="F1115" s="1" t="s">
        <v>5825</v>
      </c>
      <c r="G1115" s="6">
        <f>COUNTIF(F:F,Table2[[#This Row],[Form '#]])</f>
        <v>1</v>
      </c>
      <c r="H1115" s="1" t="s">
        <v>5007</v>
      </c>
      <c r="I1115" s="1" t="s">
        <v>3864</v>
      </c>
      <c r="J1115" s="1" t="s">
        <v>78</v>
      </c>
      <c r="K1115" s="1" t="s">
        <v>3879</v>
      </c>
      <c r="L1115" s="1"/>
      <c r="M1115" s="6" t="str">
        <f>IF(Table2[[#This Row],[Corrected Form '#
 (If Duplicated)]]="",Table2[[#This Row],[Form '#]],Table2[[#This Row],[Corrected Form '#
 (If Duplicated)]])</f>
        <v>7818-30790</v>
      </c>
      <c r="N1115" s="1" t="s">
        <v>49</v>
      </c>
      <c r="O1115" s="6" t="str">
        <f>IF(Table2[[#This Row],[POG CONFIRMATION RECEIPT OF ORDER
(DATE &amp; TIME)]]="","No Confirmation","Received Confirmation")</f>
        <v>Received Confirmation</v>
      </c>
      <c r="P1115" s="6">
        <f ca="1">TODAY()-Table2[[#This Row],[DATE SENT TO POG]]</f>
        <v>226</v>
      </c>
      <c r="Q1115" s="6" t="s">
        <v>5803</v>
      </c>
      <c r="R11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5" s="2" t="str">
        <f>_xlfn.XLOOKUP(Table2[[#This Row],[Adjusted Form '#]],'[2]IN PROGRESS'!$D:$D,'[2]IN PROGRESS'!$M:$M,"Not Found")</f>
        <v>Not Found</v>
      </c>
      <c r="U1115" s="2" t="str">
        <f>_xlfn.XLOOKUP(Table2[[#This Row],[Adjusted Form '#]],[1]COMPLETED!$D:$D,[2]COMPLETED!$M:$M,"Not Found")</f>
        <v>Not Found</v>
      </c>
      <c r="V1115" s="17" t="str">
        <f>_xlfn.XLOOKUP(Table2[[#This Row],[Adjusted Form '#]],[2]COMPLETED!$D:$D,[2]COMPLETED!$O:$O,"Not Found")</f>
        <v>Not Found</v>
      </c>
      <c r="W1115" s="2" t="str">
        <f>_xlfn.XLOOKUP(Table2[[#This Row],[Adjusted Form '#]],[2]BILLED!$D:$D,[2]BILLED!$M:$M,"Not Found")</f>
        <v>1Z5063E0YW41037433</v>
      </c>
      <c r="X1115" s="17" t="e">
        <f>_xlfn.XLOOKUP(Table2[[#This Row],[Adjusted Form '#]],[2]BILLED!$D:$D,[1]BILLED!$O:$O,"Not Found")</f>
        <v>#REF!</v>
      </c>
      <c r="Y1115" s="17" t="e">
        <f>_xlfn.XLOOKUP(Table2[[#This Row],[Adjusted Form '#]],'[2]REJECTED ORDERS'!$D:$D,'[2]REJECTED ORDERS'!$E:$E)</f>
        <v>#N/A</v>
      </c>
      <c r="Z1115" s="1"/>
      <c r="AA1115" s="1"/>
      <c r="AE1115" s="1"/>
      <c r="AG1115" s="12"/>
      <c r="AH1115" s="1"/>
      <c r="AJ1115" s="8"/>
    </row>
    <row r="1116" spans="1:36" ht="15" customHeight="1" x14ac:dyDescent="0.35">
      <c r="A1116" s="4" t="s">
        <v>1683</v>
      </c>
      <c r="B1116" s="1" t="s">
        <v>4499</v>
      </c>
      <c r="C1116" s="11">
        <v>45077</v>
      </c>
      <c r="D1116" s="11" t="s">
        <v>5864</v>
      </c>
      <c r="E1116" s="1" t="s">
        <v>21</v>
      </c>
      <c r="F1116" s="1" t="s">
        <v>5826</v>
      </c>
      <c r="G1116" s="6">
        <f>COUNTIF(F:F,Table2[[#This Row],[Form '#]])</f>
        <v>1</v>
      </c>
      <c r="H1116" s="1" t="s">
        <v>5827</v>
      </c>
      <c r="I1116" s="1" t="s">
        <v>3852</v>
      </c>
      <c r="J1116" s="1" t="s">
        <v>80</v>
      </c>
      <c r="K1116" s="1" t="s">
        <v>3853</v>
      </c>
      <c r="L1116" s="1"/>
      <c r="M1116" s="6" t="str">
        <f>IF(Table2[[#This Row],[Corrected Form '#
 (If Duplicated)]]="",Table2[[#This Row],[Form '#]],Table2[[#This Row],[Corrected Form '#
 (If Duplicated)]])</f>
        <v>7818-29472</v>
      </c>
      <c r="N1116" s="1" t="s">
        <v>49</v>
      </c>
      <c r="O1116" s="6" t="str">
        <f>IF(Table2[[#This Row],[POG CONFIRMATION RECEIPT OF ORDER
(DATE &amp; TIME)]]="","No Confirmation","Received Confirmation")</f>
        <v>Received Confirmation</v>
      </c>
      <c r="P1116" s="6">
        <f ca="1">TODAY()-Table2[[#This Row],[DATE SENT TO POG]]</f>
        <v>226</v>
      </c>
      <c r="Q1116" s="6" t="s">
        <v>5803</v>
      </c>
      <c r="R11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6" s="2" t="str">
        <f>_xlfn.XLOOKUP(Table2[[#This Row],[Adjusted Form '#]],'[2]IN PROGRESS'!$D:$D,'[2]IN PROGRESS'!$M:$M,"Not Found")</f>
        <v>Not Found</v>
      </c>
      <c r="U1116" s="2" t="str">
        <f>_xlfn.XLOOKUP(Table2[[#This Row],[Adjusted Form '#]],[1]COMPLETED!$D:$D,[2]COMPLETED!$M:$M,"Not Found")</f>
        <v>Not Found</v>
      </c>
      <c r="V1116" s="17" t="str">
        <f>_xlfn.XLOOKUP(Table2[[#This Row],[Adjusted Form '#]],[2]COMPLETED!$D:$D,[2]COMPLETED!$O:$O,"Not Found")</f>
        <v>Not Found</v>
      </c>
      <c r="W1116" s="2" t="str">
        <f>_xlfn.XLOOKUP(Table2[[#This Row],[Adjusted Form '#]],[2]BILLED!$D:$D,[2]BILLED!$M:$M,"Not Found")</f>
        <v>1Z5063E0YW41222161</v>
      </c>
      <c r="X1116" s="17" t="e">
        <f>_xlfn.XLOOKUP(Table2[[#This Row],[Adjusted Form '#]],[2]BILLED!$D:$D,[1]BILLED!$O:$O,"Not Found")</f>
        <v>#REF!</v>
      </c>
      <c r="Y1116" s="17" t="e">
        <f>_xlfn.XLOOKUP(Table2[[#This Row],[Adjusted Form '#]],'[2]REJECTED ORDERS'!$D:$D,'[2]REJECTED ORDERS'!$E:$E)</f>
        <v>#N/A</v>
      </c>
      <c r="Z1116" s="1"/>
      <c r="AA1116" s="1"/>
      <c r="AE1116" s="1"/>
      <c r="AG1116" s="12"/>
      <c r="AH1116" s="1"/>
      <c r="AJ1116" s="8"/>
    </row>
    <row r="1117" spans="1:36" ht="15" customHeight="1" x14ac:dyDescent="0.35">
      <c r="A1117" s="4" t="s">
        <v>1685</v>
      </c>
      <c r="B1117" s="1" t="s">
        <v>502</v>
      </c>
      <c r="C1117" s="11">
        <v>45077</v>
      </c>
      <c r="D1117" s="11" t="s">
        <v>5864</v>
      </c>
      <c r="E1117" s="1" t="s">
        <v>73</v>
      </c>
      <c r="F1117" s="1" t="s">
        <v>5829</v>
      </c>
      <c r="G1117" s="6">
        <f>COUNTIF(F:F,Table2[[#This Row],[Form '#]])</f>
        <v>1</v>
      </c>
      <c r="H1117" s="1" t="s">
        <v>5830</v>
      </c>
      <c r="I1117" s="1" t="s">
        <v>3852</v>
      </c>
      <c r="J1117" s="1" t="s">
        <v>80</v>
      </c>
      <c r="K1117" s="1" t="s">
        <v>3853</v>
      </c>
      <c r="L1117" s="1"/>
      <c r="M1117" s="6" t="str">
        <f>IF(Table2[[#This Row],[Corrected Form '#
 (If Duplicated)]]="",Table2[[#This Row],[Form '#]],Table2[[#This Row],[Corrected Form '#
 (If Duplicated)]])</f>
        <v>7823-02811</v>
      </c>
      <c r="N1117" s="1" t="s">
        <v>49</v>
      </c>
      <c r="O1117" s="6" t="str">
        <f>IF(Table2[[#This Row],[POG CONFIRMATION RECEIPT OF ORDER
(DATE &amp; TIME)]]="","No Confirmation","Received Confirmation")</f>
        <v>Received Confirmation</v>
      </c>
      <c r="P1117" s="6">
        <f ca="1">TODAY()-Table2[[#This Row],[DATE SENT TO POG]]</f>
        <v>226</v>
      </c>
      <c r="Q1117" s="6" t="s">
        <v>5803</v>
      </c>
      <c r="R11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7" s="2" t="str">
        <f>_xlfn.XLOOKUP(Table2[[#This Row],[Adjusted Form '#]],'[2]IN PROGRESS'!$D:$D,'[2]IN PROGRESS'!$M:$M,"Not Found")</f>
        <v>Not Found</v>
      </c>
      <c r="U1117" s="2" t="str">
        <f>_xlfn.XLOOKUP(Table2[[#This Row],[Adjusted Form '#]],[1]COMPLETED!$D:$D,[2]COMPLETED!$M:$M,"Not Found")</f>
        <v>Not Found</v>
      </c>
      <c r="V1117" s="17" t="str">
        <f>_xlfn.XLOOKUP(Table2[[#This Row],[Adjusted Form '#]],[2]COMPLETED!$D:$D,[2]COMPLETED!$O:$O,"Not Found")</f>
        <v>Not Found</v>
      </c>
      <c r="W1117" s="2" t="str">
        <f>_xlfn.XLOOKUP(Table2[[#This Row],[Adjusted Form '#]],[2]BILLED!$D:$D,[2]BILLED!$M:$M,"Not Found")</f>
        <v>1Z5063E0YW41821219</v>
      </c>
      <c r="X1117" s="17" t="e">
        <f>_xlfn.XLOOKUP(Table2[[#This Row],[Adjusted Form '#]],[2]BILLED!$D:$D,[1]BILLED!$O:$O,"Not Found")</f>
        <v>#REF!</v>
      </c>
      <c r="Y1117" s="17" t="e">
        <f>_xlfn.XLOOKUP(Table2[[#This Row],[Adjusted Form '#]],'[2]REJECTED ORDERS'!$D:$D,'[2]REJECTED ORDERS'!$E:$E)</f>
        <v>#N/A</v>
      </c>
      <c r="Z1117" s="1"/>
      <c r="AA1117" s="1"/>
      <c r="AE1117" s="1"/>
      <c r="AG1117" s="12"/>
      <c r="AH1117" s="1"/>
      <c r="AJ1117" s="8"/>
    </row>
    <row r="1118" spans="1:36" ht="15" customHeight="1" x14ac:dyDescent="0.35">
      <c r="A1118" s="4" t="s">
        <v>1686</v>
      </c>
      <c r="B1118" s="1" t="s">
        <v>1369</v>
      </c>
      <c r="C1118" s="11">
        <v>45078</v>
      </c>
      <c r="D1118" s="11" t="s">
        <v>5865</v>
      </c>
      <c r="E1118" s="1" t="s">
        <v>14</v>
      </c>
      <c r="F1118" s="1" t="s">
        <v>5831</v>
      </c>
      <c r="G1118" s="6">
        <f>COUNTIF(F:F,Table2[[#This Row],[Form '#]])</f>
        <v>1</v>
      </c>
      <c r="H1118" s="1" t="s">
        <v>851</v>
      </c>
      <c r="I1118" s="1" t="s">
        <v>177</v>
      </c>
      <c r="J1118" s="1" t="s">
        <v>75</v>
      </c>
      <c r="K1118" s="1" t="s">
        <v>3853</v>
      </c>
      <c r="L1118" s="1"/>
      <c r="M1118" s="6" t="str">
        <f>IF(Table2[[#This Row],[Corrected Form '#
 (If Duplicated)]]="",Table2[[#This Row],[Form '#]],Table2[[#This Row],[Corrected Form '#
 (If Duplicated)]])</f>
        <v>7810-01738</v>
      </c>
      <c r="N1118" s="1" t="s">
        <v>49</v>
      </c>
      <c r="O1118" s="6" t="str">
        <f>IF(Table2[[#This Row],[POG CONFIRMATION RECEIPT OF ORDER
(DATE &amp; TIME)]]="","No Confirmation","Received Confirmation")</f>
        <v>Received Confirmation</v>
      </c>
      <c r="P1118" s="6">
        <f ca="1">TODAY()-Table2[[#This Row],[DATE SENT TO POG]]</f>
        <v>225</v>
      </c>
      <c r="Q1118" s="6" t="s">
        <v>5803</v>
      </c>
      <c r="R11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8" s="2" t="str">
        <f>_xlfn.XLOOKUP(Table2[[#This Row],[Adjusted Form '#]],'[2]IN PROGRESS'!$D:$D,'[2]IN PROGRESS'!$M:$M,"Not Found")</f>
        <v>Not Found</v>
      </c>
      <c r="U1118" s="2" t="str">
        <f>_xlfn.XLOOKUP(Table2[[#This Row],[Adjusted Form '#]],[1]COMPLETED!$D:$D,[2]COMPLETED!$M:$M,"Not Found")</f>
        <v>Not Found</v>
      </c>
      <c r="V1118" s="17" t="str">
        <f>_xlfn.XLOOKUP(Table2[[#This Row],[Adjusted Form '#]],[2]COMPLETED!$D:$D,[2]COMPLETED!$O:$O,"Not Found")</f>
        <v>Not Found</v>
      </c>
      <c r="W1118" s="2" t="str">
        <f>_xlfn.XLOOKUP(Table2[[#This Row],[Adjusted Form '#]],[2]BILLED!$D:$D,[2]BILLED!$M:$M,"Not Found")</f>
        <v>9400 1112 0620 7661 3569 18</v>
      </c>
      <c r="X1118" s="17" t="e">
        <f>_xlfn.XLOOKUP(Table2[[#This Row],[Adjusted Form '#]],[2]BILLED!$D:$D,[1]BILLED!$O:$O,"Not Found")</f>
        <v>#REF!</v>
      </c>
      <c r="Y1118" s="17" t="e">
        <f>_xlfn.XLOOKUP(Table2[[#This Row],[Adjusted Form '#]],'[2]REJECTED ORDERS'!$D:$D,'[2]REJECTED ORDERS'!$E:$E)</f>
        <v>#N/A</v>
      </c>
      <c r="Z1118" s="1"/>
      <c r="AA1118" s="1"/>
      <c r="AE1118" s="1"/>
      <c r="AG1118" s="12"/>
      <c r="AH1118" s="1"/>
      <c r="AJ1118" s="8"/>
    </row>
    <row r="1119" spans="1:36" ht="15" customHeight="1" x14ac:dyDescent="0.35">
      <c r="A1119" s="4" t="s">
        <v>1688</v>
      </c>
      <c r="B1119" s="1" t="s">
        <v>457</v>
      </c>
      <c r="C1119" s="11">
        <v>45078</v>
      </c>
      <c r="D1119" s="11" t="s">
        <v>5865</v>
      </c>
      <c r="E1119" s="1" t="s">
        <v>73</v>
      </c>
      <c r="F1119" s="1" t="s">
        <v>5832</v>
      </c>
      <c r="G1119" s="6">
        <f>COUNTIF(F:F,Table2[[#This Row],[Form '#]])</f>
        <v>1</v>
      </c>
      <c r="H1119" s="1" t="s">
        <v>5833</v>
      </c>
      <c r="I1119" s="1" t="s">
        <v>3864</v>
      </c>
      <c r="J1119" s="1" t="s">
        <v>3891</v>
      </c>
      <c r="K1119" s="1" t="s">
        <v>5834</v>
      </c>
      <c r="L1119" s="1"/>
      <c r="M1119" s="6" t="str">
        <f>IF(Table2[[#This Row],[Corrected Form '#
 (If Duplicated)]]="",Table2[[#This Row],[Form '#]],Table2[[#This Row],[Corrected Form '#
 (If Duplicated)]])</f>
        <v>7823-02875</v>
      </c>
      <c r="N1119" s="1" t="s">
        <v>49</v>
      </c>
      <c r="O1119" s="6" t="str">
        <f>IF(Table2[[#This Row],[POG CONFIRMATION RECEIPT OF ORDER
(DATE &amp; TIME)]]="","No Confirmation","Received Confirmation")</f>
        <v>Received Confirmation</v>
      </c>
      <c r="P1119" s="6">
        <f ca="1">TODAY()-Table2[[#This Row],[DATE SENT TO POG]]</f>
        <v>225</v>
      </c>
      <c r="Q1119" s="6" t="s">
        <v>5803</v>
      </c>
      <c r="R11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19" s="2" t="str">
        <f>_xlfn.XLOOKUP(Table2[[#This Row],[Adjusted Form '#]],'[2]IN PROGRESS'!$D:$D,'[2]IN PROGRESS'!$M:$M,"Not Found")</f>
        <v>Not Found</v>
      </c>
      <c r="U1119" s="2" t="str">
        <f>_xlfn.XLOOKUP(Table2[[#This Row],[Adjusted Form '#]],[1]COMPLETED!$D:$D,[2]COMPLETED!$M:$M,"Not Found")</f>
        <v>Not Found</v>
      </c>
      <c r="V1119" s="17" t="str">
        <f>_xlfn.XLOOKUP(Table2[[#This Row],[Adjusted Form '#]],[2]COMPLETED!$D:$D,[2]COMPLETED!$O:$O,"Not Found")</f>
        <v>Not Found</v>
      </c>
      <c r="W1119" s="2" t="str">
        <f>_xlfn.XLOOKUP(Table2[[#This Row],[Adjusted Form '#]],[2]BILLED!$D:$D,[2]BILLED!$M:$M,"Not Found")</f>
        <v>1Z5063E0YW40506295</v>
      </c>
      <c r="X1119" s="17" t="e">
        <f>_xlfn.XLOOKUP(Table2[[#This Row],[Adjusted Form '#]],[2]BILLED!$D:$D,[1]BILLED!$O:$O,"Not Found")</f>
        <v>#REF!</v>
      </c>
      <c r="Y1119" s="17" t="e">
        <f>_xlfn.XLOOKUP(Table2[[#This Row],[Adjusted Form '#]],'[2]REJECTED ORDERS'!$D:$D,'[2]REJECTED ORDERS'!$E:$E)</f>
        <v>#N/A</v>
      </c>
      <c r="Z1119" s="1"/>
      <c r="AA1119" s="1"/>
      <c r="AE1119" s="1"/>
      <c r="AG1119" s="12"/>
      <c r="AH1119" s="1"/>
      <c r="AJ1119" s="8"/>
    </row>
    <row r="1120" spans="1:36" ht="15" customHeight="1" x14ac:dyDescent="0.35">
      <c r="A1120" s="4" t="s">
        <v>1690</v>
      </c>
      <c r="B1120" s="1" t="s">
        <v>1344</v>
      </c>
      <c r="C1120" s="11">
        <v>45078</v>
      </c>
      <c r="D1120" s="11" t="s">
        <v>5866</v>
      </c>
      <c r="E1120" s="1" t="s">
        <v>21</v>
      </c>
      <c r="F1120" s="1" t="s">
        <v>5835</v>
      </c>
      <c r="G1120" s="6">
        <f>COUNTIF(F:F,Table2[[#This Row],[Form '#]])</f>
        <v>1</v>
      </c>
      <c r="H1120" s="1" t="s">
        <v>5836</v>
      </c>
      <c r="I1120" s="1" t="s">
        <v>3852</v>
      </c>
      <c r="J1120" s="1" t="s">
        <v>80</v>
      </c>
      <c r="K1120" s="1" t="s">
        <v>3853</v>
      </c>
      <c r="L1120" s="1"/>
      <c r="M1120" s="6" t="str">
        <f>IF(Table2[[#This Row],[Corrected Form '#
 (If Duplicated)]]="",Table2[[#This Row],[Form '#]],Table2[[#This Row],[Corrected Form '#
 (If Duplicated)]])</f>
        <v>7818-25484</v>
      </c>
      <c r="N1120" s="1" t="s">
        <v>49</v>
      </c>
      <c r="O1120" s="6" t="str">
        <f>IF(Table2[[#This Row],[POG CONFIRMATION RECEIPT OF ORDER
(DATE &amp; TIME)]]="","No Confirmation","Received Confirmation")</f>
        <v>Received Confirmation</v>
      </c>
      <c r="P1120" s="6">
        <f ca="1">TODAY()-Table2[[#This Row],[DATE SENT TO POG]]</f>
        <v>225</v>
      </c>
      <c r="Q1120" s="6" t="s">
        <v>5803</v>
      </c>
      <c r="R11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0" s="2" t="str">
        <f>_xlfn.XLOOKUP(Table2[[#This Row],[Adjusted Form '#]],'[2]IN PROGRESS'!$D:$D,'[2]IN PROGRESS'!$M:$M,"Not Found")</f>
        <v>Not Found</v>
      </c>
      <c r="U1120" s="2" t="str">
        <f>_xlfn.XLOOKUP(Table2[[#This Row],[Adjusted Form '#]],[1]COMPLETED!$D:$D,[2]COMPLETED!$M:$M,"Not Found")</f>
        <v>Not Found</v>
      </c>
      <c r="V1120" s="17" t="str">
        <f>_xlfn.XLOOKUP(Table2[[#This Row],[Adjusted Form '#]],[2]COMPLETED!$D:$D,[2]COMPLETED!$O:$O,"Not Found")</f>
        <v>Not Found</v>
      </c>
      <c r="W1120" s="2" t="str">
        <f>_xlfn.XLOOKUP(Table2[[#This Row],[Adjusted Form '#]],[2]BILLED!$D:$D,[2]BILLED!$M:$M,"Not Found")</f>
        <v>1Z5063E0YW42951112</v>
      </c>
      <c r="X1120" s="17" t="e">
        <f>_xlfn.XLOOKUP(Table2[[#This Row],[Adjusted Form '#]],[2]BILLED!$D:$D,[1]BILLED!$O:$O,"Not Found")</f>
        <v>#REF!</v>
      </c>
      <c r="Y1120" s="17" t="e">
        <f>_xlfn.XLOOKUP(Table2[[#This Row],[Adjusted Form '#]],'[2]REJECTED ORDERS'!$D:$D,'[2]REJECTED ORDERS'!$E:$E)</f>
        <v>#N/A</v>
      </c>
      <c r="Z1120" s="1"/>
      <c r="AA1120" s="1"/>
      <c r="AE1120" s="1"/>
      <c r="AG1120" s="12"/>
      <c r="AH1120" s="1"/>
      <c r="AJ1120" s="8"/>
    </row>
    <row r="1121" spans="1:36" ht="15" customHeight="1" x14ac:dyDescent="0.35">
      <c r="A1121" s="4" t="s">
        <v>1691</v>
      </c>
      <c r="B1121" s="1" t="s">
        <v>1344</v>
      </c>
      <c r="C1121" s="11">
        <v>45078</v>
      </c>
      <c r="D1121" s="11" t="s">
        <v>5866</v>
      </c>
      <c r="E1121" s="1" t="s">
        <v>21</v>
      </c>
      <c r="F1121" s="1" t="s">
        <v>5837</v>
      </c>
      <c r="G1121" s="6">
        <f>COUNTIF(F:F,Table2[[#This Row],[Form '#]])</f>
        <v>1</v>
      </c>
      <c r="H1121" s="1" t="s">
        <v>5838</v>
      </c>
      <c r="I1121" s="1" t="s">
        <v>3852</v>
      </c>
      <c r="J1121" s="1" t="s">
        <v>80</v>
      </c>
      <c r="K1121" s="1" t="s">
        <v>3853</v>
      </c>
      <c r="L1121" s="1"/>
      <c r="M1121" s="6" t="str">
        <f>IF(Table2[[#This Row],[Corrected Form '#
 (If Duplicated)]]="",Table2[[#This Row],[Form '#]],Table2[[#This Row],[Corrected Form '#
 (If Duplicated)]])</f>
        <v>7818-28409</v>
      </c>
      <c r="N1121" s="1" t="s">
        <v>49</v>
      </c>
      <c r="O1121" s="6" t="str">
        <f>IF(Table2[[#This Row],[POG CONFIRMATION RECEIPT OF ORDER
(DATE &amp; TIME)]]="","No Confirmation","Received Confirmation")</f>
        <v>Received Confirmation</v>
      </c>
      <c r="P1121" s="6">
        <f ca="1">TODAY()-Table2[[#This Row],[DATE SENT TO POG]]</f>
        <v>225</v>
      </c>
      <c r="Q1121" s="6" t="s">
        <v>5803</v>
      </c>
      <c r="R11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1" s="2" t="str">
        <f>_xlfn.XLOOKUP(Table2[[#This Row],[Adjusted Form '#]],'[2]IN PROGRESS'!$D:$D,'[2]IN PROGRESS'!$M:$M,"Not Found")</f>
        <v>Not Found</v>
      </c>
      <c r="U1121" s="2" t="str">
        <f>_xlfn.XLOOKUP(Table2[[#This Row],[Adjusted Form '#]],[1]COMPLETED!$D:$D,[2]COMPLETED!$M:$M,"Not Found")</f>
        <v>Not Found</v>
      </c>
      <c r="V1121" s="17" t="str">
        <f>_xlfn.XLOOKUP(Table2[[#This Row],[Adjusted Form '#]],[2]COMPLETED!$D:$D,[2]COMPLETED!$O:$O,"Not Found")</f>
        <v>Not Found</v>
      </c>
      <c r="W1121" s="2" t="str">
        <f>_xlfn.XLOOKUP(Table2[[#This Row],[Adjusted Form '#]],[2]BILLED!$D:$D,[2]BILLED!$M:$M,"Not Found")</f>
        <v>1Z5063E0YW40479128</v>
      </c>
      <c r="X1121" s="17" t="e">
        <f>_xlfn.XLOOKUP(Table2[[#This Row],[Adjusted Form '#]],[2]BILLED!$D:$D,[1]BILLED!$O:$O,"Not Found")</f>
        <v>#REF!</v>
      </c>
      <c r="Y1121" s="17" t="e">
        <f>_xlfn.XLOOKUP(Table2[[#This Row],[Adjusted Form '#]],'[2]REJECTED ORDERS'!$D:$D,'[2]REJECTED ORDERS'!$E:$E)</f>
        <v>#N/A</v>
      </c>
      <c r="Z1121" s="1"/>
      <c r="AA1121" s="1"/>
      <c r="AE1121" s="1"/>
      <c r="AG1121" s="12"/>
      <c r="AH1121" s="1"/>
      <c r="AJ1121" s="8"/>
    </row>
    <row r="1122" spans="1:36" ht="15" customHeight="1" x14ac:dyDescent="0.35">
      <c r="A1122" s="4" t="s">
        <v>1693</v>
      </c>
      <c r="B1122" s="1" t="s">
        <v>1344</v>
      </c>
      <c r="C1122" s="11">
        <v>45078</v>
      </c>
      <c r="D1122" s="11" t="s">
        <v>5866</v>
      </c>
      <c r="E1122" s="1" t="s">
        <v>21</v>
      </c>
      <c r="F1122" s="1" t="s">
        <v>5839</v>
      </c>
      <c r="G1122" s="6">
        <f>COUNTIF(F:F,Table2[[#This Row],[Form '#]])</f>
        <v>1</v>
      </c>
      <c r="H1122" s="1" t="s">
        <v>5840</v>
      </c>
      <c r="I1122" s="1" t="s">
        <v>758</v>
      </c>
      <c r="J1122" s="1" t="s">
        <v>78</v>
      </c>
      <c r="K1122" s="1" t="s">
        <v>3853</v>
      </c>
      <c r="L1122" s="1"/>
      <c r="M1122" s="6" t="str">
        <f>IF(Table2[[#This Row],[Corrected Form '#
 (If Duplicated)]]="",Table2[[#This Row],[Form '#]],Table2[[#This Row],[Corrected Form '#
 (If Duplicated)]])</f>
        <v>7818-24944</v>
      </c>
      <c r="N1122" s="1" t="s">
        <v>49</v>
      </c>
      <c r="O1122" s="6" t="str">
        <f>IF(Table2[[#This Row],[POG CONFIRMATION RECEIPT OF ORDER
(DATE &amp; TIME)]]="","No Confirmation","Received Confirmation")</f>
        <v>Received Confirmation</v>
      </c>
      <c r="P1122" s="6">
        <f ca="1">TODAY()-Table2[[#This Row],[DATE SENT TO POG]]</f>
        <v>225</v>
      </c>
      <c r="Q1122" s="6" t="s">
        <v>5803</v>
      </c>
      <c r="R11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2" s="2" t="str">
        <f>_xlfn.XLOOKUP(Table2[[#This Row],[Adjusted Form '#]],'[2]IN PROGRESS'!$D:$D,'[2]IN PROGRESS'!$M:$M,"Not Found")</f>
        <v>Not Found</v>
      </c>
      <c r="U1122" s="2" t="str">
        <f>_xlfn.XLOOKUP(Table2[[#This Row],[Adjusted Form '#]],[1]COMPLETED!$D:$D,[2]COMPLETED!$M:$M,"Not Found")</f>
        <v>Not Found</v>
      </c>
      <c r="V1122" s="17" t="str">
        <f>_xlfn.XLOOKUP(Table2[[#This Row],[Adjusted Form '#]],[2]COMPLETED!$D:$D,[2]COMPLETED!$O:$O,"Not Found")</f>
        <v>Not Found</v>
      </c>
      <c r="W1122" s="2" t="str">
        <f>_xlfn.XLOOKUP(Table2[[#This Row],[Adjusted Form '#]],[2]BILLED!$D:$D,[2]BILLED!$M:$M,"Not Found")</f>
        <v>1Z5063E0YW42521747</v>
      </c>
      <c r="X1122" s="17" t="e">
        <f>_xlfn.XLOOKUP(Table2[[#This Row],[Adjusted Form '#]],[2]BILLED!$D:$D,[1]BILLED!$O:$O,"Not Found")</f>
        <v>#REF!</v>
      </c>
      <c r="Y1122" s="17" t="e">
        <f>_xlfn.XLOOKUP(Table2[[#This Row],[Adjusted Form '#]],'[2]REJECTED ORDERS'!$D:$D,'[2]REJECTED ORDERS'!$E:$E)</f>
        <v>#N/A</v>
      </c>
      <c r="Z1122" s="1"/>
      <c r="AA1122" s="1"/>
      <c r="AE1122" s="1"/>
      <c r="AG1122" s="12"/>
      <c r="AH1122" s="1"/>
      <c r="AJ1122" s="8"/>
    </row>
    <row r="1123" spans="1:36" ht="15" customHeight="1" x14ac:dyDescent="0.35">
      <c r="A1123" s="4" t="s">
        <v>1695</v>
      </c>
      <c r="B1123" s="1" t="s">
        <v>1344</v>
      </c>
      <c r="C1123" s="11">
        <v>45078</v>
      </c>
      <c r="D1123" s="11" t="s">
        <v>5866</v>
      </c>
      <c r="E1123" s="1" t="s">
        <v>21</v>
      </c>
      <c r="F1123" s="1" t="s">
        <v>5841</v>
      </c>
      <c r="G1123" s="6">
        <f>COUNTIF(F:F,Table2[[#This Row],[Form '#]])</f>
        <v>1</v>
      </c>
      <c r="H1123" s="1" t="s">
        <v>5842</v>
      </c>
      <c r="I1123" s="1" t="s">
        <v>3852</v>
      </c>
      <c r="J1123" s="1" t="s">
        <v>80</v>
      </c>
      <c r="K1123" s="1" t="s">
        <v>3853</v>
      </c>
      <c r="L1123" s="1"/>
      <c r="M1123" s="6" t="str">
        <f>IF(Table2[[#This Row],[Corrected Form '#
 (If Duplicated)]]="",Table2[[#This Row],[Form '#]],Table2[[#This Row],[Corrected Form '#
 (If Duplicated)]])</f>
        <v>7818-26801</v>
      </c>
      <c r="N1123" s="1" t="s">
        <v>49</v>
      </c>
      <c r="O1123" s="6" t="str">
        <f>IF(Table2[[#This Row],[POG CONFIRMATION RECEIPT OF ORDER
(DATE &amp; TIME)]]="","No Confirmation","Received Confirmation")</f>
        <v>Received Confirmation</v>
      </c>
      <c r="P1123" s="6">
        <f ca="1">TODAY()-Table2[[#This Row],[DATE SENT TO POG]]</f>
        <v>225</v>
      </c>
      <c r="Q1123" s="6" t="s">
        <v>5803</v>
      </c>
      <c r="R11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3" s="2" t="str">
        <f>_xlfn.XLOOKUP(Table2[[#This Row],[Adjusted Form '#]],'[2]IN PROGRESS'!$D:$D,'[2]IN PROGRESS'!$M:$M,"Not Found")</f>
        <v>Not Found</v>
      </c>
      <c r="U1123" s="2" t="str">
        <f>_xlfn.XLOOKUP(Table2[[#This Row],[Adjusted Form '#]],[1]COMPLETED!$D:$D,[2]COMPLETED!$M:$M,"Not Found")</f>
        <v>Not Found</v>
      </c>
      <c r="V1123" s="17" t="str">
        <f>_xlfn.XLOOKUP(Table2[[#This Row],[Adjusted Form '#]],[2]COMPLETED!$D:$D,[2]COMPLETED!$O:$O,"Not Found")</f>
        <v>Not Found</v>
      </c>
      <c r="W1123" s="2" t="str">
        <f>_xlfn.XLOOKUP(Table2[[#This Row],[Adjusted Form '#]],[2]BILLED!$D:$D,[2]BILLED!$M:$M,"Not Found")</f>
        <v>1Z5063E0YW41799085</v>
      </c>
      <c r="X1123" s="17" t="e">
        <f>_xlfn.XLOOKUP(Table2[[#This Row],[Adjusted Form '#]],[2]BILLED!$D:$D,[1]BILLED!$O:$O,"Not Found")</f>
        <v>#REF!</v>
      </c>
      <c r="Y1123" s="17" t="e">
        <f>_xlfn.XLOOKUP(Table2[[#This Row],[Adjusted Form '#]],'[2]REJECTED ORDERS'!$D:$D,'[2]REJECTED ORDERS'!$E:$E)</f>
        <v>#N/A</v>
      </c>
      <c r="Z1123" s="1"/>
      <c r="AA1123" s="1"/>
      <c r="AE1123" s="1"/>
      <c r="AG1123" s="12"/>
      <c r="AH1123" s="1"/>
      <c r="AJ1123" s="8"/>
    </row>
    <row r="1124" spans="1:36" ht="15" customHeight="1" x14ac:dyDescent="0.35">
      <c r="A1124" s="4" t="s">
        <v>1697</v>
      </c>
      <c r="B1124" s="1" t="s">
        <v>1344</v>
      </c>
      <c r="C1124" s="11">
        <v>45078</v>
      </c>
      <c r="D1124" s="11" t="s">
        <v>5866</v>
      </c>
      <c r="E1124" s="1" t="s">
        <v>21</v>
      </c>
      <c r="F1124" s="1" t="s">
        <v>5843</v>
      </c>
      <c r="G1124" s="6">
        <f>COUNTIF(F:F,Table2[[#This Row],[Form '#]])</f>
        <v>1</v>
      </c>
      <c r="H1124" s="1" t="s">
        <v>5844</v>
      </c>
      <c r="I1124" s="1" t="s">
        <v>3852</v>
      </c>
      <c r="J1124" s="1" t="s">
        <v>80</v>
      </c>
      <c r="K1124" s="1" t="s">
        <v>4011</v>
      </c>
      <c r="L1124" s="1"/>
      <c r="M1124" s="6" t="str">
        <f>IF(Table2[[#This Row],[Corrected Form '#
 (If Duplicated)]]="",Table2[[#This Row],[Form '#]],Table2[[#This Row],[Corrected Form '#
 (If Duplicated)]])</f>
        <v>7818-22421</v>
      </c>
      <c r="N1124" s="1" t="s">
        <v>49</v>
      </c>
      <c r="O1124" s="6" t="str">
        <f>IF(Table2[[#This Row],[POG CONFIRMATION RECEIPT OF ORDER
(DATE &amp; TIME)]]="","No Confirmation","Received Confirmation")</f>
        <v>Received Confirmation</v>
      </c>
      <c r="P1124" s="6">
        <f ca="1">TODAY()-Table2[[#This Row],[DATE SENT TO POG]]</f>
        <v>225</v>
      </c>
      <c r="Q1124" s="6" t="s">
        <v>5803</v>
      </c>
      <c r="R11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4" s="2" t="str">
        <f>_xlfn.XLOOKUP(Table2[[#This Row],[Adjusted Form '#]],'[2]IN PROGRESS'!$D:$D,'[2]IN PROGRESS'!$M:$M,"Not Found")</f>
        <v>Not Found</v>
      </c>
      <c r="U1124" s="2" t="str">
        <f>_xlfn.XLOOKUP(Table2[[#This Row],[Adjusted Form '#]],[1]COMPLETED!$D:$D,[2]COMPLETED!$M:$M,"Not Found")</f>
        <v>Not Found</v>
      </c>
      <c r="V1124" s="17" t="str">
        <f>_xlfn.XLOOKUP(Table2[[#This Row],[Adjusted Form '#]],[2]COMPLETED!$D:$D,[2]COMPLETED!$O:$O,"Not Found")</f>
        <v>Not Found</v>
      </c>
      <c r="W1124" s="2" t="str">
        <f>_xlfn.XLOOKUP(Table2[[#This Row],[Adjusted Form '#]],[2]BILLED!$D:$D,[2]BILLED!$M:$M,"Not Found")</f>
        <v>1Z5063E0YW42961914</v>
      </c>
      <c r="X1124" s="17" t="e">
        <f>_xlfn.XLOOKUP(Table2[[#This Row],[Adjusted Form '#]],[2]BILLED!$D:$D,[1]BILLED!$O:$O,"Not Found")</f>
        <v>#REF!</v>
      </c>
      <c r="Y1124" s="17" t="e">
        <f>_xlfn.XLOOKUP(Table2[[#This Row],[Adjusted Form '#]],'[2]REJECTED ORDERS'!$D:$D,'[2]REJECTED ORDERS'!$E:$E)</f>
        <v>#N/A</v>
      </c>
      <c r="Z1124" s="1"/>
      <c r="AA1124" s="1"/>
      <c r="AE1124" s="1"/>
      <c r="AG1124" s="12"/>
      <c r="AH1124" s="1"/>
      <c r="AJ1124" s="8"/>
    </row>
    <row r="1125" spans="1:36" ht="15" customHeight="1" x14ac:dyDescent="0.35">
      <c r="A1125" s="4" t="s">
        <v>1698</v>
      </c>
      <c r="B1125" s="1" t="s">
        <v>1344</v>
      </c>
      <c r="C1125" s="11">
        <v>45078</v>
      </c>
      <c r="D1125" s="11" t="s">
        <v>5866</v>
      </c>
      <c r="E1125" s="1" t="s">
        <v>21</v>
      </c>
      <c r="F1125" s="1" t="s">
        <v>5845</v>
      </c>
      <c r="G1125" s="6">
        <f>COUNTIF(F:F,Table2[[#This Row],[Form '#]])</f>
        <v>1</v>
      </c>
      <c r="H1125" s="1" t="s">
        <v>5846</v>
      </c>
      <c r="I1125" s="1" t="s">
        <v>3864</v>
      </c>
      <c r="J1125" s="1" t="s">
        <v>78</v>
      </c>
      <c r="K1125" s="1" t="s">
        <v>3879</v>
      </c>
      <c r="L1125" s="1"/>
      <c r="M1125" s="6" t="str">
        <f>IF(Table2[[#This Row],[Corrected Form '#
 (If Duplicated)]]="",Table2[[#This Row],[Form '#]],Table2[[#This Row],[Corrected Form '#
 (If Duplicated)]])</f>
        <v>7818-28695</v>
      </c>
      <c r="N1125" s="1" t="s">
        <v>49</v>
      </c>
      <c r="O1125" s="6" t="str">
        <f>IF(Table2[[#This Row],[POG CONFIRMATION RECEIPT OF ORDER
(DATE &amp; TIME)]]="","No Confirmation","Received Confirmation")</f>
        <v>Received Confirmation</v>
      </c>
      <c r="P1125" s="6">
        <f ca="1">TODAY()-Table2[[#This Row],[DATE SENT TO POG]]</f>
        <v>225</v>
      </c>
      <c r="Q1125" s="6" t="s">
        <v>5803</v>
      </c>
      <c r="R11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5" s="2" t="str">
        <f>_xlfn.XLOOKUP(Table2[[#This Row],[Adjusted Form '#]],'[2]IN PROGRESS'!$D:$D,'[2]IN PROGRESS'!$M:$M,"Not Found")</f>
        <v>Not Found</v>
      </c>
      <c r="U1125" s="2" t="str">
        <f>_xlfn.XLOOKUP(Table2[[#This Row],[Adjusted Form '#]],[1]COMPLETED!$D:$D,[2]COMPLETED!$M:$M,"Not Found")</f>
        <v>Not Found</v>
      </c>
      <c r="V1125" s="17" t="str">
        <f>_xlfn.XLOOKUP(Table2[[#This Row],[Adjusted Form '#]],[2]COMPLETED!$D:$D,[2]COMPLETED!$O:$O,"Not Found")</f>
        <v>Not Found</v>
      </c>
      <c r="W1125" s="2" t="str">
        <f>_xlfn.XLOOKUP(Table2[[#This Row],[Adjusted Form '#]],[2]BILLED!$D:$D,[2]BILLED!$M:$M,"Not Found")</f>
        <v>1Z5063E0YW40642110</v>
      </c>
      <c r="X1125" s="17" t="e">
        <f>_xlfn.XLOOKUP(Table2[[#This Row],[Adjusted Form '#]],[2]BILLED!$D:$D,[1]BILLED!$O:$O,"Not Found")</f>
        <v>#REF!</v>
      </c>
      <c r="Y1125" s="17" t="e">
        <f>_xlfn.XLOOKUP(Table2[[#This Row],[Adjusted Form '#]],'[2]REJECTED ORDERS'!$D:$D,'[2]REJECTED ORDERS'!$E:$E)</f>
        <v>#N/A</v>
      </c>
      <c r="Z1125" s="1"/>
      <c r="AA1125" s="1"/>
      <c r="AE1125" s="1"/>
      <c r="AG1125" s="12"/>
      <c r="AH1125" s="1"/>
      <c r="AJ1125" s="8"/>
    </row>
    <row r="1126" spans="1:36" ht="15" customHeight="1" x14ac:dyDescent="0.35">
      <c r="A1126" s="4" t="s">
        <v>1699</v>
      </c>
      <c r="B1126" s="1" t="s">
        <v>1344</v>
      </c>
      <c r="C1126" s="11">
        <v>45078</v>
      </c>
      <c r="D1126" s="11" t="s">
        <v>5866</v>
      </c>
      <c r="E1126" s="1" t="s">
        <v>21</v>
      </c>
      <c r="F1126" s="1" t="s">
        <v>5847</v>
      </c>
      <c r="G1126" s="6">
        <f>COUNTIF(F:F,Table2[[#This Row],[Form '#]])</f>
        <v>1</v>
      </c>
      <c r="H1126" s="1" t="s">
        <v>5848</v>
      </c>
      <c r="I1126" s="1" t="s">
        <v>127</v>
      </c>
      <c r="J1126" s="1" t="s">
        <v>76</v>
      </c>
      <c r="K1126" s="1" t="s">
        <v>4011</v>
      </c>
      <c r="L1126" s="1"/>
      <c r="M1126" s="6" t="str">
        <f>IF(Table2[[#This Row],[Corrected Form '#
 (If Duplicated)]]="",Table2[[#This Row],[Form '#]],Table2[[#This Row],[Corrected Form '#
 (If Duplicated)]])</f>
        <v>7818-28694</v>
      </c>
      <c r="N1126" s="1" t="s">
        <v>49</v>
      </c>
      <c r="O1126" s="6" t="str">
        <f>IF(Table2[[#This Row],[POG CONFIRMATION RECEIPT OF ORDER
(DATE &amp; TIME)]]="","No Confirmation","Received Confirmation")</f>
        <v>Received Confirmation</v>
      </c>
      <c r="P1126" s="6">
        <f ca="1">TODAY()-Table2[[#This Row],[DATE SENT TO POG]]</f>
        <v>225</v>
      </c>
      <c r="Q1126" s="6" t="s">
        <v>5803</v>
      </c>
      <c r="R11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6" s="2" t="str">
        <f>_xlfn.XLOOKUP(Table2[[#This Row],[Adjusted Form '#]],'[2]IN PROGRESS'!$D:$D,'[2]IN PROGRESS'!$M:$M,"Not Found")</f>
        <v>Not Found</v>
      </c>
      <c r="U1126" s="2" t="str">
        <f>_xlfn.XLOOKUP(Table2[[#This Row],[Adjusted Form '#]],[1]COMPLETED!$D:$D,[2]COMPLETED!$M:$M,"Not Found")</f>
        <v>Not Found</v>
      </c>
      <c r="V1126" s="17" t="str">
        <f>_xlfn.XLOOKUP(Table2[[#This Row],[Adjusted Form '#]],[2]COMPLETED!$D:$D,[2]COMPLETED!$O:$O,"Not Found")</f>
        <v>Not Found</v>
      </c>
      <c r="W1126" s="2" t="str">
        <f>_xlfn.XLOOKUP(Table2[[#This Row],[Adjusted Form '#]],[2]BILLED!$D:$D,[2]BILLED!$M:$M,"Not Found")</f>
        <v>1Z5063E0YW41780193</v>
      </c>
      <c r="X1126" s="17" t="e">
        <f>_xlfn.XLOOKUP(Table2[[#This Row],[Adjusted Form '#]],[2]BILLED!$D:$D,[1]BILLED!$O:$O,"Not Found")</f>
        <v>#REF!</v>
      </c>
      <c r="Y1126" s="17" t="e">
        <f>_xlfn.XLOOKUP(Table2[[#This Row],[Adjusted Form '#]],'[2]REJECTED ORDERS'!$D:$D,'[2]REJECTED ORDERS'!$E:$E)</f>
        <v>#N/A</v>
      </c>
      <c r="Z1126" s="1"/>
      <c r="AA1126" s="1"/>
      <c r="AE1126" s="1"/>
      <c r="AG1126" s="12"/>
      <c r="AH1126" s="1"/>
      <c r="AJ1126" s="8"/>
    </row>
    <row r="1127" spans="1:36" ht="15" customHeight="1" x14ac:dyDescent="0.35">
      <c r="A1127" s="4" t="s">
        <v>1701</v>
      </c>
      <c r="B1127" s="1" t="s">
        <v>1344</v>
      </c>
      <c r="C1127" s="11">
        <v>45078</v>
      </c>
      <c r="D1127" s="11" t="s">
        <v>5866</v>
      </c>
      <c r="E1127" s="1" t="s">
        <v>21</v>
      </c>
      <c r="F1127" s="1" t="s">
        <v>5849</v>
      </c>
      <c r="G1127" s="6">
        <f>COUNTIF(F:F,Table2[[#This Row],[Form '#]])</f>
        <v>1</v>
      </c>
      <c r="H1127" s="1" t="s">
        <v>932</v>
      </c>
      <c r="I1127" s="1" t="s">
        <v>177</v>
      </c>
      <c r="J1127" s="1" t="s">
        <v>75</v>
      </c>
      <c r="K1127" s="1" t="s">
        <v>3853</v>
      </c>
      <c r="L1127" s="1"/>
      <c r="M1127" s="6" t="str">
        <f>IF(Table2[[#This Row],[Corrected Form '#
 (If Duplicated)]]="",Table2[[#This Row],[Form '#]],Table2[[#This Row],[Corrected Form '#
 (If Duplicated)]])</f>
        <v>7818-16822</v>
      </c>
      <c r="N1127" s="1" t="s">
        <v>49</v>
      </c>
      <c r="O1127" s="6" t="str">
        <f>IF(Table2[[#This Row],[POG CONFIRMATION RECEIPT OF ORDER
(DATE &amp; TIME)]]="","No Confirmation","Received Confirmation")</f>
        <v>Received Confirmation</v>
      </c>
      <c r="P1127" s="6">
        <f ca="1">TODAY()-Table2[[#This Row],[DATE SENT TO POG]]</f>
        <v>225</v>
      </c>
      <c r="Q1127" s="6" t="s">
        <v>5803</v>
      </c>
      <c r="R11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7" s="2" t="str">
        <f>_xlfn.XLOOKUP(Table2[[#This Row],[Adjusted Form '#]],'[2]IN PROGRESS'!$D:$D,'[2]IN PROGRESS'!$M:$M,"Not Found")</f>
        <v>Not Found</v>
      </c>
      <c r="U1127" s="2" t="str">
        <f>_xlfn.XLOOKUP(Table2[[#This Row],[Adjusted Form '#]],[1]COMPLETED!$D:$D,[2]COMPLETED!$M:$M,"Not Found")</f>
        <v>Not Found</v>
      </c>
      <c r="V1127" s="17" t="str">
        <f>_xlfn.XLOOKUP(Table2[[#This Row],[Adjusted Form '#]],[2]COMPLETED!$D:$D,[2]COMPLETED!$O:$O,"Not Found")</f>
        <v>Not Found</v>
      </c>
      <c r="W1127" s="2" t="str">
        <f>_xlfn.XLOOKUP(Table2[[#This Row],[Adjusted Form '#]],[2]BILLED!$D:$D,[2]BILLED!$M:$M,"Not Found")</f>
        <v>1Z5063E0YW41038674</v>
      </c>
      <c r="X1127" s="17" t="e">
        <f>_xlfn.XLOOKUP(Table2[[#This Row],[Adjusted Form '#]],[2]BILLED!$D:$D,[1]BILLED!$O:$O,"Not Found")</f>
        <v>#REF!</v>
      </c>
      <c r="Y1127" s="17" t="e">
        <f>_xlfn.XLOOKUP(Table2[[#This Row],[Adjusted Form '#]],'[2]REJECTED ORDERS'!$D:$D,'[2]REJECTED ORDERS'!$E:$E)</f>
        <v>#N/A</v>
      </c>
      <c r="Z1127" s="1"/>
      <c r="AA1127" s="1"/>
      <c r="AE1127" s="1"/>
      <c r="AG1127" s="12"/>
      <c r="AH1127" s="1"/>
      <c r="AJ1127" s="8"/>
    </row>
    <row r="1128" spans="1:36" ht="15" customHeight="1" x14ac:dyDescent="0.35">
      <c r="A1128" s="4" t="s">
        <v>1704</v>
      </c>
      <c r="B1128" s="1" t="s">
        <v>1344</v>
      </c>
      <c r="C1128" s="11">
        <v>45078</v>
      </c>
      <c r="D1128" s="11" t="s">
        <v>5866</v>
      </c>
      <c r="E1128" s="1" t="s">
        <v>21</v>
      </c>
      <c r="F1128" s="1" t="s">
        <v>5850</v>
      </c>
      <c r="G1128" s="6">
        <f>COUNTIF(F:F,Table2[[#This Row],[Form '#]])</f>
        <v>1</v>
      </c>
      <c r="H1128" s="1" t="s">
        <v>3059</v>
      </c>
      <c r="I1128" s="1" t="s">
        <v>3864</v>
      </c>
      <c r="J1128" s="1" t="s">
        <v>78</v>
      </c>
      <c r="K1128" s="1" t="s">
        <v>3879</v>
      </c>
      <c r="L1128" s="1"/>
      <c r="M1128" s="6" t="str">
        <f>IF(Table2[[#This Row],[Corrected Form '#
 (If Duplicated)]]="",Table2[[#This Row],[Form '#]],Table2[[#This Row],[Corrected Form '#
 (If Duplicated)]])</f>
        <v>7818-10763</v>
      </c>
      <c r="N1128" s="1" t="s">
        <v>49</v>
      </c>
      <c r="O1128" s="6" t="str">
        <f>IF(Table2[[#This Row],[POG CONFIRMATION RECEIPT OF ORDER
(DATE &amp; TIME)]]="","No Confirmation","Received Confirmation")</f>
        <v>Received Confirmation</v>
      </c>
      <c r="P1128" s="6">
        <f ca="1">TODAY()-Table2[[#This Row],[DATE SENT TO POG]]</f>
        <v>225</v>
      </c>
      <c r="Q1128" s="6" t="s">
        <v>5803</v>
      </c>
      <c r="R11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8" s="2" t="str">
        <f>_xlfn.XLOOKUP(Table2[[#This Row],[Adjusted Form '#]],'[2]IN PROGRESS'!$D:$D,'[2]IN PROGRESS'!$M:$M,"Not Found")</f>
        <v>Not Found</v>
      </c>
      <c r="U1128" s="2" t="str">
        <f>_xlfn.XLOOKUP(Table2[[#This Row],[Adjusted Form '#]],[1]COMPLETED!$D:$D,[2]COMPLETED!$M:$M,"Not Found")</f>
        <v>Not Found</v>
      </c>
      <c r="V1128" s="17" t="str">
        <f>_xlfn.XLOOKUP(Table2[[#This Row],[Adjusted Form '#]],[2]COMPLETED!$D:$D,[2]COMPLETED!$O:$O,"Not Found")</f>
        <v>Not Found</v>
      </c>
      <c r="W1128" s="2" t="str">
        <f>_xlfn.XLOOKUP(Table2[[#This Row],[Adjusted Form '#]],[2]BILLED!$D:$D,[2]BILLED!$M:$M,"Not Found")</f>
        <v>1Z5063E0YW41426067</v>
      </c>
      <c r="X1128" s="17" t="e">
        <f>_xlfn.XLOOKUP(Table2[[#This Row],[Adjusted Form '#]],[2]BILLED!$D:$D,[1]BILLED!$O:$O,"Not Found")</f>
        <v>#REF!</v>
      </c>
      <c r="Y1128" s="17" t="e">
        <f>_xlfn.XLOOKUP(Table2[[#This Row],[Adjusted Form '#]],'[2]REJECTED ORDERS'!$D:$D,'[2]REJECTED ORDERS'!$E:$E)</f>
        <v>#N/A</v>
      </c>
      <c r="Z1128" s="1"/>
      <c r="AA1128" s="1"/>
      <c r="AE1128" s="1"/>
      <c r="AG1128" s="12"/>
      <c r="AH1128" s="1"/>
      <c r="AJ1128" s="8"/>
    </row>
    <row r="1129" spans="1:36" ht="15" customHeight="1" x14ac:dyDescent="0.35">
      <c r="A1129" s="4" t="s">
        <v>1706</v>
      </c>
      <c r="B1129" s="1" t="s">
        <v>1344</v>
      </c>
      <c r="C1129" s="11">
        <v>45078</v>
      </c>
      <c r="D1129" s="11" t="s">
        <v>5866</v>
      </c>
      <c r="E1129" s="1" t="s">
        <v>21</v>
      </c>
      <c r="F1129" s="1" t="s">
        <v>5851</v>
      </c>
      <c r="G1129" s="6">
        <f>COUNTIF(F:F,Table2[[#This Row],[Form '#]])</f>
        <v>1</v>
      </c>
      <c r="H1129" s="1" t="s">
        <v>5852</v>
      </c>
      <c r="I1129" s="1" t="s">
        <v>3852</v>
      </c>
      <c r="J1129" s="1" t="s">
        <v>75</v>
      </c>
      <c r="K1129" s="1" t="s">
        <v>4011</v>
      </c>
      <c r="L1129" s="1"/>
      <c r="M1129" s="6" t="str">
        <f>IF(Table2[[#This Row],[Corrected Form '#
 (If Duplicated)]]="",Table2[[#This Row],[Form '#]],Table2[[#This Row],[Corrected Form '#
 (If Duplicated)]])</f>
        <v>7818-07848</v>
      </c>
      <c r="N1129" s="1" t="s">
        <v>49</v>
      </c>
      <c r="O1129" s="6" t="str">
        <f>IF(Table2[[#This Row],[POG CONFIRMATION RECEIPT OF ORDER
(DATE &amp; TIME)]]="","No Confirmation","Received Confirmation")</f>
        <v>Received Confirmation</v>
      </c>
      <c r="P1129" s="6">
        <f ca="1">TODAY()-Table2[[#This Row],[DATE SENT TO POG]]</f>
        <v>225</v>
      </c>
      <c r="Q1129" s="6" t="s">
        <v>5803</v>
      </c>
      <c r="R11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29" s="2" t="str">
        <f>_xlfn.XLOOKUP(Table2[[#This Row],[Adjusted Form '#]],'[2]IN PROGRESS'!$D:$D,'[2]IN PROGRESS'!$M:$M,"Not Found")</f>
        <v>Not Found</v>
      </c>
      <c r="U1129" s="2" t="str">
        <f>_xlfn.XLOOKUP(Table2[[#This Row],[Adjusted Form '#]],[1]COMPLETED!$D:$D,[2]COMPLETED!$M:$M,"Not Found")</f>
        <v>Not Found</v>
      </c>
      <c r="V1129" s="17" t="str">
        <f>_xlfn.XLOOKUP(Table2[[#This Row],[Adjusted Form '#]],[2]COMPLETED!$D:$D,[2]COMPLETED!$O:$O,"Not Found")</f>
        <v>Not Found</v>
      </c>
      <c r="W1129" s="2" t="str">
        <f>_xlfn.XLOOKUP(Table2[[#This Row],[Adjusted Form '#]],[2]BILLED!$D:$D,[2]BILLED!$M:$M,"Not Found")</f>
        <v>1Z5063E0YW40271833</v>
      </c>
      <c r="X1129" s="17" t="e">
        <f>_xlfn.XLOOKUP(Table2[[#This Row],[Adjusted Form '#]],[2]BILLED!$D:$D,[1]BILLED!$O:$O,"Not Found")</f>
        <v>#REF!</v>
      </c>
      <c r="Y1129" s="17" t="e">
        <f>_xlfn.XLOOKUP(Table2[[#This Row],[Adjusted Form '#]],'[2]REJECTED ORDERS'!$D:$D,'[2]REJECTED ORDERS'!$E:$E)</f>
        <v>#N/A</v>
      </c>
      <c r="Z1129" s="1"/>
      <c r="AA1129" s="1"/>
      <c r="AE1129" s="1"/>
      <c r="AG1129" s="12"/>
      <c r="AH1129" s="1"/>
      <c r="AJ1129" s="8"/>
    </row>
    <row r="1130" spans="1:36" ht="15" customHeight="1" x14ac:dyDescent="0.35">
      <c r="A1130" s="4" t="s">
        <v>1707</v>
      </c>
      <c r="B1130" s="1" t="s">
        <v>1344</v>
      </c>
      <c r="C1130" s="11">
        <v>45078</v>
      </c>
      <c r="D1130" s="11" t="s">
        <v>5866</v>
      </c>
      <c r="E1130" s="1" t="s">
        <v>21</v>
      </c>
      <c r="F1130" s="1" t="s">
        <v>5853</v>
      </c>
      <c r="G1130" s="6">
        <f>COUNTIF(F:F,Table2[[#This Row],[Form '#]])</f>
        <v>1</v>
      </c>
      <c r="H1130" s="1" t="s">
        <v>5854</v>
      </c>
      <c r="I1130" s="1" t="s">
        <v>758</v>
      </c>
      <c r="J1130" s="1" t="s">
        <v>78</v>
      </c>
      <c r="K1130" s="1" t="s">
        <v>3853</v>
      </c>
      <c r="L1130" s="1"/>
      <c r="M1130" s="6" t="str">
        <f>IF(Table2[[#This Row],[Corrected Form '#
 (If Duplicated)]]="",Table2[[#This Row],[Form '#]],Table2[[#This Row],[Corrected Form '#
 (If Duplicated)]])</f>
        <v>7818-22687</v>
      </c>
      <c r="N1130" s="1" t="s">
        <v>49</v>
      </c>
      <c r="O1130" s="6" t="str">
        <f>IF(Table2[[#This Row],[POG CONFIRMATION RECEIPT OF ORDER
(DATE &amp; TIME)]]="","No Confirmation","Received Confirmation")</f>
        <v>Received Confirmation</v>
      </c>
      <c r="P1130" s="6">
        <f ca="1">TODAY()-Table2[[#This Row],[DATE SENT TO POG]]</f>
        <v>225</v>
      </c>
      <c r="Q1130" s="6" t="s">
        <v>5803</v>
      </c>
      <c r="R11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0" s="2" t="str">
        <f>_xlfn.XLOOKUP(Table2[[#This Row],[Adjusted Form '#]],'[2]IN PROGRESS'!$D:$D,'[2]IN PROGRESS'!$M:$M,"Not Found")</f>
        <v>Not Found</v>
      </c>
      <c r="U1130" s="2" t="str">
        <f>_xlfn.XLOOKUP(Table2[[#This Row],[Adjusted Form '#]],[1]COMPLETED!$D:$D,[2]COMPLETED!$M:$M,"Not Found")</f>
        <v>Not Found</v>
      </c>
      <c r="V1130" s="17" t="str">
        <f>_xlfn.XLOOKUP(Table2[[#This Row],[Adjusted Form '#]],[2]COMPLETED!$D:$D,[2]COMPLETED!$O:$O,"Not Found")</f>
        <v>Not Found</v>
      </c>
      <c r="W1130" s="2" t="str">
        <f>_xlfn.XLOOKUP(Table2[[#This Row],[Adjusted Form '#]],[2]BILLED!$D:$D,[2]BILLED!$M:$M,"Not Found")</f>
        <v>1Z5063E0YW41622407</v>
      </c>
      <c r="X1130" s="17" t="e">
        <f>_xlfn.XLOOKUP(Table2[[#This Row],[Adjusted Form '#]],[2]BILLED!$D:$D,[1]BILLED!$O:$O,"Not Found")</f>
        <v>#REF!</v>
      </c>
      <c r="Y1130" s="17" t="e">
        <f>_xlfn.XLOOKUP(Table2[[#This Row],[Adjusted Form '#]],'[2]REJECTED ORDERS'!$D:$D,'[2]REJECTED ORDERS'!$E:$E)</f>
        <v>#N/A</v>
      </c>
      <c r="Z1130" s="1"/>
      <c r="AA1130" s="1"/>
      <c r="AE1130" s="1"/>
      <c r="AG1130" s="12"/>
      <c r="AH1130" s="1"/>
      <c r="AJ1130" s="8"/>
    </row>
    <row r="1131" spans="1:36" ht="15" customHeight="1" x14ac:dyDescent="0.35">
      <c r="A1131" s="4" t="s">
        <v>1708</v>
      </c>
      <c r="B1131" s="1" t="s">
        <v>1344</v>
      </c>
      <c r="C1131" s="11">
        <v>45078</v>
      </c>
      <c r="D1131" s="11" t="s">
        <v>5866</v>
      </c>
      <c r="E1131" s="1" t="s">
        <v>21</v>
      </c>
      <c r="F1131" s="1" t="s">
        <v>5855</v>
      </c>
      <c r="G1131" s="6">
        <f>COUNTIF(F:F,Table2[[#This Row],[Form '#]])</f>
        <v>1</v>
      </c>
      <c r="H1131" s="1" t="s">
        <v>903</v>
      </c>
      <c r="I1131" s="1" t="s">
        <v>127</v>
      </c>
      <c r="J1131" s="1" t="s">
        <v>71</v>
      </c>
      <c r="K1131" s="1" t="s">
        <v>5856</v>
      </c>
      <c r="L1131" s="1"/>
      <c r="M1131" s="6" t="str">
        <f>IF(Table2[[#This Row],[Corrected Form '#
 (If Duplicated)]]="",Table2[[#This Row],[Form '#]],Table2[[#This Row],[Corrected Form '#
 (If Duplicated)]])</f>
        <v>7818-20815</v>
      </c>
      <c r="N1131" s="1" t="s">
        <v>49</v>
      </c>
      <c r="O1131" s="6" t="str">
        <f>IF(Table2[[#This Row],[POG CONFIRMATION RECEIPT OF ORDER
(DATE &amp; TIME)]]="","No Confirmation","Received Confirmation")</f>
        <v>Received Confirmation</v>
      </c>
      <c r="P1131" s="6">
        <f ca="1">TODAY()-Table2[[#This Row],[DATE SENT TO POG]]</f>
        <v>225</v>
      </c>
      <c r="Q1131" s="6" t="s">
        <v>5803</v>
      </c>
      <c r="R11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1" s="2" t="str">
        <f>_xlfn.XLOOKUP(Table2[[#This Row],[Adjusted Form '#]],'[2]IN PROGRESS'!$D:$D,'[2]IN PROGRESS'!$M:$M,"Not Found")</f>
        <v>Not Found</v>
      </c>
      <c r="U1131" s="2" t="str">
        <f>_xlfn.XLOOKUP(Table2[[#This Row],[Adjusted Form '#]],[1]COMPLETED!$D:$D,[2]COMPLETED!$M:$M,"Not Found")</f>
        <v>Not Found</v>
      </c>
      <c r="V1131" s="17" t="str">
        <f>_xlfn.XLOOKUP(Table2[[#This Row],[Adjusted Form '#]],[2]COMPLETED!$D:$D,[2]COMPLETED!$O:$O,"Not Found")</f>
        <v>Not Found</v>
      </c>
      <c r="W1131" s="2" t="str">
        <f>_xlfn.XLOOKUP(Table2[[#This Row],[Adjusted Form '#]],[2]BILLED!$D:$D,[2]BILLED!$M:$M,"Not Found")</f>
        <v>1Z5063E0YW42568439</v>
      </c>
      <c r="X1131" s="17" t="e">
        <f>_xlfn.XLOOKUP(Table2[[#This Row],[Adjusted Form '#]],[2]BILLED!$D:$D,[1]BILLED!$O:$O,"Not Found")</f>
        <v>#REF!</v>
      </c>
      <c r="Y1131" s="17" t="e">
        <f>_xlfn.XLOOKUP(Table2[[#This Row],[Adjusted Form '#]],'[2]REJECTED ORDERS'!$D:$D,'[2]REJECTED ORDERS'!$E:$E)</f>
        <v>#N/A</v>
      </c>
      <c r="Z1131" s="1"/>
      <c r="AA1131" s="1"/>
      <c r="AE1131" s="1"/>
      <c r="AG1131" s="12"/>
      <c r="AH1131" s="1"/>
      <c r="AJ1131" s="8"/>
    </row>
    <row r="1132" spans="1:36" ht="15" customHeight="1" x14ac:dyDescent="0.35">
      <c r="A1132" s="4" t="s">
        <v>1710</v>
      </c>
      <c r="B1132" s="1" t="s">
        <v>528</v>
      </c>
      <c r="C1132" s="11">
        <v>45078</v>
      </c>
      <c r="E1132" s="1" t="s">
        <v>21</v>
      </c>
      <c r="F1132" s="1" t="s">
        <v>5857</v>
      </c>
      <c r="G1132" s="6">
        <f>COUNTIF(F:F,Table2[[#This Row],[Form '#]])</f>
        <v>1</v>
      </c>
      <c r="H1132" s="1" t="s">
        <v>5284</v>
      </c>
      <c r="I1132" s="1" t="s">
        <v>3864</v>
      </c>
      <c r="J1132" s="1" t="s">
        <v>78</v>
      </c>
      <c r="K1132" s="1" t="s">
        <v>3879</v>
      </c>
      <c r="L1132" s="1"/>
      <c r="M1132" s="6" t="str">
        <f>IF(Table2[[#This Row],[Corrected Form '#
 (If Duplicated)]]="",Table2[[#This Row],[Form '#]],Table2[[#This Row],[Corrected Form '#
 (If Duplicated)]])</f>
        <v>7818-28696</v>
      </c>
      <c r="N1132" s="1" t="s">
        <v>49</v>
      </c>
      <c r="O1132" s="6" t="str">
        <f>IF(Table2[[#This Row],[POG CONFIRMATION RECEIPT OF ORDER
(DATE &amp; TIME)]]="","No Confirmation","Received Confirmation")</f>
        <v>No Confirmation</v>
      </c>
      <c r="P1132" s="6">
        <f ca="1">TODAY()-Table2[[#This Row],[DATE SENT TO POG]]</f>
        <v>225</v>
      </c>
      <c r="Q1132" s="6" t="s">
        <v>5803</v>
      </c>
      <c r="R11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2" s="2" t="str">
        <f>_xlfn.XLOOKUP(Table2[[#This Row],[Adjusted Form '#]],'[2]IN PROGRESS'!$D:$D,'[2]IN PROGRESS'!$M:$M,"Not Found")</f>
        <v>Not Found</v>
      </c>
      <c r="U1132" s="2" t="str">
        <f>_xlfn.XLOOKUP(Table2[[#This Row],[Adjusted Form '#]],[1]COMPLETED!$D:$D,[2]COMPLETED!$M:$M,"Not Found")</f>
        <v>Not Found</v>
      </c>
      <c r="V1132" s="17" t="str">
        <f>_xlfn.XLOOKUP(Table2[[#This Row],[Adjusted Form '#]],[2]COMPLETED!$D:$D,[2]COMPLETED!$O:$O,"Not Found")</f>
        <v>Not Found</v>
      </c>
      <c r="W1132" s="2" t="str">
        <f>_xlfn.XLOOKUP(Table2[[#This Row],[Adjusted Form '#]],[2]BILLED!$D:$D,[2]BILLED!$M:$M,"Not Found")</f>
        <v>9402 1112 0620 7019 6996 65</v>
      </c>
      <c r="X1132" s="17" t="e">
        <f>_xlfn.XLOOKUP(Table2[[#This Row],[Adjusted Form '#]],[2]BILLED!$D:$D,[1]BILLED!$O:$O,"Not Found")</f>
        <v>#REF!</v>
      </c>
      <c r="Y1132" s="17" t="e">
        <f>_xlfn.XLOOKUP(Table2[[#This Row],[Adjusted Form '#]],'[2]REJECTED ORDERS'!$D:$D,'[2]REJECTED ORDERS'!$E:$E)</f>
        <v>#N/A</v>
      </c>
      <c r="Z1132" s="1"/>
      <c r="AA1132" s="1"/>
      <c r="AE1132" s="1"/>
      <c r="AG1132" s="12"/>
      <c r="AH1132" s="1"/>
      <c r="AJ1132" s="8"/>
    </row>
    <row r="1133" spans="1:36" ht="15" customHeight="1" x14ac:dyDescent="0.35">
      <c r="A1133" s="4" t="s">
        <v>1711</v>
      </c>
      <c r="B1133" s="1" t="s">
        <v>3458</v>
      </c>
      <c r="C1133" s="11">
        <v>45078</v>
      </c>
      <c r="E1133" s="1" t="s">
        <v>21</v>
      </c>
      <c r="F1133" s="1" t="s">
        <v>5858</v>
      </c>
      <c r="G1133" s="6">
        <f>COUNTIF(F:F,Table2[[#This Row],[Form '#]])</f>
        <v>1</v>
      </c>
      <c r="H1133" s="1" t="s">
        <v>2438</v>
      </c>
      <c r="I1133" s="1" t="s">
        <v>127</v>
      </c>
      <c r="J1133" s="1" t="s">
        <v>71</v>
      </c>
      <c r="K1133" s="1" t="s">
        <v>3891</v>
      </c>
      <c r="L1133" s="1"/>
      <c r="M1133" s="6" t="str">
        <f>IF(Table2[[#This Row],[Corrected Form '#
 (If Duplicated)]]="",Table2[[#This Row],[Form '#]],Table2[[#This Row],[Corrected Form '#
 (If Duplicated)]])</f>
        <v>7818-28697</v>
      </c>
      <c r="N1133" s="1" t="s">
        <v>104</v>
      </c>
      <c r="O1133" s="6" t="str">
        <f>IF(Table2[[#This Row],[POG CONFIRMATION RECEIPT OF ORDER
(DATE &amp; TIME)]]="","No Confirmation","Received Confirmation")</f>
        <v>No Confirmation</v>
      </c>
      <c r="P1133" s="6">
        <f ca="1">TODAY()-Table2[[#This Row],[DATE SENT TO POG]]</f>
        <v>225</v>
      </c>
      <c r="Q1133" s="6" t="s">
        <v>5803</v>
      </c>
      <c r="R11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3" s="2" t="str">
        <f>_xlfn.XLOOKUP(Table2[[#This Row],[Adjusted Form '#]],'[2]IN PROGRESS'!$D:$D,'[2]IN PROGRESS'!$M:$M,"Not Found")</f>
        <v>Not Found</v>
      </c>
      <c r="U1133" s="2" t="str">
        <f>_xlfn.XLOOKUP(Table2[[#This Row],[Adjusted Form '#]],[1]COMPLETED!$D:$D,[2]COMPLETED!$M:$M,"Not Found")</f>
        <v>Not Found</v>
      </c>
      <c r="V1133" s="17" t="str">
        <f>_xlfn.XLOOKUP(Table2[[#This Row],[Adjusted Form '#]],[2]COMPLETED!$D:$D,[2]COMPLETED!$O:$O,"Not Found")</f>
        <v>Not Found</v>
      </c>
      <c r="W1133" s="2" t="str">
        <f>_xlfn.XLOOKUP(Table2[[#This Row],[Adjusted Form '#]],[2]BILLED!$D:$D,[2]BILLED!$M:$M,"Not Found")</f>
        <v>9402 1112 0620 7019 6748 84</v>
      </c>
      <c r="X1133" s="17" t="e">
        <f>_xlfn.XLOOKUP(Table2[[#This Row],[Adjusted Form '#]],[2]BILLED!$D:$D,[1]BILLED!$O:$O,"Not Found")</f>
        <v>#REF!</v>
      </c>
      <c r="Y1133" s="17" t="e">
        <f>_xlfn.XLOOKUP(Table2[[#This Row],[Adjusted Form '#]],'[2]REJECTED ORDERS'!$D:$D,'[2]REJECTED ORDERS'!$E:$E)</f>
        <v>#N/A</v>
      </c>
      <c r="Z1133" s="1"/>
      <c r="AA1133" s="1"/>
      <c r="AE1133" s="1"/>
      <c r="AG1133" s="12"/>
      <c r="AH1133" s="1"/>
      <c r="AJ1133" s="8"/>
    </row>
    <row r="1134" spans="1:36" ht="15" customHeight="1" x14ac:dyDescent="0.35">
      <c r="A1134" s="4" t="s">
        <v>1712</v>
      </c>
      <c r="B1134" s="1" t="s">
        <v>2079</v>
      </c>
      <c r="C1134" s="11">
        <v>45078</v>
      </c>
      <c r="D1134" s="11" t="s">
        <v>5867</v>
      </c>
      <c r="E1134" s="1" t="s">
        <v>21</v>
      </c>
      <c r="F1134" s="1" t="s">
        <v>5859</v>
      </c>
      <c r="G1134" s="6">
        <f>COUNTIF(F:F,Table2[[#This Row],[Form '#]])</f>
        <v>1</v>
      </c>
      <c r="H1134" s="1" t="s">
        <v>5860</v>
      </c>
      <c r="I1134" s="1" t="s">
        <v>127</v>
      </c>
      <c r="J1134" s="1" t="s">
        <v>74</v>
      </c>
      <c r="K1134" s="1" t="s">
        <v>3883</v>
      </c>
      <c r="L1134" s="1"/>
      <c r="M1134" s="6" t="str">
        <f>IF(Table2[[#This Row],[Corrected Form '#
 (If Duplicated)]]="",Table2[[#This Row],[Form '#]],Table2[[#This Row],[Corrected Form '#
 (If Duplicated)]])</f>
        <v>7818-18633</v>
      </c>
      <c r="N1134" s="1" t="s">
        <v>104</v>
      </c>
      <c r="O1134" s="6" t="str">
        <f>IF(Table2[[#This Row],[POG CONFIRMATION RECEIPT OF ORDER
(DATE &amp; TIME)]]="","No Confirmation","Received Confirmation")</f>
        <v>Received Confirmation</v>
      </c>
      <c r="P1134" s="6">
        <f ca="1">TODAY()-Table2[[#This Row],[DATE SENT TO POG]]</f>
        <v>225</v>
      </c>
      <c r="Q1134" s="6" t="s">
        <v>5803</v>
      </c>
      <c r="R11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4" s="2" t="str">
        <f>_xlfn.XLOOKUP(Table2[[#This Row],[Adjusted Form '#]],'[2]IN PROGRESS'!$D:$D,'[2]IN PROGRESS'!$M:$M,"Not Found")</f>
        <v>Not Found</v>
      </c>
      <c r="U1134" s="2" t="str">
        <f>_xlfn.XLOOKUP(Table2[[#This Row],[Adjusted Form '#]],[1]COMPLETED!$D:$D,[2]COMPLETED!$M:$M,"Not Found")</f>
        <v>Not Found</v>
      </c>
      <c r="V1134" s="17" t="str">
        <f>_xlfn.XLOOKUP(Table2[[#This Row],[Adjusted Form '#]],[2]COMPLETED!$D:$D,[2]COMPLETED!$O:$O,"Not Found")</f>
        <v>Not Found</v>
      </c>
      <c r="W1134" s="2" t="str">
        <f>_xlfn.XLOOKUP(Table2[[#This Row],[Adjusted Form '#]],[2]BILLED!$D:$D,[2]BILLED!$M:$M,"Not Found")</f>
        <v>1Z5063E0YW40807577</v>
      </c>
      <c r="X1134" s="17" t="e">
        <f>_xlfn.XLOOKUP(Table2[[#This Row],[Adjusted Form '#]],[2]BILLED!$D:$D,[1]BILLED!$O:$O,"Not Found")</f>
        <v>#REF!</v>
      </c>
      <c r="Y1134" s="17" t="e">
        <f>_xlfn.XLOOKUP(Table2[[#This Row],[Adjusted Form '#]],'[2]REJECTED ORDERS'!$D:$D,'[2]REJECTED ORDERS'!$E:$E)</f>
        <v>#N/A</v>
      </c>
      <c r="Z1134" s="1"/>
      <c r="AA1134" s="1"/>
      <c r="AE1134" s="1"/>
      <c r="AG1134" s="12"/>
      <c r="AH1134" s="1"/>
      <c r="AJ1134" s="8"/>
    </row>
    <row r="1135" spans="1:36" ht="15" customHeight="1" x14ac:dyDescent="0.35">
      <c r="A1135" s="4" t="s">
        <v>1713</v>
      </c>
      <c r="B1135" s="1" t="s">
        <v>1378</v>
      </c>
      <c r="C1135" s="11">
        <v>45079</v>
      </c>
      <c r="D1135" s="11" t="s">
        <v>5878</v>
      </c>
      <c r="E1135" s="1" t="s">
        <v>21</v>
      </c>
      <c r="F1135" s="1" t="s">
        <v>5871</v>
      </c>
      <c r="G1135" s="6">
        <f>COUNTIF(F:F,Table2[[#This Row],[Form '#]])</f>
        <v>1</v>
      </c>
      <c r="H1135" s="1" t="s">
        <v>5872</v>
      </c>
      <c r="I1135" s="1" t="s">
        <v>758</v>
      </c>
      <c r="J1135" s="1" t="s">
        <v>78</v>
      </c>
      <c r="K1135" s="1" t="s">
        <v>3853</v>
      </c>
      <c r="L1135" s="1"/>
      <c r="M1135" s="6" t="str">
        <f>IF(Table2[[#This Row],[Corrected Form '#
 (If Duplicated)]]="",Table2[[#This Row],[Form '#]],Table2[[#This Row],[Corrected Form '#
 (If Duplicated)]])</f>
        <v>7818-22683</v>
      </c>
      <c r="N1135" s="1" t="s">
        <v>49</v>
      </c>
      <c r="O1135" s="6" t="str">
        <f>IF(Table2[[#This Row],[POG CONFIRMATION RECEIPT OF ORDER
(DATE &amp; TIME)]]="","No Confirmation","Received Confirmation")</f>
        <v>Received Confirmation</v>
      </c>
      <c r="P1135" s="6">
        <f ca="1">TODAY()-Table2[[#This Row],[DATE SENT TO POG]]</f>
        <v>224</v>
      </c>
      <c r="Q1135" s="6" t="s">
        <v>5803</v>
      </c>
      <c r="R11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3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35" s="2" t="str">
        <f>_xlfn.XLOOKUP(Table2[[#This Row],[Adjusted Form '#]],'[2]IN PROGRESS'!$D:$D,'[2]IN PROGRESS'!$M:$M,"Not Found")</f>
        <v>Not Found</v>
      </c>
      <c r="U1135" s="2" t="str">
        <f>_xlfn.XLOOKUP(Table2[[#This Row],[Adjusted Form '#]],[1]COMPLETED!$D:$D,[2]COMPLETED!$M:$M,"Not Found")</f>
        <v>Not Found</v>
      </c>
      <c r="V1135" s="17">
        <f>_xlfn.XLOOKUP(Table2[[#This Row],[Adjusted Form '#]],[2]COMPLETED!$D:$D,[2]COMPLETED!$O:$O,"Not Found")</f>
        <v>0</v>
      </c>
      <c r="W1135" s="2" t="str">
        <f>_xlfn.XLOOKUP(Table2[[#This Row],[Adjusted Form '#]],[2]BILLED!$D:$D,[2]BILLED!$M:$M,"Not Found")</f>
        <v>Not Found</v>
      </c>
      <c r="X1135" s="17" t="str">
        <f>_xlfn.XLOOKUP(Table2[[#This Row],[Adjusted Form '#]],[2]BILLED!$D:$D,[1]BILLED!$O:$O,"Not Found")</f>
        <v>Not Found</v>
      </c>
      <c r="Y1135" s="17" t="e">
        <f>_xlfn.XLOOKUP(Table2[[#This Row],[Adjusted Form '#]],'[2]REJECTED ORDERS'!$D:$D,'[2]REJECTED ORDERS'!$E:$E)</f>
        <v>#N/A</v>
      </c>
      <c r="Z1135" s="1"/>
      <c r="AA1135" s="1"/>
    </row>
    <row r="1136" spans="1:36" ht="15" customHeight="1" x14ac:dyDescent="0.35">
      <c r="A1136" s="4" t="s">
        <v>1714</v>
      </c>
      <c r="B1136" s="1" t="s">
        <v>1378</v>
      </c>
      <c r="C1136" s="11">
        <v>45079</v>
      </c>
      <c r="D1136" s="11" t="s">
        <v>5878</v>
      </c>
      <c r="E1136" s="1" t="s">
        <v>21</v>
      </c>
      <c r="F1136" s="1" t="s">
        <v>5873</v>
      </c>
      <c r="G1136" s="6">
        <f>COUNTIF(F:F,Table2[[#This Row],[Form '#]])</f>
        <v>1</v>
      </c>
      <c r="H1136" s="1" t="s">
        <v>5874</v>
      </c>
      <c r="I1136" s="1" t="s">
        <v>127</v>
      </c>
      <c r="J1136" s="1" t="s">
        <v>76</v>
      </c>
      <c r="K1136" s="1" t="s">
        <v>4011</v>
      </c>
      <c r="L1136" s="1"/>
      <c r="M1136" s="6" t="str">
        <f>IF(Table2[[#This Row],[Corrected Form '#
 (If Duplicated)]]="",Table2[[#This Row],[Form '#]],Table2[[#This Row],[Corrected Form '#
 (If Duplicated)]])</f>
        <v>7818-21949</v>
      </c>
      <c r="N1136" s="1" t="s">
        <v>49</v>
      </c>
      <c r="O1136" s="6" t="str">
        <f>IF(Table2[[#This Row],[POG CONFIRMATION RECEIPT OF ORDER
(DATE &amp; TIME)]]="","No Confirmation","Received Confirmation")</f>
        <v>Received Confirmation</v>
      </c>
      <c r="P1136" s="6">
        <f ca="1">TODAY()-Table2[[#This Row],[DATE SENT TO POG]]</f>
        <v>224</v>
      </c>
      <c r="Q1136" s="6" t="s">
        <v>5803</v>
      </c>
      <c r="R11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6" s="2" t="str">
        <f>_xlfn.XLOOKUP(Table2[[#This Row],[Adjusted Form '#]],'[2]IN PROGRESS'!$D:$D,'[2]IN PROGRESS'!$M:$M,"Not Found")</f>
        <v>Not Found</v>
      </c>
      <c r="U1136" s="2" t="str">
        <f>_xlfn.XLOOKUP(Table2[[#This Row],[Adjusted Form '#]],[1]COMPLETED!$D:$D,[2]COMPLETED!$M:$M,"Not Found")</f>
        <v>Not Found</v>
      </c>
      <c r="V1136" s="17" t="str">
        <f>_xlfn.XLOOKUP(Table2[[#This Row],[Adjusted Form '#]],[2]COMPLETED!$D:$D,[2]COMPLETED!$O:$O,"Not Found")</f>
        <v>Not Found</v>
      </c>
      <c r="W1136" s="2" t="str">
        <f>_xlfn.XLOOKUP(Table2[[#This Row],[Adjusted Form '#]],[2]BILLED!$D:$D,[2]BILLED!$M:$M,"Not Found")</f>
        <v>1Z5063E0YW40850645</v>
      </c>
      <c r="X1136" s="17" t="e">
        <f>_xlfn.XLOOKUP(Table2[[#This Row],[Adjusted Form '#]],[2]BILLED!$D:$D,[1]BILLED!$O:$O,"Not Found")</f>
        <v>#REF!</v>
      </c>
      <c r="Y1136" s="17" t="str">
        <f>_xlfn.XLOOKUP(Table2[[#This Row],[Adjusted Form '#]],'[2]REJECTED ORDERS'!$D:$D,'[2]REJECTED ORDERS'!$E:$E)</f>
        <v>FORM NOT SIGNED</v>
      </c>
      <c r="Z1136" s="1"/>
      <c r="AA1136" s="1"/>
    </row>
    <row r="1137" spans="1:27" ht="15" customHeight="1" x14ac:dyDescent="0.35">
      <c r="A1137" s="4" t="s">
        <v>1715</v>
      </c>
      <c r="B1137" s="1" t="s">
        <v>265</v>
      </c>
      <c r="C1137" s="11">
        <v>45079</v>
      </c>
      <c r="D1137" s="11" t="s">
        <v>5879</v>
      </c>
      <c r="E1137" s="1" t="s">
        <v>14</v>
      </c>
      <c r="F1137" s="1" t="s">
        <v>5875</v>
      </c>
      <c r="G1137" s="6">
        <f>COUNTIF(F:F,Table2[[#This Row],[Form '#]])</f>
        <v>1</v>
      </c>
      <c r="H1137" s="1" t="s">
        <v>5876</v>
      </c>
      <c r="I1137" s="1" t="s">
        <v>3864</v>
      </c>
      <c r="J1137" s="1" t="s">
        <v>3891</v>
      </c>
      <c r="K1137" s="1" t="s">
        <v>5877</v>
      </c>
      <c r="L1137" s="1"/>
      <c r="M1137" s="6" t="str">
        <f>IF(Table2[[#This Row],[Corrected Form '#
 (If Duplicated)]]="",Table2[[#This Row],[Form '#]],Table2[[#This Row],[Corrected Form '#
 (If Duplicated)]])</f>
        <v>7810-01734</v>
      </c>
      <c r="N1137" s="1" t="s">
        <v>49</v>
      </c>
      <c r="O1137" s="6" t="str">
        <f>IF(Table2[[#This Row],[POG CONFIRMATION RECEIPT OF ORDER
(DATE &amp; TIME)]]="","No Confirmation","Received Confirmation")</f>
        <v>Received Confirmation</v>
      </c>
      <c r="P1137" s="6">
        <f ca="1">TODAY()-Table2[[#This Row],[DATE SENT TO POG]]</f>
        <v>224</v>
      </c>
      <c r="Q1137" s="6" t="s">
        <v>5803</v>
      </c>
      <c r="R11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7" s="2" t="str">
        <f>_xlfn.XLOOKUP(Table2[[#This Row],[Adjusted Form '#]],'[2]IN PROGRESS'!$D:$D,'[2]IN PROGRESS'!$M:$M,"Not Found")</f>
        <v>Not Found</v>
      </c>
      <c r="U1137" s="2" t="str">
        <f>_xlfn.XLOOKUP(Table2[[#This Row],[Adjusted Form '#]],[1]COMPLETED!$D:$D,[2]COMPLETED!$M:$M,"Not Found")</f>
        <v>Not Found</v>
      </c>
      <c r="V1137" s="17" t="str">
        <f>_xlfn.XLOOKUP(Table2[[#This Row],[Adjusted Form '#]],[2]COMPLETED!$D:$D,[2]COMPLETED!$O:$O,"Not Found")</f>
        <v>Not Found</v>
      </c>
      <c r="W1137" s="2" t="str">
        <f>_xlfn.XLOOKUP(Table2[[#This Row],[Adjusted Form '#]],[2]BILLED!$D:$D,[2]BILLED!$M:$M,"Not Found")</f>
        <v>1Z5063E0YW41692323</v>
      </c>
      <c r="X1137" s="17" t="e">
        <f>_xlfn.XLOOKUP(Table2[[#This Row],[Adjusted Form '#]],[2]BILLED!$D:$D,[1]BILLED!$O:$O,"Not Found")</f>
        <v>#REF!</v>
      </c>
      <c r="Y1137" s="17" t="e">
        <f>_xlfn.XLOOKUP(Table2[[#This Row],[Adjusted Form '#]],'[2]REJECTED ORDERS'!$D:$D,'[2]REJECTED ORDERS'!$E:$E)</f>
        <v>#N/A</v>
      </c>
      <c r="Z1137" s="1"/>
      <c r="AA1137" s="1"/>
    </row>
    <row r="1138" spans="1:27" ht="15" customHeight="1" x14ac:dyDescent="0.35">
      <c r="A1138" s="4" t="s">
        <v>1716</v>
      </c>
      <c r="B1138" s="1" t="s">
        <v>2976</v>
      </c>
      <c r="C1138" s="11">
        <v>45079</v>
      </c>
      <c r="D1138" s="11" t="s">
        <v>5881</v>
      </c>
      <c r="E1138" s="1" t="s">
        <v>21</v>
      </c>
      <c r="F1138" s="1" t="s">
        <v>5880</v>
      </c>
      <c r="G1138" s="6">
        <f>COUNTIF(F:F,Table2[[#This Row],[Form '#]])</f>
        <v>1</v>
      </c>
      <c r="H1138" s="1" t="s">
        <v>282</v>
      </c>
      <c r="I1138" s="1" t="s">
        <v>3891</v>
      </c>
      <c r="J1138" s="1" t="s">
        <v>74</v>
      </c>
      <c r="K1138" s="1" t="s">
        <v>3883</v>
      </c>
      <c r="L1138" s="1"/>
      <c r="M1138" s="6" t="str">
        <f>IF(Table2[[#This Row],[Corrected Form '#
 (If Duplicated)]]="",Table2[[#This Row],[Form '#]],Table2[[#This Row],[Corrected Form '#
 (If Duplicated)]])</f>
        <v>7818-26609</v>
      </c>
      <c r="N1138" s="1" t="s">
        <v>49</v>
      </c>
      <c r="O1138" s="6" t="str">
        <f>IF(Table2[[#This Row],[POG CONFIRMATION RECEIPT OF ORDER
(DATE &amp; TIME)]]="","No Confirmation","Received Confirmation")</f>
        <v>Received Confirmation</v>
      </c>
      <c r="P1138" s="6">
        <f ca="1">TODAY()-Table2[[#This Row],[DATE SENT TO POG]]</f>
        <v>224</v>
      </c>
      <c r="Q1138" s="6" t="s">
        <v>5803</v>
      </c>
      <c r="R11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8" s="2" t="str">
        <f>_xlfn.XLOOKUP(Table2[[#This Row],[Adjusted Form '#]],'[2]IN PROGRESS'!$D:$D,'[2]IN PROGRESS'!$M:$M,"Not Found")</f>
        <v>Not Found</v>
      </c>
      <c r="U1138" s="2" t="str">
        <f>_xlfn.XLOOKUP(Table2[[#This Row],[Adjusted Form '#]],[1]COMPLETED!$D:$D,[2]COMPLETED!$M:$M,"Not Found")</f>
        <v>Not Found</v>
      </c>
      <c r="V1138" s="17" t="str">
        <f>_xlfn.XLOOKUP(Table2[[#This Row],[Adjusted Form '#]],[2]COMPLETED!$D:$D,[2]COMPLETED!$O:$O,"Not Found")</f>
        <v>Not Found</v>
      </c>
      <c r="W1138" s="2" t="str">
        <f>_xlfn.XLOOKUP(Table2[[#This Row],[Adjusted Form '#]],[2]BILLED!$D:$D,[2]BILLED!$M:$M,"Not Found")</f>
        <v>1Z5063E0YW41654856</v>
      </c>
      <c r="X1138" s="17" t="e">
        <f>_xlfn.XLOOKUP(Table2[[#This Row],[Adjusted Form '#]],[2]BILLED!$D:$D,[1]BILLED!$O:$O,"Not Found")</f>
        <v>#REF!</v>
      </c>
      <c r="Y1138" s="17" t="e">
        <f>_xlfn.XLOOKUP(Table2[[#This Row],[Adjusted Form '#]],'[2]REJECTED ORDERS'!$D:$D,'[2]REJECTED ORDERS'!$E:$E)</f>
        <v>#N/A</v>
      </c>
      <c r="Z1138" s="1"/>
      <c r="AA1138" s="1"/>
    </row>
    <row r="1139" spans="1:27" ht="15" customHeight="1" x14ac:dyDescent="0.35">
      <c r="A1139" s="4" t="s">
        <v>1717</v>
      </c>
      <c r="B1139" s="1" t="s">
        <v>1532</v>
      </c>
      <c r="C1139" s="11">
        <v>45079</v>
      </c>
      <c r="D1139" s="11" t="s">
        <v>5883</v>
      </c>
      <c r="E1139" s="1" t="s">
        <v>21</v>
      </c>
      <c r="F1139" s="1" t="s">
        <v>5882</v>
      </c>
      <c r="G1139" s="6">
        <f>COUNTIF(F:F,Table2[[#This Row],[Form '#]])</f>
        <v>1</v>
      </c>
      <c r="H1139" s="1" t="s">
        <v>1520</v>
      </c>
      <c r="I1139" s="1" t="s">
        <v>28</v>
      </c>
      <c r="J1139" s="1" t="s">
        <v>69</v>
      </c>
      <c r="K1139" s="1" t="s">
        <v>4631</v>
      </c>
      <c r="L1139" s="1"/>
      <c r="M1139" s="6" t="str">
        <f>IF(Table2[[#This Row],[Corrected Form '#
 (If Duplicated)]]="",Table2[[#This Row],[Form '#]],Table2[[#This Row],[Corrected Form '#
 (If Duplicated)]])</f>
        <v>7818-26199</v>
      </c>
      <c r="N1139" s="1" t="s">
        <v>49</v>
      </c>
      <c r="O1139" s="6" t="str">
        <f>IF(Table2[[#This Row],[POG CONFIRMATION RECEIPT OF ORDER
(DATE &amp; TIME)]]="","No Confirmation","Received Confirmation")</f>
        <v>Received Confirmation</v>
      </c>
      <c r="P1139" s="6">
        <f ca="1">TODAY()-Table2[[#This Row],[DATE SENT TO POG]]</f>
        <v>224</v>
      </c>
      <c r="Q1139" s="6" t="s">
        <v>5803</v>
      </c>
      <c r="R11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39" s="2" t="str">
        <f>_xlfn.XLOOKUP(Table2[[#This Row],[Adjusted Form '#]],'[2]IN PROGRESS'!$D:$D,'[2]IN PROGRESS'!$M:$M,"Not Found")</f>
        <v>Not Found</v>
      </c>
      <c r="U1139" s="2" t="str">
        <f>_xlfn.XLOOKUP(Table2[[#This Row],[Adjusted Form '#]],[1]COMPLETED!$D:$D,[2]COMPLETED!$M:$M,"Not Found")</f>
        <v>Not Found</v>
      </c>
      <c r="V1139" s="17" t="str">
        <f>_xlfn.XLOOKUP(Table2[[#This Row],[Adjusted Form '#]],[2]COMPLETED!$D:$D,[2]COMPLETED!$O:$O,"Not Found")</f>
        <v>Not Found</v>
      </c>
      <c r="W1139" s="2" t="str">
        <f>_xlfn.XLOOKUP(Table2[[#This Row],[Adjusted Form '#]],[2]BILLED!$D:$D,[2]BILLED!$M:$M,"Not Found")</f>
        <v>1Z5063E0YW40637877</v>
      </c>
      <c r="X1139" s="17" t="e">
        <f>_xlfn.XLOOKUP(Table2[[#This Row],[Adjusted Form '#]],[2]BILLED!$D:$D,[1]BILLED!$O:$O,"Not Found")</f>
        <v>#REF!</v>
      </c>
      <c r="Y1139" s="17" t="e">
        <f>_xlfn.XLOOKUP(Table2[[#This Row],[Adjusted Form '#]],'[2]REJECTED ORDERS'!$D:$D,'[2]REJECTED ORDERS'!$E:$E)</f>
        <v>#N/A</v>
      </c>
      <c r="Z1139" s="1"/>
      <c r="AA1139" s="1"/>
    </row>
    <row r="1140" spans="1:27" ht="15" customHeight="1" x14ac:dyDescent="0.35">
      <c r="A1140" s="4" t="s">
        <v>1718</v>
      </c>
      <c r="B1140" s="1" t="s">
        <v>958</v>
      </c>
      <c r="C1140" s="11">
        <v>45082</v>
      </c>
      <c r="E1140" s="1" t="s">
        <v>21</v>
      </c>
      <c r="F1140" s="1" t="s">
        <v>5884</v>
      </c>
      <c r="G1140" s="6">
        <f>COUNTIF(F:F,Table2[[#This Row],[Form '#]])</f>
        <v>1</v>
      </c>
      <c r="H1140" s="1" t="s">
        <v>5885</v>
      </c>
      <c r="I1140" s="1" t="s">
        <v>3852</v>
      </c>
      <c r="J1140" s="1" t="s">
        <v>75</v>
      </c>
      <c r="K1140" s="1" t="s">
        <v>3853</v>
      </c>
      <c r="L1140" s="1"/>
      <c r="M1140" s="6" t="str">
        <f>IF(Table2[[#This Row],[Corrected Form '#
 (If Duplicated)]]="",Table2[[#This Row],[Form '#]],Table2[[#This Row],[Corrected Form '#
 (If Duplicated)]])</f>
        <v>7818-29779</v>
      </c>
      <c r="N1140" s="1" t="s">
        <v>104</v>
      </c>
      <c r="O1140" s="6" t="str">
        <f>IF(Table2[[#This Row],[POG CONFIRMATION RECEIPT OF ORDER
(DATE &amp; TIME)]]="","No Confirmation","Received Confirmation")</f>
        <v>No Confirmation</v>
      </c>
      <c r="P1140" s="6">
        <f ca="1">TODAY()-Table2[[#This Row],[DATE SENT TO POG]]</f>
        <v>221</v>
      </c>
      <c r="Q1140" s="6" t="s">
        <v>5802</v>
      </c>
      <c r="R11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4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40" s="2" t="str">
        <f>_xlfn.XLOOKUP(Table2[[#This Row],[Adjusted Form '#]],'[2]IN PROGRESS'!$D:$D,'[2]IN PROGRESS'!$M:$M,"Not Found")</f>
        <v>Not Found</v>
      </c>
      <c r="U1140" s="2" t="str">
        <f>_xlfn.XLOOKUP(Table2[[#This Row],[Adjusted Form '#]],[1]COMPLETED!$D:$D,[2]COMPLETED!$M:$M,"Not Found")</f>
        <v>Not Found</v>
      </c>
      <c r="V1140" s="17" t="str">
        <f>_xlfn.XLOOKUP(Table2[[#This Row],[Adjusted Form '#]],[2]COMPLETED!$D:$D,[2]COMPLETED!$O:$O,"Not Found")</f>
        <v>Not Found</v>
      </c>
      <c r="W1140" s="2" t="str">
        <f>_xlfn.XLOOKUP(Table2[[#This Row],[Adjusted Form '#]],[2]BILLED!$D:$D,[2]BILLED!$M:$M,"Not Found")</f>
        <v>Not Found</v>
      </c>
      <c r="X1140" s="17" t="str">
        <f>_xlfn.XLOOKUP(Table2[[#This Row],[Adjusted Form '#]],[2]BILLED!$D:$D,[1]BILLED!$O:$O,"Not Found")</f>
        <v>Not Found</v>
      </c>
      <c r="Y1140" s="17" t="e">
        <f>_xlfn.XLOOKUP(Table2[[#This Row],[Adjusted Form '#]],'[2]REJECTED ORDERS'!$D:$D,'[2]REJECTED ORDERS'!$E:$E)</f>
        <v>#N/A</v>
      </c>
      <c r="Z1140" s="1"/>
      <c r="AA1140" s="1"/>
    </row>
    <row r="1141" spans="1:27" ht="15" customHeight="1" x14ac:dyDescent="0.35">
      <c r="A1141" s="4" t="s">
        <v>1719</v>
      </c>
      <c r="B1141" s="1" t="s">
        <v>1326</v>
      </c>
      <c r="C1141" s="11">
        <v>45082</v>
      </c>
      <c r="E1141" s="1" t="s">
        <v>21</v>
      </c>
      <c r="F1141" s="1" t="s">
        <v>5886</v>
      </c>
      <c r="G1141" s="6">
        <f>COUNTIF(F:F,Table2[[#This Row],[Form '#]])</f>
        <v>1</v>
      </c>
      <c r="H1141" s="1" t="s">
        <v>5887</v>
      </c>
      <c r="I1141" s="1" t="s">
        <v>3891</v>
      </c>
      <c r="J1141" s="1" t="s">
        <v>3891</v>
      </c>
      <c r="K1141" s="1" t="s">
        <v>3891</v>
      </c>
      <c r="L1141" s="1"/>
      <c r="M1141" s="6" t="str">
        <f>IF(Table2[[#This Row],[Corrected Form '#
 (If Duplicated)]]="",Table2[[#This Row],[Form '#]],Table2[[#This Row],[Corrected Form '#
 (If Duplicated)]])</f>
        <v>7818-29922</v>
      </c>
      <c r="N1141" s="1" t="s">
        <v>49</v>
      </c>
      <c r="O1141" s="6" t="str">
        <f>IF(Table2[[#This Row],[POG CONFIRMATION RECEIPT OF ORDER
(DATE &amp; TIME)]]="","No Confirmation","Received Confirmation")</f>
        <v>No Confirmation</v>
      </c>
      <c r="P1141" s="6">
        <f ca="1">TODAY()-Table2[[#This Row],[DATE SENT TO POG]]</f>
        <v>221</v>
      </c>
      <c r="Q1141" s="6" t="s">
        <v>5803</v>
      </c>
      <c r="R11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1" s="2" t="str">
        <f>_xlfn.XLOOKUP(Table2[[#This Row],[Adjusted Form '#]],'[2]IN PROGRESS'!$D:$D,'[2]IN PROGRESS'!$M:$M,"Not Found")</f>
        <v>Not Found</v>
      </c>
      <c r="U1141" s="2" t="str">
        <f>_xlfn.XLOOKUP(Table2[[#This Row],[Adjusted Form '#]],[1]COMPLETED!$D:$D,[2]COMPLETED!$M:$M,"Not Found")</f>
        <v>Not Found</v>
      </c>
      <c r="V1141" s="17" t="str">
        <f>_xlfn.XLOOKUP(Table2[[#This Row],[Adjusted Form '#]],[2]COMPLETED!$D:$D,[2]COMPLETED!$O:$O,"Not Found")</f>
        <v>Not Found</v>
      </c>
      <c r="W1141" s="2" t="str">
        <f>_xlfn.XLOOKUP(Table2[[#This Row],[Adjusted Form '#]],[2]BILLED!$D:$D,[2]BILLED!$M:$M,"Not Found")</f>
        <v>9400 1361 0605 3197 9838 21</v>
      </c>
      <c r="X1141" s="17" t="e">
        <f>_xlfn.XLOOKUP(Table2[[#This Row],[Adjusted Form '#]],[2]BILLED!$D:$D,[1]BILLED!$O:$O,"Not Found")</f>
        <v>#REF!</v>
      </c>
      <c r="Y1141" s="17" t="e">
        <f>_xlfn.XLOOKUP(Table2[[#This Row],[Adjusted Form '#]],'[2]REJECTED ORDERS'!$D:$D,'[2]REJECTED ORDERS'!$E:$E)</f>
        <v>#N/A</v>
      </c>
      <c r="Z1141" s="1"/>
      <c r="AA1141" s="1"/>
    </row>
    <row r="1142" spans="1:27" ht="15" customHeight="1" x14ac:dyDescent="0.35">
      <c r="A1142" s="4" t="s">
        <v>1720</v>
      </c>
      <c r="B1142" s="1" t="s">
        <v>1326</v>
      </c>
      <c r="C1142" s="11">
        <v>45082</v>
      </c>
      <c r="D1142" s="11" t="s">
        <v>5916</v>
      </c>
      <c r="E1142" s="1" t="s">
        <v>21</v>
      </c>
      <c r="F1142" s="1" t="s">
        <v>5888</v>
      </c>
      <c r="G1142" s="6">
        <f>COUNTIF(F:F,Table2[[#This Row],[Form '#]])</f>
        <v>1</v>
      </c>
      <c r="H1142" s="1" t="s">
        <v>1469</v>
      </c>
      <c r="I1142" s="1" t="s">
        <v>28</v>
      </c>
      <c r="J1142" s="1" t="s">
        <v>69</v>
      </c>
      <c r="K1142" s="1" t="s">
        <v>4631</v>
      </c>
      <c r="L1142" s="1"/>
      <c r="M1142" s="6" t="str">
        <f>IF(Table2[[#This Row],[Corrected Form '#
 (If Duplicated)]]="",Table2[[#This Row],[Form '#]],Table2[[#This Row],[Corrected Form '#
 (If Duplicated)]])</f>
        <v>7818-29927</v>
      </c>
      <c r="N1142" s="1" t="s">
        <v>49</v>
      </c>
      <c r="O1142" s="6" t="str">
        <f>IF(Table2[[#This Row],[POG CONFIRMATION RECEIPT OF ORDER
(DATE &amp; TIME)]]="","No Confirmation","Received Confirmation")</f>
        <v>Received Confirmation</v>
      </c>
      <c r="P1142" s="6">
        <f ca="1">TODAY()-Table2[[#This Row],[DATE SENT TO POG]]</f>
        <v>221</v>
      </c>
      <c r="Q1142" s="6" t="s">
        <v>5803</v>
      </c>
      <c r="R11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2" s="2" t="str">
        <f>_xlfn.XLOOKUP(Table2[[#This Row],[Adjusted Form '#]],'[2]IN PROGRESS'!$D:$D,'[2]IN PROGRESS'!$M:$M,"Not Found")</f>
        <v>Not Found</v>
      </c>
      <c r="U1142" s="2" t="str">
        <f>_xlfn.XLOOKUP(Table2[[#This Row],[Adjusted Form '#]],[1]COMPLETED!$D:$D,[2]COMPLETED!$M:$M,"Not Found")</f>
        <v>Not Found</v>
      </c>
      <c r="V1142" s="17" t="str">
        <f>_xlfn.XLOOKUP(Table2[[#This Row],[Adjusted Form '#]],[2]COMPLETED!$D:$D,[2]COMPLETED!$O:$O,"Not Found")</f>
        <v>Not Found</v>
      </c>
      <c r="W1142" s="2" t="str">
        <f>_xlfn.XLOOKUP(Table2[[#This Row],[Adjusted Form '#]],[2]BILLED!$D:$D,[2]BILLED!$M:$M,"Not Found")</f>
        <v>1Z5063E0YW41792804</v>
      </c>
      <c r="X1142" s="17" t="e">
        <f>_xlfn.XLOOKUP(Table2[[#This Row],[Adjusted Form '#]],[2]BILLED!$D:$D,[1]BILLED!$O:$O,"Not Found")</f>
        <v>#REF!</v>
      </c>
      <c r="Y1142" s="17" t="e">
        <f>_xlfn.XLOOKUP(Table2[[#This Row],[Adjusted Form '#]],'[2]REJECTED ORDERS'!$D:$D,'[2]REJECTED ORDERS'!$E:$E)</f>
        <v>#N/A</v>
      </c>
      <c r="Z1142" s="1"/>
      <c r="AA1142" s="1"/>
    </row>
    <row r="1143" spans="1:27" ht="15" customHeight="1" x14ac:dyDescent="0.35">
      <c r="A1143" s="4" t="s">
        <v>1721</v>
      </c>
      <c r="B1143" s="1" t="s">
        <v>1326</v>
      </c>
      <c r="C1143" s="11">
        <v>45082</v>
      </c>
      <c r="D1143" s="11" t="s">
        <v>5916</v>
      </c>
      <c r="E1143" s="1" t="s">
        <v>21</v>
      </c>
      <c r="F1143" s="1" t="s">
        <v>5889</v>
      </c>
      <c r="G1143" s="6">
        <f>COUNTIF(F:F,Table2[[#This Row],[Form '#]])</f>
        <v>1</v>
      </c>
      <c r="H1143" s="1" t="s">
        <v>5890</v>
      </c>
      <c r="I1143" s="1" t="s">
        <v>3852</v>
      </c>
      <c r="J1143" s="1" t="s">
        <v>75</v>
      </c>
      <c r="K1143" s="1" t="s">
        <v>3853</v>
      </c>
      <c r="L1143" s="1"/>
      <c r="M1143" s="6" t="str">
        <f>IF(Table2[[#This Row],[Corrected Form '#
 (If Duplicated)]]="",Table2[[#This Row],[Form '#]],Table2[[#This Row],[Corrected Form '#
 (If Duplicated)]])</f>
        <v>7818-28397</v>
      </c>
      <c r="N1143" s="1" t="s">
        <v>49</v>
      </c>
      <c r="O1143" s="6" t="str">
        <f>IF(Table2[[#This Row],[POG CONFIRMATION RECEIPT OF ORDER
(DATE &amp; TIME)]]="","No Confirmation","Received Confirmation")</f>
        <v>Received Confirmation</v>
      </c>
      <c r="P1143" s="6">
        <f ca="1">TODAY()-Table2[[#This Row],[DATE SENT TO POG]]</f>
        <v>221</v>
      </c>
      <c r="Q1143" s="6" t="s">
        <v>5803</v>
      </c>
      <c r="R11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3" s="2" t="str">
        <f>_xlfn.XLOOKUP(Table2[[#This Row],[Adjusted Form '#]],'[2]IN PROGRESS'!$D:$D,'[2]IN PROGRESS'!$M:$M,"Not Found")</f>
        <v>Not Found</v>
      </c>
      <c r="U1143" s="2" t="str">
        <f>_xlfn.XLOOKUP(Table2[[#This Row],[Adjusted Form '#]],[1]COMPLETED!$D:$D,[2]COMPLETED!$M:$M,"Not Found")</f>
        <v>Not Found</v>
      </c>
      <c r="V1143" s="17" t="str">
        <f>_xlfn.XLOOKUP(Table2[[#This Row],[Adjusted Form '#]],[2]COMPLETED!$D:$D,[2]COMPLETED!$O:$O,"Not Found")</f>
        <v>Not Found</v>
      </c>
      <c r="W1143" s="2" t="str">
        <f>_xlfn.XLOOKUP(Table2[[#This Row],[Adjusted Form '#]],[2]BILLED!$D:$D,[2]BILLED!$M:$M,"Not Found")</f>
        <v>1Z5063E0YW41165885</v>
      </c>
      <c r="X1143" s="17" t="e">
        <f>_xlfn.XLOOKUP(Table2[[#This Row],[Adjusted Form '#]],[2]BILLED!$D:$D,[1]BILLED!$O:$O,"Not Found")</f>
        <v>#REF!</v>
      </c>
      <c r="Y1143" s="17" t="e">
        <f>_xlfn.XLOOKUP(Table2[[#This Row],[Adjusted Form '#]],'[2]REJECTED ORDERS'!$D:$D,'[2]REJECTED ORDERS'!$E:$E)</f>
        <v>#N/A</v>
      </c>
      <c r="Z1143" s="1"/>
      <c r="AA1143" s="1"/>
    </row>
    <row r="1144" spans="1:27" ht="15" customHeight="1" x14ac:dyDescent="0.35">
      <c r="A1144" s="4" t="s">
        <v>1722</v>
      </c>
      <c r="B1144" s="1" t="s">
        <v>1326</v>
      </c>
      <c r="C1144" s="11">
        <v>45082</v>
      </c>
      <c r="D1144" s="11" t="s">
        <v>5916</v>
      </c>
      <c r="E1144" s="1" t="s">
        <v>21</v>
      </c>
      <c r="F1144" s="1" t="s">
        <v>5891</v>
      </c>
      <c r="G1144" s="6">
        <f>COUNTIF(F:F,Table2[[#This Row],[Form '#]])</f>
        <v>1</v>
      </c>
      <c r="H1144" s="1" t="s">
        <v>5892</v>
      </c>
      <c r="I1144" s="1" t="s">
        <v>28</v>
      </c>
      <c r="J1144" s="1" t="s">
        <v>69</v>
      </c>
      <c r="K1144" s="1" t="s">
        <v>4011</v>
      </c>
      <c r="L1144" s="1"/>
      <c r="M1144" s="6" t="str">
        <f>IF(Table2[[#This Row],[Corrected Form '#
 (If Duplicated)]]="",Table2[[#This Row],[Form '#]],Table2[[#This Row],[Corrected Form '#
 (If Duplicated)]])</f>
        <v>7818-19353</v>
      </c>
      <c r="N1144" s="1" t="s">
        <v>49</v>
      </c>
      <c r="O1144" s="6" t="str">
        <f>IF(Table2[[#This Row],[POG CONFIRMATION RECEIPT OF ORDER
(DATE &amp; TIME)]]="","No Confirmation","Received Confirmation")</f>
        <v>Received Confirmation</v>
      </c>
      <c r="P1144" s="6">
        <f ca="1">TODAY()-Table2[[#This Row],[DATE SENT TO POG]]</f>
        <v>221</v>
      </c>
      <c r="Q1144" s="6" t="s">
        <v>5803</v>
      </c>
      <c r="R11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4" s="2" t="str">
        <f>_xlfn.XLOOKUP(Table2[[#This Row],[Adjusted Form '#]],'[2]IN PROGRESS'!$D:$D,'[2]IN PROGRESS'!$M:$M,"Not Found")</f>
        <v>Not Found</v>
      </c>
      <c r="U1144" s="2" t="str">
        <f>_xlfn.XLOOKUP(Table2[[#This Row],[Adjusted Form '#]],[1]COMPLETED!$D:$D,[2]COMPLETED!$M:$M,"Not Found")</f>
        <v>Not Found</v>
      </c>
      <c r="V1144" s="17" t="str">
        <f>_xlfn.XLOOKUP(Table2[[#This Row],[Adjusted Form '#]],[2]COMPLETED!$D:$D,[2]COMPLETED!$O:$O,"Not Found")</f>
        <v>Not Found</v>
      </c>
      <c r="W1144" s="2" t="str">
        <f>_xlfn.XLOOKUP(Table2[[#This Row],[Adjusted Form '#]],[2]BILLED!$D:$D,[2]BILLED!$M:$M,"Not Found")</f>
        <v>9400 1361 0605 3129 3645 20</v>
      </c>
      <c r="X1144" s="17" t="e">
        <f>_xlfn.XLOOKUP(Table2[[#This Row],[Adjusted Form '#]],[2]BILLED!$D:$D,[1]BILLED!$O:$O,"Not Found")</f>
        <v>#REF!</v>
      </c>
      <c r="Y1144" s="17" t="e">
        <f>_xlfn.XLOOKUP(Table2[[#This Row],[Adjusted Form '#]],'[2]REJECTED ORDERS'!$D:$D,'[2]REJECTED ORDERS'!$E:$E)</f>
        <v>#N/A</v>
      </c>
      <c r="Z1144" s="1"/>
      <c r="AA1144" s="1"/>
    </row>
    <row r="1145" spans="1:27" ht="15" customHeight="1" x14ac:dyDescent="0.35">
      <c r="A1145" s="4" t="s">
        <v>1723</v>
      </c>
      <c r="B1145" s="1" t="s">
        <v>1326</v>
      </c>
      <c r="C1145" s="11">
        <v>45082</v>
      </c>
      <c r="D1145" s="11" t="s">
        <v>5916</v>
      </c>
      <c r="E1145" s="1" t="s">
        <v>21</v>
      </c>
      <c r="F1145" s="1" t="s">
        <v>5893</v>
      </c>
      <c r="G1145" s="6">
        <f>COUNTIF(F:F,Table2[[#This Row],[Form '#]])</f>
        <v>1</v>
      </c>
      <c r="H1145" s="1" t="s">
        <v>5894</v>
      </c>
      <c r="I1145" s="1" t="s">
        <v>127</v>
      </c>
      <c r="J1145" s="1" t="s">
        <v>76</v>
      </c>
      <c r="K1145" s="1" t="s">
        <v>4011</v>
      </c>
      <c r="L1145" s="1"/>
      <c r="M1145" s="6" t="str">
        <f>IF(Table2[[#This Row],[Corrected Form '#
 (If Duplicated)]]="",Table2[[#This Row],[Form '#]],Table2[[#This Row],[Corrected Form '#
 (If Duplicated)]])</f>
        <v>7818-26200</v>
      </c>
      <c r="N1145" s="1" t="s">
        <v>49</v>
      </c>
      <c r="O1145" s="6" t="str">
        <f>IF(Table2[[#This Row],[POG CONFIRMATION RECEIPT OF ORDER
(DATE &amp; TIME)]]="","No Confirmation","Received Confirmation")</f>
        <v>Received Confirmation</v>
      </c>
      <c r="P1145" s="6">
        <f ca="1">TODAY()-Table2[[#This Row],[DATE SENT TO POG]]</f>
        <v>221</v>
      </c>
      <c r="Q1145" s="6" t="s">
        <v>5803</v>
      </c>
      <c r="R11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5" s="2" t="str">
        <f>_xlfn.XLOOKUP(Table2[[#This Row],[Adjusted Form '#]],'[2]IN PROGRESS'!$D:$D,'[2]IN PROGRESS'!$M:$M,"Not Found")</f>
        <v>Not Found</v>
      </c>
      <c r="U1145" s="2" t="str">
        <f>_xlfn.XLOOKUP(Table2[[#This Row],[Adjusted Form '#]],[1]COMPLETED!$D:$D,[2]COMPLETED!$M:$M,"Not Found")</f>
        <v>Not Found</v>
      </c>
      <c r="V1145" s="17" t="str">
        <f>_xlfn.XLOOKUP(Table2[[#This Row],[Adjusted Form '#]],[2]COMPLETED!$D:$D,[2]COMPLETED!$O:$O,"Not Found")</f>
        <v>Not Found</v>
      </c>
      <c r="W1145" s="2" t="str">
        <f>_xlfn.XLOOKUP(Table2[[#This Row],[Adjusted Form '#]],[2]BILLED!$D:$D,[2]BILLED!$M:$M,"Not Found")</f>
        <v>1Z5063E0YW40185187</v>
      </c>
      <c r="X1145" s="17" t="e">
        <f>_xlfn.XLOOKUP(Table2[[#This Row],[Adjusted Form '#]],[2]BILLED!$D:$D,[1]BILLED!$O:$O,"Not Found")</f>
        <v>#REF!</v>
      </c>
      <c r="Y1145" s="17" t="e">
        <f>_xlfn.XLOOKUP(Table2[[#This Row],[Adjusted Form '#]],'[2]REJECTED ORDERS'!$D:$D,'[2]REJECTED ORDERS'!$E:$E)</f>
        <v>#N/A</v>
      </c>
      <c r="Z1145" s="1"/>
      <c r="AA1145" s="1"/>
    </row>
    <row r="1146" spans="1:27" ht="15" customHeight="1" x14ac:dyDescent="0.35">
      <c r="A1146" s="4" t="s">
        <v>1724</v>
      </c>
      <c r="B1146" s="1" t="s">
        <v>1326</v>
      </c>
      <c r="C1146" s="11">
        <v>45082</v>
      </c>
      <c r="D1146" s="11" t="s">
        <v>5916</v>
      </c>
      <c r="E1146" s="1" t="s">
        <v>21</v>
      </c>
      <c r="F1146" s="1" t="s">
        <v>5895</v>
      </c>
      <c r="G1146" s="6">
        <f>COUNTIF(F:F,Table2[[#This Row],[Form '#]])</f>
        <v>1</v>
      </c>
      <c r="H1146" s="1" t="s">
        <v>5896</v>
      </c>
      <c r="I1146" s="1" t="s">
        <v>3852</v>
      </c>
      <c r="J1146" s="1" t="s">
        <v>75</v>
      </c>
      <c r="K1146" s="1" t="s">
        <v>4011</v>
      </c>
      <c r="L1146" s="1"/>
      <c r="M1146" s="6" t="str">
        <f>IF(Table2[[#This Row],[Corrected Form '#
 (If Duplicated)]]="",Table2[[#This Row],[Form '#]],Table2[[#This Row],[Corrected Form '#
 (If Duplicated)]])</f>
        <v>7818-17082</v>
      </c>
      <c r="N1146" s="1" t="s">
        <v>49</v>
      </c>
      <c r="O1146" s="6" t="str">
        <f>IF(Table2[[#This Row],[POG CONFIRMATION RECEIPT OF ORDER
(DATE &amp; TIME)]]="","No Confirmation","Received Confirmation")</f>
        <v>Received Confirmation</v>
      </c>
      <c r="P1146" s="6">
        <f ca="1">TODAY()-Table2[[#This Row],[DATE SENT TO POG]]</f>
        <v>221</v>
      </c>
      <c r="Q1146" s="6" t="s">
        <v>5803</v>
      </c>
      <c r="R11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6" s="2" t="str">
        <f>_xlfn.XLOOKUP(Table2[[#This Row],[Adjusted Form '#]],'[2]IN PROGRESS'!$D:$D,'[2]IN PROGRESS'!$M:$M,"Not Found")</f>
        <v>Not Found</v>
      </c>
      <c r="U1146" s="2" t="str">
        <f>_xlfn.XLOOKUP(Table2[[#This Row],[Adjusted Form '#]],[1]COMPLETED!$D:$D,[2]COMPLETED!$M:$M,"Not Found")</f>
        <v>Not Found</v>
      </c>
      <c r="V1146" s="17" t="str">
        <f>_xlfn.XLOOKUP(Table2[[#This Row],[Adjusted Form '#]],[2]COMPLETED!$D:$D,[2]COMPLETED!$O:$O,"Not Found")</f>
        <v>Not Found</v>
      </c>
      <c r="W1146" s="2" t="str">
        <f>_xlfn.XLOOKUP(Table2[[#This Row],[Adjusted Form '#]],[2]BILLED!$D:$D,[2]BILLED!$M:$M,"Not Found")</f>
        <v>1Z5063E0YW41502206</v>
      </c>
      <c r="X1146" s="17" t="e">
        <f>_xlfn.XLOOKUP(Table2[[#This Row],[Adjusted Form '#]],[2]BILLED!$D:$D,[1]BILLED!$O:$O,"Not Found")</f>
        <v>#REF!</v>
      </c>
      <c r="Y1146" s="17" t="e">
        <f>_xlfn.XLOOKUP(Table2[[#This Row],[Adjusted Form '#]],'[2]REJECTED ORDERS'!$D:$D,'[2]REJECTED ORDERS'!$E:$E)</f>
        <v>#N/A</v>
      </c>
      <c r="Z1146" s="1"/>
      <c r="AA1146" s="1"/>
    </row>
    <row r="1147" spans="1:27" ht="15" customHeight="1" x14ac:dyDescent="0.35">
      <c r="A1147" s="4" t="s">
        <v>1726</v>
      </c>
      <c r="B1147" s="1" t="s">
        <v>1326</v>
      </c>
      <c r="C1147" s="11">
        <v>45082</v>
      </c>
      <c r="D1147" s="11" t="s">
        <v>5916</v>
      </c>
      <c r="E1147" s="1" t="s">
        <v>21</v>
      </c>
      <c r="F1147" s="1" t="s">
        <v>5897</v>
      </c>
      <c r="G1147" s="6">
        <f>COUNTIF(F:F,Table2[[#This Row],[Form '#]])</f>
        <v>1</v>
      </c>
      <c r="H1147" s="1" t="s">
        <v>5898</v>
      </c>
      <c r="I1147" s="1" t="s">
        <v>127</v>
      </c>
      <c r="J1147" s="1" t="s">
        <v>76</v>
      </c>
      <c r="K1147" s="1" t="s">
        <v>3883</v>
      </c>
      <c r="L1147" s="1"/>
      <c r="M1147" s="6" t="str">
        <f>IF(Table2[[#This Row],[Corrected Form '#
 (If Duplicated)]]="",Table2[[#This Row],[Form '#]],Table2[[#This Row],[Corrected Form '#
 (If Duplicated)]])</f>
        <v>7818-27169</v>
      </c>
      <c r="N1147" s="1" t="s">
        <v>49</v>
      </c>
      <c r="O1147" s="6" t="str">
        <f>IF(Table2[[#This Row],[POG CONFIRMATION RECEIPT OF ORDER
(DATE &amp; TIME)]]="","No Confirmation","Received Confirmation")</f>
        <v>Received Confirmation</v>
      </c>
      <c r="P1147" s="6">
        <f ca="1">TODAY()-Table2[[#This Row],[DATE SENT TO POG]]</f>
        <v>221</v>
      </c>
      <c r="Q1147" s="6" t="s">
        <v>5803</v>
      </c>
      <c r="R11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7" s="2" t="str">
        <f>_xlfn.XLOOKUP(Table2[[#This Row],[Adjusted Form '#]],'[2]IN PROGRESS'!$D:$D,'[2]IN PROGRESS'!$M:$M,"Not Found")</f>
        <v>Not Found</v>
      </c>
      <c r="U1147" s="2" t="str">
        <f>_xlfn.XLOOKUP(Table2[[#This Row],[Adjusted Form '#]],[1]COMPLETED!$D:$D,[2]COMPLETED!$M:$M,"Not Found")</f>
        <v>Not Found</v>
      </c>
      <c r="V1147" s="17" t="str">
        <f>_xlfn.XLOOKUP(Table2[[#This Row],[Adjusted Form '#]],[2]COMPLETED!$D:$D,[2]COMPLETED!$O:$O,"Not Found")</f>
        <v>Not Found</v>
      </c>
      <c r="W1147" s="2" t="str">
        <f>_xlfn.XLOOKUP(Table2[[#This Row],[Adjusted Form '#]],[2]BILLED!$D:$D,[2]BILLED!$M:$M,"Not Found")</f>
        <v>1Z5063E0YW41000598</v>
      </c>
      <c r="X1147" s="17" t="e">
        <f>_xlfn.XLOOKUP(Table2[[#This Row],[Adjusted Form '#]],[2]BILLED!$D:$D,[1]BILLED!$O:$O,"Not Found")</f>
        <v>#REF!</v>
      </c>
      <c r="Y1147" s="17" t="e">
        <f>_xlfn.XLOOKUP(Table2[[#This Row],[Adjusted Form '#]],'[2]REJECTED ORDERS'!$D:$D,'[2]REJECTED ORDERS'!$E:$E)</f>
        <v>#N/A</v>
      </c>
      <c r="Z1147" s="1"/>
      <c r="AA1147" s="1"/>
    </row>
    <row r="1148" spans="1:27" ht="15" customHeight="1" x14ac:dyDescent="0.35">
      <c r="A1148" s="4" t="s">
        <v>1727</v>
      </c>
      <c r="B1148" s="1" t="s">
        <v>1326</v>
      </c>
      <c r="C1148" s="11">
        <v>45082</v>
      </c>
      <c r="D1148" s="11" t="s">
        <v>5916</v>
      </c>
      <c r="E1148" s="1" t="s">
        <v>21</v>
      </c>
      <c r="F1148" s="1" t="s">
        <v>5899</v>
      </c>
      <c r="G1148" s="6">
        <f>COUNTIF(F:F,Table2[[#This Row],[Form '#]])</f>
        <v>1</v>
      </c>
      <c r="H1148" s="1" t="s">
        <v>5900</v>
      </c>
      <c r="I1148" s="1" t="s">
        <v>3852</v>
      </c>
      <c r="J1148" s="1" t="s">
        <v>80</v>
      </c>
      <c r="K1148" s="1" t="s">
        <v>3853</v>
      </c>
      <c r="L1148" s="1"/>
      <c r="M1148" s="6" t="str">
        <f>IF(Table2[[#This Row],[Corrected Form '#
 (If Duplicated)]]="",Table2[[#This Row],[Form '#]],Table2[[#This Row],[Corrected Form '#
 (If Duplicated)]])</f>
        <v>7818-26583</v>
      </c>
      <c r="N1148" s="1" t="s">
        <v>49</v>
      </c>
      <c r="O1148" s="6" t="str">
        <f>IF(Table2[[#This Row],[POG CONFIRMATION RECEIPT OF ORDER
(DATE &amp; TIME)]]="","No Confirmation","Received Confirmation")</f>
        <v>Received Confirmation</v>
      </c>
      <c r="P1148" s="6">
        <f ca="1">TODAY()-Table2[[#This Row],[DATE SENT TO POG]]</f>
        <v>221</v>
      </c>
      <c r="Q1148" s="6" t="s">
        <v>5803</v>
      </c>
      <c r="R11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8" s="2" t="str">
        <f>_xlfn.XLOOKUP(Table2[[#This Row],[Adjusted Form '#]],'[2]IN PROGRESS'!$D:$D,'[2]IN PROGRESS'!$M:$M,"Not Found")</f>
        <v>Not Found</v>
      </c>
      <c r="U1148" s="2" t="str">
        <f>_xlfn.XLOOKUP(Table2[[#This Row],[Adjusted Form '#]],[1]COMPLETED!$D:$D,[2]COMPLETED!$M:$M,"Not Found")</f>
        <v>Not Found</v>
      </c>
      <c r="V1148" s="17" t="str">
        <f>_xlfn.XLOOKUP(Table2[[#This Row],[Adjusted Form '#]],[2]COMPLETED!$D:$D,[2]COMPLETED!$O:$O,"Not Found")</f>
        <v>Not Found</v>
      </c>
      <c r="W1148" s="2" t="str">
        <f>_xlfn.XLOOKUP(Table2[[#This Row],[Adjusted Form '#]],[2]BILLED!$D:$D,[2]BILLED!$M:$M,"Not Found")</f>
        <v>1Z5063E0YW41180028</v>
      </c>
      <c r="X1148" s="17" t="e">
        <f>_xlfn.XLOOKUP(Table2[[#This Row],[Adjusted Form '#]],[2]BILLED!$D:$D,[1]BILLED!$O:$O,"Not Found")</f>
        <v>#REF!</v>
      </c>
      <c r="Y1148" s="17" t="e">
        <f>_xlfn.XLOOKUP(Table2[[#This Row],[Adjusted Form '#]],'[2]REJECTED ORDERS'!$D:$D,'[2]REJECTED ORDERS'!$E:$E)</f>
        <v>#N/A</v>
      </c>
      <c r="Z1148" s="1"/>
      <c r="AA1148" s="1"/>
    </row>
    <row r="1149" spans="1:27" ht="15" customHeight="1" x14ac:dyDescent="0.35">
      <c r="A1149" s="4" t="s">
        <v>1728</v>
      </c>
      <c r="B1149" s="1" t="s">
        <v>1326</v>
      </c>
      <c r="C1149" s="11">
        <v>45082</v>
      </c>
      <c r="D1149" s="11" t="s">
        <v>5916</v>
      </c>
      <c r="E1149" s="1" t="s">
        <v>21</v>
      </c>
      <c r="F1149" s="1" t="s">
        <v>5901</v>
      </c>
      <c r="G1149" s="6">
        <f>COUNTIF(F:F,Table2[[#This Row],[Form '#]])</f>
        <v>1</v>
      </c>
      <c r="H1149" s="1" t="s">
        <v>5902</v>
      </c>
      <c r="I1149" s="1" t="s">
        <v>3852</v>
      </c>
      <c r="J1149" s="1" t="s">
        <v>80</v>
      </c>
      <c r="K1149" s="1" t="s">
        <v>3853</v>
      </c>
      <c r="L1149" s="1"/>
      <c r="M1149" s="6" t="str">
        <f>IF(Table2[[#This Row],[Corrected Form '#
 (If Duplicated)]]="",Table2[[#This Row],[Form '#]],Table2[[#This Row],[Corrected Form '#
 (If Duplicated)]])</f>
        <v>7818-21657</v>
      </c>
      <c r="N1149" s="1" t="s">
        <v>49</v>
      </c>
      <c r="O1149" s="6" t="str">
        <f>IF(Table2[[#This Row],[POG CONFIRMATION RECEIPT OF ORDER
(DATE &amp; TIME)]]="","No Confirmation","Received Confirmation")</f>
        <v>Received Confirmation</v>
      </c>
      <c r="P1149" s="6">
        <f ca="1">TODAY()-Table2[[#This Row],[DATE SENT TO POG]]</f>
        <v>221</v>
      </c>
      <c r="Q1149" s="6" t="s">
        <v>5803</v>
      </c>
      <c r="R11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49" s="2" t="str">
        <f>_xlfn.XLOOKUP(Table2[[#This Row],[Adjusted Form '#]],'[2]IN PROGRESS'!$D:$D,'[2]IN PROGRESS'!$M:$M,"Not Found")</f>
        <v>Not Found</v>
      </c>
      <c r="U1149" s="2" t="str">
        <f>_xlfn.XLOOKUP(Table2[[#This Row],[Adjusted Form '#]],[1]COMPLETED!$D:$D,[2]COMPLETED!$M:$M,"Not Found")</f>
        <v>Not Found</v>
      </c>
      <c r="V1149" s="17" t="str">
        <f>_xlfn.XLOOKUP(Table2[[#This Row],[Adjusted Form '#]],[2]COMPLETED!$D:$D,[2]COMPLETED!$O:$O,"Not Found")</f>
        <v>Not Found</v>
      </c>
      <c r="W1149" s="2" t="str">
        <f>_xlfn.XLOOKUP(Table2[[#This Row],[Adjusted Form '#]],[2]BILLED!$D:$D,[2]BILLED!$M:$M,"Not Found")</f>
        <v>1Z5063E0YW41353252</v>
      </c>
      <c r="X1149" s="17" t="e">
        <f>_xlfn.XLOOKUP(Table2[[#This Row],[Adjusted Form '#]],[2]BILLED!$D:$D,[1]BILLED!$O:$O,"Not Found")</f>
        <v>#REF!</v>
      </c>
      <c r="Y1149" s="17" t="e">
        <f>_xlfn.XLOOKUP(Table2[[#This Row],[Adjusted Form '#]],'[2]REJECTED ORDERS'!$D:$D,'[2]REJECTED ORDERS'!$E:$E)</f>
        <v>#N/A</v>
      </c>
      <c r="Z1149" s="1"/>
      <c r="AA1149" s="1"/>
    </row>
    <row r="1150" spans="1:27" ht="15" customHeight="1" x14ac:dyDescent="0.35">
      <c r="A1150" s="4" t="s">
        <v>1729</v>
      </c>
      <c r="B1150" s="1" t="s">
        <v>3466</v>
      </c>
      <c r="C1150" s="11">
        <v>45082</v>
      </c>
      <c r="D1150" s="11" t="s">
        <v>5916</v>
      </c>
      <c r="E1150" s="1" t="s">
        <v>21</v>
      </c>
      <c r="F1150" s="1" t="s">
        <v>5903</v>
      </c>
      <c r="G1150" s="6">
        <f>COUNTIF(F:F,Table2[[#This Row],[Form '#]])</f>
        <v>1</v>
      </c>
      <c r="H1150" s="1" t="s">
        <v>5904</v>
      </c>
      <c r="I1150" s="1" t="s">
        <v>127</v>
      </c>
      <c r="J1150" s="1" t="s">
        <v>3891</v>
      </c>
      <c r="K1150" s="20" t="s">
        <v>3883</v>
      </c>
      <c r="L1150" s="1"/>
      <c r="M1150" s="6" t="str">
        <f>IF(Table2[[#This Row],[Corrected Form '#
 (If Duplicated)]]="",Table2[[#This Row],[Form '#]],Table2[[#This Row],[Corrected Form '#
 (If Duplicated)]])</f>
        <v>7818-28005</v>
      </c>
      <c r="N1150" s="1" t="s">
        <v>49</v>
      </c>
      <c r="O1150" s="6" t="str">
        <f>IF(Table2[[#This Row],[POG CONFIRMATION RECEIPT OF ORDER
(DATE &amp; TIME)]]="","No Confirmation","Received Confirmation")</f>
        <v>Received Confirmation</v>
      </c>
      <c r="P1150" s="6">
        <f ca="1">TODAY()-Table2[[#This Row],[DATE SENT TO POG]]</f>
        <v>221</v>
      </c>
      <c r="Q1150" s="6" t="s">
        <v>5803</v>
      </c>
      <c r="R11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0" s="2" t="str">
        <f>_xlfn.XLOOKUP(Table2[[#This Row],[Adjusted Form '#]],'[2]IN PROGRESS'!$D:$D,'[2]IN PROGRESS'!$M:$M,"Not Found")</f>
        <v>Not Found</v>
      </c>
      <c r="U1150" s="2" t="str">
        <f>_xlfn.XLOOKUP(Table2[[#This Row],[Adjusted Form '#]],[1]COMPLETED!$D:$D,[2]COMPLETED!$M:$M,"Not Found")</f>
        <v>Not Found</v>
      </c>
      <c r="V1150" s="17" t="str">
        <f>_xlfn.XLOOKUP(Table2[[#This Row],[Adjusted Form '#]],[2]COMPLETED!$D:$D,[2]COMPLETED!$O:$O,"Not Found")</f>
        <v>Not Found</v>
      </c>
      <c r="W1150" s="2" t="str">
        <f>_xlfn.XLOOKUP(Table2[[#This Row],[Adjusted Form '#]],[2]BILLED!$D:$D,[2]BILLED!$M:$M,"Not Found")</f>
        <v>1Z5063E0YW41873557</v>
      </c>
      <c r="X1150" s="17" t="e">
        <f>_xlfn.XLOOKUP(Table2[[#This Row],[Adjusted Form '#]],[2]BILLED!$D:$D,[1]BILLED!$O:$O,"Not Found")</f>
        <v>#REF!</v>
      </c>
      <c r="Y1150" s="17" t="e">
        <f>_xlfn.XLOOKUP(Table2[[#This Row],[Adjusted Form '#]],'[2]REJECTED ORDERS'!$D:$D,'[2]REJECTED ORDERS'!$E:$E)</f>
        <v>#N/A</v>
      </c>
      <c r="Z1150" s="1"/>
      <c r="AA1150" s="1"/>
    </row>
    <row r="1151" spans="1:27" ht="15" customHeight="1" x14ac:dyDescent="0.35">
      <c r="A1151" s="4" t="s">
        <v>1731</v>
      </c>
      <c r="B1151" s="1" t="s">
        <v>2639</v>
      </c>
      <c r="C1151" s="11">
        <v>45082</v>
      </c>
      <c r="D1151" s="11" t="s">
        <v>5916</v>
      </c>
      <c r="E1151" s="1" t="s">
        <v>21</v>
      </c>
      <c r="F1151" s="1" t="s">
        <v>5905</v>
      </c>
      <c r="G1151" s="6">
        <f>COUNTIF(F:F,Table2[[#This Row],[Form '#]])</f>
        <v>1</v>
      </c>
      <c r="H1151" s="1" t="s">
        <v>5906</v>
      </c>
      <c r="I1151" s="1" t="s">
        <v>3864</v>
      </c>
      <c r="J1151" s="1" t="s">
        <v>78</v>
      </c>
      <c r="K1151" s="1" t="s">
        <v>3879</v>
      </c>
      <c r="L1151" s="1"/>
      <c r="M1151" s="6" t="str">
        <f>IF(Table2[[#This Row],[Corrected Form '#
 (If Duplicated)]]="",Table2[[#This Row],[Form '#]],Table2[[#This Row],[Corrected Form '#
 (If Duplicated)]])</f>
        <v>7818-01312</v>
      </c>
      <c r="N1151" s="1" t="s">
        <v>49</v>
      </c>
      <c r="O1151" s="6" t="str">
        <f>IF(Table2[[#This Row],[POG CONFIRMATION RECEIPT OF ORDER
(DATE &amp; TIME)]]="","No Confirmation","Received Confirmation")</f>
        <v>Received Confirmation</v>
      </c>
      <c r="P1151" s="6">
        <f ca="1">TODAY()-Table2[[#This Row],[DATE SENT TO POG]]</f>
        <v>221</v>
      </c>
      <c r="Q1151" s="6" t="s">
        <v>5803</v>
      </c>
      <c r="R11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1" s="2" t="str">
        <f>_xlfn.XLOOKUP(Table2[[#This Row],[Adjusted Form '#]],'[2]IN PROGRESS'!$D:$D,'[2]IN PROGRESS'!$M:$M,"Not Found")</f>
        <v>Not Found</v>
      </c>
      <c r="U1151" s="2" t="str">
        <f>_xlfn.XLOOKUP(Table2[[#This Row],[Adjusted Form '#]],[1]COMPLETED!$D:$D,[2]COMPLETED!$M:$M,"Not Found")</f>
        <v>Not Found</v>
      </c>
      <c r="V1151" s="17" t="str">
        <f>_xlfn.XLOOKUP(Table2[[#This Row],[Adjusted Form '#]],[2]COMPLETED!$D:$D,[2]COMPLETED!$O:$O,"Not Found")</f>
        <v>Not Found</v>
      </c>
      <c r="W1151" s="2" t="str">
        <f>_xlfn.XLOOKUP(Table2[[#This Row],[Adjusted Form '#]],[2]BILLED!$D:$D,[2]BILLED!$M:$M,"Not Found")</f>
        <v>1Z5063E0YW40163076</v>
      </c>
      <c r="X1151" s="17" t="e">
        <f>_xlfn.XLOOKUP(Table2[[#This Row],[Adjusted Form '#]],[2]BILLED!$D:$D,[1]BILLED!$O:$O,"Not Found")</f>
        <v>#REF!</v>
      </c>
      <c r="Y1151" s="17" t="e">
        <f>_xlfn.XLOOKUP(Table2[[#This Row],[Adjusted Form '#]],'[2]REJECTED ORDERS'!$D:$D,'[2]REJECTED ORDERS'!$E:$E)</f>
        <v>#N/A</v>
      </c>
      <c r="Z1151" s="1"/>
      <c r="AA1151" s="1"/>
    </row>
    <row r="1152" spans="1:27" ht="15" customHeight="1" x14ac:dyDescent="0.35">
      <c r="A1152" s="4" t="s">
        <v>1734</v>
      </c>
      <c r="B1152" s="1" t="s">
        <v>225</v>
      </c>
      <c r="C1152" s="11">
        <v>45083</v>
      </c>
      <c r="D1152" s="11" t="s">
        <v>5917</v>
      </c>
      <c r="E1152" s="1" t="s">
        <v>21</v>
      </c>
      <c r="F1152" s="1" t="s">
        <v>5907</v>
      </c>
      <c r="G1152" s="6">
        <f>COUNTIF(F:F,Table2[[#This Row],[Form '#]])</f>
        <v>1</v>
      </c>
      <c r="H1152" s="1" t="s">
        <v>1370</v>
      </c>
      <c r="I1152" s="1" t="s">
        <v>3864</v>
      </c>
      <c r="J1152" s="1" t="s">
        <v>78</v>
      </c>
      <c r="K1152" s="1" t="s">
        <v>3879</v>
      </c>
      <c r="L1152" s="1"/>
      <c r="M1152" s="6" t="str">
        <f>IF(Table2[[#This Row],[Corrected Form '#
 (If Duplicated)]]="",Table2[[#This Row],[Form '#]],Table2[[#This Row],[Corrected Form '#
 (If Duplicated)]])</f>
        <v>7818-30795</v>
      </c>
      <c r="N1152" s="1" t="s">
        <v>49</v>
      </c>
      <c r="O1152" s="6" t="str">
        <f>IF(Table2[[#This Row],[POG CONFIRMATION RECEIPT OF ORDER
(DATE &amp; TIME)]]="","No Confirmation","Received Confirmation")</f>
        <v>Received Confirmation</v>
      </c>
      <c r="P1152" s="6">
        <f ca="1">TODAY()-Table2[[#This Row],[DATE SENT TO POG]]</f>
        <v>220</v>
      </c>
      <c r="Q1152" s="6" t="s">
        <v>5803</v>
      </c>
      <c r="R11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2" s="2" t="str">
        <f>_xlfn.XLOOKUP(Table2[[#This Row],[Adjusted Form '#]],'[2]IN PROGRESS'!$D:$D,'[2]IN PROGRESS'!$M:$M,"Not Found")</f>
        <v>Not Found</v>
      </c>
      <c r="U1152" s="2" t="str">
        <f>_xlfn.XLOOKUP(Table2[[#This Row],[Adjusted Form '#]],[1]COMPLETED!$D:$D,[2]COMPLETED!$M:$M,"Not Found")</f>
        <v>Not Found</v>
      </c>
      <c r="V1152" s="17" t="str">
        <f>_xlfn.XLOOKUP(Table2[[#This Row],[Adjusted Form '#]],[2]COMPLETED!$D:$D,[2]COMPLETED!$O:$O,"Not Found")</f>
        <v>Not Found</v>
      </c>
      <c r="W1152" s="2" t="str">
        <f>_xlfn.XLOOKUP(Table2[[#This Row],[Adjusted Form '#]],[2]BILLED!$D:$D,[2]BILLED!$M:$M,"Not Found")</f>
        <v>1Z5063E0YW41643251</v>
      </c>
      <c r="X1152" s="17" t="e">
        <f>_xlfn.XLOOKUP(Table2[[#This Row],[Adjusted Form '#]],[2]BILLED!$D:$D,[1]BILLED!$O:$O,"Not Found")</f>
        <v>#REF!</v>
      </c>
      <c r="Y1152" s="17" t="e">
        <f>_xlfn.XLOOKUP(Table2[[#This Row],[Adjusted Form '#]],'[2]REJECTED ORDERS'!$D:$D,'[2]REJECTED ORDERS'!$E:$E)</f>
        <v>#N/A</v>
      </c>
      <c r="Z1152" s="1"/>
      <c r="AA1152" s="1"/>
    </row>
    <row r="1153" spans="1:27" ht="15" customHeight="1" x14ac:dyDescent="0.35">
      <c r="A1153" s="4" t="s">
        <v>1735</v>
      </c>
      <c r="B1153" s="1" t="s">
        <v>225</v>
      </c>
      <c r="C1153" s="11">
        <v>45083</v>
      </c>
      <c r="D1153" s="11" t="s">
        <v>5917</v>
      </c>
      <c r="E1153" s="1" t="s">
        <v>21</v>
      </c>
      <c r="F1153" s="1" t="s">
        <v>5908</v>
      </c>
      <c r="G1153" s="6">
        <f>COUNTIF(F:F,Table2[[#This Row],[Form '#]])</f>
        <v>1</v>
      </c>
      <c r="H1153" s="1" t="s">
        <v>320</v>
      </c>
      <c r="I1153" s="1" t="s">
        <v>127</v>
      </c>
      <c r="J1153" s="1" t="s">
        <v>71</v>
      </c>
      <c r="K1153" s="1" t="s">
        <v>3883</v>
      </c>
      <c r="L1153" s="1"/>
      <c r="M1153" s="6" t="str">
        <f>IF(Table2[[#This Row],[Corrected Form '#
 (If Duplicated)]]="",Table2[[#This Row],[Form '#]],Table2[[#This Row],[Corrected Form '#
 (If Duplicated)]])</f>
        <v>7818-26088</v>
      </c>
      <c r="N1153" s="1" t="s">
        <v>49</v>
      </c>
      <c r="O1153" s="6" t="str">
        <f>IF(Table2[[#This Row],[POG CONFIRMATION RECEIPT OF ORDER
(DATE &amp; TIME)]]="","No Confirmation","Received Confirmation")</f>
        <v>Received Confirmation</v>
      </c>
      <c r="P1153" s="6">
        <f ca="1">TODAY()-Table2[[#This Row],[DATE SENT TO POG]]</f>
        <v>220</v>
      </c>
      <c r="Q1153" s="6" t="s">
        <v>5803</v>
      </c>
      <c r="R11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3" s="2" t="str">
        <f>_xlfn.XLOOKUP(Table2[[#This Row],[Adjusted Form '#]],'[2]IN PROGRESS'!$D:$D,'[2]IN PROGRESS'!$M:$M,"Not Found")</f>
        <v>Not Found</v>
      </c>
      <c r="U1153" s="2" t="str">
        <f>_xlfn.XLOOKUP(Table2[[#This Row],[Adjusted Form '#]],[1]COMPLETED!$D:$D,[2]COMPLETED!$M:$M,"Not Found")</f>
        <v>Not Found</v>
      </c>
      <c r="V1153" s="17" t="str">
        <f>_xlfn.XLOOKUP(Table2[[#This Row],[Adjusted Form '#]],[2]COMPLETED!$D:$D,[2]COMPLETED!$O:$O,"Not Found")</f>
        <v>Not Found</v>
      </c>
      <c r="W1153" s="2" t="str">
        <f>_xlfn.XLOOKUP(Table2[[#This Row],[Adjusted Form '#]],[2]BILLED!$D:$D,[2]BILLED!$M:$M,"Not Found")</f>
        <v>1Z5063E0YW41737614</v>
      </c>
      <c r="X1153" s="17" t="e">
        <f>_xlfn.XLOOKUP(Table2[[#This Row],[Adjusted Form '#]],[2]BILLED!$D:$D,[1]BILLED!$O:$O,"Not Found")</f>
        <v>#REF!</v>
      </c>
      <c r="Y1153" s="17" t="e">
        <f>_xlfn.XLOOKUP(Table2[[#This Row],[Adjusted Form '#]],'[2]REJECTED ORDERS'!$D:$D,'[2]REJECTED ORDERS'!$E:$E)</f>
        <v>#N/A</v>
      </c>
      <c r="Z1153" s="1"/>
      <c r="AA1153" s="1"/>
    </row>
    <row r="1154" spans="1:27" ht="15" customHeight="1" x14ac:dyDescent="0.35">
      <c r="A1154" s="4" t="s">
        <v>1736</v>
      </c>
      <c r="B1154" s="1" t="s">
        <v>225</v>
      </c>
      <c r="C1154" s="11">
        <v>45083</v>
      </c>
      <c r="D1154" s="11" t="s">
        <v>5917</v>
      </c>
      <c r="E1154" s="1" t="s">
        <v>21</v>
      </c>
      <c r="F1154" s="1" t="s">
        <v>5909</v>
      </c>
      <c r="G1154" s="6">
        <f>COUNTIF(F:F,Table2[[#This Row],[Form '#]])</f>
        <v>1</v>
      </c>
      <c r="H1154" s="1" t="s">
        <v>3161</v>
      </c>
      <c r="I1154" s="1" t="s">
        <v>3864</v>
      </c>
      <c r="J1154" s="1" t="s">
        <v>78</v>
      </c>
      <c r="K1154" s="1" t="s">
        <v>3879</v>
      </c>
      <c r="L1154" s="1"/>
      <c r="M1154" s="6" t="str">
        <f>IF(Table2[[#This Row],[Corrected Form '#
 (If Duplicated)]]="",Table2[[#This Row],[Form '#]],Table2[[#This Row],[Corrected Form '#
 (If Duplicated)]])</f>
        <v>7818-22960</v>
      </c>
      <c r="N1154" s="1" t="s">
        <v>49</v>
      </c>
      <c r="O1154" s="6" t="str">
        <f>IF(Table2[[#This Row],[POG CONFIRMATION RECEIPT OF ORDER
(DATE &amp; TIME)]]="","No Confirmation","Received Confirmation")</f>
        <v>Received Confirmation</v>
      </c>
      <c r="P1154" s="6">
        <f ca="1">TODAY()-Table2[[#This Row],[DATE SENT TO POG]]</f>
        <v>220</v>
      </c>
      <c r="Q1154" s="6" t="s">
        <v>5803</v>
      </c>
      <c r="R11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4" s="2" t="str">
        <f>_xlfn.XLOOKUP(Table2[[#This Row],[Adjusted Form '#]],'[2]IN PROGRESS'!$D:$D,'[2]IN PROGRESS'!$M:$M,"Not Found")</f>
        <v>Not Found</v>
      </c>
      <c r="U1154" s="2" t="str">
        <f>_xlfn.XLOOKUP(Table2[[#This Row],[Adjusted Form '#]],[1]COMPLETED!$D:$D,[2]COMPLETED!$M:$M,"Not Found")</f>
        <v>Not Found</v>
      </c>
      <c r="V1154" s="17" t="str">
        <f>_xlfn.XLOOKUP(Table2[[#This Row],[Adjusted Form '#]],[2]COMPLETED!$D:$D,[2]COMPLETED!$O:$O,"Not Found")</f>
        <v>Not Found</v>
      </c>
      <c r="W1154" s="2" t="str">
        <f>_xlfn.XLOOKUP(Table2[[#This Row],[Adjusted Form '#]],[2]BILLED!$D:$D,[2]BILLED!$M:$M,"Not Found")</f>
        <v>1Z5063E0YW42374013</v>
      </c>
      <c r="X1154" s="17" t="e">
        <f>_xlfn.XLOOKUP(Table2[[#This Row],[Adjusted Form '#]],[2]BILLED!$D:$D,[1]BILLED!$O:$O,"Not Found")</f>
        <v>#REF!</v>
      </c>
      <c r="Y1154" s="17" t="e">
        <f>_xlfn.XLOOKUP(Table2[[#This Row],[Adjusted Form '#]],'[2]REJECTED ORDERS'!$D:$D,'[2]REJECTED ORDERS'!$E:$E)</f>
        <v>#N/A</v>
      </c>
      <c r="Z1154" s="1"/>
      <c r="AA1154" s="1"/>
    </row>
    <row r="1155" spans="1:27" ht="15" customHeight="1" x14ac:dyDescent="0.35">
      <c r="A1155" s="4" t="s">
        <v>1738</v>
      </c>
      <c r="B1155" s="1" t="s">
        <v>225</v>
      </c>
      <c r="C1155" s="11">
        <v>45083</v>
      </c>
      <c r="D1155" s="11" t="s">
        <v>5917</v>
      </c>
      <c r="E1155" s="1" t="s">
        <v>21</v>
      </c>
      <c r="F1155" s="1" t="s">
        <v>5910</v>
      </c>
      <c r="G1155" s="6">
        <f>COUNTIF(F:F,Table2[[#This Row],[Form '#]])</f>
        <v>1</v>
      </c>
      <c r="H1155" s="1" t="s">
        <v>5911</v>
      </c>
      <c r="I1155" s="1" t="s">
        <v>3852</v>
      </c>
      <c r="J1155" s="1" t="s">
        <v>75</v>
      </c>
      <c r="K1155" s="1" t="s">
        <v>3853</v>
      </c>
      <c r="L1155" s="1"/>
      <c r="M1155" s="6" t="str">
        <f>IF(Table2[[#This Row],[Corrected Form '#
 (If Duplicated)]]="",Table2[[#This Row],[Form '#]],Table2[[#This Row],[Corrected Form '#
 (If Duplicated)]])</f>
        <v>7818-12124</v>
      </c>
      <c r="N1155" s="1" t="s">
        <v>49</v>
      </c>
      <c r="O1155" s="6" t="str">
        <f>IF(Table2[[#This Row],[POG CONFIRMATION RECEIPT OF ORDER
(DATE &amp; TIME)]]="","No Confirmation","Received Confirmation")</f>
        <v>Received Confirmation</v>
      </c>
      <c r="P1155" s="6">
        <f ca="1">TODAY()-Table2[[#This Row],[DATE SENT TO POG]]</f>
        <v>220</v>
      </c>
      <c r="Q1155" s="6" t="s">
        <v>5803</v>
      </c>
      <c r="R11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5" s="2" t="str">
        <f>_xlfn.XLOOKUP(Table2[[#This Row],[Adjusted Form '#]],'[2]IN PROGRESS'!$D:$D,'[2]IN PROGRESS'!$M:$M,"Not Found")</f>
        <v>Not Found</v>
      </c>
      <c r="U1155" s="2" t="str">
        <f>_xlfn.XLOOKUP(Table2[[#This Row],[Adjusted Form '#]],[1]COMPLETED!$D:$D,[2]COMPLETED!$M:$M,"Not Found")</f>
        <v>Not Found</v>
      </c>
      <c r="V1155" s="17" t="str">
        <f>_xlfn.XLOOKUP(Table2[[#This Row],[Adjusted Form '#]],[2]COMPLETED!$D:$D,[2]COMPLETED!$O:$O,"Not Found")</f>
        <v>Not Found</v>
      </c>
      <c r="W1155" s="2" t="str">
        <f>_xlfn.XLOOKUP(Table2[[#This Row],[Adjusted Form '#]],[2]BILLED!$D:$D,[2]BILLED!$M:$M,"Not Found")</f>
        <v>1Z5063E0YW40905176</v>
      </c>
      <c r="X1155" s="17" t="e">
        <f>_xlfn.XLOOKUP(Table2[[#This Row],[Adjusted Form '#]],[2]BILLED!$D:$D,[1]BILLED!$O:$O,"Not Found")</f>
        <v>#REF!</v>
      </c>
      <c r="Y1155" s="17" t="e">
        <f>_xlfn.XLOOKUP(Table2[[#This Row],[Adjusted Form '#]],'[2]REJECTED ORDERS'!$D:$D,'[2]REJECTED ORDERS'!$E:$E)</f>
        <v>#N/A</v>
      </c>
      <c r="Z1155" s="1"/>
      <c r="AA1155" s="1"/>
    </row>
    <row r="1156" spans="1:27" ht="15" customHeight="1" x14ac:dyDescent="0.35">
      <c r="A1156" s="4" t="s">
        <v>1740</v>
      </c>
      <c r="B1156" s="1" t="s">
        <v>2489</v>
      </c>
      <c r="C1156" s="11">
        <v>45083</v>
      </c>
      <c r="D1156" s="11" t="s">
        <v>5918</v>
      </c>
      <c r="E1156" s="1" t="s">
        <v>21</v>
      </c>
      <c r="F1156" s="1" t="s">
        <v>5912</v>
      </c>
      <c r="G1156" s="6">
        <f>COUNTIF(F:F,Table2[[#This Row],[Form '#]])</f>
        <v>1</v>
      </c>
      <c r="H1156" s="1" t="s">
        <v>5913</v>
      </c>
      <c r="I1156" s="1" t="s">
        <v>127</v>
      </c>
      <c r="J1156" s="1" t="s">
        <v>71</v>
      </c>
      <c r="K1156" s="1" t="s">
        <v>3883</v>
      </c>
      <c r="L1156" s="1"/>
      <c r="M1156" s="6" t="str">
        <f>IF(Table2[[#This Row],[Corrected Form '#
 (If Duplicated)]]="",Table2[[#This Row],[Form '#]],Table2[[#This Row],[Corrected Form '#
 (If Duplicated)]])</f>
        <v>7823-03030</v>
      </c>
      <c r="N1156" s="1" t="s">
        <v>49</v>
      </c>
      <c r="O1156" s="6" t="str">
        <f>IF(Table2[[#This Row],[POG CONFIRMATION RECEIPT OF ORDER
(DATE &amp; TIME)]]="","No Confirmation","Received Confirmation")</f>
        <v>Received Confirmation</v>
      </c>
      <c r="P1156" s="6">
        <f ca="1">TODAY()-Table2[[#This Row],[DATE SENT TO POG]]</f>
        <v>220</v>
      </c>
      <c r="Q1156" s="6" t="s">
        <v>5803</v>
      </c>
      <c r="R11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6" s="2" t="str">
        <f>_xlfn.XLOOKUP(Table2[[#This Row],[Adjusted Form '#]],'[2]IN PROGRESS'!$D:$D,'[2]IN PROGRESS'!$M:$M,"Not Found")</f>
        <v>Not Found</v>
      </c>
      <c r="U1156" s="2" t="str">
        <f>_xlfn.XLOOKUP(Table2[[#This Row],[Adjusted Form '#]],[1]COMPLETED!$D:$D,[2]COMPLETED!$M:$M,"Not Found")</f>
        <v>Not Found</v>
      </c>
      <c r="V1156" s="17" t="str">
        <f>_xlfn.XLOOKUP(Table2[[#This Row],[Adjusted Form '#]],[2]COMPLETED!$D:$D,[2]COMPLETED!$O:$O,"Not Found")</f>
        <v>Not Found</v>
      </c>
      <c r="W1156" s="2" t="str">
        <f>_xlfn.XLOOKUP(Table2[[#This Row],[Adjusted Form '#]],[2]BILLED!$D:$D,[2]BILLED!$M:$M,"Not Found")</f>
        <v>1Z5063E0YW40693315</v>
      </c>
      <c r="X1156" s="17" t="e">
        <f>_xlfn.XLOOKUP(Table2[[#This Row],[Adjusted Form '#]],[2]BILLED!$D:$D,[1]BILLED!$O:$O,"Not Found")</f>
        <v>#REF!</v>
      </c>
      <c r="Y1156" s="17" t="e">
        <f>_xlfn.XLOOKUP(Table2[[#This Row],[Adjusted Form '#]],'[2]REJECTED ORDERS'!$D:$D,'[2]REJECTED ORDERS'!$E:$E)</f>
        <v>#N/A</v>
      </c>
      <c r="Z1156" s="1"/>
      <c r="AA1156" s="1"/>
    </row>
    <row r="1157" spans="1:27" ht="15" customHeight="1" x14ac:dyDescent="0.35">
      <c r="A1157" s="4" t="s">
        <v>1741</v>
      </c>
      <c r="B1157" s="1" t="s">
        <v>3528</v>
      </c>
      <c r="C1157" s="11">
        <v>45083</v>
      </c>
      <c r="E1157" s="1" t="s">
        <v>73</v>
      </c>
      <c r="F1157" s="1" t="s">
        <v>5914</v>
      </c>
      <c r="G1157" s="6">
        <f>COUNTIF(F:F,Table2[[#This Row],[Form '#]])</f>
        <v>1</v>
      </c>
      <c r="H1157" s="1" t="s">
        <v>5915</v>
      </c>
      <c r="I1157" s="1" t="s">
        <v>758</v>
      </c>
      <c r="J1157" s="1" t="s">
        <v>78</v>
      </c>
      <c r="K1157" s="1" t="s">
        <v>3853</v>
      </c>
      <c r="L1157" s="1"/>
      <c r="M1157" s="6" t="str">
        <f>IF(Table2[[#This Row],[Corrected Form '#
 (If Duplicated)]]="",Table2[[#This Row],[Form '#]],Table2[[#This Row],[Corrected Form '#
 (If Duplicated)]])</f>
        <v>7823-03376</v>
      </c>
      <c r="N1157" s="1" t="s">
        <v>49</v>
      </c>
      <c r="O1157" s="6" t="str">
        <f>IF(Table2[[#This Row],[POG CONFIRMATION RECEIPT OF ORDER
(DATE &amp; TIME)]]="","No Confirmation","Received Confirmation")</f>
        <v>No Confirmation</v>
      </c>
      <c r="P1157" s="6">
        <f ca="1">TODAY()-Table2[[#This Row],[DATE SENT TO POG]]</f>
        <v>220</v>
      </c>
      <c r="Q1157" s="6" t="s">
        <v>5802</v>
      </c>
      <c r="R11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5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57" s="2" t="str">
        <f>_xlfn.XLOOKUP(Table2[[#This Row],[Adjusted Form '#]],'[2]IN PROGRESS'!$D:$D,'[2]IN PROGRESS'!$M:$M,"Not Found")</f>
        <v>Not Found</v>
      </c>
      <c r="U1157" s="2" t="str">
        <f>_xlfn.XLOOKUP(Table2[[#This Row],[Adjusted Form '#]],[1]COMPLETED!$D:$D,[2]COMPLETED!$M:$M,"Not Found")</f>
        <v>Not Found</v>
      </c>
      <c r="V1157" s="17" t="str">
        <f>_xlfn.XLOOKUP(Table2[[#This Row],[Adjusted Form '#]],[2]COMPLETED!$D:$D,[2]COMPLETED!$O:$O,"Not Found")</f>
        <v>Not Found</v>
      </c>
      <c r="W1157" s="2" t="str">
        <f>_xlfn.XLOOKUP(Table2[[#This Row],[Adjusted Form '#]],[2]BILLED!$D:$D,[2]BILLED!$M:$M,"Not Found")</f>
        <v>Not Found</v>
      </c>
      <c r="X1157" s="17" t="str">
        <f>_xlfn.XLOOKUP(Table2[[#This Row],[Adjusted Form '#]],[2]BILLED!$D:$D,[1]BILLED!$O:$O,"Not Found")</f>
        <v>Not Found</v>
      </c>
      <c r="Y1157" s="17" t="e">
        <f>_xlfn.XLOOKUP(Table2[[#This Row],[Adjusted Form '#]],'[2]REJECTED ORDERS'!$D:$D,'[2]REJECTED ORDERS'!$E:$E)</f>
        <v>#N/A</v>
      </c>
      <c r="Z1157" s="1"/>
      <c r="AA1157" s="1"/>
    </row>
    <row r="1158" spans="1:27" ht="15" customHeight="1" x14ac:dyDescent="0.35">
      <c r="A1158" s="4" t="s">
        <v>1743</v>
      </c>
      <c r="B1158" s="1" t="s">
        <v>4506</v>
      </c>
      <c r="C1158" s="11">
        <v>45083</v>
      </c>
      <c r="D1158" s="11" t="s">
        <v>5921</v>
      </c>
      <c r="E1158" s="1" t="s">
        <v>21</v>
      </c>
      <c r="F1158" s="1" t="s">
        <v>5919</v>
      </c>
      <c r="G1158" s="6">
        <f>COUNTIF(F:F,Table2[[#This Row],[Form '#]])</f>
        <v>1</v>
      </c>
      <c r="H1158" s="1" t="s">
        <v>3099</v>
      </c>
      <c r="I1158" s="1" t="s">
        <v>3852</v>
      </c>
      <c r="J1158" s="1" t="s">
        <v>75</v>
      </c>
      <c r="K1158" s="1" t="s">
        <v>4011</v>
      </c>
      <c r="L1158" s="1"/>
      <c r="M1158" s="6" t="str">
        <f>IF(Table2[[#This Row],[Corrected Form '#
 (If Duplicated)]]="",Table2[[#This Row],[Form '#]],Table2[[#This Row],[Corrected Form '#
 (If Duplicated)]])</f>
        <v>7818-28499</v>
      </c>
      <c r="N1158" s="1" t="s">
        <v>49</v>
      </c>
      <c r="O1158" s="6" t="str">
        <f>IF(Table2[[#This Row],[POG CONFIRMATION RECEIPT OF ORDER
(DATE &amp; TIME)]]="","No Confirmation","Received Confirmation")</f>
        <v>Received Confirmation</v>
      </c>
      <c r="P1158" s="6">
        <f ca="1">TODAY()-Table2[[#This Row],[DATE SENT TO POG]]</f>
        <v>220</v>
      </c>
      <c r="Q1158" s="6" t="s">
        <v>5803</v>
      </c>
      <c r="R11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5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58" s="2" t="str">
        <f>_xlfn.XLOOKUP(Table2[[#This Row],[Adjusted Form '#]],'[2]IN PROGRESS'!$D:$D,'[2]IN PROGRESS'!$M:$M,"Not Found")</f>
        <v>Not Found</v>
      </c>
      <c r="U1158" s="2" t="str">
        <f>_xlfn.XLOOKUP(Table2[[#This Row],[Adjusted Form '#]],[1]COMPLETED!$D:$D,[2]COMPLETED!$M:$M,"Not Found")</f>
        <v>Not Found</v>
      </c>
      <c r="V1158" s="17">
        <f>_xlfn.XLOOKUP(Table2[[#This Row],[Adjusted Form '#]],[2]COMPLETED!$D:$D,[2]COMPLETED!$O:$O,"Not Found")</f>
        <v>0</v>
      </c>
      <c r="W1158" s="2" t="str">
        <f>_xlfn.XLOOKUP(Table2[[#This Row],[Adjusted Form '#]],[2]BILLED!$D:$D,[2]BILLED!$M:$M,"Not Found")</f>
        <v>Not Found</v>
      </c>
      <c r="X1158" s="17" t="str">
        <f>_xlfn.XLOOKUP(Table2[[#This Row],[Adjusted Form '#]],[2]BILLED!$D:$D,[1]BILLED!$O:$O,"Not Found")</f>
        <v>Not Found</v>
      </c>
      <c r="Y1158" s="17" t="e">
        <f>_xlfn.XLOOKUP(Table2[[#This Row],[Adjusted Form '#]],'[2]REJECTED ORDERS'!$D:$D,'[2]REJECTED ORDERS'!$E:$E)</f>
        <v>#N/A</v>
      </c>
      <c r="Z1158" s="1"/>
      <c r="AA1158" s="1"/>
    </row>
    <row r="1159" spans="1:27" ht="15" customHeight="1" x14ac:dyDescent="0.35">
      <c r="A1159" s="4" t="s">
        <v>1745</v>
      </c>
      <c r="B1159" s="1" t="s">
        <v>4506</v>
      </c>
      <c r="C1159" s="11">
        <v>45083</v>
      </c>
      <c r="D1159" s="11" t="s">
        <v>5921</v>
      </c>
      <c r="E1159" s="1" t="s">
        <v>21</v>
      </c>
      <c r="F1159" s="1" t="s">
        <v>5920</v>
      </c>
      <c r="G1159" s="6">
        <f>COUNTIF(F:F,Table2[[#This Row],[Form '#]])</f>
        <v>1</v>
      </c>
      <c r="H1159" s="1" t="s">
        <v>2610</v>
      </c>
      <c r="I1159" s="1" t="s">
        <v>127</v>
      </c>
      <c r="J1159" s="1" t="s">
        <v>76</v>
      </c>
      <c r="K1159" s="1" t="s">
        <v>3883</v>
      </c>
      <c r="L1159" s="1"/>
      <c r="M1159" s="6" t="str">
        <f>IF(Table2[[#This Row],[Corrected Form '#
 (If Duplicated)]]="",Table2[[#This Row],[Form '#]],Table2[[#This Row],[Corrected Form '#
 (If Duplicated)]])</f>
        <v>7818-27184</v>
      </c>
      <c r="N1159" s="1" t="s">
        <v>49</v>
      </c>
      <c r="O1159" s="6" t="str">
        <f>IF(Table2[[#This Row],[POG CONFIRMATION RECEIPT OF ORDER
(DATE &amp; TIME)]]="","No Confirmation","Received Confirmation")</f>
        <v>Received Confirmation</v>
      </c>
      <c r="P1159" s="6">
        <f ca="1">TODAY()-Table2[[#This Row],[DATE SENT TO POG]]</f>
        <v>220</v>
      </c>
      <c r="Q1159" s="6" t="s">
        <v>5803</v>
      </c>
      <c r="R11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59" s="2" t="str">
        <f>_xlfn.XLOOKUP(Table2[[#This Row],[Adjusted Form '#]],'[2]IN PROGRESS'!$D:$D,'[2]IN PROGRESS'!$M:$M,"Not Found")</f>
        <v>Not Found</v>
      </c>
      <c r="U1159" s="2" t="str">
        <f>_xlfn.XLOOKUP(Table2[[#This Row],[Adjusted Form '#]],[1]COMPLETED!$D:$D,[2]COMPLETED!$M:$M,"Not Found")</f>
        <v>Not Found</v>
      </c>
      <c r="V1159" s="17" t="str">
        <f>_xlfn.XLOOKUP(Table2[[#This Row],[Adjusted Form '#]],[2]COMPLETED!$D:$D,[2]COMPLETED!$O:$O,"Not Found")</f>
        <v>Not Found</v>
      </c>
      <c r="W1159" s="2" t="str">
        <f>_xlfn.XLOOKUP(Table2[[#This Row],[Adjusted Form '#]],[2]BILLED!$D:$D,[2]BILLED!$M:$M,"Not Found")</f>
        <v>9402 1112 0620 7626 2515 77</v>
      </c>
      <c r="X1159" s="17" t="e">
        <f>_xlfn.XLOOKUP(Table2[[#This Row],[Adjusted Form '#]],[2]BILLED!$D:$D,[1]BILLED!$O:$O,"Not Found")</f>
        <v>#REF!</v>
      </c>
      <c r="Y1159" s="17" t="e">
        <f>_xlfn.XLOOKUP(Table2[[#This Row],[Adjusted Form '#]],'[2]REJECTED ORDERS'!$D:$D,'[2]REJECTED ORDERS'!$E:$E)</f>
        <v>#N/A</v>
      </c>
      <c r="Z1159" s="1"/>
      <c r="AA1159" s="1"/>
    </row>
    <row r="1160" spans="1:27" ht="15" customHeight="1" x14ac:dyDescent="0.35">
      <c r="A1160" s="4" t="s">
        <v>1747</v>
      </c>
      <c r="B1160" s="1" t="s">
        <v>5922</v>
      </c>
      <c r="C1160" s="11">
        <v>45083</v>
      </c>
      <c r="D1160" s="11" t="s">
        <v>5933</v>
      </c>
      <c r="E1160" s="1" t="s">
        <v>73</v>
      </c>
      <c r="F1160" s="1" t="s">
        <v>5923</v>
      </c>
      <c r="G1160" s="6">
        <f>COUNTIF(F:F,Table2[[#This Row],[Form '#]])</f>
        <v>1</v>
      </c>
      <c r="H1160" s="1" t="s">
        <v>5924</v>
      </c>
      <c r="I1160" s="1" t="s">
        <v>3864</v>
      </c>
      <c r="J1160" s="1" t="s">
        <v>78</v>
      </c>
      <c r="K1160" s="1" t="s">
        <v>3879</v>
      </c>
      <c r="L1160" s="1"/>
      <c r="M1160" s="6" t="str">
        <f>IF(Table2[[#This Row],[Corrected Form '#
 (If Duplicated)]]="",Table2[[#This Row],[Form '#]],Table2[[#This Row],[Corrected Form '#
 (If Duplicated)]])</f>
        <v>7823-03027</v>
      </c>
      <c r="N1160" s="1" t="s">
        <v>49</v>
      </c>
      <c r="O1160" s="6" t="str">
        <f>IF(Table2[[#This Row],[POG CONFIRMATION RECEIPT OF ORDER
(DATE &amp; TIME)]]="","No Confirmation","Received Confirmation")</f>
        <v>Received Confirmation</v>
      </c>
      <c r="P1160" s="6">
        <f ca="1">TODAY()-Table2[[#This Row],[DATE SENT TO POG]]</f>
        <v>220</v>
      </c>
      <c r="Q1160" s="6" t="s">
        <v>5803</v>
      </c>
      <c r="R11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0" s="2" t="str">
        <f>_xlfn.XLOOKUP(Table2[[#This Row],[Adjusted Form '#]],'[2]IN PROGRESS'!$D:$D,'[2]IN PROGRESS'!$M:$M,"Not Found")</f>
        <v>Not Found</v>
      </c>
      <c r="U1160" s="2" t="str">
        <f>_xlfn.XLOOKUP(Table2[[#This Row],[Adjusted Form '#]],[1]COMPLETED!$D:$D,[2]COMPLETED!$M:$M,"Not Found")</f>
        <v>Not Found</v>
      </c>
      <c r="V1160" s="17" t="str">
        <f>_xlfn.XLOOKUP(Table2[[#This Row],[Adjusted Form '#]],[2]COMPLETED!$D:$D,[2]COMPLETED!$O:$O,"Not Found")</f>
        <v>Not Found</v>
      </c>
      <c r="W1160" s="2" t="str">
        <f>_xlfn.XLOOKUP(Table2[[#This Row],[Adjusted Form '#]],[2]BILLED!$D:$D,[2]BILLED!$M:$M,"Not Found")</f>
        <v>9402 1112 0620 7695 4713 71</v>
      </c>
      <c r="X1160" s="17" t="e">
        <f>_xlfn.XLOOKUP(Table2[[#This Row],[Adjusted Form '#]],[2]BILLED!$D:$D,[1]BILLED!$O:$O,"Not Found")</f>
        <v>#REF!</v>
      </c>
      <c r="Y1160" s="17" t="e">
        <f>_xlfn.XLOOKUP(Table2[[#This Row],[Adjusted Form '#]],'[2]REJECTED ORDERS'!$D:$D,'[2]REJECTED ORDERS'!$E:$E)</f>
        <v>#N/A</v>
      </c>
      <c r="Z1160" s="1"/>
      <c r="AA1160" s="1"/>
    </row>
    <row r="1161" spans="1:27" ht="15" customHeight="1" x14ac:dyDescent="0.35">
      <c r="A1161" s="4" t="s">
        <v>1748</v>
      </c>
      <c r="B1161" s="1" t="s">
        <v>5925</v>
      </c>
      <c r="C1161" s="11">
        <v>45083</v>
      </c>
      <c r="E1161" s="1" t="s">
        <v>73</v>
      </c>
      <c r="F1161" s="1" t="s">
        <v>5926</v>
      </c>
      <c r="G1161" s="6">
        <f>COUNTIF(F:F,Table2[[#This Row],[Form '#]])</f>
        <v>1</v>
      </c>
      <c r="H1161" s="1" t="s">
        <v>5927</v>
      </c>
      <c r="I1161" s="1" t="s">
        <v>177</v>
      </c>
      <c r="J1161" s="1" t="s">
        <v>3891</v>
      </c>
      <c r="K1161" s="1" t="s">
        <v>3853</v>
      </c>
      <c r="L1161" s="1"/>
      <c r="M1161" s="6" t="str">
        <f>IF(Table2[[#This Row],[Corrected Form '#
 (If Duplicated)]]="",Table2[[#This Row],[Form '#]],Table2[[#This Row],[Corrected Form '#
 (If Duplicated)]])</f>
        <v>7823-03007</v>
      </c>
      <c r="N1161" s="1" t="s">
        <v>49</v>
      </c>
      <c r="O1161" s="6" t="str">
        <f>IF(Table2[[#This Row],[POG CONFIRMATION RECEIPT OF ORDER
(DATE &amp; TIME)]]="","No Confirmation","Received Confirmation")</f>
        <v>No Confirmation</v>
      </c>
      <c r="P1161" s="6">
        <f ca="1">TODAY()-Table2[[#This Row],[DATE SENT TO POG]]</f>
        <v>220</v>
      </c>
      <c r="Q1161" s="6" t="s">
        <v>5803</v>
      </c>
      <c r="R11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1" s="2" t="str">
        <f>_xlfn.XLOOKUP(Table2[[#This Row],[Adjusted Form '#]],'[2]IN PROGRESS'!$D:$D,'[2]IN PROGRESS'!$M:$M,"Not Found")</f>
        <v>Not Found</v>
      </c>
      <c r="U1161" s="2" t="str">
        <f>_xlfn.XLOOKUP(Table2[[#This Row],[Adjusted Form '#]],[1]COMPLETED!$D:$D,[2]COMPLETED!$M:$M,"Not Found")</f>
        <v>Not Found</v>
      </c>
      <c r="V1161" s="17" t="str">
        <f>_xlfn.XLOOKUP(Table2[[#This Row],[Adjusted Form '#]],[2]COMPLETED!$D:$D,[2]COMPLETED!$O:$O,"Not Found")</f>
        <v>Not Found</v>
      </c>
      <c r="W1161" s="2" t="str">
        <f>_xlfn.XLOOKUP(Table2[[#This Row],[Adjusted Form '#]],[2]BILLED!$D:$D,[2]BILLED!$M:$M,"Not Found")</f>
        <v>9402 1112 0620 7696 9218 44</v>
      </c>
      <c r="X1161" s="17" t="e">
        <f>_xlfn.XLOOKUP(Table2[[#This Row],[Adjusted Form '#]],[2]BILLED!$D:$D,[1]BILLED!$O:$O,"Not Found")</f>
        <v>#REF!</v>
      </c>
      <c r="Y1161" s="17" t="e">
        <f>_xlfn.XLOOKUP(Table2[[#This Row],[Adjusted Form '#]],'[2]REJECTED ORDERS'!$D:$D,'[2]REJECTED ORDERS'!$E:$E)</f>
        <v>#N/A</v>
      </c>
      <c r="Z1161" s="1"/>
      <c r="AA1161" s="1"/>
    </row>
    <row r="1162" spans="1:27" ht="15" customHeight="1" x14ac:dyDescent="0.35">
      <c r="A1162" s="4" t="s">
        <v>1750</v>
      </c>
      <c r="B1162" s="1" t="s">
        <v>5925</v>
      </c>
      <c r="C1162" s="11">
        <v>45083</v>
      </c>
      <c r="D1162" s="11" t="s">
        <v>5933</v>
      </c>
      <c r="E1162" s="1" t="s">
        <v>73</v>
      </c>
      <c r="F1162" s="21" t="s">
        <v>5928</v>
      </c>
      <c r="G1162" s="6">
        <f>COUNTIF(F:F,Table2[[#This Row],[Form '#]])</f>
        <v>2</v>
      </c>
      <c r="H1162" s="1" t="s">
        <v>5929</v>
      </c>
      <c r="I1162" s="1" t="s">
        <v>3852</v>
      </c>
      <c r="J1162" s="1" t="s">
        <v>80</v>
      </c>
      <c r="K1162" s="1" t="s">
        <v>3853</v>
      </c>
      <c r="L1162" s="1"/>
      <c r="M1162" s="6" t="str">
        <f>IF(Table2[[#This Row],[Corrected Form '#
 (If Duplicated)]]="",Table2[[#This Row],[Form '#]],Table2[[#This Row],[Corrected Form '#
 (If Duplicated)]])</f>
        <v>7823-03029</v>
      </c>
      <c r="N1162" s="1" t="s">
        <v>49</v>
      </c>
      <c r="O1162" s="6" t="str">
        <f>IF(Table2[[#This Row],[POG CONFIRMATION RECEIPT OF ORDER
(DATE &amp; TIME)]]="","No Confirmation","Received Confirmation")</f>
        <v>Received Confirmation</v>
      </c>
      <c r="P1162" s="6">
        <f ca="1">TODAY()-Table2[[#This Row],[DATE SENT TO POG]]</f>
        <v>220</v>
      </c>
      <c r="Q1162" s="6" t="s">
        <v>5803</v>
      </c>
      <c r="R11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2" s="2" t="str">
        <f>_xlfn.XLOOKUP(Table2[[#This Row],[Adjusted Form '#]],'[2]IN PROGRESS'!$D:$D,'[2]IN PROGRESS'!$M:$M,"Not Found")</f>
        <v>Not Found</v>
      </c>
      <c r="U1162" s="2" t="str">
        <f>_xlfn.XLOOKUP(Table2[[#This Row],[Adjusted Form '#]],[1]COMPLETED!$D:$D,[2]COMPLETED!$M:$M,"Not Found")</f>
        <v>Not Found</v>
      </c>
      <c r="V1162" s="17" t="str">
        <f>_xlfn.XLOOKUP(Table2[[#This Row],[Adjusted Form '#]],[2]COMPLETED!$D:$D,[2]COMPLETED!$O:$O,"Not Found")</f>
        <v>Not Found</v>
      </c>
      <c r="W1162" s="2" t="str">
        <f>_xlfn.XLOOKUP(Table2[[#This Row],[Adjusted Form '#]],[2]BILLED!$D:$D,[2]BILLED!$M:$M,"Not Found")</f>
        <v>9402 1112 0620 7672 1872 26</v>
      </c>
      <c r="X1162" s="17" t="e">
        <f>_xlfn.XLOOKUP(Table2[[#This Row],[Adjusted Form '#]],[2]BILLED!$D:$D,[1]BILLED!$O:$O,"Not Found")</f>
        <v>#REF!</v>
      </c>
      <c r="Y1162" s="17" t="e">
        <f>_xlfn.XLOOKUP(Table2[[#This Row],[Adjusted Form '#]],'[2]REJECTED ORDERS'!$D:$D,'[2]REJECTED ORDERS'!$E:$E)</f>
        <v>#N/A</v>
      </c>
      <c r="Z1162" s="1"/>
      <c r="AA1162" s="1"/>
    </row>
    <row r="1163" spans="1:27" ht="15" customHeight="1" x14ac:dyDescent="0.35">
      <c r="A1163" s="4" t="s">
        <v>1751</v>
      </c>
      <c r="B1163" s="1" t="s">
        <v>1226</v>
      </c>
      <c r="C1163" s="11">
        <v>45084</v>
      </c>
      <c r="D1163" s="11" t="s">
        <v>5933</v>
      </c>
      <c r="E1163" s="1" t="s">
        <v>21</v>
      </c>
      <c r="F1163" s="1" t="s">
        <v>5930</v>
      </c>
      <c r="G1163" s="6">
        <f>COUNTIF(F:F,Table2[[#This Row],[Form '#]])</f>
        <v>1</v>
      </c>
      <c r="H1163" s="1" t="s">
        <v>698</v>
      </c>
      <c r="I1163" s="1" t="s">
        <v>3852</v>
      </c>
      <c r="J1163" s="1" t="s">
        <v>80</v>
      </c>
      <c r="K1163" s="1" t="s">
        <v>3853</v>
      </c>
      <c r="L1163" s="1"/>
      <c r="M1163" s="6" t="str">
        <f>IF(Table2[[#This Row],[Corrected Form '#
 (If Duplicated)]]="",Table2[[#This Row],[Form '#]],Table2[[#This Row],[Corrected Form '#
 (If Duplicated)]])</f>
        <v>7818-09307</v>
      </c>
      <c r="N1163" s="1" t="s">
        <v>49</v>
      </c>
      <c r="O1163" s="6" t="str">
        <f>IF(Table2[[#This Row],[POG CONFIRMATION RECEIPT OF ORDER
(DATE &amp; TIME)]]="","No Confirmation","Received Confirmation")</f>
        <v>Received Confirmation</v>
      </c>
      <c r="P1163" s="6">
        <f ca="1">TODAY()-Table2[[#This Row],[DATE SENT TO POG]]</f>
        <v>219</v>
      </c>
      <c r="Q1163" s="6" t="s">
        <v>5803</v>
      </c>
      <c r="R11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3" s="2" t="str">
        <f>_xlfn.XLOOKUP(Table2[[#This Row],[Adjusted Form '#]],'[2]IN PROGRESS'!$D:$D,'[2]IN PROGRESS'!$M:$M,"Not Found")</f>
        <v>Not Found</v>
      </c>
      <c r="U1163" s="2" t="str">
        <f>_xlfn.XLOOKUP(Table2[[#This Row],[Adjusted Form '#]],[1]COMPLETED!$D:$D,[2]COMPLETED!$M:$M,"Not Found")</f>
        <v>Not Found</v>
      </c>
      <c r="V1163" s="17" t="str">
        <f>_xlfn.XLOOKUP(Table2[[#This Row],[Adjusted Form '#]],[2]COMPLETED!$D:$D,[2]COMPLETED!$O:$O,"Not Found")</f>
        <v>Not Found</v>
      </c>
      <c r="W1163" s="2" t="str">
        <f>_xlfn.XLOOKUP(Table2[[#This Row],[Adjusted Form '#]],[2]BILLED!$D:$D,[2]BILLED!$M:$M,"Not Found")</f>
        <v>9402 1112 0620 7672 1848 74</v>
      </c>
      <c r="X1163" s="17" t="e">
        <f>_xlfn.XLOOKUP(Table2[[#This Row],[Adjusted Form '#]],[2]BILLED!$D:$D,[1]BILLED!$O:$O,"Not Found")</f>
        <v>#REF!</v>
      </c>
      <c r="Y1163" s="17" t="e">
        <f>_xlfn.XLOOKUP(Table2[[#This Row],[Adjusted Form '#]],'[2]REJECTED ORDERS'!$D:$D,'[2]REJECTED ORDERS'!$E:$E)</f>
        <v>#N/A</v>
      </c>
      <c r="Z1163" s="1"/>
      <c r="AA1163" s="1"/>
    </row>
    <row r="1164" spans="1:27" ht="15" customHeight="1" x14ac:dyDescent="0.35">
      <c r="A1164" s="4" t="s">
        <v>1752</v>
      </c>
      <c r="B1164" s="1" t="s">
        <v>1226</v>
      </c>
      <c r="C1164" s="11">
        <v>45084</v>
      </c>
      <c r="D1164" s="11" t="s">
        <v>5933</v>
      </c>
      <c r="E1164" s="1" t="s">
        <v>21</v>
      </c>
      <c r="F1164" s="1" t="s">
        <v>5931</v>
      </c>
      <c r="G1164" s="6">
        <f>COUNTIF(F:F,Table2[[#This Row],[Form '#]])</f>
        <v>1</v>
      </c>
      <c r="H1164" s="1" t="s">
        <v>5932</v>
      </c>
      <c r="I1164" s="1" t="s">
        <v>3852</v>
      </c>
      <c r="J1164" s="1" t="s">
        <v>75</v>
      </c>
      <c r="K1164" s="1" t="s">
        <v>3853</v>
      </c>
      <c r="L1164" s="1"/>
      <c r="M1164" s="6" t="str">
        <f>IF(Table2[[#This Row],[Corrected Form '#
 (If Duplicated)]]="",Table2[[#This Row],[Form '#]],Table2[[#This Row],[Corrected Form '#
 (If Duplicated)]])</f>
        <v>7818-20412</v>
      </c>
      <c r="N1164" s="1" t="s">
        <v>49</v>
      </c>
      <c r="O1164" s="6" t="str">
        <f>IF(Table2[[#This Row],[POG CONFIRMATION RECEIPT OF ORDER
(DATE &amp; TIME)]]="","No Confirmation","Received Confirmation")</f>
        <v>Received Confirmation</v>
      </c>
      <c r="P1164" s="6">
        <f ca="1">TODAY()-Table2[[#This Row],[DATE SENT TO POG]]</f>
        <v>219</v>
      </c>
      <c r="Q1164" s="6" t="s">
        <v>5803</v>
      </c>
      <c r="R11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4" s="2" t="str">
        <f>_xlfn.XLOOKUP(Table2[[#This Row],[Adjusted Form '#]],'[2]IN PROGRESS'!$D:$D,'[2]IN PROGRESS'!$M:$M,"Not Found")</f>
        <v>Not Found</v>
      </c>
      <c r="U1164" s="2" t="str">
        <f>_xlfn.XLOOKUP(Table2[[#This Row],[Adjusted Form '#]],[1]COMPLETED!$D:$D,[2]COMPLETED!$M:$M,"Not Found")</f>
        <v>Not Found</v>
      </c>
      <c r="V1164" s="17" t="str">
        <f>_xlfn.XLOOKUP(Table2[[#This Row],[Adjusted Form '#]],[2]COMPLETED!$D:$D,[2]COMPLETED!$O:$O,"Not Found")</f>
        <v>Not Found</v>
      </c>
      <c r="W1164" s="2" t="str">
        <f>_xlfn.XLOOKUP(Table2[[#This Row],[Adjusted Form '#]],[2]BILLED!$D:$D,[2]BILLED!$M:$M,"Not Found")</f>
        <v>9400 1112 0620 7626 2008 05</v>
      </c>
      <c r="X1164" s="17" t="e">
        <f>_xlfn.XLOOKUP(Table2[[#This Row],[Adjusted Form '#]],[2]BILLED!$D:$D,[1]BILLED!$O:$O,"Not Found")</f>
        <v>#REF!</v>
      </c>
      <c r="Y1164" s="17" t="e">
        <f>_xlfn.XLOOKUP(Table2[[#This Row],[Adjusted Form '#]],'[2]REJECTED ORDERS'!$D:$D,'[2]REJECTED ORDERS'!$E:$E)</f>
        <v>#N/A</v>
      </c>
      <c r="Z1164" s="1"/>
      <c r="AA1164" s="1"/>
    </row>
    <row r="1165" spans="1:27" ht="15" customHeight="1" x14ac:dyDescent="0.35">
      <c r="A1165" s="4" t="s">
        <v>1753</v>
      </c>
      <c r="B1165" s="1" t="s">
        <v>1149</v>
      </c>
      <c r="C1165" s="11">
        <v>45084</v>
      </c>
      <c r="D1165" s="11" t="s">
        <v>5935</v>
      </c>
      <c r="E1165" s="1" t="s">
        <v>191</v>
      </c>
      <c r="F1165" s="1" t="s">
        <v>5934</v>
      </c>
      <c r="G1165" s="6">
        <f>COUNTIF(F:F,Table2[[#This Row],[Form '#]])</f>
        <v>1</v>
      </c>
      <c r="H1165" s="1" t="s">
        <v>2401</v>
      </c>
      <c r="I1165" s="1" t="s">
        <v>177</v>
      </c>
      <c r="J1165" s="1" t="s">
        <v>3891</v>
      </c>
      <c r="K1165" s="1" t="s">
        <v>3853</v>
      </c>
      <c r="L1165" s="1"/>
      <c r="M1165" s="6" t="str">
        <f>IF(Table2[[#This Row],[Corrected Form '#
 (If Duplicated)]]="",Table2[[#This Row],[Form '#]],Table2[[#This Row],[Corrected Form '#
 (If Duplicated)]])</f>
        <v>7812-3534</v>
      </c>
      <c r="N1165" s="1" t="s">
        <v>49</v>
      </c>
      <c r="O1165" s="6" t="str">
        <f>IF(Table2[[#This Row],[POG CONFIRMATION RECEIPT OF ORDER
(DATE &amp; TIME)]]="","No Confirmation","Received Confirmation")</f>
        <v>Received Confirmation</v>
      </c>
      <c r="P1165" s="6">
        <f ca="1">TODAY()-Table2[[#This Row],[DATE SENT TO POG]]</f>
        <v>219</v>
      </c>
      <c r="Q1165" s="6" t="s">
        <v>5803</v>
      </c>
      <c r="R11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5" s="2" t="str">
        <f>_xlfn.XLOOKUP(Table2[[#This Row],[Adjusted Form '#]],'[2]IN PROGRESS'!$D:$D,'[2]IN PROGRESS'!$M:$M,"Not Found")</f>
        <v>Not Found</v>
      </c>
      <c r="U1165" s="2" t="str">
        <f>_xlfn.XLOOKUP(Table2[[#This Row],[Adjusted Form '#]],[1]COMPLETED!$D:$D,[2]COMPLETED!$M:$M,"Not Found")</f>
        <v>Not Found</v>
      </c>
      <c r="V1165" s="17" t="str">
        <f>_xlfn.XLOOKUP(Table2[[#This Row],[Adjusted Form '#]],[2]COMPLETED!$D:$D,[2]COMPLETED!$O:$O,"Not Found")</f>
        <v>Not Found</v>
      </c>
      <c r="W1165" s="2" t="str">
        <f>_xlfn.XLOOKUP(Table2[[#This Row],[Adjusted Form '#]],[2]BILLED!$D:$D,[2]BILLED!$M:$M,"Not Found")</f>
        <v>9402 1112 0620 7661 3060 72</v>
      </c>
      <c r="X1165" s="17" t="e">
        <f>_xlfn.XLOOKUP(Table2[[#This Row],[Adjusted Form '#]],[2]BILLED!$D:$D,[1]BILLED!$O:$O,"Not Found")</f>
        <v>#REF!</v>
      </c>
      <c r="Y1165" s="17" t="e">
        <f>_xlfn.XLOOKUP(Table2[[#This Row],[Adjusted Form '#]],'[2]REJECTED ORDERS'!$D:$D,'[2]REJECTED ORDERS'!$E:$E)</f>
        <v>#N/A</v>
      </c>
      <c r="Z1165" s="1"/>
      <c r="AA1165" s="1"/>
    </row>
    <row r="1166" spans="1:27" ht="14.5" customHeight="1" x14ac:dyDescent="0.35">
      <c r="A1166" s="4" t="s">
        <v>1754</v>
      </c>
      <c r="B1166" s="1" t="s">
        <v>287</v>
      </c>
      <c r="C1166" s="11">
        <v>45085</v>
      </c>
      <c r="E1166" s="1" t="s">
        <v>21</v>
      </c>
      <c r="F1166" s="21" t="s">
        <v>5987</v>
      </c>
      <c r="G1166" s="6">
        <f>COUNTIF(F:F,Table2[[#This Row],[Form '#]])</f>
        <v>2</v>
      </c>
      <c r="H1166" s="1" t="s">
        <v>5709</v>
      </c>
      <c r="I1166" s="1" t="s">
        <v>28</v>
      </c>
      <c r="J1166" s="1" t="s">
        <v>3891</v>
      </c>
      <c r="K1166" s="1" t="s">
        <v>4631</v>
      </c>
      <c r="L1166" s="1"/>
      <c r="M1166" s="6" t="str">
        <f>IF(Table2[[#This Row],[Corrected Form '#
 (If Duplicated)]]="",Table2[[#This Row],[Form '#]],Table2[[#This Row],[Corrected Form '#
 (If Duplicated)]])</f>
        <v>7818-29789</v>
      </c>
      <c r="N1166" s="1" t="s">
        <v>104</v>
      </c>
      <c r="O1166" s="6" t="str">
        <f>IF(Table2[[#This Row],[POG CONFIRMATION RECEIPT OF ORDER
(DATE &amp; TIME)]]="","No Confirmation","Received Confirmation")</f>
        <v>No Confirmation</v>
      </c>
      <c r="P1166" s="6">
        <f ca="1">TODAY()-Table2[[#This Row],[DATE SENT TO POG]]</f>
        <v>218</v>
      </c>
      <c r="Q1166" s="6" t="s">
        <v>5803</v>
      </c>
      <c r="R11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6" s="2" t="str">
        <f>_xlfn.XLOOKUP(Table2[[#This Row],[Adjusted Form '#]],'[2]IN PROGRESS'!$D:$D,'[2]IN PROGRESS'!$M:$M,"Not Found")</f>
        <v>Not Found</v>
      </c>
      <c r="U1166" s="2" t="str">
        <f>_xlfn.XLOOKUP(Table2[[#This Row],[Adjusted Form '#]],[1]COMPLETED!$D:$D,[2]COMPLETED!$M:$M,"Not Found")</f>
        <v>Not Found</v>
      </c>
      <c r="V1166" s="17" t="str">
        <f>_xlfn.XLOOKUP(Table2[[#This Row],[Adjusted Form '#]],[2]COMPLETED!$D:$D,[2]COMPLETED!$O:$O,"Not Found")</f>
        <v>Not Found</v>
      </c>
      <c r="W1166" s="2" t="str">
        <f>_xlfn.XLOOKUP(Table2[[#This Row],[Adjusted Form '#]],[2]BILLED!$D:$D,[2]BILLED!$M:$M,"Not Found")</f>
        <v>9400 1112 0620 7691 8333 66</v>
      </c>
      <c r="X1166" s="17" t="e">
        <f>_xlfn.XLOOKUP(Table2[[#This Row],[Adjusted Form '#]],[2]BILLED!$D:$D,[1]BILLED!$O:$O,"Not Found")</f>
        <v>#REF!</v>
      </c>
      <c r="Y1166" s="17" t="e">
        <f>_xlfn.XLOOKUP(Table2[[#This Row],[Adjusted Form '#]],'[2]REJECTED ORDERS'!$D:$D,'[2]REJECTED ORDERS'!$E:$E)</f>
        <v>#N/A</v>
      </c>
      <c r="Z1166" s="1"/>
      <c r="AA1166" s="1"/>
    </row>
    <row r="1167" spans="1:27" ht="15" customHeight="1" x14ac:dyDescent="0.35">
      <c r="A1167" s="4" t="s">
        <v>1755</v>
      </c>
      <c r="B1167" s="1" t="s">
        <v>1149</v>
      </c>
      <c r="C1167" s="11">
        <v>45085</v>
      </c>
      <c r="E1167" s="1" t="s">
        <v>21</v>
      </c>
      <c r="F1167" s="1" t="s">
        <v>5936</v>
      </c>
      <c r="G1167" s="6">
        <f>COUNTIF(F:F,Table2[[#This Row],[Form '#]])</f>
        <v>1</v>
      </c>
      <c r="H1167" s="1" t="s">
        <v>3316</v>
      </c>
      <c r="I1167" s="1" t="s">
        <v>3891</v>
      </c>
      <c r="J1167" s="1" t="s">
        <v>75</v>
      </c>
      <c r="K1167" s="1" t="s">
        <v>4430</v>
      </c>
      <c r="L1167" s="1"/>
      <c r="M1167" s="6" t="str">
        <f>IF(Table2[[#This Row],[Corrected Form '#
 (If Duplicated)]]="",Table2[[#This Row],[Form '#]],Table2[[#This Row],[Corrected Form '#
 (If Duplicated)]])</f>
        <v>7818-29790</v>
      </c>
      <c r="N1167" s="1" t="s">
        <v>104</v>
      </c>
      <c r="O1167" s="6" t="str">
        <f>IF(Table2[[#This Row],[POG CONFIRMATION RECEIPT OF ORDER
(DATE &amp; TIME)]]="","No Confirmation","Received Confirmation")</f>
        <v>No Confirmation</v>
      </c>
      <c r="P1167" s="6">
        <f ca="1">TODAY()-Table2[[#This Row],[DATE SENT TO POG]]</f>
        <v>218</v>
      </c>
      <c r="Q1167" s="6" t="s">
        <v>5803</v>
      </c>
      <c r="R11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6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67" s="2" t="str">
        <f>_xlfn.XLOOKUP(Table2[[#This Row],[Adjusted Form '#]],'[2]IN PROGRESS'!$D:$D,'[2]IN PROGRESS'!$M:$M,"Not Found")</f>
        <v>Not Found</v>
      </c>
      <c r="U1167" s="2" t="str">
        <f>_xlfn.XLOOKUP(Table2[[#This Row],[Adjusted Form '#]],[1]COMPLETED!$D:$D,[2]COMPLETED!$M:$M,"Not Found")</f>
        <v>Not Found</v>
      </c>
      <c r="V1167" s="17">
        <f>_xlfn.XLOOKUP(Table2[[#This Row],[Adjusted Form '#]],[2]COMPLETED!$D:$D,[2]COMPLETED!$O:$O,"Not Found")</f>
        <v>0</v>
      </c>
      <c r="W1167" s="2" t="str">
        <f>_xlfn.XLOOKUP(Table2[[#This Row],[Adjusted Form '#]],[2]BILLED!$D:$D,[2]BILLED!$M:$M,"Not Found")</f>
        <v>Not Found</v>
      </c>
      <c r="X1167" s="17" t="str">
        <f>_xlfn.XLOOKUP(Table2[[#This Row],[Adjusted Form '#]],[2]BILLED!$D:$D,[1]BILLED!$O:$O,"Not Found")</f>
        <v>Not Found</v>
      </c>
      <c r="Y1167" s="17" t="e">
        <f>_xlfn.XLOOKUP(Table2[[#This Row],[Adjusted Form '#]],'[2]REJECTED ORDERS'!$D:$D,'[2]REJECTED ORDERS'!$E:$E)</f>
        <v>#N/A</v>
      </c>
      <c r="Z1167" s="1"/>
      <c r="AA1167" s="1"/>
    </row>
    <row r="1168" spans="1:27" ht="15" customHeight="1" x14ac:dyDescent="0.35">
      <c r="A1168" s="4" t="s">
        <v>1756</v>
      </c>
      <c r="B1168" s="1" t="s">
        <v>1149</v>
      </c>
      <c r="C1168" s="11">
        <v>45085</v>
      </c>
      <c r="D1168" s="11" t="s">
        <v>5941</v>
      </c>
      <c r="E1168" s="1" t="s">
        <v>73</v>
      </c>
      <c r="F1168" s="1" t="s">
        <v>5937</v>
      </c>
      <c r="G1168" s="6">
        <f>COUNTIF(F:F,Table2[[#This Row],[Form '#]])</f>
        <v>1</v>
      </c>
      <c r="H1168" s="1" t="s">
        <v>5938</v>
      </c>
      <c r="I1168" s="1" t="s">
        <v>3852</v>
      </c>
      <c r="J1168" s="1" t="s">
        <v>80</v>
      </c>
      <c r="K1168" s="1" t="s">
        <v>4430</v>
      </c>
      <c r="L1168" s="1"/>
      <c r="M1168" s="6" t="str">
        <f>IF(Table2[[#This Row],[Corrected Form '#
 (If Duplicated)]]="",Table2[[#This Row],[Form '#]],Table2[[#This Row],[Corrected Form '#
 (If Duplicated)]])</f>
        <v>7823-02834</v>
      </c>
      <c r="N1168" s="1" t="s">
        <v>49</v>
      </c>
      <c r="O1168" s="6" t="str">
        <f>IF(Table2[[#This Row],[POG CONFIRMATION RECEIPT OF ORDER
(DATE &amp; TIME)]]="","No Confirmation","Received Confirmation")</f>
        <v>Received Confirmation</v>
      </c>
      <c r="P1168" s="6">
        <f ca="1">TODAY()-Table2[[#This Row],[DATE SENT TO POG]]</f>
        <v>218</v>
      </c>
      <c r="Q1168" s="6" t="s">
        <v>5803</v>
      </c>
      <c r="R11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8" s="2" t="str">
        <f>_xlfn.XLOOKUP(Table2[[#This Row],[Adjusted Form '#]],'[2]IN PROGRESS'!$D:$D,'[2]IN PROGRESS'!$M:$M,"Not Found")</f>
        <v>Not Found</v>
      </c>
      <c r="U1168" s="2" t="str">
        <f>_xlfn.XLOOKUP(Table2[[#This Row],[Adjusted Form '#]],[1]COMPLETED!$D:$D,[2]COMPLETED!$M:$M,"Not Found")</f>
        <v>Not Found</v>
      </c>
      <c r="V1168" s="17" t="str">
        <f>_xlfn.XLOOKUP(Table2[[#This Row],[Adjusted Form '#]],[2]COMPLETED!$D:$D,[2]COMPLETED!$O:$O,"Not Found")</f>
        <v>Not Found</v>
      </c>
      <c r="W1168" s="2" t="str">
        <f>_xlfn.XLOOKUP(Table2[[#This Row],[Adjusted Form '#]],[2]BILLED!$D:$D,[2]BILLED!$M:$M,"Not Found")</f>
        <v>9402 1112 0620 7671 6291 85</v>
      </c>
      <c r="X1168" s="17" t="e">
        <f>_xlfn.XLOOKUP(Table2[[#This Row],[Adjusted Form '#]],[2]BILLED!$D:$D,[1]BILLED!$O:$O,"Not Found")</f>
        <v>#REF!</v>
      </c>
      <c r="Y1168" s="17" t="e">
        <f>_xlfn.XLOOKUP(Table2[[#This Row],[Adjusted Form '#]],'[2]REJECTED ORDERS'!$D:$D,'[2]REJECTED ORDERS'!$E:$E)</f>
        <v>#N/A</v>
      </c>
      <c r="Z1168" s="1"/>
      <c r="AA1168" s="1"/>
    </row>
    <row r="1169" spans="1:27" ht="15" customHeight="1" x14ac:dyDescent="0.35">
      <c r="A1169" s="4" t="s">
        <v>1757</v>
      </c>
      <c r="B1169" s="1" t="s">
        <v>2479</v>
      </c>
      <c r="C1169" s="11">
        <v>45085</v>
      </c>
      <c r="D1169" s="11" t="s">
        <v>5941</v>
      </c>
      <c r="E1169" s="1" t="s">
        <v>73</v>
      </c>
      <c r="F1169" s="1" t="s">
        <v>5939</v>
      </c>
      <c r="G1169" s="6">
        <f>COUNTIF(F:F,Table2[[#This Row],[Form '#]])</f>
        <v>1</v>
      </c>
      <c r="H1169" s="1" t="s">
        <v>5940</v>
      </c>
      <c r="I1169" s="1" t="s">
        <v>3852</v>
      </c>
      <c r="J1169" s="1" t="s">
        <v>80</v>
      </c>
      <c r="K1169" s="1" t="s">
        <v>4011</v>
      </c>
      <c r="L1169" s="1"/>
      <c r="M1169" s="6" t="str">
        <f>IF(Table2[[#This Row],[Corrected Form '#
 (If Duplicated)]]="",Table2[[#This Row],[Form '#]],Table2[[#This Row],[Corrected Form '#
 (If Duplicated)]])</f>
        <v>7823-02599</v>
      </c>
      <c r="N1169" s="1" t="s">
        <v>49</v>
      </c>
      <c r="O1169" s="6" t="str">
        <f>IF(Table2[[#This Row],[POG CONFIRMATION RECEIPT OF ORDER
(DATE &amp; TIME)]]="","No Confirmation","Received Confirmation")</f>
        <v>Received Confirmation</v>
      </c>
      <c r="P1169" s="6">
        <f ca="1">TODAY()-Table2[[#This Row],[DATE SENT TO POG]]</f>
        <v>218</v>
      </c>
      <c r="Q1169" s="6" t="s">
        <v>5803</v>
      </c>
      <c r="R11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69" s="2" t="str">
        <f>_xlfn.XLOOKUP(Table2[[#This Row],[Adjusted Form '#]],'[2]IN PROGRESS'!$D:$D,'[2]IN PROGRESS'!$M:$M,"Not Found")</f>
        <v>Not Found</v>
      </c>
      <c r="U1169" s="2" t="str">
        <f>_xlfn.XLOOKUP(Table2[[#This Row],[Adjusted Form '#]],[1]COMPLETED!$D:$D,[2]COMPLETED!$M:$M,"Not Found")</f>
        <v>Not Found</v>
      </c>
      <c r="V1169" s="17" t="str">
        <f>_xlfn.XLOOKUP(Table2[[#This Row],[Adjusted Form '#]],[2]COMPLETED!$D:$D,[2]COMPLETED!$O:$O,"Not Found")</f>
        <v>Not Found</v>
      </c>
      <c r="W1169" s="2" t="str">
        <f>_xlfn.XLOOKUP(Table2[[#This Row],[Adjusted Form '#]],[2]BILLED!$D:$D,[2]BILLED!$M:$M,"Not Found")</f>
        <v>9402 1112 0620 7695 4539 40</v>
      </c>
      <c r="X1169" s="17" t="e">
        <f>_xlfn.XLOOKUP(Table2[[#This Row],[Adjusted Form '#]],[2]BILLED!$D:$D,[1]BILLED!$O:$O,"Not Found")</f>
        <v>#REF!</v>
      </c>
      <c r="Y1169" s="17" t="e">
        <f>_xlfn.XLOOKUP(Table2[[#This Row],[Adjusted Form '#]],'[2]REJECTED ORDERS'!$D:$D,'[2]REJECTED ORDERS'!$E:$E)</f>
        <v>#N/A</v>
      </c>
      <c r="Z1169" s="1"/>
      <c r="AA1169" s="1"/>
    </row>
    <row r="1170" spans="1:27" ht="15" customHeight="1" x14ac:dyDescent="0.35">
      <c r="A1170" s="4" t="s">
        <v>1758</v>
      </c>
      <c r="B1170" s="1" t="s">
        <v>259</v>
      </c>
      <c r="C1170" s="11">
        <v>45085</v>
      </c>
      <c r="D1170" s="11" t="s">
        <v>5955</v>
      </c>
      <c r="E1170" s="1" t="s">
        <v>21</v>
      </c>
      <c r="F1170" s="1" t="s">
        <v>5942</v>
      </c>
      <c r="G1170" s="6">
        <f>COUNTIF(F:F,Table2[[#This Row],[Form '#]])</f>
        <v>1</v>
      </c>
      <c r="H1170" s="1" t="s">
        <v>5943</v>
      </c>
      <c r="I1170" s="1" t="s">
        <v>3852</v>
      </c>
      <c r="J1170" s="1" t="s">
        <v>80</v>
      </c>
      <c r="K1170" s="1" t="s">
        <v>3853</v>
      </c>
      <c r="L1170" s="1"/>
      <c r="M1170" s="6" t="str">
        <f>IF(Table2[[#This Row],[Corrected Form '#
 (If Duplicated)]]="",Table2[[#This Row],[Form '#]],Table2[[#This Row],[Corrected Form '#
 (If Duplicated)]])</f>
        <v>7818-29799</v>
      </c>
      <c r="N1170" s="1" t="s">
        <v>49</v>
      </c>
      <c r="O1170" s="6" t="str">
        <f>IF(Table2[[#This Row],[POG CONFIRMATION RECEIPT OF ORDER
(DATE &amp; TIME)]]="","No Confirmation","Received Confirmation")</f>
        <v>Received Confirmation</v>
      </c>
      <c r="P1170" s="6">
        <f ca="1">TODAY()-Table2[[#This Row],[DATE SENT TO POG]]</f>
        <v>218</v>
      </c>
      <c r="Q1170" s="6" t="s">
        <v>5803</v>
      </c>
      <c r="R11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0" s="2" t="str">
        <f>_xlfn.XLOOKUP(Table2[[#This Row],[Adjusted Form '#]],'[2]IN PROGRESS'!$D:$D,'[2]IN PROGRESS'!$M:$M,"Not Found")</f>
        <v>Not Found</v>
      </c>
      <c r="U1170" s="2" t="str">
        <f>_xlfn.XLOOKUP(Table2[[#This Row],[Adjusted Form '#]],[1]COMPLETED!$D:$D,[2]COMPLETED!$M:$M,"Not Found")</f>
        <v>Not Found</v>
      </c>
      <c r="V1170" s="17" t="str">
        <f>_xlfn.XLOOKUP(Table2[[#This Row],[Adjusted Form '#]],[2]COMPLETED!$D:$D,[2]COMPLETED!$O:$O,"Not Found")</f>
        <v>Not Found</v>
      </c>
      <c r="W1170" s="2" t="str">
        <f>_xlfn.XLOOKUP(Table2[[#This Row],[Adjusted Form '#]],[2]BILLED!$D:$D,[2]BILLED!$M:$M,"Not Found")</f>
        <v>9400 1112 0620 7644 8715 37</v>
      </c>
      <c r="X1170" s="17" t="e">
        <f>_xlfn.XLOOKUP(Table2[[#This Row],[Adjusted Form '#]],[2]BILLED!$D:$D,[1]BILLED!$O:$O,"Not Found")</f>
        <v>#REF!</v>
      </c>
      <c r="Y1170" s="17" t="e">
        <f>_xlfn.XLOOKUP(Table2[[#This Row],[Adjusted Form '#]],'[2]REJECTED ORDERS'!$D:$D,'[2]REJECTED ORDERS'!$E:$E)</f>
        <v>#N/A</v>
      </c>
      <c r="Z1170" s="1"/>
      <c r="AA1170" s="1"/>
    </row>
    <row r="1171" spans="1:27" ht="15" customHeight="1" x14ac:dyDescent="0.35">
      <c r="A1171" s="4" t="s">
        <v>1760</v>
      </c>
      <c r="B1171" s="1" t="s">
        <v>259</v>
      </c>
      <c r="C1171" s="11">
        <v>45085</v>
      </c>
      <c r="D1171" s="11" t="s">
        <v>5955</v>
      </c>
      <c r="E1171" s="1" t="s">
        <v>21</v>
      </c>
      <c r="F1171" s="1" t="s">
        <v>5944</v>
      </c>
      <c r="G1171" s="6">
        <f>COUNTIF(F:F,Table2[[#This Row],[Form '#]])</f>
        <v>1</v>
      </c>
      <c r="H1171" s="1" t="s">
        <v>5945</v>
      </c>
      <c r="I1171" s="1" t="s">
        <v>3852</v>
      </c>
      <c r="J1171" s="1" t="s">
        <v>75</v>
      </c>
      <c r="K1171" s="1" t="s">
        <v>3853</v>
      </c>
      <c r="L1171" s="1"/>
      <c r="M1171" s="6" t="str">
        <f>IF(Table2[[#This Row],[Corrected Form '#
 (If Duplicated)]]="",Table2[[#This Row],[Form '#]],Table2[[#This Row],[Corrected Form '#
 (If Duplicated)]])</f>
        <v>7818-29536</v>
      </c>
      <c r="N1171" s="1" t="s">
        <v>49</v>
      </c>
      <c r="O1171" s="6" t="str">
        <f>IF(Table2[[#This Row],[POG CONFIRMATION RECEIPT OF ORDER
(DATE &amp; TIME)]]="","No Confirmation","Received Confirmation")</f>
        <v>Received Confirmation</v>
      </c>
      <c r="P1171" s="6">
        <f ca="1">TODAY()-Table2[[#This Row],[DATE SENT TO POG]]</f>
        <v>218</v>
      </c>
      <c r="Q1171" s="6" t="s">
        <v>5803</v>
      </c>
      <c r="R11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1" s="2" t="str">
        <f>_xlfn.XLOOKUP(Table2[[#This Row],[Adjusted Form '#]],'[2]IN PROGRESS'!$D:$D,'[2]IN PROGRESS'!$M:$M,"Not Found")</f>
        <v>Not Found</v>
      </c>
      <c r="U1171" s="2" t="str">
        <f>_xlfn.XLOOKUP(Table2[[#This Row],[Adjusted Form '#]],[1]COMPLETED!$D:$D,[2]COMPLETED!$M:$M,"Not Found")</f>
        <v>Not Found</v>
      </c>
      <c r="V1171" s="17" t="str">
        <f>_xlfn.XLOOKUP(Table2[[#This Row],[Adjusted Form '#]],[2]COMPLETED!$D:$D,[2]COMPLETED!$O:$O,"Not Found")</f>
        <v>Not Found</v>
      </c>
      <c r="W1171" s="2" t="str">
        <f>_xlfn.XLOOKUP(Table2[[#This Row],[Adjusted Form '#]],[2]BILLED!$D:$D,[2]BILLED!$M:$M,"Not Found")</f>
        <v>9400 1112 0620 7626 2826 03</v>
      </c>
      <c r="X1171" s="17" t="e">
        <f>_xlfn.XLOOKUP(Table2[[#This Row],[Adjusted Form '#]],[2]BILLED!$D:$D,[1]BILLED!$O:$O,"Not Found")</f>
        <v>#REF!</v>
      </c>
      <c r="Y1171" s="17" t="e">
        <f>_xlfn.XLOOKUP(Table2[[#This Row],[Adjusted Form '#]],'[2]REJECTED ORDERS'!$D:$D,'[2]REJECTED ORDERS'!$E:$E)</f>
        <v>#N/A</v>
      </c>
      <c r="Z1171" s="1"/>
      <c r="AA1171" s="1"/>
    </row>
    <row r="1172" spans="1:27" ht="15" customHeight="1" x14ac:dyDescent="0.35">
      <c r="A1172" s="4" t="s">
        <v>1761</v>
      </c>
      <c r="B1172" s="1" t="s">
        <v>259</v>
      </c>
      <c r="C1172" s="11">
        <v>45085</v>
      </c>
      <c r="D1172" s="11" t="s">
        <v>5955</v>
      </c>
      <c r="E1172" s="1" t="s">
        <v>21</v>
      </c>
      <c r="F1172" s="1" t="s">
        <v>5946</v>
      </c>
      <c r="G1172" s="6">
        <f>COUNTIF(F:F,Table2[[#This Row],[Form '#]])</f>
        <v>1</v>
      </c>
      <c r="H1172" s="1" t="s">
        <v>2739</v>
      </c>
      <c r="I1172" s="1" t="s">
        <v>3852</v>
      </c>
      <c r="J1172" s="1" t="s">
        <v>80</v>
      </c>
      <c r="K1172" s="1" t="s">
        <v>3853</v>
      </c>
      <c r="L1172" s="1"/>
      <c r="M1172" s="6" t="str">
        <f>IF(Table2[[#This Row],[Corrected Form '#
 (If Duplicated)]]="",Table2[[#This Row],[Form '#]],Table2[[#This Row],[Corrected Form '#
 (If Duplicated)]])</f>
        <v>7818-25293</v>
      </c>
      <c r="N1172" s="1" t="s">
        <v>49</v>
      </c>
      <c r="O1172" s="6" t="str">
        <f>IF(Table2[[#This Row],[POG CONFIRMATION RECEIPT OF ORDER
(DATE &amp; TIME)]]="","No Confirmation","Received Confirmation")</f>
        <v>Received Confirmation</v>
      </c>
      <c r="P1172" s="6">
        <f ca="1">TODAY()-Table2[[#This Row],[DATE SENT TO POG]]</f>
        <v>218</v>
      </c>
      <c r="Q1172" s="6" t="s">
        <v>5803</v>
      </c>
      <c r="R11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2" s="2" t="str">
        <f>_xlfn.XLOOKUP(Table2[[#This Row],[Adjusted Form '#]],'[2]IN PROGRESS'!$D:$D,'[2]IN PROGRESS'!$M:$M,"Not Found")</f>
        <v>Not Found</v>
      </c>
      <c r="U1172" s="2" t="str">
        <f>_xlfn.XLOOKUP(Table2[[#This Row],[Adjusted Form '#]],[1]COMPLETED!$D:$D,[2]COMPLETED!$M:$M,"Not Found")</f>
        <v>Not Found</v>
      </c>
      <c r="V1172" s="17" t="str">
        <f>_xlfn.XLOOKUP(Table2[[#This Row],[Adjusted Form '#]],[2]COMPLETED!$D:$D,[2]COMPLETED!$O:$O,"Not Found")</f>
        <v>Not Found</v>
      </c>
      <c r="W1172" s="2" t="str">
        <f>_xlfn.XLOOKUP(Table2[[#This Row],[Adjusted Form '#]],[2]BILLED!$D:$D,[2]BILLED!$M:$M,"Not Found")</f>
        <v>9402 1112 0620 7672 1507 56</v>
      </c>
      <c r="X1172" s="17" t="e">
        <f>_xlfn.XLOOKUP(Table2[[#This Row],[Adjusted Form '#]],[2]BILLED!$D:$D,[1]BILLED!$O:$O,"Not Found")</f>
        <v>#REF!</v>
      </c>
      <c r="Y1172" s="17" t="e">
        <f>_xlfn.XLOOKUP(Table2[[#This Row],[Adjusted Form '#]],'[2]REJECTED ORDERS'!$D:$D,'[2]REJECTED ORDERS'!$E:$E)</f>
        <v>#N/A</v>
      </c>
      <c r="Z1172" s="1"/>
      <c r="AA1172" s="1"/>
    </row>
    <row r="1173" spans="1:27" ht="15" customHeight="1" x14ac:dyDescent="0.35">
      <c r="A1173" s="4" t="s">
        <v>1762</v>
      </c>
      <c r="B1173" s="1" t="s">
        <v>259</v>
      </c>
      <c r="C1173" s="11">
        <v>45085</v>
      </c>
      <c r="D1173" s="11" t="s">
        <v>5955</v>
      </c>
      <c r="E1173" s="1" t="s">
        <v>21</v>
      </c>
      <c r="F1173" s="1" t="s">
        <v>5947</v>
      </c>
      <c r="G1173" s="6">
        <f>COUNTIF(F:F,Table2[[#This Row],[Form '#]])</f>
        <v>1</v>
      </c>
      <c r="H1173" s="1" t="s">
        <v>5948</v>
      </c>
      <c r="I1173" s="1" t="s">
        <v>3891</v>
      </c>
      <c r="J1173" s="1" t="s">
        <v>3891</v>
      </c>
      <c r="K1173" s="1" t="s">
        <v>3891</v>
      </c>
      <c r="L1173" s="1"/>
      <c r="M1173" s="6" t="str">
        <f>IF(Table2[[#This Row],[Corrected Form '#
 (If Duplicated)]]="",Table2[[#This Row],[Form '#]],Table2[[#This Row],[Corrected Form '#
 (If Duplicated)]])</f>
        <v>7818-30787</v>
      </c>
      <c r="N1173" s="1" t="s">
        <v>49</v>
      </c>
      <c r="O1173" s="6" t="str">
        <f>IF(Table2[[#This Row],[POG CONFIRMATION RECEIPT OF ORDER
(DATE &amp; TIME)]]="","No Confirmation","Received Confirmation")</f>
        <v>Received Confirmation</v>
      </c>
      <c r="P1173" s="6">
        <f ca="1">TODAY()-Table2[[#This Row],[DATE SENT TO POG]]</f>
        <v>218</v>
      </c>
      <c r="Q1173" s="6" t="s">
        <v>5803</v>
      </c>
      <c r="R11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3" s="2" t="str">
        <f>_xlfn.XLOOKUP(Table2[[#This Row],[Adjusted Form '#]],'[2]IN PROGRESS'!$D:$D,'[2]IN PROGRESS'!$M:$M,"Not Found")</f>
        <v>Not Found</v>
      </c>
      <c r="U1173" s="2" t="str">
        <f>_xlfn.XLOOKUP(Table2[[#This Row],[Adjusted Form '#]],[1]COMPLETED!$D:$D,[2]COMPLETED!$M:$M,"Not Found")</f>
        <v>Not Found</v>
      </c>
      <c r="V1173" s="17" t="str">
        <f>_xlfn.XLOOKUP(Table2[[#This Row],[Adjusted Form '#]],[2]COMPLETED!$D:$D,[2]COMPLETED!$O:$O,"Not Found")</f>
        <v>Not Found</v>
      </c>
      <c r="W1173" s="2" t="str">
        <f>_xlfn.XLOOKUP(Table2[[#This Row],[Adjusted Form '#]],[2]BILLED!$D:$D,[2]BILLED!$M:$M,"Not Found")</f>
        <v>9402 1112 0620 9492 4280 39</v>
      </c>
      <c r="X1173" s="17" t="e">
        <f>_xlfn.XLOOKUP(Table2[[#This Row],[Adjusted Form '#]],[2]BILLED!$D:$D,[1]BILLED!$O:$O,"Not Found")</f>
        <v>#REF!</v>
      </c>
      <c r="Y1173" s="17" t="e">
        <f>_xlfn.XLOOKUP(Table2[[#This Row],[Adjusted Form '#]],'[2]REJECTED ORDERS'!$D:$D,'[2]REJECTED ORDERS'!$E:$E)</f>
        <v>#N/A</v>
      </c>
      <c r="Z1173" s="1"/>
      <c r="AA1173" s="1"/>
    </row>
    <row r="1174" spans="1:27" ht="15" customHeight="1" x14ac:dyDescent="0.35">
      <c r="A1174" s="4" t="s">
        <v>1763</v>
      </c>
      <c r="B1174" s="1" t="s">
        <v>259</v>
      </c>
      <c r="C1174" s="11">
        <v>45085</v>
      </c>
      <c r="D1174" s="11" t="s">
        <v>5955</v>
      </c>
      <c r="E1174" s="1" t="s">
        <v>21</v>
      </c>
      <c r="F1174" s="1" t="s">
        <v>5949</v>
      </c>
      <c r="G1174" s="6">
        <f>COUNTIF(F:F,Table2[[#This Row],[Form '#]])</f>
        <v>1</v>
      </c>
      <c r="H1174" s="1" t="s">
        <v>5950</v>
      </c>
      <c r="I1174" s="1" t="s">
        <v>3864</v>
      </c>
      <c r="J1174" s="1" t="s">
        <v>78</v>
      </c>
      <c r="K1174" s="1" t="s">
        <v>3879</v>
      </c>
      <c r="L1174" s="1"/>
      <c r="M1174" s="6" t="str">
        <f>IF(Table2[[#This Row],[Corrected Form '#
 (If Duplicated)]]="",Table2[[#This Row],[Form '#]],Table2[[#This Row],[Corrected Form '#
 (If Duplicated)]])</f>
        <v>7818-23062</v>
      </c>
      <c r="N1174" s="1" t="s">
        <v>49</v>
      </c>
      <c r="O1174" s="6" t="str">
        <f>IF(Table2[[#This Row],[POG CONFIRMATION RECEIPT OF ORDER
(DATE &amp; TIME)]]="","No Confirmation","Received Confirmation")</f>
        <v>Received Confirmation</v>
      </c>
      <c r="P1174" s="6">
        <f ca="1">TODAY()-Table2[[#This Row],[DATE SENT TO POG]]</f>
        <v>218</v>
      </c>
      <c r="Q1174" s="6" t="s">
        <v>5803</v>
      </c>
      <c r="R11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4" s="2" t="str">
        <f>_xlfn.XLOOKUP(Table2[[#This Row],[Adjusted Form '#]],'[2]IN PROGRESS'!$D:$D,'[2]IN PROGRESS'!$M:$M,"Not Found")</f>
        <v>Not Found</v>
      </c>
      <c r="U1174" s="2" t="str">
        <f>_xlfn.XLOOKUP(Table2[[#This Row],[Adjusted Form '#]],[1]COMPLETED!$D:$D,[2]COMPLETED!$M:$M,"Not Found")</f>
        <v>Not Found</v>
      </c>
      <c r="V1174" s="17" t="str">
        <f>_xlfn.XLOOKUP(Table2[[#This Row],[Adjusted Form '#]],[2]COMPLETED!$D:$D,[2]COMPLETED!$O:$O,"Not Found")</f>
        <v>Not Found</v>
      </c>
      <c r="W1174" s="2" t="str">
        <f>_xlfn.XLOOKUP(Table2[[#This Row],[Adjusted Form '#]],[2]BILLED!$D:$D,[2]BILLED!$M:$M,"Not Found")</f>
        <v>9402 1112 0620 7695 4917 82</v>
      </c>
      <c r="X1174" s="17" t="e">
        <f>_xlfn.XLOOKUP(Table2[[#This Row],[Adjusted Form '#]],[2]BILLED!$D:$D,[1]BILLED!$O:$O,"Not Found")</f>
        <v>#REF!</v>
      </c>
      <c r="Y1174" s="17" t="e">
        <f>_xlfn.XLOOKUP(Table2[[#This Row],[Adjusted Form '#]],'[2]REJECTED ORDERS'!$D:$D,'[2]REJECTED ORDERS'!$E:$E)</f>
        <v>#N/A</v>
      </c>
      <c r="Z1174" s="1"/>
      <c r="AA1174" s="1"/>
    </row>
    <row r="1175" spans="1:27" ht="15" customHeight="1" x14ac:dyDescent="0.35">
      <c r="A1175" s="4" t="s">
        <v>1764</v>
      </c>
      <c r="B1175" s="1" t="s">
        <v>259</v>
      </c>
      <c r="C1175" s="11">
        <v>45085</v>
      </c>
      <c r="D1175" s="11" t="s">
        <v>5955</v>
      </c>
      <c r="E1175" s="1" t="s">
        <v>21</v>
      </c>
      <c r="F1175" s="1" t="s">
        <v>5951</v>
      </c>
      <c r="G1175" s="6">
        <f>COUNTIF(F:F,Table2[[#This Row],[Form '#]])</f>
        <v>1</v>
      </c>
      <c r="H1175" s="1" t="s">
        <v>451</v>
      </c>
      <c r="I1175" s="1" t="s">
        <v>177</v>
      </c>
      <c r="J1175" s="1" t="s">
        <v>75</v>
      </c>
      <c r="K1175" s="1" t="s">
        <v>3853</v>
      </c>
      <c r="L1175" s="1"/>
      <c r="M1175" s="6" t="str">
        <f>IF(Table2[[#This Row],[Corrected Form '#
 (If Duplicated)]]="",Table2[[#This Row],[Form '#]],Table2[[#This Row],[Corrected Form '#
 (If Duplicated)]])</f>
        <v>7818-26037</v>
      </c>
      <c r="N1175" s="1" t="s">
        <v>49</v>
      </c>
      <c r="O1175" s="6" t="str">
        <f>IF(Table2[[#This Row],[POG CONFIRMATION RECEIPT OF ORDER
(DATE &amp; TIME)]]="","No Confirmation","Received Confirmation")</f>
        <v>Received Confirmation</v>
      </c>
      <c r="P1175" s="6">
        <f ca="1">TODAY()-Table2[[#This Row],[DATE SENT TO POG]]</f>
        <v>218</v>
      </c>
      <c r="Q1175" s="6" t="s">
        <v>5803</v>
      </c>
      <c r="R11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5" s="2" t="str">
        <f>_xlfn.XLOOKUP(Table2[[#This Row],[Adjusted Form '#]],'[2]IN PROGRESS'!$D:$D,'[2]IN PROGRESS'!$M:$M,"Not Found")</f>
        <v>Not Found</v>
      </c>
      <c r="U1175" s="2" t="str">
        <f>_xlfn.XLOOKUP(Table2[[#This Row],[Adjusted Form '#]],[1]COMPLETED!$D:$D,[2]COMPLETED!$M:$M,"Not Found")</f>
        <v>Not Found</v>
      </c>
      <c r="V1175" s="17" t="str">
        <f>_xlfn.XLOOKUP(Table2[[#This Row],[Adjusted Form '#]],[2]COMPLETED!$D:$D,[2]COMPLETED!$O:$O,"Not Found")</f>
        <v>Not Found</v>
      </c>
      <c r="W1175" s="2" t="str">
        <f>_xlfn.XLOOKUP(Table2[[#This Row],[Adjusted Form '#]],[2]BILLED!$D:$D,[2]BILLED!$M:$M,"Not Found")</f>
        <v>9402 1112 0620 7695 4857 50</v>
      </c>
      <c r="X1175" s="17" t="e">
        <f>_xlfn.XLOOKUP(Table2[[#This Row],[Adjusted Form '#]],[2]BILLED!$D:$D,[1]BILLED!$O:$O,"Not Found")</f>
        <v>#REF!</v>
      </c>
      <c r="Y1175" s="17" t="e">
        <f>_xlfn.XLOOKUP(Table2[[#This Row],[Adjusted Form '#]],'[2]REJECTED ORDERS'!$D:$D,'[2]REJECTED ORDERS'!$E:$E)</f>
        <v>#N/A</v>
      </c>
      <c r="Z1175" s="1"/>
      <c r="AA1175" s="1"/>
    </row>
    <row r="1176" spans="1:27" ht="15" customHeight="1" x14ac:dyDescent="0.35">
      <c r="A1176" s="4" t="s">
        <v>1765</v>
      </c>
      <c r="B1176" s="1" t="s">
        <v>259</v>
      </c>
      <c r="C1176" s="11">
        <v>45085</v>
      </c>
      <c r="D1176" s="11" t="s">
        <v>5955</v>
      </c>
      <c r="E1176" s="1" t="s">
        <v>21</v>
      </c>
      <c r="F1176" s="1" t="s">
        <v>5952</v>
      </c>
      <c r="G1176" s="6">
        <f>COUNTIF(F:F,Table2[[#This Row],[Form '#]])</f>
        <v>1</v>
      </c>
      <c r="H1176" s="1" t="s">
        <v>3572</v>
      </c>
      <c r="I1176" s="1" t="s">
        <v>3852</v>
      </c>
      <c r="J1176" s="1" t="s">
        <v>80</v>
      </c>
      <c r="K1176" s="1" t="s">
        <v>3853</v>
      </c>
      <c r="L1176" s="1"/>
      <c r="M1176" s="6" t="str">
        <f>IF(Table2[[#This Row],[Corrected Form '#
 (If Duplicated)]]="",Table2[[#This Row],[Form '#]],Table2[[#This Row],[Corrected Form '#
 (If Duplicated)]])</f>
        <v>7818-24367</v>
      </c>
      <c r="N1176" s="1" t="s">
        <v>49</v>
      </c>
      <c r="O1176" s="6" t="str">
        <f>IF(Table2[[#This Row],[POG CONFIRMATION RECEIPT OF ORDER
(DATE &amp; TIME)]]="","No Confirmation","Received Confirmation")</f>
        <v>Received Confirmation</v>
      </c>
      <c r="P1176" s="6">
        <f ca="1">TODAY()-Table2[[#This Row],[DATE SENT TO POG]]</f>
        <v>218</v>
      </c>
      <c r="Q1176" s="6" t="s">
        <v>5803</v>
      </c>
      <c r="R11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6" s="2" t="str">
        <f>_xlfn.XLOOKUP(Table2[[#This Row],[Adjusted Form '#]],'[2]IN PROGRESS'!$D:$D,'[2]IN PROGRESS'!$M:$M,"Not Found")</f>
        <v>Not Found</v>
      </c>
      <c r="U1176" s="2" t="str">
        <f>_xlfn.XLOOKUP(Table2[[#This Row],[Adjusted Form '#]],[1]COMPLETED!$D:$D,[2]COMPLETED!$M:$M,"Not Found")</f>
        <v>Not Found</v>
      </c>
      <c r="V1176" s="17" t="str">
        <f>_xlfn.XLOOKUP(Table2[[#This Row],[Adjusted Form '#]],[2]COMPLETED!$D:$D,[2]COMPLETED!$O:$O,"Not Found")</f>
        <v>Not Found</v>
      </c>
      <c r="W1176" s="2" t="str">
        <f>_xlfn.XLOOKUP(Table2[[#This Row],[Adjusted Form '#]],[2]BILLED!$D:$D,[2]BILLED!$M:$M,"Not Found")</f>
        <v>9402 1112 0620 7671 6278 84</v>
      </c>
      <c r="X1176" s="17" t="e">
        <f>_xlfn.XLOOKUP(Table2[[#This Row],[Adjusted Form '#]],[2]BILLED!$D:$D,[1]BILLED!$O:$O,"Not Found")</f>
        <v>#REF!</v>
      </c>
      <c r="Y1176" s="17" t="e">
        <f>_xlfn.XLOOKUP(Table2[[#This Row],[Adjusted Form '#]],'[2]REJECTED ORDERS'!$D:$D,'[2]REJECTED ORDERS'!$E:$E)</f>
        <v>#N/A</v>
      </c>
      <c r="Z1176" s="1"/>
      <c r="AA1176" s="1"/>
    </row>
    <row r="1177" spans="1:27" ht="15" customHeight="1" x14ac:dyDescent="0.35">
      <c r="A1177" s="4" t="s">
        <v>1766</v>
      </c>
      <c r="B1177" s="1" t="s">
        <v>259</v>
      </c>
      <c r="C1177" s="11">
        <v>45085</v>
      </c>
      <c r="D1177" s="11" t="s">
        <v>5955</v>
      </c>
      <c r="E1177" s="1" t="s">
        <v>21</v>
      </c>
      <c r="F1177" s="1" t="s">
        <v>5953</v>
      </c>
      <c r="G1177" s="6">
        <f>COUNTIF(F:F,Table2[[#This Row],[Form '#]])</f>
        <v>1</v>
      </c>
      <c r="H1177" s="1" t="s">
        <v>5954</v>
      </c>
      <c r="I1177" s="1" t="s">
        <v>106</v>
      </c>
      <c r="J1177" s="1" t="s">
        <v>72</v>
      </c>
      <c r="K1177" s="1" t="s">
        <v>4530</v>
      </c>
      <c r="L1177" s="1"/>
      <c r="M1177" s="6" t="str">
        <f>IF(Table2[[#This Row],[Corrected Form '#
 (If Duplicated)]]="",Table2[[#This Row],[Form '#]],Table2[[#This Row],[Corrected Form '#
 (If Duplicated)]])</f>
        <v>7818-29798</v>
      </c>
      <c r="N1177" s="1" t="s">
        <v>49</v>
      </c>
      <c r="O1177" s="6" t="str">
        <f>IF(Table2[[#This Row],[POG CONFIRMATION RECEIPT OF ORDER
(DATE &amp; TIME)]]="","No Confirmation","Received Confirmation")</f>
        <v>Received Confirmation</v>
      </c>
      <c r="P1177" s="6">
        <f ca="1">TODAY()-Table2[[#This Row],[DATE SENT TO POG]]</f>
        <v>218</v>
      </c>
      <c r="Q1177" s="6" t="s">
        <v>5803</v>
      </c>
      <c r="R11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7" s="2" t="str">
        <f>_xlfn.XLOOKUP(Table2[[#This Row],[Adjusted Form '#]],'[2]IN PROGRESS'!$D:$D,'[2]IN PROGRESS'!$M:$M,"Not Found")</f>
        <v>Not Found</v>
      </c>
      <c r="U1177" s="2" t="str">
        <f>_xlfn.XLOOKUP(Table2[[#This Row],[Adjusted Form '#]],[1]COMPLETED!$D:$D,[2]COMPLETED!$M:$M,"Not Found")</f>
        <v>Not Found</v>
      </c>
      <c r="V1177" s="17" t="str">
        <f>_xlfn.XLOOKUP(Table2[[#This Row],[Adjusted Form '#]],[2]COMPLETED!$D:$D,[2]COMPLETED!$O:$O,"Not Found")</f>
        <v>Not Found</v>
      </c>
      <c r="W1177" s="2" t="str">
        <f>_xlfn.XLOOKUP(Table2[[#This Row],[Adjusted Form '#]],[2]BILLED!$D:$D,[2]BILLED!$M:$M,"Not Found")</f>
        <v>9400 1112 0620 9806 4574 43</v>
      </c>
      <c r="X1177" s="17" t="e">
        <f>_xlfn.XLOOKUP(Table2[[#This Row],[Adjusted Form '#]],[2]BILLED!$D:$D,[1]BILLED!$O:$O,"Not Found")</f>
        <v>#REF!</v>
      </c>
      <c r="Y1177" s="17" t="e">
        <f>_xlfn.XLOOKUP(Table2[[#This Row],[Adjusted Form '#]],'[2]REJECTED ORDERS'!$D:$D,'[2]REJECTED ORDERS'!$E:$E)</f>
        <v>#N/A</v>
      </c>
      <c r="Z1177" s="1" t="s">
        <v>6378</v>
      </c>
      <c r="AA1177" s="1"/>
    </row>
    <row r="1178" spans="1:27" ht="15" customHeight="1" x14ac:dyDescent="0.35">
      <c r="A1178" s="4" t="s">
        <v>1768</v>
      </c>
      <c r="B1178" s="1" t="s">
        <v>4518</v>
      </c>
      <c r="C1178" s="11">
        <v>45085</v>
      </c>
      <c r="D1178" s="11" t="s">
        <v>5960</v>
      </c>
      <c r="E1178" s="1" t="s">
        <v>21</v>
      </c>
      <c r="F1178" s="1" t="s">
        <v>5956</v>
      </c>
      <c r="G1178" s="6">
        <f>COUNTIF(F:F,Table2[[#This Row],[Form '#]])</f>
        <v>1</v>
      </c>
      <c r="H1178" s="1" t="s">
        <v>5957</v>
      </c>
      <c r="I1178" s="1" t="s">
        <v>3891</v>
      </c>
      <c r="J1178" s="1" t="s">
        <v>3891</v>
      </c>
      <c r="K1178" s="1" t="s">
        <v>3891</v>
      </c>
      <c r="L1178" s="1"/>
      <c r="M1178" s="6" t="str">
        <f>IF(Table2[[#This Row],[Corrected Form '#
 (If Duplicated)]]="",Table2[[#This Row],[Form '#]],Table2[[#This Row],[Corrected Form '#
 (If Duplicated)]])</f>
        <v>7818-29797</v>
      </c>
      <c r="N1178" s="1" t="s">
        <v>49</v>
      </c>
      <c r="O1178" s="6" t="str">
        <f>IF(Table2[[#This Row],[POG CONFIRMATION RECEIPT OF ORDER
(DATE &amp; TIME)]]="","No Confirmation","Received Confirmation")</f>
        <v>Received Confirmation</v>
      </c>
      <c r="P1178" s="6">
        <f ca="1">TODAY()-Table2[[#This Row],[DATE SENT TO POG]]</f>
        <v>218</v>
      </c>
      <c r="Q1178" s="6" t="s">
        <v>5803</v>
      </c>
      <c r="R11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8" s="2" t="str">
        <f>_xlfn.XLOOKUP(Table2[[#This Row],[Adjusted Form '#]],'[2]IN PROGRESS'!$D:$D,'[2]IN PROGRESS'!$M:$M,"Not Found")</f>
        <v>Not Found</v>
      </c>
      <c r="U1178" s="2" t="str">
        <f>_xlfn.XLOOKUP(Table2[[#This Row],[Adjusted Form '#]],[1]COMPLETED!$D:$D,[2]COMPLETED!$M:$M,"Not Found")</f>
        <v>Not Found</v>
      </c>
      <c r="V1178" s="17" t="str">
        <f>_xlfn.XLOOKUP(Table2[[#This Row],[Adjusted Form '#]],[2]COMPLETED!$D:$D,[2]COMPLETED!$O:$O,"Not Found")</f>
        <v>Not Found</v>
      </c>
      <c r="W1178" s="2" t="str">
        <f>_xlfn.XLOOKUP(Table2[[#This Row],[Adjusted Form '#]],[2]BILLED!$D:$D,[2]BILLED!$M:$M,"Not Found")</f>
        <v>9402 1112 0620 9492 4922 07</v>
      </c>
      <c r="X1178" s="17" t="e">
        <f>_xlfn.XLOOKUP(Table2[[#This Row],[Adjusted Form '#]],[2]BILLED!$D:$D,[1]BILLED!$O:$O,"Not Found")</f>
        <v>#REF!</v>
      </c>
      <c r="Y1178" s="17" t="e">
        <f>_xlfn.XLOOKUP(Table2[[#This Row],[Adjusted Form '#]],'[2]REJECTED ORDERS'!$D:$D,'[2]REJECTED ORDERS'!$E:$E)</f>
        <v>#N/A</v>
      </c>
      <c r="Z1178" s="1"/>
      <c r="AA1178" s="1"/>
    </row>
    <row r="1179" spans="1:27" ht="15" customHeight="1" x14ac:dyDescent="0.35">
      <c r="A1179" s="4" t="s">
        <v>1769</v>
      </c>
      <c r="B1179" s="1" t="s">
        <v>5958</v>
      </c>
      <c r="C1179" s="11">
        <v>45085</v>
      </c>
      <c r="D1179" s="11" t="s">
        <v>5960</v>
      </c>
      <c r="E1179" s="1" t="s">
        <v>21</v>
      </c>
      <c r="F1179" s="1" t="s">
        <v>5959</v>
      </c>
      <c r="G1179" s="6">
        <f>COUNTIF(F:F,Table2[[#This Row],[Form '#]])</f>
        <v>1</v>
      </c>
      <c r="H1179" s="1" t="s">
        <v>2107</v>
      </c>
      <c r="I1179" s="1" t="s">
        <v>758</v>
      </c>
      <c r="J1179" s="1" t="s">
        <v>78</v>
      </c>
      <c r="K1179" s="1" t="s">
        <v>4430</v>
      </c>
      <c r="L1179" s="1"/>
      <c r="M1179" s="6" t="str">
        <f>IF(Table2[[#This Row],[Corrected Form '#
 (If Duplicated)]]="",Table2[[#This Row],[Form '#]],Table2[[#This Row],[Corrected Form '#
 (If Duplicated)]])</f>
        <v>7818-26587</v>
      </c>
      <c r="N1179" s="1" t="s">
        <v>49</v>
      </c>
      <c r="O1179" s="6" t="str">
        <f>IF(Table2[[#This Row],[POG CONFIRMATION RECEIPT OF ORDER
(DATE &amp; TIME)]]="","No Confirmation","Received Confirmation")</f>
        <v>Received Confirmation</v>
      </c>
      <c r="P1179" s="6">
        <f ca="1">TODAY()-Table2[[#This Row],[DATE SENT TO POG]]</f>
        <v>218</v>
      </c>
      <c r="Q1179" s="6" t="s">
        <v>5803</v>
      </c>
      <c r="R11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79" s="2" t="str">
        <f>_xlfn.XLOOKUP(Table2[[#This Row],[Adjusted Form '#]],'[2]IN PROGRESS'!$D:$D,'[2]IN PROGRESS'!$M:$M,"Not Found")</f>
        <v>Not Found</v>
      </c>
      <c r="U1179" s="2" t="str">
        <f>_xlfn.XLOOKUP(Table2[[#This Row],[Adjusted Form '#]],[1]COMPLETED!$D:$D,[2]COMPLETED!$M:$M,"Not Found")</f>
        <v>Not Found</v>
      </c>
      <c r="V1179" s="17" t="str">
        <f>_xlfn.XLOOKUP(Table2[[#This Row],[Adjusted Form '#]],[2]COMPLETED!$D:$D,[2]COMPLETED!$O:$O,"Not Found")</f>
        <v>Not Found</v>
      </c>
      <c r="W1179" s="2" t="str">
        <f>_xlfn.XLOOKUP(Table2[[#This Row],[Adjusted Form '#]],[2]BILLED!$D:$D,[2]BILLED!$M:$M,"Not Found")</f>
        <v>9402 1112 0620 7682 9748 54</v>
      </c>
      <c r="X1179" s="17" t="e">
        <f>_xlfn.XLOOKUP(Table2[[#This Row],[Adjusted Form '#]],[2]BILLED!$D:$D,[1]BILLED!$O:$O,"Not Found")</f>
        <v>#REF!</v>
      </c>
      <c r="Y1179" s="17" t="e">
        <f>_xlfn.XLOOKUP(Table2[[#This Row],[Adjusted Form '#]],'[2]REJECTED ORDERS'!$D:$D,'[2]REJECTED ORDERS'!$E:$E)</f>
        <v>#N/A</v>
      </c>
      <c r="Z1179" s="1"/>
      <c r="AA1179" s="1"/>
    </row>
    <row r="1180" spans="1:27" ht="15" customHeight="1" x14ac:dyDescent="0.35">
      <c r="A1180" s="4" t="s">
        <v>1770</v>
      </c>
      <c r="B1180" s="1" t="s">
        <v>5961</v>
      </c>
      <c r="C1180" s="11">
        <v>45085</v>
      </c>
      <c r="D1180" s="11" t="s">
        <v>5973</v>
      </c>
      <c r="E1180" s="1" t="s">
        <v>21</v>
      </c>
      <c r="F1180" s="1" t="s">
        <v>5962</v>
      </c>
      <c r="G1180" s="6">
        <f>COUNTIF(F:F,Table2[[#This Row],[Form '#]])</f>
        <v>1</v>
      </c>
      <c r="H1180" s="1" t="s">
        <v>3771</v>
      </c>
      <c r="I1180" s="1" t="s">
        <v>127</v>
      </c>
      <c r="J1180" s="1" t="s">
        <v>76</v>
      </c>
      <c r="K1180" s="1" t="s">
        <v>3891</v>
      </c>
      <c r="L1180" s="1"/>
      <c r="M1180" s="6" t="str">
        <f>IF(Table2[[#This Row],[Corrected Form '#
 (If Duplicated)]]="",Table2[[#This Row],[Form '#]],Table2[[#This Row],[Corrected Form '#
 (If Duplicated)]])</f>
        <v>7818-18522</v>
      </c>
      <c r="N1180" s="1" t="s">
        <v>49</v>
      </c>
      <c r="O1180" s="6" t="str">
        <f>IF(Table2[[#This Row],[POG CONFIRMATION RECEIPT OF ORDER
(DATE &amp; TIME)]]="","No Confirmation","Received Confirmation")</f>
        <v>Received Confirmation</v>
      </c>
      <c r="P1180" s="6">
        <f ca="1">TODAY()-Table2[[#This Row],[DATE SENT TO POG]]</f>
        <v>218</v>
      </c>
      <c r="Q1180" s="6" t="s">
        <v>5802</v>
      </c>
      <c r="R11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8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80" s="2" t="str">
        <f>_xlfn.XLOOKUP(Table2[[#This Row],[Adjusted Form '#]],'[2]IN PROGRESS'!$D:$D,'[2]IN PROGRESS'!$M:$M,"Not Found")</f>
        <v>Not Found</v>
      </c>
      <c r="U1180" s="2" t="str">
        <f>_xlfn.XLOOKUP(Table2[[#This Row],[Adjusted Form '#]],[1]COMPLETED!$D:$D,[2]COMPLETED!$M:$M,"Not Found")</f>
        <v>Not Found</v>
      </c>
      <c r="V1180" s="17" t="str">
        <f>_xlfn.XLOOKUP(Table2[[#This Row],[Adjusted Form '#]],[2]COMPLETED!$D:$D,[2]COMPLETED!$O:$O,"Not Found")</f>
        <v>Not Found</v>
      </c>
      <c r="W1180" s="2" t="str">
        <f>_xlfn.XLOOKUP(Table2[[#This Row],[Adjusted Form '#]],[2]BILLED!$D:$D,[2]BILLED!$M:$M,"Not Found")</f>
        <v>Not Found</v>
      </c>
      <c r="X1180" s="17" t="str">
        <f>_xlfn.XLOOKUP(Table2[[#This Row],[Adjusted Form '#]],[2]BILLED!$D:$D,[1]BILLED!$O:$O,"Not Found")</f>
        <v>Not Found</v>
      </c>
      <c r="Y1180" s="17" t="e">
        <f>_xlfn.XLOOKUP(Table2[[#This Row],[Adjusted Form '#]],'[2]REJECTED ORDERS'!$D:$D,'[2]REJECTED ORDERS'!$E:$E)</f>
        <v>#N/A</v>
      </c>
      <c r="Z1180" s="1"/>
      <c r="AA1180" s="1"/>
    </row>
    <row r="1181" spans="1:27" ht="15" customHeight="1" x14ac:dyDescent="0.35">
      <c r="A1181" s="4" t="s">
        <v>1772</v>
      </c>
      <c r="B1181" s="1" t="s">
        <v>5961</v>
      </c>
      <c r="C1181" s="11">
        <v>45085</v>
      </c>
      <c r="D1181" s="11" t="s">
        <v>5973</v>
      </c>
      <c r="E1181" s="1" t="s">
        <v>21</v>
      </c>
      <c r="F1181" s="1" t="s">
        <v>5963</v>
      </c>
      <c r="G1181" s="6">
        <f>COUNTIF(F:F,Table2[[#This Row],[Form '#]])</f>
        <v>1</v>
      </c>
      <c r="H1181" s="1" t="s">
        <v>5964</v>
      </c>
      <c r="I1181" s="1" t="s">
        <v>106</v>
      </c>
      <c r="J1181" s="1" t="s">
        <v>72</v>
      </c>
      <c r="K1181" s="1" t="s">
        <v>4530</v>
      </c>
      <c r="L1181" s="1"/>
      <c r="M1181" s="6" t="str">
        <f>IF(Table2[[#This Row],[Corrected Form '#
 (If Duplicated)]]="",Table2[[#This Row],[Form '#]],Table2[[#This Row],[Corrected Form '#
 (If Duplicated)]])</f>
        <v>7818-18533</v>
      </c>
      <c r="N1181" s="1" t="s">
        <v>49</v>
      </c>
      <c r="O1181" s="6" t="str">
        <f>IF(Table2[[#This Row],[POG CONFIRMATION RECEIPT OF ORDER
(DATE &amp; TIME)]]="","No Confirmation","Received Confirmation")</f>
        <v>Received Confirmation</v>
      </c>
      <c r="P1181" s="6">
        <f ca="1">TODAY()-Table2[[#This Row],[DATE SENT TO POG]]</f>
        <v>218</v>
      </c>
      <c r="Q1181" s="6" t="s">
        <v>5803</v>
      </c>
      <c r="R11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81" s="2" t="str">
        <f>_xlfn.XLOOKUP(Table2[[#This Row],[Adjusted Form '#]],'[2]IN PROGRESS'!$D:$D,'[2]IN PROGRESS'!$M:$M,"Not Found")</f>
        <v>Not Found</v>
      </c>
      <c r="U1181" s="2" t="str">
        <f>_xlfn.XLOOKUP(Table2[[#This Row],[Adjusted Form '#]],[1]COMPLETED!$D:$D,[2]COMPLETED!$M:$M,"Not Found")</f>
        <v>Not Found</v>
      </c>
      <c r="V1181" s="17" t="str">
        <f>_xlfn.XLOOKUP(Table2[[#This Row],[Adjusted Form '#]],[2]COMPLETED!$D:$D,[2]COMPLETED!$O:$O,"Not Found")</f>
        <v>Not Found</v>
      </c>
      <c r="W1181" s="2" t="str">
        <f>_xlfn.XLOOKUP(Table2[[#This Row],[Adjusted Form '#]],[2]BILLED!$D:$D,[2]BILLED!$M:$M,"Not Found")</f>
        <v>9400 1112 0620 9486 6048 92</v>
      </c>
      <c r="X1181" s="17" t="e">
        <f>_xlfn.XLOOKUP(Table2[[#This Row],[Adjusted Form '#]],[2]BILLED!$D:$D,[1]BILLED!$O:$O,"Not Found")</f>
        <v>#REF!</v>
      </c>
      <c r="Y1181" s="17" t="e">
        <f>_xlfn.XLOOKUP(Table2[[#This Row],[Adjusted Form '#]],'[2]REJECTED ORDERS'!$D:$D,'[2]REJECTED ORDERS'!$E:$E)</f>
        <v>#N/A</v>
      </c>
      <c r="Z1181" s="1"/>
      <c r="AA1181" s="1"/>
    </row>
    <row r="1182" spans="1:27" ht="15" customHeight="1" x14ac:dyDescent="0.35">
      <c r="A1182" s="4" t="s">
        <v>1773</v>
      </c>
      <c r="B1182" s="1" t="s">
        <v>5961</v>
      </c>
      <c r="C1182" s="11">
        <v>45085</v>
      </c>
      <c r="D1182" s="11" t="s">
        <v>5973</v>
      </c>
      <c r="E1182" s="1" t="s">
        <v>21</v>
      </c>
      <c r="F1182" s="1" t="s">
        <v>5965</v>
      </c>
      <c r="G1182" s="6">
        <f>COUNTIF(F:F,Table2[[#This Row],[Form '#]])</f>
        <v>1</v>
      </c>
      <c r="H1182" s="1" t="s">
        <v>3666</v>
      </c>
      <c r="I1182" s="1" t="s">
        <v>3864</v>
      </c>
      <c r="J1182" s="1" t="s">
        <v>78</v>
      </c>
      <c r="K1182" s="1" t="s">
        <v>3879</v>
      </c>
      <c r="L1182" s="1"/>
      <c r="M1182" s="6" t="str">
        <f>IF(Table2[[#This Row],[Corrected Form '#
 (If Duplicated)]]="",Table2[[#This Row],[Form '#]],Table2[[#This Row],[Corrected Form '#
 (If Duplicated)]])</f>
        <v>7818-03323</v>
      </c>
      <c r="N1182" s="1" t="s">
        <v>49</v>
      </c>
      <c r="O1182" s="6" t="str">
        <f>IF(Table2[[#This Row],[POG CONFIRMATION RECEIPT OF ORDER
(DATE &amp; TIME)]]="","No Confirmation","Received Confirmation")</f>
        <v>Received Confirmation</v>
      </c>
      <c r="P1182" s="6">
        <f ca="1">TODAY()-Table2[[#This Row],[DATE SENT TO POG]]</f>
        <v>218</v>
      </c>
      <c r="Q1182" s="6" t="s">
        <v>5802</v>
      </c>
      <c r="R11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8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82" s="2" t="str">
        <f>_xlfn.XLOOKUP(Table2[[#This Row],[Adjusted Form '#]],'[2]IN PROGRESS'!$D:$D,'[2]IN PROGRESS'!$M:$M,"Not Found")</f>
        <v>Not Found</v>
      </c>
      <c r="U1182" s="2" t="str">
        <f>_xlfn.XLOOKUP(Table2[[#This Row],[Adjusted Form '#]],[1]COMPLETED!$D:$D,[2]COMPLETED!$M:$M,"Not Found")</f>
        <v>Not Found</v>
      </c>
      <c r="V1182" s="17" t="str">
        <f>_xlfn.XLOOKUP(Table2[[#This Row],[Adjusted Form '#]],[2]COMPLETED!$D:$D,[2]COMPLETED!$O:$O,"Not Found")</f>
        <v>Not Found</v>
      </c>
      <c r="W1182" s="2" t="str">
        <f>_xlfn.XLOOKUP(Table2[[#This Row],[Adjusted Form '#]],[2]BILLED!$D:$D,[2]BILLED!$M:$M,"Not Found")</f>
        <v>Not Found</v>
      </c>
      <c r="X1182" s="17" t="str">
        <f>_xlfn.XLOOKUP(Table2[[#This Row],[Adjusted Form '#]],[2]BILLED!$D:$D,[1]BILLED!$O:$O,"Not Found")</f>
        <v>Not Found</v>
      </c>
      <c r="Y1182" s="17" t="e">
        <f>_xlfn.XLOOKUP(Table2[[#This Row],[Adjusted Form '#]],'[2]REJECTED ORDERS'!$D:$D,'[2]REJECTED ORDERS'!$E:$E)</f>
        <v>#N/A</v>
      </c>
      <c r="Z1182" s="1"/>
      <c r="AA1182" s="1"/>
    </row>
    <row r="1183" spans="1:27" ht="15" customHeight="1" x14ac:dyDescent="0.35">
      <c r="A1183" s="4" t="s">
        <v>1774</v>
      </c>
      <c r="B1183" s="1" t="s">
        <v>3941</v>
      </c>
      <c r="C1183" s="11">
        <v>45086</v>
      </c>
      <c r="D1183" s="11" t="s">
        <v>5973</v>
      </c>
      <c r="E1183" s="1" t="s">
        <v>21</v>
      </c>
      <c r="F1183" s="1" t="s">
        <v>5966</v>
      </c>
      <c r="G1183" s="6">
        <f>COUNTIF(F:F,Table2[[#This Row],[Form '#]])</f>
        <v>1</v>
      </c>
      <c r="H1183" s="1" t="s">
        <v>3469</v>
      </c>
      <c r="I1183" s="1" t="s">
        <v>127</v>
      </c>
      <c r="J1183" s="1" t="s">
        <v>3891</v>
      </c>
      <c r="K1183" s="1" t="s">
        <v>4011</v>
      </c>
      <c r="L1183" s="1"/>
      <c r="M1183" s="6" t="str">
        <f>IF(Table2[[#This Row],[Corrected Form '#
 (If Duplicated)]]="",Table2[[#This Row],[Form '#]],Table2[[#This Row],[Corrected Form '#
 (If Duplicated)]])</f>
        <v>7818-3909</v>
      </c>
      <c r="N1183" s="1" t="s">
        <v>49</v>
      </c>
      <c r="O1183" s="6" t="str">
        <f>IF(Table2[[#This Row],[POG CONFIRMATION RECEIPT OF ORDER
(DATE &amp; TIME)]]="","No Confirmation","Received Confirmation")</f>
        <v>Received Confirmation</v>
      </c>
      <c r="P1183" s="6">
        <f ca="1">TODAY()-Table2[[#This Row],[DATE SENT TO POG]]</f>
        <v>217</v>
      </c>
      <c r="Q1183" s="6" t="s">
        <v>5802</v>
      </c>
      <c r="R11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18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183" s="2" t="str">
        <f>_xlfn.XLOOKUP(Table2[[#This Row],[Adjusted Form '#]],'[2]IN PROGRESS'!$D:$D,'[2]IN PROGRESS'!$M:$M,"Not Found")</f>
        <v>Not Found</v>
      </c>
      <c r="U1183" s="2" t="str">
        <f>_xlfn.XLOOKUP(Table2[[#This Row],[Adjusted Form '#]],[1]COMPLETED!$D:$D,[2]COMPLETED!$M:$M,"Not Found")</f>
        <v>Not Found</v>
      </c>
      <c r="V1183" s="17" t="str">
        <f>_xlfn.XLOOKUP(Table2[[#This Row],[Adjusted Form '#]],[2]COMPLETED!$D:$D,[2]COMPLETED!$O:$O,"Not Found")</f>
        <v>Not Found</v>
      </c>
      <c r="W1183" s="2" t="str">
        <f>_xlfn.XLOOKUP(Table2[[#This Row],[Adjusted Form '#]],[2]BILLED!$D:$D,[2]BILLED!$M:$M,"Not Found")</f>
        <v>Not Found</v>
      </c>
      <c r="X1183" s="17" t="str">
        <f>_xlfn.XLOOKUP(Table2[[#This Row],[Adjusted Form '#]],[2]BILLED!$D:$D,[1]BILLED!$O:$O,"Not Found")</f>
        <v>Not Found</v>
      </c>
      <c r="Y1183" s="17" t="e">
        <f>_xlfn.XLOOKUP(Table2[[#This Row],[Adjusted Form '#]],'[2]REJECTED ORDERS'!$D:$D,'[2]REJECTED ORDERS'!$E:$E)</f>
        <v>#N/A</v>
      </c>
      <c r="Z1183" s="1"/>
      <c r="AA1183" s="1"/>
    </row>
    <row r="1184" spans="1:27" ht="15" customHeight="1" x14ac:dyDescent="0.35">
      <c r="A1184" s="4" t="s">
        <v>1776</v>
      </c>
      <c r="B1184" s="1" t="s">
        <v>2449</v>
      </c>
      <c r="C1184" s="11">
        <v>45086</v>
      </c>
      <c r="D1184" s="11" t="s">
        <v>5974</v>
      </c>
      <c r="E1184" s="1" t="s">
        <v>73</v>
      </c>
      <c r="F1184" s="1" t="s">
        <v>5967</v>
      </c>
      <c r="G1184" s="6">
        <f>COUNTIF(F:F,Table2[[#This Row],[Form '#]])</f>
        <v>1</v>
      </c>
      <c r="H1184" s="1" t="s">
        <v>5968</v>
      </c>
      <c r="I1184" s="1" t="s">
        <v>3864</v>
      </c>
      <c r="J1184" s="1" t="s">
        <v>78</v>
      </c>
      <c r="K1184" s="1" t="s">
        <v>3879</v>
      </c>
      <c r="L1184" s="1"/>
      <c r="M1184" s="6" t="str">
        <f>IF(Table2[[#This Row],[Corrected Form '#
 (If Duplicated)]]="",Table2[[#This Row],[Form '#]],Table2[[#This Row],[Corrected Form '#
 (If Duplicated)]])</f>
        <v>7823-02779</v>
      </c>
      <c r="N1184" s="1" t="s">
        <v>49</v>
      </c>
      <c r="O1184" s="6" t="str">
        <f>IF(Table2[[#This Row],[POG CONFIRMATION RECEIPT OF ORDER
(DATE &amp; TIME)]]="","No Confirmation","Received Confirmation")</f>
        <v>Received Confirmation</v>
      </c>
      <c r="P1184" s="6">
        <f ca="1">TODAY()-Table2[[#This Row],[DATE SENT TO POG]]</f>
        <v>217</v>
      </c>
      <c r="Q1184" s="6" t="s">
        <v>5803</v>
      </c>
      <c r="R11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84" s="2" t="str">
        <f>_xlfn.XLOOKUP(Table2[[#This Row],[Adjusted Form '#]],'[2]IN PROGRESS'!$D:$D,'[2]IN PROGRESS'!$M:$M,"Not Found")</f>
        <v>Not Found</v>
      </c>
      <c r="U1184" s="2" t="str">
        <f>_xlfn.XLOOKUP(Table2[[#This Row],[Adjusted Form '#]],[1]COMPLETED!$D:$D,[2]COMPLETED!$M:$M,"Not Found")</f>
        <v>Not Found</v>
      </c>
      <c r="V1184" s="17" t="str">
        <f>_xlfn.XLOOKUP(Table2[[#This Row],[Adjusted Form '#]],[2]COMPLETED!$D:$D,[2]COMPLETED!$O:$O,"Not Found")</f>
        <v>Not Found</v>
      </c>
      <c r="W1184" s="2" t="str">
        <f>_xlfn.XLOOKUP(Table2[[#This Row],[Adjusted Form '#]],[2]BILLED!$D:$D,[2]BILLED!$M:$M,"Not Found")</f>
        <v>9402 1112 0620 7688 7979 76</v>
      </c>
      <c r="X1184" s="17" t="e">
        <f>_xlfn.XLOOKUP(Table2[[#This Row],[Adjusted Form '#]],[2]BILLED!$D:$D,[1]BILLED!$O:$O,"Not Found")</f>
        <v>#REF!</v>
      </c>
      <c r="Y1184" s="17" t="e">
        <f>_xlfn.XLOOKUP(Table2[[#This Row],[Adjusted Form '#]],'[2]REJECTED ORDERS'!$D:$D,'[2]REJECTED ORDERS'!$E:$E)</f>
        <v>#N/A</v>
      </c>
      <c r="Z1184" s="1"/>
      <c r="AA1184" s="1"/>
    </row>
    <row r="1185" spans="1:27" ht="15" customHeight="1" x14ac:dyDescent="0.35">
      <c r="A1185" s="4" t="s">
        <v>1777</v>
      </c>
      <c r="B1185" s="1" t="s">
        <v>2407</v>
      </c>
      <c r="C1185" s="11">
        <v>45086</v>
      </c>
      <c r="D1185" s="11" t="s">
        <v>5974</v>
      </c>
      <c r="E1185" s="1" t="s">
        <v>21</v>
      </c>
      <c r="F1185" s="1" t="s">
        <v>5969</v>
      </c>
      <c r="G1185" s="6">
        <f>COUNTIF(F:F,Table2[[#This Row],[Form '#]])</f>
        <v>1</v>
      </c>
      <c r="H1185" s="1" t="s">
        <v>3496</v>
      </c>
      <c r="I1185" s="1" t="s">
        <v>127</v>
      </c>
      <c r="J1185" s="1" t="s">
        <v>74</v>
      </c>
      <c r="K1185" s="1" t="s">
        <v>3883</v>
      </c>
      <c r="L1185" s="1"/>
      <c r="M1185" s="6" t="str">
        <f>IF(Table2[[#This Row],[Corrected Form '#
 (If Duplicated)]]="",Table2[[#This Row],[Form '#]],Table2[[#This Row],[Corrected Form '#
 (If Duplicated)]])</f>
        <v>7818-29778</v>
      </c>
      <c r="N1185" s="1" t="s">
        <v>49</v>
      </c>
      <c r="O1185" s="6" t="str">
        <f>IF(Table2[[#This Row],[POG CONFIRMATION RECEIPT OF ORDER
(DATE &amp; TIME)]]="","No Confirmation","Received Confirmation")</f>
        <v>Received Confirmation</v>
      </c>
      <c r="P1185" s="6">
        <f ca="1">TODAY()-Table2[[#This Row],[DATE SENT TO POG]]</f>
        <v>217</v>
      </c>
      <c r="Q1185" s="6" t="s">
        <v>5803</v>
      </c>
      <c r="R11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85" s="2" t="str">
        <f>_xlfn.XLOOKUP(Table2[[#This Row],[Adjusted Form '#]],'[2]IN PROGRESS'!$D:$D,'[2]IN PROGRESS'!$M:$M,"Not Found")</f>
        <v>Not Found</v>
      </c>
      <c r="U1185" s="2" t="str">
        <f>_xlfn.XLOOKUP(Table2[[#This Row],[Adjusted Form '#]],[1]COMPLETED!$D:$D,[2]COMPLETED!$M:$M,"Not Found")</f>
        <v>Not Found</v>
      </c>
      <c r="V1185" s="17" t="str">
        <f>_xlfn.XLOOKUP(Table2[[#This Row],[Adjusted Form '#]],[2]COMPLETED!$D:$D,[2]COMPLETED!$O:$O,"Not Found")</f>
        <v>Not Found</v>
      </c>
      <c r="W1185" s="2" t="str">
        <f>_xlfn.XLOOKUP(Table2[[#This Row],[Adjusted Form '#]],[2]BILLED!$D:$D,[2]BILLED!$M:$M,"Not Found")</f>
        <v>9402 1112 0620 7694 0236 25</v>
      </c>
      <c r="X1185" s="17" t="e">
        <f>_xlfn.XLOOKUP(Table2[[#This Row],[Adjusted Form '#]],[2]BILLED!$D:$D,[1]BILLED!$O:$O,"Not Found")</f>
        <v>#REF!</v>
      </c>
      <c r="Y1185" s="17" t="e">
        <f>_xlfn.XLOOKUP(Table2[[#This Row],[Adjusted Form '#]],'[2]REJECTED ORDERS'!$D:$D,'[2]REJECTED ORDERS'!$E:$E)</f>
        <v>#N/A</v>
      </c>
      <c r="Z1185" s="1"/>
      <c r="AA1185" s="1"/>
    </row>
    <row r="1186" spans="1:27" ht="15" customHeight="1" x14ac:dyDescent="0.35">
      <c r="A1186" s="4" t="s">
        <v>1780</v>
      </c>
      <c r="B1186" s="1" t="s">
        <v>2407</v>
      </c>
      <c r="C1186" s="11">
        <v>45086</v>
      </c>
      <c r="D1186" s="11" t="s">
        <v>5974</v>
      </c>
      <c r="E1186" s="1" t="s">
        <v>21</v>
      </c>
      <c r="F1186" s="1" t="s">
        <v>5970</v>
      </c>
      <c r="G1186" s="6">
        <f>COUNTIF(F:F,Table2[[#This Row],[Form '#]])</f>
        <v>1</v>
      </c>
      <c r="H1186" s="1" t="s">
        <v>986</v>
      </c>
      <c r="I1186" s="1" t="s">
        <v>758</v>
      </c>
      <c r="J1186" s="1" t="s">
        <v>3891</v>
      </c>
      <c r="K1186" s="1" t="s">
        <v>3853</v>
      </c>
      <c r="L1186" s="1"/>
      <c r="M1186" s="6" t="str">
        <f>IF(Table2[[#This Row],[Corrected Form '#
 (If Duplicated)]]="",Table2[[#This Row],[Form '#]],Table2[[#This Row],[Corrected Form '#
 (If Duplicated)]])</f>
        <v>7818-24453</v>
      </c>
      <c r="N1186" s="1" t="s">
        <v>49</v>
      </c>
      <c r="O1186" s="6" t="str">
        <f>IF(Table2[[#This Row],[POG CONFIRMATION RECEIPT OF ORDER
(DATE &amp; TIME)]]="","No Confirmation","Received Confirmation")</f>
        <v>Received Confirmation</v>
      </c>
      <c r="P1186" s="6">
        <f ca="1">TODAY()-Table2[[#This Row],[DATE SENT TO POG]]</f>
        <v>217</v>
      </c>
      <c r="Q1186" s="6" t="s">
        <v>5803</v>
      </c>
      <c r="R11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86" s="2" t="str">
        <f>_xlfn.XLOOKUP(Table2[[#This Row],[Adjusted Form '#]],'[2]IN PROGRESS'!$D:$D,'[2]IN PROGRESS'!$M:$M,"Not Found")</f>
        <v>Not Found</v>
      </c>
      <c r="U1186" s="2" t="str">
        <f>_xlfn.XLOOKUP(Table2[[#This Row],[Adjusted Form '#]],[1]COMPLETED!$D:$D,[2]COMPLETED!$M:$M,"Not Found")</f>
        <v>Not Found</v>
      </c>
      <c r="V1186" s="17" t="str">
        <f>_xlfn.XLOOKUP(Table2[[#This Row],[Adjusted Form '#]],[2]COMPLETED!$D:$D,[2]COMPLETED!$O:$O,"Not Found")</f>
        <v>Not Found</v>
      </c>
      <c r="W1186" s="2" t="str">
        <f>_xlfn.XLOOKUP(Table2[[#This Row],[Adjusted Form '#]],[2]BILLED!$D:$D,[2]BILLED!$M:$M,"Not Found")</f>
        <v>9400 1112 0620 7661 2139 21</v>
      </c>
      <c r="X1186" s="17" t="e">
        <f>_xlfn.XLOOKUP(Table2[[#This Row],[Adjusted Form '#]],[2]BILLED!$D:$D,[1]BILLED!$O:$O,"Not Found")</f>
        <v>#REF!</v>
      </c>
      <c r="Y1186" s="17" t="e">
        <f>_xlfn.XLOOKUP(Table2[[#This Row],[Adjusted Form '#]],'[2]REJECTED ORDERS'!$D:$D,'[2]REJECTED ORDERS'!$E:$E)</f>
        <v>#N/A</v>
      </c>
      <c r="Z1186" s="1"/>
      <c r="AA1186" s="1"/>
    </row>
    <row r="1187" spans="1:27" ht="15" customHeight="1" x14ac:dyDescent="0.35">
      <c r="A1187" s="4" t="s">
        <v>1781</v>
      </c>
      <c r="B1187" s="1" t="s">
        <v>2915</v>
      </c>
      <c r="C1187" s="11">
        <v>45086</v>
      </c>
      <c r="D1187" s="11" t="s">
        <v>5975</v>
      </c>
      <c r="E1187" s="1" t="s">
        <v>21</v>
      </c>
      <c r="F1187" s="1" t="s">
        <v>5971</v>
      </c>
      <c r="G1187" s="6">
        <f>COUNTIF(F:F,Table2[[#This Row],[Form '#]])</f>
        <v>1</v>
      </c>
      <c r="H1187" s="1" t="s">
        <v>5972</v>
      </c>
      <c r="I1187" s="1" t="s">
        <v>3852</v>
      </c>
      <c r="J1187" s="1" t="s">
        <v>80</v>
      </c>
      <c r="K1187" s="1" t="s">
        <v>3853</v>
      </c>
      <c r="L1187" s="1"/>
      <c r="M1187" s="6" t="str">
        <f>IF(Table2[[#This Row],[Corrected Form '#
 (If Duplicated)]]="",Table2[[#This Row],[Form '#]],Table2[[#This Row],[Corrected Form '#
 (If Duplicated)]])</f>
        <v>7818-26849</v>
      </c>
      <c r="N1187" s="1" t="s">
        <v>49</v>
      </c>
      <c r="O1187" s="6" t="str">
        <f>IF(Table2[[#This Row],[POG CONFIRMATION RECEIPT OF ORDER
(DATE &amp; TIME)]]="","No Confirmation","Received Confirmation")</f>
        <v>Received Confirmation</v>
      </c>
      <c r="P1187" s="6">
        <f ca="1">TODAY()-Table2[[#This Row],[DATE SENT TO POG]]</f>
        <v>217</v>
      </c>
      <c r="Q1187" s="6" t="s">
        <v>5803</v>
      </c>
      <c r="R11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87" s="2" t="str">
        <f>_xlfn.XLOOKUP(Table2[[#This Row],[Adjusted Form '#]],'[2]IN PROGRESS'!$D:$D,'[2]IN PROGRESS'!$M:$M,"Not Found")</f>
        <v>Not Found</v>
      </c>
      <c r="U1187" s="2" t="str">
        <f>_xlfn.XLOOKUP(Table2[[#This Row],[Adjusted Form '#]],[1]COMPLETED!$D:$D,[2]COMPLETED!$M:$M,"Not Found")</f>
        <v>Not Found</v>
      </c>
      <c r="V1187" s="17" t="str">
        <f>_xlfn.XLOOKUP(Table2[[#This Row],[Adjusted Form '#]],[2]COMPLETED!$D:$D,[2]COMPLETED!$O:$O,"Not Found")</f>
        <v>Not Found</v>
      </c>
      <c r="W1187" s="2" t="str">
        <f>_xlfn.XLOOKUP(Table2[[#This Row],[Adjusted Form '#]],[2]BILLED!$D:$D,[2]BILLED!$M:$M,"Not Found")</f>
        <v>9402 1112 0620 7671 6959 06</v>
      </c>
      <c r="X1187" s="17" t="e">
        <f>_xlfn.XLOOKUP(Table2[[#This Row],[Adjusted Form '#]],[2]BILLED!$D:$D,[1]BILLED!$O:$O,"Not Found")</f>
        <v>#REF!</v>
      </c>
      <c r="Y1187" s="17" t="e">
        <f>_xlfn.XLOOKUP(Table2[[#This Row],[Adjusted Form '#]],'[2]REJECTED ORDERS'!$D:$D,'[2]REJECTED ORDERS'!$E:$E)</f>
        <v>#N/A</v>
      </c>
      <c r="Z1187" s="1"/>
      <c r="AA1187" s="1"/>
    </row>
    <row r="1188" spans="1:27" ht="15" customHeight="1" x14ac:dyDescent="0.35">
      <c r="A1188" s="4" t="s">
        <v>1783</v>
      </c>
      <c r="B1188" s="1" t="s">
        <v>2300</v>
      </c>
      <c r="C1188" s="11">
        <v>45089</v>
      </c>
      <c r="E1188" s="1" t="s">
        <v>73</v>
      </c>
      <c r="F1188" s="3" t="s">
        <v>5928</v>
      </c>
      <c r="G1188" s="6">
        <f>COUNTIF(F:F,Table2[[#This Row],[Form '#]])</f>
        <v>2</v>
      </c>
      <c r="H1188" s="1" t="s">
        <v>5929</v>
      </c>
      <c r="I1188" s="1" t="s">
        <v>3852</v>
      </c>
      <c r="J1188" s="1" t="s">
        <v>80</v>
      </c>
      <c r="K1188" s="1" t="s">
        <v>3853</v>
      </c>
      <c r="L1188" s="1"/>
      <c r="M1188" s="6" t="str">
        <f>IF(Table2[[#This Row],[Corrected Form '#
 (If Duplicated)]]="",Table2[[#This Row],[Form '#]],Table2[[#This Row],[Corrected Form '#
 (If Duplicated)]])</f>
        <v>7823-03029</v>
      </c>
      <c r="N1188" s="1" t="s">
        <v>49</v>
      </c>
      <c r="O1188" s="6" t="str">
        <f>IF(Table2[[#This Row],[POG CONFIRMATION RECEIPT OF ORDER
(DATE &amp; TIME)]]="","No Confirmation","Received Confirmation")</f>
        <v>No Confirmation</v>
      </c>
      <c r="P1188" s="6">
        <f ca="1">TODAY()-Table2[[#This Row],[DATE SENT TO POG]]</f>
        <v>214</v>
      </c>
      <c r="Q1188" s="6" t="s">
        <v>5803</v>
      </c>
      <c r="R11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88" s="2" t="str">
        <f>_xlfn.XLOOKUP(Table2[[#This Row],[Adjusted Form '#]],'[2]IN PROGRESS'!$D:$D,'[2]IN PROGRESS'!$M:$M,"Not Found")</f>
        <v>Not Found</v>
      </c>
      <c r="U1188" s="2" t="str">
        <f>_xlfn.XLOOKUP(Table2[[#This Row],[Adjusted Form '#]],[1]COMPLETED!$D:$D,[2]COMPLETED!$M:$M,"Not Found")</f>
        <v>Not Found</v>
      </c>
      <c r="V1188" s="17" t="str">
        <f>_xlfn.XLOOKUP(Table2[[#This Row],[Adjusted Form '#]],[2]COMPLETED!$D:$D,[2]COMPLETED!$O:$O,"Not Found")</f>
        <v>Not Found</v>
      </c>
      <c r="W1188" s="2" t="str">
        <f>_xlfn.XLOOKUP(Table2[[#This Row],[Adjusted Form '#]],[2]BILLED!$D:$D,[2]BILLED!$M:$M,"Not Found")</f>
        <v>9402 1112 0620 7672 1872 26</v>
      </c>
      <c r="X1188" s="17" t="e">
        <f>_xlfn.XLOOKUP(Table2[[#This Row],[Adjusted Form '#]],[2]BILLED!$D:$D,[1]BILLED!$O:$O,"Not Found")</f>
        <v>#REF!</v>
      </c>
      <c r="Y1188" s="17" t="e">
        <f>_xlfn.XLOOKUP(Table2[[#This Row],[Adjusted Form '#]],'[2]REJECTED ORDERS'!$D:$D,'[2]REJECTED ORDERS'!$E:$E)</f>
        <v>#N/A</v>
      </c>
      <c r="Z1188" s="1"/>
      <c r="AA1188" s="1"/>
    </row>
    <row r="1189" spans="1:27" ht="15" customHeight="1" x14ac:dyDescent="0.35">
      <c r="A1189" s="4" t="s">
        <v>1784</v>
      </c>
      <c r="B1189" s="1" t="s">
        <v>1292</v>
      </c>
      <c r="C1189" s="11">
        <v>45089</v>
      </c>
      <c r="D1189" s="11" t="s">
        <v>6007</v>
      </c>
      <c r="E1189" s="1" t="s">
        <v>14</v>
      </c>
      <c r="F1189" s="1" t="s">
        <v>5976</v>
      </c>
      <c r="G1189" s="6">
        <f>COUNTIF(F:F,Table2[[#This Row],[Form '#]])</f>
        <v>1</v>
      </c>
      <c r="H1189" s="1" t="s">
        <v>5977</v>
      </c>
      <c r="I1189" s="1" t="s">
        <v>177</v>
      </c>
      <c r="J1189" s="1" t="s">
        <v>3891</v>
      </c>
      <c r="K1189" s="1" t="s">
        <v>3853</v>
      </c>
      <c r="L1189" s="1"/>
      <c r="M1189" s="6" t="str">
        <f>IF(Table2[[#This Row],[Corrected Form '#
 (If Duplicated)]]="",Table2[[#This Row],[Form '#]],Table2[[#This Row],[Corrected Form '#
 (If Duplicated)]])</f>
        <v>7810-02110</v>
      </c>
      <c r="N1189" s="1" t="s">
        <v>49</v>
      </c>
      <c r="O1189" s="6" t="str">
        <f>IF(Table2[[#This Row],[POG CONFIRMATION RECEIPT OF ORDER
(DATE &amp; TIME)]]="","No Confirmation","Received Confirmation")</f>
        <v>Received Confirmation</v>
      </c>
      <c r="P1189" s="6">
        <f ca="1">TODAY()-Table2[[#This Row],[DATE SENT TO POG]]</f>
        <v>214</v>
      </c>
      <c r="Q1189" s="6" t="s">
        <v>5803</v>
      </c>
      <c r="R11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89" s="2" t="str">
        <f>_xlfn.XLOOKUP(Table2[[#This Row],[Adjusted Form '#]],'[2]IN PROGRESS'!$D:$D,'[2]IN PROGRESS'!$M:$M,"Not Found")</f>
        <v>Not Found</v>
      </c>
      <c r="U1189" s="2" t="str">
        <f>_xlfn.XLOOKUP(Table2[[#This Row],[Adjusted Form '#]],[1]COMPLETED!$D:$D,[2]COMPLETED!$M:$M,"Not Found")</f>
        <v>Not Found</v>
      </c>
      <c r="V1189" s="17" t="str">
        <f>_xlfn.XLOOKUP(Table2[[#This Row],[Adjusted Form '#]],[2]COMPLETED!$D:$D,[2]COMPLETED!$O:$O,"Not Found")</f>
        <v>Not Found</v>
      </c>
      <c r="W1189" s="2" t="str">
        <f>_xlfn.XLOOKUP(Table2[[#This Row],[Adjusted Form '#]],[2]BILLED!$D:$D,[2]BILLED!$M:$M,"Not Found")</f>
        <v>1Z5063E0YW42536900</v>
      </c>
      <c r="X1189" s="17" t="e">
        <f>_xlfn.XLOOKUP(Table2[[#This Row],[Adjusted Form '#]],[2]BILLED!$D:$D,[1]BILLED!$O:$O,"Not Found")</f>
        <v>#REF!</v>
      </c>
      <c r="Y1189" s="17" t="e">
        <f>_xlfn.XLOOKUP(Table2[[#This Row],[Adjusted Form '#]],'[2]REJECTED ORDERS'!$D:$D,'[2]REJECTED ORDERS'!$E:$E)</f>
        <v>#N/A</v>
      </c>
      <c r="Z1189" s="1"/>
      <c r="AA1189" s="1"/>
    </row>
    <row r="1190" spans="1:27" ht="15" customHeight="1" x14ac:dyDescent="0.35">
      <c r="A1190" s="4" t="s">
        <v>1785</v>
      </c>
      <c r="B1190" s="1" t="s">
        <v>1292</v>
      </c>
      <c r="C1190" s="11">
        <v>45089</v>
      </c>
      <c r="D1190" s="11" t="s">
        <v>6007</v>
      </c>
      <c r="E1190" s="1" t="s">
        <v>14</v>
      </c>
      <c r="F1190" s="1" t="s">
        <v>5978</v>
      </c>
      <c r="G1190" s="6">
        <f>COUNTIF(F:F,Table2[[#This Row],[Form '#]])</f>
        <v>1</v>
      </c>
      <c r="H1190" s="1" t="s">
        <v>263</v>
      </c>
      <c r="I1190" s="1" t="s">
        <v>758</v>
      </c>
      <c r="J1190" s="1" t="s">
        <v>3891</v>
      </c>
      <c r="K1190" s="1" t="s">
        <v>3891</v>
      </c>
      <c r="L1190" s="1"/>
      <c r="M1190" s="6" t="str">
        <f>IF(Table2[[#This Row],[Corrected Form '#
 (If Duplicated)]]="",Table2[[#This Row],[Form '#]],Table2[[#This Row],[Corrected Form '#
 (If Duplicated)]])</f>
        <v>7810-02117</v>
      </c>
      <c r="N1190" s="1" t="s">
        <v>49</v>
      </c>
      <c r="O1190" s="6" t="str">
        <f>IF(Table2[[#This Row],[POG CONFIRMATION RECEIPT OF ORDER
(DATE &amp; TIME)]]="","No Confirmation","Received Confirmation")</f>
        <v>Received Confirmation</v>
      </c>
      <c r="P1190" s="6">
        <f ca="1">TODAY()-Table2[[#This Row],[DATE SENT TO POG]]</f>
        <v>214</v>
      </c>
      <c r="Q1190" s="6" t="s">
        <v>5803</v>
      </c>
      <c r="R11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0" s="2" t="str">
        <f>_xlfn.XLOOKUP(Table2[[#This Row],[Adjusted Form '#]],'[2]IN PROGRESS'!$D:$D,'[2]IN PROGRESS'!$M:$M,"Not Found")</f>
        <v>Not Found</v>
      </c>
      <c r="U1190" s="2" t="str">
        <f>_xlfn.XLOOKUP(Table2[[#This Row],[Adjusted Form '#]],[1]COMPLETED!$D:$D,[2]COMPLETED!$M:$M,"Not Found")</f>
        <v>Not Found</v>
      </c>
      <c r="V1190" s="17" t="str">
        <f>_xlfn.XLOOKUP(Table2[[#This Row],[Adjusted Form '#]],[2]COMPLETED!$D:$D,[2]COMPLETED!$O:$O,"Not Found")</f>
        <v>Not Found</v>
      </c>
      <c r="W1190" s="2" t="str">
        <f>_xlfn.XLOOKUP(Table2[[#This Row],[Adjusted Form '#]],[2]BILLED!$D:$D,[2]BILLED!$M:$M,"Not Found")</f>
        <v>1Z5063E0YW42908222</v>
      </c>
      <c r="X1190" s="17" t="e">
        <f>_xlfn.XLOOKUP(Table2[[#This Row],[Adjusted Form '#]],[2]BILLED!$D:$D,[1]BILLED!$O:$O,"Not Found")</f>
        <v>#REF!</v>
      </c>
      <c r="Y1190" s="17" t="e">
        <f>_xlfn.XLOOKUP(Table2[[#This Row],[Adjusted Form '#]],'[2]REJECTED ORDERS'!$D:$D,'[2]REJECTED ORDERS'!$E:$E)</f>
        <v>#N/A</v>
      </c>
      <c r="Z1190" s="1"/>
      <c r="AA1190" s="1"/>
    </row>
    <row r="1191" spans="1:27" ht="15" customHeight="1" x14ac:dyDescent="0.35">
      <c r="A1191" s="4" t="s">
        <v>1787</v>
      </c>
      <c r="B1191" s="1" t="s">
        <v>1292</v>
      </c>
      <c r="C1191" s="11">
        <v>45089</v>
      </c>
      <c r="D1191" s="11" t="s">
        <v>6007</v>
      </c>
      <c r="E1191" s="1" t="s">
        <v>14</v>
      </c>
      <c r="F1191" s="1" t="s">
        <v>5979</v>
      </c>
      <c r="G1191" s="6">
        <f>COUNTIF(F:F,Table2[[#This Row],[Form '#]])</f>
        <v>1</v>
      </c>
      <c r="H1191" s="1" t="s">
        <v>5980</v>
      </c>
      <c r="I1191" s="1" t="s">
        <v>177</v>
      </c>
      <c r="J1191" s="1" t="s">
        <v>3891</v>
      </c>
      <c r="K1191" s="1" t="s">
        <v>3853</v>
      </c>
      <c r="L1191" s="1"/>
      <c r="M1191" s="6" t="str">
        <f>IF(Table2[[#This Row],[Corrected Form '#
 (If Duplicated)]]="",Table2[[#This Row],[Form '#]],Table2[[#This Row],[Corrected Form '#
 (If Duplicated)]])</f>
        <v>7810-02118</v>
      </c>
      <c r="N1191" s="1" t="s">
        <v>49</v>
      </c>
      <c r="O1191" s="6" t="str">
        <f>IF(Table2[[#This Row],[POG CONFIRMATION RECEIPT OF ORDER
(DATE &amp; TIME)]]="","No Confirmation","Received Confirmation")</f>
        <v>Received Confirmation</v>
      </c>
      <c r="P1191" s="6">
        <f ca="1">TODAY()-Table2[[#This Row],[DATE SENT TO POG]]</f>
        <v>214</v>
      </c>
      <c r="Q1191" s="6" t="s">
        <v>5803</v>
      </c>
      <c r="R11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1" s="2" t="str">
        <f>_xlfn.XLOOKUP(Table2[[#This Row],[Adjusted Form '#]],'[2]IN PROGRESS'!$D:$D,'[2]IN PROGRESS'!$M:$M,"Not Found")</f>
        <v>Not Found</v>
      </c>
      <c r="U1191" s="2" t="str">
        <f>_xlfn.XLOOKUP(Table2[[#This Row],[Adjusted Form '#]],[1]COMPLETED!$D:$D,[2]COMPLETED!$M:$M,"Not Found")</f>
        <v>Not Found</v>
      </c>
      <c r="V1191" s="17" t="str">
        <f>_xlfn.XLOOKUP(Table2[[#This Row],[Adjusted Form '#]],[2]COMPLETED!$D:$D,[2]COMPLETED!$O:$O,"Not Found")</f>
        <v>Not Found</v>
      </c>
      <c r="W1191" s="2" t="str">
        <f>_xlfn.XLOOKUP(Table2[[#This Row],[Adjusted Form '#]],[2]BILLED!$D:$D,[2]BILLED!$M:$M,"Not Found")</f>
        <v>1Z5063E0YW40941207</v>
      </c>
      <c r="X1191" s="17" t="e">
        <f>_xlfn.XLOOKUP(Table2[[#This Row],[Adjusted Form '#]],[2]BILLED!$D:$D,[1]BILLED!$O:$O,"Not Found")</f>
        <v>#REF!</v>
      </c>
      <c r="Y1191" s="17" t="e">
        <f>_xlfn.XLOOKUP(Table2[[#This Row],[Adjusted Form '#]],'[2]REJECTED ORDERS'!$D:$D,'[2]REJECTED ORDERS'!$E:$E)</f>
        <v>#N/A</v>
      </c>
      <c r="Z1191" s="1"/>
      <c r="AA1191" s="1"/>
    </row>
    <row r="1192" spans="1:27" ht="15" customHeight="1" x14ac:dyDescent="0.35">
      <c r="A1192" s="4" t="s">
        <v>1789</v>
      </c>
      <c r="B1192" s="1" t="s">
        <v>1292</v>
      </c>
      <c r="C1192" s="11">
        <v>45089</v>
      </c>
      <c r="D1192" s="11" t="s">
        <v>6007</v>
      </c>
      <c r="E1192" s="1" t="s">
        <v>14</v>
      </c>
      <c r="F1192" s="1" t="s">
        <v>5981</v>
      </c>
      <c r="G1192" s="6">
        <f>COUNTIF(F:F,Table2[[#This Row],[Form '#]])</f>
        <v>1</v>
      </c>
      <c r="H1192" s="1" t="s">
        <v>5982</v>
      </c>
      <c r="I1192" s="1" t="s">
        <v>177</v>
      </c>
      <c r="J1192" s="1" t="s">
        <v>3891</v>
      </c>
      <c r="K1192" s="1" t="s">
        <v>3853</v>
      </c>
      <c r="L1192" s="1"/>
      <c r="M1192" s="6" t="str">
        <f>IF(Table2[[#This Row],[Corrected Form '#
 (If Duplicated)]]="",Table2[[#This Row],[Form '#]],Table2[[#This Row],[Corrected Form '#
 (If Duplicated)]])</f>
        <v>7810-02115</v>
      </c>
      <c r="N1192" s="1" t="s">
        <v>49</v>
      </c>
      <c r="O1192" s="6" t="str">
        <f>IF(Table2[[#This Row],[POG CONFIRMATION RECEIPT OF ORDER
(DATE &amp; TIME)]]="","No Confirmation","Received Confirmation")</f>
        <v>Received Confirmation</v>
      </c>
      <c r="P1192" s="6">
        <f ca="1">TODAY()-Table2[[#This Row],[DATE SENT TO POG]]</f>
        <v>214</v>
      </c>
      <c r="Q1192" s="6" t="s">
        <v>5803</v>
      </c>
      <c r="R11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2" s="2" t="str">
        <f>_xlfn.XLOOKUP(Table2[[#This Row],[Adjusted Form '#]],'[2]IN PROGRESS'!$D:$D,'[2]IN PROGRESS'!$M:$M,"Not Found")</f>
        <v>Not Found</v>
      </c>
      <c r="U1192" s="2" t="str">
        <f>_xlfn.XLOOKUP(Table2[[#This Row],[Adjusted Form '#]],[1]COMPLETED!$D:$D,[2]COMPLETED!$M:$M,"Not Found")</f>
        <v>Not Found</v>
      </c>
      <c r="V1192" s="17" t="str">
        <f>_xlfn.XLOOKUP(Table2[[#This Row],[Adjusted Form '#]],[2]COMPLETED!$D:$D,[2]COMPLETED!$O:$O,"Not Found")</f>
        <v>Not Found</v>
      </c>
      <c r="W1192" s="2" t="str">
        <f>_xlfn.XLOOKUP(Table2[[#This Row],[Adjusted Form '#]],[2]BILLED!$D:$D,[2]BILLED!$M:$M,"Not Found")</f>
        <v>1Z5063E0YW42341165</v>
      </c>
      <c r="X1192" s="17" t="e">
        <f>_xlfn.XLOOKUP(Table2[[#This Row],[Adjusted Form '#]],[2]BILLED!$D:$D,[1]BILLED!$O:$O,"Not Found")</f>
        <v>#REF!</v>
      </c>
      <c r="Y1192" s="17" t="e">
        <f>_xlfn.XLOOKUP(Table2[[#This Row],[Adjusted Form '#]],'[2]REJECTED ORDERS'!$D:$D,'[2]REJECTED ORDERS'!$E:$E)</f>
        <v>#N/A</v>
      </c>
      <c r="Z1192" s="1"/>
      <c r="AA1192" s="1"/>
    </row>
    <row r="1193" spans="1:27" ht="15" customHeight="1" x14ac:dyDescent="0.35">
      <c r="A1193" s="4" t="s">
        <v>1790</v>
      </c>
      <c r="B1193" s="1" t="s">
        <v>1292</v>
      </c>
      <c r="C1193" s="11">
        <v>45089</v>
      </c>
      <c r="D1193" s="11" t="s">
        <v>6007</v>
      </c>
      <c r="E1193" s="1" t="s">
        <v>14</v>
      </c>
      <c r="F1193" s="1" t="s">
        <v>5983</v>
      </c>
      <c r="G1193" s="6">
        <f>COUNTIF(F:F,Table2[[#This Row],[Form '#]])</f>
        <v>1</v>
      </c>
      <c r="H1193" s="1" t="s">
        <v>3668</v>
      </c>
      <c r="I1193" s="1" t="s">
        <v>177</v>
      </c>
      <c r="J1193" s="1" t="s">
        <v>3891</v>
      </c>
      <c r="K1193" s="1" t="s">
        <v>4011</v>
      </c>
      <c r="L1193" s="1"/>
      <c r="M1193" s="6" t="str">
        <f>IF(Table2[[#This Row],[Corrected Form '#
 (If Duplicated)]]="",Table2[[#This Row],[Form '#]],Table2[[#This Row],[Corrected Form '#
 (If Duplicated)]])</f>
        <v>7810-02116</v>
      </c>
      <c r="N1193" s="1" t="s">
        <v>49</v>
      </c>
      <c r="O1193" s="6" t="str">
        <f>IF(Table2[[#This Row],[POG CONFIRMATION RECEIPT OF ORDER
(DATE &amp; TIME)]]="","No Confirmation","Received Confirmation")</f>
        <v>Received Confirmation</v>
      </c>
      <c r="P1193" s="6">
        <f ca="1">TODAY()-Table2[[#This Row],[DATE SENT TO POG]]</f>
        <v>214</v>
      </c>
      <c r="Q1193" s="6" t="s">
        <v>5803</v>
      </c>
      <c r="R11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3" s="2" t="str">
        <f>_xlfn.XLOOKUP(Table2[[#This Row],[Adjusted Form '#]],'[2]IN PROGRESS'!$D:$D,'[2]IN PROGRESS'!$M:$M,"Not Found")</f>
        <v>Not Found</v>
      </c>
      <c r="U1193" s="2" t="str">
        <f>_xlfn.XLOOKUP(Table2[[#This Row],[Adjusted Form '#]],[1]COMPLETED!$D:$D,[2]COMPLETED!$M:$M,"Not Found")</f>
        <v>Not Found</v>
      </c>
      <c r="V1193" s="17" t="str">
        <f>_xlfn.XLOOKUP(Table2[[#This Row],[Adjusted Form '#]],[2]COMPLETED!$D:$D,[2]COMPLETED!$O:$O,"Not Found")</f>
        <v>Not Found</v>
      </c>
      <c r="W1193" s="2" t="str">
        <f>_xlfn.XLOOKUP(Table2[[#This Row],[Adjusted Form '#]],[2]BILLED!$D:$D,[2]BILLED!$M:$M,"Not Found")</f>
        <v>1Z5063E0YW41080145</v>
      </c>
      <c r="X1193" s="17" t="e">
        <f>_xlfn.XLOOKUP(Table2[[#This Row],[Adjusted Form '#]],[2]BILLED!$D:$D,[1]BILLED!$O:$O,"Not Found")</f>
        <v>#REF!</v>
      </c>
      <c r="Y1193" s="17" t="e">
        <f>_xlfn.XLOOKUP(Table2[[#This Row],[Adjusted Form '#]],'[2]REJECTED ORDERS'!$D:$D,'[2]REJECTED ORDERS'!$E:$E)</f>
        <v>#N/A</v>
      </c>
      <c r="Z1193" s="1"/>
      <c r="AA1193" s="1"/>
    </row>
    <row r="1194" spans="1:27" ht="15" customHeight="1" x14ac:dyDescent="0.35">
      <c r="A1194" s="4" t="s">
        <v>1791</v>
      </c>
      <c r="B1194" s="1" t="s">
        <v>1292</v>
      </c>
      <c r="C1194" s="11">
        <v>45089</v>
      </c>
      <c r="D1194" s="11" t="s">
        <v>6007</v>
      </c>
      <c r="E1194" s="1" t="s">
        <v>14</v>
      </c>
      <c r="F1194" s="1" t="s">
        <v>5984</v>
      </c>
      <c r="G1194" s="6">
        <f>COUNTIF(F:F,Table2[[#This Row],[Form '#]])</f>
        <v>1</v>
      </c>
      <c r="H1194" s="1" t="s">
        <v>17</v>
      </c>
      <c r="I1194" s="1" t="s">
        <v>177</v>
      </c>
      <c r="J1194" s="1" t="s">
        <v>3891</v>
      </c>
      <c r="K1194" s="1" t="s">
        <v>3853</v>
      </c>
      <c r="L1194" s="1"/>
      <c r="M1194" s="6" t="str">
        <f>IF(Table2[[#This Row],[Corrected Form '#
 (If Duplicated)]]="",Table2[[#This Row],[Form '#]],Table2[[#This Row],[Corrected Form '#
 (If Duplicated)]])</f>
        <v>7810-02113</v>
      </c>
      <c r="N1194" s="1" t="s">
        <v>49</v>
      </c>
      <c r="O1194" s="6" t="str">
        <f>IF(Table2[[#This Row],[POG CONFIRMATION RECEIPT OF ORDER
(DATE &amp; TIME)]]="","No Confirmation","Received Confirmation")</f>
        <v>Received Confirmation</v>
      </c>
      <c r="P1194" s="6">
        <f ca="1">TODAY()-Table2[[#This Row],[DATE SENT TO POG]]</f>
        <v>214</v>
      </c>
      <c r="Q1194" s="6" t="s">
        <v>5803</v>
      </c>
      <c r="R11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4" s="2" t="str">
        <f>_xlfn.XLOOKUP(Table2[[#This Row],[Adjusted Form '#]],'[2]IN PROGRESS'!$D:$D,'[2]IN PROGRESS'!$M:$M,"Not Found")</f>
        <v>Not Found</v>
      </c>
      <c r="U1194" s="2" t="str">
        <f>_xlfn.XLOOKUP(Table2[[#This Row],[Adjusted Form '#]],[1]COMPLETED!$D:$D,[2]COMPLETED!$M:$M,"Not Found")</f>
        <v>Not Found</v>
      </c>
      <c r="V1194" s="17" t="str">
        <f>_xlfn.XLOOKUP(Table2[[#This Row],[Adjusted Form '#]],[2]COMPLETED!$D:$D,[2]COMPLETED!$O:$O,"Not Found")</f>
        <v>Not Found</v>
      </c>
      <c r="W1194" s="2" t="str">
        <f>_xlfn.XLOOKUP(Table2[[#This Row],[Adjusted Form '#]],[2]BILLED!$D:$D,[2]BILLED!$M:$M,"Not Found")</f>
        <v>1Z5063E0YW41835562</v>
      </c>
      <c r="X1194" s="17" t="e">
        <f>_xlfn.XLOOKUP(Table2[[#This Row],[Adjusted Form '#]],[2]BILLED!$D:$D,[1]BILLED!$O:$O,"Not Found")</f>
        <v>#REF!</v>
      </c>
      <c r="Y1194" s="17" t="e">
        <f>_xlfn.XLOOKUP(Table2[[#This Row],[Adjusted Form '#]],'[2]REJECTED ORDERS'!$D:$D,'[2]REJECTED ORDERS'!$E:$E)</f>
        <v>#N/A</v>
      </c>
      <c r="Z1194" s="1"/>
      <c r="AA1194" s="1"/>
    </row>
    <row r="1195" spans="1:27" ht="15" customHeight="1" x14ac:dyDescent="0.35">
      <c r="A1195" s="4" t="s">
        <v>1793</v>
      </c>
      <c r="B1195" s="1" t="s">
        <v>3500</v>
      </c>
      <c r="C1195" s="11">
        <v>45089</v>
      </c>
      <c r="E1195" s="1" t="s">
        <v>73</v>
      </c>
      <c r="F1195" s="1" t="s">
        <v>5985</v>
      </c>
      <c r="G1195" s="6">
        <f>COUNTIF(F:F,Table2[[#This Row],[Form '#]])</f>
        <v>2</v>
      </c>
      <c r="H1195" s="1" t="s">
        <v>5986</v>
      </c>
      <c r="I1195" s="1" t="s">
        <v>3891</v>
      </c>
      <c r="J1195" s="1" t="s">
        <v>3891</v>
      </c>
      <c r="K1195" s="1" t="s">
        <v>3891</v>
      </c>
      <c r="L1195" s="1"/>
      <c r="M1195" s="6" t="str">
        <f>IF(Table2[[#This Row],[Corrected Form '#
 (If Duplicated)]]="",Table2[[#This Row],[Form '#]],Table2[[#This Row],[Corrected Form '#
 (If Duplicated)]])</f>
        <v>7823-02907</v>
      </c>
      <c r="N1195" s="1" t="s">
        <v>49</v>
      </c>
      <c r="O1195" s="6" t="str">
        <f>IF(Table2[[#This Row],[POG CONFIRMATION RECEIPT OF ORDER
(DATE &amp; TIME)]]="","No Confirmation","Received Confirmation")</f>
        <v>No Confirmation</v>
      </c>
      <c r="P1195" s="6">
        <f ca="1">TODAY()-Table2[[#This Row],[DATE SENT TO POG]]</f>
        <v>214</v>
      </c>
      <c r="Q1195" s="6" t="s">
        <v>5803</v>
      </c>
      <c r="R11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5" s="2" t="str">
        <f>_xlfn.XLOOKUP(Table2[[#This Row],[Adjusted Form '#]],'[2]IN PROGRESS'!$D:$D,'[2]IN PROGRESS'!$M:$M,"Not Found")</f>
        <v>Not Found</v>
      </c>
      <c r="U1195" s="2" t="str">
        <f>_xlfn.XLOOKUP(Table2[[#This Row],[Adjusted Form '#]],[1]COMPLETED!$D:$D,[2]COMPLETED!$M:$M,"Not Found")</f>
        <v>Not Found</v>
      </c>
      <c r="V1195" s="17" t="str">
        <f>_xlfn.XLOOKUP(Table2[[#This Row],[Adjusted Form '#]],[2]COMPLETED!$D:$D,[2]COMPLETED!$O:$O,"Not Found")</f>
        <v>Not Found</v>
      </c>
      <c r="W1195" s="2" t="str">
        <f>_xlfn.XLOOKUP(Table2[[#This Row],[Adjusted Form '#]],[2]BILLED!$D:$D,[2]BILLED!$M:$M,"Not Found")</f>
        <v>1Z5063E0YW41915672</v>
      </c>
      <c r="X1195" s="17" t="e">
        <f>_xlfn.XLOOKUP(Table2[[#This Row],[Adjusted Form '#]],[2]BILLED!$D:$D,[1]BILLED!$O:$O,"Not Found")</f>
        <v>#REF!</v>
      </c>
      <c r="Y1195" s="17" t="e">
        <f>_xlfn.XLOOKUP(Table2[[#This Row],[Adjusted Form '#]],'[2]REJECTED ORDERS'!$D:$D,'[2]REJECTED ORDERS'!$E:$E)</f>
        <v>#N/A</v>
      </c>
      <c r="Z1195" s="1"/>
      <c r="AA1195" s="1"/>
    </row>
    <row r="1196" spans="1:27" ht="15" customHeight="1" x14ac:dyDescent="0.35">
      <c r="A1196" s="4" t="s">
        <v>1794</v>
      </c>
      <c r="B1196" s="1" t="s">
        <v>2383</v>
      </c>
      <c r="C1196" s="11">
        <v>45089</v>
      </c>
      <c r="D1196" s="11" t="s">
        <v>6008</v>
      </c>
      <c r="E1196" s="1" t="s">
        <v>21</v>
      </c>
      <c r="F1196" s="3" t="s">
        <v>5987</v>
      </c>
      <c r="G1196" s="6">
        <f>COUNTIF(F:F,Table2[[#This Row],[Form '#]])</f>
        <v>2</v>
      </c>
      <c r="H1196" s="1" t="s">
        <v>5709</v>
      </c>
      <c r="I1196" s="1" t="s">
        <v>28</v>
      </c>
      <c r="J1196" s="1" t="s">
        <v>3891</v>
      </c>
      <c r="K1196" s="1" t="s">
        <v>4631</v>
      </c>
      <c r="L1196" s="1"/>
      <c r="M1196" s="6" t="str">
        <f>IF(Table2[[#This Row],[Corrected Form '#
 (If Duplicated)]]="",Table2[[#This Row],[Form '#]],Table2[[#This Row],[Corrected Form '#
 (If Duplicated)]])</f>
        <v>7818-29789</v>
      </c>
      <c r="N1196" s="1" t="s">
        <v>104</v>
      </c>
      <c r="O1196" s="6" t="str">
        <f>IF(Table2[[#This Row],[POG CONFIRMATION RECEIPT OF ORDER
(DATE &amp; TIME)]]="","No Confirmation","Received Confirmation")</f>
        <v>Received Confirmation</v>
      </c>
      <c r="P1196" s="6">
        <f ca="1">TODAY()-Table2[[#This Row],[DATE SENT TO POG]]</f>
        <v>214</v>
      </c>
      <c r="Q1196" s="6" t="s">
        <v>5803</v>
      </c>
      <c r="R11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6" s="2" t="str">
        <f>_xlfn.XLOOKUP(Table2[[#This Row],[Adjusted Form '#]],'[2]IN PROGRESS'!$D:$D,'[2]IN PROGRESS'!$M:$M,"Not Found")</f>
        <v>Not Found</v>
      </c>
      <c r="U1196" s="2" t="str">
        <f>_xlfn.XLOOKUP(Table2[[#This Row],[Adjusted Form '#]],[1]COMPLETED!$D:$D,[2]COMPLETED!$M:$M,"Not Found")</f>
        <v>Not Found</v>
      </c>
      <c r="V1196" s="17" t="str">
        <f>_xlfn.XLOOKUP(Table2[[#This Row],[Adjusted Form '#]],[2]COMPLETED!$D:$D,[2]COMPLETED!$O:$O,"Not Found")</f>
        <v>Not Found</v>
      </c>
      <c r="W1196" s="2" t="str">
        <f>_xlfn.XLOOKUP(Table2[[#This Row],[Adjusted Form '#]],[2]BILLED!$D:$D,[2]BILLED!$M:$M,"Not Found")</f>
        <v>9400 1112 0620 7691 8333 66</v>
      </c>
      <c r="X1196" s="17" t="e">
        <f>_xlfn.XLOOKUP(Table2[[#This Row],[Adjusted Form '#]],[2]BILLED!$D:$D,[1]BILLED!$O:$O,"Not Found")</f>
        <v>#REF!</v>
      </c>
      <c r="Y1196" s="17" t="e">
        <f>_xlfn.XLOOKUP(Table2[[#This Row],[Adjusted Form '#]],'[2]REJECTED ORDERS'!$D:$D,'[2]REJECTED ORDERS'!$E:$E)</f>
        <v>#N/A</v>
      </c>
      <c r="Z1196" s="1"/>
      <c r="AA1196" s="1"/>
    </row>
    <row r="1197" spans="1:27" ht="15" customHeight="1" x14ac:dyDescent="0.35">
      <c r="A1197" s="4" t="s">
        <v>1795</v>
      </c>
      <c r="B1197" s="1" t="s">
        <v>287</v>
      </c>
      <c r="C1197" s="11">
        <v>45089</v>
      </c>
      <c r="D1197" s="11" t="s">
        <v>6008</v>
      </c>
      <c r="E1197" s="1" t="s">
        <v>73</v>
      </c>
      <c r="F1197" s="1" t="s">
        <v>5988</v>
      </c>
      <c r="G1197" s="6">
        <f>COUNTIF(F:F,Table2[[#This Row],[Form '#]])</f>
        <v>1</v>
      </c>
      <c r="H1197" s="1" t="s">
        <v>5989</v>
      </c>
      <c r="I1197" s="1" t="s">
        <v>3852</v>
      </c>
      <c r="J1197" s="1" t="s">
        <v>80</v>
      </c>
      <c r="K1197" s="1" t="s">
        <v>3853</v>
      </c>
      <c r="L1197" s="1"/>
      <c r="M1197" s="6" t="str">
        <f>IF(Table2[[#This Row],[Corrected Form '#
 (If Duplicated)]]="",Table2[[#This Row],[Form '#]],Table2[[#This Row],[Corrected Form '#
 (If Duplicated)]])</f>
        <v>7823-02613</v>
      </c>
      <c r="N1197" s="1" t="s">
        <v>49</v>
      </c>
      <c r="O1197" s="6" t="str">
        <f>IF(Table2[[#This Row],[POG CONFIRMATION RECEIPT OF ORDER
(DATE &amp; TIME)]]="","No Confirmation","Received Confirmation")</f>
        <v>Received Confirmation</v>
      </c>
      <c r="P1197" s="6">
        <f ca="1">TODAY()-Table2[[#This Row],[DATE SENT TO POG]]</f>
        <v>214</v>
      </c>
      <c r="Q1197" s="6" t="s">
        <v>5803</v>
      </c>
      <c r="R11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7" s="2" t="str">
        <f>_xlfn.XLOOKUP(Table2[[#This Row],[Adjusted Form '#]],'[2]IN PROGRESS'!$D:$D,'[2]IN PROGRESS'!$M:$M,"Not Found")</f>
        <v>Not Found</v>
      </c>
      <c r="U1197" s="2" t="str">
        <f>_xlfn.XLOOKUP(Table2[[#This Row],[Adjusted Form '#]],[1]COMPLETED!$D:$D,[2]COMPLETED!$M:$M,"Not Found")</f>
        <v>Not Found</v>
      </c>
      <c r="V1197" s="17" t="str">
        <f>_xlfn.XLOOKUP(Table2[[#This Row],[Adjusted Form '#]],[2]COMPLETED!$D:$D,[2]COMPLETED!$O:$O,"Not Found")</f>
        <v>Not Found</v>
      </c>
      <c r="W1197" s="2" t="str">
        <f>_xlfn.XLOOKUP(Table2[[#This Row],[Adjusted Form '#]],[2]BILLED!$D:$D,[2]BILLED!$M:$M,"Not Found")</f>
        <v>1Z5063E0YW41068669</v>
      </c>
      <c r="X1197" s="17" t="e">
        <f>_xlfn.XLOOKUP(Table2[[#This Row],[Adjusted Form '#]],[2]BILLED!$D:$D,[1]BILLED!$O:$O,"Not Found")</f>
        <v>#REF!</v>
      </c>
      <c r="Y1197" s="17" t="e">
        <f>_xlfn.XLOOKUP(Table2[[#This Row],[Adjusted Form '#]],'[2]REJECTED ORDERS'!$D:$D,'[2]REJECTED ORDERS'!$E:$E)</f>
        <v>#N/A</v>
      </c>
      <c r="Z1197" s="1"/>
      <c r="AA1197" s="1"/>
    </row>
    <row r="1198" spans="1:27" ht="15" customHeight="1" x14ac:dyDescent="0.35">
      <c r="A1198" s="4" t="s">
        <v>1797</v>
      </c>
      <c r="B1198" s="1" t="s">
        <v>287</v>
      </c>
      <c r="C1198" s="11">
        <v>45089</v>
      </c>
      <c r="D1198" s="11" t="s">
        <v>6008</v>
      </c>
      <c r="E1198" s="1" t="s">
        <v>73</v>
      </c>
      <c r="F1198" s="1" t="s">
        <v>5990</v>
      </c>
      <c r="G1198" s="6">
        <f>COUNTIF(F:F,Table2[[#This Row],[Form '#]])</f>
        <v>1</v>
      </c>
      <c r="H1198" s="1" t="s">
        <v>3566</v>
      </c>
      <c r="I1198" s="1" t="s">
        <v>3864</v>
      </c>
      <c r="J1198" s="1" t="s">
        <v>3891</v>
      </c>
      <c r="K1198" s="1" t="s">
        <v>3891</v>
      </c>
      <c r="L1198" s="1"/>
      <c r="M1198" s="6" t="str">
        <f>IF(Table2[[#This Row],[Corrected Form '#
 (If Duplicated)]]="",Table2[[#This Row],[Form '#]],Table2[[#This Row],[Corrected Form '#
 (If Duplicated)]])</f>
        <v>7823-03355</v>
      </c>
      <c r="N1198" s="1" t="s">
        <v>49</v>
      </c>
      <c r="O1198" s="6" t="str">
        <f>IF(Table2[[#This Row],[POG CONFIRMATION RECEIPT OF ORDER
(DATE &amp; TIME)]]="","No Confirmation","Received Confirmation")</f>
        <v>Received Confirmation</v>
      </c>
      <c r="P1198" s="6">
        <f ca="1">TODAY()-Table2[[#This Row],[DATE SENT TO POG]]</f>
        <v>214</v>
      </c>
      <c r="Q1198" s="6" t="s">
        <v>5803</v>
      </c>
      <c r="R11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8" s="2" t="str">
        <f>_xlfn.XLOOKUP(Table2[[#This Row],[Adjusted Form '#]],'[2]IN PROGRESS'!$D:$D,'[2]IN PROGRESS'!$M:$M,"Not Found")</f>
        <v>Not Found</v>
      </c>
      <c r="U1198" s="2" t="str">
        <f>_xlfn.XLOOKUP(Table2[[#This Row],[Adjusted Form '#]],[1]COMPLETED!$D:$D,[2]COMPLETED!$M:$M,"Not Found")</f>
        <v>Not Found</v>
      </c>
      <c r="V1198" s="17" t="str">
        <f>_xlfn.XLOOKUP(Table2[[#This Row],[Adjusted Form '#]],[2]COMPLETED!$D:$D,[2]COMPLETED!$O:$O,"Not Found")</f>
        <v>Not Found</v>
      </c>
      <c r="W1198" s="2" t="str">
        <f>_xlfn.XLOOKUP(Table2[[#This Row],[Adjusted Form '#]],[2]BILLED!$D:$D,[2]BILLED!$M:$M,"Not Found")</f>
        <v>1Z5063E0YW40182886</v>
      </c>
      <c r="X1198" s="17" t="e">
        <f>_xlfn.XLOOKUP(Table2[[#This Row],[Adjusted Form '#]],[2]BILLED!$D:$D,[1]BILLED!$O:$O,"Not Found")</f>
        <v>#REF!</v>
      </c>
      <c r="Y1198" s="17" t="e">
        <f>_xlfn.XLOOKUP(Table2[[#This Row],[Adjusted Form '#]],'[2]REJECTED ORDERS'!$D:$D,'[2]REJECTED ORDERS'!$E:$E)</f>
        <v>#N/A</v>
      </c>
      <c r="Z1198" s="1"/>
      <c r="AA1198" s="1"/>
    </row>
    <row r="1199" spans="1:27" ht="15" customHeight="1" x14ac:dyDescent="0.35">
      <c r="A1199" s="4" t="s">
        <v>1800</v>
      </c>
      <c r="B1199" s="1" t="s">
        <v>287</v>
      </c>
      <c r="C1199" s="11">
        <v>45089</v>
      </c>
      <c r="D1199" s="11" t="s">
        <v>6008</v>
      </c>
      <c r="E1199" s="1" t="s">
        <v>73</v>
      </c>
      <c r="F1199" s="1" t="s">
        <v>5991</v>
      </c>
      <c r="G1199" s="6">
        <f>COUNTIF(F:F,Table2[[#This Row],[Form '#]])</f>
        <v>1</v>
      </c>
      <c r="H1199" s="1" t="s">
        <v>5992</v>
      </c>
      <c r="I1199" s="1" t="s">
        <v>3864</v>
      </c>
      <c r="J1199" s="1" t="s">
        <v>3891</v>
      </c>
      <c r="K1199" s="1" t="s">
        <v>3891</v>
      </c>
      <c r="L1199" s="1"/>
      <c r="M1199" s="6" t="str">
        <f>IF(Table2[[#This Row],[Corrected Form '#
 (If Duplicated)]]="",Table2[[#This Row],[Form '#]],Table2[[#This Row],[Corrected Form '#
 (If Duplicated)]])</f>
        <v>7823-02605</v>
      </c>
      <c r="N1199" s="1" t="s">
        <v>49</v>
      </c>
      <c r="O1199" s="6" t="str">
        <f>IF(Table2[[#This Row],[POG CONFIRMATION RECEIPT OF ORDER
(DATE &amp; TIME)]]="","No Confirmation","Received Confirmation")</f>
        <v>Received Confirmation</v>
      </c>
      <c r="P1199" s="6">
        <f ca="1">TODAY()-Table2[[#This Row],[DATE SENT TO POG]]</f>
        <v>214</v>
      </c>
      <c r="Q1199" s="6" t="s">
        <v>5803</v>
      </c>
      <c r="R11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1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199" s="2" t="str">
        <f>_xlfn.XLOOKUP(Table2[[#This Row],[Adjusted Form '#]],'[2]IN PROGRESS'!$D:$D,'[2]IN PROGRESS'!$M:$M,"Not Found")</f>
        <v>Not Found</v>
      </c>
      <c r="U1199" s="2" t="str">
        <f>_xlfn.XLOOKUP(Table2[[#This Row],[Adjusted Form '#]],[1]COMPLETED!$D:$D,[2]COMPLETED!$M:$M,"Not Found")</f>
        <v>Not Found</v>
      </c>
      <c r="V1199" s="17" t="str">
        <f>_xlfn.XLOOKUP(Table2[[#This Row],[Adjusted Form '#]],[2]COMPLETED!$D:$D,[2]COMPLETED!$O:$O,"Not Found")</f>
        <v>Not Found</v>
      </c>
      <c r="W1199" s="2" t="str">
        <f>_xlfn.XLOOKUP(Table2[[#This Row],[Adjusted Form '#]],[2]BILLED!$D:$D,[2]BILLED!$M:$M,"Not Found")</f>
        <v>1Z5063E0YW42762639</v>
      </c>
      <c r="X1199" s="17" t="e">
        <f>_xlfn.XLOOKUP(Table2[[#This Row],[Adjusted Form '#]],[2]BILLED!$D:$D,[1]BILLED!$O:$O,"Not Found")</f>
        <v>#REF!</v>
      </c>
      <c r="Y1199" s="17" t="e">
        <f>_xlfn.XLOOKUP(Table2[[#This Row],[Adjusted Form '#]],'[2]REJECTED ORDERS'!$D:$D,'[2]REJECTED ORDERS'!$E:$E)</f>
        <v>#N/A</v>
      </c>
      <c r="Z1199" s="1"/>
      <c r="AA1199" s="1"/>
    </row>
    <row r="1200" spans="1:27" ht="15" customHeight="1" x14ac:dyDescent="0.35">
      <c r="A1200" s="4" t="s">
        <v>1802</v>
      </c>
      <c r="B1200" s="1" t="s">
        <v>3528</v>
      </c>
      <c r="C1200" s="11">
        <v>45089</v>
      </c>
      <c r="D1200" s="11" t="s">
        <v>6008</v>
      </c>
      <c r="E1200" s="1" t="s">
        <v>21</v>
      </c>
      <c r="F1200" s="1" t="s">
        <v>5993</v>
      </c>
      <c r="G1200" s="6">
        <f>COUNTIF(F:F,Table2[[#This Row],[Form '#]])</f>
        <v>1</v>
      </c>
      <c r="H1200" s="1" t="s">
        <v>5994</v>
      </c>
      <c r="I1200" s="1" t="s">
        <v>3852</v>
      </c>
      <c r="J1200" s="1" t="s">
        <v>80</v>
      </c>
      <c r="K1200" s="1" t="s">
        <v>3853</v>
      </c>
      <c r="L1200" s="1"/>
      <c r="M1200" s="6" t="str">
        <f>IF(Table2[[#This Row],[Corrected Form '#
 (If Duplicated)]]="",Table2[[#This Row],[Form '#]],Table2[[#This Row],[Corrected Form '#
 (If Duplicated)]])</f>
        <v>7818-29405</v>
      </c>
      <c r="N1200" s="1" t="s">
        <v>49</v>
      </c>
      <c r="O1200" s="6" t="str">
        <f>IF(Table2[[#This Row],[POG CONFIRMATION RECEIPT OF ORDER
(DATE &amp; TIME)]]="","No Confirmation","Received Confirmation")</f>
        <v>Received Confirmation</v>
      </c>
      <c r="P1200" s="6">
        <f ca="1">TODAY()-Table2[[#This Row],[DATE SENT TO POG]]</f>
        <v>214</v>
      </c>
      <c r="Q1200" s="6" t="s">
        <v>5803</v>
      </c>
      <c r="R12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0" s="2" t="str">
        <f>_xlfn.XLOOKUP(Table2[[#This Row],[Adjusted Form '#]],'[2]IN PROGRESS'!$D:$D,'[2]IN PROGRESS'!$M:$M,"Not Found")</f>
        <v>Not Found</v>
      </c>
      <c r="U1200" s="2" t="str">
        <f>_xlfn.XLOOKUP(Table2[[#This Row],[Adjusted Form '#]],[1]COMPLETED!$D:$D,[2]COMPLETED!$M:$M,"Not Found")</f>
        <v>Not Found</v>
      </c>
      <c r="V1200" s="17" t="str">
        <f>_xlfn.XLOOKUP(Table2[[#This Row],[Adjusted Form '#]],[2]COMPLETED!$D:$D,[2]COMPLETED!$O:$O,"Not Found")</f>
        <v>Not Found</v>
      </c>
      <c r="W1200" s="2" t="str">
        <f>_xlfn.XLOOKUP(Table2[[#This Row],[Adjusted Form '#]],[2]BILLED!$D:$D,[2]BILLED!$M:$M,"Not Found")</f>
        <v>1Z5063E0YW42149249</v>
      </c>
      <c r="X1200" s="17" t="e">
        <f>_xlfn.XLOOKUP(Table2[[#This Row],[Adjusted Form '#]],[2]BILLED!$D:$D,[1]BILLED!$O:$O,"Not Found")</f>
        <v>#REF!</v>
      </c>
      <c r="Y1200" s="17" t="e">
        <f>_xlfn.XLOOKUP(Table2[[#This Row],[Adjusted Form '#]],'[2]REJECTED ORDERS'!$D:$D,'[2]REJECTED ORDERS'!$E:$E)</f>
        <v>#N/A</v>
      </c>
      <c r="Z1200" s="1"/>
      <c r="AA1200" s="1"/>
    </row>
    <row r="1201" spans="1:27" ht="15" customHeight="1" x14ac:dyDescent="0.35">
      <c r="A1201" s="4" t="s">
        <v>1804</v>
      </c>
      <c r="B1201" s="1" t="s">
        <v>3528</v>
      </c>
      <c r="C1201" s="11">
        <v>45089</v>
      </c>
      <c r="D1201" s="11" t="s">
        <v>6008</v>
      </c>
      <c r="E1201" s="1" t="s">
        <v>21</v>
      </c>
      <c r="F1201" s="1" t="s">
        <v>5995</v>
      </c>
      <c r="G1201" s="6">
        <f>COUNTIF(F:F,Table2[[#This Row],[Form '#]])</f>
        <v>1</v>
      </c>
      <c r="H1201" s="1" t="s">
        <v>5996</v>
      </c>
      <c r="I1201" s="1" t="s">
        <v>127</v>
      </c>
      <c r="J1201" s="1" t="s">
        <v>74</v>
      </c>
      <c r="K1201" s="1" t="s">
        <v>4011</v>
      </c>
      <c r="L1201" s="1"/>
      <c r="M1201" s="6" t="str">
        <f>IF(Table2[[#This Row],[Corrected Form '#
 (If Duplicated)]]="",Table2[[#This Row],[Form '#]],Table2[[#This Row],[Corrected Form '#
 (If Duplicated)]])</f>
        <v>7818-09534</v>
      </c>
      <c r="N1201" s="1" t="s">
        <v>49</v>
      </c>
      <c r="O1201" s="6" t="str">
        <f>IF(Table2[[#This Row],[POG CONFIRMATION RECEIPT OF ORDER
(DATE &amp; TIME)]]="","No Confirmation","Received Confirmation")</f>
        <v>Received Confirmation</v>
      </c>
      <c r="P1201" s="6">
        <f ca="1">TODAY()-Table2[[#This Row],[DATE SENT TO POG]]</f>
        <v>214</v>
      </c>
      <c r="Q1201" s="6" t="s">
        <v>5803</v>
      </c>
      <c r="R12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1" s="2" t="str">
        <f>_xlfn.XLOOKUP(Table2[[#This Row],[Adjusted Form '#]],'[2]IN PROGRESS'!$D:$D,'[2]IN PROGRESS'!$M:$M,"Not Found")</f>
        <v>Not Found</v>
      </c>
      <c r="U1201" s="2" t="str">
        <f>_xlfn.XLOOKUP(Table2[[#This Row],[Adjusted Form '#]],[1]COMPLETED!$D:$D,[2]COMPLETED!$M:$M,"Not Found")</f>
        <v>Not Found</v>
      </c>
      <c r="V1201" s="17" t="str">
        <f>_xlfn.XLOOKUP(Table2[[#This Row],[Adjusted Form '#]],[2]COMPLETED!$D:$D,[2]COMPLETED!$O:$O,"Not Found")</f>
        <v>Not Found</v>
      </c>
      <c r="W1201" s="2" t="str">
        <f>_xlfn.XLOOKUP(Table2[[#This Row],[Adjusted Form '#]],[2]BILLED!$D:$D,[2]BILLED!$M:$M,"Not Found")</f>
        <v>1Z5063E0YW41886221</v>
      </c>
      <c r="X1201" s="17" t="e">
        <f>_xlfn.XLOOKUP(Table2[[#This Row],[Adjusted Form '#]],[2]BILLED!$D:$D,[1]BILLED!$O:$O,"Not Found")</f>
        <v>#REF!</v>
      </c>
      <c r="Y1201" s="17" t="e">
        <f>_xlfn.XLOOKUP(Table2[[#This Row],[Adjusted Form '#]],'[2]REJECTED ORDERS'!$D:$D,'[2]REJECTED ORDERS'!$E:$E)</f>
        <v>#N/A</v>
      </c>
      <c r="Z1201" s="1"/>
      <c r="AA1201" s="1"/>
    </row>
    <row r="1202" spans="1:27" ht="15" customHeight="1" x14ac:dyDescent="0.35">
      <c r="A1202" s="4" t="s">
        <v>1805</v>
      </c>
      <c r="B1202" s="1" t="s">
        <v>3528</v>
      </c>
      <c r="C1202" s="11">
        <v>45089</v>
      </c>
      <c r="D1202" s="11" t="s">
        <v>6008</v>
      </c>
      <c r="E1202" s="1" t="s">
        <v>21</v>
      </c>
      <c r="F1202" s="1" t="s">
        <v>5997</v>
      </c>
      <c r="G1202" s="6">
        <f>COUNTIF(F:F,Table2[[#This Row],[Form '#]])</f>
        <v>1</v>
      </c>
      <c r="H1202" s="1" t="s">
        <v>5998</v>
      </c>
      <c r="I1202" s="1" t="s">
        <v>758</v>
      </c>
      <c r="J1202" s="1" t="s">
        <v>78</v>
      </c>
      <c r="K1202" s="1" t="s">
        <v>3853</v>
      </c>
      <c r="L1202" s="1"/>
      <c r="M1202" s="6" t="str">
        <f>IF(Table2[[#This Row],[Corrected Form '#
 (If Duplicated)]]="",Table2[[#This Row],[Form '#]],Table2[[#This Row],[Corrected Form '#
 (If Duplicated)]])</f>
        <v>7818-02747</v>
      </c>
      <c r="N1202" s="1" t="s">
        <v>49</v>
      </c>
      <c r="O1202" s="6" t="str">
        <f>IF(Table2[[#This Row],[POG CONFIRMATION RECEIPT OF ORDER
(DATE &amp; TIME)]]="","No Confirmation","Received Confirmation")</f>
        <v>Received Confirmation</v>
      </c>
      <c r="P1202" s="6">
        <f ca="1">TODAY()-Table2[[#This Row],[DATE SENT TO POG]]</f>
        <v>214</v>
      </c>
      <c r="Q1202" s="6" t="s">
        <v>5802</v>
      </c>
      <c r="R12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20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202" s="2" t="str">
        <f>_xlfn.XLOOKUP(Table2[[#This Row],[Adjusted Form '#]],'[2]IN PROGRESS'!$D:$D,'[2]IN PROGRESS'!$M:$M,"Not Found")</f>
        <v>Not Found</v>
      </c>
      <c r="U1202" s="2" t="str">
        <f>_xlfn.XLOOKUP(Table2[[#This Row],[Adjusted Form '#]],[1]COMPLETED!$D:$D,[2]COMPLETED!$M:$M,"Not Found")</f>
        <v>Not Found</v>
      </c>
      <c r="V1202" s="17" t="str">
        <f>_xlfn.XLOOKUP(Table2[[#This Row],[Adjusted Form '#]],[2]COMPLETED!$D:$D,[2]COMPLETED!$O:$O,"Not Found")</f>
        <v>Not Found</v>
      </c>
      <c r="W1202" s="2" t="str">
        <f>_xlfn.XLOOKUP(Table2[[#This Row],[Adjusted Form '#]],[2]BILLED!$D:$D,[2]BILLED!$M:$M,"Not Found")</f>
        <v>Not Found</v>
      </c>
      <c r="X1202" s="17" t="str">
        <f>_xlfn.XLOOKUP(Table2[[#This Row],[Adjusted Form '#]],[2]BILLED!$D:$D,[1]BILLED!$O:$O,"Not Found")</f>
        <v>Not Found</v>
      </c>
      <c r="Y1202" s="17" t="e">
        <f>_xlfn.XLOOKUP(Table2[[#This Row],[Adjusted Form '#]],'[2]REJECTED ORDERS'!$D:$D,'[2]REJECTED ORDERS'!$E:$E)</f>
        <v>#N/A</v>
      </c>
      <c r="Z1202" s="1"/>
      <c r="AA1202" s="1"/>
    </row>
    <row r="1203" spans="1:27" ht="15" customHeight="1" x14ac:dyDescent="0.35">
      <c r="A1203" s="4" t="s">
        <v>1806</v>
      </c>
      <c r="B1203" s="1" t="s">
        <v>3528</v>
      </c>
      <c r="C1203" s="11">
        <v>45089</v>
      </c>
      <c r="D1203" s="11" t="s">
        <v>6008</v>
      </c>
      <c r="E1203" s="1" t="s">
        <v>21</v>
      </c>
      <c r="F1203" s="1" t="s">
        <v>5999</v>
      </c>
      <c r="G1203" s="6">
        <f>COUNTIF(F:F,Table2[[#This Row],[Form '#]])</f>
        <v>1</v>
      </c>
      <c r="H1203" s="1" t="s">
        <v>2309</v>
      </c>
      <c r="I1203" s="1" t="s">
        <v>177</v>
      </c>
      <c r="J1203" s="1" t="s">
        <v>75</v>
      </c>
      <c r="K1203" s="1" t="s">
        <v>3853</v>
      </c>
      <c r="L1203" s="1"/>
      <c r="M1203" s="6" t="str">
        <f>IF(Table2[[#This Row],[Corrected Form '#
 (If Duplicated)]]="",Table2[[#This Row],[Form '#]],Table2[[#This Row],[Corrected Form '#
 (If Duplicated)]])</f>
        <v>7818-22415</v>
      </c>
      <c r="N1203" s="1" t="s">
        <v>49</v>
      </c>
      <c r="O1203" s="6" t="str">
        <f>IF(Table2[[#This Row],[POG CONFIRMATION RECEIPT OF ORDER
(DATE &amp; TIME)]]="","No Confirmation","Received Confirmation")</f>
        <v>Received Confirmation</v>
      </c>
      <c r="P1203" s="6">
        <f ca="1">TODAY()-Table2[[#This Row],[DATE SENT TO POG]]</f>
        <v>214</v>
      </c>
      <c r="Q1203" s="6" t="s">
        <v>5803</v>
      </c>
      <c r="R12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3" s="2" t="str">
        <f>_xlfn.XLOOKUP(Table2[[#This Row],[Adjusted Form '#]],'[2]IN PROGRESS'!$D:$D,'[2]IN PROGRESS'!$M:$M,"Not Found")</f>
        <v>Not Found</v>
      </c>
      <c r="U1203" s="2" t="str">
        <f>_xlfn.XLOOKUP(Table2[[#This Row],[Adjusted Form '#]],[1]COMPLETED!$D:$D,[2]COMPLETED!$M:$M,"Not Found")</f>
        <v>Not Found</v>
      </c>
      <c r="V1203" s="17" t="str">
        <f>_xlfn.XLOOKUP(Table2[[#This Row],[Adjusted Form '#]],[2]COMPLETED!$D:$D,[2]COMPLETED!$O:$O,"Not Found")</f>
        <v>Not Found</v>
      </c>
      <c r="W1203" s="2" t="str">
        <f>_xlfn.XLOOKUP(Table2[[#This Row],[Adjusted Form '#]],[2]BILLED!$D:$D,[2]BILLED!$M:$M,"Not Found")</f>
        <v>1Z5063E0YW42562757</v>
      </c>
      <c r="X1203" s="17" t="e">
        <f>_xlfn.XLOOKUP(Table2[[#This Row],[Adjusted Form '#]],[2]BILLED!$D:$D,[1]BILLED!$O:$O,"Not Found")</f>
        <v>#REF!</v>
      </c>
      <c r="Y1203" s="17" t="e">
        <f>_xlfn.XLOOKUP(Table2[[#This Row],[Adjusted Form '#]],'[2]REJECTED ORDERS'!$D:$D,'[2]REJECTED ORDERS'!$E:$E)</f>
        <v>#N/A</v>
      </c>
      <c r="Z1203" s="1"/>
      <c r="AA1203" s="1"/>
    </row>
    <row r="1204" spans="1:27" ht="15" customHeight="1" x14ac:dyDescent="0.35">
      <c r="A1204" s="4" t="s">
        <v>1809</v>
      </c>
      <c r="B1204" s="1" t="s">
        <v>3528</v>
      </c>
      <c r="C1204" s="11">
        <v>45089</v>
      </c>
      <c r="D1204" s="11" t="s">
        <v>6008</v>
      </c>
      <c r="E1204" s="1" t="s">
        <v>21</v>
      </c>
      <c r="F1204" s="1" t="s">
        <v>6000</v>
      </c>
      <c r="G1204" s="6">
        <f>COUNTIF(F:F,Table2[[#This Row],[Form '#]])</f>
        <v>1</v>
      </c>
      <c r="H1204" s="1" t="s">
        <v>6001</v>
      </c>
      <c r="I1204" s="1" t="s">
        <v>127</v>
      </c>
      <c r="J1204" s="1" t="s">
        <v>76</v>
      </c>
      <c r="K1204" s="1" t="s">
        <v>4011</v>
      </c>
      <c r="L1204" s="1"/>
      <c r="M1204" s="6" t="str">
        <f>IF(Table2[[#This Row],[Corrected Form '#
 (If Duplicated)]]="",Table2[[#This Row],[Form '#]],Table2[[#This Row],[Corrected Form '#
 (If Duplicated)]])</f>
        <v>7818-29929</v>
      </c>
      <c r="N1204" s="1" t="s">
        <v>49</v>
      </c>
      <c r="O1204" s="6" t="str">
        <f>IF(Table2[[#This Row],[POG CONFIRMATION RECEIPT OF ORDER
(DATE &amp; TIME)]]="","No Confirmation","Received Confirmation")</f>
        <v>Received Confirmation</v>
      </c>
      <c r="P1204" s="6">
        <f ca="1">TODAY()-Table2[[#This Row],[DATE SENT TO POG]]</f>
        <v>214</v>
      </c>
      <c r="Q1204" s="6" t="s">
        <v>5803</v>
      </c>
      <c r="R12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4" s="2" t="str">
        <f>_xlfn.XLOOKUP(Table2[[#This Row],[Adjusted Form '#]],'[2]IN PROGRESS'!$D:$D,'[2]IN PROGRESS'!$M:$M,"Not Found")</f>
        <v>Not Found</v>
      </c>
      <c r="U1204" s="2" t="str">
        <f>_xlfn.XLOOKUP(Table2[[#This Row],[Adjusted Form '#]],[1]COMPLETED!$D:$D,[2]COMPLETED!$M:$M,"Not Found")</f>
        <v>Not Found</v>
      </c>
      <c r="V1204" s="17" t="str">
        <f>_xlfn.XLOOKUP(Table2[[#This Row],[Adjusted Form '#]],[2]COMPLETED!$D:$D,[2]COMPLETED!$O:$O,"Not Found")</f>
        <v>Not Found</v>
      </c>
      <c r="W1204" s="2" t="str">
        <f>_xlfn.XLOOKUP(Table2[[#This Row],[Adjusted Form '#]],[2]BILLED!$D:$D,[2]BILLED!$M:$M,"Not Found")</f>
        <v>1Z5063E0YW42754433</v>
      </c>
      <c r="X1204" s="17" t="e">
        <f>_xlfn.XLOOKUP(Table2[[#This Row],[Adjusted Form '#]],[2]BILLED!$D:$D,[1]BILLED!$O:$O,"Not Found")</f>
        <v>#REF!</v>
      </c>
      <c r="Y1204" s="17" t="e">
        <f>_xlfn.XLOOKUP(Table2[[#This Row],[Adjusted Form '#]],'[2]REJECTED ORDERS'!$D:$D,'[2]REJECTED ORDERS'!$E:$E)</f>
        <v>#N/A</v>
      </c>
      <c r="Z1204" s="1"/>
      <c r="AA1204" s="1"/>
    </row>
    <row r="1205" spans="1:27" ht="15" customHeight="1" x14ac:dyDescent="0.35">
      <c r="A1205" s="4" t="s">
        <v>1810</v>
      </c>
      <c r="B1205" s="1" t="s">
        <v>3528</v>
      </c>
      <c r="C1205" s="11">
        <v>45089</v>
      </c>
      <c r="D1205" s="11" t="s">
        <v>6008</v>
      </c>
      <c r="E1205" s="1" t="s">
        <v>21</v>
      </c>
      <c r="F1205" s="1" t="s">
        <v>6002</v>
      </c>
      <c r="G1205" s="6">
        <f>COUNTIF(F:F,Table2[[#This Row],[Form '#]])</f>
        <v>1</v>
      </c>
      <c r="H1205" s="1" t="s">
        <v>3518</v>
      </c>
      <c r="I1205" s="1" t="s">
        <v>3852</v>
      </c>
      <c r="J1205" s="1" t="s">
        <v>80</v>
      </c>
      <c r="K1205" s="1" t="s">
        <v>3853</v>
      </c>
      <c r="L1205" s="1"/>
      <c r="M1205" s="6" t="str">
        <f>IF(Table2[[#This Row],[Corrected Form '#
 (If Duplicated)]]="",Table2[[#This Row],[Form '#]],Table2[[#This Row],[Corrected Form '#
 (If Duplicated)]])</f>
        <v>7818-21666</v>
      </c>
      <c r="N1205" s="1" t="s">
        <v>49</v>
      </c>
      <c r="O1205" s="6" t="str">
        <f>IF(Table2[[#This Row],[POG CONFIRMATION RECEIPT OF ORDER
(DATE &amp; TIME)]]="","No Confirmation","Received Confirmation")</f>
        <v>Received Confirmation</v>
      </c>
      <c r="P1205" s="6">
        <f ca="1">TODAY()-Table2[[#This Row],[DATE SENT TO POG]]</f>
        <v>214</v>
      </c>
      <c r="Q1205" s="6" t="s">
        <v>5803</v>
      </c>
      <c r="R12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5" s="2" t="str">
        <f>_xlfn.XLOOKUP(Table2[[#This Row],[Adjusted Form '#]],'[2]IN PROGRESS'!$D:$D,'[2]IN PROGRESS'!$M:$M,"Not Found")</f>
        <v>Not Found</v>
      </c>
      <c r="U1205" s="2" t="str">
        <f>_xlfn.XLOOKUP(Table2[[#This Row],[Adjusted Form '#]],[1]COMPLETED!$D:$D,[2]COMPLETED!$M:$M,"Not Found")</f>
        <v>Not Found</v>
      </c>
      <c r="V1205" s="17" t="str">
        <f>_xlfn.XLOOKUP(Table2[[#This Row],[Adjusted Form '#]],[2]COMPLETED!$D:$D,[2]COMPLETED!$O:$O,"Not Found")</f>
        <v>Not Found</v>
      </c>
      <c r="W1205" s="2" t="str">
        <f>_xlfn.XLOOKUP(Table2[[#This Row],[Adjusted Form '#]],[2]BILLED!$D:$D,[2]BILLED!$M:$M,"Not Found")</f>
        <v>1Z5063E0YW40793850</v>
      </c>
      <c r="X1205" s="17" t="e">
        <f>_xlfn.XLOOKUP(Table2[[#This Row],[Adjusted Form '#]],[2]BILLED!$D:$D,[1]BILLED!$O:$O,"Not Found")</f>
        <v>#REF!</v>
      </c>
      <c r="Y1205" s="17" t="e">
        <f>_xlfn.XLOOKUP(Table2[[#This Row],[Adjusted Form '#]],'[2]REJECTED ORDERS'!$D:$D,'[2]REJECTED ORDERS'!$E:$E)</f>
        <v>#N/A</v>
      </c>
      <c r="Z1205" s="1"/>
      <c r="AA1205" s="1"/>
    </row>
    <row r="1206" spans="1:27" ht="15" customHeight="1" x14ac:dyDescent="0.35">
      <c r="A1206" s="4" t="s">
        <v>1812</v>
      </c>
      <c r="B1206" s="1" t="s">
        <v>3528</v>
      </c>
      <c r="C1206" s="11">
        <v>45089</v>
      </c>
      <c r="D1206" s="11" t="s">
        <v>6008</v>
      </c>
      <c r="E1206" s="1" t="s">
        <v>21</v>
      </c>
      <c r="F1206" s="7" t="s">
        <v>1118</v>
      </c>
      <c r="G1206" s="6">
        <f>COUNTIF(F:F,Table2[[#This Row],[Form '#]])</f>
        <v>1</v>
      </c>
      <c r="H1206" s="1" t="s">
        <v>546</v>
      </c>
      <c r="I1206" s="1" t="s">
        <v>3864</v>
      </c>
      <c r="J1206" s="1" t="s">
        <v>78</v>
      </c>
      <c r="K1206" s="1" t="s">
        <v>3879</v>
      </c>
      <c r="L1206" s="1"/>
      <c r="M1206" s="6" t="str">
        <f>IF(Table2[[#This Row],[Corrected Form '#
 (If Duplicated)]]="",Table2[[#This Row],[Form '#]],Table2[[#This Row],[Corrected Form '#
 (If Duplicated)]])</f>
        <v>7818-07976</v>
      </c>
      <c r="N1206" s="1" t="s">
        <v>49</v>
      </c>
      <c r="O1206" s="6" t="str">
        <f>IF(Table2[[#This Row],[POG CONFIRMATION RECEIPT OF ORDER
(DATE &amp; TIME)]]="","No Confirmation","Received Confirmation")</f>
        <v>Received Confirmation</v>
      </c>
      <c r="P1206" s="6">
        <f ca="1">TODAY()-Table2[[#This Row],[DATE SENT TO POG]]</f>
        <v>214</v>
      </c>
      <c r="Q1206" s="6" t="s">
        <v>5803</v>
      </c>
      <c r="R12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6" s="2" t="str">
        <f>_xlfn.XLOOKUP(Table2[[#This Row],[Adjusted Form '#]],'[2]IN PROGRESS'!$D:$D,'[2]IN PROGRESS'!$M:$M,"Not Found")</f>
        <v>Not Found</v>
      </c>
      <c r="U1206" s="2" t="str">
        <f>_xlfn.XLOOKUP(Table2[[#This Row],[Adjusted Form '#]],[1]COMPLETED!$D:$D,[2]COMPLETED!$M:$M,"Not Found")</f>
        <v>Not Found</v>
      </c>
      <c r="V1206" s="17" t="str">
        <f>_xlfn.XLOOKUP(Table2[[#This Row],[Adjusted Form '#]],[2]COMPLETED!$D:$D,[2]COMPLETED!$O:$O,"Not Found")</f>
        <v>Not Found</v>
      </c>
      <c r="W1206" s="2" t="str">
        <f>_xlfn.XLOOKUP(Table2[[#This Row],[Adjusted Form '#]],[2]BILLED!$D:$D,[2]BILLED!$M:$M,"Not Found")</f>
        <v>1Z5063E0YW41337047</v>
      </c>
      <c r="X1206" s="17" t="e">
        <f>_xlfn.XLOOKUP(Table2[[#This Row],[Adjusted Form '#]],[2]BILLED!$D:$D,[1]BILLED!$O:$O,"Not Found")</f>
        <v>#REF!</v>
      </c>
      <c r="Y1206" s="17" t="e">
        <f>_xlfn.XLOOKUP(Table2[[#This Row],[Adjusted Form '#]],'[2]REJECTED ORDERS'!$D:$D,'[2]REJECTED ORDERS'!$E:$E)</f>
        <v>#N/A</v>
      </c>
      <c r="Z1206" s="1"/>
      <c r="AA1206" s="1"/>
    </row>
    <row r="1207" spans="1:27" ht="15" customHeight="1" x14ac:dyDescent="0.35">
      <c r="A1207" s="4" t="s">
        <v>1814</v>
      </c>
      <c r="B1207" s="1" t="s">
        <v>347</v>
      </c>
      <c r="C1207" s="11">
        <v>45089</v>
      </c>
      <c r="D1207" s="11" t="s">
        <v>6009</v>
      </c>
      <c r="E1207" s="1" t="s">
        <v>21</v>
      </c>
      <c r="F1207" s="1" t="s">
        <v>6003</v>
      </c>
      <c r="G1207" s="6">
        <f>COUNTIF(F:F,Table2[[#This Row],[Form '#]])</f>
        <v>1</v>
      </c>
      <c r="H1207" s="1" t="s">
        <v>6004</v>
      </c>
      <c r="I1207" s="1" t="s">
        <v>3852</v>
      </c>
      <c r="J1207" s="1" t="s">
        <v>3891</v>
      </c>
      <c r="K1207" s="1" t="s">
        <v>3853</v>
      </c>
      <c r="L1207" s="1"/>
      <c r="M1207" s="6" t="str">
        <f>IF(Table2[[#This Row],[Corrected Form '#
 (If Duplicated)]]="",Table2[[#This Row],[Form '#]],Table2[[#This Row],[Corrected Form '#
 (If Duplicated)]])</f>
        <v>7818-26196</v>
      </c>
      <c r="N1207" s="1" t="s">
        <v>49</v>
      </c>
      <c r="O1207" s="6" t="str">
        <f>IF(Table2[[#This Row],[POG CONFIRMATION RECEIPT OF ORDER
(DATE &amp; TIME)]]="","No Confirmation","Received Confirmation")</f>
        <v>Received Confirmation</v>
      </c>
      <c r="P1207" s="6">
        <f ca="1">TODAY()-Table2[[#This Row],[DATE SENT TO POG]]</f>
        <v>214</v>
      </c>
      <c r="Q1207" s="6" t="s">
        <v>5803</v>
      </c>
      <c r="R12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7" s="2" t="str">
        <f>_xlfn.XLOOKUP(Table2[[#This Row],[Adjusted Form '#]],'[2]IN PROGRESS'!$D:$D,'[2]IN PROGRESS'!$M:$M,"Not Found")</f>
        <v>Not Found</v>
      </c>
      <c r="U1207" s="2" t="str">
        <f>_xlfn.XLOOKUP(Table2[[#This Row],[Adjusted Form '#]],[1]COMPLETED!$D:$D,[2]COMPLETED!$M:$M,"Not Found")</f>
        <v>Not Found</v>
      </c>
      <c r="V1207" s="17" t="str">
        <f>_xlfn.XLOOKUP(Table2[[#This Row],[Adjusted Form '#]],[2]COMPLETED!$D:$D,[2]COMPLETED!$O:$O,"Not Found")</f>
        <v>Not Found</v>
      </c>
      <c r="W1207" s="2" t="str">
        <f>_xlfn.XLOOKUP(Table2[[#This Row],[Adjusted Form '#]],[2]BILLED!$D:$D,[2]BILLED!$M:$M,"Not Found")</f>
        <v>1Z5063E0YW41706979</v>
      </c>
      <c r="X1207" s="17" t="e">
        <f>_xlfn.XLOOKUP(Table2[[#This Row],[Adjusted Form '#]],[2]BILLED!$D:$D,[1]BILLED!$O:$O,"Not Found")</f>
        <v>#REF!</v>
      </c>
      <c r="Y1207" s="17" t="e">
        <f>_xlfn.XLOOKUP(Table2[[#This Row],[Adjusted Form '#]],'[2]REJECTED ORDERS'!$D:$D,'[2]REJECTED ORDERS'!$E:$E)</f>
        <v>#N/A</v>
      </c>
      <c r="Z1207" s="1"/>
      <c r="AA1207" s="1"/>
    </row>
    <row r="1208" spans="1:27" ht="15" customHeight="1" x14ac:dyDescent="0.35">
      <c r="A1208" s="4" t="s">
        <v>1816</v>
      </c>
      <c r="B1208" s="1" t="s">
        <v>347</v>
      </c>
      <c r="C1208" s="11">
        <v>45089</v>
      </c>
      <c r="D1208" s="11" t="s">
        <v>6009</v>
      </c>
      <c r="E1208" s="1" t="s">
        <v>21</v>
      </c>
      <c r="F1208" s="1" t="s">
        <v>6005</v>
      </c>
      <c r="G1208" s="6">
        <f>COUNTIF(F:F,Table2[[#This Row],[Form '#]])</f>
        <v>1</v>
      </c>
      <c r="H1208" s="1" t="s">
        <v>812</v>
      </c>
      <c r="I1208" s="1" t="s">
        <v>3852</v>
      </c>
      <c r="J1208" s="1" t="s">
        <v>80</v>
      </c>
      <c r="K1208" s="1" t="s">
        <v>3853</v>
      </c>
      <c r="L1208" s="1"/>
      <c r="M1208" s="6" t="str">
        <f>IF(Table2[[#This Row],[Corrected Form '#
 (If Duplicated)]]="",Table2[[#This Row],[Form '#]],Table2[[#This Row],[Corrected Form '#
 (If Duplicated)]])</f>
        <v>7818-16183</v>
      </c>
      <c r="N1208" s="1" t="s">
        <v>49</v>
      </c>
      <c r="O1208" s="6" t="str">
        <f>IF(Table2[[#This Row],[POG CONFIRMATION RECEIPT OF ORDER
(DATE &amp; TIME)]]="","No Confirmation","Received Confirmation")</f>
        <v>Received Confirmation</v>
      </c>
      <c r="P1208" s="6">
        <f ca="1">TODAY()-Table2[[#This Row],[DATE SENT TO POG]]</f>
        <v>214</v>
      </c>
      <c r="Q1208" s="6" t="s">
        <v>5803</v>
      </c>
      <c r="R12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8" s="2" t="str">
        <f>_xlfn.XLOOKUP(Table2[[#This Row],[Adjusted Form '#]],'[2]IN PROGRESS'!$D:$D,'[2]IN PROGRESS'!$M:$M,"Not Found")</f>
        <v>Not Found</v>
      </c>
      <c r="U1208" s="2" t="str">
        <f>_xlfn.XLOOKUP(Table2[[#This Row],[Adjusted Form '#]],[1]COMPLETED!$D:$D,[2]COMPLETED!$M:$M,"Not Found")</f>
        <v>Not Found</v>
      </c>
      <c r="V1208" s="17" t="str">
        <f>_xlfn.XLOOKUP(Table2[[#This Row],[Adjusted Form '#]],[2]COMPLETED!$D:$D,[2]COMPLETED!$O:$O,"Not Found")</f>
        <v>Not Found</v>
      </c>
      <c r="W1208" s="2" t="str">
        <f>_xlfn.XLOOKUP(Table2[[#This Row],[Adjusted Form '#]],[2]BILLED!$D:$D,[2]BILLED!$M:$M,"Not Found")</f>
        <v>1Z5063E0YW41757030</v>
      </c>
      <c r="X1208" s="17" t="e">
        <f>_xlfn.XLOOKUP(Table2[[#This Row],[Adjusted Form '#]],[2]BILLED!$D:$D,[1]BILLED!$O:$O,"Not Found")</f>
        <v>#REF!</v>
      </c>
      <c r="Y1208" s="17" t="e">
        <f>_xlfn.XLOOKUP(Table2[[#This Row],[Adjusted Form '#]],'[2]REJECTED ORDERS'!$D:$D,'[2]REJECTED ORDERS'!$E:$E)</f>
        <v>#N/A</v>
      </c>
      <c r="Z1208" s="1"/>
      <c r="AA1208" s="1"/>
    </row>
    <row r="1209" spans="1:27" ht="15" customHeight="1" x14ac:dyDescent="0.35">
      <c r="A1209" s="4" t="s">
        <v>1817</v>
      </c>
      <c r="B1209" s="1" t="s">
        <v>347</v>
      </c>
      <c r="C1209" s="11">
        <v>45089</v>
      </c>
      <c r="D1209" s="11" t="s">
        <v>6009</v>
      </c>
      <c r="E1209" s="1" t="s">
        <v>21</v>
      </c>
      <c r="F1209" s="1" t="s">
        <v>6006</v>
      </c>
      <c r="G1209" s="6">
        <f>COUNTIF(F:F,Table2[[#This Row],[Form '#]])</f>
        <v>1</v>
      </c>
      <c r="H1209" s="1" t="s">
        <v>3543</v>
      </c>
      <c r="I1209" s="1" t="s">
        <v>177</v>
      </c>
      <c r="J1209" s="1" t="s">
        <v>75</v>
      </c>
      <c r="K1209" s="1" t="s">
        <v>3853</v>
      </c>
      <c r="L1209" s="1"/>
      <c r="M1209" s="6" t="str">
        <f>IF(Table2[[#This Row],[Corrected Form '#
 (If Duplicated)]]="",Table2[[#This Row],[Form '#]],Table2[[#This Row],[Corrected Form '#
 (If Duplicated)]])</f>
        <v>7818-17698</v>
      </c>
      <c r="N1209" s="1" t="s">
        <v>49</v>
      </c>
      <c r="O1209" s="6" t="str">
        <f>IF(Table2[[#This Row],[POG CONFIRMATION RECEIPT OF ORDER
(DATE &amp; TIME)]]="","No Confirmation","Received Confirmation")</f>
        <v>Received Confirmation</v>
      </c>
      <c r="P1209" s="6">
        <f ca="1">TODAY()-Table2[[#This Row],[DATE SENT TO POG]]</f>
        <v>214</v>
      </c>
      <c r="Q1209" s="6" t="s">
        <v>5803</v>
      </c>
      <c r="R12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09" s="2" t="str">
        <f>_xlfn.XLOOKUP(Table2[[#This Row],[Adjusted Form '#]],'[2]IN PROGRESS'!$D:$D,'[2]IN PROGRESS'!$M:$M,"Not Found")</f>
        <v>Not Found</v>
      </c>
      <c r="U1209" s="2" t="str">
        <f>_xlfn.XLOOKUP(Table2[[#This Row],[Adjusted Form '#]],[1]COMPLETED!$D:$D,[2]COMPLETED!$M:$M,"Not Found")</f>
        <v>Not Found</v>
      </c>
      <c r="V1209" s="17" t="str">
        <f>_xlfn.XLOOKUP(Table2[[#This Row],[Adjusted Form '#]],[2]COMPLETED!$D:$D,[2]COMPLETED!$O:$O,"Not Found")</f>
        <v>Not Found</v>
      </c>
      <c r="W1209" s="2" t="str">
        <f>_xlfn.XLOOKUP(Table2[[#This Row],[Adjusted Form '#]],[2]BILLED!$D:$D,[2]BILLED!$M:$M,"Not Found")</f>
        <v>1Z5063E0YW40286443</v>
      </c>
      <c r="X1209" s="17" t="e">
        <f>_xlfn.XLOOKUP(Table2[[#This Row],[Adjusted Form '#]],[2]BILLED!$D:$D,[1]BILLED!$O:$O,"Not Found")</f>
        <v>#REF!</v>
      </c>
      <c r="Y1209" s="17" t="e">
        <f>_xlfn.XLOOKUP(Table2[[#This Row],[Adjusted Form '#]],'[2]REJECTED ORDERS'!$D:$D,'[2]REJECTED ORDERS'!$E:$E)</f>
        <v>#N/A</v>
      </c>
      <c r="Z1209" s="1"/>
      <c r="AA1209" s="1"/>
    </row>
    <row r="1210" spans="1:27" ht="15" customHeight="1" x14ac:dyDescent="0.35">
      <c r="A1210" s="4" t="s">
        <v>1818</v>
      </c>
      <c r="B1210" s="1" t="s">
        <v>2501</v>
      </c>
      <c r="C1210" s="11">
        <v>45090</v>
      </c>
      <c r="D1210" s="11" t="s">
        <v>6024</v>
      </c>
      <c r="E1210" s="1" t="s">
        <v>14</v>
      </c>
      <c r="F1210" s="1" t="s">
        <v>6010</v>
      </c>
      <c r="G1210" s="6">
        <f>COUNTIF(F:F,Table2[[#This Row],[Form '#]])</f>
        <v>1</v>
      </c>
      <c r="H1210" s="1" t="s">
        <v>861</v>
      </c>
      <c r="I1210" s="1" t="s">
        <v>3852</v>
      </c>
      <c r="J1210" s="1" t="s">
        <v>80</v>
      </c>
      <c r="K1210" s="1" t="s">
        <v>3853</v>
      </c>
      <c r="L1210" s="1"/>
      <c r="M1210" s="6" t="str">
        <f>IF(Table2[[#This Row],[Corrected Form '#
 (If Duplicated)]]="",Table2[[#This Row],[Form '#]],Table2[[#This Row],[Corrected Form '#
 (If Duplicated)]])</f>
        <v>7810-02109</v>
      </c>
      <c r="N1210" s="1" t="s">
        <v>49</v>
      </c>
      <c r="O1210" s="6" t="str">
        <f>IF(Table2[[#This Row],[POG CONFIRMATION RECEIPT OF ORDER
(DATE &amp; TIME)]]="","No Confirmation","Received Confirmation")</f>
        <v>Received Confirmation</v>
      </c>
      <c r="P1210" s="6">
        <f ca="1">TODAY()-Table2[[#This Row],[DATE SENT TO POG]]</f>
        <v>213</v>
      </c>
      <c r="Q1210" s="6" t="s">
        <v>5803</v>
      </c>
      <c r="R12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0" s="2" t="str">
        <f>_xlfn.XLOOKUP(Table2[[#This Row],[Adjusted Form '#]],'[2]IN PROGRESS'!$D:$D,'[2]IN PROGRESS'!$M:$M,"Not Found")</f>
        <v>Not Found</v>
      </c>
      <c r="U1210" s="2" t="str">
        <f>_xlfn.XLOOKUP(Table2[[#This Row],[Adjusted Form '#]],[1]COMPLETED!$D:$D,[2]COMPLETED!$M:$M,"Not Found")</f>
        <v>Not Found</v>
      </c>
      <c r="V1210" s="17" t="str">
        <f>_xlfn.XLOOKUP(Table2[[#This Row],[Adjusted Form '#]],[2]COMPLETED!$D:$D,[2]COMPLETED!$O:$O,"Not Found")</f>
        <v>Not Found</v>
      </c>
      <c r="W1210" s="2" t="str">
        <f>_xlfn.XLOOKUP(Table2[[#This Row],[Adjusted Form '#]],[2]BILLED!$D:$D,[2]BILLED!$M:$M,"Not Found")</f>
        <v>1Z5063E0YW40534817</v>
      </c>
      <c r="X1210" s="17" t="e">
        <f>_xlfn.XLOOKUP(Table2[[#This Row],[Adjusted Form '#]],[2]BILLED!$D:$D,[1]BILLED!$O:$O,"Not Found")</f>
        <v>#REF!</v>
      </c>
      <c r="Y1210" s="17" t="e">
        <f>_xlfn.XLOOKUP(Table2[[#This Row],[Adjusted Form '#]],'[2]REJECTED ORDERS'!$D:$D,'[2]REJECTED ORDERS'!$E:$E)</f>
        <v>#N/A</v>
      </c>
      <c r="Z1210" s="1"/>
      <c r="AA1210" s="1"/>
    </row>
    <row r="1211" spans="1:27" ht="15" customHeight="1" x14ac:dyDescent="0.35">
      <c r="A1211" s="4" t="s">
        <v>1819</v>
      </c>
      <c r="B1211" s="1" t="s">
        <v>2501</v>
      </c>
      <c r="C1211" s="11">
        <v>45090</v>
      </c>
      <c r="D1211" s="11" t="s">
        <v>6024</v>
      </c>
      <c r="E1211" s="1" t="s">
        <v>14</v>
      </c>
      <c r="F1211" s="1" t="s">
        <v>6011</v>
      </c>
      <c r="G1211" s="6">
        <f>COUNTIF(F:F,Table2[[#This Row],[Form '#]])</f>
        <v>1</v>
      </c>
      <c r="H1211" s="1" t="s">
        <v>6012</v>
      </c>
      <c r="I1211" s="1" t="s">
        <v>3852</v>
      </c>
      <c r="J1211" s="1" t="s">
        <v>75</v>
      </c>
      <c r="K1211" s="1" t="s">
        <v>3853</v>
      </c>
      <c r="L1211" s="1"/>
      <c r="M1211" s="6" t="str">
        <f>IF(Table2[[#This Row],[Corrected Form '#
 (If Duplicated)]]="",Table2[[#This Row],[Form '#]],Table2[[#This Row],[Corrected Form '#
 (If Duplicated)]])</f>
        <v>7810-02121</v>
      </c>
      <c r="N1211" s="1" t="s">
        <v>49</v>
      </c>
      <c r="O1211" s="6" t="str">
        <f>IF(Table2[[#This Row],[POG CONFIRMATION RECEIPT OF ORDER
(DATE &amp; TIME)]]="","No Confirmation","Received Confirmation")</f>
        <v>Received Confirmation</v>
      </c>
      <c r="P1211" s="6">
        <f ca="1">TODAY()-Table2[[#This Row],[DATE SENT TO POG]]</f>
        <v>213</v>
      </c>
      <c r="Q1211" s="6" t="s">
        <v>5803</v>
      </c>
      <c r="R12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1" s="2" t="str">
        <f>_xlfn.XLOOKUP(Table2[[#This Row],[Adjusted Form '#]],'[2]IN PROGRESS'!$D:$D,'[2]IN PROGRESS'!$M:$M,"Not Found")</f>
        <v>Not Found</v>
      </c>
      <c r="U1211" s="2" t="str">
        <f>_xlfn.XLOOKUP(Table2[[#This Row],[Adjusted Form '#]],[1]COMPLETED!$D:$D,[2]COMPLETED!$M:$M,"Not Found")</f>
        <v>Not Found</v>
      </c>
      <c r="V1211" s="17" t="str">
        <f>_xlfn.XLOOKUP(Table2[[#This Row],[Adjusted Form '#]],[2]COMPLETED!$D:$D,[2]COMPLETED!$O:$O,"Not Found")</f>
        <v>Not Found</v>
      </c>
      <c r="W1211" s="2" t="str">
        <f>_xlfn.XLOOKUP(Table2[[#This Row],[Adjusted Form '#]],[2]BILLED!$D:$D,[2]BILLED!$M:$M,"Not Found")</f>
        <v>9400 1361 0605 3075 5169 12</v>
      </c>
      <c r="X1211" s="17" t="e">
        <f>_xlfn.XLOOKUP(Table2[[#This Row],[Adjusted Form '#]],[2]BILLED!$D:$D,[1]BILLED!$O:$O,"Not Found")</f>
        <v>#REF!</v>
      </c>
      <c r="Y1211" s="17" t="e">
        <f>_xlfn.XLOOKUP(Table2[[#This Row],[Adjusted Form '#]],'[2]REJECTED ORDERS'!$D:$D,'[2]REJECTED ORDERS'!$E:$E)</f>
        <v>#N/A</v>
      </c>
      <c r="Z1211" s="1"/>
      <c r="AA1211" s="1"/>
    </row>
    <row r="1212" spans="1:27" ht="15" customHeight="1" x14ac:dyDescent="0.35">
      <c r="A1212" s="4" t="s">
        <v>1821</v>
      </c>
      <c r="B1212" s="1" t="s">
        <v>2501</v>
      </c>
      <c r="C1212" s="11">
        <v>45090</v>
      </c>
      <c r="D1212" s="11" t="s">
        <v>6024</v>
      </c>
      <c r="E1212" s="1" t="s">
        <v>14</v>
      </c>
      <c r="F1212" s="1" t="s">
        <v>6013</v>
      </c>
      <c r="G1212" s="6">
        <f>COUNTIF(F:F,Table2[[#This Row],[Form '#]])</f>
        <v>1</v>
      </c>
      <c r="H1212" s="1" t="s">
        <v>3179</v>
      </c>
      <c r="I1212" s="1" t="s">
        <v>177</v>
      </c>
      <c r="J1212" s="1" t="s">
        <v>75</v>
      </c>
      <c r="K1212" s="1" t="s">
        <v>3853</v>
      </c>
      <c r="L1212" s="1"/>
      <c r="M1212" s="6" t="str">
        <f>IF(Table2[[#This Row],[Corrected Form '#
 (If Duplicated)]]="",Table2[[#This Row],[Form '#]],Table2[[#This Row],[Corrected Form '#
 (If Duplicated)]])</f>
        <v>7810-01864</v>
      </c>
      <c r="N1212" s="1" t="s">
        <v>49</v>
      </c>
      <c r="O1212" s="6" t="str">
        <f>IF(Table2[[#This Row],[POG CONFIRMATION RECEIPT OF ORDER
(DATE &amp; TIME)]]="","No Confirmation","Received Confirmation")</f>
        <v>Received Confirmation</v>
      </c>
      <c r="P1212" s="6">
        <f ca="1">TODAY()-Table2[[#This Row],[DATE SENT TO POG]]</f>
        <v>213</v>
      </c>
      <c r="Q1212" s="6" t="s">
        <v>5803</v>
      </c>
      <c r="R12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2" s="2" t="str">
        <f>_xlfn.XLOOKUP(Table2[[#This Row],[Adjusted Form '#]],'[2]IN PROGRESS'!$D:$D,'[2]IN PROGRESS'!$M:$M,"Not Found")</f>
        <v>Not Found</v>
      </c>
      <c r="U1212" s="2" t="str">
        <f>_xlfn.XLOOKUP(Table2[[#This Row],[Adjusted Form '#]],[1]COMPLETED!$D:$D,[2]COMPLETED!$M:$M,"Not Found")</f>
        <v>Not Found</v>
      </c>
      <c r="V1212" s="17" t="str">
        <f>_xlfn.XLOOKUP(Table2[[#This Row],[Adjusted Form '#]],[2]COMPLETED!$D:$D,[2]COMPLETED!$O:$O,"Not Found")</f>
        <v>Not Found</v>
      </c>
      <c r="W1212" s="2" t="str">
        <f>_xlfn.XLOOKUP(Table2[[#This Row],[Adjusted Form '#]],[2]BILLED!$D:$D,[2]BILLED!$M:$M,"Not Found")</f>
        <v>1Z5063E0YW42586204</v>
      </c>
      <c r="X1212" s="17" t="e">
        <f>_xlfn.XLOOKUP(Table2[[#This Row],[Adjusted Form '#]],[2]BILLED!$D:$D,[1]BILLED!$O:$O,"Not Found")</f>
        <v>#REF!</v>
      </c>
      <c r="Y1212" s="17" t="e">
        <f>_xlfn.XLOOKUP(Table2[[#This Row],[Adjusted Form '#]],'[2]REJECTED ORDERS'!$D:$D,'[2]REJECTED ORDERS'!$E:$E)</f>
        <v>#N/A</v>
      </c>
      <c r="Z1212" s="1"/>
      <c r="AA1212" s="1"/>
    </row>
    <row r="1213" spans="1:27" ht="15" customHeight="1" x14ac:dyDescent="0.35">
      <c r="A1213" s="4" t="s">
        <v>1823</v>
      </c>
      <c r="B1213" s="1" t="s">
        <v>1004</v>
      </c>
      <c r="C1213" s="11">
        <v>45090</v>
      </c>
      <c r="E1213" s="1" t="s">
        <v>21</v>
      </c>
      <c r="F1213" s="1" t="s">
        <v>6014</v>
      </c>
      <c r="G1213" s="6">
        <f>COUNTIF(F:F,Table2[[#This Row],[Form '#]])</f>
        <v>1</v>
      </c>
      <c r="H1213" s="1" t="s">
        <v>6015</v>
      </c>
      <c r="I1213" s="1" t="s">
        <v>177</v>
      </c>
      <c r="J1213" s="1" t="s">
        <v>75</v>
      </c>
      <c r="K1213" s="1" t="s">
        <v>4011</v>
      </c>
      <c r="L1213" s="1"/>
      <c r="M1213" s="6" t="str">
        <f>IF(Table2[[#This Row],[Corrected Form '#
 (If Duplicated)]]="",Table2[[#This Row],[Form '#]],Table2[[#This Row],[Corrected Form '#
 (If Duplicated)]])</f>
        <v>7818-12246</v>
      </c>
      <c r="N1213" s="1" t="s">
        <v>49</v>
      </c>
      <c r="O1213" s="6" t="str">
        <f>IF(Table2[[#This Row],[POG CONFIRMATION RECEIPT OF ORDER
(DATE &amp; TIME)]]="","No Confirmation","Received Confirmation")</f>
        <v>No Confirmation</v>
      </c>
      <c r="P1213" s="6">
        <f ca="1">TODAY()-Table2[[#This Row],[DATE SENT TO POG]]</f>
        <v>213</v>
      </c>
      <c r="Q1213" s="6" t="s">
        <v>5803</v>
      </c>
      <c r="R12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3" s="2" t="str">
        <f>_xlfn.XLOOKUP(Table2[[#This Row],[Adjusted Form '#]],'[2]IN PROGRESS'!$D:$D,'[2]IN PROGRESS'!$M:$M,"Not Found")</f>
        <v>Not Found</v>
      </c>
      <c r="U1213" s="2" t="str">
        <f>_xlfn.XLOOKUP(Table2[[#This Row],[Adjusted Form '#]],[1]COMPLETED!$D:$D,[2]COMPLETED!$M:$M,"Not Found")</f>
        <v>Not Found</v>
      </c>
      <c r="V1213" s="17" t="str">
        <f>_xlfn.XLOOKUP(Table2[[#This Row],[Adjusted Form '#]],[2]COMPLETED!$D:$D,[2]COMPLETED!$O:$O,"Not Found")</f>
        <v>Not Found</v>
      </c>
      <c r="W1213" s="2" t="str">
        <f>_xlfn.XLOOKUP(Table2[[#This Row],[Adjusted Form '#]],[2]BILLED!$D:$D,[2]BILLED!$M:$M,"Not Found")</f>
        <v>1Z5063E0YW40058216</v>
      </c>
      <c r="X1213" s="17" t="e">
        <f>_xlfn.XLOOKUP(Table2[[#This Row],[Adjusted Form '#]],[2]BILLED!$D:$D,[1]BILLED!$O:$O,"Not Found")</f>
        <v>#REF!</v>
      </c>
      <c r="Y1213" s="17" t="e">
        <f>_xlfn.XLOOKUP(Table2[[#This Row],[Adjusted Form '#]],'[2]REJECTED ORDERS'!$D:$D,'[2]REJECTED ORDERS'!$E:$E)</f>
        <v>#N/A</v>
      </c>
      <c r="Z1213" s="1"/>
      <c r="AA1213" s="1"/>
    </row>
    <row r="1214" spans="1:27" ht="15" customHeight="1" x14ac:dyDescent="0.35">
      <c r="A1214" s="4" t="s">
        <v>1825</v>
      </c>
      <c r="B1214" s="1" t="s">
        <v>6017</v>
      </c>
      <c r="C1214" s="11">
        <v>45090</v>
      </c>
      <c r="D1214" s="11" t="s">
        <v>6018</v>
      </c>
      <c r="E1214" s="1" t="s">
        <v>191</v>
      </c>
      <c r="F1214" s="1" t="s">
        <v>6019</v>
      </c>
      <c r="G1214" s="6">
        <f>COUNTIF(F:F,Table2[[#This Row],[Form '#]])</f>
        <v>1</v>
      </c>
      <c r="H1214" s="1" t="s">
        <v>1586</v>
      </c>
      <c r="I1214" s="1" t="s">
        <v>127</v>
      </c>
      <c r="J1214" s="1" t="s">
        <v>76</v>
      </c>
      <c r="K1214" s="1" t="s">
        <v>4011</v>
      </c>
      <c r="L1214" s="1"/>
      <c r="M1214" s="6" t="str">
        <f>IF(Table2[[#This Row],[Corrected Form '#
 (If Duplicated)]]="",Table2[[#This Row],[Form '#]],Table2[[#This Row],[Corrected Form '#
 (If Duplicated)]])</f>
        <v>7812-3708</v>
      </c>
      <c r="N1214" s="1" t="s">
        <v>49</v>
      </c>
      <c r="O1214" s="6" t="str">
        <f>IF(Table2[[#This Row],[POG CONFIRMATION RECEIPT OF ORDER
(DATE &amp; TIME)]]="","No Confirmation","Received Confirmation")</f>
        <v>Received Confirmation</v>
      </c>
      <c r="P1214" s="6">
        <f ca="1">TODAY()-Table2[[#This Row],[DATE SENT TO POG]]</f>
        <v>213</v>
      </c>
      <c r="Q1214" s="6" t="s">
        <v>5803</v>
      </c>
      <c r="R12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4" s="2" t="str">
        <f>_xlfn.XLOOKUP(Table2[[#This Row],[Adjusted Form '#]],'[2]IN PROGRESS'!$D:$D,'[2]IN PROGRESS'!$M:$M,"Not Found")</f>
        <v>Not Found</v>
      </c>
      <c r="U1214" s="2" t="str">
        <f>_xlfn.XLOOKUP(Table2[[#This Row],[Adjusted Form '#]],[1]COMPLETED!$D:$D,[2]COMPLETED!$M:$M,"Not Found")</f>
        <v>Not Found</v>
      </c>
      <c r="V1214" s="17" t="str">
        <f>_xlfn.XLOOKUP(Table2[[#This Row],[Adjusted Form '#]],[2]COMPLETED!$D:$D,[2]COMPLETED!$O:$O,"Not Found")</f>
        <v>Not Found</v>
      </c>
      <c r="W1214" s="2" t="str">
        <f>_xlfn.XLOOKUP(Table2[[#This Row],[Adjusted Form '#]],[2]BILLED!$D:$D,[2]BILLED!$M:$M,"Not Found")</f>
        <v>1Z5063E0YW40411762</v>
      </c>
      <c r="X1214" s="17" t="e">
        <f>_xlfn.XLOOKUP(Table2[[#This Row],[Adjusted Form '#]],[2]BILLED!$D:$D,[1]BILLED!$O:$O,"Not Found")</f>
        <v>#REF!</v>
      </c>
      <c r="Y1214" s="17" t="e">
        <f>_xlfn.XLOOKUP(Table2[[#This Row],[Adjusted Form '#]],'[2]REJECTED ORDERS'!$D:$D,'[2]REJECTED ORDERS'!$E:$E)</f>
        <v>#N/A</v>
      </c>
      <c r="Z1214" s="1"/>
      <c r="AA1214" s="1"/>
    </row>
    <row r="1215" spans="1:27" ht="15" customHeight="1" x14ac:dyDescent="0.35">
      <c r="A1215" s="4" t="s">
        <v>1826</v>
      </c>
      <c r="B1215" s="1" t="s">
        <v>6017</v>
      </c>
      <c r="C1215" s="11">
        <v>45090</v>
      </c>
      <c r="D1215" s="11" t="s">
        <v>6018</v>
      </c>
      <c r="E1215" s="1" t="s">
        <v>191</v>
      </c>
      <c r="F1215" s="1" t="s">
        <v>6020</v>
      </c>
      <c r="G1215" s="6">
        <f>COUNTIF(F:F,Table2[[#This Row],[Form '#]])</f>
        <v>1</v>
      </c>
      <c r="H1215" s="1" t="s">
        <v>3569</v>
      </c>
      <c r="I1215" s="1" t="s">
        <v>3852</v>
      </c>
      <c r="J1215" s="1" t="s">
        <v>80</v>
      </c>
      <c r="K1215" s="1" t="s">
        <v>3853</v>
      </c>
      <c r="L1215" s="1"/>
      <c r="M1215" s="6" t="str">
        <f>IF(Table2[[#This Row],[Corrected Form '#
 (If Duplicated)]]="",Table2[[#This Row],[Form '#]],Table2[[#This Row],[Corrected Form '#
 (If Duplicated)]])</f>
        <v>7812-02800</v>
      </c>
      <c r="N1215" s="1" t="s">
        <v>49</v>
      </c>
      <c r="O1215" s="6" t="str">
        <f>IF(Table2[[#This Row],[POG CONFIRMATION RECEIPT OF ORDER
(DATE &amp; TIME)]]="","No Confirmation","Received Confirmation")</f>
        <v>Received Confirmation</v>
      </c>
      <c r="P1215" s="6">
        <f ca="1">TODAY()-Table2[[#This Row],[DATE SENT TO POG]]</f>
        <v>213</v>
      </c>
      <c r="Q1215" s="6" t="s">
        <v>5803</v>
      </c>
      <c r="R12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5" s="2" t="str">
        <f>_xlfn.XLOOKUP(Table2[[#This Row],[Adjusted Form '#]],'[2]IN PROGRESS'!$D:$D,'[2]IN PROGRESS'!$M:$M,"Not Found")</f>
        <v>Not Found</v>
      </c>
      <c r="U1215" s="2" t="str">
        <f>_xlfn.XLOOKUP(Table2[[#This Row],[Adjusted Form '#]],[1]COMPLETED!$D:$D,[2]COMPLETED!$M:$M,"Not Found")</f>
        <v>Not Found</v>
      </c>
      <c r="V1215" s="17" t="str">
        <f>_xlfn.XLOOKUP(Table2[[#This Row],[Adjusted Form '#]],[2]COMPLETED!$D:$D,[2]COMPLETED!$O:$O,"Not Found")</f>
        <v>Not Found</v>
      </c>
      <c r="W1215" s="2" t="str">
        <f>_xlfn.XLOOKUP(Table2[[#This Row],[Adjusted Form '#]],[2]BILLED!$D:$D,[2]BILLED!$M:$M,"Not Found")</f>
        <v>1Z5063E0YW42327001</v>
      </c>
      <c r="X1215" s="17" t="e">
        <f>_xlfn.XLOOKUP(Table2[[#This Row],[Adjusted Form '#]],[2]BILLED!$D:$D,[1]BILLED!$O:$O,"Not Found")</f>
        <v>#REF!</v>
      </c>
      <c r="Y1215" s="17" t="e">
        <f>_xlfn.XLOOKUP(Table2[[#This Row],[Adjusted Form '#]],'[2]REJECTED ORDERS'!$D:$D,'[2]REJECTED ORDERS'!$E:$E)</f>
        <v>#N/A</v>
      </c>
      <c r="Z1215" s="1"/>
      <c r="AA1215" s="1"/>
    </row>
    <row r="1216" spans="1:27" ht="15" customHeight="1" x14ac:dyDescent="0.35">
      <c r="A1216" s="4" t="s">
        <v>1827</v>
      </c>
      <c r="B1216" s="1" t="s">
        <v>6017</v>
      </c>
      <c r="C1216" s="11">
        <v>45090</v>
      </c>
      <c r="D1216" s="11" t="s">
        <v>6018</v>
      </c>
      <c r="E1216" s="1" t="s">
        <v>191</v>
      </c>
      <c r="F1216" s="1" t="s">
        <v>6021</v>
      </c>
      <c r="G1216" s="6">
        <f>COUNTIF(F:F,Table2[[#This Row],[Form '#]])</f>
        <v>1</v>
      </c>
      <c r="H1216" s="1" t="s">
        <v>1749</v>
      </c>
      <c r="I1216" s="1" t="s">
        <v>127</v>
      </c>
      <c r="J1216" s="1" t="s">
        <v>76</v>
      </c>
      <c r="K1216" s="1" t="s">
        <v>4011</v>
      </c>
      <c r="L1216" s="1"/>
      <c r="M1216" s="6" t="str">
        <f>IF(Table2[[#This Row],[Corrected Form '#
 (If Duplicated)]]="",Table2[[#This Row],[Form '#]],Table2[[#This Row],[Corrected Form '#
 (If Duplicated)]])</f>
        <v>7812-02983</v>
      </c>
      <c r="N1216" s="1" t="s">
        <v>49</v>
      </c>
      <c r="O1216" s="6" t="str">
        <f>IF(Table2[[#This Row],[POG CONFIRMATION RECEIPT OF ORDER
(DATE &amp; TIME)]]="","No Confirmation","Received Confirmation")</f>
        <v>Received Confirmation</v>
      </c>
      <c r="P1216" s="6">
        <f ca="1">TODAY()-Table2[[#This Row],[DATE SENT TO POG]]</f>
        <v>213</v>
      </c>
      <c r="Q1216" s="6" t="s">
        <v>5803</v>
      </c>
      <c r="R12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6" s="2" t="str">
        <f>_xlfn.XLOOKUP(Table2[[#This Row],[Adjusted Form '#]],'[2]IN PROGRESS'!$D:$D,'[2]IN PROGRESS'!$M:$M,"Not Found")</f>
        <v>Not Found</v>
      </c>
      <c r="U1216" s="2" t="str">
        <f>_xlfn.XLOOKUP(Table2[[#This Row],[Adjusted Form '#]],[1]COMPLETED!$D:$D,[2]COMPLETED!$M:$M,"Not Found")</f>
        <v>Not Found</v>
      </c>
      <c r="V1216" s="17" t="str">
        <f>_xlfn.XLOOKUP(Table2[[#This Row],[Adjusted Form '#]],[2]COMPLETED!$D:$D,[2]COMPLETED!$O:$O,"Not Found")</f>
        <v>Not Found</v>
      </c>
      <c r="W1216" s="2" t="str">
        <f>_xlfn.XLOOKUP(Table2[[#This Row],[Adjusted Form '#]],[2]BILLED!$D:$D,[2]BILLED!$M:$M,"Not Found")</f>
        <v>1Z5063E0YW40303736</v>
      </c>
      <c r="X1216" s="17" t="e">
        <f>_xlfn.XLOOKUP(Table2[[#This Row],[Adjusted Form '#]],[2]BILLED!$D:$D,[1]BILLED!$O:$O,"Not Found")</f>
        <v>#REF!</v>
      </c>
      <c r="Y1216" s="17" t="e">
        <f>_xlfn.XLOOKUP(Table2[[#This Row],[Adjusted Form '#]],'[2]REJECTED ORDERS'!$D:$D,'[2]REJECTED ORDERS'!$E:$E)</f>
        <v>#N/A</v>
      </c>
      <c r="Z1216" s="1"/>
      <c r="AA1216" s="1"/>
    </row>
    <row r="1217" spans="1:27" ht="15" customHeight="1" x14ac:dyDescent="0.35">
      <c r="A1217" s="4" t="s">
        <v>1828</v>
      </c>
      <c r="B1217" s="1" t="s">
        <v>502</v>
      </c>
      <c r="C1217" s="11">
        <v>45090</v>
      </c>
      <c r="D1217" s="11" t="s">
        <v>6023</v>
      </c>
      <c r="E1217" s="1" t="s">
        <v>21</v>
      </c>
      <c r="F1217" s="1" t="s">
        <v>6022</v>
      </c>
      <c r="G1217" s="6">
        <f>COUNTIF(F:F,Table2[[#This Row],[Form '#]])</f>
        <v>1</v>
      </c>
      <c r="H1217" s="1" t="s">
        <v>1920</v>
      </c>
      <c r="I1217" s="1" t="s">
        <v>758</v>
      </c>
      <c r="J1217" s="1" t="s">
        <v>78</v>
      </c>
      <c r="K1217" s="1" t="s">
        <v>3853</v>
      </c>
      <c r="L1217" s="1"/>
      <c r="M1217" s="6" t="str">
        <f>IF(Table2[[#This Row],[Corrected Form '#
 (If Duplicated)]]="",Table2[[#This Row],[Form '#]],Table2[[#This Row],[Corrected Form '#
 (If Duplicated)]])</f>
        <v>7818-19832</v>
      </c>
      <c r="N1217" s="1" t="s">
        <v>49</v>
      </c>
      <c r="O1217" s="6" t="str">
        <f>IF(Table2[[#This Row],[POG CONFIRMATION RECEIPT OF ORDER
(DATE &amp; TIME)]]="","No Confirmation","Received Confirmation")</f>
        <v>Received Confirmation</v>
      </c>
      <c r="P1217" s="6">
        <f ca="1">TODAY()-Table2[[#This Row],[DATE SENT TO POG]]</f>
        <v>213</v>
      </c>
      <c r="Q1217" s="6" t="s">
        <v>5803</v>
      </c>
      <c r="R12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7" s="2" t="str">
        <f>_xlfn.XLOOKUP(Table2[[#This Row],[Adjusted Form '#]],'[2]IN PROGRESS'!$D:$D,'[2]IN PROGRESS'!$M:$M,"Not Found")</f>
        <v>Not Found</v>
      </c>
      <c r="U1217" s="2" t="str">
        <f>_xlfn.XLOOKUP(Table2[[#This Row],[Adjusted Form '#]],[1]COMPLETED!$D:$D,[2]COMPLETED!$M:$M,"Not Found")</f>
        <v>Not Found</v>
      </c>
      <c r="V1217" s="17" t="str">
        <f>_xlfn.XLOOKUP(Table2[[#This Row],[Adjusted Form '#]],[2]COMPLETED!$D:$D,[2]COMPLETED!$O:$O,"Not Found")</f>
        <v>Not Found</v>
      </c>
      <c r="W1217" s="2" t="str">
        <f>_xlfn.XLOOKUP(Table2[[#This Row],[Adjusted Form '#]],[2]BILLED!$D:$D,[2]BILLED!$M:$M,"Not Found")</f>
        <v>1Z5063E0YW40261817</v>
      </c>
      <c r="X1217" s="17" t="e">
        <f>_xlfn.XLOOKUP(Table2[[#This Row],[Adjusted Form '#]],[2]BILLED!$D:$D,[1]BILLED!$O:$O,"Not Found")</f>
        <v>#REF!</v>
      </c>
      <c r="Y1217" s="17" t="e">
        <f>_xlfn.XLOOKUP(Table2[[#This Row],[Adjusted Form '#]],'[2]REJECTED ORDERS'!$D:$D,'[2]REJECTED ORDERS'!$E:$E)</f>
        <v>#N/A</v>
      </c>
      <c r="Z1217" s="1"/>
      <c r="AA1217" s="1"/>
    </row>
    <row r="1218" spans="1:27" ht="15" customHeight="1" x14ac:dyDescent="0.35">
      <c r="A1218" s="4" t="s">
        <v>1830</v>
      </c>
      <c r="B1218" s="1" t="s">
        <v>265</v>
      </c>
      <c r="C1218" s="11">
        <v>45091</v>
      </c>
      <c r="D1218" s="11" t="s">
        <v>6026</v>
      </c>
      <c r="E1218" s="1" t="s">
        <v>73</v>
      </c>
      <c r="F1218" s="1" t="s">
        <v>6027</v>
      </c>
      <c r="G1218" s="6">
        <f>COUNTIF(F:F,Table2[[#This Row],[Form '#]])</f>
        <v>1</v>
      </c>
      <c r="H1218" s="1" t="s">
        <v>6028</v>
      </c>
      <c r="I1218" s="1" t="s">
        <v>758</v>
      </c>
      <c r="J1218" s="1" t="s">
        <v>78</v>
      </c>
      <c r="K1218" s="1" t="s">
        <v>3853</v>
      </c>
      <c r="L1218" s="1"/>
      <c r="M1218" s="6" t="str">
        <f>IF(Table2[[#This Row],[Corrected Form '#
 (If Duplicated)]]="",Table2[[#This Row],[Form '#]],Table2[[#This Row],[Corrected Form '#
 (If Duplicated)]])</f>
        <v>7823-02683</v>
      </c>
      <c r="N1218" s="1" t="s">
        <v>49</v>
      </c>
      <c r="O1218" s="6" t="str">
        <f>IF(Table2[[#This Row],[POG CONFIRMATION RECEIPT OF ORDER
(DATE &amp; TIME)]]="","No Confirmation","Received Confirmation")</f>
        <v>Received Confirmation</v>
      </c>
      <c r="P1218" s="6">
        <f ca="1">TODAY()-Table2[[#This Row],[DATE SENT TO POG]]</f>
        <v>212</v>
      </c>
      <c r="Q1218" s="6" t="s">
        <v>5803</v>
      </c>
      <c r="R12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21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218" s="2" t="str">
        <f>_xlfn.XLOOKUP(Table2[[#This Row],[Adjusted Form '#]],'[2]IN PROGRESS'!$D:$D,'[2]IN PROGRESS'!$M:$M,"Not Found")</f>
        <v>Not Found</v>
      </c>
      <c r="U1218" s="2" t="str">
        <f>_xlfn.XLOOKUP(Table2[[#This Row],[Adjusted Form '#]],[1]COMPLETED!$D:$D,[2]COMPLETED!$M:$M,"Not Found")</f>
        <v>Not Found</v>
      </c>
      <c r="V1218" s="17">
        <f>_xlfn.XLOOKUP(Table2[[#This Row],[Adjusted Form '#]],[2]COMPLETED!$D:$D,[2]COMPLETED!$O:$O,"Not Found")</f>
        <v>0</v>
      </c>
      <c r="W1218" s="2" t="str">
        <f>_xlfn.XLOOKUP(Table2[[#This Row],[Adjusted Form '#]],[2]BILLED!$D:$D,[2]BILLED!$M:$M,"Not Found")</f>
        <v>Not Found</v>
      </c>
      <c r="X1218" s="17" t="str">
        <f>_xlfn.XLOOKUP(Table2[[#This Row],[Adjusted Form '#]],[2]BILLED!$D:$D,[1]BILLED!$O:$O,"Not Found")</f>
        <v>Not Found</v>
      </c>
      <c r="Y1218" s="17" t="e">
        <f>_xlfn.XLOOKUP(Table2[[#This Row],[Adjusted Form '#]],'[2]REJECTED ORDERS'!$D:$D,'[2]REJECTED ORDERS'!$E:$E)</f>
        <v>#N/A</v>
      </c>
      <c r="Z1218" s="1"/>
      <c r="AA1218" s="1"/>
    </row>
    <row r="1219" spans="1:27" ht="15" customHeight="1" x14ac:dyDescent="0.35">
      <c r="A1219" s="4" t="s">
        <v>1831</v>
      </c>
      <c r="B1219" s="1" t="s">
        <v>1006</v>
      </c>
      <c r="C1219" s="11">
        <v>45091</v>
      </c>
      <c r="D1219" s="11" t="s">
        <v>6026</v>
      </c>
      <c r="E1219" s="1" t="s">
        <v>73</v>
      </c>
      <c r="F1219" s="1" t="s">
        <v>6029</v>
      </c>
      <c r="G1219" s="6">
        <f>COUNTIF(F:F,Table2[[#This Row],[Form '#]])</f>
        <v>1</v>
      </c>
      <c r="H1219" s="1" t="s">
        <v>6030</v>
      </c>
      <c r="I1219" s="1" t="s">
        <v>3864</v>
      </c>
      <c r="J1219" s="1" t="s">
        <v>78</v>
      </c>
      <c r="K1219" s="1" t="s">
        <v>3879</v>
      </c>
      <c r="L1219" s="1"/>
      <c r="M1219" s="6" t="str">
        <f>IF(Table2[[#This Row],[Corrected Form '#
 (If Duplicated)]]="",Table2[[#This Row],[Form '#]],Table2[[#This Row],[Corrected Form '#
 (If Duplicated)]])</f>
        <v>7823-02681</v>
      </c>
      <c r="N1219" s="1" t="s">
        <v>49</v>
      </c>
      <c r="O1219" s="6" t="str">
        <f>IF(Table2[[#This Row],[POG CONFIRMATION RECEIPT OF ORDER
(DATE &amp; TIME)]]="","No Confirmation","Received Confirmation")</f>
        <v>Received Confirmation</v>
      </c>
      <c r="P1219" s="6">
        <f ca="1">TODAY()-Table2[[#This Row],[DATE SENT TO POG]]</f>
        <v>212</v>
      </c>
      <c r="Q1219" s="6" t="s">
        <v>5803</v>
      </c>
      <c r="R12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19" s="2" t="str">
        <f>_xlfn.XLOOKUP(Table2[[#This Row],[Adjusted Form '#]],'[2]IN PROGRESS'!$D:$D,'[2]IN PROGRESS'!$M:$M,"Not Found")</f>
        <v>Not Found</v>
      </c>
      <c r="U1219" s="2" t="str">
        <f>_xlfn.XLOOKUP(Table2[[#This Row],[Adjusted Form '#]],[1]COMPLETED!$D:$D,[2]COMPLETED!$M:$M,"Not Found")</f>
        <v>Not Found</v>
      </c>
      <c r="V1219" s="17" t="str">
        <f>_xlfn.XLOOKUP(Table2[[#This Row],[Adjusted Form '#]],[2]COMPLETED!$D:$D,[2]COMPLETED!$O:$O,"Not Found")</f>
        <v>Not Found</v>
      </c>
      <c r="W1219" s="2" t="str">
        <f>_xlfn.XLOOKUP(Table2[[#This Row],[Adjusted Form '#]],[2]BILLED!$D:$D,[2]BILLED!$M:$M,"Not Found")</f>
        <v>1Z5063E0YW40250427</v>
      </c>
      <c r="X1219" s="17" t="e">
        <f>_xlfn.XLOOKUP(Table2[[#This Row],[Adjusted Form '#]],[2]BILLED!$D:$D,[1]BILLED!$O:$O,"Not Found")</f>
        <v>#REF!</v>
      </c>
      <c r="Y1219" s="17" t="e">
        <f>_xlfn.XLOOKUP(Table2[[#This Row],[Adjusted Form '#]],'[2]REJECTED ORDERS'!$D:$D,'[2]REJECTED ORDERS'!$E:$E)</f>
        <v>#N/A</v>
      </c>
      <c r="Z1219" s="1"/>
      <c r="AA1219" s="1"/>
    </row>
    <row r="1220" spans="1:27" ht="15" customHeight="1" x14ac:dyDescent="0.35">
      <c r="A1220" s="4" t="s">
        <v>1832</v>
      </c>
      <c r="B1220" s="1" t="s">
        <v>1272</v>
      </c>
      <c r="C1220" s="11">
        <v>45091</v>
      </c>
      <c r="D1220" s="11" t="s">
        <v>6039</v>
      </c>
      <c r="E1220" s="1" t="s">
        <v>21</v>
      </c>
      <c r="F1220" s="1" t="s">
        <v>6031</v>
      </c>
      <c r="G1220" s="6">
        <f>COUNTIF(F:F,Table2[[#This Row],[Form '#]])</f>
        <v>1</v>
      </c>
      <c r="H1220" s="1" t="s">
        <v>6032</v>
      </c>
      <c r="I1220" s="1" t="s">
        <v>3852</v>
      </c>
      <c r="J1220" s="1" t="s">
        <v>80</v>
      </c>
      <c r="K1220" s="1" t="s">
        <v>3853</v>
      </c>
      <c r="L1220" s="1"/>
      <c r="M1220" s="6" t="str">
        <f>IF(Table2[[#This Row],[Corrected Form '#
 (If Duplicated)]]="",Table2[[#This Row],[Form '#]],Table2[[#This Row],[Corrected Form '#
 (If Duplicated)]])</f>
        <v>7818-29585</v>
      </c>
      <c r="N1220" s="1" t="s">
        <v>49</v>
      </c>
      <c r="O1220" s="6" t="str">
        <f>IF(Table2[[#This Row],[POG CONFIRMATION RECEIPT OF ORDER
(DATE &amp; TIME)]]="","No Confirmation","Received Confirmation")</f>
        <v>Received Confirmation</v>
      </c>
      <c r="P1220" s="6">
        <f ca="1">TODAY()-Table2[[#This Row],[DATE SENT TO POG]]</f>
        <v>212</v>
      </c>
      <c r="Q1220" s="6" t="s">
        <v>5803</v>
      </c>
      <c r="R12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0" s="2" t="str">
        <f>_xlfn.XLOOKUP(Table2[[#This Row],[Adjusted Form '#]],'[2]IN PROGRESS'!$D:$D,'[2]IN PROGRESS'!$M:$M,"Not Found")</f>
        <v>Not Found</v>
      </c>
      <c r="U1220" s="2" t="str">
        <f>_xlfn.XLOOKUP(Table2[[#This Row],[Adjusted Form '#]],[1]COMPLETED!$D:$D,[2]COMPLETED!$M:$M,"Not Found")</f>
        <v>Not Found</v>
      </c>
      <c r="V1220" s="17" t="str">
        <f>_xlfn.XLOOKUP(Table2[[#This Row],[Adjusted Form '#]],[2]COMPLETED!$D:$D,[2]COMPLETED!$O:$O,"Not Found")</f>
        <v>Not Found</v>
      </c>
      <c r="W1220" s="2" t="str">
        <f>_xlfn.XLOOKUP(Table2[[#This Row],[Adjusted Form '#]],[2]BILLED!$D:$D,[2]BILLED!$M:$M,"Not Found")</f>
        <v>1Z5063E0YW42196822</v>
      </c>
      <c r="X1220" s="17" t="e">
        <f>_xlfn.XLOOKUP(Table2[[#This Row],[Adjusted Form '#]],[2]BILLED!$D:$D,[1]BILLED!$O:$O,"Not Found")</f>
        <v>#REF!</v>
      </c>
      <c r="Y1220" s="17" t="e">
        <f>_xlfn.XLOOKUP(Table2[[#This Row],[Adjusted Form '#]],'[2]REJECTED ORDERS'!$D:$D,'[2]REJECTED ORDERS'!$E:$E)</f>
        <v>#N/A</v>
      </c>
      <c r="Z1220" s="1"/>
      <c r="AA1220" s="1"/>
    </row>
    <row r="1221" spans="1:27" ht="15" customHeight="1" x14ac:dyDescent="0.35">
      <c r="A1221" s="4" t="s">
        <v>1833</v>
      </c>
      <c r="B1221" s="1" t="s">
        <v>1272</v>
      </c>
      <c r="C1221" s="11">
        <v>45091</v>
      </c>
      <c r="D1221" s="11" t="s">
        <v>6039</v>
      </c>
      <c r="E1221" s="1" t="s">
        <v>21</v>
      </c>
      <c r="F1221" s="1" t="s">
        <v>6033</v>
      </c>
      <c r="G1221" s="6">
        <f>COUNTIF(F:F,Table2[[#This Row],[Form '#]])</f>
        <v>1</v>
      </c>
      <c r="H1221" s="1" t="s">
        <v>6034</v>
      </c>
      <c r="I1221" s="1" t="s">
        <v>3864</v>
      </c>
      <c r="J1221" s="1" t="s">
        <v>78</v>
      </c>
      <c r="K1221" s="1" t="s">
        <v>3879</v>
      </c>
      <c r="L1221" s="1"/>
      <c r="M1221" s="6" t="str">
        <f>IF(Table2[[#This Row],[Corrected Form '#
 (If Duplicated)]]="",Table2[[#This Row],[Form '#]],Table2[[#This Row],[Corrected Form '#
 (If Duplicated)]])</f>
        <v>7818-24223</v>
      </c>
      <c r="N1221" s="1" t="s">
        <v>49</v>
      </c>
      <c r="O1221" s="6" t="str">
        <f>IF(Table2[[#This Row],[POG CONFIRMATION RECEIPT OF ORDER
(DATE &amp; TIME)]]="","No Confirmation","Received Confirmation")</f>
        <v>Received Confirmation</v>
      </c>
      <c r="P1221" s="6">
        <f ca="1">TODAY()-Table2[[#This Row],[DATE SENT TO POG]]</f>
        <v>212</v>
      </c>
      <c r="Q1221" s="6" t="s">
        <v>5803</v>
      </c>
      <c r="R12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1" s="2" t="str">
        <f>_xlfn.XLOOKUP(Table2[[#This Row],[Adjusted Form '#]],'[2]IN PROGRESS'!$D:$D,'[2]IN PROGRESS'!$M:$M,"Not Found")</f>
        <v>Not Found</v>
      </c>
      <c r="U1221" s="2" t="str">
        <f>_xlfn.XLOOKUP(Table2[[#This Row],[Adjusted Form '#]],[1]COMPLETED!$D:$D,[2]COMPLETED!$M:$M,"Not Found")</f>
        <v>Not Found</v>
      </c>
      <c r="V1221" s="17" t="str">
        <f>_xlfn.XLOOKUP(Table2[[#This Row],[Adjusted Form '#]],[2]COMPLETED!$D:$D,[2]COMPLETED!$O:$O,"Not Found")</f>
        <v>Not Found</v>
      </c>
      <c r="W1221" s="2" t="str">
        <f>_xlfn.XLOOKUP(Table2[[#This Row],[Adjusted Form '#]],[2]BILLED!$D:$D,[2]BILLED!$M:$M,"Not Found")</f>
        <v>9400 1112 0620 9806 4661 62</v>
      </c>
      <c r="X1221" s="17" t="e">
        <f>_xlfn.XLOOKUP(Table2[[#This Row],[Adjusted Form '#]],[2]BILLED!$D:$D,[1]BILLED!$O:$O,"Not Found")</f>
        <v>#REF!</v>
      </c>
      <c r="Y1221" s="17" t="e">
        <f>_xlfn.XLOOKUP(Table2[[#This Row],[Adjusted Form '#]],'[2]REJECTED ORDERS'!$D:$D,'[2]REJECTED ORDERS'!$E:$E)</f>
        <v>#N/A</v>
      </c>
      <c r="Z1221" s="1"/>
      <c r="AA1221" s="1"/>
    </row>
    <row r="1222" spans="1:27" ht="15" customHeight="1" x14ac:dyDescent="0.35">
      <c r="A1222" s="4" t="s">
        <v>1834</v>
      </c>
      <c r="B1222" s="1" t="s">
        <v>1272</v>
      </c>
      <c r="C1222" s="11">
        <v>45091</v>
      </c>
      <c r="D1222" s="11" t="s">
        <v>6039</v>
      </c>
      <c r="E1222" s="1" t="s">
        <v>21</v>
      </c>
      <c r="F1222" s="1" t="s">
        <v>6035</v>
      </c>
      <c r="G1222" s="6">
        <f>COUNTIF(F:F,Table2[[#This Row],[Form '#]])</f>
        <v>1</v>
      </c>
      <c r="H1222" s="1" t="s">
        <v>3463</v>
      </c>
      <c r="I1222" s="1" t="s">
        <v>758</v>
      </c>
      <c r="J1222" s="1" t="s">
        <v>78</v>
      </c>
      <c r="K1222" s="1" t="s">
        <v>3853</v>
      </c>
      <c r="L1222" s="1"/>
      <c r="M1222" s="6" t="str">
        <f>IF(Table2[[#This Row],[Corrected Form '#
 (If Duplicated)]]="",Table2[[#This Row],[Form '#]],Table2[[#This Row],[Corrected Form '#
 (If Duplicated)]])</f>
        <v>7818-20138</v>
      </c>
      <c r="N1222" s="1" t="s">
        <v>49</v>
      </c>
      <c r="O1222" s="6" t="str">
        <f>IF(Table2[[#This Row],[POG CONFIRMATION RECEIPT OF ORDER
(DATE &amp; TIME)]]="","No Confirmation","Received Confirmation")</f>
        <v>Received Confirmation</v>
      </c>
      <c r="P1222" s="6">
        <f ca="1">TODAY()-Table2[[#This Row],[DATE SENT TO POG]]</f>
        <v>212</v>
      </c>
      <c r="Q1222" s="6" t="s">
        <v>5803</v>
      </c>
      <c r="R12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2" s="2" t="str">
        <f>_xlfn.XLOOKUP(Table2[[#This Row],[Adjusted Form '#]],'[2]IN PROGRESS'!$D:$D,'[2]IN PROGRESS'!$M:$M,"Not Found")</f>
        <v>Not Found</v>
      </c>
      <c r="U1222" s="2" t="str">
        <f>_xlfn.XLOOKUP(Table2[[#This Row],[Adjusted Form '#]],[1]COMPLETED!$D:$D,[2]COMPLETED!$M:$M,"Not Found")</f>
        <v>Not Found</v>
      </c>
      <c r="V1222" s="17" t="str">
        <f>_xlfn.XLOOKUP(Table2[[#This Row],[Adjusted Form '#]],[2]COMPLETED!$D:$D,[2]COMPLETED!$O:$O,"Not Found")</f>
        <v>Not Found</v>
      </c>
      <c r="W1222" s="2" t="str">
        <f>_xlfn.XLOOKUP(Table2[[#This Row],[Adjusted Form '#]],[2]BILLED!$D:$D,[2]BILLED!$M:$M,"Not Found")</f>
        <v>1Z5063E0YW42506844</v>
      </c>
      <c r="X1222" s="17" t="e">
        <f>_xlfn.XLOOKUP(Table2[[#This Row],[Adjusted Form '#]],[2]BILLED!$D:$D,[1]BILLED!$O:$O,"Not Found")</f>
        <v>#REF!</v>
      </c>
      <c r="Y1222" s="17" t="e">
        <f>_xlfn.XLOOKUP(Table2[[#This Row],[Adjusted Form '#]],'[2]REJECTED ORDERS'!$D:$D,'[2]REJECTED ORDERS'!$E:$E)</f>
        <v>#N/A</v>
      </c>
      <c r="Z1222" s="1"/>
      <c r="AA1222" s="1"/>
    </row>
    <row r="1223" spans="1:27" ht="15" customHeight="1" x14ac:dyDescent="0.35">
      <c r="A1223" s="4" t="s">
        <v>1835</v>
      </c>
      <c r="B1223" s="1" t="s">
        <v>1272</v>
      </c>
      <c r="C1223" s="11">
        <v>45091</v>
      </c>
      <c r="D1223" s="11" t="s">
        <v>6039</v>
      </c>
      <c r="E1223" s="1" t="s">
        <v>21</v>
      </c>
      <c r="F1223" s="1" t="s">
        <v>6036</v>
      </c>
      <c r="G1223" s="6">
        <f>COUNTIF(F:F,Table2[[#This Row],[Form '#]])</f>
        <v>1</v>
      </c>
      <c r="H1223" s="1" t="s">
        <v>6037</v>
      </c>
      <c r="I1223" s="1" t="s">
        <v>3864</v>
      </c>
      <c r="J1223" s="1" t="s">
        <v>78</v>
      </c>
      <c r="K1223" s="1" t="s">
        <v>3879</v>
      </c>
      <c r="L1223" s="1"/>
      <c r="M1223" s="6" t="str">
        <f>IF(Table2[[#This Row],[Corrected Form '#
 (If Duplicated)]]="",Table2[[#This Row],[Form '#]],Table2[[#This Row],[Corrected Form '#
 (If Duplicated)]])</f>
        <v>7818-19157</v>
      </c>
      <c r="N1223" s="1" t="s">
        <v>49</v>
      </c>
      <c r="O1223" s="6" t="str">
        <f>IF(Table2[[#This Row],[POG CONFIRMATION RECEIPT OF ORDER
(DATE &amp; TIME)]]="","No Confirmation","Received Confirmation")</f>
        <v>Received Confirmation</v>
      </c>
      <c r="P1223" s="6">
        <f ca="1">TODAY()-Table2[[#This Row],[DATE SENT TO POG]]</f>
        <v>212</v>
      </c>
      <c r="Q1223" s="6" t="s">
        <v>5803</v>
      </c>
      <c r="R12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3" s="2" t="str">
        <f>_xlfn.XLOOKUP(Table2[[#This Row],[Adjusted Form '#]],'[2]IN PROGRESS'!$D:$D,'[2]IN PROGRESS'!$M:$M,"Not Found")</f>
        <v>Not Found</v>
      </c>
      <c r="U1223" s="2" t="str">
        <f>_xlfn.XLOOKUP(Table2[[#This Row],[Adjusted Form '#]],[1]COMPLETED!$D:$D,[2]COMPLETED!$M:$M,"Not Found")</f>
        <v>Not Found</v>
      </c>
      <c r="V1223" s="17" t="str">
        <f>_xlfn.XLOOKUP(Table2[[#This Row],[Adjusted Form '#]],[2]COMPLETED!$D:$D,[2]COMPLETED!$O:$O,"Not Found")</f>
        <v>Not Found</v>
      </c>
      <c r="W1223" s="2" t="str">
        <f>_xlfn.XLOOKUP(Table2[[#This Row],[Adjusted Form '#]],[2]BILLED!$D:$D,[2]BILLED!$M:$M,"Not Found")</f>
        <v>1Z5063E0YW41684869</v>
      </c>
      <c r="X1223" s="17" t="e">
        <f>_xlfn.XLOOKUP(Table2[[#This Row],[Adjusted Form '#]],[2]BILLED!$D:$D,[1]BILLED!$O:$O,"Not Found")</f>
        <v>#REF!</v>
      </c>
      <c r="Y1223" s="17" t="e">
        <f>_xlfn.XLOOKUP(Table2[[#This Row],[Adjusted Form '#]],'[2]REJECTED ORDERS'!$D:$D,'[2]REJECTED ORDERS'!$E:$E)</f>
        <v>#N/A</v>
      </c>
      <c r="Z1223" s="1"/>
      <c r="AA1223" s="1"/>
    </row>
    <row r="1224" spans="1:27" ht="15" customHeight="1" x14ac:dyDescent="0.35">
      <c r="A1224" s="4" t="s">
        <v>1836</v>
      </c>
      <c r="B1224" s="1" t="s">
        <v>1272</v>
      </c>
      <c r="C1224" s="11">
        <v>45091</v>
      </c>
      <c r="D1224" s="11" t="s">
        <v>6039</v>
      </c>
      <c r="E1224" s="1" t="s">
        <v>21</v>
      </c>
      <c r="F1224" s="1" t="s">
        <v>6038</v>
      </c>
      <c r="G1224" s="6">
        <f>COUNTIF(F:F,Table2[[#This Row],[Form '#]])</f>
        <v>1</v>
      </c>
      <c r="H1224" s="1" t="s">
        <v>3415</v>
      </c>
      <c r="I1224" s="1" t="s">
        <v>177</v>
      </c>
      <c r="J1224" s="1" t="s">
        <v>75</v>
      </c>
      <c r="K1224" s="1" t="s">
        <v>3879</v>
      </c>
      <c r="L1224" s="1"/>
      <c r="M1224" s="6" t="str">
        <f>IF(Table2[[#This Row],[Corrected Form '#
 (If Duplicated)]]="",Table2[[#This Row],[Form '#]],Table2[[#This Row],[Corrected Form '#
 (If Duplicated)]])</f>
        <v>7818-25953</v>
      </c>
      <c r="N1224" s="1" t="s">
        <v>49</v>
      </c>
      <c r="O1224" s="6" t="str">
        <f>IF(Table2[[#This Row],[POG CONFIRMATION RECEIPT OF ORDER
(DATE &amp; TIME)]]="","No Confirmation","Received Confirmation")</f>
        <v>Received Confirmation</v>
      </c>
      <c r="P1224" s="6">
        <f ca="1">TODAY()-Table2[[#This Row],[DATE SENT TO POG]]</f>
        <v>212</v>
      </c>
      <c r="Q1224" s="6" t="s">
        <v>5803</v>
      </c>
      <c r="R12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4" s="2" t="str">
        <f>_xlfn.XLOOKUP(Table2[[#This Row],[Adjusted Form '#]],'[2]IN PROGRESS'!$D:$D,'[2]IN PROGRESS'!$M:$M,"Not Found")</f>
        <v>Not Found</v>
      </c>
      <c r="U1224" s="2" t="str">
        <f>_xlfn.XLOOKUP(Table2[[#This Row],[Adjusted Form '#]],[1]COMPLETED!$D:$D,[2]COMPLETED!$M:$M,"Not Found")</f>
        <v>Not Found</v>
      </c>
      <c r="V1224" s="17" t="str">
        <f>_xlfn.XLOOKUP(Table2[[#This Row],[Adjusted Form '#]],[2]COMPLETED!$D:$D,[2]COMPLETED!$O:$O,"Not Found")</f>
        <v>Not Found</v>
      </c>
      <c r="W1224" s="2" t="str">
        <f>_xlfn.XLOOKUP(Table2[[#This Row],[Adjusted Form '#]],[2]BILLED!$D:$D,[2]BILLED!$M:$M,"Not Found")</f>
        <v>1Z5063E0YW42429526</v>
      </c>
      <c r="X1224" s="17" t="e">
        <f>_xlfn.XLOOKUP(Table2[[#This Row],[Adjusted Form '#]],[2]BILLED!$D:$D,[1]BILLED!$O:$O,"Not Found")</f>
        <v>#REF!</v>
      </c>
      <c r="Y1224" s="17" t="e">
        <f>_xlfn.XLOOKUP(Table2[[#This Row],[Adjusted Form '#]],'[2]REJECTED ORDERS'!$D:$D,'[2]REJECTED ORDERS'!$E:$E)</f>
        <v>#N/A</v>
      </c>
      <c r="Z1224" s="1"/>
      <c r="AA1224" s="1"/>
    </row>
    <row r="1225" spans="1:27" ht="15" customHeight="1" x14ac:dyDescent="0.35">
      <c r="A1225" s="4" t="s">
        <v>1837</v>
      </c>
      <c r="B1225" s="1" t="s">
        <v>1041</v>
      </c>
      <c r="C1225" s="11">
        <v>45091</v>
      </c>
      <c r="D1225" s="11" t="s">
        <v>6042</v>
      </c>
      <c r="E1225" s="1" t="s">
        <v>21</v>
      </c>
      <c r="F1225" s="1" t="s">
        <v>6040</v>
      </c>
      <c r="G1225" s="6">
        <f>COUNTIF(F:F,Table2[[#This Row],[Form '#]])</f>
        <v>1</v>
      </c>
      <c r="H1225" s="1" t="s">
        <v>6041</v>
      </c>
      <c r="I1225" s="1" t="s">
        <v>127</v>
      </c>
      <c r="J1225" s="1" t="s">
        <v>76</v>
      </c>
      <c r="K1225" s="1" t="s">
        <v>4011</v>
      </c>
      <c r="L1225" s="1"/>
      <c r="M1225" s="6" t="str">
        <f>IF(Table2[[#This Row],[Corrected Form '#
 (If Duplicated)]]="",Table2[[#This Row],[Form '#]],Table2[[#This Row],[Corrected Form '#
 (If Duplicated)]])</f>
        <v>7818-12245</v>
      </c>
      <c r="N1225" s="1" t="s">
        <v>49</v>
      </c>
      <c r="O1225" s="6" t="str">
        <f>IF(Table2[[#This Row],[POG CONFIRMATION RECEIPT OF ORDER
(DATE &amp; TIME)]]="","No Confirmation","Received Confirmation")</f>
        <v>Received Confirmation</v>
      </c>
      <c r="P1225" s="6">
        <f ca="1">TODAY()-Table2[[#This Row],[DATE SENT TO POG]]</f>
        <v>212</v>
      </c>
      <c r="Q1225" s="6" t="s">
        <v>5803</v>
      </c>
      <c r="R12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5" s="2" t="str">
        <f>_xlfn.XLOOKUP(Table2[[#This Row],[Adjusted Form '#]],'[2]IN PROGRESS'!$D:$D,'[2]IN PROGRESS'!$M:$M,"Not Found")</f>
        <v>Not Found</v>
      </c>
      <c r="U1225" s="2" t="str">
        <f>_xlfn.XLOOKUP(Table2[[#This Row],[Adjusted Form '#]],[1]COMPLETED!$D:$D,[2]COMPLETED!$M:$M,"Not Found")</f>
        <v>Not Found</v>
      </c>
      <c r="V1225" s="17" t="str">
        <f>_xlfn.XLOOKUP(Table2[[#This Row],[Adjusted Form '#]],[2]COMPLETED!$D:$D,[2]COMPLETED!$O:$O,"Not Found")</f>
        <v>Not Found</v>
      </c>
      <c r="W1225" s="2" t="str">
        <f>_xlfn.XLOOKUP(Table2[[#This Row],[Adjusted Form '#]],[2]BILLED!$D:$D,[2]BILLED!$M:$M,"Not Found")</f>
        <v>9400 1361 0605 3136 2568 32</v>
      </c>
      <c r="X1225" s="17" t="e">
        <f>_xlfn.XLOOKUP(Table2[[#This Row],[Adjusted Form '#]],[2]BILLED!$D:$D,[1]BILLED!$O:$O,"Not Found")</f>
        <v>#REF!</v>
      </c>
      <c r="Y1225" s="17" t="e">
        <f>_xlfn.XLOOKUP(Table2[[#This Row],[Adjusted Form '#]],'[2]REJECTED ORDERS'!$D:$D,'[2]REJECTED ORDERS'!$E:$E)</f>
        <v>#N/A</v>
      </c>
      <c r="Z1225" s="1"/>
      <c r="AA1225" s="1"/>
    </row>
    <row r="1226" spans="1:27" ht="15" customHeight="1" x14ac:dyDescent="0.35">
      <c r="A1226" s="4" t="s">
        <v>1840</v>
      </c>
      <c r="B1226" s="1" t="s">
        <v>733</v>
      </c>
      <c r="C1226" s="11">
        <v>45091</v>
      </c>
      <c r="D1226" s="11" t="s">
        <v>6053</v>
      </c>
      <c r="E1226" s="1" t="s">
        <v>21</v>
      </c>
      <c r="F1226" s="1" t="s">
        <v>6043</v>
      </c>
      <c r="G1226" s="6">
        <f>COUNTIF(F:F,Table2[[#This Row],[Form '#]])</f>
        <v>1</v>
      </c>
      <c r="H1226" s="1" t="s">
        <v>681</v>
      </c>
      <c r="I1226" s="1" t="s">
        <v>3852</v>
      </c>
      <c r="J1226" s="1" t="s">
        <v>3891</v>
      </c>
      <c r="K1226" s="1" t="s">
        <v>3853</v>
      </c>
      <c r="L1226" s="1"/>
      <c r="M1226" s="6" t="str">
        <f>IF(Table2[[#This Row],[Corrected Form '#
 (If Duplicated)]]="",Table2[[#This Row],[Form '#]],Table2[[#This Row],[Corrected Form '#
 (If Duplicated)]])</f>
        <v>7818-12242</v>
      </c>
      <c r="N1226" s="1" t="s">
        <v>49</v>
      </c>
      <c r="O1226" s="6" t="str">
        <f>IF(Table2[[#This Row],[POG CONFIRMATION RECEIPT OF ORDER
(DATE &amp; TIME)]]="","No Confirmation","Received Confirmation")</f>
        <v>Received Confirmation</v>
      </c>
      <c r="P1226" s="6">
        <f ca="1">TODAY()-Table2[[#This Row],[DATE SENT TO POG]]</f>
        <v>212</v>
      </c>
      <c r="Q1226" s="6" t="s">
        <v>5803</v>
      </c>
      <c r="R12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6" s="2" t="str">
        <f>_xlfn.XLOOKUP(Table2[[#This Row],[Adjusted Form '#]],'[2]IN PROGRESS'!$D:$D,'[2]IN PROGRESS'!$M:$M,"Not Found")</f>
        <v>Not Found</v>
      </c>
      <c r="U1226" s="2" t="str">
        <f>_xlfn.XLOOKUP(Table2[[#This Row],[Adjusted Form '#]],[1]COMPLETED!$D:$D,[2]COMPLETED!$M:$M,"Not Found")</f>
        <v>Not Found</v>
      </c>
      <c r="V1226" s="17" t="str">
        <f>_xlfn.XLOOKUP(Table2[[#This Row],[Adjusted Form '#]],[2]COMPLETED!$D:$D,[2]COMPLETED!$O:$O,"Not Found")</f>
        <v>Not Found</v>
      </c>
      <c r="W1226" s="2" t="str">
        <f>_xlfn.XLOOKUP(Table2[[#This Row],[Adjusted Form '#]],[2]BILLED!$D:$D,[2]BILLED!$M:$M,"Not Found")</f>
        <v>1Z5063E0YW40696732</v>
      </c>
      <c r="X1226" s="17" t="e">
        <f>_xlfn.XLOOKUP(Table2[[#This Row],[Adjusted Form '#]],[2]BILLED!$D:$D,[1]BILLED!$O:$O,"Not Found")</f>
        <v>#REF!</v>
      </c>
      <c r="Y1226" s="17" t="e">
        <f>_xlfn.XLOOKUP(Table2[[#This Row],[Adjusted Form '#]],'[2]REJECTED ORDERS'!$D:$D,'[2]REJECTED ORDERS'!$E:$E)</f>
        <v>#N/A</v>
      </c>
      <c r="Z1226" s="1"/>
      <c r="AA1226" s="1"/>
    </row>
    <row r="1227" spans="1:27" ht="15" customHeight="1" x14ac:dyDescent="0.35">
      <c r="A1227" s="4" t="s">
        <v>1841</v>
      </c>
      <c r="B1227" s="1" t="s">
        <v>733</v>
      </c>
      <c r="C1227" s="11">
        <v>45091</v>
      </c>
      <c r="D1227" s="11" t="s">
        <v>6053</v>
      </c>
      <c r="E1227" s="1" t="s">
        <v>21</v>
      </c>
      <c r="F1227" s="1" t="s">
        <v>6044</v>
      </c>
      <c r="G1227" s="6">
        <f>COUNTIF(F:F,Table2[[#This Row],[Form '#]])</f>
        <v>1</v>
      </c>
      <c r="H1227" s="1" t="s">
        <v>3453</v>
      </c>
      <c r="I1227" s="1" t="s">
        <v>758</v>
      </c>
      <c r="J1227" s="1" t="s">
        <v>78</v>
      </c>
      <c r="K1227" s="1" t="s">
        <v>3853</v>
      </c>
      <c r="L1227" s="1"/>
      <c r="M1227" s="6" t="str">
        <f>IF(Table2[[#This Row],[Corrected Form '#
 (If Duplicated)]]="",Table2[[#This Row],[Form '#]],Table2[[#This Row],[Corrected Form '#
 (If Duplicated)]])</f>
        <v>7818-10703</v>
      </c>
      <c r="N1227" s="1" t="s">
        <v>49</v>
      </c>
      <c r="O1227" s="6" t="str">
        <f>IF(Table2[[#This Row],[POG CONFIRMATION RECEIPT OF ORDER
(DATE &amp; TIME)]]="","No Confirmation","Received Confirmation")</f>
        <v>Received Confirmation</v>
      </c>
      <c r="P1227" s="6">
        <f ca="1">TODAY()-Table2[[#This Row],[DATE SENT TO POG]]</f>
        <v>212</v>
      </c>
      <c r="Q1227" s="6" t="s">
        <v>5803</v>
      </c>
      <c r="R12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7" s="2" t="str">
        <f>_xlfn.XLOOKUP(Table2[[#This Row],[Adjusted Form '#]],'[2]IN PROGRESS'!$D:$D,'[2]IN PROGRESS'!$M:$M,"Not Found")</f>
        <v>Not Found</v>
      </c>
      <c r="U1227" s="2" t="str">
        <f>_xlfn.XLOOKUP(Table2[[#This Row],[Adjusted Form '#]],[1]COMPLETED!$D:$D,[2]COMPLETED!$M:$M,"Not Found")</f>
        <v>Not Found</v>
      </c>
      <c r="V1227" s="17" t="str">
        <f>_xlfn.XLOOKUP(Table2[[#This Row],[Adjusted Form '#]],[2]COMPLETED!$D:$D,[2]COMPLETED!$O:$O,"Not Found")</f>
        <v>Not Found</v>
      </c>
      <c r="W1227" s="2" t="str">
        <f>_xlfn.XLOOKUP(Table2[[#This Row],[Adjusted Form '#]],[2]BILLED!$D:$D,[2]BILLED!$M:$M,"Not Found")</f>
        <v>1Z5063E0YW40793010</v>
      </c>
      <c r="X1227" s="17" t="e">
        <f>_xlfn.XLOOKUP(Table2[[#This Row],[Adjusted Form '#]],[2]BILLED!$D:$D,[1]BILLED!$O:$O,"Not Found")</f>
        <v>#REF!</v>
      </c>
      <c r="Y1227" s="17" t="e">
        <f>_xlfn.XLOOKUP(Table2[[#This Row],[Adjusted Form '#]],'[2]REJECTED ORDERS'!$D:$D,'[2]REJECTED ORDERS'!$E:$E)</f>
        <v>#N/A</v>
      </c>
      <c r="Z1227" s="1"/>
      <c r="AA1227" s="1"/>
    </row>
    <row r="1228" spans="1:27" ht="15" customHeight="1" x14ac:dyDescent="0.35">
      <c r="A1228" s="4" t="s">
        <v>1842</v>
      </c>
      <c r="B1228" s="1" t="s">
        <v>733</v>
      </c>
      <c r="C1228" s="11">
        <v>45091</v>
      </c>
      <c r="D1228" s="11" t="s">
        <v>6053</v>
      </c>
      <c r="E1228" s="1" t="s">
        <v>21</v>
      </c>
      <c r="F1228" s="1" t="s">
        <v>6045</v>
      </c>
      <c r="G1228" s="6">
        <f>COUNTIF(F:F,Table2[[#This Row],[Form '#]])</f>
        <v>1</v>
      </c>
      <c r="H1228" s="1" t="s">
        <v>6046</v>
      </c>
      <c r="I1228" s="1" t="s">
        <v>127</v>
      </c>
      <c r="J1228" s="1" t="s">
        <v>74</v>
      </c>
      <c r="K1228" s="1" t="s">
        <v>4011</v>
      </c>
      <c r="L1228" s="1"/>
      <c r="M1228" s="6" t="str">
        <f>IF(Table2[[#This Row],[Corrected Form '#
 (If Duplicated)]]="",Table2[[#This Row],[Form '#]],Table2[[#This Row],[Corrected Form '#
 (If Duplicated)]])</f>
        <v>7818-21350</v>
      </c>
      <c r="N1228" s="1" t="s">
        <v>49</v>
      </c>
      <c r="O1228" s="6" t="str">
        <f>IF(Table2[[#This Row],[POG CONFIRMATION RECEIPT OF ORDER
(DATE &amp; TIME)]]="","No Confirmation","Received Confirmation")</f>
        <v>Received Confirmation</v>
      </c>
      <c r="P1228" s="6">
        <f ca="1">TODAY()-Table2[[#This Row],[DATE SENT TO POG]]</f>
        <v>212</v>
      </c>
      <c r="Q1228" s="6" t="s">
        <v>5803</v>
      </c>
      <c r="R12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8" s="2" t="str">
        <f>_xlfn.XLOOKUP(Table2[[#This Row],[Adjusted Form '#]],'[2]IN PROGRESS'!$D:$D,'[2]IN PROGRESS'!$M:$M,"Not Found")</f>
        <v>Not Found</v>
      </c>
      <c r="U1228" s="2" t="str">
        <f>_xlfn.XLOOKUP(Table2[[#This Row],[Adjusted Form '#]],[1]COMPLETED!$D:$D,[2]COMPLETED!$M:$M,"Not Found")</f>
        <v>Not Found</v>
      </c>
      <c r="V1228" s="17" t="str">
        <f>_xlfn.XLOOKUP(Table2[[#This Row],[Adjusted Form '#]],[2]COMPLETED!$D:$D,[2]COMPLETED!$O:$O,"Not Found")</f>
        <v>Not Found</v>
      </c>
      <c r="W1228" s="2" t="str">
        <f>_xlfn.XLOOKUP(Table2[[#This Row],[Adjusted Form '#]],[2]BILLED!$D:$D,[2]BILLED!$M:$M,"Not Found")</f>
        <v>1Z5063E0YW42179029</v>
      </c>
      <c r="X1228" s="17" t="e">
        <f>_xlfn.XLOOKUP(Table2[[#This Row],[Adjusted Form '#]],[2]BILLED!$D:$D,[1]BILLED!$O:$O,"Not Found")</f>
        <v>#REF!</v>
      </c>
      <c r="Y1228" s="17" t="e">
        <f>_xlfn.XLOOKUP(Table2[[#This Row],[Adjusted Form '#]],'[2]REJECTED ORDERS'!$D:$D,'[2]REJECTED ORDERS'!$E:$E)</f>
        <v>#N/A</v>
      </c>
      <c r="Z1228" s="1"/>
      <c r="AA1228" s="1"/>
    </row>
    <row r="1229" spans="1:27" ht="15" customHeight="1" x14ac:dyDescent="0.35">
      <c r="A1229" s="4" t="s">
        <v>1844</v>
      </c>
      <c r="B1229" s="1" t="s">
        <v>733</v>
      </c>
      <c r="C1229" s="11">
        <v>45091</v>
      </c>
      <c r="D1229" s="11" t="s">
        <v>6053</v>
      </c>
      <c r="E1229" s="1" t="s">
        <v>21</v>
      </c>
      <c r="F1229" s="1" t="s">
        <v>6047</v>
      </c>
      <c r="G1229" s="6">
        <f>COUNTIF(F:F,Table2[[#This Row],[Form '#]])</f>
        <v>1</v>
      </c>
      <c r="H1229" s="1" t="s">
        <v>6048</v>
      </c>
      <c r="I1229" s="1" t="s">
        <v>3852</v>
      </c>
      <c r="J1229" s="1" t="s">
        <v>75</v>
      </c>
      <c r="K1229" s="1" t="s">
        <v>3853</v>
      </c>
      <c r="L1229" s="1"/>
      <c r="M1229" s="6" t="str">
        <f>IF(Table2[[#This Row],[Corrected Form '#
 (If Duplicated)]]="",Table2[[#This Row],[Form '#]],Table2[[#This Row],[Corrected Form '#
 (If Duplicated)]])</f>
        <v>7818-26860</v>
      </c>
      <c r="N1229" s="1" t="s">
        <v>49</v>
      </c>
      <c r="O1229" s="6" t="str">
        <f>IF(Table2[[#This Row],[POG CONFIRMATION RECEIPT OF ORDER
(DATE &amp; TIME)]]="","No Confirmation","Received Confirmation")</f>
        <v>Received Confirmation</v>
      </c>
      <c r="P1229" s="6">
        <f ca="1">TODAY()-Table2[[#This Row],[DATE SENT TO POG]]</f>
        <v>212</v>
      </c>
      <c r="Q1229" s="6" t="s">
        <v>5803</v>
      </c>
      <c r="R12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29" s="2" t="str">
        <f>_xlfn.XLOOKUP(Table2[[#This Row],[Adjusted Form '#]],'[2]IN PROGRESS'!$D:$D,'[2]IN PROGRESS'!$M:$M,"Not Found")</f>
        <v>Not Found</v>
      </c>
      <c r="U1229" s="2" t="str">
        <f>_xlfn.XLOOKUP(Table2[[#This Row],[Adjusted Form '#]],[1]COMPLETED!$D:$D,[2]COMPLETED!$M:$M,"Not Found")</f>
        <v>Not Found</v>
      </c>
      <c r="V1229" s="17" t="str">
        <f>_xlfn.XLOOKUP(Table2[[#This Row],[Adjusted Form '#]],[2]COMPLETED!$D:$D,[2]COMPLETED!$O:$O,"Not Found")</f>
        <v>Not Found</v>
      </c>
      <c r="W1229" s="2" t="str">
        <f>_xlfn.XLOOKUP(Table2[[#This Row],[Adjusted Form '#]],[2]BILLED!$D:$D,[2]BILLED!$M:$M,"Not Found")</f>
        <v>1Z5063E0YW40739445</v>
      </c>
      <c r="X1229" s="17" t="e">
        <f>_xlfn.XLOOKUP(Table2[[#This Row],[Adjusted Form '#]],[2]BILLED!$D:$D,[1]BILLED!$O:$O,"Not Found")</f>
        <v>#REF!</v>
      </c>
      <c r="Y1229" s="17" t="e">
        <f>_xlfn.XLOOKUP(Table2[[#This Row],[Adjusted Form '#]],'[2]REJECTED ORDERS'!$D:$D,'[2]REJECTED ORDERS'!$E:$E)</f>
        <v>#N/A</v>
      </c>
      <c r="Z1229" s="1"/>
      <c r="AA1229" s="1"/>
    </row>
    <row r="1230" spans="1:27" ht="15" customHeight="1" x14ac:dyDescent="0.35">
      <c r="A1230" s="4" t="s">
        <v>1845</v>
      </c>
      <c r="B1230" s="1" t="s">
        <v>733</v>
      </c>
      <c r="C1230" s="11">
        <v>45091</v>
      </c>
      <c r="D1230" s="11" t="s">
        <v>6053</v>
      </c>
      <c r="E1230" s="1" t="s">
        <v>21</v>
      </c>
      <c r="F1230" s="1" t="s">
        <v>6049</v>
      </c>
      <c r="G1230" s="6">
        <f>COUNTIF(F:F,Table2[[#This Row],[Form '#]])</f>
        <v>1</v>
      </c>
      <c r="H1230" s="1" t="s">
        <v>6050</v>
      </c>
      <c r="I1230" s="1" t="s">
        <v>758</v>
      </c>
      <c r="J1230" s="1" t="s">
        <v>78</v>
      </c>
      <c r="K1230" s="1" t="s">
        <v>3853</v>
      </c>
      <c r="L1230" s="1"/>
      <c r="M1230" s="6" t="str">
        <f>IF(Table2[[#This Row],[Corrected Form '#
 (If Duplicated)]]="",Table2[[#This Row],[Form '#]],Table2[[#This Row],[Corrected Form '#
 (If Duplicated)]])</f>
        <v>7818-26861</v>
      </c>
      <c r="N1230" s="1" t="s">
        <v>49</v>
      </c>
      <c r="O1230" s="6" t="str">
        <f>IF(Table2[[#This Row],[POG CONFIRMATION RECEIPT OF ORDER
(DATE &amp; TIME)]]="","No Confirmation","Received Confirmation")</f>
        <v>Received Confirmation</v>
      </c>
      <c r="P1230" s="6">
        <f ca="1">TODAY()-Table2[[#This Row],[DATE SENT TO POG]]</f>
        <v>212</v>
      </c>
      <c r="Q1230" s="6" t="s">
        <v>5803</v>
      </c>
      <c r="R12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0" s="2" t="str">
        <f>_xlfn.XLOOKUP(Table2[[#This Row],[Adjusted Form '#]],'[2]IN PROGRESS'!$D:$D,'[2]IN PROGRESS'!$M:$M,"Not Found")</f>
        <v>Not Found</v>
      </c>
      <c r="U1230" s="2" t="str">
        <f>_xlfn.XLOOKUP(Table2[[#This Row],[Adjusted Form '#]],[1]COMPLETED!$D:$D,[2]COMPLETED!$M:$M,"Not Found")</f>
        <v>Not Found</v>
      </c>
      <c r="V1230" s="17" t="str">
        <f>_xlfn.XLOOKUP(Table2[[#This Row],[Adjusted Form '#]],[2]COMPLETED!$D:$D,[2]COMPLETED!$O:$O,"Not Found")</f>
        <v>Not Found</v>
      </c>
      <c r="W1230" s="2" t="str">
        <f>_xlfn.XLOOKUP(Table2[[#This Row],[Adjusted Form '#]],[2]BILLED!$D:$D,[2]BILLED!$M:$M,"Not Found")</f>
        <v>1Z5063E0YW41297984</v>
      </c>
      <c r="X1230" s="17" t="e">
        <f>_xlfn.XLOOKUP(Table2[[#This Row],[Adjusted Form '#]],[2]BILLED!$D:$D,[1]BILLED!$O:$O,"Not Found")</f>
        <v>#REF!</v>
      </c>
      <c r="Y1230" s="17" t="e">
        <f>_xlfn.XLOOKUP(Table2[[#This Row],[Adjusted Form '#]],'[2]REJECTED ORDERS'!$D:$D,'[2]REJECTED ORDERS'!$E:$E)</f>
        <v>#N/A</v>
      </c>
      <c r="Z1230" s="1"/>
      <c r="AA1230" s="1"/>
    </row>
    <row r="1231" spans="1:27" ht="15" customHeight="1" x14ac:dyDescent="0.35">
      <c r="A1231" s="4" t="s">
        <v>1846</v>
      </c>
      <c r="B1231" s="1" t="s">
        <v>733</v>
      </c>
      <c r="C1231" s="10">
        <v>45091</v>
      </c>
      <c r="D1231" s="10" t="s">
        <v>6913</v>
      </c>
      <c r="E1231" s="1" t="s">
        <v>21</v>
      </c>
      <c r="F1231" s="1" t="s">
        <v>6051</v>
      </c>
      <c r="G1231" s="6">
        <f>COUNTIF(F:F,Table2[[#This Row],[Form '#]])</f>
        <v>1</v>
      </c>
      <c r="H1231" s="1" t="s">
        <v>6052</v>
      </c>
      <c r="I1231" s="1" t="s">
        <v>127</v>
      </c>
      <c r="J1231" s="1" t="s">
        <v>76</v>
      </c>
      <c r="K1231" s="1" t="s">
        <v>4011</v>
      </c>
      <c r="L1231" s="1"/>
      <c r="M1231" s="6" t="str">
        <f>IF(Table2[[#This Row],[Corrected Form '#
 (If Duplicated)]]="",Table2[[#This Row],[Form '#]],Table2[[#This Row],[Corrected Form '#
 (If Duplicated)]])</f>
        <v>7818-26862</v>
      </c>
      <c r="N1231" s="1" t="s">
        <v>49</v>
      </c>
      <c r="O1231" s="6" t="str">
        <f>IF(Table2[[#This Row],[POG CONFIRMATION RECEIPT OF ORDER
(DATE &amp; TIME)]]="","No Confirmation","Received Confirmation")</f>
        <v>Received Confirmation</v>
      </c>
      <c r="P1231" s="6">
        <f ca="1">TODAY()-Table2[[#This Row],[DATE SENT TO POG]]</f>
        <v>212</v>
      </c>
      <c r="Q1231" s="6" t="s">
        <v>5802</v>
      </c>
      <c r="R12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23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231" s="2" t="str">
        <f>_xlfn.XLOOKUP(Table2[[#This Row],[Adjusted Form '#]],'[2]IN PROGRESS'!$D:$D,'[2]IN PROGRESS'!$M:$M,"Not Found")</f>
        <v>Not Found</v>
      </c>
      <c r="U1231" s="2" t="str">
        <f>_xlfn.XLOOKUP(Table2[[#This Row],[Adjusted Form '#]],[1]COMPLETED!$D:$D,[2]COMPLETED!$M:$M,"Not Found")</f>
        <v>Not Found</v>
      </c>
      <c r="V1231" s="17" t="str">
        <f>_xlfn.XLOOKUP(Table2[[#This Row],[Adjusted Form '#]],[2]COMPLETED!$D:$D,[2]COMPLETED!$O:$O,"Not Found")</f>
        <v>Not Found</v>
      </c>
      <c r="W1231" s="2" t="str">
        <f>_xlfn.XLOOKUP(Table2[[#This Row],[Adjusted Form '#]],[2]BILLED!$D:$D,[2]BILLED!$M:$M,"Not Found")</f>
        <v>Not Found</v>
      </c>
      <c r="X1231" s="17" t="str">
        <f>_xlfn.XLOOKUP(Table2[[#This Row],[Adjusted Form '#]],[2]BILLED!$D:$D,[1]BILLED!$O:$O,"Not Found")</f>
        <v>Not Found</v>
      </c>
      <c r="Y1231" s="17" t="str">
        <f>_xlfn.XLOOKUP(Table2[[#This Row],[Adjusted Form '#]],'[2]REJECTED ORDERS'!$D:$D,'[2]REJECTED ORDERS'!$E:$E)</f>
        <v>FORM NOT SIGNED</v>
      </c>
      <c r="Z1231" s="23" t="s">
        <v>11</v>
      </c>
      <c r="AA1231" s="1"/>
    </row>
    <row r="1232" spans="1:27" ht="15" customHeight="1" x14ac:dyDescent="0.35">
      <c r="A1232" s="4" t="s">
        <v>1848</v>
      </c>
      <c r="B1232" s="1" t="s">
        <v>3764</v>
      </c>
      <c r="C1232" s="11">
        <v>45092</v>
      </c>
      <c r="E1232" s="1" t="s">
        <v>21</v>
      </c>
      <c r="F1232" s="1" t="s">
        <v>6054</v>
      </c>
      <c r="G1232" s="6">
        <f>COUNTIF(F:F,Table2[[#This Row],[Form '#]])</f>
        <v>1</v>
      </c>
      <c r="H1232" s="1" t="s">
        <v>3163</v>
      </c>
      <c r="I1232" s="1" t="s">
        <v>177</v>
      </c>
      <c r="J1232" s="1" t="s">
        <v>75</v>
      </c>
      <c r="K1232" s="1" t="s">
        <v>4011</v>
      </c>
      <c r="L1232" s="1"/>
      <c r="M1232" s="6" t="str">
        <f>IF(Table2[[#This Row],[Corrected Form '#
 (If Duplicated)]]="",Table2[[#This Row],[Form '#]],Table2[[#This Row],[Corrected Form '#
 (If Duplicated)]])</f>
        <v>7818-30918</v>
      </c>
      <c r="N1232" s="1" t="s">
        <v>49</v>
      </c>
      <c r="O1232" s="6" t="str">
        <f>IF(Table2[[#This Row],[POG CONFIRMATION RECEIPT OF ORDER
(DATE &amp; TIME)]]="","No Confirmation","Received Confirmation")</f>
        <v>No Confirmation</v>
      </c>
      <c r="P1232" s="6">
        <f ca="1">TODAY()-Table2[[#This Row],[DATE SENT TO POG]]</f>
        <v>211</v>
      </c>
      <c r="Q1232" s="6" t="s">
        <v>5803</v>
      </c>
      <c r="R12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2" s="2" t="str">
        <f>_xlfn.XLOOKUP(Table2[[#This Row],[Adjusted Form '#]],'[2]IN PROGRESS'!$D:$D,'[2]IN PROGRESS'!$M:$M,"Not Found")</f>
        <v>Not Found</v>
      </c>
      <c r="U1232" s="2" t="str">
        <f>_xlfn.XLOOKUP(Table2[[#This Row],[Adjusted Form '#]],[1]COMPLETED!$D:$D,[2]COMPLETED!$M:$M,"Not Found")</f>
        <v>Not Found</v>
      </c>
      <c r="V1232" s="17" t="str">
        <f>_xlfn.XLOOKUP(Table2[[#This Row],[Adjusted Form '#]],[2]COMPLETED!$D:$D,[2]COMPLETED!$O:$O,"Not Found")</f>
        <v>Not Found</v>
      </c>
      <c r="W1232" s="2" t="str">
        <f>_xlfn.XLOOKUP(Table2[[#This Row],[Adjusted Form '#]],[2]BILLED!$D:$D,[2]BILLED!$M:$M,"Not Found")</f>
        <v>9402 1112 0620 7696 9049 53</v>
      </c>
      <c r="X1232" s="17" t="e">
        <f>_xlfn.XLOOKUP(Table2[[#This Row],[Adjusted Form '#]],[2]BILLED!$D:$D,[1]BILLED!$O:$O,"Not Found")</f>
        <v>#REF!</v>
      </c>
      <c r="Y1232" s="17" t="e">
        <f>_xlfn.XLOOKUP(Table2[[#This Row],[Adjusted Form '#]],'[2]REJECTED ORDERS'!$D:$D,'[2]REJECTED ORDERS'!$E:$E)</f>
        <v>#N/A</v>
      </c>
      <c r="Z1232" s="1"/>
      <c r="AA1232" s="1"/>
    </row>
    <row r="1233" spans="1:27" ht="15" customHeight="1" x14ac:dyDescent="0.35">
      <c r="A1233" s="4" t="s">
        <v>1849</v>
      </c>
      <c r="B1233" s="1" t="s">
        <v>2906</v>
      </c>
      <c r="C1233" s="11">
        <v>45092</v>
      </c>
      <c r="D1233" s="11" t="s">
        <v>6057</v>
      </c>
      <c r="E1233" s="1" t="s">
        <v>73</v>
      </c>
      <c r="F1233" s="1" t="s">
        <v>6055</v>
      </c>
      <c r="G1233" s="6">
        <f>COUNTIF(F:F,Table2[[#This Row],[Form '#]])</f>
        <v>1</v>
      </c>
      <c r="H1233" s="1" t="s">
        <v>6056</v>
      </c>
      <c r="I1233" s="1" t="s">
        <v>3852</v>
      </c>
      <c r="J1233" s="1" t="s">
        <v>80</v>
      </c>
      <c r="K1233" s="1" t="s">
        <v>4011</v>
      </c>
      <c r="L1233" s="1"/>
      <c r="M1233" s="6" t="str">
        <f>IF(Table2[[#This Row],[Corrected Form '#
 (If Duplicated)]]="",Table2[[#This Row],[Form '#]],Table2[[#This Row],[Corrected Form '#
 (If Duplicated)]])</f>
        <v>7823-02776</v>
      </c>
      <c r="N1233" s="1" t="s">
        <v>49</v>
      </c>
      <c r="O1233" s="6" t="str">
        <f>IF(Table2[[#This Row],[POG CONFIRMATION RECEIPT OF ORDER
(DATE &amp; TIME)]]="","No Confirmation","Received Confirmation")</f>
        <v>Received Confirmation</v>
      </c>
      <c r="P1233" s="6">
        <f ca="1">TODAY()-Table2[[#This Row],[DATE SENT TO POG]]</f>
        <v>211</v>
      </c>
      <c r="Q1233" s="6" t="s">
        <v>5803</v>
      </c>
      <c r="R12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3" s="2" t="str">
        <f>_xlfn.XLOOKUP(Table2[[#This Row],[Adjusted Form '#]],'[2]IN PROGRESS'!$D:$D,'[2]IN PROGRESS'!$M:$M,"Not Found")</f>
        <v>Not Found</v>
      </c>
      <c r="U1233" s="2" t="str">
        <f>_xlfn.XLOOKUP(Table2[[#This Row],[Adjusted Form '#]],[1]COMPLETED!$D:$D,[2]COMPLETED!$M:$M,"Not Found")</f>
        <v>Not Found</v>
      </c>
      <c r="V1233" s="17" t="str">
        <f>_xlfn.XLOOKUP(Table2[[#This Row],[Adjusted Form '#]],[2]COMPLETED!$D:$D,[2]COMPLETED!$O:$O,"Not Found")</f>
        <v>Not Found</v>
      </c>
      <c r="W1233" s="2" t="str">
        <f>_xlfn.XLOOKUP(Table2[[#This Row],[Adjusted Form '#]],[2]BILLED!$D:$D,[2]BILLED!$M:$M,"Not Found")</f>
        <v>9402 1112 0620 7644 8793 88</v>
      </c>
      <c r="X1233" s="17" t="e">
        <f>_xlfn.XLOOKUP(Table2[[#This Row],[Adjusted Form '#]],[2]BILLED!$D:$D,[1]BILLED!$O:$O,"Not Found")</f>
        <v>#REF!</v>
      </c>
      <c r="Y1233" s="17" t="e">
        <f>_xlfn.XLOOKUP(Table2[[#This Row],[Adjusted Form '#]],'[2]REJECTED ORDERS'!$D:$D,'[2]REJECTED ORDERS'!$E:$E)</f>
        <v>#N/A</v>
      </c>
      <c r="Z1233" s="1"/>
      <c r="AA1233" s="1"/>
    </row>
    <row r="1234" spans="1:27" ht="15" customHeight="1" x14ac:dyDescent="0.35">
      <c r="A1234" s="4" t="s">
        <v>1850</v>
      </c>
      <c r="B1234" s="1" t="s">
        <v>6058</v>
      </c>
      <c r="C1234" s="11">
        <v>45092</v>
      </c>
      <c r="D1234" s="11" t="s">
        <v>6072</v>
      </c>
      <c r="E1234" s="1" t="s">
        <v>21</v>
      </c>
      <c r="F1234" s="1" t="s">
        <v>6059</v>
      </c>
      <c r="G1234" s="6">
        <f>COUNTIF(F:F,Table2[[#This Row],[Form '#]])</f>
        <v>1</v>
      </c>
      <c r="H1234" s="1" t="s">
        <v>6060</v>
      </c>
      <c r="I1234" s="1" t="s">
        <v>127</v>
      </c>
      <c r="J1234" s="1" t="s">
        <v>74</v>
      </c>
      <c r="K1234" s="1" t="s">
        <v>3883</v>
      </c>
      <c r="L1234" s="1"/>
      <c r="M1234" s="6" t="str">
        <f>IF(Table2[[#This Row],[Corrected Form '#
 (If Duplicated)]]="",Table2[[#This Row],[Form '#]],Table2[[#This Row],[Corrected Form '#
 (If Duplicated)]])</f>
        <v>7818-26508</v>
      </c>
      <c r="N1234" s="1" t="s">
        <v>49</v>
      </c>
      <c r="O1234" s="6" t="str">
        <f>IF(Table2[[#This Row],[POG CONFIRMATION RECEIPT OF ORDER
(DATE &amp; TIME)]]="","No Confirmation","Received Confirmation")</f>
        <v>Received Confirmation</v>
      </c>
      <c r="P1234" s="6">
        <f ca="1">TODAY()-Table2[[#This Row],[DATE SENT TO POG]]</f>
        <v>211</v>
      </c>
      <c r="Q1234" s="6" t="s">
        <v>5803</v>
      </c>
      <c r="R12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4" s="2" t="str">
        <f>_xlfn.XLOOKUP(Table2[[#This Row],[Adjusted Form '#]],'[2]IN PROGRESS'!$D:$D,'[2]IN PROGRESS'!$M:$M,"Not Found")</f>
        <v>Not Found</v>
      </c>
      <c r="U1234" s="2" t="str">
        <f>_xlfn.XLOOKUP(Table2[[#This Row],[Adjusted Form '#]],[1]COMPLETED!$D:$D,[2]COMPLETED!$M:$M,"Not Found")</f>
        <v>Not Found</v>
      </c>
      <c r="V1234" s="17" t="str">
        <f>_xlfn.XLOOKUP(Table2[[#This Row],[Adjusted Form '#]],[2]COMPLETED!$D:$D,[2]COMPLETED!$O:$O,"Not Found")</f>
        <v>Not Found</v>
      </c>
      <c r="W1234" s="2" t="str">
        <f>_xlfn.XLOOKUP(Table2[[#This Row],[Adjusted Form '#]],[2]BILLED!$D:$D,[2]BILLED!$M:$M,"Not Found")</f>
        <v>9402 1112 0620 7691 8141 34</v>
      </c>
      <c r="X1234" s="17" t="e">
        <f>_xlfn.XLOOKUP(Table2[[#This Row],[Adjusted Form '#]],[2]BILLED!$D:$D,[1]BILLED!$O:$O,"Not Found")</f>
        <v>#REF!</v>
      </c>
      <c r="Y1234" s="17" t="e">
        <f>_xlfn.XLOOKUP(Table2[[#This Row],[Adjusted Form '#]],'[2]REJECTED ORDERS'!$D:$D,'[2]REJECTED ORDERS'!$E:$E)</f>
        <v>#N/A</v>
      </c>
      <c r="Z1234" s="1"/>
      <c r="AA1234" s="1"/>
    </row>
    <row r="1235" spans="1:27" ht="15" customHeight="1" x14ac:dyDescent="0.35">
      <c r="A1235" s="4" t="s">
        <v>1851</v>
      </c>
      <c r="B1235" s="1" t="s">
        <v>6058</v>
      </c>
      <c r="C1235" s="11">
        <v>45092</v>
      </c>
      <c r="D1235" s="11" t="s">
        <v>6072</v>
      </c>
      <c r="E1235" s="1" t="s">
        <v>21</v>
      </c>
      <c r="F1235" s="1" t="s">
        <v>6061</v>
      </c>
      <c r="G1235" s="6">
        <f>COUNTIF(F:F,Table2[[#This Row],[Form '#]])</f>
        <v>1</v>
      </c>
      <c r="H1235" s="1" t="s">
        <v>6062</v>
      </c>
      <c r="I1235" s="1" t="s">
        <v>177</v>
      </c>
      <c r="J1235" s="1" t="s">
        <v>75</v>
      </c>
      <c r="K1235" s="1" t="s">
        <v>3853</v>
      </c>
      <c r="L1235" s="1"/>
      <c r="M1235" s="6" t="str">
        <f>IF(Table2[[#This Row],[Corrected Form '#
 (If Duplicated)]]="",Table2[[#This Row],[Form '#]],Table2[[#This Row],[Corrected Form '#
 (If Duplicated)]])</f>
        <v>7818-07313</v>
      </c>
      <c r="N1235" s="1" t="s">
        <v>49</v>
      </c>
      <c r="O1235" s="6" t="str">
        <f>IF(Table2[[#This Row],[POG CONFIRMATION RECEIPT OF ORDER
(DATE &amp; TIME)]]="","No Confirmation","Received Confirmation")</f>
        <v>Received Confirmation</v>
      </c>
      <c r="P1235" s="6">
        <f ca="1">TODAY()-Table2[[#This Row],[DATE SENT TO POG]]</f>
        <v>211</v>
      </c>
      <c r="Q1235" s="6" t="s">
        <v>5803</v>
      </c>
      <c r="R12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5" s="2" t="str">
        <f>_xlfn.XLOOKUP(Table2[[#This Row],[Adjusted Form '#]],'[2]IN PROGRESS'!$D:$D,'[2]IN PROGRESS'!$M:$M,"Not Found")</f>
        <v>Not Found</v>
      </c>
      <c r="U1235" s="2" t="str">
        <f>_xlfn.XLOOKUP(Table2[[#This Row],[Adjusted Form '#]],[1]COMPLETED!$D:$D,[2]COMPLETED!$M:$M,"Not Found")</f>
        <v>Not Found</v>
      </c>
      <c r="V1235" s="17" t="str">
        <f>_xlfn.XLOOKUP(Table2[[#This Row],[Adjusted Form '#]],[2]COMPLETED!$D:$D,[2]COMPLETED!$O:$O,"Not Found")</f>
        <v>Not Found</v>
      </c>
      <c r="W1235" s="2" t="str">
        <f>_xlfn.XLOOKUP(Table2[[#This Row],[Adjusted Form '#]],[2]BILLED!$D:$D,[2]BILLED!$M:$M,"Not Found")</f>
        <v>9402 1112 0620 7606 2525 56</v>
      </c>
      <c r="X1235" s="17" t="e">
        <f>_xlfn.XLOOKUP(Table2[[#This Row],[Adjusted Form '#]],[2]BILLED!$D:$D,[1]BILLED!$O:$O,"Not Found")</f>
        <v>#REF!</v>
      </c>
      <c r="Y1235" s="17" t="e">
        <f>_xlfn.XLOOKUP(Table2[[#This Row],[Adjusted Form '#]],'[2]REJECTED ORDERS'!$D:$D,'[2]REJECTED ORDERS'!$E:$E)</f>
        <v>#N/A</v>
      </c>
      <c r="Z1235" s="1"/>
      <c r="AA1235" s="1"/>
    </row>
    <row r="1236" spans="1:27" ht="15" customHeight="1" x14ac:dyDescent="0.35">
      <c r="A1236" s="4" t="s">
        <v>1853</v>
      </c>
      <c r="B1236" s="1" t="s">
        <v>6058</v>
      </c>
      <c r="C1236" s="11">
        <v>45092</v>
      </c>
      <c r="D1236" s="11" t="s">
        <v>6072</v>
      </c>
      <c r="E1236" s="1" t="s">
        <v>21</v>
      </c>
      <c r="F1236" s="1" t="s">
        <v>6063</v>
      </c>
      <c r="G1236" s="6">
        <f>COUNTIF(F:F,Table2[[#This Row],[Form '#]])</f>
        <v>1</v>
      </c>
      <c r="H1236" s="1" t="s">
        <v>6064</v>
      </c>
      <c r="I1236" s="1" t="s">
        <v>3864</v>
      </c>
      <c r="J1236" s="1" t="s">
        <v>78</v>
      </c>
      <c r="K1236" s="1" t="s">
        <v>3879</v>
      </c>
      <c r="L1236" s="1"/>
      <c r="M1236" s="6" t="str">
        <f>IF(Table2[[#This Row],[Corrected Form '#
 (If Duplicated)]]="",Table2[[#This Row],[Form '#]],Table2[[#This Row],[Corrected Form '#
 (If Duplicated)]])</f>
        <v>7818-26842</v>
      </c>
      <c r="N1236" s="1" t="s">
        <v>49</v>
      </c>
      <c r="O1236" s="6" t="str">
        <f>IF(Table2[[#This Row],[POG CONFIRMATION RECEIPT OF ORDER
(DATE &amp; TIME)]]="","No Confirmation","Received Confirmation")</f>
        <v>Received Confirmation</v>
      </c>
      <c r="P1236" s="6">
        <f ca="1">TODAY()-Table2[[#This Row],[DATE SENT TO POG]]</f>
        <v>211</v>
      </c>
      <c r="Q1236" s="6" t="s">
        <v>5803</v>
      </c>
      <c r="R12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6" s="2" t="str">
        <f>_xlfn.XLOOKUP(Table2[[#This Row],[Adjusted Form '#]],'[2]IN PROGRESS'!$D:$D,'[2]IN PROGRESS'!$M:$M,"Not Found")</f>
        <v>Not Found</v>
      </c>
      <c r="U1236" s="2" t="str">
        <f>_xlfn.XLOOKUP(Table2[[#This Row],[Adjusted Form '#]],[1]COMPLETED!$D:$D,[2]COMPLETED!$M:$M,"Not Found")</f>
        <v>Not Found</v>
      </c>
      <c r="V1236" s="17" t="str">
        <f>_xlfn.XLOOKUP(Table2[[#This Row],[Adjusted Form '#]],[2]COMPLETED!$D:$D,[2]COMPLETED!$O:$O,"Not Found")</f>
        <v>Not Found</v>
      </c>
      <c r="W1236" s="2" t="str">
        <f>_xlfn.XLOOKUP(Table2[[#This Row],[Adjusted Form '#]],[2]BILLED!$D:$D,[2]BILLED!$M:$M,"Not Found")</f>
        <v>9402 1112 0620 7682 9322 43</v>
      </c>
      <c r="X1236" s="17" t="e">
        <f>_xlfn.XLOOKUP(Table2[[#This Row],[Adjusted Form '#]],[2]BILLED!$D:$D,[1]BILLED!$O:$O,"Not Found")</f>
        <v>#REF!</v>
      </c>
      <c r="Y1236" s="17" t="e">
        <f>_xlfn.XLOOKUP(Table2[[#This Row],[Adjusted Form '#]],'[2]REJECTED ORDERS'!$D:$D,'[2]REJECTED ORDERS'!$E:$E)</f>
        <v>#N/A</v>
      </c>
      <c r="Z1236" s="1"/>
      <c r="AA1236" s="1"/>
    </row>
    <row r="1237" spans="1:27" ht="15" customHeight="1" x14ac:dyDescent="0.35">
      <c r="A1237" s="4" t="s">
        <v>1855</v>
      </c>
      <c r="B1237" s="1" t="s">
        <v>6058</v>
      </c>
      <c r="C1237" s="11">
        <v>45092</v>
      </c>
      <c r="D1237" s="11" t="s">
        <v>6072</v>
      </c>
      <c r="E1237" s="1" t="s">
        <v>21</v>
      </c>
      <c r="F1237" s="1" t="s">
        <v>6065</v>
      </c>
      <c r="G1237" s="6">
        <f>COUNTIF(F:F,Table2[[#This Row],[Form '#]])</f>
        <v>1</v>
      </c>
      <c r="H1237" s="1" t="s">
        <v>6066</v>
      </c>
      <c r="I1237" s="1" t="s">
        <v>3852</v>
      </c>
      <c r="J1237" s="1" t="s">
        <v>80</v>
      </c>
      <c r="K1237" s="1" t="s">
        <v>3853</v>
      </c>
      <c r="L1237" s="1"/>
      <c r="M1237" s="6" t="str">
        <f>IF(Table2[[#This Row],[Corrected Form '#
 (If Duplicated)]]="",Table2[[#This Row],[Form '#]],Table2[[#This Row],[Corrected Form '#
 (If Duplicated)]])</f>
        <v>7818-16790</v>
      </c>
      <c r="N1237" s="1" t="s">
        <v>49</v>
      </c>
      <c r="O1237" s="6" t="str">
        <f>IF(Table2[[#This Row],[POG CONFIRMATION RECEIPT OF ORDER
(DATE &amp; TIME)]]="","No Confirmation","Received Confirmation")</f>
        <v>Received Confirmation</v>
      </c>
      <c r="P1237" s="6">
        <f ca="1">TODAY()-Table2[[#This Row],[DATE SENT TO POG]]</f>
        <v>211</v>
      </c>
      <c r="Q1237" s="6" t="s">
        <v>5803</v>
      </c>
      <c r="R12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7" s="2" t="str">
        <f>_xlfn.XLOOKUP(Table2[[#This Row],[Adjusted Form '#]],'[2]IN PROGRESS'!$D:$D,'[2]IN PROGRESS'!$M:$M,"Not Found")</f>
        <v>Not Found</v>
      </c>
      <c r="U1237" s="2" t="str">
        <f>_xlfn.XLOOKUP(Table2[[#This Row],[Adjusted Form '#]],[1]COMPLETED!$D:$D,[2]COMPLETED!$M:$M,"Not Found")</f>
        <v>Not Found</v>
      </c>
      <c r="V1237" s="17" t="str">
        <f>_xlfn.XLOOKUP(Table2[[#This Row],[Adjusted Form '#]],[2]COMPLETED!$D:$D,[2]COMPLETED!$O:$O,"Not Found")</f>
        <v>Not Found</v>
      </c>
      <c r="W1237" s="2" t="str">
        <f>_xlfn.XLOOKUP(Table2[[#This Row],[Adjusted Form '#]],[2]BILLED!$D:$D,[2]BILLED!$M:$M,"Not Found")</f>
        <v>9402 1112 0620 7643 6795 21</v>
      </c>
      <c r="X1237" s="17" t="e">
        <f>_xlfn.XLOOKUP(Table2[[#This Row],[Adjusted Form '#]],[2]BILLED!$D:$D,[1]BILLED!$O:$O,"Not Found")</f>
        <v>#REF!</v>
      </c>
      <c r="Y1237" s="17" t="e">
        <f>_xlfn.XLOOKUP(Table2[[#This Row],[Adjusted Form '#]],'[2]REJECTED ORDERS'!$D:$D,'[2]REJECTED ORDERS'!$E:$E)</f>
        <v>#N/A</v>
      </c>
      <c r="Z1237" s="1"/>
      <c r="AA1237" s="1"/>
    </row>
    <row r="1238" spans="1:27" ht="15" customHeight="1" x14ac:dyDescent="0.35">
      <c r="A1238" s="4" t="s">
        <v>1857</v>
      </c>
      <c r="B1238" s="1" t="s">
        <v>6058</v>
      </c>
      <c r="C1238" s="11">
        <v>45092</v>
      </c>
      <c r="D1238" s="11" t="s">
        <v>6072</v>
      </c>
      <c r="E1238" s="1" t="s">
        <v>21</v>
      </c>
      <c r="F1238" s="1" t="s">
        <v>6067</v>
      </c>
      <c r="G1238" s="6">
        <f>COUNTIF(F:F,Table2[[#This Row],[Form '#]])</f>
        <v>1</v>
      </c>
      <c r="H1238" s="1" t="s">
        <v>6068</v>
      </c>
      <c r="I1238" s="1" t="s">
        <v>3852</v>
      </c>
      <c r="J1238" s="1" t="s">
        <v>80</v>
      </c>
      <c r="K1238" s="1" t="s">
        <v>3853</v>
      </c>
      <c r="L1238" s="1"/>
      <c r="M1238" s="6" t="str">
        <f>IF(Table2[[#This Row],[Corrected Form '#
 (If Duplicated)]]="",Table2[[#This Row],[Form '#]],Table2[[#This Row],[Corrected Form '#
 (If Duplicated)]])</f>
        <v>7818-06930</v>
      </c>
      <c r="N1238" s="1" t="s">
        <v>49</v>
      </c>
      <c r="O1238" s="6" t="str">
        <f>IF(Table2[[#This Row],[POG CONFIRMATION RECEIPT OF ORDER
(DATE &amp; TIME)]]="","No Confirmation","Received Confirmation")</f>
        <v>Received Confirmation</v>
      </c>
      <c r="P1238" s="6">
        <f ca="1">TODAY()-Table2[[#This Row],[DATE SENT TO POG]]</f>
        <v>211</v>
      </c>
      <c r="Q1238" s="6" t="s">
        <v>5803</v>
      </c>
      <c r="R12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8" s="2" t="str">
        <f>_xlfn.XLOOKUP(Table2[[#This Row],[Adjusted Form '#]],'[2]IN PROGRESS'!$D:$D,'[2]IN PROGRESS'!$M:$M,"Not Found")</f>
        <v>Not Found</v>
      </c>
      <c r="U1238" s="2" t="str">
        <f>_xlfn.XLOOKUP(Table2[[#This Row],[Adjusted Form '#]],[1]COMPLETED!$D:$D,[2]COMPLETED!$M:$M,"Not Found")</f>
        <v>Not Found</v>
      </c>
      <c r="V1238" s="17" t="str">
        <f>_xlfn.XLOOKUP(Table2[[#This Row],[Adjusted Form '#]],[2]COMPLETED!$D:$D,[2]COMPLETED!$O:$O,"Not Found")</f>
        <v>Not Found</v>
      </c>
      <c r="W1238" s="2" t="str">
        <f>_xlfn.XLOOKUP(Table2[[#This Row],[Adjusted Form '#]],[2]BILLED!$D:$D,[2]BILLED!$M:$M,"Not Found")</f>
        <v>9402 1112 0620 7672 1008 05</v>
      </c>
      <c r="X1238" s="17" t="e">
        <f>_xlfn.XLOOKUP(Table2[[#This Row],[Adjusted Form '#]],[2]BILLED!$D:$D,[1]BILLED!$O:$O,"Not Found")</f>
        <v>#REF!</v>
      </c>
      <c r="Y1238" s="17" t="e">
        <f>_xlfn.XLOOKUP(Table2[[#This Row],[Adjusted Form '#]],'[2]REJECTED ORDERS'!$D:$D,'[2]REJECTED ORDERS'!$E:$E)</f>
        <v>#N/A</v>
      </c>
      <c r="Z1238" s="1"/>
      <c r="AA1238" s="1"/>
    </row>
    <row r="1239" spans="1:27" ht="15" customHeight="1" x14ac:dyDescent="0.35">
      <c r="A1239" s="4" t="s">
        <v>1858</v>
      </c>
      <c r="B1239" s="1" t="s">
        <v>6058</v>
      </c>
      <c r="C1239" s="11">
        <v>45092</v>
      </c>
      <c r="D1239" s="11" t="s">
        <v>6072</v>
      </c>
      <c r="E1239" s="1" t="s">
        <v>21</v>
      </c>
      <c r="F1239" s="1" t="s">
        <v>6069</v>
      </c>
      <c r="G1239" s="6">
        <f>COUNTIF(F:F,Table2[[#This Row],[Form '#]])</f>
        <v>1</v>
      </c>
      <c r="H1239" s="1" t="s">
        <v>1620</v>
      </c>
      <c r="I1239" s="1" t="s">
        <v>758</v>
      </c>
      <c r="J1239" s="1" t="s">
        <v>78</v>
      </c>
      <c r="K1239" s="1" t="s">
        <v>3853</v>
      </c>
      <c r="L1239" s="1"/>
      <c r="M1239" s="6" t="str">
        <f>IF(Table2[[#This Row],[Corrected Form '#
 (If Duplicated)]]="",Table2[[#This Row],[Form '#]],Table2[[#This Row],[Corrected Form '#
 (If Duplicated)]])</f>
        <v>7818-16033</v>
      </c>
      <c r="N1239" s="1" t="s">
        <v>49</v>
      </c>
      <c r="O1239" s="6" t="str">
        <f>IF(Table2[[#This Row],[POG CONFIRMATION RECEIPT OF ORDER
(DATE &amp; TIME)]]="","No Confirmation","Received Confirmation")</f>
        <v>Received Confirmation</v>
      </c>
      <c r="P1239" s="6">
        <f ca="1">TODAY()-Table2[[#This Row],[DATE SENT TO POG]]</f>
        <v>211</v>
      </c>
      <c r="Q1239" s="6" t="s">
        <v>5803</v>
      </c>
      <c r="R12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39" s="2" t="str">
        <f>_xlfn.XLOOKUP(Table2[[#This Row],[Adjusted Form '#]],'[2]IN PROGRESS'!$D:$D,'[2]IN PROGRESS'!$M:$M,"Not Found")</f>
        <v>Not Found</v>
      </c>
      <c r="U1239" s="2" t="str">
        <f>_xlfn.XLOOKUP(Table2[[#This Row],[Adjusted Form '#]],[1]COMPLETED!$D:$D,[2]COMPLETED!$M:$M,"Not Found")</f>
        <v>Not Found</v>
      </c>
      <c r="V1239" s="17" t="str">
        <f>_xlfn.XLOOKUP(Table2[[#This Row],[Adjusted Form '#]],[2]COMPLETED!$D:$D,[2]COMPLETED!$O:$O,"Not Found")</f>
        <v>Not Found</v>
      </c>
      <c r="W1239" s="2" t="str">
        <f>_xlfn.XLOOKUP(Table2[[#This Row],[Adjusted Form '#]],[2]BILLED!$D:$D,[2]BILLED!$M:$M,"Not Found")</f>
        <v>9400 1112 0620 7661 2422 42</v>
      </c>
      <c r="X1239" s="17" t="e">
        <f>_xlfn.XLOOKUP(Table2[[#This Row],[Adjusted Form '#]],[2]BILLED!$D:$D,[1]BILLED!$O:$O,"Not Found")</f>
        <v>#REF!</v>
      </c>
      <c r="Y1239" s="17" t="e">
        <f>_xlfn.XLOOKUP(Table2[[#This Row],[Adjusted Form '#]],'[2]REJECTED ORDERS'!$D:$D,'[2]REJECTED ORDERS'!$E:$E)</f>
        <v>#N/A</v>
      </c>
      <c r="Z1239" s="1"/>
      <c r="AA1239" s="1"/>
    </row>
    <row r="1240" spans="1:27" ht="15" customHeight="1" x14ac:dyDescent="0.35">
      <c r="A1240" s="4" t="s">
        <v>1860</v>
      </c>
      <c r="B1240" s="1" t="s">
        <v>6058</v>
      </c>
      <c r="C1240" s="11">
        <v>45092</v>
      </c>
      <c r="D1240" s="11" t="s">
        <v>6072</v>
      </c>
      <c r="E1240" s="1" t="s">
        <v>21</v>
      </c>
      <c r="F1240" s="1" t="s">
        <v>6070</v>
      </c>
      <c r="G1240" s="6">
        <f>COUNTIF(F:F,Table2[[#This Row],[Form '#]])</f>
        <v>1</v>
      </c>
      <c r="H1240" s="1" t="s">
        <v>215</v>
      </c>
      <c r="I1240" s="1" t="s">
        <v>28</v>
      </c>
      <c r="J1240" s="1" t="s">
        <v>69</v>
      </c>
      <c r="K1240" s="1" t="s">
        <v>4631</v>
      </c>
      <c r="L1240" s="1"/>
      <c r="M1240" s="6" t="str">
        <f>IF(Table2[[#This Row],[Corrected Form '#
 (If Duplicated)]]="",Table2[[#This Row],[Form '#]],Table2[[#This Row],[Corrected Form '#
 (If Duplicated)]])</f>
        <v>7818-25287</v>
      </c>
      <c r="N1240" s="1" t="s">
        <v>49</v>
      </c>
      <c r="O1240" s="6" t="str">
        <f>IF(Table2[[#This Row],[POG CONFIRMATION RECEIPT OF ORDER
(DATE &amp; TIME)]]="","No Confirmation","Received Confirmation")</f>
        <v>Received Confirmation</v>
      </c>
      <c r="P1240" s="6">
        <f ca="1">TODAY()-Table2[[#This Row],[DATE SENT TO POG]]</f>
        <v>211</v>
      </c>
      <c r="Q1240" s="6" t="s">
        <v>5803</v>
      </c>
      <c r="R12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0" s="2" t="str">
        <f>_xlfn.XLOOKUP(Table2[[#This Row],[Adjusted Form '#]],'[2]IN PROGRESS'!$D:$D,'[2]IN PROGRESS'!$M:$M,"Not Found")</f>
        <v>Not Found</v>
      </c>
      <c r="U1240" s="2" t="str">
        <f>_xlfn.XLOOKUP(Table2[[#This Row],[Adjusted Form '#]],[1]COMPLETED!$D:$D,[2]COMPLETED!$M:$M,"Not Found")</f>
        <v>Not Found</v>
      </c>
      <c r="V1240" s="17" t="str">
        <f>_xlfn.XLOOKUP(Table2[[#This Row],[Adjusted Form '#]],[2]COMPLETED!$D:$D,[2]COMPLETED!$O:$O,"Not Found")</f>
        <v>Not Found</v>
      </c>
      <c r="W1240" s="2" t="str">
        <f>_xlfn.XLOOKUP(Table2[[#This Row],[Adjusted Form '#]],[2]BILLED!$D:$D,[2]BILLED!$M:$M,"Not Found")</f>
        <v>9402 1112 0620 7659 6492 11</v>
      </c>
      <c r="X1240" s="17" t="e">
        <f>_xlfn.XLOOKUP(Table2[[#This Row],[Adjusted Form '#]],[2]BILLED!$D:$D,[1]BILLED!$O:$O,"Not Found")</f>
        <v>#REF!</v>
      </c>
      <c r="Y1240" s="17" t="e">
        <f>_xlfn.XLOOKUP(Table2[[#This Row],[Adjusted Form '#]],'[2]REJECTED ORDERS'!$D:$D,'[2]REJECTED ORDERS'!$E:$E)</f>
        <v>#N/A</v>
      </c>
      <c r="Z1240" s="1"/>
      <c r="AA1240" s="1"/>
    </row>
    <row r="1241" spans="1:27" ht="15" customHeight="1" x14ac:dyDescent="0.35">
      <c r="A1241" s="4" t="s">
        <v>1861</v>
      </c>
      <c r="B1241" s="1" t="s">
        <v>6058</v>
      </c>
      <c r="C1241" s="11">
        <v>45092</v>
      </c>
      <c r="D1241" s="11" t="s">
        <v>6072</v>
      </c>
      <c r="E1241" s="1" t="s">
        <v>21</v>
      </c>
      <c r="F1241" s="1" t="s">
        <v>6071</v>
      </c>
      <c r="G1241" s="6">
        <f>COUNTIF(F:F,Table2[[#This Row],[Form '#]])</f>
        <v>1</v>
      </c>
      <c r="H1241" s="1" t="s">
        <v>3579</v>
      </c>
      <c r="I1241" s="1" t="s">
        <v>3864</v>
      </c>
      <c r="J1241" s="1" t="s">
        <v>78</v>
      </c>
      <c r="K1241" s="1" t="s">
        <v>3879</v>
      </c>
      <c r="L1241" s="1"/>
      <c r="M1241" s="6" t="str">
        <f>IF(Table2[[#This Row],[Corrected Form '#
 (If Duplicated)]]="",Table2[[#This Row],[Form '#]],Table2[[#This Row],[Corrected Form '#
 (If Duplicated)]])</f>
        <v>7818-29796</v>
      </c>
      <c r="N1241" s="1" t="s">
        <v>49</v>
      </c>
      <c r="O1241" s="6" t="str">
        <f>IF(Table2[[#This Row],[POG CONFIRMATION RECEIPT OF ORDER
(DATE &amp; TIME)]]="","No Confirmation","Received Confirmation")</f>
        <v>Received Confirmation</v>
      </c>
      <c r="P1241" s="6">
        <f ca="1">TODAY()-Table2[[#This Row],[DATE SENT TO POG]]</f>
        <v>211</v>
      </c>
      <c r="Q1241" s="6" t="s">
        <v>5803</v>
      </c>
      <c r="R12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1" s="2" t="str">
        <f>_xlfn.XLOOKUP(Table2[[#This Row],[Adjusted Form '#]],'[2]IN PROGRESS'!$D:$D,'[2]IN PROGRESS'!$M:$M,"Not Found")</f>
        <v>Not Found</v>
      </c>
      <c r="U1241" s="2" t="str">
        <f>_xlfn.XLOOKUP(Table2[[#This Row],[Adjusted Form '#]],[1]COMPLETED!$D:$D,[2]COMPLETED!$M:$M,"Not Found")</f>
        <v>Not Found</v>
      </c>
      <c r="V1241" s="17" t="str">
        <f>_xlfn.XLOOKUP(Table2[[#This Row],[Adjusted Form '#]],[2]COMPLETED!$D:$D,[2]COMPLETED!$O:$O,"Not Found")</f>
        <v>Not Found</v>
      </c>
      <c r="W1241" s="2" t="str">
        <f>_xlfn.XLOOKUP(Table2[[#This Row],[Adjusted Form '#]],[2]BILLED!$D:$D,[2]BILLED!$M:$M,"Not Found")</f>
        <v>9402 1112 0620 7682 6042 94</v>
      </c>
      <c r="X1241" s="17" t="e">
        <f>_xlfn.XLOOKUP(Table2[[#This Row],[Adjusted Form '#]],[2]BILLED!$D:$D,[1]BILLED!$O:$O,"Not Found")</f>
        <v>#REF!</v>
      </c>
      <c r="Y1241" s="17" t="e">
        <f>_xlfn.XLOOKUP(Table2[[#This Row],[Adjusted Form '#]],'[2]REJECTED ORDERS'!$D:$D,'[2]REJECTED ORDERS'!$E:$E)</f>
        <v>#N/A</v>
      </c>
      <c r="Z1241" s="1"/>
      <c r="AA1241" s="1"/>
    </row>
    <row r="1242" spans="1:27" ht="15" customHeight="1" x14ac:dyDescent="0.35">
      <c r="A1242" s="4" t="s">
        <v>1862</v>
      </c>
      <c r="B1242" s="1" t="s">
        <v>1778</v>
      </c>
      <c r="C1242" s="11">
        <v>45093</v>
      </c>
      <c r="D1242" s="11" t="s">
        <v>6073</v>
      </c>
      <c r="E1242" s="1" t="s">
        <v>191</v>
      </c>
      <c r="F1242" s="1" t="s">
        <v>6074</v>
      </c>
      <c r="G1242" s="6">
        <f>COUNTIF(F:F,Table2[[#This Row],[Form '#]])</f>
        <v>1</v>
      </c>
      <c r="H1242" s="1" t="s">
        <v>821</v>
      </c>
      <c r="I1242" s="1" t="s">
        <v>758</v>
      </c>
      <c r="J1242" s="1" t="s">
        <v>78</v>
      </c>
      <c r="K1242" s="1" t="s">
        <v>3853</v>
      </c>
      <c r="L1242" s="1"/>
      <c r="M1242" s="6" t="str">
        <f>IF(Table2[[#This Row],[Corrected Form '#
 (If Duplicated)]]="",Table2[[#This Row],[Form '#]],Table2[[#This Row],[Corrected Form '#
 (If Duplicated)]])</f>
        <v>7812-3939</v>
      </c>
      <c r="N1242" s="1" t="s">
        <v>49</v>
      </c>
      <c r="O1242" s="6" t="str">
        <f>IF(Table2[[#This Row],[POG CONFIRMATION RECEIPT OF ORDER
(DATE &amp; TIME)]]="","No Confirmation","Received Confirmation")</f>
        <v>Received Confirmation</v>
      </c>
      <c r="P1242" s="6">
        <f ca="1">TODAY()-Table2[[#This Row],[DATE SENT TO POG]]</f>
        <v>210</v>
      </c>
      <c r="Q1242" s="6" t="s">
        <v>5803</v>
      </c>
      <c r="R12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2" s="2" t="str">
        <f>_xlfn.XLOOKUP(Table2[[#This Row],[Adjusted Form '#]],'[2]IN PROGRESS'!$D:$D,'[2]IN PROGRESS'!$M:$M,"Not Found")</f>
        <v>Not Found</v>
      </c>
      <c r="U1242" s="2" t="str">
        <f>_xlfn.XLOOKUP(Table2[[#This Row],[Adjusted Form '#]],[1]COMPLETED!$D:$D,[2]COMPLETED!$M:$M,"Not Found")</f>
        <v>Not Found</v>
      </c>
      <c r="V1242" s="17" t="str">
        <f>_xlfn.XLOOKUP(Table2[[#This Row],[Adjusted Form '#]],[2]COMPLETED!$D:$D,[2]COMPLETED!$O:$O,"Not Found")</f>
        <v>Not Found</v>
      </c>
      <c r="W1242" s="2" t="str">
        <f>_xlfn.XLOOKUP(Table2[[#This Row],[Adjusted Form '#]],[2]BILLED!$D:$D,[2]BILLED!$M:$M,"Not Found")</f>
        <v>9402 1112 0620 7661 2766 10</v>
      </c>
      <c r="X1242" s="17" t="e">
        <f>_xlfn.XLOOKUP(Table2[[#This Row],[Adjusted Form '#]],[2]BILLED!$D:$D,[1]BILLED!$O:$O,"Not Found")</f>
        <v>#REF!</v>
      </c>
      <c r="Y1242" s="17" t="e">
        <f>_xlfn.XLOOKUP(Table2[[#This Row],[Adjusted Form '#]],'[2]REJECTED ORDERS'!$D:$D,'[2]REJECTED ORDERS'!$E:$E)</f>
        <v>#N/A</v>
      </c>
      <c r="Z1242" s="1"/>
      <c r="AA1242" s="1"/>
    </row>
    <row r="1243" spans="1:27" ht="15" customHeight="1" x14ac:dyDescent="0.35">
      <c r="A1243" s="4" t="s">
        <v>1863</v>
      </c>
      <c r="B1243" s="1" t="s">
        <v>3610</v>
      </c>
      <c r="C1243" s="11">
        <v>45093</v>
      </c>
      <c r="D1243" s="11" t="s">
        <v>6075</v>
      </c>
      <c r="E1243" s="1" t="s">
        <v>21</v>
      </c>
      <c r="F1243" s="1" t="s">
        <v>6076</v>
      </c>
      <c r="G1243" s="6">
        <f>COUNTIF(F:F,Table2[[#This Row],[Form '#]])</f>
        <v>1</v>
      </c>
      <c r="H1243" s="1" t="s">
        <v>3473</v>
      </c>
      <c r="I1243" s="1" t="s">
        <v>3864</v>
      </c>
      <c r="J1243" s="1" t="s">
        <v>78</v>
      </c>
      <c r="K1243" s="1" t="s">
        <v>3879</v>
      </c>
      <c r="L1243" s="1"/>
      <c r="M1243" s="6" t="str">
        <f>IF(Table2[[#This Row],[Corrected Form '#
 (If Duplicated)]]="",Table2[[#This Row],[Form '#]],Table2[[#This Row],[Corrected Form '#
 (If Duplicated)]])</f>
        <v>7818-20305</v>
      </c>
      <c r="N1243" s="1" t="s">
        <v>49</v>
      </c>
      <c r="O1243" s="6" t="str">
        <f>IF(Table2[[#This Row],[POG CONFIRMATION RECEIPT OF ORDER
(DATE &amp; TIME)]]="","No Confirmation","Received Confirmation")</f>
        <v>Received Confirmation</v>
      </c>
      <c r="P1243" s="6">
        <f ca="1">TODAY()-Table2[[#This Row],[DATE SENT TO POG]]</f>
        <v>210</v>
      </c>
      <c r="Q1243" s="6" t="s">
        <v>5803</v>
      </c>
      <c r="R12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3" s="2" t="str">
        <f>_xlfn.XLOOKUP(Table2[[#This Row],[Adjusted Form '#]],'[2]IN PROGRESS'!$D:$D,'[2]IN PROGRESS'!$M:$M,"Not Found")</f>
        <v>Not Found</v>
      </c>
      <c r="U1243" s="2" t="str">
        <f>_xlfn.XLOOKUP(Table2[[#This Row],[Adjusted Form '#]],[1]COMPLETED!$D:$D,[2]COMPLETED!$M:$M,"Not Found")</f>
        <v>Not Found</v>
      </c>
      <c r="V1243" s="17" t="str">
        <f>_xlfn.XLOOKUP(Table2[[#This Row],[Adjusted Form '#]],[2]COMPLETED!$D:$D,[2]COMPLETED!$O:$O,"Not Found")</f>
        <v>Not Found</v>
      </c>
      <c r="W1243" s="2" t="str">
        <f>_xlfn.XLOOKUP(Table2[[#This Row],[Adjusted Form '#]],[2]BILLED!$D:$D,[2]BILLED!$M:$M,"Not Found")</f>
        <v>9402 1112 0620 7644 8116 47</v>
      </c>
      <c r="X1243" s="17" t="e">
        <f>_xlfn.XLOOKUP(Table2[[#This Row],[Adjusted Form '#]],[2]BILLED!$D:$D,[1]BILLED!$O:$O,"Not Found")</f>
        <v>#REF!</v>
      </c>
      <c r="Y1243" s="17" t="e">
        <f>_xlfn.XLOOKUP(Table2[[#This Row],[Adjusted Form '#]],'[2]REJECTED ORDERS'!$D:$D,'[2]REJECTED ORDERS'!$E:$E)</f>
        <v>#N/A</v>
      </c>
      <c r="Z1243" s="1"/>
      <c r="AA1243" s="1"/>
    </row>
    <row r="1244" spans="1:27" ht="15" customHeight="1" x14ac:dyDescent="0.35">
      <c r="A1244" s="4" t="s">
        <v>1865</v>
      </c>
      <c r="B1244" s="1" t="s">
        <v>3610</v>
      </c>
      <c r="C1244" s="11">
        <v>45093</v>
      </c>
      <c r="D1244" s="11" t="s">
        <v>6075</v>
      </c>
      <c r="E1244" s="1" t="s">
        <v>21</v>
      </c>
      <c r="F1244" s="1" t="s">
        <v>6077</v>
      </c>
      <c r="G1244" s="6">
        <f>COUNTIF(F:F,Table2[[#This Row],[Form '#]])</f>
        <v>1</v>
      </c>
      <c r="H1244" s="1" t="s">
        <v>6078</v>
      </c>
      <c r="I1244" s="1" t="s">
        <v>127</v>
      </c>
      <c r="J1244" s="1" t="s">
        <v>76</v>
      </c>
      <c r="K1244" s="1" t="s">
        <v>3883</v>
      </c>
      <c r="L1244" s="1"/>
      <c r="M1244" s="6" t="str">
        <f>IF(Table2[[#This Row],[Corrected Form '#
 (If Duplicated)]]="",Table2[[#This Row],[Form '#]],Table2[[#This Row],[Corrected Form '#
 (If Duplicated)]])</f>
        <v>7818-16338</v>
      </c>
      <c r="N1244" s="1" t="s">
        <v>49</v>
      </c>
      <c r="O1244" s="6" t="str">
        <f>IF(Table2[[#This Row],[POG CONFIRMATION RECEIPT OF ORDER
(DATE &amp; TIME)]]="","No Confirmation","Received Confirmation")</f>
        <v>Received Confirmation</v>
      </c>
      <c r="P1244" s="6">
        <f ca="1">TODAY()-Table2[[#This Row],[DATE SENT TO POG]]</f>
        <v>210</v>
      </c>
      <c r="Q1244" s="6" t="s">
        <v>5803</v>
      </c>
      <c r="R12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4" s="2" t="str">
        <f>_xlfn.XLOOKUP(Table2[[#This Row],[Adjusted Form '#]],'[2]IN PROGRESS'!$D:$D,'[2]IN PROGRESS'!$M:$M,"Not Found")</f>
        <v>Not Found</v>
      </c>
      <c r="U1244" s="2" t="str">
        <f>_xlfn.XLOOKUP(Table2[[#This Row],[Adjusted Form '#]],[1]COMPLETED!$D:$D,[2]COMPLETED!$M:$M,"Not Found")</f>
        <v>Not Found</v>
      </c>
      <c r="V1244" s="17" t="str">
        <f>_xlfn.XLOOKUP(Table2[[#This Row],[Adjusted Form '#]],[2]COMPLETED!$D:$D,[2]COMPLETED!$O:$O,"Not Found")</f>
        <v>Not Found</v>
      </c>
      <c r="W1244" s="2" t="str">
        <f>_xlfn.XLOOKUP(Table2[[#This Row],[Adjusted Form '#]],[2]BILLED!$D:$D,[2]BILLED!$M:$M,"Not Found")</f>
        <v>9400 1112 0620 7671 6771 71</v>
      </c>
      <c r="X1244" s="17" t="e">
        <f>_xlfn.XLOOKUP(Table2[[#This Row],[Adjusted Form '#]],[2]BILLED!$D:$D,[1]BILLED!$O:$O,"Not Found")</f>
        <v>#REF!</v>
      </c>
      <c r="Y1244" s="17" t="e">
        <f>_xlfn.XLOOKUP(Table2[[#This Row],[Adjusted Form '#]],'[2]REJECTED ORDERS'!$D:$D,'[2]REJECTED ORDERS'!$E:$E)</f>
        <v>#N/A</v>
      </c>
      <c r="Z1244" s="1"/>
      <c r="AA1244" s="1"/>
    </row>
    <row r="1245" spans="1:27" ht="15" customHeight="1" x14ac:dyDescent="0.35">
      <c r="A1245" s="4" t="s">
        <v>1867</v>
      </c>
      <c r="B1245" s="1" t="s">
        <v>2772</v>
      </c>
      <c r="C1245" s="11">
        <v>45093</v>
      </c>
      <c r="D1245" s="11" t="s">
        <v>6085</v>
      </c>
      <c r="E1245" s="1" t="s">
        <v>14</v>
      </c>
      <c r="F1245" s="1" t="s">
        <v>6079</v>
      </c>
      <c r="G1245" s="6">
        <f>COUNTIF(F:F,Table2[[#This Row],[Form '#]])</f>
        <v>1</v>
      </c>
      <c r="H1245" s="1" t="s">
        <v>6080</v>
      </c>
      <c r="I1245" s="1" t="s">
        <v>3864</v>
      </c>
      <c r="J1245" s="1" t="s">
        <v>78</v>
      </c>
      <c r="K1245" s="1" t="s">
        <v>3879</v>
      </c>
      <c r="L1245" s="1"/>
      <c r="M1245" s="6" t="str">
        <f>IF(Table2[[#This Row],[Corrected Form '#
 (If Duplicated)]]="",Table2[[#This Row],[Form '#]],Table2[[#This Row],[Corrected Form '#
 (If Duplicated)]])</f>
        <v>7810-02164</v>
      </c>
      <c r="N1245" s="1" t="s">
        <v>49</v>
      </c>
      <c r="O1245" s="6" t="str">
        <f>IF(Table2[[#This Row],[POG CONFIRMATION RECEIPT OF ORDER
(DATE &amp; TIME)]]="","No Confirmation","Received Confirmation")</f>
        <v>Received Confirmation</v>
      </c>
      <c r="P1245" s="6">
        <f ca="1">TODAY()-Table2[[#This Row],[DATE SENT TO POG]]</f>
        <v>210</v>
      </c>
      <c r="Q1245" s="6" t="s">
        <v>5803</v>
      </c>
      <c r="R12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5" s="2" t="str">
        <f>_xlfn.XLOOKUP(Table2[[#This Row],[Adjusted Form '#]],'[2]IN PROGRESS'!$D:$D,'[2]IN PROGRESS'!$M:$M,"Not Found")</f>
        <v>Not Found</v>
      </c>
      <c r="U1245" s="2" t="str">
        <f>_xlfn.XLOOKUP(Table2[[#This Row],[Adjusted Form '#]],[1]COMPLETED!$D:$D,[2]COMPLETED!$M:$M,"Not Found")</f>
        <v>Not Found</v>
      </c>
      <c r="V1245" s="17" t="str">
        <f>_xlfn.XLOOKUP(Table2[[#This Row],[Adjusted Form '#]],[2]COMPLETED!$D:$D,[2]COMPLETED!$O:$O,"Not Found")</f>
        <v>Not Found</v>
      </c>
      <c r="W1245" s="2" t="str">
        <f>_xlfn.XLOOKUP(Table2[[#This Row],[Adjusted Form '#]],[2]BILLED!$D:$D,[2]BILLED!$M:$M,"Not Found")</f>
        <v>9402 1112 0620 7644 8276 48</v>
      </c>
      <c r="X1245" s="17" t="e">
        <f>_xlfn.XLOOKUP(Table2[[#This Row],[Adjusted Form '#]],[2]BILLED!$D:$D,[1]BILLED!$O:$O,"Not Found")</f>
        <v>#REF!</v>
      </c>
      <c r="Y1245" s="17" t="e">
        <f>_xlfn.XLOOKUP(Table2[[#This Row],[Adjusted Form '#]],'[2]REJECTED ORDERS'!$D:$D,'[2]REJECTED ORDERS'!$E:$E)</f>
        <v>#N/A</v>
      </c>
      <c r="Z1245" s="1"/>
      <c r="AA1245" s="1"/>
    </row>
    <row r="1246" spans="1:27" ht="15" customHeight="1" x14ac:dyDescent="0.35">
      <c r="A1246" s="4" t="s">
        <v>1868</v>
      </c>
      <c r="B1246" s="1" t="s">
        <v>1019</v>
      </c>
      <c r="C1246" s="11">
        <v>45093</v>
      </c>
      <c r="D1246" s="11" t="s">
        <v>6086</v>
      </c>
      <c r="E1246" s="1" t="s">
        <v>21</v>
      </c>
      <c r="F1246" s="1" t="s">
        <v>6081</v>
      </c>
      <c r="G1246" s="6">
        <f>COUNTIF(F:F,Table2[[#This Row],[Form '#]])</f>
        <v>1</v>
      </c>
      <c r="H1246" s="1" t="s">
        <v>6082</v>
      </c>
      <c r="I1246" s="1" t="s">
        <v>758</v>
      </c>
      <c r="J1246" s="1" t="s">
        <v>78</v>
      </c>
      <c r="K1246" s="1" t="s">
        <v>3853</v>
      </c>
      <c r="L1246" s="1"/>
      <c r="M1246" s="6" t="str">
        <f>IF(Table2[[#This Row],[Corrected Form '#
 (If Duplicated)]]="",Table2[[#This Row],[Form '#]],Table2[[#This Row],[Corrected Form '#
 (If Duplicated)]])</f>
        <v>7818-23228</v>
      </c>
      <c r="N1246" s="1" t="s">
        <v>49</v>
      </c>
      <c r="O1246" s="6" t="str">
        <f>IF(Table2[[#This Row],[POG CONFIRMATION RECEIPT OF ORDER
(DATE &amp; TIME)]]="","No Confirmation","Received Confirmation")</f>
        <v>Received Confirmation</v>
      </c>
      <c r="P1246" s="6">
        <f ca="1">TODAY()-Table2[[#This Row],[DATE SENT TO POG]]</f>
        <v>210</v>
      </c>
      <c r="Q1246" s="6" t="s">
        <v>5803</v>
      </c>
      <c r="R12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6" s="2" t="str">
        <f>_xlfn.XLOOKUP(Table2[[#This Row],[Adjusted Form '#]],'[2]IN PROGRESS'!$D:$D,'[2]IN PROGRESS'!$M:$M,"Not Found")</f>
        <v>Not Found</v>
      </c>
      <c r="U1246" s="2" t="str">
        <f>_xlfn.XLOOKUP(Table2[[#This Row],[Adjusted Form '#]],[1]COMPLETED!$D:$D,[2]COMPLETED!$M:$M,"Not Found")</f>
        <v>Not Found</v>
      </c>
      <c r="V1246" s="17" t="str">
        <f>_xlfn.XLOOKUP(Table2[[#This Row],[Adjusted Form '#]],[2]COMPLETED!$D:$D,[2]COMPLETED!$O:$O,"Not Found")</f>
        <v>Not Found</v>
      </c>
      <c r="W1246" s="2" t="str">
        <f>_xlfn.XLOOKUP(Table2[[#This Row],[Adjusted Form '#]],[2]BILLED!$D:$D,[2]BILLED!$M:$M,"Not Found")</f>
        <v>9402 1112 0620 7659 4082 52</v>
      </c>
      <c r="X1246" s="17" t="e">
        <f>_xlfn.XLOOKUP(Table2[[#This Row],[Adjusted Form '#]],[2]BILLED!$D:$D,[1]BILLED!$O:$O,"Not Found")</f>
        <v>#REF!</v>
      </c>
      <c r="Y1246" s="17" t="e">
        <f>_xlfn.XLOOKUP(Table2[[#This Row],[Adjusted Form '#]],'[2]REJECTED ORDERS'!$D:$D,'[2]REJECTED ORDERS'!$E:$E)</f>
        <v>#N/A</v>
      </c>
      <c r="Z1246" s="1"/>
      <c r="AA1246" s="1"/>
    </row>
    <row r="1247" spans="1:27" ht="15" customHeight="1" x14ac:dyDescent="0.35">
      <c r="A1247" s="4" t="s">
        <v>1869</v>
      </c>
      <c r="B1247" s="1" t="s">
        <v>1019</v>
      </c>
      <c r="C1247" s="11">
        <v>45093</v>
      </c>
      <c r="D1247" s="11" t="s">
        <v>6086</v>
      </c>
      <c r="E1247" s="1" t="s">
        <v>21</v>
      </c>
      <c r="F1247" s="1" t="s">
        <v>6083</v>
      </c>
      <c r="G1247" s="6">
        <f>COUNTIF(F:F,Table2[[#This Row],[Form '#]])</f>
        <v>1</v>
      </c>
      <c r="H1247" s="1" t="s">
        <v>6084</v>
      </c>
      <c r="I1247" s="1" t="s">
        <v>3852</v>
      </c>
      <c r="J1247" s="1" t="s">
        <v>75</v>
      </c>
      <c r="K1247" s="1" t="s">
        <v>3853</v>
      </c>
      <c r="L1247" s="1"/>
      <c r="M1247" s="6" t="str">
        <f>IF(Table2[[#This Row],[Corrected Form '#
 (If Duplicated)]]="",Table2[[#This Row],[Form '#]],Table2[[#This Row],[Corrected Form '#
 (If Duplicated)]])</f>
        <v>7818-23229</v>
      </c>
      <c r="N1247" s="1" t="s">
        <v>49</v>
      </c>
      <c r="O1247" s="6" t="str">
        <f>IF(Table2[[#This Row],[POG CONFIRMATION RECEIPT OF ORDER
(DATE &amp; TIME)]]="","No Confirmation","Received Confirmation")</f>
        <v>Received Confirmation</v>
      </c>
      <c r="P1247" s="6">
        <f ca="1">TODAY()-Table2[[#This Row],[DATE SENT TO POG]]</f>
        <v>210</v>
      </c>
      <c r="Q1247" s="6" t="s">
        <v>5803</v>
      </c>
      <c r="R12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7" s="2" t="str">
        <f>_xlfn.XLOOKUP(Table2[[#This Row],[Adjusted Form '#]],'[2]IN PROGRESS'!$D:$D,'[2]IN PROGRESS'!$M:$M,"Not Found")</f>
        <v>Not Found</v>
      </c>
      <c r="U1247" s="2" t="str">
        <f>_xlfn.XLOOKUP(Table2[[#This Row],[Adjusted Form '#]],[1]COMPLETED!$D:$D,[2]COMPLETED!$M:$M,"Not Found")</f>
        <v>Not Found</v>
      </c>
      <c r="V1247" s="17" t="str">
        <f>_xlfn.XLOOKUP(Table2[[#This Row],[Adjusted Form '#]],[2]COMPLETED!$D:$D,[2]COMPLETED!$O:$O,"Not Found")</f>
        <v>Not Found</v>
      </c>
      <c r="W1247" s="2" t="str">
        <f>_xlfn.XLOOKUP(Table2[[#This Row],[Adjusted Form '#]],[2]BILLED!$D:$D,[2]BILLED!$M:$M,"Not Found")</f>
        <v>9402 1112 0620 7672 4345 28</v>
      </c>
      <c r="X1247" s="17" t="e">
        <f>_xlfn.XLOOKUP(Table2[[#This Row],[Adjusted Form '#]],[2]BILLED!$D:$D,[1]BILLED!$O:$O,"Not Found")</f>
        <v>#REF!</v>
      </c>
      <c r="Y1247" s="17" t="e">
        <f>_xlfn.XLOOKUP(Table2[[#This Row],[Adjusted Form '#]],'[2]REJECTED ORDERS'!$D:$D,'[2]REJECTED ORDERS'!$E:$E)</f>
        <v>#N/A</v>
      </c>
      <c r="Z1247" s="1"/>
      <c r="AA1247" s="1"/>
    </row>
    <row r="1248" spans="1:27" ht="15" customHeight="1" x14ac:dyDescent="0.35">
      <c r="A1248" s="4" t="s">
        <v>1870</v>
      </c>
      <c r="B1248" s="1" t="s">
        <v>1572</v>
      </c>
      <c r="C1248" s="11">
        <v>45096</v>
      </c>
      <c r="D1248" s="11" t="s">
        <v>6089</v>
      </c>
      <c r="E1248" s="1" t="s">
        <v>73</v>
      </c>
      <c r="F1248" s="1" t="s">
        <v>6087</v>
      </c>
      <c r="G1248" s="6">
        <f>COUNTIF(F:F,Table2[[#This Row],[Form '#]])</f>
        <v>1</v>
      </c>
      <c r="H1248" s="1" t="s">
        <v>6088</v>
      </c>
      <c r="I1248" s="1" t="s">
        <v>127</v>
      </c>
      <c r="J1248" s="1" t="s">
        <v>76</v>
      </c>
      <c r="K1248" s="1" t="s">
        <v>4011</v>
      </c>
      <c r="L1248" s="1"/>
      <c r="M1248" s="6" t="str">
        <f>IF(Table2[[#This Row],[Corrected Form '#
 (If Duplicated)]]="",Table2[[#This Row],[Form '#]],Table2[[#This Row],[Corrected Form '#
 (If Duplicated)]])</f>
        <v>7823-03035</v>
      </c>
      <c r="N1248" s="1" t="s">
        <v>49</v>
      </c>
      <c r="O1248" s="6" t="str">
        <f>IF(Table2[[#This Row],[POG CONFIRMATION RECEIPT OF ORDER
(DATE &amp; TIME)]]="","No Confirmation","Received Confirmation")</f>
        <v>Received Confirmation</v>
      </c>
      <c r="P1248" s="6">
        <f ca="1">TODAY()-Table2[[#This Row],[DATE SENT TO POG]]</f>
        <v>207</v>
      </c>
      <c r="Q1248" s="6" t="s">
        <v>5803</v>
      </c>
      <c r="R12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8" s="2" t="str">
        <f>_xlfn.XLOOKUP(Table2[[#This Row],[Adjusted Form '#]],'[2]IN PROGRESS'!$D:$D,'[2]IN PROGRESS'!$M:$M,"Not Found")</f>
        <v>Not Found</v>
      </c>
      <c r="U1248" s="2" t="str">
        <f>_xlfn.XLOOKUP(Table2[[#This Row],[Adjusted Form '#]],[1]COMPLETED!$D:$D,[2]COMPLETED!$M:$M,"Not Found")</f>
        <v>Not Found</v>
      </c>
      <c r="V1248" s="17" t="str">
        <f>_xlfn.XLOOKUP(Table2[[#This Row],[Adjusted Form '#]],[2]COMPLETED!$D:$D,[2]COMPLETED!$O:$O,"Not Found")</f>
        <v>Not Found</v>
      </c>
      <c r="W1248" s="2" t="str">
        <f>_xlfn.XLOOKUP(Table2[[#This Row],[Adjusted Form '#]],[2]BILLED!$D:$D,[2]BILLED!$M:$M,"Not Found")</f>
        <v>9400 1112 0620 9444 6030 97</v>
      </c>
      <c r="X1248" s="17" t="e">
        <f>_xlfn.XLOOKUP(Table2[[#This Row],[Adjusted Form '#]],[2]BILLED!$D:$D,[1]BILLED!$O:$O,"Not Found")</f>
        <v>#REF!</v>
      </c>
      <c r="Y1248" s="17" t="e">
        <f>_xlfn.XLOOKUP(Table2[[#This Row],[Adjusted Form '#]],'[2]REJECTED ORDERS'!$D:$D,'[2]REJECTED ORDERS'!$E:$E)</f>
        <v>#N/A</v>
      </c>
      <c r="Z1248" s="1"/>
      <c r="AA1248" s="1"/>
    </row>
    <row r="1249" spans="1:27" ht="15" customHeight="1" x14ac:dyDescent="0.35">
      <c r="A1249" s="4" t="s">
        <v>1872</v>
      </c>
      <c r="B1249" s="1" t="s">
        <v>236</v>
      </c>
      <c r="C1249" s="11">
        <v>45097</v>
      </c>
      <c r="D1249" s="11" t="s">
        <v>6091</v>
      </c>
      <c r="E1249" s="1" t="s">
        <v>73</v>
      </c>
      <c r="F1249" s="1" t="s">
        <v>6090</v>
      </c>
      <c r="G1249" s="6">
        <f>COUNTIF(F:F,Table2[[#This Row],[Form '#]])</f>
        <v>1</v>
      </c>
      <c r="H1249" s="1" t="s">
        <v>3420</v>
      </c>
      <c r="I1249" s="1" t="s">
        <v>3852</v>
      </c>
      <c r="J1249" s="1" t="s">
        <v>75</v>
      </c>
      <c r="K1249" s="1" t="s">
        <v>3891</v>
      </c>
      <c r="L1249" s="1"/>
      <c r="M1249" s="6" t="str">
        <f>IF(Table2[[#This Row],[Corrected Form '#
 (If Duplicated)]]="",Table2[[#This Row],[Form '#]],Table2[[#This Row],[Corrected Form '#
 (If Duplicated)]])</f>
        <v>7823-02164</v>
      </c>
      <c r="N1249" s="1" t="s">
        <v>49</v>
      </c>
      <c r="O1249" s="6" t="str">
        <f>IF(Table2[[#This Row],[POG CONFIRMATION RECEIPT OF ORDER
(DATE &amp; TIME)]]="","No Confirmation","Received Confirmation")</f>
        <v>Received Confirmation</v>
      </c>
      <c r="P1249" s="6">
        <f ca="1">TODAY()-Table2[[#This Row],[DATE SENT TO POG]]</f>
        <v>206</v>
      </c>
      <c r="Q1249" s="6" t="s">
        <v>5803</v>
      </c>
      <c r="R12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49" s="2" t="str">
        <f>_xlfn.XLOOKUP(Table2[[#This Row],[Adjusted Form '#]],'[2]IN PROGRESS'!$D:$D,'[2]IN PROGRESS'!$M:$M,"Not Found")</f>
        <v>Not Found</v>
      </c>
      <c r="U1249" s="2" t="str">
        <f>_xlfn.XLOOKUP(Table2[[#This Row],[Adjusted Form '#]],[1]COMPLETED!$D:$D,[2]COMPLETED!$M:$M,"Not Found")</f>
        <v>Not Found</v>
      </c>
      <c r="V1249" s="17" t="str">
        <f>_xlfn.XLOOKUP(Table2[[#This Row],[Adjusted Form '#]],[2]COMPLETED!$D:$D,[2]COMPLETED!$O:$O,"Not Found")</f>
        <v>Not Found</v>
      </c>
      <c r="W1249" s="2" t="str">
        <f>_xlfn.XLOOKUP(Table2[[#This Row],[Adjusted Form '#]],[2]BILLED!$D:$D,[2]BILLED!$M:$M,"Not Found")</f>
        <v>1Z5063E0YW42360644</v>
      </c>
      <c r="X1249" s="17" t="e">
        <f>_xlfn.XLOOKUP(Table2[[#This Row],[Adjusted Form '#]],[2]BILLED!$D:$D,[1]BILLED!$O:$O,"Not Found")</f>
        <v>#REF!</v>
      </c>
      <c r="Y1249" s="17" t="e">
        <f>_xlfn.XLOOKUP(Table2[[#This Row],[Adjusted Form '#]],'[2]REJECTED ORDERS'!$D:$D,'[2]REJECTED ORDERS'!$E:$E)</f>
        <v>#N/A</v>
      </c>
      <c r="Z1249" s="1"/>
      <c r="AA1249" s="1"/>
    </row>
    <row r="1250" spans="1:27" ht="15" customHeight="1" x14ac:dyDescent="0.35">
      <c r="A1250" s="4" t="s">
        <v>1873</v>
      </c>
      <c r="B1250" s="1" t="s">
        <v>803</v>
      </c>
      <c r="C1250" s="11">
        <v>45097</v>
      </c>
      <c r="D1250" s="11" t="s">
        <v>6096</v>
      </c>
      <c r="E1250" s="1" t="s">
        <v>21</v>
      </c>
      <c r="F1250" s="1" t="s">
        <v>6092</v>
      </c>
      <c r="G1250" s="6">
        <f>COUNTIF(F:F,Table2[[#This Row],[Form '#]])</f>
        <v>1</v>
      </c>
      <c r="H1250" s="1" t="s">
        <v>296</v>
      </c>
      <c r="I1250" s="1" t="s">
        <v>177</v>
      </c>
      <c r="J1250" s="1" t="s">
        <v>75</v>
      </c>
      <c r="K1250" s="1" t="s">
        <v>3853</v>
      </c>
      <c r="L1250" s="1"/>
      <c r="M1250" s="6" t="str">
        <f>IF(Table2[[#This Row],[Corrected Form '#
 (If Duplicated)]]="",Table2[[#This Row],[Form '#]],Table2[[#This Row],[Corrected Form '#
 (If Duplicated)]])</f>
        <v>7818-19961</v>
      </c>
      <c r="N1250" s="1" t="s">
        <v>49</v>
      </c>
      <c r="O1250" s="6" t="str">
        <f>IF(Table2[[#This Row],[POG CONFIRMATION RECEIPT OF ORDER
(DATE &amp; TIME)]]="","No Confirmation","Received Confirmation")</f>
        <v>Received Confirmation</v>
      </c>
      <c r="P1250" s="6">
        <f ca="1">TODAY()-Table2[[#This Row],[DATE SENT TO POG]]</f>
        <v>206</v>
      </c>
      <c r="Q1250" s="6" t="s">
        <v>5803</v>
      </c>
      <c r="R12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0" s="2" t="str">
        <f>_xlfn.XLOOKUP(Table2[[#This Row],[Adjusted Form '#]],'[2]IN PROGRESS'!$D:$D,'[2]IN PROGRESS'!$M:$M,"Not Found")</f>
        <v>Not Found</v>
      </c>
      <c r="U1250" s="2" t="str">
        <f>_xlfn.XLOOKUP(Table2[[#This Row],[Adjusted Form '#]],[1]COMPLETED!$D:$D,[2]COMPLETED!$M:$M,"Not Found")</f>
        <v>Not Found</v>
      </c>
      <c r="V1250" s="17" t="str">
        <f>_xlfn.XLOOKUP(Table2[[#This Row],[Adjusted Form '#]],[2]COMPLETED!$D:$D,[2]COMPLETED!$O:$O,"Not Found")</f>
        <v>Not Found</v>
      </c>
      <c r="W1250" s="2" t="str">
        <f>_xlfn.XLOOKUP(Table2[[#This Row],[Adjusted Form '#]],[2]BILLED!$D:$D,[2]BILLED!$M:$M,"Not Found")</f>
        <v>1Z5063E0YW41609397</v>
      </c>
      <c r="X1250" s="17" t="e">
        <f>_xlfn.XLOOKUP(Table2[[#This Row],[Adjusted Form '#]],[2]BILLED!$D:$D,[1]BILLED!$O:$O,"Not Found")</f>
        <v>#REF!</v>
      </c>
      <c r="Y1250" s="17" t="e">
        <f>_xlfn.XLOOKUP(Table2[[#This Row],[Adjusted Form '#]],'[2]REJECTED ORDERS'!$D:$D,'[2]REJECTED ORDERS'!$E:$E)</f>
        <v>#N/A</v>
      </c>
      <c r="Z1250" s="1"/>
      <c r="AA1250" s="1"/>
    </row>
    <row r="1251" spans="1:27" ht="15" customHeight="1" x14ac:dyDescent="0.35">
      <c r="A1251" s="4" t="s">
        <v>1875</v>
      </c>
      <c r="B1251" s="1" t="s">
        <v>803</v>
      </c>
      <c r="C1251" s="11">
        <v>45097</v>
      </c>
      <c r="D1251" s="11" t="s">
        <v>6096</v>
      </c>
      <c r="E1251" s="1" t="s">
        <v>21</v>
      </c>
      <c r="F1251" s="1" t="s">
        <v>6093</v>
      </c>
      <c r="G1251" s="6">
        <f>COUNTIF(F:F,Table2[[#This Row],[Form '#]])</f>
        <v>1</v>
      </c>
      <c r="H1251" s="1" t="s">
        <v>3506</v>
      </c>
      <c r="I1251" s="1" t="s">
        <v>177</v>
      </c>
      <c r="J1251" s="1" t="s">
        <v>75</v>
      </c>
      <c r="K1251" s="1" t="s">
        <v>3853</v>
      </c>
      <c r="L1251" s="1"/>
      <c r="M1251" s="6" t="str">
        <f>IF(Table2[[#This Row],[Corrected Form '#
 (If Duplicated)]]="",Table2[[#This Row],[Form '#]],Table2[[#This Row],[Corrected Form '#
 (If Duplicated)]])</f>
        <v>7818-19696</v>
      </c>
      <c r="N1251" s="1" t="s">
        <v>49</v>
      </c>
      <c r="O1251" s="6" t="str">
        <f>IF(Table2[[#This Row],[POG CONFIRMATION RECEIPT OF ORDER
(DATE &amp; TIME)]]="","No Confirmation","Received Confirmation")</f>
        <v>Received Confirmation</v>
      </c>
      <c r="P1251" s="6">
        <f ca="1">TODAY()-Table2[[#This Row],[DATE SENT TO POG]]</f>
        <v>206</v>
      </c>
      <c r="Q1251" s="6" t="s">
        <v>5803</v>
      </c>
      <c r="R12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1" s="2" t="str">
        <f>_xlfn.XLOOKUP(Table2[[#This Row],[Adjusted Form '#]],'[2]IN PROGRESS'!$D:$D,'[2]IN PROGRESS'!$M:$M,"Not Found")</f>
        <v>Not Found</v>
      </c>
      <c r="U1251" s="2" t="str">
        <f>_xlfn.XLOOKUP(Table2[[#This Row],[Adjusted Form '#]],[1]COMPLETED!$D:$D,[2]COMPLETED!$M:$M,"Not Found")</f>
        <v>Not Found</v>
      </c>
      <c r="V1251" s="17" t="str">
        <f>_xlfn.XLOOKUP(Table2[[#This Row],[Adjusted Form '#]],[2]COMPLETED!$D:$D,[2]COMPLETED!$O:$O,"Not Found")</f>
        <v>Not Found</v>
      </c>
      <c r="W1251" s="2" t="str">
        <f>_xlfn.XLOOKUP(Table2[[#This Row],[Adjusted Form '#]],[2]BILLED!$D:$D,[2]BILLED!$M:$M,"Not Found")</f>
        <v>1Z5063E0YW40608569</v>
      </c>
      <c r="X1251" s="17" t="e">
        <f>_xlfn.XLOOKUP(Table2[[#This Row],[Adjusted Form '#]],[2]BILLED!$D:$D,[1]BILLED!$O:$O,"Not Found")</f>
        <v>#REF!</v>
      </c>
      <c r="Y1251" s="17" t="e">
        <f>_xlfn.XLOOKUP(Table2[[#This Row],[Adjusted Form '#]],'[2]REJECTED ORDERS'!$D:$D,'[2]REJECTED ORDERS'!$E:$E)</f>
        <v>#N/A</v>
      </c>
      <c r="Z1251" s="1"/>
      <c r="AA1251" s="1"/>
    </row>
    <row r="1252" spans="1:27" ht="15" customHeight="1" x14ac:dyDescent="0.35">
      <c r="A1252" s="4" t="s">
        <v>1876</v>
      </c>
      <c r="B1252" s="1" t="s">
        <v>803</v>
      </c>
      <c r="C1252" s="11">
        <v>45097</v>
      </c>
      <c r="D1252" s="11" t="s">
        <v>6096</v>
      </c>
      <c r="E1252" s="1" t="s">
        <v>21</v>
      </c>
      <c r="F1252" s="1" t="s">
        <v>6094</v>
      </c>
      <c r="G1252" s="6">
        <f>COUNTIF(F:F,Table2[[#This Row],[Form '#]])</f>
        <v>1</v>
      </c>
      <c r="H1252" s="1" t="s">
        <v>1664</v>
      </c>
      <c r="I1252" s="1" t="s">
        <v>127</v>
      </c>
      <c r="J1252" s="1" t="s">
        <v>76</v>
      </c>
      <c r="K1252" s="1" t="s">
        <v>3891</v>
      </c>
      <c r="L1252" s="1"/>
      <c r="M1252" s="6" t="str">
        <f>IF(Table2[[#This Row],[Corrected Form '#
 (If Duplicated)]]="",Table2[[#This Row],[Form '#]],Table2[[#This Row],[Corrected Form '#
 (If Duplicated)]])</f>
        <v>7818-29051</v>
      </c>
      <c r="N1252" s="1" t="s">
        <v>49</v>
      </c>
      <c r="O1252" s="6" t="str">
        <f>IF(Table2[[#This Row],[POG CONFIRMATION RECEIPT OF ORDER
(DATE &amp; TIME)]]="","No Confirmation","Received Confirmation")</f>
        <v>Received Confirmation</v>
      </c>
      <c r="P1252" s="6">
        <f ca="1">TODAY()-Table2[[#This Row],[DATE SENT TO POG]]</f>
        <v>206</v>
      </c>
      <c r="Q1252" s="6" t="s">
        <v>5803</v>
      </c>
      <c r="R12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2" s="2" t="str">
        <f>_xlfn.XLOOKUP(Table2[[#This Row],[Adjusted Form '#]],'[2]IN PROGRESS'!$D:$D,'[2]IN PROGRESS'!$M:$M,"Not Found")</f>
        <v>Not Found</v>
      </c>
      <c r="U1252" s="2" t="str">
        <f>_xlfn.XLOOKUP(Table2[[#This Row],[Adjusted Form '#]],[1]COMPLETED!$D:$D,[2]COMPLETED!$M:$M,"Not Found")</f>
        <v>Not Found</v>
      </c>
      <c r="V1252" s="17" t="str">
        <f>_xlfn.XLOOKUP(Table2[[#This Row],[Adjusted Form '#]],[2]COMPLETED!$D:$D,[2]COMPLETED!$O:$O,"Not Found")</f>
        <v>Not Found</v>
      </c>
      <c r="W1252" s="2" t="str">
        <f>_xlfn.XLOOKUP(Table2[[#This Row],[Adjusted Form '#]],[2]BILLED!$D:$D,[2]BILLED!$M:$M,"Not Found")</f>
        <v>9400 1361 0605 3153 7803 72</v>
      </c>
      <c r="X1252" s="17" t="e">
        <f>_xlfn.XLOOKUP(Table2[[#This Row],[Adjusted Form '#]],[2]BILLED!$D:$D,[1]BILLED!$O:$O,"Not Found")</f>
        <v>#REF!</v>
      </c>
      <c r="Y1252" s="17" t="e">
        <f>_xlfn.XLOOKUP(Table2[[#This Row],[Adjusted Form '#]],'[2]REJECTED ORDERS'!$D:$D,'[2]REJECTED ORDERS'!$E:$E)</f>
        <v>#N/A</v>
      </c>
      <c r="Z1252" s="1"/>
      <c r="AA1252" s="1"/>
    </row>
    <row r="1253" spans="1:27" ht="15" customHeight="1" x14ac:dyDescent="0.35">
      <c r="A1253" s="4" t="s">
        <v>1877</v>
      </c>
      <c r="B1253" s="1" t="s">
        <v>803</v>
      </c>
      <c r="C1253" s="11">
        <v>45097</v>
      </c>
      <c r="D1253" s="11" t="s">
        <v>6096</v>
      </c>
      <c r="E1253" s="1" t="s">
        <v>21</v>
      </c>
      <c r="F1253" s="1" t="s">
        <v>6095</v>
      </c>
      <c r="G1253" s="6">
        <f>COUNTIF(F:F,Table2[[#This Row],[Form '#]])</f>
        <v>1</v>
      </c>
      <c r="H1253" s="1" t="s">
        <v>723</v>
      </c>
      <c r="I1253" s="1" t="s">
        <v>127</v>
      </c>
      <c r="J1253" s="1" t="s">
        <v>76</v>
      </c>
      <c r="K1253" s="1" t="s">
        <v>4854</v>
      </c>
      <c r="L1253" s="1"/>
      <c r="M1253" s="6" t="str">
        <f>IF(Table2[[#This Row],[Corrected Form '#
 (If Duplicated)]]="",Table2[[#This Row],[Form '#]],Table2[[#This Row],[Corrected Form '#
 (If Duplicated)]])</f>
        <v>7818-21031</v>
      </c>
      <c r="N1253" s="1" t="s">
        <v>49</v>
      </c>
      <c r="O1253" s="6" t="str">
        <f>IF(Table2[[#This Row],[POG CONFIRMATION RECEIPT OF ORDER
(DATE &amp; TIME)]]="","No Confirmation","Received Confirmation")</f>
        <v>Received Confirmation</v>
      </c>
      <c r="P1253" s="6">
        <f ca="1">TODAY()-Table2[[#This Row],[DATE SENT TO POG]]</f>
        <v>206</v>
      </c>
      <c r="Q1253" s="6" t="s">
        <v>5803</v>
      </c>
      <c r="R12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3" s="2" t="str">
        <f>_xlfn.XLOOKUP(Table2[[#This Row],[Adjusted Form '#]],'[2]IN PROGRESS'!$D:$D,'[2]IN PROGRESS'!$M:$M,"Not Found")</f>
        <v>Not Found</v>
      </c>
      <c r="U1253" s="2" t="str">
        <f>_xlfn.XLOOKUP(Table2[[#This Row],[Adjusted Form '#]],[1]COMPLETED!$D:$D,[2]COMPLETED!$M:$M,"Not Found")</f>
        <v>Not Found</v>
      </c>
      <c r="V1253" s="17" t="str">
        <f>_xlfn.XLOOKUP(Table2[[#This Row],[Adjusted Form '#]],[2]COMPLETED!$D:$D,[2]COMPLETED!$O:$O,"Not Found")</f>
        <v>Not Found</v>
      </c>
      <c r="W1253" s="2" t="str">
        <f>_xlfn.XLOOKUP(Table2[[#This Row],[Adjusted Form '#]],[2]BILLED!$D:$D,[2]BILLED!$M:$M,"Not Found")</f>
        <v>9400 1361 0605 3153 7691 93</v>
      </c>
      <c r="X1253" s="17" t="e">
        <f>_xlfn.XLOOKUP(Table2[[#This Row],[Adjusted Form '#]],[2]BILLED!$D:$D,[1]BILLED!$O:$O,"Not Found")</f>
        <v>#REF!</v>
      </c>
      <c r="Y1253" s="17" t="e">
        <f>_xlfn.XLOOKUP(Table2[[#This Row],[Adjusted Form '#]],'[2]REJECTED ORDERS'!$D:$D,'[2]REJECTED ORDERS'!$E:$E)</f>
        <v>#N/A</v>
      </c>
      <c r="Z1253" s="1"/>
      <c r="AA1253" s="1"/>
    </row>
    <row r="1254" spans="1:27" ht="15" customHeight="1" x14ac:dyDescent="0.35">
      <c r="A1254" s="4" t="s">
        <v>1878</v>
      </c>
      <c r="B1254" s="1" t="s">
        <v>2862</v>
      </c>
      <c r="C1254" s="11">
        <v>45097</v>
      </c>
      <c r="D1254" s="11" t="s">
        <v>6101</v>
      </c>
      <c r="E1254" s="1" t="s">
        <v>73</v>
      </c>
      <c r="F1254" s="1" t="s">
        <v>6097</v>
      </c>
      <c r="G1254" s="6">
        <f>COUNTIF(F:F,Table2[[#This Row],[Form '#]])</f>
        <v>1</v>
      </c>
      <c r="H1254" s="1" t="s">
        <v>6098</v>
      </c>
      <c r="I1254" s="1" t="s">
        <v>3852</v>
      </c>
      <c r="J1254" s="1" t="s">
        <v>80</v>
      </c>
      <c r="K1254" s="1" t="s">
        <v>3853</v>
      </c>
      <c r="L1254" s="1"/>
      <c r="M1254" s="6" t="str">
        <f>IF(Table2[[#This Row],[Corrected Form '#
 (If Duplicated)]]="",Table2[[#This Row],[Form '#]],Table2[[#This Row],[Corrected Form '#
 (If Duplicated)]])</f>
        <v>7823-02187</v>
      </c>
      <c r="N1254" s="1" t="s">
        <v>49</v>
      </c>
      <c r="O1254" s="6" t="str">
        <f>IF(Table2[[#This Row],[POG CONFIRMATION RECEIPT OF ORDER
(DATE &amp; TIME)]]="","No Confirmation","Received Confirmation")</f>
        <v>Received Confirmation</v>
      </c>
      <c r="P1254" s="6">
        <f ca="1">TODAY()-Table2[[#This Row],[DATE SENT TO POG]]</f>
        <v>206</v>
      </c>
      <c r="Q1254" s="6" t="s">
        <v>5803</v>
      </c>
      <c r="R12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4" s="2" t="str">
        <f>_xlfn.XLOOKUP(Table2[[#This Row],[Adjusted Form '#]],'[2]IN PROGRESS'!$D:$D,'[2]IN PROGRESS'!$M:$M,"Not Found")</f>
        <v>Not Found</v>
      </c>
      <c r="U1254" s="2" t="str">
        <f>_xlfn.XLOOKUP(Table2[[#This Row],[Adjusted Form '#]],[1]COMPLETED!$D:$D,[2]COMPLETED!$M:$M,"Not Found")</f>
        <v>Not Found</v>
      </c>
      <c r="V1254" s="17" t="str">
        <f>_xlfn.XLOOKUP(Table2[[#This Row],[Adjusted Form '#]],[2]COMPLETED!$D:$D,[2]COMPLETED!$O:$O,"Not Found")</f>
        <v>Not Found</v>
      </c>
      <c r="W1254" s="2" t="str">
        <f>_xlfn.XLOOKUP(Table2[[#This Row],[Adjusted Form '#]],[2]BILLED!$D:$D,[2]BILLED!$M:$M,"Not Found")</f>
        <v>1Z5063E0YW42733143</v>
      </c>
      <c r="X1254" s="17" t="e">
        <f>_xlfn.XLOOKUP(Table2[[#This Row],[Adjusted Form '#]],[2]BILLED!$D:$D,[1]BILLED!$O:$O,"Not Found")</f>
        <v>#REF!</v>
      </c>
      <c r="Y1254" s="17" t="e">
        <f>_xlfn.XLOOKUP(Table2[[#This Row],[Adjusted Form '#]],'[2]REJECTED ORDERS'!$D:$D,'[2]REJECTED ORDERS'!$E:$E)</f>
        <v>#N/A</v>
      </c>
      <c r="Z1254" s="1"/>
      <c r="AA1254" s="1"/>
    </row>
    <row r="1255" spans="1:27" ht="15" customHeight="1" x14ac:dyDescent="0.35">
      <c r="A1255" s="4" t="s">
        <v>1880</v>
      </c>
      <c r="B1255" s="1" t="s">
        <v>1564</v>
      </c>
      <c r="C1255" s="11">
        <v>45097</v>
      </c>
      <c r="D1255" s="11" t="s">
        <v>6102</v>
      </c>
      <c r="E1255" s="1" t="s">
        <v>14</v>
      </c>
      <c r="F1255" s="1" t="s">
        <v>6099</v>
      </c>
      <c r="G1255" s="6">
        <f>COUNTIF(F:F,Table2[[#This Row],[Form '#]])</f>
        <v>1</v>
      </c>
      <c r="H1255" s="1" t="s">
        <v>6100</v>
      </c>
      <c r="I1255" s="1" t="s">
        <v>28</v>
      </c>
      <c r="J1255" s="1" t="s">
        <v>69</v>
      </c>
      <c r="K1255" s="1" t="s">
        <v>4011</v>
      </c>
      <c r="L1255" s="1"/>
      <c r="M1255" s="6" t="str">
        <f>IF(Table2[[#This Row],[Corrected Form '#
 (If Duplicated)]]="",Table2[[#This Row],[Form '#]],Table2[[#This Row],[Corrected Form '#
 (If Duplicated)]])</f>
        <v>7810-01901</v>
      </c>
      <c r="N1255" s="1" t="s">
        <v>49</v>
      </c>
      <c r="O1255" s="6" t="str">
        <f>IF(Table2[[#This Row],[POG CONFIRMATION RECEIPT OF ORDER
(DATE &amp; TIME)]]="","No Confirmation","Received Confirmation")</f>
        <v>Received Confirmation</v>
      </c>
      <c r="P1255" s="6">
        <f ca="1">TODAY()-Table2[[#This Row],[DATE SENT TO POG]]</f>
        <v>206</v>
      </c>
      <c r="Q1255" s="6" t="s">
        <v>5803</v>
      </c>
      <c r="R12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5" s="2" t="str">
        <f>_xlfn.XLOOKUP(Table2[[#This Row],[Adjusted Form '#]],'[2]IN PROGRESS'!$D:$D,'[2]IN PROGRESS'!$M:$M,"Not Found")</f>
        <v>Not Found</v>
      </c>
      <c r="U1255" s="2" t="str">
        <f>_xlfn.XLOOKUP(Table2[[#This Row],[Adjusted Form '#]],[1]COMPLETED!$D:$D,[2]COMPLETED!$M:$M,"Not Found")</f>
        <v>Not Found</v>
      </c>
      <c r="V1255" s="17" t="str">
        <f>_xlfn.XLOOKUP(Table2[[#This Row],[Adjusted Form '#]],[2]COMPLETED!$D:$D,[2]COMPLETED!$O:$O,"Not Found")</f>
        <v>Not Found</v>
      </c>
      <c r="W1255" s="2" t="str">
        <f>_xlfn.XLOOKUP(Table2[[#This Row],[Adjusted Form '#]],[2]BILLED!$D:$D,[2]BILLED!$M:$M,"Not Found")</f>
        <v>9400 1361 0605 3153 8027 53</v>
      </c>
      <c r="X1255" s="17" t="e">
        <f>_xlfn.XLOOKUP(Table2[[#This Row],[Adjusted Form '#]],[2]BILLED!$D:$D,[1]BILLED!$O:$O,"Not Found")</f>
        <v>#REF!</v>
      </c>
      <c r="Y1255" s="17" t="e">
        <f>_xlfn.XLOOKUP(Table2[[#This Row],[Adjusted Form '#]],'[2]REJECTED ORDERS'!$D:$D,'[2]REJECTED ORDERS'!$E:$E)</f>
        <v>#N/A</v>
      </c>
      <c r="Z1255" s="1"/>
      <c r="AA1255" s="1"/>
    </row>
    <row r="1256" spans="1:27" ht="15" customHeight="1" x14ac:dyDescent="0.35">
      <c r="A1256" s="4" t="s">
        <v>1881</v>
      </c>
      <c r="B1256" s="1" t="s">
        <v>1004</v>
      </c>
      <c r="C1256" s="11">
        <v>45098</v>
      </c>
      <c r="E1256" s="1" t="s">
        <v>73</v>
      </c>
      <c r="F1256" s="1" t="s">
        <v>6103</v>
      </c>
      <c r="G1256" s="6">
        <f>COUNTIF(F:F,Table2[[#This Row],[Form '#]])</f>
        <v>1</v>
      </c>
      <c r="H1256" s="1" t="s">
        <v>6104</v>
      </c>
      <c r="I1256" s="1" t="s">
        <v>758</v>
      </c>
      <c r="J1256" s="1" t="s">
        <v>78</v>
      </c>
      <c r="K1256" s="1" t="s">
        <v>3853</v>
      </c>
      <c r="L1256" s="1"/>
      <c r="M1256" s="6" t="str">
        <f>IF(Table2[[#This Row],[Corrected Form '#
 (If Duplicated)]]="",Table2[[#This Row],[Form '#]],Table2[[#This Row],[Corrected Form '#
 (If Duplicated)]])</f>
        <v>7823-02117</v>
      </c>
      <c r="N1256" s="1" t="s">
        <v>49</v>
      </c>
      <c r="O1256" s="6" t="str">
        <f>IF(Table2[[#This Row],[POG CONFIRMATION RECEIPT OF ORDER
(DATE &amp; TIME)]]="","No Confirmation","Received Confirmation")</f>
        <v>No Confirmation</v>
      </c>
      <c r="P1256" s="6">
        <f ca="1">TODAY()-Table2[[#This Row],[DATE SENT TO POG]]</f>
        <v>205</v>
      </c>
      <c r="Q1256" s="6" t="s">
        <v>5803</v>
      </c>
      <c r="R12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6" s="2" t="str">
        <f>_xlfn.XLOOKUP(Table2[[#This Row],[Adjusted Form '#]],'[2]IN PROGRESS'!$D:$D,'[2]IN PROGRESS'!$M:$M,"Not Found")</f>
        <v>Not Found</v>
      </c>
      <c r="U1256" s="2" t="str">
        <f>_xlfn.XLOOKUP(Table2[[#This Row],[Adjusted Form '#]],[1]COMPLETED!$D:$D,[2]COMPLETED!$M:$M,"Not Found")</f>
        <v>Not Found</v>
      </c>
      <c r="V1256" s="17" t="str">
        <f>_xlfn.XLOOKUP(Table2[[#This Row],[Adjusted Form '#]],[2]COMPLETED!$D:$D,[2]COMPLETED!$O:$O,"Not Found")</f>
        <v>Not Found</v>
      </c>
      <c r="W1256" s="2" t="str">
        <f>_xlfn.XLOOKUP(Table2[[#This Row],[Adjusted Form '#]],[2]BILLED!$D:$D,[2]BILLED!$M:$M,"Not Found")</f>
        <v>9400 1112 0620 7659 6365 10</v>
      </c>
      <c r="X1256" s="17" t="e">
        <f>_xlfn.XLOOKUP(Table2[[#This Row],[Adjusted Form '#]],[2]BILLED!$D:$D,[1]BILLED!$O:$O,"Not Found")</f>
        <v>#REF!</v>
      </c>
      <c r="Y1256" s="17" t="e">
        <f>_xlfn.XLOOKUP(Table2[[#This Row],[Adjusted Form '#]],'[2]REJECTED ORDERS'!$D:$D,'[2]REJECTED ORDERS'!$E:$E)</f>
        <v>#N/A</v>
      </c>
      <c r="Z1256" s="1"/>
      <c r="AA1256" s="1"/>
    </row>
    <row r="1257" spans="1:27" ht="15" customHeight="1" x14ac:dyDescent="0.35">
      <c r="A1257" s="4" t="s">
        <v>1882</v>
      </c>
      <c r="B1257" s="1" t="s">
        <v>2405</v>
      </c>
      <c r="C1257" s="11">
        <v>45098</v>
      </c>
      <c r="D1257" s="11" t="s">
        <v>6109</v>
      </c>
      <c r="E1257" s="1" t="s">
        <v>14</v>
      </c>
      <c r="F1257" s="1" t="s">
        <v>6105</v>
      </c>
      <c r="G1257" s="6">
        <f>COUNTIF(F:F,Table2[[#This Row],[Form '#]])</f>
        <v>1</v>
      </c>
      <c r="H1257" s="1" t="s">
        <v>440</v>
      </c>
      <c r="I1257" s="1" t="s">
        <v>177</v>
      </c>
      <c r="J1257" s="1" t="s">
        <v>75</v>
      </c>
      <c r="K1257" s="1" t="s">
        <v>4011</v>
      </c>
      <c r="L1257" s="1"/>
      <c r="M1257" s="6" t="str">
        <f>IF(Table2[[#This Row],[Corrected Form '#
 (If Duplicated)]]="",Table2[[#This Row],[Form '#]],Table2[[#This Row],[Corrected Form '#
 (If Duplicated)]])</f>
        <v>7810-01703</v>
      </c>
      <c r="N1257" s="1" t="s">
        <v>49</v>
      </c>
      <c r="O1257" s="6" t="str">
        <f>IF(Table2[[#This Row],[POG CONFIRMATION RECEIPT OF ORDER
(DATE &amp; TIME)]]="","No Confirmation","Received Confirmation")</f>
        <v>Received Confirmation</v>
      </c>
      <c r="P1257" s="6">
        <f ca="1">TODAY()-Table2[[#This Row],[DATE SENT TO POG]]</f>
        <v>205</v>
      </c>
      <c r="Q1257" s="6" t="s">
        <v>5803</v>
      </c>
      <c r="R12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7" s="2" t="str">
        <f>_xlfn.XLOOKUP(Table2[[#This Row],[Adjusted Form '#]],'[2]IN PROGRESS'!$D:$D,'[2]IN PROGRESS'!$M:$M,"Not Found")</f>
        <v>Not Found</v>
      </c>
      <c r="U1257" s="2" t="str">
        <f>_xlfn.XLOOKUP(Table2[[#This Row],[Adjusted Form '#]],[1]COMPLETED!$D:$D,[2]COMPLETED!$M:$M,"Not Found")</f>
        <v>Not Found</v>
      </c>
      <c r="V1257" s="17" t="str">
        <f>_xlfn.XLOOKUP(Table2[[#This Row],[Adjusted Form '#]],[2]COMPLETED!$D:$D,[2]COMPLETED!$O:$O,"Not Found")</f>
        <v>Not Found</v>
      </c>
      <c r="W1257" s="2" t="str">
        <f>_xlfn.XLOOKUP(Table2[[#This Row],[Adjusted Form '#]],[2]BILLED!$D:$D,[2]BILLED!$M:$M,"Not Found")</f>
        <v>1Z5063E0YW40675755</v>
      </c>
      <c r="X1257" s="17" t="e">
        <f>_xlfn.XLOOKUP(Table2[[#This Row],[Adjusted Form '#]],[2]BILLED!$D:$D,[1]BILLED!$O:$O,"Not Found")</f>
        <v>#REF!</v>
      </c>
      <c r="Y1257" s="17" t="e">
        <f>_xlfn.XLOOKUP(Table2[[#This Row],[Adjusted Form '#]],'[2]REJECTED ORDERS'!$D:$D,'[2]REJECTED ORDERS'!$E:$E)</f>
        <v>#N/A</v>
      </c>
      <c r="Z1257" s="1"/>
      <c r="AA1257" s="1"/>
    </row>
    <row r="1258" spans="1:27" ht="15" customHeight="1" x14ac:dyDescent="0.35">
      <c r="A1258" s="4" t="s">
        <v>1884</v>
      </c>
      <c r="B1258" s="1" t="s">
        <v>2405</v>
      </c>
      <c r="C1258" s="11">
        <v>45098</v>
      </c>
      <c r="D1258" s="11" t="s">
        <v>6109</v>
      </c>
      <c r="E1258" s="1" t="s">
        <v>14</v>
      </c>
      <c r="F1258" s="1" t="s">
        <v>6106</v>
      </c>
      <c r="G1258" s="6">
        <f>COUNTIF(F:F,Table2[[#This Row],[Form '#]])</f>
        <v>1</v>
      </c>
      <c r="H1258" s="1" t="s">
        <v>6107</v>
      </c>
      <c r="I1258" s="1" t="s">
        <v>3864</v>
      </c>
      <c r="J1258" s="1" t="s">
        <v>78</v>
      </c>
      <c r="K1258" s="1" t="s">
        <v>3879</v>
      </c>
      <c r="L1258" s="1"/>
      <c r="M1258" s="6" t="str">
        <f>IF(Table2[[#This Row],[Corrected Form '#
 (If Duplicated)]]="",Table2[[#This Row],[Form '#]],Table2[[#This Row],[Corrected Form '#
 (If Duplicated)]])</f>
        <v>7810-01795</v>
      </c>
      <c r="N1258" s="1" t="s">
        <v>49</v>
      </c>
      <c r="O1258" s="6" t="str">
        <f>IF(Table2[[#This Row],[POG CONFIRMATION RECEIPT OF ORDER
(DATE &amp; TIME)]]="","No Confirmation","Received Confirmation")</f>
        <v>Received Confirmation</v>
      </c>
      <c r="P1258" s="6">
        <f ca="1">TODAY()-Table2[[#This Row],[DATE SENT TO POG]]</f>
        <v>205</v>
      </c>
      <c r="Q1258" s="6" t="s">
        <v>5803</v>
      </c>
      <c r="R12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8" s="2" t="str">
        <f>_xlfn.XLOOKUP(Table2[[#This Row],[Adjusted Form '#]],'[2]IN PROGRESS'!$D:$D,'[2]IN PROGRESS'!$M:$M,"Not Found")</f>
        <v>Not Found</v>
      </c>
      <c r="U1258" s="2" t="str">
        <f>_xlfn.XLOOKUP(Table2[[#This Row],[Adjusted Form '#]],[1]COMPLETED!$D:$D,[2]COMPLETED!$M:$M,"Not Found")</f>
        <v>Not Found</v>
      </c>
      <c r="V1258" s="17" t="str">
        <f>_xlfn.XLOOKUP(Table2[[#This Row],[Adjusted Form '#]],[2]COMPLETED!$D:$D,[2]COMPLETED!$O:$O,"Not Found")</f>
        <v>Not Found</v>
      </c>
      <c r="W1258" s="2" t="str">
        <f>_xlfn.XLOOKUP(Table2[[#This Row],[Adjusted Form '#]],[2]BILLED!$D:$D,[2]BILLED!$M:$M,"Not Found")</f>
        <v>9400 1361 0605 3087 1670 03</v>
      </c>
      <c r="X1258" s="17" t="e">
        <f>_xlfn.XLOOKUP(Table2[[#This Row],[Adjusted Form '#]],[2]BILLED!$D:$D,[1]BILLED!$O:$O,"Not Found")</f>
        <v>#REF!</v>
      </c>
      <c r="Y1258" s="17" t="e">
        <f>_xlfn.XLOOKUP(Table2[[#This Row],[Adjusted Form '#]],'[2]REJECTED ORDERS'!$D:$D,'[2]REJECTED ORDERS'!$E:$E)</f>
        <v>#N/A</v>
      </c>
      <c r="Z1258" s="1"/>
      <c r="AA1258" s="1"/>
    </row>
    <row r="1259" spans="1:27" ht="15" customHeight="1" x14ac:dyDescent="0.35">
      <c r="A1259" s="4" t="s">
        <v>1886</v>
      </c>
      <c r="B1259" s="1" t="s">
        <v>2405</v>
      </c>
      <c r="C1259" s="11">
        <v>45098</v>
      </c>
      <c r="D1259" s="11" t="s">
        <v>6109</v>
      </c>
      <c r="E1259" s="1" t="s">
        <v>14</v>
      </c>
      <c r="F1259" s="1" t="s">
        <v>6108</v>
      </c>
      <c r="G1259" s="6">
        <f>COUNTIF(F:F,Table2[[#This Row],[Form '#]])</f>
        <v>1</v>
      </c>
      <c r="H1259" s="1" t="s">
        <v>1111</v>
      </c>
      <c r="I1259" s="1" t="s">
        <v>177</v>
      </c>
      <c r="J1259" s="1" t="s">
        <v>75</v>
      </c>
      <c r="K1259" s="1" t="s">
        <v>3853</v>
      </c>
      <c r="L1259" s="1"/>
      <c r="M1259" s="6" t="str">
        <f>IF(Table2[[#This Row],[Corrected Form '#
 (If Duplicated)]]="",Table2[[#This Row],[Form '#]],Table2[[#This Row],[Corrected Form '#
 (If Duplicated)]])</f>
        <v>7810-02122</v>
      </c>
      <c r="N1259" s="1" t="s">
        <v>49</v>
      </c>
      <c r="O1259" s="6" t="str">
        <f>IF(Table2[[#This Row],[POG CONFIRMATION RECEIPT OF ORDER
(DATE &amp; TIME)]]="","No Confirmation","Received Confirmation")</f>
        <v>Received Confirmation</v>
      </c>
      <c r="P1259" s="6">
        <f ca="1">TODAY()-Table2[[#This Row],[DATE SENT TO POG]]</f>
        <v>205</v>
      </c>
      <c r="Q1259" s="6" t="s">
        <v>5803</v>
      </c>
      <c r="R12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59" s="2" t="str">
        <f>_xlfn.XLOOKUP(Table2[[#This Row],[Adjusted Form '#]],'[2]IN PROGRESS'!$D:$D,'[2]IN PROGRESS'!$M:$M,"Not Found")</f>
        <v>Not Found</v>
      </c>
      <c r="U1259" s="2" t="str">
        <f>_xlfn.XLOOKUP(Table2[[#This Row],[Adjusted Form '#]],[1]COMPLETED!$D:$D,[2]COMPLETED!$M:$M,"Not Found")</f>
        <v>Not Found</v>
      </c>
      <c r="V1259" s="17" t="str">
        <f>_xlfn.XLOOKUP(Table2[[#This Row],[Adjusted Form '#]],[2]COMPLETED!$D:$D,[2]COMPLETED!$O:$O,"Not Found")</f>
        <v>Not Found</v>
      </c>
      <c r="W1259" s="2" t="str">
        <f>_xlfn.XLOOKUP(Table2[[#This Row],[Adjusted Form '#]],[2]BILLED!$D:$D,[2]BILLED!$M:$M,"Not Found")</f>
        <v>9402 1112 0620 7671 6474 24</v>
      </c>
      <c r="X1259" s="17" t="e">
        <f>_xlfn.XLOOKUP(Table2[[#This Row],[Adjusted Form '#]],[2]BILLED!$D:$D,[1]BILLED!$O:$O,"Not Found")</f>
        <v>#REF!</v>
      </c>
      <c r="Y1259" s="17" t="e">
        <f>_xlfn.XLOOKUP(Table2[[#This Row],[Adjusted Form '#]],'[2]REJECTED ORDERS'!$D:$D,'[2]REJECTED ORDERS'!$E:$E)</f>
        <v>#N/A</v>
      </c>
      <c r="Z1259" s="1"/>
      <c r="AA1259" s="1"/>
    </row>
    <row r="1260" spans="1:27" ht="15" customHeight="1" x14ac:dyDescent="0.35">
      <c r="A1260" s="4" t="s">
        <v>1888</v>
      </c>
      <c r="B1260" s="1" t="s">
        <v>252</v>
      </c>
      <c r="C1260" s="11">
        <v>45098</v>
      </c>
      <c r="D1260" s="11" t="s">
        <v>6114</v>
      </c>
      <c r="E1260" s="1" t="s">
        <v>191</v>
      </c>
      <c r="F1260" s="1" t="s">
        <v>6110</v>
      </c>
      <c r="G1260" s="6">
        <f>COUNTIF(F:F,Table2[[#This Row],[Form '#]])</f>
        <v>1</v>
      </c>
      <c r="H1260" s="1" t="s">
        <v>3292</v>
      </c>
      <c r="I1260" s="1" t="s">
        <v>127</v>
      </c>
      <c r="J1260" s="1" t="s">
        <v>76</v>
      </c>
      <c r="K1260" s="1" t="s">
        <v>4011</v>
      </c>
      <c r="L1260" s="1"/>
      <c r="M1260" s="6" t="str">
        <f>IF(Table2[[#This Row],[Corrected Form '#
 (If Duplicated)]]="",Table2[[#This Row],[Form '#]],Table2[[#This Row],[Corrected Form '#
 (If Duplicated)]])</f>
        <v>7812-3903</v>
      </c>
      <c r="N1260" s="1" t="s">
        <v>49</v>
      </c>
      <c r="O1260" s="6" t="str">
        <f>IF(Table2[[#This Row],[POG CONFIRMATION RECEIPT OF ORDER
(DATE &amp; TIME)]]="","No Confirmation","Received Confirmation")</f>
        <v>Received Confirmation</v>
      </c>
      <c r="P1260" s="6">
        <f ca="1">TODAY()-Table2[[#This Row],[DATE SENT TO POG]]</f>
        <v>205</v>
      </c>
      <c r="Q1260" s="6" t="s">
        <v>5803</v>
      </c>
      <c r="R12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0" s="2" t="str">
        <f>_xlfn.XLOOKUP(Table2[[#This Row],[Adjusted Form '#]],'[2]IN PROGRESS'!$D:$D,'[2]IN PROGRESS'!$M:$M,"Not Found")</f>
        <v>Not Found</v>
      </c>
      <c r="U1260" s="2" t="str">
        <f>_xlfn.XLOOKUP(Table2[[#This Row],[Adjusted Form '#]],[1]COMPLETED!$D:$D,[2]COMPLETED!$M:$M,"Not Found")</f>
        <v>Not Found</v>
      </c>
      <c r="V1260" s="17" t="str">
        <f>_xlfn.XLOOKUP(Table2[[#This Row],[Adjusted Form '#]],[2]COMPLETED!$D:$D,[2]COMPLETED!$O:$O,"Not Found")</f>
        <v>Not Found</v>
      </c>
      <c r="W1260" s="2" t="str">
        <f>_xlfn.XLOOKUP(Table2[[#This Row],[Adjusted Form '#]],[2]BILLED!$D:$D,[2]BILLED!$M:$M,"Not Found")</f>
        <v>9400 1361 0605 3151 8452 88</v>
      </c>
      <c r="X1260" s="17" t="e">
        <f>_xlfn.XLOOKUP(Table2[[#This Row],[Adjusted Form '#]],[2]BILLED!$D:$D,[1]BILLED!$O:$O,"Not Found")</f>
        <v>#REF!</v>
      </c>
      <c r="Y1260" s="17" t="e">
        <f>_xlfn.XLOOKUP(Table2[[#This Row],[Adjusted Form '#]],'[2]REJECTED ORDERS'!$D:$D,'[2]REJECTED ORDERS'!$E:$E)</f>
        <v>#N/A</v>
      </c>
      <c r="Z1260" s="1"/>
      <c r="AA1260" s="1"/>
    </row>
    <row r="1261" spans="1:27" ht="15" customHeight="1" x14ac:dyDescent="0.35">
      <c r="A1261" s="4" t="s">
        <v>1889</v>
      </c>
      <c r="B1261" s="1" t="s">
        <v>587</v>
      </c>
      <c r="C1261" s="11">
        <v>45098</v>
      </c>
      <c r="E1261" s="1" t="s">
        <v>73</v>
      </c>
      <c r="F1261" s="1" t="s">
        <v>5985</v>
      </c>
      <c r="G1261" s="6">
        <f>COUNTIF(F:F,Table2[[#This Row],[Form '#]])</f>
        <v>2</v>
      </c>
      <c r="H1261" s="1" t="s">
        <v>5986</v>
      </c>
      <c r="I1261" s="1" t="s">
        <v>3852</v>
      </c>
      <c r="J1261" s="1" t="s">
        <v>3891</v>
      </c>
      <c r="K1261" s="1" t="s">
        <v>3891</v>
      </c>
      <c r="L1261" s="1"/>
      <c r="M1261" s="6" t="str">
        <f>IF(Table2[[#This Row],[Corrected Form '#
 (If Duplicated)]]="",Table2[[#This Row],[Form '#]],Table2[[#This Row],[Corrected Form '#
 (If Duplicated)]])</f>
        <v>7823-02907</v>
      </c>
      <c r="N1261" s="1" t="s">
        <v>49</v>
      </c>
      <c r="O1261" s="6" t="str">
        <f>IF(Table2[[#This Row],[POG CONFIRMATION RECEIPT OF ORDER
(DATE &amp; TIME)]]="","No Confirmation","Received Confirmation")</f>
        <v>No Confirmation</v>
      </c>
      <c r="P1261" s="6">
        <f ca="1">TODAY()-Table2[[#This Row],[DATE SENT TO POG]]</f>
        <v>205</v>
      </c>
      <c r="Q1261" s="6" t="s">
        <v>5803</v>
      </c>
      <c r="R12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1" s="2" t="str">
        <f>_xlfn.XLOOKUP(Table2[[#This Row],[Adjusted Form '#]],'[2]IN PROGRESS'!$D:$D,'[2]IN PROGRESS'!$M:$M,"Not Found")</f>
        <v>Not Found</v>
      </c>
      <c r="U1261" s="2" t="str">
        <f>_xlfn.XLOOKUP(Table2[[#This Row],[Adjusted Form '#]],[1]COMPLETED!$D:$D,[2]COMPLETED!$M:$M,"Not Found")</f>
        <v>Not Found</v>
      </c>
      <c r="V1261" s="17" t="str">
        <f>_xlfn.XLOOKUP(Table2[[#This Row],[Adjusted Form '#]],[2]COMPLETED!$D:$D,[2]COMPLETED!$O:$O,"Not Found")</f>
        <v>Not Found</v>
      </c>
      <c r="W1261" s="2" t="str">
        <f>_xlfn.XLOOKUP(Table2[[#This Row],[Adjusted Form '#]],[2]BILLED!$D:$D,[2]BILLED!$M:$M,"Not Found")</f>
        <v>1Z5063E0YW41915672</v>
      </c>
      <c r="X1261" s="17" t="e">
        <f>_xlfn.XLOOKUP(Table2[[#This Row],[Adjusted Form '#]],[2]BILLED!$D:$D,[1]BILLED!$O:$O,"Not Found")</f>
        <v>#REF!</v>
      </c>
      <c r="Y1261" s="17" t="e">
        <f>_xlfn.XLOOKUP(Table2[[#This Row],[Adjusted Form '#]],'[2]REJECTED ORDERS'!$D:$D,'[2]REJECTED ORDERS'!$E:$E)</f>
        <v>#N/A</v>
      </c>
      <c r="Z1261" s="1"/>
      <c r="AA1261" s="1"/>
    </row>
    <row r="1262" spans="1:27" ht="15" customHeight="1" x14ac:dyDescent="0.35">
      <c r="A1262" s="4" t="s">
        <v>1890</v>
      </c>
      <c r="B1262" s="1" t="s">
        <v>842</v>
      </c>
      <c r="C1262" s="11">
        <v>45098</v>
      </c>
      <c r="D1262" s="11" t="s">
        <v>6115</v>
      </c>
      <c r="E1262" s="1" t="s">
        <v>21</v>
      </c>
      <c r="F1262" s="1" t="s">
        <v>6111</v>
      </c>
      <c r="G1262" s="6">
        <f>COUNTIF(F:F,Table2[[#This Row],[Form '#]])</f>
        <v>1</v>
      </c>
      <c r="H1262" s="1" t="s">
        <v>6112</v>
      </c>
      <c r="I1262" s="1" t="s">
        <v>127</v>
      </c>
      <c r="J1262" s="1" t="s">
        <v>76</v>
      </c>
      <c r="K1262" s="1" t="s">
        <v>3891</v>
      </c>
      <c r="L1262" s="1"/>
      <c r="M1262" s="6" t="str">
        <f>IF(Table2[[#This Row],[Corrected Form '#
 (If Duplicated)]]="",Table2[[#This Row],[Form '#]],Table2[[#This Row],[Corrected Form '#
 (If Duplicated)]])</f>
        <v>7818-20818</v>
      </c>
      <c r="N1262" s="1" t="s">
        <v>49</v>
      </c>
      <c r="O1262" s="6" t="str">
        <f>IF(Table2[[#This Row],[POG CONFIRMATION RECEIPT OF ORDER
(DATE &amp; TIME)]]="","No Confirmation","Received Confirmation")</f>
        <v>Received Confirmation</v>
      </c>
      <c r="P1262" s="6">
        <f ca="1">TODAY()-Table2[[#This Row],[DATE SENT TO POG]]</f>
        <v>205</v>
      </c>
      <c r="Q1262" s="6" t="s">
        <v>5803</v>
      </c>
      <c r="R12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2" s="2" t="str">
        <f>_xlfn.XLOOKUP(Table2[[#This Row],[Adjusted Form '#]],'[2]IN PROGRESS'!$D:$D,'[2]IN PROGRESS'!$M:$M,"Not Found")</f>
        <v>Not Found</v>
      </c>
      <c r="U1262" s="2" t="str">
        <f>_xlfn.XLOOKUP(Table2[[#This Row],[Adjusted Form '#]],[1]COMPLETED!$D:$D,[2]COMPLETED!$M:$M,"Not Found")</f>
        <v>Not Found</v>
      </c>
      <c r="V1262" s="17" t="str">
        <f>_xlfn.XLOOKUP(Table2[[#This Row],[Adjusted Form '#]],[2]COMPLETED!$D:$D,[2]COMPLETED!$O:$O,"Not Found")</f>
        <v>Not Found</v>
      </c>
      <c r="W1262" s="2" t="str">
        <f>_xlfn.XLOOKUP(Table2[[#This Row],[Adjusted Form '#]],[2]BILLED!$D:$D,[2]BILLED!$M:$M,"Not Found")</f>
        <v>9400 1361 0605 3196 3473 96</v>
      </c>
      <c r="X1262" s="17" t="e">
        <f>_xlfn.XLOOKUP(Table2[[#This Row],[Adjusted Form '#]],[2]BILLED!$D:$D,[1]BILLED!$O:$O,"Not Found")</f>
        <v>#REF!</v>
      </c>
      <c r="Y1262" s="17" t="e">
        <f>_xlfn.XLOOKUP(Table2[[#This Row],[Adjusted Form '#]],'[2]REJECTED ORDERS'!$D:$D,'[2]REJECTED ORDERS'!$E:$E)</f>
        <v>#N/A</v>
      </c>
      <c r="Z1262" s="1"/>
      <c r="AA1262" s="1"/>
    </row>
    <row r="1263" spans="1:27" ht="15" customHeight="1" x14ac:dyDescent="0.35">
      <c r="A1263" s="4" t="s">
        <v>1892</v>
      </c>
      <c r="B1263" s="1" t="s">
        <v>842</v>
      </c>
      <c r="C1263" s="11">
        <v>45098</v>
      </c>
      <c r="D1263" s="11" t="s">
        <v>6115</v>
      </c>
      <c r="E1263" s="1" t="s">
        <v>21</v>
      </c>
      <c r="F1263" s="1" t="s">
        <v>6113</v>
      </c>
      <c r="G1263" s="6">
        <f>COUNTIF(F:F,Table2[[#This Row],[Form '#]])</f>
        <v>1</v>
      </c>
      <c r="H1263" s="1" t="s">
        <v>386</v>
      </c>
      <c r="I1263" s="1" t="s">
        <v>3864</v>
      </c>
      <c r="J1263" s="1" t="s">
        <v>78</v>
      </c>
      <c r="K1263" s="1" t="s">
        <v>3879</v>
      </c>
      <c r="L1263" s="1"/>
      <c r="M1263" s="6" t="str">
        <f>IF(Table2[[#This Row],[Corrected Form '#
 (If Duplicated)]]="",Table2[[#This Row],[Form '#]],Table2[[#This Row],[Corrected Form '#
 (If Duplicated)]])</f>
        <v>7818-29944</v>
      </c>
      <c r="N1263" s="1" t="s">
        <v>49</v>
      </c>
      <c r="O1263" s="6" t="str">
        <f>IF(Table2[[#This Row],[POG CONFIRMATION RECEIPT OF ORDER
(DATE &amp; TIME)]]="","No Confirmation","Received Confirmation")</f>
        <v>Received Confirmation</v>
      </c>
      <c r="P1263" s="6">
        <f ca="1">TODAY()-Table2[[#This Row],[DATE SENT TO POG]]</f>
        <v>205</v>
      </c>
      <c r="Q1263" s="6" t="s">
        <v>5803</v>
      </c>
      <c r="R12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3" s="2" t="str">
        <f>_xlfn.XLOOKUP(Table2[[#This Row],[Adjusted Form '#]],'[2]IN PROGRESS'!$D:$D,'[2]IN PROGRESS'!$M:$M,"Not Found")</f>
        <v>Not Found</v>
      </c>
      <c r="U1263" s="2" t="str">
        <f>_xlfn.XLOOKUP(Table2[[#This Row],[Adjusted Form '#]],[1]COMPLETED!$D:$D,[2]COMPLETED!$M:$M,"Not Found")</f>
        <v>Not Found</v>
      </c>
      <c r="V1263" s="17" t="str">
        <f>_xlfn.XLOOKUP(Table2[[#This Row],[Adjusted Form '#]],[2]COMPLETED!$D:$D,[2]COMPLETED!$O:$O,"Not Found")</f>
        <v>Not Found</v>
      </c>
      <c r="W1263" s="2" t="str">
        <f>_xlfn.XLOOKUP(Table2[[#This Row],[Adjusted Form '#]],[2]BILLED!$D:$D,[2]BILLED!$M:$M,"Not Found")</f>
        <v>1Z5063E0YW41039048</v>
      </c>
      <c r="X1263" s="17" t="e">
        <f>_xlfn.XLOOKUP(Table2[[#This Row],[Adjusted Form '#]],[2]BILLED!$D:$D,[1]BILLED!$O:$O,"Not Found")</f>
        <v>#REF!</v>
      </c>
      <c r="Y1263" s="17" t="e">
        <f>_xlfn.XLOOKUP(Table2[[#This Row],[Adjusted Form '#]],'[2]REJECTED ORDERS'!$D:$D,'[2]REJECTED ORDERS'!$E:$E)</f>
        <v>#N/A</v>
      </c>
      <c r="Z1263" s="1"/>
      <c r="AA1263" s="1"/>
    </row>
    <row r="1264" spans="1:27" ht="15" customHeight="1" x14ac:dyDescent="0.35">
      <c r="A1264" s="4" t="s">
        <v>1894</v>
      </c>
      <c r="B1264" s="1" t="s">
        <v>211</v>
      </c>
      <c r="C1264" s="11">
        <v>45099</v>
      </c>
      <c r="E1264" s="1" t="s">
        <v>21</v>
      </c>
      <c r="F1264" s="1" t="s">
        <v>6116</v>
      </c>
      <c r="G1264" s="6">
        <f>COUNTIF(F:F,Table2[[#This Row],[Form '#]])</f>
        <v>1</v>
      </c>
      <c r="H1264" s="1" t="s">
        <v>6117</v>
      </c>
      <c r="I1264" s="1" t="s">
        <v>127</v>
      </c>
      <c r="J1264" s="1" t="s">
        <v>76</v>
      </c>
      <c r="K1264" s="1" t="s">
        <v>3883</v>
      </c>
      <c r="L1264" s="1"/>
      <c r="M1264" s="6" t="str">
        <f>IF(Table2[[#This Row],[Corrected Form '#
 (If Duplicated)]]="",Table2[[#This Row],[Form '#]],Table2[[#This Row],[Corrected Form '#
 (If Duplicated)]])</f>
        <v>7818-18632</v>
      </c>
      <c r="N1264" s="1" t="s">
        <v>49</v>
      </c>
      <c r="O1264" s="6" t="str">
        <f>IF(Table2[[#This Row],[POG CONFIRMATION RECEIPT OF ORDER
(DATE &amp; TIME)]]="","No Confirmation","Received Confirmation")</f>
        <v>No Confirmation</v>
      </c>
      <c r="P1264" s="6">
        <f ca="1">TODAY()-Table2[[#This Row],[DATE SENT TO POG]]</f>
        <v>204</v>
      </c>
      <c r="Q1264" s="6" t="s">
        <v>5803</v>
      </c>
      <c r="R12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4" s="2" t="str">
        <f>_xlfn.XLOOKUP(Table2[[#This Row],[Adjusted Form '#]],'[2]IN PROGRESS'!$D:$D,'[2]IN PROGRESS'!$M:$M,"Not Found")</f>
        <v>Not Found</v>
      </c>
      <c r="U1264" s="2" t="str">
        <f>_xlfn.XLOOKUP(Table2[[#This Row],[Adjusted Form '#]],[1]COMPLETED!$D:$D,[2]COMPLETED!$M:$M,"Not Found")</f>
        <v>Not Found</v>
      </c>
      <c r="V1264" s="17" t="str">
        <f>_xlfn.XLOOKUP(Table2[[#This Row],[Adjusted Form '#]],[2]COMPLETED!$D:$D,[2]COMPLETED!$O:$O,"Not Found")</f>
        <v>Not Found</v>
      </c>
      <c r="W1264" s="2" t="str">
        <f>_xlfn.XLOOKUP(Table2[[#This Row],[Adjusted Form '#]],[2]BILLED!$D:$D,[2]BILLED!$M:$M,"Not Found")</f>
        <v>9402 1112 0620 9492 6810 69</v>
      </c>
      <c r="X1264" s="17" t="e">
        <f>_xlfn.XLOOKUP(Table2[[#This Row],[Adjusted Form '#]],[2]BILLED!$D:$D,[1]BILLED!$O:$O,"Not Found")</f>
        <v>#REF!</v>
      </c>
      <c r="Y1264" s="17" t="str">
        <f>_xlfn.XLOOKUP(Table2[[#This Row],[Adjusted Form '#]],'[2]REJECTED ORDERS'!$D:$D,'[2]REJECTED ORDERS'!$E:$E)</f>
        <v>FORM NUMBER ALREADY USED</v>
      </c>
      <c r="Z1264" s="1"/>
      <c r="AA1264" s="1"/>
    </row>
    <row r="1265" spans="1:27" ht="15" customHeight="1" x14ac:dyDescent="0.35">
      <c r="A1265" s="4" t="s">
        <v>1895</v>
      </c>
      <c r="B1265" s="1" t="s">
        <v>211</v>
      </c>
      <c r="C1265" s="11">
        <v>45099</v>
      </c>
      <c r="E1265" s="1" t="s">
        <v>21</v>
      </c>
      <c r="F1265" s="1" t="s">
        <v>6118</v>
      </c>
      <c r="G1265" s="6">
        <f>COUNTIF(F:F,Table2[[#This Row],[Form '#]])</f>
        <v>1</v>
      </c>
      <c r="H1265" s="1" t="s">
        <v>6119</v>
      </c>
      <c r="I1265" s="1" t="s">
        <v>127</v>
      </c>
      <c r="J1265" s="1" t="s">
        <v>71</v>
      </c>
      <c r="K1265" s="1" t="s">
        <v>3883</v>
      </c>
      <c r="L1265" s="1"/>
      <c r="M1265" s="6" t="str">
        <f>IF(Table2[[#This Row],[Corrected Form '#
 (If Duplicated)]]="",Table2[[#This Row],[Form '#]],Table2[[#This Row],[Corrected Form '#
 (If Duplicated)]])</f>
        <v>7818-28391</v>
      </c>
      <c r="N1265" s="1" t="s">
        <v>49</v>
      </c>
      <c r="O1265" s="6" t="str">
        <f>IF(Table2[[#This Row],[POG CONFIRMATION RECEIPT OF ORDER
(DATE &amp; TIME)]]="","No Confirmation","Received Confirmation")</f>
        <v>No Confirmation</v>
      </c>
      <c r="P1265" s="6">
        <f ca="1">TODAY()-Table2[[#This Row],[DATE SENT TO POG]]</f>
        <v>204</v>
      </c>
      <c r="Q1265" s="6" t="s">
        <v>5803</v>
      </c>
      <c r="R12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5" s="2" t="str">
        <f>_xlfn.XLOOKUP(Table2[[#This Row],[Adjusted Form '#]],'[2]IN PROGRESS'!$D:$D,'[2]IN PROGRESS'!$M:$M,"Not Found")</f>
        <v>Not Found</v>
      </c>
      <c r="U1265" s="2" t="str">
        <f>_xlfn.XLOOKUP(Table2[[#This Row],[Adjusted Form '#]],[1]COMPLETED!$D:$D,[2]COMPLETED!$M:$M,"Not Found")</f>
        <v>Not Found</v>
      </c>
      <c r="V1265" s="17" t="str">
        <f>_xlfn.XLOOKUP(Table2[[#This Row],[Adjusted Form '#]],[2]COMPLETED!$D:$D,[2]COMPLETED!$O:$O,"Not Found")</f>
        <v>Not Found</v>
      </c>
      <c r="W1265" s="2" t="str">
        <f>_xlfn.XLOOKUP(Table2[[#This Row],[Adjusted Form '#]],[2]BILLED!$D:$D,[2]BILLED!$M:$M,"Not Found")</f>
        <v>9400 1112 0620 9462 2925 25</v>
      </c>
      <c r="X1265" s="17" t="e">
        <f>_xlfn.XLOOKUP(Table2[[#This Row],[Adjusted Form '#]],[2]BILLED!$D:$D,[1]BILLED!$O:$O,"Not Found")</f>
        <v>#REF!</v>
      </c>
      <c r="Y1265" s="17" t="str">
        <f>_xlfn.XLOOKUP(Table2[[#This Row],[Adjusted Form '#]],'[2]REJECTED ORDERS'!$D:$D,'[2]REJECTED ORDERS'!$E:$E)</f>
        <v>FORM NUMBER ALREADY USED</v>
      </c>
      <c r="Z1265" s="1"/>
      <c r="AA1265" s="1"/>
    </row>
    <row r="1266" spans="1:27" ht="15" customHeight="1" x14ac:dyDescent="0.35">
      <c r="A1266" s="4" t="s">
        <v>1896</v>
      </c>
      <c r="B1266" s="1" t="s">
        <v>211</v>
      </c>
      <c r="C1266" s="11">
        <v>45099</v>
      </c>
      <c r="E1266" s="1" t="s">
        <v>21</v>
      </c>
      <c r="F1266" s="1" t="s">
        <v>6120</v>
      </c>
      <c r="G1266" s="6">
        <f>COUNTIF(F:F,Table2[[#This Row],[Form '#]])</f>
        <v>1</v>
      </c>
      <c r="H1266" s="1" t="s">
        <v>6121</v>
      </c>
      <c r="I1266" s="1" t="s">
        <v>127</v>
      </c>
      <c r="J1266" s="1" t="s">
        <v>74</v>
      </c>
      <c r="K1266" s="1" t="s">
        <v>3883</v>
      </c>
      <c r="L1266" s="1"/>
      <c r="M1266" s="6" t="str">
        <f>IF(Table2[[#This Row],[Corrected Form '#
 (If Duplicated)]]="",Table2[[#This Row],[Form '#]],Table2[[#This Row],[Corrected Form '#
 (If Duplicated)]])</f>
        <v>7818-29471</v>
      </c>
      <c r="N1266" s="1" t="s">
        <v>49</v>
      </c>
      <c r="O1266" s="6" t="str">
        <f>IF(Table2[[#This Row],[POG CONFIRMATION RECEIPT OF ORDER
(DATE &amp; TIME)]]="","No Confirmation","Received Confirmation")</f>
        <v>No Confirmation</v>
      </c>
      <c r="P1266" s="6">
        <f ca="1">TODAY()-Table2[[#This Row],[DATE SENT TO POG]]</f>
        <v>204</v>
      </c>
      <c r="Q1266" s="6" t="s">
        <v>5803</v>
      </c>
      <c r="R12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6" s="2" t="str">
        <f>_xlfn.XLOOKUP(Table2[[#This Row],[Adjusted Form '#]],'[2]IN PROGRESS'!$D:$D,'[2]IN PROGRESS'!$M:$M,"Not Found")</f>
        <v>Not Found</v>
      </c>
      <c r="U1266" s="2" t="str">
        <f>_xlfn.XLOOKUP(Table2[[#This Row],[Adjusted Form '#]],[1]COMPLETED!$D:$D,[2]COMPLETED!$M:$M,"Not Found")</f>
        <v>Not Found</v>
      </c>
      <c r="V1266" s="17" t="str">
        <f>_xlfn.XLOOKUP(Table2[[#This Row],[Adjusted Form '#]],[2]COMPLETED!$D:$D,[2]COMPLETED!$O:$O,"Not Found")</f>
        <v>Not Found</v>
      </c>
      <c r="W1266" s="2" t="str">
        <f>_xlfn.XLOOKUP(Table2[[#This Row],[Adjusted Form '#]],[2]BILLED!$D:$D,[2]BILLED!$M:$M,"Not Found")</f>
        <v>9400 1112 0620 9462 2531 44</v>
      </c>
      <c r="X1266" s="17" t="e">
        <f>_xlfn.XLOOKUP(Table2[[#This Row],[Adjusted Form '#]],[2]BILLED!$D:$D,[1]BILLED!$O:$O,"Not Found")</f>
        <v>#REF!</v>
      </c>
      <c r="Y1266" s="17" t="str">
        <f>_xlfn.XLOOKUP(Table2[[#This Row],[Adjusted Form '#]],'[2]REJECTED ORDERS'!$D:$D,'[2]REJECTED ORDERS'!$E:$E)</f>
        <v>FORM NUMBER ALREADY USED</v>
      </c>
      <c r="Z1266" s="1"/>
      <c r="AA1266" s="1"/>
    </row>
    <row r="1267" spans="1:27" ht="15" customHeight="1" x14ac:dyDescent="0.35">
      <c r="A1267" s="4" t="s">
        <v>1897</v>
      </c>
      <c r="B1267" s="1" t="s">
        <v>211</v>
      </c>
      <c r="C1267" s="11">
        <v>45099</v>
      </c>
      <c r="E1267" s="1" t="s">
        <v>21</v>
      </c>
      <c r="F1267" s="1" t="s">
        <v>6122</v>
      </c>
      <c r="G1267" s="6">
        <f>COUNTIF(F:F,Table2[[#This Row],[Form '#]])</f>
        <v>1</v>
      </c>
      <c r="H1267" s="1" t="s">
        <v>6123</v>
      </c>
      <c r="I1267" s="1" t="s">
        <v>3852</v>
      </c>
      <c r="J1267" s="1" t="s">
        <v>80</v>
      </c>
      <c r="K1267" s="1" t="s">
        <v>4430</v>
      </c>
      <c r="L1267" s="1"/>
      <c r="M1267" s="6" t="str">
        <f>IF(Table2[[#This Row],[Corrected Form '#
 (If Duplicated)]]="",Table2[[#This Row],[Form '#]],Table2[[#This Row],[Corrected Form '#
 (If Duplicated)]])</f>
        <v>7818-23915</v>
      </c>
      <c r="N1267" s="1" t="s">
        <v>49</v>
      </c>
      <c r="O1267" s="6" t="str">
        <f>IF(Table2[[#This Row],[POG CONFIRMATION RECEIPT OF ORDER
(DATE &amp; TIME)]]="","No Confirmation","Received Confirmation")</f>
        <v>No Confirmation</v>
      </c>
      <c r="P1267" s="6">
        <f ca="1">TODAY()-Table2[[#This Row],[DATE SENT TO POG]]</f>
        <v>204</v>
      </c>
      <c r="Q1267" s="6" t="s">
        <v>5803</v>
      </c>
      <c r="R12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7" s="2" t="str">
        <f>_xlfn.XLOOKUP(Table2[[#This Row],[Adjusted Form '#]],'[2]IN PROGRESS'!$D:$D,'[2]IN PROGRESS'!$M:$M,"Not Found")</f>
        <v>Not Found</v>
      </c>
      <c r="U1267" s="2" t="str">
        <f>_xlfn.XLOOKUP(Table2[[#This Row],[Adjusted Form '#]],[1]COMPLETED!$D:$D,[2]COMPLETED!$M:$M,"Not Found")</f>
        <v>Not Found</v>
      </c>
      <c r="V1267" s="17" t="str">
        <f>_xlfn.XLOOKUP(Table2[[#This Row],[Adjusted Form '#]],[2]COMPLETED!$D:$D,[2]COMPLETED!$O:$O,"Not Found")</f>
        <v>Not Found</v>
      </c>
      <c r="W1267" s="2" t="str">
        <f>_xlfn.XLOOKUP(Table2[[#This Row],[Adjusted Form '#]],[2]BILLED!$D:$D,[2]BILLED!$M:$M,"Not Found")</f>
        <v>9400 1112 0620 9462 2257 52</v>
      </c>
      <c r="X1267" s="17" t="e">
        <f>_xlfn.XLOOKUP(Table2[[#This Row],[Adjusted Form '#]],[2]BILLED!$D:$D,[1]BILLED!$O:$O,"Not Found")</f>
        <v>#REF!</v>
      </c>
      <c r="Y1267" s="17" t="str">
        <f>_xlfn.XLOOKUP(Table2[[#This Row],[Adjusted Form '#]],'[2]REJECTED ORDERS'!$D:$D,'[2]REJECTED ORDERS'!$E:$E)</f>
        <v>FORM NUMBER ALREADY USED</v>
      </c>
      <c r="Z1267" s="1"/>
      <c r="AA1267" s="1"/>
    </row>
    <row r="1268" spans="1:27" ht="15" customHeight="1" x14ac:dyDescent="0.35">
      <c r="A1268" s="4" t="s">
        <v>1898</v>
      </c>
      <c r="B1268" s="1" t="s">
        <v>211</v>
      </c>
      <c r="C1268" s="11">
        <v>45099</v>
      </c>
      <c r="E1268" s="1" t="s">
        <v>21</v>
      </c>
      <c r="F1268" s="1" t="s">
        <v>6124</v>
      </c>
      <c r="G1268" s="6">
        <f>COUNTIF(F:F,Table2[[#This Row],[Form '#]])</f>
        <v>1</v>
      </c>
      <c r="H1268" s="1" t="s">
        <v>6125</v>
      </c>
      <c r="I1268" s="1" t="s">
        <v>3864</v>
      </c>
      <c r="J1268" s="1" t="s">
        <v>78</v>
      </c>
      <c r="K1268" s="1" t="s">
        <v>3879</v>
      </c>
      <c r="L1268" s="1"/>
      <c r="M1268" s="6" t="str">
        <f>IF(Table2[[#This Row],[Corrected Form '#
 (If Duplicated)]]="",Table2[[#This Row],[Form '#]],Table2[[#This Row],[Corrected Form '#
 (If Duplicated)]])</f>
        <v>7818-19919</v>
      </c>
      <c r="N1268" s="1" t="s">
        <v>49</v>
      </c>
      <c r="O1268" s="6" t="str">
        <f>IF(Table2[[#This Row],[POG CONFIRMATION RECEIPT OF ORDER
(DATE &amp; TIME)]]="","No Confirmation","Received Confirmation")</f>
        <v>No Confirmation</v>
      </c>
      <c r="P1268" s="6">
        <f ca="1">TODAY()-Table2[[#This Row],[DATE SENT TO POG]]</f>
        <v>204</v>
      </c>
      <c r="Q1268" s="6" t="s">
        <v>5803</v>
      </c>
      <c r="R12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8" s="2" t="str">
        <f>_xlfn.XLOOKUP(Table2[[#This Row],[Adjusted Form '#]],'[2]IN PROGRESS'!$D:$D,'[2]IN PROGRESS'!$M:$M,"Not Found")</f>
        <v>Not Found</v>
      </c>
      <c r="U1268" s="2" t="str">
        <f>_xlfn.XLOOKUP(Table2[[#This Row],[Adjusted Form '#]],[1]COMPLETED!$D:$D,[2]COMPLETED!$M:$M,"Not Found")</f>
        <v>Not Found</v>
      </c>
      <c r="V1268" s="17" t="str">
        <f>_xlfn.XLOOKUP(Table2[[#This Row],[Adjusted Form '#]],[2]COMPLETED!$D:$D,[2]COMPLETED!$O:$O,"Not Found")</f>
        <v>Not Found</v>
      </c>
      <c r="W1268" s="2" t="str">
        <f>_xlfn.XLOOKUP(Table2[[#This Row],[Adjusted Form '#]],[2]BILLED!$D:$D,[2]BILLED!$M:$M,"Not Found")</f>
        <v>9400 1112 0620 9462 2760 37</v>
      </c>
      <c r="X1268" s="17" t="e">
        <f>_xlfn.XLOOKUP(Table2[[#This Row],[Adjusted Form '#]],[2]BILLED!$D:$D,[1]BILLED!$O:$O,"Not Found")</f>
        <v>#REF!</v>
      </c>
      <c r="Y1268" s="17" t="str">
        <f>_xlfn.XLOOKUP(Table2[[#This Row],[Adjusted Form '#]],'[2]REJECTED ORDERS'!$D:$D,'[2]REJECTED ORDERS'!$E:$E)</f>
        <v>FORM NUMBER ALREADY USED</v>
      </c>
      <c r="Z1268" s="1"/>
      <c r="AA1268" s="1"/>
    </row>
    <row r="1269" spans="1:27" ht="15" customHeight="1" x14ac:dyDescent="0.35">
      <c r="A1269" s="4" t="s">
        <v>1899</v>
      </c>
      <c r="B1269" s="1" t="s">
        <v>6126</v>
      </c>
      <c r="C1269" s="11">
        <v>45100</v>
      </c>
      <c r="D1269" s="11" t="s">
        <v>6132</v>
      </c>
      <c r="E1269" s="1" t="s">
        <v>21</v>
      </c>
      <c r="F1269" s="1" t="s">
        <v>6241</v>
      </c>
      <c r="G1269" s="6">
        <f>COUNTIF(F:F,Table2[[#This Row],[Form '#]])</f>
        <v>1</v>
      </c>
      <c r="H1269" s="1" t="s">
        <v>6127</v>
      </c>
      <c r="I1269" s="1" t="s">
        <v>177</v>
      </c>
      <c r="J1269" s="1" t="s">
        <v>75</v>
      </c>
      <c r="K1269" s="1" t="s">
        <v>4430</v>
      </c>
      <c r="L1269" s="1"/>
      <c r="M1269" s="6" t="str">
        <f>IF(Table2[[#This Row],[Corrected Form '#
 (If Duplicated)]]="",Table2[[#This Row],[Form '#]],Table2[[#This Row],[Corrected Form '#
 (If Duplicated)]])</f>
        <v>7810-02211</v>
      </c>
      <c r="N1269" s="1" t="s">
        <v>49</v>
      </c>
      <c r="O1269" s="6" t="str">
        <f>IF(Table2[[#This Row],[POG CONFIRMATION RECEIPT OF ORDER
(DATE &amp; TIME)]]="","No Confirmation","Received Confirmation")</f>
        <v>Received Confirmation</v>
      </c>
      <c r="P1269" s="6">
        <f ca="1">TODAY()-Table2[[#This Row],[DATE SENT TO POG]]</f>
        <v>203</v>
      </c>
      <c r="Q1269" s="6" t="s">
        <v>5803</v>
      </c>
      <c r="R12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69" s="2" t="str">
        <f>_xlfn.XLOOKUP(Table2[[#This Row],[Adjusted Form '#]],'[2]IN PROGRESS'!$D:$D,'[2]IN PROGRESS'!$M:$M,"Not Found")</f>
        <v>Not Found</v>
      </c>
      <c r="U1269" s="2" t="str">
        <f>_xlfn.XLOOKUP(Table2[[#This Row],[Adjusted Form '#]],[1]COMPLETED!$D:$D,[2]COMPLETED!$M:$M,"Not Found")</f>
        <v>Not Found</v>
      </c>
      <c r="V1269" s="17" t="str">
        <f>_xlfn.XLOOKUP(Table2[[#This Row],[Adjusted Form '#]],[2]COMPLETED!$D:$D,[2]COMPLETED!$O:$O,"Not Found")</f>
        <v>Not Found</v>
      </c>
      <c r="W1269" s="2" t="str">
        <f>_xlfn.XLOOKUP(Table2[[#This Row],[Adjusted Form '#]],[2]BILLED!$D:$D,[2]BILLED!$M:$M,"Not Found")</f>
        <v>9402 1112 0620 9492 6220 00</v>
      </c>
      <c r="X1269" s="17" t="e">
        <f>_xlfn.XLOOKUP(Table2[[#This Row],[Adjusted Form '#]],[2]BILLED!$D:$D,[1]BILLED!$O:$O,"Not Found")</f>
        <v>#REF!</v>
      </c>
      <c r="Y1269" s="17" t="e">
        <f>_xlfn.XLOOKUP(Table2[[#This Row],[Adjusted Form '#]],'[2]REJECTED ORDERS'!$D:$D,'[2]REJECTED ORDERS'!$E:$E)</f>
        <v>#N/A</v>
      </c>
      <c r="Z1269" s="1"/>
      <c r="AA1269" s="1"/>
    </row>
    <row r="1270" spans="1:27" ht="15" customHeight="1" x14ac:dyDescent="0.35">
      <c r="A1270" s="4" t="s">
        <v>1902</v>
      </c>
      <c r="B1270" s="1" t="s">
        <v>3603</v>
      </c>
      <c r="C1270" s="11">
        <v>45100</v>
      </c>
      <c r="D1270" s="11" t="s">
        <v>6130</v>
      </c>
      <c r="E1270" s="1" t="s">
        <v>21</v>
      </c>
      <c r="F1270" s="1" t="s">
        <v>6128</v>
      </c>
      <c r="G1270" s="6">
        <f>COUNTIF(F:F,Table2[[#This Row],[Form '#]])</f>
        <v>1</v>
      </c>
      <c r="H1270" s="1" t="s">
        <v>6129</v>
      </c>
      <c r="I1270" s="1" t="s">
        <v>3852</v>
      </c>
      <c r="J1270" s="1" t="s">
        <v>80</v>
      </c>
      <c r="K1270" s="1" t="s">
        <v>3853</v>
      </c>
      <c r="L1270" s="1"/>
      <c r="M1270" s="6" t="str">
        <f>IF(Table2[[#This Row],[Corrected Form '#
 (If Duplicated)]]="",Table2[[#This Row],[Form '#]],Table2[[#This Row],[Corrected Form '#
 (If Duplicated)]])</f>
        <v>7818-14055</v>
      </c>
      <c r="N1270" s="1" t="s">
        <v>49</v>
      </c>
      <c r="O1270" s="6" t="str">
        <f>IF(Table2[[#This Row],[POG CONFIRMATION RECEIPT OF ORDER
(DATE &amp; TIME)]]="","No Confirmation","Received Confirmation")</f>
        <v>Received Confirmation</v>
      </c>
      <c r="P1270" s="6">
        <f ca="1">TODAY()-Table2[[#This Row],[DATE SENT TO POG]]</f>
        <v>203</v>
      </c>
      <c r="Q1270" s="6" t="s">
        <v>5803</v>
      </c>
      <c r="R12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0" s="2" t="str">
        <f>_xlfn.XLOOKUP(Table2[[#This Row],[Adjusted Form '#]],'[2]IN PROGRESS'!$D:$D,'[2]IN PROGRESS'!$M:$M,"Not Found")</f>
        <v>Not Found</v>
      </c>
      <c r="U1270" s="2" t="str">
        <f>_xlfn.XLOOKUP(Table2[[#This Row],[Adjusted Form '#]],[1]COMPLETED!$D:$D,[2]COMPLETED!$M:$M,"Not Found")</f>
        <v>Not Found</v>
      </c>
      <c r="V1270" s="17" t="str">
        <f>_xlfn.XLOOKUP(Table2[[#This Row],[Adjusted Form '#]],[2]COMPLETED!$D:$D,[2]COMPLETED!$O:$O,"Not Found")</f>
        <v>Not Found</v>
      </c>
      <c r="W1270" s="2" t="str">
        <f>_xlfn.XLOOKUP(Table2[[#This Row],[Adjusted Form '#]],[2]BILLED!$D:$D,[2]BILLED!$M:$M,"Not Found")</f>
        <v>9400 1361 0605 3072 3708 38</v>
      </c>
      <c r="X1270" s="17" t="e">
        <f>_xlfn.XLOOKUP(Table2[[#This Row],[Adjusted Form '#]],[2]BILLED!$D:$D,[1]BILLED!$O:$O,"Not Found")</f>
        <v>#REF!</v>
      </c>
      <c r="Y1270" s="17" t="e">
        <f>_xlfn.XLOOKUP(Table2[[#This Row],[Adjusted Form '#]],'[2]REJECTED ORDERS'!$D:$D,'[2]REJECTED ORDERS'!$E:$E)</f>
        <v>#N/A</v>
      </c>
      <c r="Z1270" s="1"/>
      <c r="AA1270" s="1"/>
    </row>
    <row r="1271" spans="1:27" ht="15" customHeight="1" x14ac:dyDescent="0.35">
      <c r="A1271" s="4" t="s">
        <v>1904</v>
      </c>
      <c r="B1271" s="1" t="s">
        <v>650</v>
      </c>
      <c r="C1271" s="11">
        <v>45100</v>
      </c>
      <c r="E1271" s="1" t="s">
        <v>21</v>
      </c>
      <c r="F1271" s="1" t="s">
        <v>6131</v>
      </c>
      <c r="G1271" s="6">
        <f>COUNTIF(F:F,Table2[[#This Row],[Form '#]])</f>
        <v>1</v>
      </c>
      <c r="H1271" s="1" t="s">
        <v>1126</v>
      </c>
      <c r="I1271" s="1" t="s">
        <v>3852</v>
      </c>
      <c r="J1271" s="1" t="s">
        <v>3891</v>
      </c>
      <c r="K1271" s="1" t="s">
        <v>4011</v>
      </c>
      <c r="L1271" s="1"/>
      <c r="M1271" s="6" t="str">
        <f>IF(Table2[[#This Row],[Corrected Form '#
 (If Duplicated)]]="",Table2[[#This Row],[Form '#]],Table2[[#This Row],[Corrected Form '#
 (If Duplicated)]])</f>
        <v>7818-28137</v>
      </c>
      <c r="N1271" s="1" t="s">
        <v>49</v>
      </c>
      <c r="O1271" s="6" t="str">
        <f>IF(Table2[[#This Row],[POG CONFIRMATION RECEIPT OF ORDER
(DATE &amp; TIME)]]="","No Confirmation","Received Confirmation")</f>
        <v>No Confirmation</v>
      </c>
      <c r="P1271" s="6">
        <f ca="1">TODAY()-Table2[[#This Row],[DATE SENT TO POG]]</f>
        <v>203</v>
      </c>
      <c r="Q1271" s="6" t="s">
        <v>5803</v>
      </c>
      <c r="R12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1" s="2" t="str">
        <f>_xlfn.XLOOKUP(Table2[[#This Row],[Adjusted Form '#]],'[2]IN PROGRESS'!$D:$D,'[2]IN PROGRESS'!$M:$M,"Not Found")</f>
        <v>Not Found</v>
      </c>
      <c r="U1271" s="2" t="str">
        <f>_xlfn.XLOOKUP(Table2[[#This Row],[Adjusted Form '#]],[1]COMPLETED!$D:$D,[2]COMPLETED!$M:$M,"Not Found")</f>
        <v>Not Found</v>
      </c>
      <c r="V1271" s="17" t="str">
        <f>_xlfn.XLOOKUP(Table2[[#This Row],[Adjusted Form '#]],[2]COMPLETED!$D:$D,[2]COMPLETED!$O:$O,"Not Found")</f>
        <v>Not Found</v>
      </c>
      <c r="W1271" s="2" t="str">
        <f>_xlfn.XLOOKUP(Table2[[#This Row],[Adjusted Form '#]],[2]BILLED!$D:$D,[2]BILLED!$M:$M,"Not Found")</f>
        <v>1Z5063E0YW41229682</v>
      </c>
      <c r="X1271" s="17" t="e">
        <f>_xlfn.XLOOKUP(Table2[[#This Row],[Adjusted Form '#]],[2]BILLED!$D:$D,[1]BILLED!$O:$O,"Not Found")</f>
        <v>#REF!</v>
      </c>
      <c r="Y1271" s="17" t="e">
        <f>_xlfn.XLOOKUP(Table2[[#This Row],[Adjusted Form '#]],'[2]REJECTED ORDERS'!$D:$D,'[2]REJECTED ORDERS'!$E:$E)</f>
        <v>#N/A</v>
      </c>
      <c r="Z1271" s="1"/>
      <c r="AA1271" s="1"/>
    </row>
    <row r="1272" spans="1:27" ht="15" customHeight="1" x14ac:dyDescent="0.35">
      <c r="A1272" s="4" t="s">
        <v>1906</v>
      </c>
      <c r="B1272" s="1" t="s">
        <v>1341</v>
      </c>
      <c r="C1272" s="11">
        <v>45103</v>
      </c>
      <c r="E1272" s="1" t="s">
        <v>73</v>
      </c>
      <c r="F1272" s="1" t="s">
        <v>6133</v>
      </c>
      <c r="G1272" s="6">
        <f>COUNTIF(F:F,Table2[[#This Row],[Form '#]])</f>
        <v>1</v>
      </c>
      <c r="H1272" s="1" t="s">
        <v>3551</v>
      </c>
      <c r="I1272" s="1" t="s">
        <v>3852</v>
      </c>
      <c r="J1272" s="1" t="s">
        <v>80</v>
      </c>
      <c r="K1272" s="1" t="s">
        <v>3853</v>
      </c>
      <c r="L1272" s="1"/>
      <c r="M1272" s="6" t="str">
        <f>IF(Table2[[#This Row],[Corrected Form '#
 (If Duplicated)]]="",Table2[[#This Row],[Form '#]],Table2[[#This Row],[Corrected Form '#
 (If Duplicated)]])</f>
        <v>7823-02780</v>
      </c>
      <c r="N1272" s="1" t="s">
        <v>49</v>
      </c>
      <c r="O1272" s="6" t="str">
        <f>IF(Table2[[#This Row],[POG CONFIRMATION RECEIPT OF ORDER
(DATE &amp; TIME)]]="","No Confirmation","Received Confirmation")</f>
        <v>No Confirmation</v>
      </c>
      <c r="P1272" s="6">
        <f ca="1">TODAY()-Table2[[#This Row],[DATE SENT TO POG]]</f>
        <v>200</v>
      </c>
      <c r="Q1272" s="6" t="s">
        <v>5803</v>
      </c>
      <c r="R12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2" s="2" t="str">
        <f>_xlfn.XLOOKUP(Table2[[#This Row],[Adjusted Form '#]],'[2]IN PROGRESS'!$D:$D,'[2]IN PROGRESS'!$M:$M,"Not Found")</f>
        <v>Not Found</v>
      </c>
      <c r="U1272" s="2" t="str">
        <f>_xlfn.XLOOKUP(Table2[[#This Row],[Adjusted Form '#]],[1]COMPLETED!$D:$D,[2]COMPLETED!$M:$M,"Not Found")</f>
        <v>Not Found</v>
      </c>
      <c r="V1272" s="17" t="str">
        <f>_xlfn.XLOOKUP(Table2[[#This Row],[Adjusted Form '#]],[2]COMPLETED!$D:$D,[2]COMPLETED!$O:$O,"Not Found")</f>
        <v>Not Found</v>
      </c>
      <c r="W1272" s="2" t="str">
        <f>_xlfn.XLOOKUP(Table2[[#This Row],[Adjusted Form '#]],[2]BILLED!$D:$D,[2]BILLED!$M:$M,"Not Found")</f>
        <v>1Z5063E0YW42259871</v>
      </c>
      <c r="X1272" s="17" t="e">
        <f>_xlfn.XLOOKUP(Table2[[#This Row],[Adjusted Form '#]],[2]BILLED!$D:$D,[1]BILLED!$O:$O,"Not Found")</f>
        <v>#REF!</v>
      </c>
      <c r="Y1272" s="17" t="e">
        <f>_xlfn.XLOOKUP(Table2[[#This Row],[Adjusted Form '#]],'[2]REJECTED ORDERS'!$D:$D,'[2]REJECTED ORDERS'!$E:$E)</f>
        <v>#N/A</v>
      </c>
      <c r="Z1272" s="1"/>
      <c r="AA1272" s="1"/>
    </row>
    <row r="1273" spans="1:27" ht="15" customHeight="1" x14ac:dyDescent="0.35">
      <c r="A1273" s="4" t="s">
        <v>1908</v>
      </c>
      <c r="B1273" s="1" t="s">
        <v>1341</v>
      </c>
      <c r="C1273" s="11">
        <v>45103</v>
      </c>
      <c r="D1273" s="11" t="s">
        <v>6136</v>
      </c>
      <c r="E1273" s="1" t="s">
        <v>73</v>
      </c>
      <c r="F1273" s="1" t="s">
        <v>6135</v>
      </c>
      <c r="G1273" s="6">
        <f>COUNTIF(F:F,Table2[[#This Row],[Form '#]])</f>
        <v>1</v>
      </c>
      <c r="H1273" s="1" t="s">
        <v>6134</v>
      </c>
      <c r="I1273" s="1" t="s">
        <v>758</v>
      </c>
      <c r="J1273" s="1" t="s">
        <v>78</v>
      </c>
      <c r="K1273" s="1" t="s">
        <v>3853</v>
      </c>
      <c r="L1273" s="1"/>
      <c r="M1273" s="6" t="str">
        <f>IF(Table2[[#This Row],[Corrected Form '#
 (If Duplicated)]]="",Table2[[#This Row],[Form '#]],Table2[[#This Row],[Corrected Form '#
 (If Duplicated)]])</f>
        <v>7823-02813</v>
      </c>
      <c r="N1273" s="1" t="s">
        <v>49</v>
      </c>
      <c r="O1273" s="6" t="str">
        <f>IF(Table2[[#This Row],[POG CONFIRMATION RECEIPT OF ORDER
(DATE &amp; TIME)]]="","No Confirmation","Received Confirmation")</f>
        <v>Received Confirmation</v>
      </c>
      <c r="P1273" s="6">
        <f ca="1">TODAY()-Table2[[#This Row],[DATE SENT TO POG]]</f>
        <v>200</v>
      </c>
      <c r="Q1273" s="6" t="s">
        <v>5803</v>
      </c>
      <c r="R12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3" s="2" t="str">
        <f>_xlfn.XLOOKUP(Table2[[#This Row],[Adjusted Form '#]],'[2]IN PROGRESS'!$D:$D,'[2]IN PROGRESS'!$M:$M,"Not Found")</f>
        <v>Not Found</v>
      </c>
      <c r="U1273" s="2" t="str">
        <f>_xlfn.XLOOKUP(Table2[[#This Row],[Adjusted Form '#]],[1]COMPLETED!$D:$D,[2]COMPLETED!$M:$M,"Not Found")</f>
        <v>Not Found</v>
      </c>
      <c r="V1273" s="17" t="str">
        <f>_xlfn.XLOOKUP(Table2[[#This Row],[Adjusted Form '#]],[2]COMPLETED!$D:$D,[2]COMPLETED!$O:$O,"Not Found")</f>
        <v>Not Found</v>
      </c>
      <c r="W1273" s="2" t="str">
        <f>_xlfn.XLOOKUP(Table2[[#This Row],[Adjusted Form '#]],[2]BILLED!$D:$D,[2]BILLED!$M:$M,"Not Found")</f>
        <v>1Z5063E0YW42165294</v>
      </c>
      <c r="X1273" s="17" t="e">
        <f>_xlfn.XLOOKUP(Table2[[#This Row],[Adjusted Form '#]],[2]BILLED!$D:$D,[1]BILLED!$O:$O,"Not Found")</f>
        <v>#REF!</v>
      </c>
      <c r="Y1273" s="17" t="e">
        <f>_xlfn.XLOOKUP(Table2[[#This Row],[Adjusted Form '#]],'[2]REJECTED ORDERS'!$D:$D,'[2]REJECTED ORDERS'!$E:$E)</f>
        <v>#N/A</v>
      </c>
      <c r="Z1273" s="1"/>
      <c r="AA1273" s="1"/>
    </row>
    <row r="1274" spans="1:27" ht="15" customHeight="1" x14ac:dyDescent="0.35">
      <c r="A1274" s="4" t="s">
        <v>1910</v>
      </c>
      <c r="B1274" s="1" t="s">
        <v>3617</v>
      </c>
      <c r="C1274" s="11">
        <v>45103</v>
      </c>
      <c r="D1274" s="11" t="s">
        <v>6138</v>
      </c>
      <c r="E1274" s="1" t="s">
        <v>14</v>
      </c>
      <c r="F1274" s="1" t="s">
        <v>6137</v>
      </c>
      <c r="G1274" s="6">
        <f>COUNTIF(F:F,Table2[[#This Row],[Form '#]])</f>
        <v>1</v>
      </c>
      <c r="H1274" s="1" t="s">
        <v>703</v>
      </c>
      <c r="I1274" s="1" t="s">
        <v>177</v>
      </c>
      <c r="J1274" s="1" t="s">
        <v>75</v>
      </c>
      <c r="K1274" s="1" t="s">
        <v>3853</v>
      </c>
      <c r="L1274" s="1"/>
      <c r="M1274" s="6" t="str">
        <f>IF(Table2[[#This Row],[Corrected Form '#
 (If Duplicated)]]="",Table2[[#This Row],[Form '#]],Table2[[#This Row],[Corrected Form '#
 (If Duplicated)]])</f>
        <v>7810-01904</v>
      </c>
      <c r="N1274" s="1" t="s">
        <v>49</v>
      </c>
      <c r="O1274" s="6" t="str">
        <f>IF(Table2[[#This Row],[POG CONFIRMATION RECEIPT OF ORDER
(DATE &amp; TIME)]]="","No Confirmation","Received Confirmation")</f>
        <v>Received Confirmation</v>
      </c>
      <c r="P1274" s="6">
        <f ca="1">TODAY()-Table2[[#This Row],[DATE SENT TO POG]]</f>
        <v>200</v>
      </c>
      <c r="Q1274" s="6" t="s">
        <v>5803</v>
      </c>
      <c r="R12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4" s="2" t="str">
        <f>_xlfn.XLOOKUP(Table2[[#This Row],[Adjusted Form '#]],'[2]IN PROGRESS'!$D:$D,'[2]IN PROGRESS'!$M:$M,"Not Found")</f>
        <v>Not Found</v>
      </c>
      <c r="U1274" s="2" t="str">
        <f>_xlfn.XLOOKUP(Table2[[#This Row],[Adjusted Form '#]],[1]COMPLETED!$D:$D,[2]COMPLETED!$M:$M,"Not Found")</f>
        <v>Not Found</v>
      </c>
      <c r="V1274" s="17" t="str">
        <f>_xlfn.XLOOKUP(Table2[[#This Row],[Adjusted Form '#]],[2]COMPLETED!$D:$D,[2]COMPLETED!$O:$O,"Not Found")</f>
        <v>Not Found</v>
      </c>
      <c r="W1274" s="2" t="str">
        <f>_xlfn.XLOOKUP(Table2[[#This Row],[Adjusted Form '#]],[2]BILLED!$D:$D,[2]BILLED!$M:$M,"Not Found")</f>
        <v>9400 1361 0605 3383 3612 04</v>
      </c>
      <c r="X1274" s="17" t="e">
        <f>_xlfn.XLOOKUP(Table2[[#This Row],[Adjusted Form '#]],[2]BILLED!$D:$D,[1]BILLED!$O:$O,"Not Found")</f>
        <v>#REF!</v>
      </c>
      <c r="Y1274" s="17" t="e">
        <f>_xlfn.XLOOKUP(Table2[[#This Row],[Adjusted Form '#]],'[2]REJECTED ORDERS'!$D:$D,'[2]REJECTED ORDERS'!$E:$E)</f>
        <v>#N/A</v>
      </c>
      <c r="Z1274" s="1"/>
      <c r="AA1274" s="1"/>
    </row>
    <row r="1275" spans="1:27" ht="15" customHeight="1" x14ac:dyDescent="0.35">
      <c r="A1275" s="4" t="s">
        <v>1912</v>
      </c>
      <c r="B1275" s="1" t="s">
        <v>673</v>
      </c>
      <c r="C1275" s="11">
        <v>45103</v>
      </c>
      <c r="D1275" s="11" t="s">
        <v>6142</v>
      </c>
      <c r="E1275" s="1" t="s">
        <v>21</v>
      </c>
      <c r="F1275" s="1" t="s">
        <v>6139</v>
      </c>
      <c r="G1275" s="6">
        <f>COUNTIF(F:F,Table2[[#This Row],[Form '#]])</f>
        <v>1</v>
      </c>
      <c r="H1275" s="1" t="s">
        <v>6140</v>
      </c>
      <c r="I1275" s="1" t="s">
        <v>127</v>
      </c>
      <c r="J1275" s="1" t="s">
        <v>71</v>
      </c>
      <c r="K1275" s="1" t="s">
        <v>3883</v>
      </c>
      <c r="L1275" s="1"/>
      <c r="M1275" s="6" t="str">
        <f>IF(Table2[[#This Row],[Corrected Form '#
 (If Duplicated)]]="",Table2[[#This Row],[Form '#]],Table2[[#This Row],[Corrected Form '#
 (If Duplicated)]])</f>
        <v>7818-16795</v>
      </c>
      <c r="N1275" s="1" t="s">
        <v>49</v>
      </c>
      <c r="O1275" s="6" t="str">
        <f>IF(Table2[[#This Row],[POG CONFIRMATION RECEIPT OF ORDER
(DATE &amp; TIME)]]="","No Confirmation","Received Confirmation")</f>
        <v>Received Confirmation</v>
      </c>
      <c r="P1275" s="6">
        <f ca="1">TODAY()-Table2[[#This Row],[DATE SENT TO POG]]</f>
        <v>200</v>
      </c>
      <c r="Q1275" s="6" t="s">
        <v>5803</v>
      </c>
      <c r="R12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5" s="2" t="str">
        <f>_xlfn.XLOOKUP(Table2[[#This Row],[Adjusted Form '#]],'[2]IN PROGRESS'!$D:$D,'[2]IN PROGRESS'!$M:$M,"Not Found")</f>
        <v>Not Found</v>
      </c>
      <c r="U1275" s="2" t="str">
        <f>_xlfn.XLOOKUP(Table2[[#This Row],[Adjusted Form '#]],[1]COMPLETED!$D:$D,[2]COMPLETED!$M:$M,"Not Found")</f>
        <v>Not Found</v>
      </c>
      <c r="V1275" s="17" t="str">
        <f>_xlfn.XLOOKUP(Table2[[#This Row],[Adjusted Form '#]],[2]COMPLETED!$D:$D,[2]COMPLETED!$O:$O,"Not Found")</f>
        <v>Not Found</v>
      </c>
      <c r="W1275" s="2" t="str">
        <f>_xlfn.XLOOKUP(Table2[[#This Row],[Adjusted Form '#]],[2]BILLED!$D:$D,[2]BILLED!$M:$M,"Not Found")</f>
        <v>1Z5063E0YW42336064</v>
      </c>
      <c r="X1275" s="17" t="e">
        <f>_xlfn.XLOOKUP(Table2[[#This Row],[Adjusted Form '#]],[2]BILLED!$D:$D,[1]BILLED!$O:$O,"Not Found")</f>
        <v>#REF!</v>
      </c>
      <c r="Y1275" s="17" t="e">
        <f>_xlfn.XLOOKUP(Table2[[#This Row],[Adjusted Form '#]],'[2]REJECTED ORDERS'!$D:$D,'[2]REJECTED ORDERS'!$E:$E)</f>
        <v>#N/A</v>
      </c>
      <c r="Z1275" s="1"/>
      <c r="AA1275" s="1"/>
    </row>
    <row r="1276" spans="1:27" ht="15" customHeight="1" x14ac:dyDescent="0.35">
      <c r="A1276" s="4" t="s">
        <v>1914</v>
      </c>
      <c r="B1276" s="1" t="s">
        <v>673</v>
      </c>
      <c r="C1276" s="11">
        <v>45103</v>
      </c>
      <c r="D1276" s="11" t="s">
        <v>6142</v>
      </c>
      <c r="E1276" s="1" t="s">
        <v>21</v>
      </c>
      <c r="F1276" s="1" t="s">
        <v>6141</v>
      </c>
      <c r="G1276" s="6">
        <f>COUNTIF(F:F,Table2[[#This Row],[Form '#]])</f>
        <v>1</v>
      </c>
      <c r="H1276" s="1" t="s">
        <v>1356</v>
      </c>
      <c r="I1276" s="1" t="s">
        <v>758</v>
      </c>
      <c r="J1276" s="1" t="s">
        <v>78</v>
      </c>
      <c r="K1276" s="1" t="s">
        <v>3853</v>
      </c>
      <c r="L1276" s="1"/>
      <c r="M1276" s="6" t="str">
        <f>IF(Table2[[#This Row],[Corrected Form '#
 (If Duplicated)]]="",Table2[[#This Row],[Form '#]],Table2[[#This Row],[Corrected Form '#
 (If Duplicated)]])</f>
        <v>7818-27136</v>
      </c>
      <c r="N1276" s="1" t="s">
        <v>49</v>
      </c>
      <c r="O1276" s="6" t="str">
        <f>IF(Table2[[#This Row],[POG CONFIRMATION RECEIPT OF ORDER
(DATE &amp; TIME)]]="","No Confirmation","Received Confirmation")</f>
        <v>Received Confirmation</v>
      </c>
      <c r="P1276" s="6">
        <f ca="1">TODAY()-Table2[[#This Row],[DATE SENT TO POG]]</f>
        <v>200</v>
      </c>
      <c r="Q1276" s="6" t="s">
        <v>5802</v>
      </c>
      <c r="R12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27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276" s="2" t="str">
        <f>_xlfn.XLOOKUP(Table2[[#This Row],[Adjusted Form '#]],'[2]IN PROGRESS'!$D:$D,'[2]IN PROGRESS'!$M:$M,"Not Found")</f>
        <v>Not Found</v>
      </c>
      <c r="U1276" s="2" t="str">
        <f>_xlfn.XLOOKUP(Table2[[#This Row],[Adjusted Form '#]],[1]COMPLETED!$D:$D,[2]COMPLETED!$M:$M,"Not Found")</f>
        <v>Not Found</v>
      </c>
      <c r="V1276" s="17" t="str">
        <f>_xlfn.XLOOKUP(Table2[[#This Row],[Adjusted Form '#]],[2]COMPLETED!$D:$D,[2]COMPLETED!$O:$O,"Not Found")</f>
        <v>Not Found</v>
      </c>
      <c r="W1276" s="2" t="str">
        <f>_xlfn.XLOOKUP(Table2[[#This Row],[Adjusted Form '#]],[2]BILLED!$D:$D,[2]BILLED!$M:$M,"Not Found")</f>
        <v>Not Found</v>
      </c>
      <c r="X1276" s="17" t="str">
        <f>_xlfn.XLOOKUP(Table2[[#This Row],[Adjusted Form '#]],[2]BILLED!$D:$D,[1]BILLED!$O:$O,"Not Found")</f>
        <v>Not Found</v>
      </c>
      <c r="Y1276" s="17" t="e">
        <f>_xlfn.XLOOKUP(Table2[[#This Row],[Adjusted Form '#]],'[2]REJECTED ORDERS'!$D:$D,'[2]REJECTED ORDERS'!$E:$E)</f>
        <v>#N/A</v>
      </c>
      <c r="Z1276" s="1"/>
      <c r="AA1276" s="1"/>
    </row>
    <row r="1277" spans="1:27" ht="15" customHeight="1" x14ac:dyDescent="0.35">
      <c r="A1277" s="4" t="s">
        <v>1916</v>
      </c>
      <c r="B1277" s="1" t="s">
        <v>3470</v>
      </c>
      <c r="C1277" s="11">
        <v>45103</v>
      </c>
      <c r="D1277" s="11" t="s">
        <v>6171</v>
      </c>
      <c r="E1277" s="1" t="s">
        <v>21</v>
      </c>
      <c r="F1277" s="1" t="s">
        <v>6143</v>
      </c>
      <c r="G1277" s="6">
        <f>COUNTIF(F:F,Table2[[#This Row],[Form '#]])</f>
        <v>1</v>
      </c>
      <c r="H1277" s="1" t="s">
        <v>6144</v>
      </c>
      <c r="I1277" s="1" t="s">
        <v>127</v>
      </c>
      <c r="J1277" s="1" t="s">
        <v>76</v>
      </c>
      <c r="K1277" s="1" t="s">
        <v>3883</v>
      </c>
      <c r="L1277" s="1"/>
      <c r="M1277" s="6" t="str">
        <f>IF(Table2[[#This Row],[Corrected Form '#
 (If Duplicated)]]="",Table2[[#This Row],[Form '#]],Table2[[#This Row],[Corrected Form '#
 (If Duplicated)]])</f>
        <v>7818-21637</v>
      </c>
      <c r="N1277" s="1" t="s">
        <v>49</v>
      </c>
      <c r="O1277" s="6" t="str">
        <f>IF(Table2[[#This Row],[POG CONFIRMATION RECEIPT OF ORDER
(DATE &amp; TIME)]]="","No Confirmation","Received Confirmation")</f>
        <v>Received Confirmation</v>
      </c>
      <c r="P1277" s="6">
        <f ca="1">TODAY()-Table2[[#This Row],[DATE SENT TO POG]]</f>
        <v>200</v>
      </c>
      <c r="Q1277" s="6" t="s">
        <v>5803</v>
      </c>
      <c r="R12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7" s="2" t="str">
        <f>_xlfn.XLOOKUP(Table2[[#This Row],[Adjusted Form '#]],'[2]IN PROGRESS'!$D:$D,'[2]IN PROGRESS'!$M:$M,"Not Found")</f>
        <v>Not Found</v>
      </c>
      <c r="U1277" s="2" t="str">
        <f>_xlfn.XLOOKUP(Table2[[#This Row],[Adjusted Form '#]],[1]COMPLETED!$D:$D,[2]COMPLETED!$M:$M,"Not Found")</f>
        <v>Not Found</v>
      </c>
      <c r="V1277" s="17" t="str">
        <f>_xlfn.XLOOKUP(Table2[[#This Row],[Adjusted Form '#]],[2]COMPLETED!$D:$D,[2]COMPLETED!$O:$O,"Not Found")</f>
        <v>Not Found</v>
      </c>
      <c r="W1277" s="2" t="str">
        <f>_xlfn.XLOOKUP(Table2[[#This Row],[Adjusted Form '#]],[2]BILLED!$D:$D,[2]BILLED!$M:$M,"Not Found")</f>
        <v>1Z5063E0YW40198002</v>
      </c>
      <c r="X1277" s="17" t="e">
        <f>_xlfn.XLOOKUP(Table2[[#This Row],[Adjusted Form '#]],[2]BILLED!$D:$D,[1]BILLED!$O:$O,"Not Found")</f>
        <v>#REF!</v>
      </c>
      <c r="Y1277" s="17" t="e">
        <f>_xlfn.XLOOKUP(Table2[[#This Row],[Adjusted Form '#]],'[2]REJECTED ORDERS'!$D:$D,'[2]REJECTED ORDERS'!$E:$E)</f>
        <v>#N/A</v>
      </c>
      <c r="Z1277" s="1"/>
      <c r="AA1277" s="1"/>
    </row>
    <row r="1278" spans="1:27" ht="15" customHeight="1" x14ac:dyDescent="0.35">
      <c r="A1278" s="4" t="s">
        <v>1917</v>
      </c>
      <c r="B1278" s="1" t="s">
        <v>3470</v>
      </c>
      <c r="C1278" s="11">
        <v>45103</v>
      </c>
      <c r="D1278" s="11" t="s">
        <v>6171</v>
      </c>
      <c r="E1278" s="1" t="s">
        <v>21</v>
      </c>
      <c r="F1278" s="1" t="s">
        <v>6145</v>
      </c>
      <c r="G1278" s="6">
        <f>COUNTIF(F:F,Table2[[#This Row],[Form '#]])</f>
        <v>1</v>
      </c>
      <c r="H1278" s="1" t="s">
        <v>6146</v>
      </c>
      <c r="I1278" s="1" t="s">
        <v>3864</v>
      </c>
      <c r="J1278" s="1" t="s">
        <v>78</v>
      </c>
      <c r="K1278" s="1" t="s">
        <v>3879</v>
      </c>
      <c r="L1278" s="1"/>
      <c r="M1278" s="6" t="str">
        <f>IF(Table2[[#This Row],[Corrected Form '#
 (If Duplicated)]]="",Table2[[#This Row],[Form '#]],Table2[[#This Row],[Corrected Form '#
 (If Duplicated)]])</f>
        <v>7818-26552</v>
      </c>
      <c r="N1278" s="1" t="s">
        <v>49</v>
      </c>
      <c r="O1278" s="6" t="str">
        <f>IF(Table2[[#This Row],[POG CONFIRMATION RECEIPT OF ORDER
(DATE &amp; TIME)]]="","No Confirmation","Received Confirmation")</f>
        <v>Received Confirmation</v>
      </c>
      <c r="P1278" s="6">
        <f ca="1">TODAY()-Table2[[#This Row],[DATE SENT TO POG]]</f>
        <v>200</v>
      </c>
      <c r="Q1278" s="6" t="s">
        <v>5803</v>
      </c>
      <c r="R12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27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278" s="2" t="str">
        <f>_xlfn.XLOOKUP(Table2[[#This Row],[Adjusted Form '#]],'[2]IN PROGRESS'!$D:$D,'[2]IN PROGRESS'!$M:$M,"Not Found")</f>
        <v>Not Found</v>
      </c>
      <c r="U1278" s="2" t="str">
        <f>_xlfn.XLOOKUP(Table2[[#This Row],[Adjusted Form '#]],[1]COMPLETED!$D:$D,[2]COMPLETED!$M:$M,"Not Found")</f>
        <v>Not Found</v>
      </c>
      <c r="V1278" s="17">
        <f>_xlfn.XLOOKUP(Table2[[#This Row],[Adjusted Form '#]],[2]COMPLETED!$D:$D,[2]COMPLETED!$O:$O,"Not Found")</f>
        <v>0</v>
      </c>
      <c r="W1278" s="2" t="str">
        <f>_xlfn.XLOOKUP(Table2[[#This Row],[Adjusted Form '#]],[2]BILLED!$D:$D,[2]BILLED!$M:$M,"Not Found")</f>
        <v>Not Found</v>
      </c>
      <c r="X1278" s="17" t="str">
        <f>_xlfn.XLOOKUP(Table2[[#This Row],[Adjusted Form '#]],[2]BILLED!$D:$D,[1]BILLED!$O:$O,"Not Found")</f>
        <v>Not Found</v>
      </c>
      <c r="Y1278" s="17" t="e">
        <f>_xlfn.XLOOKUP(Table2[[#This Row],[Adjusted Form '#]],'[2]REJECTED ORDERS'!$D:$D,'[2]REJECTED ORDERS'!$E:$E)</f>
        <v>#N/A</v>
      </c>
      <c r="Z1278" s="1"/>
      <c r="AA1278" s="1"/>
    </row>
    <row r="1279" spans="1:27" ht="15" customHeight="1" x14ac:dyDescent="0.35">
      <c r="A1279" s="4" t="s">
        <v>1918</v>
      </c>
      <c r="B1279" s="1" t="s">
        <v>3470</v>
      </c>
      <c r="C1279" s="11">
        <v>45103</v>
      </c>
      <c r="D1279" s="11" t="s">
        <v>6171</v>
      </c>
      <c r="E1279" s="1" t="s">
        <v>21</v>
      </c>
      <c r="F1279" s="1" t="s">
        <v>6147</v>
      </c>
      <c r="G1279" s="6">
        <f>COUNTIF(F:F,Table2[[#This Row],[Form '#]])</f>
        <v>1</v>
      </c>
      <c r="H1279" s="1" t="s">
        <v>6148</v>
      </c>
      <c r="I1279" s="1" t="s">
        <v>3864</v>
      </c>
      <c r="J1279" s="1" t="s">
        <v>78</v>
      </c>
      <c r="K1279" s="1" t="s">
        <v>3879</v>
      </c>
      <c r="L1279" s="1"/>
      <c r="M1279" s="6" t="str">
        <f>IF(Table2[[#This Row],[Corrected Form '#
 (If Duplicated)]]="",Table2[[#This Row],[Form '#]],Table2[[#This Row],[Corrected Form '#
 (If Duplicated)]])</f>
        <v>7818-28031</v>
      </c>
      <c r="N1279" s="1" t="s">
        <v>49</v>
      </c>
      <c r="O1279" s="6" t="str">
        <f>IF(Table2[[#This Row],[POG CONFIRMATION RECEIPT OF ORDER
(DATE &amp; TIME)]]="","No Confirmation","Received Confirmation")</f>
        <v>Received Confirmation</v>
      </c>
      <c r="P1279" s="6">
        <f ca="1">TODAY()-Table2[[#This Row],[DATE SENT TO POG]]</f>
        <v>200</v>
      </c>
      <c r="Q1279" s="6" t="s">
        <v>5803</v>
      </c>
      <c r="R12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79" s="2" t="str">
        <f>_xlfn.XLOOKUP(Table2[[#This Row],[Adjusted Form '#]],'[2]IN PROGRESS'!$D:$D,'[2]IN PROGRESS'!$M:$M,"Not Found")</f>
        <v>Not Found</v>
      </c>
      <c r="U1279" s="2" t="str">
        <f>_xlfn.XLOOKUP(Table2[[#This Row],[Adjusted Form '#]],[1]COMPLETED!$D:$D,[2]COMPLETED!$M:$M,"Not Found")</f>
        <v>Not Found</v>
      </c>
      <c r="V1279" s="17" t="str">
        <f>_xlfn.XLOOKUP(Table2[[#This Row],[Adjusted Form '#]],[2]COMPLETED!$D:$D,[2]COMPLETED!$O:$O,"Not Found")</f>
        <v>Not Found</v>
      </c>
      <c r="W1279" s="2" t="str">
        <f>_xlfn.XLOOKUP(Table2[[#This Row],[Adjusted Form '#]],[2]BILLED!$D:$D,[2]BILLED!$M:$M,"Not Found")</f>
        <v>9400 1361 0605 3116 8515 76</v>
      </c>
      <c r="X1279" s="17" t="e">
        <f>_xlfn.XLOOKUP(Table2[[#This Row],[Adjusted Form '#]],[2]BILLED!$D:$D,[1]BILLED!$O:$O,"Not Found")</f>
        <v>#REF!</v>
      </c>
      <c r="Y1279" s="17" t="e">
        <f>_xlfn.XLOOKUP(Table2[[#This Row],[Adjusted Form '#]],'[2]REJECTED ORDERS'!$D:$D,'[2]REJECTED ORDERS'!$E:$E)</f>
        <v>#N/A</v>
      </c>
      <c r="Z1279" s="1"/>
      <c r="AA1279" s="1"/>
    </row>
    <row r="1280" spans="1:27" ht="15" customHeight="1" x14ac:dyDescent="0.35">
      <c r="A1280" s="4" t="s">
        <v>1919</v>
      </c>
      <c r="B1280" s="1" t="s">
        <v>3470</v>
      </c>
      <c r="C1280" s="11">
        <v>45103</v>
      </c>
      <c r="D1280" s="11" t="s">
        <v>6171</v>
      </c>
      <c r="E1280" s="1" t="s">
        <v>21</v>
      </c>
      <c r="F1280" s="1" t="s">
        <v>6149</v>
      </c>
      <c r="G1280" s="6">
        <f>COUNTIF(F:F,Table2[[#This Row],[Form '#]])</f>
        <v>1</v>
      </c>
      <c r="H1280" s="1" t="s">
        <v>2062</v>
      </c>
      <c r="I1280" s="1" t="s">
        <v>127</v>
      </c>
      <c r="J1280" s="1" t="s">
        <v>76</v>
      </c>
      <c r="K1280" s="1" t="s">
        <v>4011</v>
      </c>
      <c r="L1280" s="1"/>
      <c r="M1280" s="6" t="str">
        <f>IF(Table2[[#This Row],[Corrected Form '#
 (If Duplicated)]]="",Table2[[#This Row],[Form '#]],Table2[[#This Row],[Corrected Form '#
 (If Duplicated)]])</f>
        <v>7818-831145</v>
      </c>
      <c r="N1280" s="1" t="s">
        <v>49</v>
      </c>
      <c r="O1280" s="6" t="str">
        <f>IF(Table2[[#This Row],[POG CONFIRMATION RECEIPT OF ORDER
(DATE &amp; TIME)]]="","No Confirmation","Received Confirmation")</f>
        <v>Received Confirmation</v>
      </c>
      <c r="P1280" s="6">
        <f ca="1">TODAY()-Table2[[#This Row],[DATE SENT TO POG]]</f>
        <v>200</v>
      </c>
      <c r="Q1280" s="6" t="s">
        <v>5802</v>
      </c>
      <c r="R12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28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280" s="2" t="str">
        <f>_xlfn.XLOOKUP(Table2[[#This Row],[Adjusted Form '#]],'[2]IN PROGRESS'!$D:$D,'[2]IN PROGRESS'!$M:$M,"Not Found")</f>
        <v>Not Found</v>
      </c>
      <c r="U1280" s="2" t="str">
        <f>_xlfn.XLOOKUP(Table2[[#This Row],[Adjusted Form '#]],[1]COMPLETED!$D:$D,[2]COMPLETED!$M:$M,"Not Found")</f>
        <v>Not Found</v>
      </c>
      <c r="V1280" s="17" t="str">
        <f>_xlfn.XLOOKUP(Table2[[#This Row],[Adjusted Form '#]],[2]COMPLETED!$D:$D,[2]COMPLETED!$O:$O,"Not Found")</f>
        <v>Not Found</v>
      </c>
      <c r="W1280" s="2" t="str">
        <f>_xlfn.XLOOKUP(Table2[[#This Row],[Adjusted Form '#]],[2]BILLED!$D:$D,[2]BILLED!$M:$M,"Not Found")</f>
        <v>Not Found</v>
      </c>
      <c r="X1280" s="17" t="str">
        <f>_xlfn.XLOOKUP(Table2[[#This Row],[Adjusted Form '#]],[2]BILLED!$D:$D,[1]BILLED!$O:$O,"Not Found")</f>
        <v>Not Found</v>
      </c>
      <c r="Y1280" s="17" t="e">
        <f>_xlfn.XLOOKUP(Table2[[#This Row],[Adjusted Form '#]],'[2]REJECTED ORDERS'!$D:$D,'[2]REJECTED ORDERS'!$E:$E)</f>
        <v>#N/A</v>
      </c>
      <c r="Z1280" s="1"/>
      <c r="AA1280" s="1"/>
    </row>
    <row r="1281" spans="1:27" ht="15" customHeight="1" x14ac:dyDescent="0.35">
      <c r="A1281" s="4" t="s">
        <v>1921</v>
      </c>
      <c r="B1281" s="1" t="s">
        <v>3470</v>
      </c>
      <c r="C1281" s="11">
        <v>45103</v>
      </c>
      <c r="D1281" s="11" t="s">
        <v>6171</v>
      </c>
      <c r="E1281" s="1" t="s">
        <v>21</v>
      </c>
      <c r="F1281" s="1" t="s">
        <v>6150</v>
      </c>
      <c r="G1281" s="6">
        <f>COUNTIF(F:F,Table2[[#This Row],[Form '#]])</f>
        <v>1</v>
      </c>
      <c r="H1281" s="1" t="s">
        <v>6151</v>
      </c>
      <c r="I1281" s="1" t="s">
        <v>3852</v>
      </c>
      <c r="J1281" s="1" t="s">
        <v>80</v>
      </c>
      <c r="K1281" s="1" t="s">
        <v>3853</v>
      </c>
      <c r="L1281" s="1"/>
      <c r="M1281" s="6" t="str">
        <f>IF(Table2[[#This Row],[Corrected Form '#
 (If Duplicated)]]="",Table2[[#This Row],[Form '#]],Table2[[#This Row],[Corrected Form '#
 (If Duplicated)]])</f>
        <v>7818-22338</v>
      </c>
      <c r="N1281" s="1" t="s">
        <v>49</v>
      </c>
      <c r="O1281" s="6" t="str">
        <f>IF(Table2[[#This Row],[POG CONFIRMATION RECEIPT OF ORDER
(DATE &amp; TIME)]]="","No Confirmation","Received Confirmation")</f>
        <v>Received Confirmation</v>
      </c>
      <c r="P1281" s="6">
        <f ca="1">TODAY()-Table2[[#This Row],[DATE SENT TO POG]]</f>
        <v>200</v>
      </c>
      <c r="Q1281" s="6" t="s">
        <v>5803</v>
      </c>
      <c r="R12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1" s="2" t="str">
        <f>_xlfn.XLOOKUP(Table2[[#This Row],[Adjusted Form '#]],'[2]IN PROGRESS'!$D:$D,'[2]IN PROGRESS'!$M:$M,"Not Found")</f>
        <v>Not Found</v>
      </c>
      <c r="U1281" s="2" t="str">
        <f>_xlfn.XLOOKUP(Table2[[#This Row],[Adjusted Form '#]],[1]COMPLETED!$D:$D,[2]COMPLETED!$M:$M,"Not Found")</f>
        <v>Not Found</v>
      </c>
      <c r="V1281" s="17" t="str">
        <f>_xlfn.XLOOKUP(Table2[[#This Row],[Adjusted Form '#]],[2]COMPLETED!$D:$D,[2]COMPLETED!$O:$O,"Not Found")</f>
        <v>Not Found</v>
      </c>
      <c r="W1281" s="2" t="str">
        <f>_xlfn.XLOOKUP(Table2[[#This Row],[Adjusted Form '#]],[2]BILLED!$D:$D,[2]BILLED!$M:$M,"Not Found")</f>
        <v>9400 1361 0605 3072 4131 39</v>
      </c>
      <c r="X1281" s="17" t="e">
        <f>_xlfn.XLOOKUP(Table2[[#This Row],[Adjusted Form '#]],[2]BILLED!$D:$D,[1]BILLED!$O:$O,"Not Found")</f>
        <v>#REF!</v>
      </c>
      <c r="Y1281" s="17" t="e">
        <f>_xlfn.XLOOKUP(Table2[[#This Row],[Adjusted Form '#]],'[2]REJECTED ORDERS'!$D:$D,'[2]REJECTED ORDERS'!$E:$E)</f>
        <v>#N/A</v>
      </c>
      <c r="Z1281" s="1"/>
      <c r="AA1281" s="1"/>
    </row>
    <row r="1282" spans="1:27" ht="15" customHeight="1" x14ac:dyDescent="0.35">
      <c r="A1282" s="4" t="s">
        <v>8226</v>
      </c>
      <c r="B1282" s="1" t="s">
        <v>3470</v>
      </c>
      <c r="C1282" s="11">
        <v>45103</v>
      </c>
      <c r="D1282" s="11" t="s">
        <v>6171</v>
      </c>
      <c r="E1282" s="1" t="s">
        <v>21</v>
      </c>
      <c r="F1282" s="1" t="s">
        <v>6152</v>
      </c>
      <c r="G1282" s="6">
        <f>COUNTIF(F:F,Table2[[#This Row],[Form '#]])</f>
        <v>1</v>
      </c>
      <c r="H1282" s="1" t="s">
        <v>6153</v>
      </c>
      <c r="I1282" s="1" t="s">
        <v>127</v>
      </c>
      <c r="J1282" s="1" t="s">
        <v>71</v>
      </c>
      <c r="K1282" s="1" t="s">
        <v>3883</v>
      </c>
      <c r="L1282" s="1"/>
      <c r="M1282" s="6" t="str">
        <f>IF(Table2[[#This Row],[Corrected Form '#
 (If Duplicated)]]="",Table2[[#This Row],[Form '#]],Table2[[#This Row],[Corrected Form '#
 (If Duplicated)]])</f>
        <v>7818-26863</v>
      </c>
      <c r="N1282" s="1" t="s">
        <v>49</v>
      </c>
      <c r="O1282" s="6" t="str">
        <f>IF(Table2[[#This Row],[POG CONFIRMATION RECEIPT OF ORDER
(DATE &amp; TIME)]]="","No Confirmation","Received Confirmation")</f>
        <v>Received Confirmation</v>
      </c>
      <c r="P1282" s="6">
        <f ca="1">TODAY()-Table2[[#This Row],[DATE SENT TO POG]]</f>
        <v>200</v>
      </c>
      <c r="Q1282" s="6" t="s">
        <v>5803</v>
      </c>
      <c r="R12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2" s="2" t="str">
        <f>_xlfn.XLOOKUP(Table2[[#This Row],[Adjusted Form '#]],'[2]IN PROGRESS'!$D:$D,'[2]IN PROGRESS'!$M:$M,"Not Found")</f>
        <v>Not Found</v>
      </c>
      <c r="U1282" s="2" t="str">
        <f>_xlfn.XLOOKUP(Table2[[#This Row],[Adjusted Form '#]],[1]COMPLETED!$D:$D,[2]COMPLETED!$M:$M,"Not Found")</f>
        <v>Not Found</v>
      </c>
      <c r="V1282" s="17" t="str">
        <f>_xlfn.XLOOKUP(Table2[[#This Row],[Adjusted Form '#]],[2]COMPLETED!$D:$D,[2]COMPLETED!$O:$O,"Not Found")</f>
        <v>Not Found</v>
      </c>
      <c r="W1282" s="2" t="str">
        <f>_xlfn.XLOOKUP(Table2[[#This Row],[Adjusted Form '#]],[2]BILLED!$D:$D,[2]BILLED!$M:$M,"Not Found")</f>
        <v>1Z5063E0YW42348051</v>
      </c>
      <c r="X1282" s="17" t="e">
        <f>_xlfn.XLOOKUP(Table2[[#This Row],[Adjusted Form '#]],[2]BILLED!$D:$D,[1]BILLED!$O:$O,"Not Found")</f>
        <v>#REF!</v>
      </c>
      <c r="Y1282" s="17" t="e">
        <f>_xlfn.XLOOKUP(Table2[[#This Row],[Adjusted Form '#]],'[2]REJECTED ORDERS'!$D:$D,'[2]REJECTED ORDERS'!$E:$E)</f>
        <v>#N/A</v>
      </c>
      <c r="Z1282" s="1"/>
      <c r="AA1282" s="1"/>
    </row>
    <row r="1283" spans="1:27" ht="15" customHeight="1" x14ac:dyDescent="0.35">
      <c r="A1283" s="4" t="s">
        <v>8227</v>
      </c>
      <c r="B1283" s="1" t="s">
        <v>3470</v>
      </c>
      <c r="C1283" s="11">
        <v>45103</v>
      </c>
      <c r="D1283" s="11" t="s">
        <v>6171</v>
      </c>
      <c r="E1283" s="1" t="s">
        <v>21</v>
      </c>
      <c r="F1283" s="1" t="s">
        <v>6154</v>
      </c>
      <c r="G1283" s="6">
        <f>COUNTIF(F:F,Table2[[#This Row],[Form '#]])</f>
        <v>1</v>
      </c>
      <c r="H1283" s="1" t="s">
        <v>6155</v>
      </c>
      <c r="I1283" s="1" t="s">
        <v>3864</v>
      </c>
      <c r="J1283" s="1" t="s">
        <v>78</v>
      </c>
      <c r="K1283" s="1" t="s">
        <v>3879</v>
      </c>
      <c r="L1283" s="1"/>
      <c r="M1283" s="6" t="str">
        <f>IF(Table2[[#This Row],[Corrected Form '#
 (If Duplicated)]]="",Table2[[#This Row],[Form '#]],Table2[[#This Row],[Corrected Form '#
 (If Duplicated)]])</f>
        <v>7818-24949</v>
      </c>
      <c r="N1283" s="1" t="s">
        <v>49</v>
      </c>
      <c r="O1283" s="6" t="str">
        <f>IF(Table2[[#This Row],[POG CONFIRMATION RECEIPT OF ORDER
(DATE &amp; TIME)]]="","No Confirmation","Received Confirmation")</f>
        <v>Received Confirmation</v>
      </c>
      <c r="P1283" s="6">
        <f ca="1">TODAY()-Table2[[#This Row],[DATE SENT TO POG]]</f>
        <v>200</v>
      </c>
      <c r="Q1283" s="6" t="s">
        <v>5803</v>
      </c>
      <c r="R12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3" s="2" t="str">
        <f>_xlfn.XLOOKUP(Table2[[#This Row],[Adjusted Form '#]],'[2]IN PROGRESS'!$D:$D,'[2]IN PROGRESS'!$M:$M,"Not Found")</f>
        <v>Not Found</v>
      </c>
      <c r="U1283" s="2" t="str">
        <f>_xlfn.XLOOKUP(Table2[[#This Row],[Adjusted Form '#]],[1]COMPLETED!$D:$D,[2]COMPLETED!$M:$M,"Not Found")</f>
        <v>Not Found</v>
      </c>
      <c r="V1283" s="17" t="str">
        <f>_xlfn.XLOOKUP(Table2[[#This Row],[Adjusted Form '#]],[2]COMPLETED!$D:$D,[2]COMPLETED!$O:$O,"Not Found")</f>
        <v>Not Found</v>
      </c>
      <c r="W1283" s="2" t="str">
        <f>_xlfn.XLOOKUP(Table2[[#This Row],[Adjusted Form '#]],[2]BILLED!$D:$D,[2]BILLED!$M:$M,"Not Found")</f>
        <v>1Z5063E0YW40319658</v>
      </c>
      <c r="X1283" s="17" t="e">
        <f>_xlfn.XLOOKUP(Table2[[#This Row],[Adjusted Form '#]],[2]BILLED!$D:$D,[1]BILLED!$O:$O,"Not Found")</f>
        <v>#REF!</v>
      </c>
      <c r="Y1283" s="17" t="e">
        <f>_xlfn.XLOOKUP(Table2[[#This Row],[Adjusted Form '#]],'[2]REJECTED ORDERS'!$D:$D,'[2]REJECTED ORDERS'!$E:$E)</f>
        <v>#N/A</v>
      </c>
      <c r="Z1283" s="1"/>
      <c r="AA1283" s="1"/>
    </row>
    <row r="1284" spans="1:27" ht="15" customHeight="1" x14ac:dyDescent="0.35">
      <c r="A1284" s="4" t="s">
        <v>8228</v>
      </c>
      <c r="B1284" s="1" t="s">
        <v>3470</v>
      </c>
      <c r="C1284" s="11">
        <v>45103</v>
      </c>
      <c r="D1284" s="11" t="s">
        <v>6171</v>
      </c>
      <c r="E1284" s="1" t="s">
        <v>21</v>
      </c>
      <c r="F1284" s="1" t="s">
        <v>6156</v>
      </c>
      <c r="G1284" s="6">
        <f>COUNTIF(F:F,Table2[[#This Row],[Form '#]])</f>
        <v>1</v>
      </c>
      <c r="H1284" s="1" t="s">
        <v>3459</v>
      </c>
      <c r="I1284" s="1" t="s">
        <v>177</v>
      </c>
      <c r="J1284" s="1" t="s">
        <v>75</v>
      </c>
      <c r="K1284" s="1" t="s">
        <v>4011</v>
      </c>
      <c r="L1284" s="1"/>
      <c r="M1284" s="6" t="str">
        <f>IF(Table2[[#This Row],[Corrected Form '#
 (If Duplicated)]]="",Table2[[#This Row],[Form '#]],Table2[[#This Row],[Corrected Form '#
 (If Duplicated)]])</f>
        <v>7818-20406</v>
      </c>
      <c r="N1284" s="1" t="s">
        <v>49</v>
      </c>
      <c r="O1284" s="6" t="str">
        <f>IF(Table2[[#This Row],[POG CONFIRMATION RECEIPT OF ORDER
(DATE &amp; TIME)]]="","No Confirmation","Received Confirmation")</f>
        <v>Received Confirmation</v>
      </c>
      <c r="P1284" s="6">
        <f ca="1">TODAY()-Table2[[#This Row],[DATE SENT TO POG]]</f>
        <v>200</v>
      </c>
      <c r="Q1284" s="6" t="s">
        <v>5803</v>
      </c>
      <c r="R12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4" s="2" t="str">
        <f>_xlfn.XLOOKUP(Table2[[#This Row],[Adjusted Form '#]],'[2]IN PROGRESS'!$D:$D,'[2]IN PROGRESS'!$M:$M,"Not Found")</f>
        <v>Not Found</v>
      </c>
      <c r="U1284" s="2" t="str">
        <f>_xlfn.XLOOKUP(Table2[[#This Row],[Adjusted Form '#]],[1]COMPLETED!$D:$D,[2]COMPLETED!$M:$M,"Not Found")</f>
        <v>Not Found</v>
      </c>
      <c r="V1284" s="17" t="str">
        <f>_xlfn.XLOOKUP(Table2[[#This Row],[Adjusted Form '#]],[2]COMPLETED!$D:$D,[2]COMPLETED!$O:$O,"Not Found")</f>
        <v>Not Found</v>
      </c>
      <c r="W1284" s="2" t="str">
        <f>_xlfn.XLOOKUP(Table2[[#This Row],[Adjusted Form '#]],[2]BILLED!$D:$D,[2]BILLED!$M:$M,"Not Found")</f>
        <v>1Z5063E0YW42771085</v>
      </c>
      <c r="X1284" s="17" t="e">
        <f>_xlfn.XLOOKUP(Table2[[#This Row],[Adjusted Form '#]],[2]BILLED!$D:$D,[1]BILLED!$O:$O,"Not Found")</f>
        <v>#REF!</v>
      </c>
      <c r="Y1284" s="17" t="e">
        <f>_xlfn.XLOOKUP(Table2[[#This Row],[Adjusted Form '#]],'[2]REJECTED ORDERS'!$D:$D,'[2]REJECTED ORDERS'!$E:$E)</f>
        <v>#N/A</v>
      </c>
      <c r="Z1284" s="1"/>
      <c r="AA1284" s="1"/>
    </row>
    <row r="1285" spans="1:27" ht="15" customHeight="1" x14ac:dyDescent="0.35">
      <c r="A1285" s="4" t="s">
        <v>1924</v>
      </c>
      <c r="B1285" s="1" t="s">
        <v>3470</v>
      </c>
      <c r="C1285" s="11">
        <v>45103</v>
      </c>
      <c r="D1285" s="11" t="s">
        <v>6171</v>
      </c>
      <c r="E1285" s="1" t="s">
        <v>21</v>
      </c>
      <c r="F1285" s="1" t="s">
        <v>6157</v>
      </c>
      <c r="G1285" s="6">
        <f>COUNTIF(F:F,Table2[[#This Row],[Form '#]])</f>
        <v>1</v>
      </c>
      <c r="H1285" s="1" t="s">
        <v>3537</v>
      </c>
      <c r="I1285" s="1" t="s">
        <v>3852</v>
      </c>
      <c r="J1285" s="1" t="s">
        <v>80</v>
      </c>
      <c r="K1285" s="1" t="s">
        <v>3853</v>
      </c>
      <c r="L1285" s="1"/>
      <c r="M1285" s="6" t="str">
        <f>IF(Table2[[#This Row],[Corrected Form '#
 (If Duplicated)]]="",Table2[[#This Row],[Form '#]],Table2[[#This Row],[Corrected Form '#
 (If Duplicated)]])</f>
        <v>7818-01595</v>
      </c>
      <c r="N1285" s="1" t="s">
        <v>49</v>
      </c>
      <c r="O1285" s="6" t="str">
        <f>IF(Table2[[#This Row],[POG CONFIRMATION RECEIPT OF ORDER
(DATE &amp; TIME)]]="","No Confirmation","Received Confirmation")</f>
        <v>Received Confirmation</v>
      </c>
      <c r="P1285" s="6">
        <f ca="1">TODAY()-Table2[[#This Row],[DATE SENT TO POG]]</f>
        <v>200</v>
      </c>
      <c r="Q1285" s="6" t="s">
        <v>5803</v>
      </c>
      <c r="R12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5" s="2" t="str">
        <f>_xlfn.XLOOKUP(Table2[[#This Row],[Adjusted Form '#]],'[2]IN PROGRESS'!$D:$D,'[2]IN PROGRESS'!$M:$M,"Not Found")</f>
        <v>Not Found</v>
      </c>
      <c r="U1285" s="2" t="str">
        <f>_xlfn.XLOOKUP(Table2[[#This Row],[Adjusted Form '#]],[1]COMPLETED!$D:$D,[2]COMPLETED!$M:$M,"Not Found")</f>
        <v>Not Found</v>
      </c>
      <c r="V1285" s="17" t="str">
        <f>_xlfn.XLOOKUP(Table2[[#This Row],[Adjusted Form '#]],[2]COMPLETED!$D:$D,[2]COMPLETED!$O:$O,"Not Found")</f>
        <v>Not Found</v>
      </c>
      <c r="W1285" s="2" t="str">
        <f>_xlfn.XLOOKUP(Table2[[#This Row],[Adjusted Form '#]],[2]BILLED!$D:$D,[2]BILLED!$M:$M,"Not Found")</f>
        <v>9400 1361 0605 3072 3772 71</v>
      </c>
      <c r="X1285" s="17" t="e">
        <f>_xlfn.XLOOKUP(Table2[[#This Row],[Adjusted Form '#]],[2]BILLED!$D:$D,[1]BILLED!$O:$O,"Not Found")</f>
        <v>#REF!</v>
      </c>
      <c r="Y1285" s="17" t="e">
        <f>_xlfn.XLOOKUP(Table2[[#This Row],[Adjusted Form '#]],'[2]REJECTED ORDERS'!$D:$D,'[2]REJECTED ORDERS'!$E:$E)</f>
        <v>#N/A</v>
      </c>
      <c r="Z1285" s="1"/>
      <c r="AA1285" s="1"/>
    </row>
    <row r="1286" spans="1:27" ht="15" customHeight="1" x14ac:dyDescent="0.35">
      <c r="A1286" s="4" t="s">
        <v>1926</v>
      </c>
      <c r="B1286" s="1" t="s">
        <v>3470</v>
      </c>
      <c r="C1286" s="11">
        <v>45103</v>
      </c>
      <c r="D1286" s="11" t="s">
        <v>6171</v>
      </c>
      <c r="E1286" s="1" t="s">
        <v>21</v>
      </c>
      <c r="F1286" s="1" t="s">
        <v>6158</v>
      </c>
      <c r="G1286" s="6">
        <f>COUNTIF(F:F,Table2[[#This Row],[Form '#]])</f>
        <v>1</v>
      </c>
      <c r="H1286" s="1" t="s">
        <v>6159</v>
      </c>
      <c r="I1286" s="1" t="s">
        <v>127</v>
      </c>
      <c r="J1286" s="1" t="s">
        <v>3891</v>
      </c>
      <c r="K1286" s="1" t="s">
        <v>3891</v>
      </c>
      <c r="L1286" s="1"/>
      <c r="M1286" s="6" t="str">
        <f>IF(Table2[[#This Row],[Corrected Form '#
 (If Duplicated)]]="",Table2[[#This Row],[Form '#]],Table2[[#This Row],[Corrected Form '#
 (If Duplicated)]])</f>
        <v>7818-16713</v>
      </c>
      <c r="N1286" s="1" t="s">
        <v>49</v>
      </c>
      <c r="O1286" s="6" t="str">
        <f>IF(Table2[[#This Row],[POG CONFIRMATION RECEIPT OF ORDER
(DATE &amp; TIME)]]="","No Confirmation","Received Confirmation")</f>
        <v>Received Confirmation</v>
      </c>
      <c r="P1286" s="6">
        <f ca="1">TODAY()-Table2[[#This Row],[DATE SENT TO POG]]</f>
        <v>200</v>
      </c>
      <c r="Q1286" s="6" t="s">
        <v>5803</v>
      </c>
      <c r="R12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6" s="2" t="str">
        <f>_xlfn.XLOOKUP(Table2[[#This Row],[Adjusted Form '#]],'[2]IN PROGRESS'!$D:$D,'[2]IN PROGRESS'!$M:$M,"Not Found")</f>
        <v>Not Found</v>
      </c>
      <c r="U1286" s="2" t="str">
        <f>_xlfn.XLOOKUP(Table2[[#This Row],[Adjusted Form '#]],[1]COMPLETED!$D:$D,[2]COMPLETED!$M:$M,"Not Found")</f>
        <v>Not Found</v>
      </c>
      <c r="V1286" s="17" t="str">
        <f>_xlfn.XLOOKUP(Table2[[#This Row],[Adjusted Form '#]],[2]COMPLETED!$D:$D,[2]COMPLETED!$O:$O,"Not Found")</f>
        <v>Not Found</v>
      </c>
      <c r="W1286" s="2" t="str">
        <f>_xlfn.XLOOKUP(Table2[[#This Row],[Adjusted Form '#]],[2]BILLED!$D:$D,[2]BILLED!$M:$M,"Not Found")</f>
        <v>9400 1361 0605 3094 5068 33</v>
      </c>
      <c r="X1286" s="17" t="e">
        <f>_xlfn.XLOOKUP(Table2[[#This Row],[Adjusted Form '#]],[2]BILLED!$D:$D,[1]BILLED!$O:$O,"Not Found")</f>
        <v>#REF!</v>
      </c>
      <c r="Y1286" s="17" t="e">
        <f>_xlfn.XLOOKUP(Table2[[#This Row],[Adjusted Form '#]],'[2]REJECTED ORDERS'!$D:$D,'[2]REJECTED ORDERS'!$E:$E)</f>
        <v>#N/A</v>
      </c>
      <c r="Z1286" s="1"/>
      <c r="AA1286" s="1"/>
    </row>
    <row r="1287" spans="1:27" ht="15" customHeight="1" x14ac:dyDescent="0.35">
      <c r="A1287" s="4" t="s">
        <v>1927</v>
      </c>
      <c r="B1287" s="1" t="s">
        <v>3470</v>
      </c>
      <c r="C1287" s="11">
        <v>45103</v>
      </c>
      <c r="D1287" s="11" t="s">
        <v>6171</v>
      </c>
      <c r="E1287" s="1" t="s">
        <v>21</v>
      </c>
      <c r="F1287" s="1" t="s">
        <v>6160</v>
      </c>
      <c r="G1287" s="6">
        <f>COUNTIF(F:F,Table2[[#This Row],[Form '#]])</f>
        <v>1</v>
      </c>
      <c r="H1287" s="1" t="s">
        <v>3207</v>
      </c>
      <c r="I1287" s="1" t="s">
        <v>3852</v>
      </c>
      <c r="J1287" s="1" t="s">
        <v>3891</v>
      </c>
      <c r="K1287" s="1" t="s">
        <v>3853</v>
      </c>
      <c r="L1287" s="1"/>
      <c r="M1287" s="6" t="str">
        <f>IF(Table2[[#This Row],[Corrected Form '#
 (If Duplicated)]]="",Table2[[#This Row],[Form '#]],Table2[[#This Row],[Corrected Form '#
 (If Duplicated)]])</f>
        <v>7818-23039</v>
      </c>
      <c r="N1287" s="1" t="s">
        <v>49</v>
      </c>
      <c r="O1287" s="6" t="str">
        <f>IF(Table2[[#This Row],[POG CONFIRMATION RECEIPT OF ORDER
(DATE &amp; TIME)]]="","No Confirmation","Received Confirmation")</f>
        <v>Received Confirmation</v>
      </c>
      <c r="P1287" s="6">
        <f ca="1">TODAY()-Table2[[#This Row],[DATE SENT TO POG]]</f>
        <v>200</v>
      </c>
      <c r="Q1287" s="6" t="s">
        <v>5803</v>
      </c>
      <c r="R12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7" s="2" t="str">
        <f>_xlfn.XLOOKUP(Table2[[#This Row],[Adjusted Form '#]],'[2]IN PROGRESS'!$D:$D,'[2]IN PROGRESS'!$M:$M,"Not Found")</f>
        <v>Not Found</v>
      </c>
      <c r="U1287" s="2" t="str">
        <f>_xlfn.XLOOKUP(Table2[[#This Row],[Adjusted Form '#]],[1]COMPLETED!$D:$D,[2]COMPLETED!$M:$M,"Not Found")</f>
        <v>Not Found</v>
      </c>
      <c r="V1287" s="17" t="str">
        <f>_xlfn.XLOOKUP(Table2[[#This Row],[Adjusted Form '#]],[2]COMPLETED!$D:$D,[2]COMPLETED!$O:$O,"Not Found")</f>
        <v>Not Found</v>
      </c>
      <c r="W1287" s="2" t="str">
        <f>_xlfn.XLOOKUP(Table2[[#This Row],[Adjusted Form '#]],[2]BILLED!$D:$D,[2]BILLED!$M:$M,"Not Found")</f>
        <v>9400 1361 0605 3088 5643 75</v>
      </c>
      <c r="X1287" s="17" t="e">
        <f>_xlfn.XLOOKUP(Table2[[#This Row],[Adjusted Form '#]],[2]BILLED!$D:$D,[1]BILLED!$O:$O,"Not Found")</f>
        <v>#REF!</v>
      </c>
      <c r="Y1287" s="17" t="e">
        <f>_xlfn.XLOOKUP(Table2[[#This Row],[Adjusted Form '#]],'[2]REJECTED ORDERS'!$D:$D,'[2]REJECTED ORDERS'!$E:$E)</f>
        <v>#N/A</v>
      </c>
      <c r="Z1287" s="1"/>
      <c r="AA1287" s="1"/>
    </row>
    <row r="1288" spans="1:27" ht="15" customHeight="1" x14ac:dyDescent="0.35">
      <c r="A1288" s="4" t="s">
        <v>1930</v>
      </c>
      <c r="B1288" s="1" t="s">
        <v>3470</v>
      </c>
      <c r="C1288" s="11">
        <v>45103</v>
      </c>
      <c r="D1288" s="11" t="s">
        <v>6171</v>
      </c>
      <c r="E1288" s="1" t="s">
        <v>21</v>
      </c>
      <c r="F1288" s="1" t="s">
        <v>6161</v>
      </c>
      <c r="G1288" s="6">
        <f>COUNTIF(F:F,Table2[[#This Row],[Form '#]])</f>
        <v>1</v>
      </c>
      <c r="H1288" s="1" t="s">
        <v>6162</v>
      </c>
      <c r="I1288" s="1" t="s">
        <v>127</v>
      </c>
      <c r="J1288" s="1" t="s">
        <v>76</v>
      </c>
      <c r="K1288" s="1" t="s">
        <v>3883</v>
      </c>
      <c r="L1288" s="1"/>
      <c r="M1288" s="6" t="str">
        <f>IF(Table2[[#This Row],[Corrected Form '#
 (If Duplicated)]]="",Table2[[#This Row],[Form '#]],Table2[[#This Row],[Corrected Form '#
 (If Duplicated)]])</f>
        <v>7818-25137</v>
      </c>
      <c r="N1288" s="1" t="s">
        <v>49</v>
      </c>
      <c r="O1288" s="6" t="str">
        <f>IF(Table2[[#This Row],[POG CONFIRMATION RECEIPT OF ORDER
(DATE &amp; TIME)]]="","No Confirmation","Received Confirmation")</f>
        <v>Received Confirmation</v>
      </c>
      <c r="P1288" s="6">
        <f ca="1">TODAY()-Table2[[#This Row],[DATE SENT TO POG]]</f>
        <v>200</v>
      </c>
      <c r="Q1288" s="6" t="s">
        <v>5803</v>
      </c>
      <c r="R12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8" s="2" t="str">
        <f>_xlfn.XLOOKUP(Table2[[#This Row],[Adjusted Form '#]],'[2]IN PROGRESS'!$D:$D,'[2]IN PROGRESS'!$M:$M,"Not Found")</f>
        <v>Not Found</v>
      </c>
      <c r="U1288" s="2" t="str">
        <f>_xlfn.XLOOKUP(Table2[[#This Row],[Adjusted Form '#]],[1]COMPLETED!$D:$D,[2]COMPLETED!$M:$M,"Not Found")</f>
        <v>Not Found</v>
      </c>
      <c r="V1288" s="17" t="str">
        <f>_xlfn.XLOOKUP(Table2[[#This Row],[Adjusted Form '#]],[2]COMPLETED!$D:$D,[2]COMPLETED!$O:$O,"Not Found")</f>
        <v>Not Found</v>
      </c>
      <c r="W1288" s="2" t="str">
        <f>_xlfn.XLOOKUP(Table2[[#This Row],[Adjusted Form '#]],[2]BILLED!$D:$D,[2]BILLED!$M:$M,"Not Found")</f>
        <v>1Z5063E0YW40250838</v>
      </c>
      <c r="X1288" s="17" t="e">
        <f>_xlfn.XLOOKUP(Table2[[#This Row],[Adjusted Form '#]],[2]BILLED!$D:$D,[1]BILLED!$O:$O,"Not Found")</f>
        <v>#REF!</v>
      </c>
      <c r="Y1288" s="17" t="e">
        <f>_xlfn.XLOOKUP(Table2[[#This Row],[Adjusted Form '#]],'[2]REJECTED ORDERS'!$D:$D,'[2]REJECTED ORDERS'!$E:$E)</f>
        <v>#N/A</v>
      </c>
      <c r="Z1288" s="1"/>
      <c r="AA1288" s="1"/>
    </row>
    <row r="1289" spans="1:27" ht="15" customHeight="1" x14ac:dyDescent="0.35">
      <c r="A1289" s="4" t="s">
        <v>1931</v>
      </c>
      <c r="B1289" s="1" t="s">
        <v>3470</v>
      </c>
      <c r="C1289" s="11">
        <v>45103</v>
      </c>
      <c r="D1289" s="11" t="s">
        <v>6171</v>
      </c>
      <c r="E1289" s="1" t="s">
        <v>21</v>
      </c>
      <c r="F1289" s="1" t="s">
        <v>6163</v>
      </c>
      <c r="G1289" s="6">
        <f>COUNTIF(F:F,Table2[[#This Row],[Form '#]])</f>
        <v>1</v>
      </c>
      <c r="H1289" s="1" t="s">
        <v>6164</v>
      </c>
      <c r="I1289" s="1" t="s">
        <v>127</v>
      </c>
      <c r="J1289" s="1" t="s">
        <v>71</v>
      </c>
      <c r="K1289" s="1" t="s">
        <v>3883</v>
      </c>
      <c r="L1289" s="1"/>
      <c r="M1289" s="6" t="str">
        <f>IF(Table2[[#This Row],[Corrected Form '#
 (If Duplicated)]]="",Table2[[#This Row],[Form '#]],Table2[[#This Row],[Corrected Form '#
 (If Duplicated)]])</f>
        <v>7818-29920</v>
      </c>
      <c r="N1289" s="1" t="s">
        <v>49</v>
      </c>
      <c r="O1289" s="6" t="str">
        <f>IF(Table2[[#This Row],[POG CONFIRMATION RECEIPT OF ORDER
(DATE &amp; TIME)]]="","No Confirmation","Received Confirmation")</f>
        <v>Received Confirmation</v>
      </c>
      <c r="P1289" s="6">
        <f ca="1">TODAY()-Table2[[#This Row],[DATE SENT TO POG]]</f>
        <v>200</v>
      </c>
      <c r="Q1289" s="6" t="s">
        <v>5803</v>
      </c>
      <c r="R12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89" s="2" t="str">
        <f>_xlfn.XLOOKUP(Table2[[#This Row],[Adjusted Form '#]],'[2]IN PROGRESS'!$D:$D,'[2]IN PROGRESS'!$M:$M,"Not Found")</f>
        <v>Not Found</v>
      </c>
      <c r="U1289" s="2" t="str">
        <f>_xlfn.XLOOKUP(Table2[[#This Row],[Adjusted Form '#]],[1]COMPLETED!$D:$D,[2]COMPLETED!$M:$M,"Not Found")</f>
        <v>Not Found</v>
      </c>
      <c r="V1289" s="17" t="str">
        <f>_xlfn.XLOOKUP(Table2[[#This Row],[Adjusted Form '#]],[2]COMPLETED!$D:$D,[2]COMPLETED!$O:$O,"Not Found")</f>
        <v>Not Found</v>
      </c>
      <c r="W1289" s="2" t="str">
        <f>_xlfn.XLOOKUP(Table2[[#This Row],[Adjusted Form '#]],[2]BILLED!$D:$D,[2]BILLED!$M:$M,"Not Found")</f>
        <v>1Z5063E0YW40116626</v>
      </c>
      <c r="X1289" s="17" t="e">
        <f>_xlfn.XLOOKUP(Table2[[#This Row],[Adjusted Form '#]],[2]BILLED!$D:$D,[1]BILLED!$O:$O,"Not Found")</f>
        <v>#REF!</v>
      </c>
      <c r="Y1289" s="17" t="e">
        <f>_xlfn.XLOOKUP(Table2[[#This Row],[Adjusted Form '#]],'[2]REJECTED ORDERS'!$D:$D,'[2]REJECTED ORDERS'!$E:$E)</f>
        <v>#N/A</v>
      </c>
      <c r="Z1289" s="1"/>
      <c r="AA1289" s="1"/>
    </row>
    <row r="1290" spans="1:27" ht="15" customHeight="1" x14ac:dyDescent="0.35">
      <c r="A1290" s="4" t="s">
        <v>1934</v>
      </c>
      <c r="B1290" s="1" t="s">
        <v>3470</v>
      </c>
      <c r="C1290" s="11">
        <v>45103</v>
      </c>
      <c r="D1290" s="11" t="s">
        <v>6171</v>
      </c>
      <c r="E1290" s="1" t="s">
        <v>21</v>
      </c>
      <c r="F1290" s="1" t="s">
        <v>6165</v>
      </c>
      <c r="G1290" s="6">
        <f>COUNTIF(F:F,Table2[[#This Row],[Form '#]])</f>
        <v>1</v>
      </c>
      <c r="H1290" s="1" t="s">
        <v>3097</v>
      </c>
      <c r="I1290" s="1" t="s">
        <v>127</v>
      </c>
      <c r="J1290" s="1" t="s">
        <v>71</v>
      </c>
      <c r="K1290" s="1" t="s">
        <v>3883</v>
      </c>
      <c r="L1290" s="1"/>
      <c r="M1290" s="6" t="str">
        <f>IF(Table2[[#This Row],[Corrected Form '#
 (If Duplicated)]]="",Table2[[#This Row],[Form '#]],Table2[[#This Row],[Corrected Form '#
 (If Duplicated)]])</f>
        <v>7818-27191</v>
      </c>
      <c r="N1290" s="1" t="s">
        <v>49</v>
      </c>
      <c r="O1290" s="6" t="str">
        <f>IF(Table2[[#This Row],[POG CONFIRMATION RECEIPT OF ORDER
(DATE &amp; TIME)]]="","No Confirmation","Received Confirmation")</f>
        <v>Received Confirmation</v>
      </c>
      <c r="P1290" s="6">
        <f ca="1">TODAY()-Table2[[#This Row],[DATE SENT TO POG]]</f>
        <v>200</v>
      </c>
      <c r="Q1290" s="6" t="s">
        <v>5803</v>
      </c>
      <c r="R12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0" s="2" t="str">
        <f>_xlfn.XLOOKUP(Table2[[#This Row],[Adjusted Form '#]],'[2]IN PROGRESS'!$D:$D,'[2]IN PROGRESS'!$M:$M,"Not Found")</f>
        <v>Not Found</v>
      </c>
      <c r="U1290" s="2" t="str">
        <f>_xlfn.XLOOKUP(Table2[[#This Row],[Adjusted Form '#]],[1]COMPLETED!$D:$D,[2]COMPLETED!$M:$M,"Not Found")</f>
        <v>Not Found</v>
      </c>
      <c r="V1290" s="17" t="str">
        <f>_xlfn.XLOOKUP(Table2[[#This Row],[Adjusted Form '#]],[2]COMPLETED!$D:$D,[2]COMPLETED!$O:$O,"Not Found")</f>
        <v>Not Found</v>
      </c>
      <c r="W1290" s="2" t="str">
        <f>_xlfn.XLOOKUP(Table2[[#This Row],[Adjusted Form '#]],[2]BILLED!$D:$D,[2]BILLED!$M:$M,"Not Found")</f>
        <v>1Z5063E0YW40072423</v>
      </c>
      <c r="X1290" s="17" t="e">
        <f>_xlfn.XLOOKUP(Table2[[#This Row],[Adjusted Form '#]],[2]BILLED!$D:$D,[1]BILLED!$O:$O,"Not Found")</f>
        <v>#REF!</v>
      </c>
      <c r="Y1290" s="17" t="e">
        <f>_xlfn.XLOOKUP(Table2[[#This Row],[Adjusted Form '#]],'[2]REJECTED ORDERS'!$D:$D,'[2]REJECTED ORDERS'!$E:$E)</f>
        <v>#N/A</v>
      </c>
      <c r="Z1290" s="1"/>
      <c r="AA1290" s="1"/>
    </row>
    <row r="1291" spans="1:27" ht="15" customHeight="1" x14ac:dyDescent="0.35">
      <c r="A1291" s="4" t="s">
        <v>1935</v>
      </c>
      <c r="B1291" s="1" t="s">
        <v>3470</v>
      </c>
      <c r="C1291" s="11">
        <v>45103</v>
      </c>
      <c r="D1291" s="11" t="s">
        <v>6171</v>
      </c>
      <c r="E1291" s="1" t="s">
        <v>21</v>
      </c>
      <c r="F1291" s="1" t="s">
        <v>6166</v>
      </c>
      <c r="G1291" s="6">
        <f>COUNTIF(F:F,Table2[[#This Row],[Form '#]])</f>
        <v>1</v>
      </c>
      <c r="H1291" s="1" t="s">
        <v>1677</v>
      </c>
      <c r="I1291" s="1" t="s">
        <v>3852</v>
      </c>
      <c r="J1291" s="1" t="s">
        <v>75</v>
      </c>
      <c r="K1291" s="1" t="s">
        <v>4011</v>
      </c>
      <c r="L1291" s="1"/>
      <c r="M1291" s="6" t="str">
        <f>IF(Table2[[#This Row],[Corrected Form '#
 (If Duplicated)]]="",Table2[[#This Row],[Form '#]],Table2[[#This Row],[Corrected Form '#
 (If Duplicated)]])</f>
        <v>7818-03053</v>
      </c>
      <c r="N1291" s="1" t="s">
        <v>49</v>
      </c>
      <c r="O1291" s="6" t="str">
        <f>IF(Table2[[#This Row],[POG CONFIRMATION RECEIPT OF ORDER
(DATE &amp; TIME)]]="","No Confirmation","Received Confirmation")</f>
        <v>Received Confirmation</v>
      </c>
      <c r="P1291" s="6">
        <f ca="1">TODAY()-Table2[[#This Row],[DATE SENT TO POG]]</f>
        <v>200</v>
      </c>
      <c r="Q1291" s="6" t="s">
        <v>5803</v>
      </c>
      <c r="R12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1" s="2" t="str">
        <f>_xlfn.XLOOKUP(Table2[[#This Row],[Adjusted Form '#]],'[2]IN PROGRESS'!$D:$D,'[2]IN PROGRESS'!$M:$M,"Not Found")</f>
        <v>Not Found</v>
      </c>
      <c r="U1291" s="2" t="str">
        <f>_xlfn.XLOOKUP(Table2[[#This Row],[Adjusted Form '#]],[1]COMPLETED!$D:$D,[2]COMPLETED!$M:$M,"Not Found")</f>
        <v>Not Found</v>
      </c>
      <c r="V1291" s="17" t="str">
        <f>_xlfn.XLOOKUP(Table2[[#This Row],[Adjusted Form '#]],[2]COMPLETED!$D:$D,[2]COMPLETED!$O:$O,"Not Found")</f>
        <v>Not Found</v>
      </c>
      <c r="W1291" s="2" t="str">
        <f>_xlfn.XLOOKUP(Table2[[#This Row],[Adjusted Form '#]],[2]BILLED!$D:$D,[2]BILLED!$M:$M,"Not Found")</f>
        <v>9402 1112 0620 9897 0204 01</v>
      </c>
      <c r="X1291" s="17" t="e">
        <f>_xlfn.XLOOKUP(Table2[[#This Row],[Adjusted Form '#]],[2]BILLED!$D:$D,[1]BILLED!$O:$O,"Not Found")</f>
        <v>#REF!</v>
      </c>
      <c r="Y1291" s="17" t="e">
        <f>_xlfn.XLOOKUP(Table2[[#This Row],[Adjusted Form '#]],'[2]REJECTED ORDERS'!$D:$D,'[2]REJECTED ORDERS'!$E:$E)</f>
        <v>#N/A</v>
      </c>
      <c r="Z1291" s="1"/>
      <c r="AA1291" s="1"/>
    </row>
    <row r="1292" spans="1:27" ht="15" customHeight="1" x14ac:dyDescent="0.35">
      <c r="A1292" s="4" t="s">
        <v>1937</v>
      </c>
      <c r="B1292" s="1" t="s">
        <v>3470</v>
      </c>
      <c r="C1292" s="11">
        <v>45103</v>
      </c>
      <c r="D1292" s="11" t="s">
        <v>6171</v>
      </c>
      <c r="E1292" s="1" t="s">
        <v>21</v>
      </c>
      <c r="F1292" s="1" t="s">
        <v>6167</v>
      </c>
      <c r="G1292" s="6">
        <f>COUNTIF(F:F,Table2[[#This Row],[Form '#]])</f>
        <v>1</v>
      </c>
      <c r="H1292" s="1" t="s">
        <v>3524</v>
      </c>
      <c r="I1292" s="1" t="s">
        <v>3864</v>
      </c>
      <c r="J1292" s="1" t="s">
        <v>78</v>
      </c>
      <c r="K1292" s="1" t="s">
        <v>3879</v>
      </c>
      <c r="L1292" s="1"/>
      <c r="M1292" s="6" t="str">
        <f>IF(Table2[[#This Row],[Corrected Form '#
 (If Duplicated)]]="",Table2[[#This Row],[Form '#]],Table2[[#This Row],[Corrected Form '#
 (If Duplicated)]])</f>
        <v>7818-26589</v>
      </c>
      <c r="N1292" s="1" t="s">
        <v>49</v>
      </c>
      <c r="O1292" s="6" t="str">
        <f>IF(Table2[[#This Row],[POG CONFIRMATION RECEIPT OF ORDER
(DATE &amp; TIME)]]="","No Confirmation","Received Confirmation")</f>
        <v>Received Confirmation</v>
      </c>
      <c r="P1292" s="6">
        <f ca="1">TODAY()-Table2[[#This Row],[DATE SENT TO POG]]</f>
        <v>200</v>
      </c>
      <c r="Q1292" s="6" t="s">
        <v>5803</v>
      </c>
      <c r="R12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2" s="2" t="str">
        <f>_xlfn.XLOOKUP(Table2[[#This Row],[Adjusted Form '#]],'[2]IN PROGRESS'!$D:$D,'[2]IN PROGRESS'!$M:$M,"Not Found")</f>
        <v>Not Found</v>
      </c>
      <c r="U1292" s="2" t="str">
        <f>_xlfn.XLOOKUP(Table2[[#This Row],[Adjusted Form '#]],[1]COMPLETED!$D:$D,[2]COMPLETED!$M:$M,"Not Found")</f>
        <v>Not Found</v>
      </c>
      <c r="V1292" s="17" t="str">
        <f>_xlfn.XLOOKUP(Table2[[#This Row],[Adjusted Form '#]],[2]COMPLETED!$D:$D,[2]COMPLETED!$O:$O,"Not Found")</f>
        <v>Not Found</v>
      </c>
      <c r="W1292" s="2" t="str">
        <f>_xlfn.XLOOKUP(Table2[[#This Row],[Adjusted Form '#]],[2]BILLED!$D:$D,[2]BILLED!$M:$M,"Not Found")</f>
        <v>9400 1361 0605 3072 3249 47</v>
      </c>
      <c r="X1292" s="17" t="e">
        <f>_xlfn.XLOOKUP(Table2[[#This Row],[Adjusted Form '#]],[2]BILLED!$D:$D,[1]BILLED!$O:$O,"Not Found")</f>
        <v>#REF!</v>
      </c>
      <c r="Y1292" s="17" t="e">
        <f>_xlfn.XLOOKUP(Table2[[#This Row],[Adjusted Form '#]],'[2]REJECTED ORDERS'!$D:$D,'[2]REJECTED ORDERS'!$E:$E)</f>
        <v>#N/A</v>
      </c>
      <c r="Z1292" s="1"/>
      <c r="AA1292" s="1"/>
    </row>
    <row r="1293" spans="1:27" ht="15" customHeight="1" x14ac:dyDescent="0.35">
      <c r="A1293" s="4" t="s">
        <v>1938</v>
      </c>
      <c r="B1293" s="1" t="s">
        <v>3470</v>
      </c>
      <c r="C1293" s="11">
        <v>45103</v>
      </c>
      <c r="D1293" s="11" t="s">
        <v>6171</v>
      </c>
      <c r="E1293" s="1" t="s">
        <v>21</v>
      </c>
      <c r="F1293" s="1" t="s">
        <v>6168</v>
      </c>
      <c r="G1293" s="6">
        <f>COUNTIF(F:F,Table2[[#This Row],[Form '#]])</f>
        <v>1</v>
      </c>
      <c r="H1293" s="1" t="s">
        <v>3127</v>
      </c>
      <c r="I1293" s="1" t="s">
        <v>3852</v>
      </c>
      <c r="J1293" s="1" t="s">
        <v>80</v>
      </c>
      <c r="K1293" s="1" t="s">
        <v>3853</v>
      </c>
      <c r="L1293" s="1"/>
      <c r="M1293" s="6" t="str">
        <f>IF(Table2[[#This Row],[Corrected Form '#
 (If Duplicated)]]="",Table2[[#This Row],[Form '#]],Table2[[#This Row],[Corrected Form '#
 (If Duplicated)]])</f>
        <v>7818-07851</v>
      </c>
      <c r="N1293" s="1" t="s">
        <v>49</v>
      </c>
      <c r="O1293" s="6" t="str">
        <f>IF(Table2[[#This Row],[POG CONFIRMATION RECEIPT OF ORDER
(DATE &amp; TIME)]]="","No Confirmation","Received Confirmation")</f>
        <v>Received Confirmation</v>
      </c>
      <c r="P1293" s="6">
        <f ca="1">TODAY()-Table2[[#This Row],[DATE SENT TO POG]]</f>
        <v>200</v>
      </c>
      <c r="Q1293" s="6" t="s">
        <v>5803</v>
      </c>
      <c r="R12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3" s="2" t="str">
        <f>_xlfn.XLOOKUP(Table2[[#This Row],[Adjusted Form '#]],'[2]IN PROGRESS'!$D:$D,'[2]IN PROGRESS'!$M:$M,"Not Found")</f>
        <v>Not Found</v>
      </c>
      <c r="U1293" s="2" t="str">
        <f>_xlfn.XLOOKUP(Table2[[#This Row],[Adjusted Form '#]],[1]COMPLETED!$D:$D,[2]COMPLETED!$M:$M,"Not Found")</f>
        <v>Not Found</v>
      </c>
      <c r="V1293" s="17" t="str">
        <f>_xlfn.XLOOKUP(Table2[[#This Row],[Adjusted Form '#]],[2]COMPLETED!$D:$D,[2]COMPLETED!$O:$O,"Not Found")</f>
        <v>Not Found</v>
      </c>
      <c r="W1293" s="2" t="str">
        <f>_xlfn.XLOOKUP(Table2[[#This Row],[Adjusted Form '#]],[2]BILLED!$D:$D,[2]BILLED!$M:$M,"Not Found")</f>
        <v>1Z5063E0YW40066869</v>
      </c>
      <c r="X1293" s="17" t="e">
        <f>_xlfn.XLOOKUP(Table2[[#This Row],[Adjusted Form '#]],[2]BILLED!$D:$D,[1]BILLED!$O:$O,"Not Found")</f>
        <v>#REF!</v>
      </c>
      <c r="Y1293" s="17" t="e">
        <f>_xlfn.XLOOKUP(Table2[[#This Row],[Adjusted Form '#]],'[2]REJECTED ORDERS'!$D:$D,'[2]REJECTED ORDERS'!$E:$E)</f>
        <v>#N/A</v>
      </c>
      <c r="Z1293" s="1"/>
      <c r="AA1293" s="1"/>
    </row>
    <row r="1294" spans="1:27" ht="15" customHeight="1" x14ac:dyDescent="0.35">
      <c r="A1294" s="4" t="s">
        <v>1939</v>
      </c>
      <c r="B1294" s="1" t="s">
        <v>3470</v>
      </c>
      <c r="C1294" s="11">
        <v>45103</v>
      </c>
      <c r="D1294" s="11" t="s">
        <v>6171</v>
      </c>
      <c r="E1294" s="1" t="s">
        <v>21</v>
      </c>
      <c r="F1294" s="1" t="s">
        <v>6169</v>
      </c>
      <c r="G1294" s="6">
        <f>COUNTIF(F:F,Table2[[#This Row],[Form '#]])</f>
        <v>1</v>
      </c>
      <c r="H1294" s="1" t="s">
        <v>6170</v>
      </c>
      <c r="I1294" s="1" t="s">
        <v>3852</v>
      </c>
      <c r="J1294" s="1" t="s">
        <v>75</v>
      </c>
      <c r="K1294" s="1" t="s">
        <v>3853</v>
      </c>
      <c r="L1294" s="1"/>
      <c r="M1294" s="6" t="str">
        <f>IF(Table2[[#This Row],[Corrected Form '#
 (If Duplicated)]]="",Table2[[#This Row],[Form '#]],Table2[[#This Row],[Corrected Form '#
 (If Duplicated)]])</f>
        <v>7818-24188</v>
      </c>
      <c r="N1294" s="1" t="s">
        <v>49</v>
      </c>
      <c r="O1294" s="6" t="str">
        <f>IF(Table2[[#This Row],[POG CONFIRMATION RECEIPT OF ORDER
(DATE &amp; TIME)]]="","No Confirmation","Received Confirmation")</f>
        <v>Received Confirmation</v>
      </c>
      <c r="P1294" s="6">
        <f ca="1">TODAY()-Table2[[#This Row],[DATE SENT TO POG]]</f>
        <v>200</v>
      </c>
      <c r="Q1294" s="6" t="s">
        <v>5803</v>
      </c>
      <c r="R12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4" s="2" t="str">
        <f>_xlfn.XLOOKUP(Table2[[#This Row],[Adjusted Form '#]],'[2]IN PROGRESS'!$D:$D,'[2]IN PROGRESS'!$M:$M,"Not Found")</f>
        <v>Not Found</v>
      </c>
      <c r="U1294" s="2" t="str">
        <f>_xlfn.XLOOKUP(Table2[[#This Row],[Adjusted Form '#]],[1]COMPLETED!$D:$D,[2]COMPLETED!$M:$M,"Not Found")</f>
        <v>Not Found</v>
      </c>
      <c r="V1294" s="17" t="str">
        <f>_xlfn.XLOOKUP(Table2[[#This Row],[Adjusted Form '#]],[2]COMPLETED!$D:$D,[2]COMPLETED!$O:$O,"Not Found")</f>
        <v>Not Found</v>
      </c>
      <c r="W1294" s="2" t="str">
        <f>_xlfn.XLOOKUP(Table2[[#This Row],[Adjusted Form '#]],[2]BILLED!$D:$D,[2]BILLED!$M:$M,"Not Found")</f>
        <v>9400 1361 0605 3072 3347 86</v>
      </c>
      <c r="X1294" s="17" t="e">
        <f>_xlfn.XLOOKUP(Table2[[#This Row],[Adjusted Form '#]],[2]BILLED!$D:$D,[1]BILLED!$O:$O,"Not Found")</f>
        <v>#REF!</v>
      </c>
      <c r="Y1294" s="17" t="e">
        <f>_xlfn.XLOOKUP(Table2[[#This Row],[Adjusted Form '#]],'[2]REJECTED ORDERS'!$D:$D,'[2]REJECTED ORDERS'!$E:$E)</f>
        <v>#N/A</v>
      </c>
      <c r="Z1294" s="1"/>
      <c r="AA1294" s="1"/>
    </row>
    <row r="1295" spans="1:27" ht="15" customHeight="1" x14ac:dyDescent="0.35">
      <c r="A1295" s="4" t="s">
        <v>1941</v>
      </c>
      <c r="B1295" s="1" t="s">
        <v>2405</v>
      </c>
      <c r="C1295" s="11">
        <v>45104</v>
      </c>
      <c r="D1295" s="11" t="s">
        <v>6175</v>
      </c>
      <c r="E1295" s="1" t="s">
        <v>21</v>
      </c>
      <c r="F1295" s="1" t="s">
        <v>6172</v>
      </c>
      <c r="G1295" s="6">
        <f>COUNTIF(F:F,Table2[[#This Row],[Form '#]])</f>
        <v>1</v>
      </c>
      <c r="H1295" s="1" t="s">
        <v>1788</v>
      </c>
      <c r="I1295" s="1" t="s">
        <v>127</v>
      </c>
      <c r="J1295" s="1" t="s">
        <v>74</v>
      </c>
      <c r="K1295" s="1" t="s">
        <v>3883</v>
      </c>
      <c r="L1295" s="1"/>
      <c r="M1295" s="6" t="str">
        <f>IF(Table2[[#This Row],[Corrected Form '#
 (If Duplicated)]]="",Table2[[#This Row],[Form '#]],Table2[[#This Row],[Corrected Form '#
 (If Duplicated)]])</f>
        <v>7818-26746</v>
      </c>
      <c r="N1295" s="1" t="s">
        <v>49</v>
      </c>
      <c r="O1295" s="6" t="str">
        <f>IF(Table2[[#This Row],[POG CONFIRMATION RECEIPT OF ORDER
(DATE &amp; TIME)]]="","No Confirmation","Received Confirmation")</f>
        <v>Received Confirmation</v>
      </c>
      <c r="P1295" s="6">
        <f ca="1">TODAY()-Table2[[#This Row],[DATE SENT TO POG]]</f>
        <v>199</v>
      </c>
      <c r="Q1295" s="6" t="s">
        <v>5803</v>
      </c>
      <c r="R12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5" s="2" t="str">
        <f>_xlfn.XLOOKUP(Table2[[#This Row],[Adjusted Form '#]],'[2]IN PROGRESS'!$D:$D,'[2]IN PROGRESS'!$M:$M,"Not Found")</f>
        <v>Not Found</v>
      </c>
      <c r="U1295" s="2" t="str">
        <f>_xlfn.XLOOKUP(Table2[[#This Row],[Adjusted Form '#]],[1]COMPLETED!$D:$D,[2]COMPLETED!$M:$M,"Not Found")</f>
        <v>Not Found</v>
      </c>
      <c r="V1295" s="17" t="str">
        <f>_xlfn.XLOOKUP(Table2[[#This Row],[Adjusted Form '#]],[2]COMPLETED!$D:$D,[2]COMPLETED!$O:$O,"Not Found")</f>
        <v>Not Found</v>
      </c>
      <c r="W1295" s="2" t="str">
        <f>_xlfn.XLOOKUP(Table2[[#This Row],[Adjusted Form '#]],[2]BILLED!$D:$D,[2]BILLED!$M:$M,"Not Found")</f>
        <v>1Z5063E0YW42435895</v>
      </c>
      <c r="X1295" s="17" t="e">
        <f>_xlfn.XLOOKUP(Table2[[#This Row],[Adjusted Form '#]],[2]BILLED!$D:$D,[1]BILLED!$O:$O,"Not Found")</f>
        <v>#REF!</v>
      </c>
      <c r="Y1295" s="17" t="e">
        <f>_xlfn.XLOOKUP(Table2[[#This Row],[Adjusted Form '#]],'[2]REJECTED ORDERS'!$D:$D,'[2]REJECTED ORDERS'!$E:$E)</f>
        <v>#N/A</v>
      </c>
      <c r="Z1295" s="1"/>
      <c r="AA1295" s="1"/>
    </row>
    <row r="1296" spans="1:27" ht="15" customHeight="1" x14ac:dyDescent="0.35">
      <c r="A1296" s="4" t="s">
        <v>1942</v>
      </c>
      <c r="B1296" s="1" t="s">
        <v>2405</v>
      </c>
      <c r="C1296" s="11">
        <v>45104</v>
      </c>
      <c r="D1296" s="11" t="s">
        <v>6175</v>
      </c>
      <c r="E1296" s="1" t="s">
        <v>21</v>
      </c>
      <c r="F1296" s="1" t="s">
        <v>6173</v>
      </c>
      <c r="G1296" s="6">
        <f>COUNTIF(F:F,Table2[[#This Row],[Form '#]])</f>
        <v>1</v>
      </c>
      <c r="H1296" s="1" t="s">
        <v>6174</v>
      </c>
      <c r="I1296" s="1" t="s">
        <v>127</v>
      </c>
      <c r="J1296" s="1" t="s">
        <v>76</v>
      </c>
      <c r="K1296" s="1" t="s">
        <v>3883</v>
      </c>
      <c r="L1296" s="1"/>
      <c r="M1296" s="6" t="str">
        <f>IF(Table2[[#This Row],[Corrected Form '#
 (If Duplicated)]]="",Table2[[#This Row],[Form '#]],Table2[[#This Row],[Corrected Form '#
 (If Duplicated)]])</f>
        <v>7818-29586</v>
      </c>
      <c r="N1296" s="1" t="s">
        <v>49</v>
      </c>
      <c r="O1296" s="6" t="str">
        <f>IF(Table2[[#This Row],[POG CONFIRMATION RECEIPT OF ORDER
(DATE &amp; TIME)]]="","No Confirmation","Received Confirmation")</f>
        <v>Received Confirmation</v>
      </c>
      <c r="P1296" s="6">
        <f ca="1">TODAY()-Table2[[#This Row],[DATE SENT TO POG]]</f>
        <v>199</v>
      </c>
      <c r="Q1296" s="6" t="s">
        <v>5803</v>
      </c>
      <c r="R12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6" s="2" t="str">
        <f>_xlfn.XLOOKUP(Table2[[#This Row],[Adjusted Form '#]],'[2]IN PROGRESS'!$D:$D,'[2]IN PROGRESS'!$M:$M,"Not Found")</f>
        <v>Not Found</v>
      </c>
      <c r="U1296" s="2" t="str">
        <f>_xlfn.XLOOKUP(Table2[[#This Row],[Adjusted Form '#]],[1]COMPLETED!$D:$D,[2]COMPLETED!$M:$M,"Not Found")</f>
        <v>Not Found</v>
      </c>
      <c r="V1296" s="17" t="str">
        <f>_xlfn.XLOOKUP(Table2[[#This Row],[Adjusted Form '#]],[2]COMPLETED!$D:$D,[2]COMPLETED!$O:$O,"Not Found")</f>
        <v>Not Found</v>
      </c>
      <c r="W1296" s="2" t="str">
        <f>_xlfn.XLOOKUP(Table2[[#This Row],[Adjusted Form '#]],[2]BILLED!$D:$D,[2]BILLED!$M:$M,"Not Found")</f>
        <v>1Z5063E0YW40906880</v>
      </c>
      <c r="X1296" s="17" t="e">
        <f>_xlfn.XLOOKUP(Table2[[#This Row],[Adjusted Form '#]],[2]BILLED!$D:$D,[1]BILLED!$O:$O,"Not Found")</f>
        <v>#REF!</v>
      </c>
      <c r="Y1296" s="17" t="e">
        <f>_xlfn.XLOOKUP(Table2[[#This Row],[Adjusted Form '#]],'[2]REJECTED ORDERS'!$D:$D,'[2]REJECTED ORDERS'!$E:$E)</f>
        <v>#N/A</v>
      </c>
      <c r="Z1296" s="1"/>
      <c r="AA1296" s="1"/>
    </row>
    <row r="1297" spans="1:27" ht="15" customHeight="1" x14ac:dyDescent="0.35">
      <c r="A1297" s="4" t="s">
        <v>1943</v>
      </c>
      <c r="B1297" s="1" t="s">
        <v>6176</v>
      </c>
      <c r="C1297" s="11">
        <v>45104</v>
      </c>
      <c r="D1297" s="11" t="s">
        <v>6197</v>
      </c>
      <c r="E1297" s="1" t="s">
        <v>73</v>
      </c>
      <c r="F1297" s="1" t="s">
        <v>6177</v>
      </c>
      <c r="G1297" s="6">
        <f>COUNTIF(F:F,Table2[[#This Row],[Form '#]])</f>
        <v>1</v>
      </c>
      <c r="H1297" s="1" t="s">
        <v>6178</v>
      </c>
      <c r="I1297" s="1" t="s">
        <v>3852</v>
      </c>
      <c r="J1297" s="1" t="s">
        <v>80</v>
      </c>
      <c r="K1297" s="1" t="s">
        <v>3853</v>
      </c>
      <c r="L1297" s="1"/>
      <c r="M1297" s="6" t="str">
        <f>IF(Table2[[#This Row],[Corrected Form '#
 (If Duplicated)]]="",Table2[[#This Row],[Form '#]],Table2[[#This Row],[Corrected Form '#
 (If Duplicated)]])</f>
        <v>7823-03023</v>
      </c>
      <c r="N1297" s="1" t="s">
        <v>49</v>
      </c>
      <c r="O1297" s="6" t="str">
        <f>IF(Table2[[#This Row],[POG CONFIRMATION RECEIPT OF ORDER
(DATE &amp; TIME)]]="","No Confirmation","Received Confirmation")</f>
        <v>Received Confirmation</v>
      </c>
      <c r="P1297" s="6">
        <f ca="1">TODAY()-Table2[[#This Row],[DATE SENT TO POG]]</f>
        <v>199</v>
      </c>
      <c r="Q1297" s="6" t="s">
        <v>5803</v>
      </c>
      <c r="R12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7" s="2" t="str">
        <f>_xlfn.XLOOKUP(Table2[[#This Row],[Adjusted Form '#]],'[2]IN PROGRESS'!$D:$D,'[2]IN PROGRESS'!$M:$M,"Not Found")</f>
        <v>Not Found</v>
      </c>
      <c r="U1297" s="2" t="str">
        <f>_xlfn.XLOOKUP(Table2[[#This Row],[Adjusted Form '#]],[1]COMPLETED!$D:$D,[2]COMPLETED!$M:$M,"Not Found")</f>
        <v>Not Found</v>
      </c>
      <c r="V1297" s="17" t="str">
        <f>_xlfn.XLOOKUP(Table2[[#This Row],[Adjusted Form '#]],[2]COMPLETED!$D:$D,[2]COMPLETED!$O:$O,"Not Found")</f>
        <v>Not Found</v>
      </c>
      <c r="W1297" s="2" t="str">
        <f>_xlfn.XLOOKUP(Table2[[#This Row],[Adjusted Form '#]],[2]BILLED!$D:$D,[2]BILLED!$M:$M,"Not Found")</f>
        <v>9400 1361 0605 3072 4289 11</v>
      </c>
      <c r="X1297" s="17" t="e">
        <f>_xlfn.XLOOKUP(Table2[[#This Row],[Adjusted Form '#]],[2]BILLED!$D:$D,[1]BILLED!$O:$O,"Not Found")</f>
        <v>#REF!</v>
      </c>
      <c r="Y1297" s="17" t="e">
        <f>_xlfn.XLOOKUP(Table2[[#This Row],[Adjusted Form '#]],'[2]REJECTED ORDERS'!$D:$D,'[2]REJECTED ORDERS'!$E:$E)</f>
        <v>#N/A</v>
      </c>
      <c r="Z1297" s="1"/>
      <c r="AA1297" s="1"/>
    </row>
    <row r="1298" spans="1:27" ht="15" customHeight="1" x14ac:dyDescent="0.35">
      <c r="A1298" s="4" t="s">
        <v>1944</v>
      </c>
      <c r="B1298" s="1" t="s">
        <v>6176</v>
      </c>
      <c r="C1298" s="11">
        <v>45104</v>
      </c>
      <c r="D1298" s="11" t="s">
        <v>6197</v>
      </c>
      <c r="E1298" s="1" t="s">
        <v>73</v>
      </c>
      <c r="F1298" s="1" t="s">
        <v>6179</v>
      </c>
      <c r="G1298" s="6">
        <f>COUNTIF(F:F,Table2[[#This Row],[Form '#]])</f>
        <v>1</v>
      </c>
      <c r="H1298" s="1" t="s">
        <v>3626</v>
      </c>
      <c r="I1298" s="1" t="s">
        <v>3864</v>
      </c>
      <c r="J1298" s="1" t="s">
        <v>78</v>
      </c>
      <c r="K1298" s="1" t="s">
        <v>3879</v>
      </c>
      <c r="L1298" s="1"/>
      <c r="M1298" s="6" t="str">
        <f>IF(Table2[[#This Row],[Corrected Form '#
 (If Duplicated)]]="",Table2[[#This Row],[Form '#]],Table2[[#This Row],[Corrected Form '#
 (If Duplicated)]])</f>
        <v>7823-03005</v>
      </c>
      <c r="N1298" s="1" t="s">
        <v>49</v>
      </c>
      <c r="O1298" s="6" t="str">
        <f>IF(Table2[[#This Row],[POG CONFIRMATION RECEIPT OF ORDER
(DATE &amp; TIME)]]="","No Confirmation","Received Confirmation")</f>
        <v>Received Confirmation</v>
      </c>
      <c r="P1298" s="6">
        <f ca="1">TODAY()-Table2[[#This Row],[DATE SENT TO POG]]</f>
        <v>199</v>
      </c>
      <c r="Q1298" s="6" t="s">
        <v>5803</v>
      </c>
      <c r="R12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8" s="2" t="str">
        <f>_xlfn.XLOOKUP(Table2[[#This Row],[Adjusted Form '#]],'[2]IN PROGRESS'!$D:$D,'[2]IN PROGRESS'!$M:$M,"Not Found")</f>
        <v>Not Found</v>
      </c>
      <c r="U1298" s="2" t="str">
        <f>_xlfn.XLOOKUP(Table2[[#This Row],[Adjusted Form '#]],[1]COMPLETED!$D:$D,[2]COMPLETED!$M:$M,"Not Found")</f>
        <v>Not Found</v>
      </c>
      <c r="V1298" s="17" t="str">
        <f>_xlfn.XLOOKUP(Table2[[#This Row],[Adjusted Form '#]],[2]COMPLETED!$D:$D,[2]COMPLETED!$O:$O,"Not Found")</f>
        <v>Not Found</v>
      </c>
      <c r="W1298" s="2" t="str">
        <f>_xlfn.XLOOKUP(Table2[[#This Row],[Adjusted Form '#]],[2]BILLED!$D:$D,[2]BILLED!$M:$M,"Not Found")</f>
        <v>9400 1361 0605 3087 1691 99</v>
      </c>
      <c r="X1298" s="17" t="e">
        <f>_xlfn.XLOOKUP(Table2[[#This Row],[Adjusted Form '#]],[2]BILLED!$D:$D,[1]BILLED!$O:$O,"Not Found")</f>
        <v>#REF!</v>
      </c>
      <c r="Y1298" s="17" t="e">
        <f>_xlfn.XLOOKUP(Table2[[#This Row],[Adjusted Form '#]],'[2]REJECTED ORDERS'!$D:$D,'[2]REJECTED ORDERS'!$E:$E)</f>
        <v>#N/A</v>
      </c>
      <c r="Z1298" s="1"/>
      <c r="AA1298" s="1"/>
    </row>
    <row r="1299" spans="1:27" ht="15" customHeight="1" x14ac:dyDescent="0.35">
      <c r="A1299" s="4" t="s">
        <v>1946</v>
      </c>
      <c r="B1299" s="1" t="s">
        <v>6180</v>
      </c>
      <c r="C1299" s="11">
        <v>45105</v>
      </c>
      <c r="D1299" s="11" t="s">
        <v>6198</v>
      </c>
      <c r="E1299" s="1" t="s">
        <v>14</v>
      </c>
      <c r="F1299" s="1" t="s">
        <v>6181</v>
      </c>
      <c r="G1299" s="6">
        <f>COUNTIF(F:F,Table2[[#This Row],[Form '#]])</f>
        <v>1</v>
      </c>
      <c r="H1299" s="1" t="s">
        <v>6182</v>
      </c>
      <c r="I1299" s="1" t="s">
        <v>3864</v>
      </c>
      <c r="J1299" s="1" t="s">
        <v>78</v>
      </c>
      <c r="K1299" s="1" t="s">
        <v>3879</v>
      </c>
      <c r="L1299" s="1"/>
      <c r="M1299" s="6" t="str">
        <f>IF(Table2[[#This Row],[Corrected Form '#
 (If Duplicated)]]="",Table2[[#This Row],[Form '#]],Table2[[#This Row],[Corrected Form '#
 (If Duplicated)]])</f>
        <v>7810-01584</v>
      </c>
      <c r="N1299" s="1" t="s">
        <v>49</v>
      </c>
      <c r="O1299" s="6" t="str">
        <f>IF(Table2[[#This Row],[POG CONFIRMATION RECEIPT OF ORDER
(DATE &amp; TIME)]]="","No Confirmation","Received Confirmation")</f>
        <v>Received Confirmation</v>
      </c>
      <c r="P1299" s="6">
        <f ca="1">TODAY()-Table2[[#This Row],[DATE SENT TO POG]]</f>
        <v>198</v>
      </c>
      <c r="Q1299" s="6" t="s">
        <v>5803</v>
      </c>
      <c r="R12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2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299" s="2" t="str">
        <f>_xlfn.XLOOKUP(Table2[[#This Row],[Adjusted Form '#]],'[2]IN PROGRESS'!$D:$D,'[2]IN PROGRESS'!$M:$M,"Not Found")</f>
        <v>Not Found</v>
      </c>
      <c r="U1299" s="2" t="str">
        <f>_xlfn.XLOOKUP(Table2[[#This Row],[Adjusted Form '#]],[1]COMPLETED!$D:$D,[2]COMPLETED!$M:$M,"Not Found")</f>
        <v>Not Found</v>
      </c>
      <c r="V1299" s="17" t="str">
        <f>_xlfn.XLOOKUP(Table2[[#This Row],[Adjusted Form '#]],[2]COMPLETED!$D:$D,[2]COMPLETED!$O:$O,"Not Found")</f>
        <v>Not Found</v>
      </c>
      <c r="W1299" s="2" t="str">
        <f>_xlfn.XLOOKUP(Table2[[#This Row],[Adjusted Form '#]],[2]BILLED!$D:$D,[2]BILLED!$M:$M,"Not Found")</f>
        <v>9400 1361 0605 3072 3169 04</v>
      </c>
      <c r="X1299" s="17" t="e">
        <f>_xlfn.XLOOKUP(Table2[[#This Row],[Adjusted Form '#]],[2]BILLED!$D:$D,[1]BILLED!$O:$O,"Not Found")</f>
        <v>#REF!</v>
      </c>
      <c r="Y1299" s="17" t="e">
        <f>_xlfn.XLOOKUP(Table2[[#This Row],[Adjusted Form '#]],'[2]REJECTED ORDERS'!$D:$D,'[2]REJECTED ORDERS'!$E:$E)</f>
        <v>#N/A</v>
      </c>
      <c r="Z1299" s="1"/>
      <c r="AA1299" s="1"/>
    </row>
    <row r="1300" spans="1:27" ht="15" customHeight="1" x14ac:dyDescent="0.35">
      <c r="A1300" s="4" t="s">
        <v>1947</v>
      </c>
      <c r="B1300" s="1" t="s">
        <v>2697</v>
      </c>
      <c r="C1300" s="11">
        <v>45105</v>
      </c>
      <c r="D1300" s="11" t="s">
        <v>6199</v>
      </c>
      <c r="E1300" s="1" t="s">
        <v>191</v>
      </c>
      <c r="F1300" s="1" t="s">
        <v>6183</v>
      </c>
      <c r="G1300" s="6">
        <f>COUNTIF(F:F,Table2[[#This Row],[Form '#]])</f>
        <v>1</v>
      </c>
      <c r="H1300" s="1" t="s">
        <v>3692</v>
      </c>
      <c r="I1300" s="1" t="s">
        <v>3864</v>
      </c>
      <c r="J1300" s="1" t="s">
        <v>78</v>
      </c>
      <c r="K1300" s="1" t="s">
        <v>3879</v>
      </c>
      <c r="L1300" s="1"/>
      <c r="M1300" s="6" t="str">
        <f>IF(Table2[[#This Row],[Corrected Form '#
 (If Duplicated)]]="",Table2[[#This Row],[Form '#]],Table2[[#This Row],[Corrected Form '#
 (If Duplicated)]])</f>
        <v>7812-03126</v>
      </c>
      <c r="N1300" s="1" t="s">
        <v>49</v>
      </c>
      <c r="O1300" s="6" t="str">
        <f>IF(Table2[[#This Row],[POG CONFIRMATION RECEIPT OF ORDER
(DATE &amp; TIME)]]="","No Confirmation","Received Confirmation")</f>
        <v>Received Confirmation</v>
      </c>
      <c r="P1300" s="6">
        <f ca="1">TODAY()-Table2[[#This Row],[DATE SENT TO POG]]</f>
        <v>198</v>
      </c>
      <c r="Q1300" s="6" t="s">
        <v>5803</v>
      </c>
      <c r="R13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0" s="2" t="str">
        <f>_xlfn.XLOOKUP(Table2[[#This Row],[Adjusted Form '#]],'[2]IN PROGRESS'!$D:$D,'[2]IN PROGRESS'!$M:$M,"Not Found")</f>
        <v>Not Found</v>
      </c>
      <c r="U1300" s="2" t="str">
        <f>_xlfn.XLOOKUP(Table2[[#This Row],[Adjusted Form '#]],[1]COMPLETED!$D:$D,[2]COMPLETED!$M:$M,"Not Found")</f>
        <v>Not Found</v>
      </c>
      <c r="V1300" s="17" t="str">
        <f>_xlfn.XLOOKUP(Table2[[#This Row],[Adjusted Form '#]],[2]COMPLETED!$D:$D,[2]COMPLETED!$O:$O,"Not Found")</f>
        <v>Not Found</v>
      </c>
      <c r="W1300" s="2" t="str">
        <f>_xlfn.XLOOKUP(Table2[[#This Row],[Adjusted Form '#]],[2]BILLED!$D:$D,[2]BILLED!$M:$M,"Not Found")</f>
        <v>9400 1361 0605 3088 5692 33</v>
      </c>
      <c r="X1300" s="17" t="e">
        <f>_xlfn.XLOOKUP(Table2[[#This Row],[Adjusted Form '#]],[2]BILLED!$D:$D,[1]BILLED!$O:$O,"Not Found")</f>
        <v>#REF!</v>
      </c>
      <c r="Y1300" s="17" t="e">
        <f>_xlfn.XLOOKUP(Table2[[#This Row],[Adjusted Form '#]],'[2]REJECTED ORDERS'!$D:$D,'[2]REJECTED ORDERS'!$E:$E)</f>
        <v>#N/A</v>
      </c>
      <c r="Z1300" s="1"/>
      <c r="AA1300" s="1"/>
    </row>
    <row r="1301" spans="1:27" ht="15" customHeight="1" x14ac:dyDescent="0.35">
      <c r="A1301" s="4" t="s">
        <v>1948</v>
      </c>
      <c r="B1301" s="1" t="s">
        <v>2697</v>
      </c>
      <c r="C1301" s="11">
        <v>45105</v>
      </c>
      <c r="D1301" s="11" t="s">
        <v>6199</v>
      </c>
      <c r="E1301" s="1" t="s">
        <v>191</v>
      </c>
      <c r="F1301" s="1" t="s">
        <v>6184</v>
      </c>
      <c r="G1301" s="6">
        <f>COUNTIF(F:F,Table2[[#This Row],[Form '#]])</f>
        <v>1</v>
      </c>
      <c r="H1301" s="1" t="s">
        <v>6185</v>
      </c>
      <c r="I1301" s="1" t="s">
        <v>127</v>
      </c>
      <c r="J1301" s="1" t="s">
        <v>76</v>
      </c>
      <c r="K1301" s="1" t="s">
        <v>4011</v>
      </c>
      <c r="L1301" s="1"/>
      <c r="M1301" s="6" t="str">
        <f>IF(Table2[[#This Row],[Corrected Form '#
 (If Duplicated)]]="",Table2[[#This Row],[Form '#]],Table2[[#This Row],[Corrected Form '#
 (If Duplicated)]])</f>
        <v>7812-03129</v>
      </c>
      <c r="N1301" s="1" t="s">
        <v>49</v>
      </c>
      <c r="O1301" s="6" t="str">
        <f>IF(Table2[[#This Row],[POG CONFIRMATION RECEIPT OF ORDER
(DATE &amp; TIME)]]="","No Confirmation","Received Confirmation")</f>
        <v>Received Confirmation</v>
      </c>
      <c r="P1301" s="6">
        <f ca="1">TODAY()-Table2[[#This Row],[DATE SENT TO POG]]</f>
        <v>198</v>
      </c>
      <c r="Q1301" s="6" t="s">
        <v>5803</v>
      </c>
      <c r="R13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1" s="2" t="str">
        <f>_xlfn.XLOOKUP(Table2[[#This Row],[Adjusted Form '#]],'[2]IN PROGRESS'!$D:$D,'[2]IN PROGRESS'!$M:$M,"Not Found")</f>
        <v>Not Found</v>
      </c>
      <c r="U1301" s="2" t="str">
        <f>_xlfn.XLOOKUP(Table2[[#This Row],[Adjusted Form '#]],[1]COMPLETED!$D:$D,[2]COMPLETED!$M:$M,"Not Found")</f>
        <v>Not Found</v>
      </c>
      <c r="V1301" s="17" t="str">
        <f>_xlfn.XLOOKUP(Table2[[#This Row],[Adjusted Form '#]],[2]COMPLETED!$D:$D,[2]COMPLETED!$O:$O,"Not Found")</f>
        <v>Not Found</v>
      </c>
      <c r="W1301" s="2" t="str">
        <f>_xlfn.XLOOKUP(Table2[[#This Row],[Adjusted Form '#]],[2]BILLED!$D:$D,[2]BILLED!$M:$M,"Not Found")</f>
        <v>9400 1361 0605 3153 8152 96</v>
      </c>
      <c r="X1301" s="17" t="e">
        <f>_xlfn.XLOOKUP(Table2[[#This Row],[Adjusted Form '#]],[2]BILLED!$D:$D,[1]BILLED!$O:$O,"Not Found")</f>
        <v>#REF!</v>
      </c>
      <c r="Y1301" s="17" t="e">
        <f>_xlfn.XLOOKUP(Table2[[#This Row],[Adjusted Form '#]],'[2]REJECTED ORDERS'!$D:$D,'[2]REJECTED ORDERS'!$E:$E)</f>
        <v>#N/A</v>
      </c>
      <c r="Z1301" s="1"/>
      <c r="AA1301" s="1"/>
    </row>
    <row r="1302" spans="1:27" ht="15" customHeight="1" x14ac:dyDescent="0.35">
      <c r="A1302" s="4" t="s">
        <v>1949</v>
      </c>
      <c r="B1302" s="1" t="s">
        <v>2697</v>
      </c>
      <c r="C1302" s="11">
        <v>45105</v>
      </c>
      <c r="D1302" s="11" t="s">
        <v>6199</v>
      </c>
      <c r="E1302" s="1" t="s">
        <v>191</v>
      </c>
      <c r="F1302" s="1" t="s">
        <v>6186</v>
      </c>
      <c r="G1302" s="6">
        <f>COUNTIF(F:F,Table2[[#This Row],[Form '#]])</f>
        <v>1</v>
      </c>
      <c r="H1302" s="1" t="s">
        <v>2972</v>
      </c>
      <c r="I1302" s="1" t="s">
        <v>177</v>
      </c>
      <c r="J1302" s="1" t="s">
        <v>75</v>
      </c>
      <c r="K1302" s="1" t="s">
        <v>3853</v>
      </c>
      <c r="L1302" s="1"/>
      <c r="M1302" s="6" t="str">
        <f>IF(Table2[[#This Row],[Corrected Form '#
 (If Duplicated)]]="",Table2[[#This Row],[Form '#]],Table2[[#This Row],[Corrected Form '#
 (If Duplicated)]])</f>
        <v>7812-3929</v>
      </c>
      <c r="N1302" s="1" t="s">
        <v>49</v>
      </c>
      <c r="O1302" s="6" t="str">
        <f>IF(Table2[[#This Row],[POG CONFIRMATION RECEIPT OF ORDER
(DATE &amp; TIME)]]="","No Confirmation","Received Confirmation")</f>
        <v>Received Confirmation</v>
      </c>
      <c r="P1302" s="6">
        <f ca="1">TODAY()-Table2[[#This Row],[DATE SENT TO POG]]</f>
        <v>198</v>
      </c>
      <c r="Q1302" s="6" t="s">
        <v>5803</v>
      </c>
      <c r="R13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0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02" s="2" t="str">
        <f>_xlfn.XLOOKUP(Table2[[#This Row],[Adjusted Form '#]],'[2]IN PROGRESS'!$D:$D,'[2]IN PROGRESS'!$M:$M,"Not Found")</f>
        <v>Not Found</v>
      </c>
      <c r="U1302" s="2" t="str">
        <f>_xlfn.XLOOKUP(Table2[[#This Row],[Adjusted Form '#]],[1]COMPLETED!$D:$D,[2]COMPLETED!$M:$M,"Not Found")</f>
        <v>Not Found</v>
      </c>
      <c r="V1302" s="17">
        <f>_xlfn.XLOOKUP(Table2[[#This Row],[Adjusted Form '#]],[2]COMPLETED!$D:$D,[2]COMPLETED!$O:$O,"Not Found")</f>
        <v>0</v>
      </c>
      <c r="W1302" s="2" t="str">
        <f>_xlfn.XLOOKUP(Table2[[#This Row],[Adjusted Form '#]],[2]BILLED!$D:$D,[2]BILLED!$M:$M,"Not Found")</f>
        <v>Not Found</v>
      </c>
      <c r="X1302" s="17" t="str">
        <f>_xlfn.XLOOKUP(Table2[[#This Row],[Adjusted Form '#]],[2]BILLED!$D:$D,[1]BILLED!$O:$O,"Not Found")</f>
        <v>Not Found</v>
      </c>
      <c r="Y1302" s="17" t="e">
        <f>_xlfn.XLOOKUP(Table2[[#This Row],[Adjusted Form '#]],'[2]REJECTED ORDERS'!$D:$D,'[2]REJECTED ORDERS'!$E:$E)</f>
        <v>#N/A</v>
      </c>
      <c r="Z1302" s="1"/>
      <c r="AA1302" s="1"/>
    </row>
    <row r="1303" spans="1:27" ht="15" customHeight="1" x14ac:dyDescent="0.35">
      <c r="A1303" s="4" t="s">
        <v>1950</v>
      </c>
      <c r="B1303" s="1" t="s">
        <v>2697</v>
      </c>
      <c r="C1303" s="11">
        <v>45105</v>
      </c>
      <c r="D1303" s="11" t="s">
        <v>6199</v>
      </c>
      <c r="E1303" s="1" t="s">
        <v>191</v>
      </c>
      <c r="F1303" s="1" t="s">
        <v>6187</v>
      </c>
      <c r="G1303" s="6">
        <f>COUNTIF(F:F,Table2[[#This Row],[Form '#]])</f>
        <v>1</v>
      </c>
      <c r="H1303" s="1" t="s">
        <v>6188</v>
      </c>
      <c r="I1303" s="1" t="s">
        <v>127</v>
      </c>
      <c r="J1303" s="1" t="s">
        <v>76</v>
      </c>
      <c r="K1303" s="1" t="s">
        <v>4011</v>
      </c>
      <c r="L1303" s="1"/>
      <c r="M1303" s="6" t="str">
        <f>IF(Table2[[#This Row],[Corrected Form '#
 (If Duplicated)]]="",Table2[[#This Row],[Form '#]],Table2[[#This Row],[Corrected Form '#
 (If Duplicated)]])</f>
        <v>7812-01441</v>
      </c>
      <c r="N1303" s="1" t="s">
        <v>49</v>
      </c>
      <c r="O1303" s="6" t="str">
        <f>IF(Table2[[#This Row],[POG CONFIRMATION RECEIPT OF ORDER
(DATE &amp; TIME)]]="","No Confirmation","Received Confirmation")</f>
        <v>Received Confirmation</v>
      </c>
      <c r="P1303" s="6">
        <f ca="1">TODAY()-Table2[[#This Row],[DATE SENT TO POG]]</f>
        <v>198</v>
      </c>
      <c r="Q1303" s="6" t="s">
        <v>5803</v>
      </c>
      <c r="R13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3" s="2" t="str">
        <f>_xlfn.XLOOKUP(Table2[[#This Row],[Adjusted Form '#]],'[2]IN PROGRESS'!$D:$D,'[2]IN PROGRESS'!$M:$M,"Not Found")</f>
        <v>Not Found</v>
      </c>
      <c r="U1303" s="2" t="str">
        <f>_xlfn.XLOOKUP(Table2[[#This Row],[Adjusted Form '#]],[1]COMPLETED!$D:$D,[2]COMPLETED!$M:$M,"Not Found")</f>
        <v>Not Found</v>
      </c>
      <c r="V1303" s="17" t="str">
        <f>_xlfn.XLOOKUP(Table2[[#This Row],[Adjusted Form '#]],[2]COMPLETED!$D:$D,[2]COMPLETED!$O:$O,"Not Found")</f>
        <v>Not Found</v>
      </c>
      <c r="W1303" s="2" t="str">
        <f>_xlfn.XLOOKUP(Table2[[#This Row],[Adjusted Form '#]],[2]BILLED!$D:$D,[2]BILLED!$M:$M,"Not Found")</f>
        <v>9400 1361 0605 3153 7226 48</v>
      </c>
      <c r="X1303" s="17" t="e">
        <f>_xlfn.XLOOKUP(Table2[[#This Row],[Adjusted Form '#]],[2]BILLED!$D:$D,[1]BILLED!$O:$O,"Not Found")</f>
        <v>#REF!</v>
      </c>
      <c r="Y1303" s="17" t="e">
        <f>_xlfn.XLOOKUP(Table2[[#This Row],[Adjusted Form '#]],'[2]REJECTED ORDERS'!$D:$D,'[2]REJECTED ORDERS'!$E:$E)</f>
        <v>#N/A</v>
      </c>
      <c r="Z1303" s="1"/>
      <c r="AA1303" s="1"/>
    </row>
    <row r="1304" spans="1:27" ht="15" customHeight="1" x14ac:dyDescent="0.35">
      <c r="A1304" s="4" t="s">
        <v>1952</v>
      </c>
      <c r="B1304" s="1" t="s">
        <v>2697</v>
      </c>
      <c r="C1304" s="11">
        <v>45105</v>
      </c>
      <c r="D1304" s="11" t="s">
        <v>6199</v>
      </c>
      <c r="E1304" s="1" t="s">
        <v>191</v>
      </c>
      <c r="F1304" s="1" t="s">
        <v>6189</v>
      </c>
      <c r="G1304" s="6">
        <f>COUNTIF(F:F,Table2[[#This Row],[Form '#]])</f>
        <v>1</v>
      </c>
      <c r="H1304" s="1" t="s">
        <v>6190</v>
      </c>
      <c r="I1304" s="1" t="s">
        <v>3864</v>
      </c>
      <c r="J1304" s="1" t="s">
        <v>78</v>
      </c>
      <c r="K1304" s="1" t="s">
        <v>3879</v>
      </c>
      <c r="L1304" s="1"/>
      <c r="M1304" s="6" t="str">
        <f>IF(Table2[[#This Row],[Corrected Form '#
 (If Duplicated)]]="",Table2[[#This Row],[Form '#]],Table2[[#This Row],[Corrected Form '#
 (If Duplicated)]])</f>
        <v>7812-03131</v>
      </c>
      <c r="N1304" s="1" t="s">
        <v>49</v>
      </c>
      <c r="O1304" s="6" t="str">
        <f>IF(Table2[[#This Row],[POG CONFIRMATION RECEIPT OF ORDER
(DATE &amp; TIME)]]="","No Confirmation","Received Confirmation")</f>
        <v>Received Confirmation</v>
      </c>
      <c r="P1304" s="6">
        <f ca="1">TODAY()-Table2[[#This Row],[DATE SENT TO POG]]</f>
        <v>198</v>
      </c>
      <c r="Q1304" s="6" t="s">
        <v>5803</v>
      </c>
      <c r="R13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4" s="2" t="str">
        <f>_xlfn.XLOOKUP(Table2[[#This Row],[Adjusted Form '#]],'[2]IN PROGRESS'!$D:$D,'[2]IN PROGRESS'!$M:$M,"Not Found")</f>
        <v>Not Found</v>
      </c>
      <c r="U1304" s="2" t="str">
        <f>_xlfn.XLOOKUP(Table2[[#This Row],[Adjusted Form '#]],[1]COMPLETED!$D:$D,[2]COMPLETED!$M:$M,"Not Found")</f>
        <v>Not Found</v>
      </c>
      <c r="V1304" s="17" t="str">
        <f>_xlfn.XLOOKUP(Table2[[#This Row],[Adjusted Form '#]],[2]COMPLETED!$D:$D,[2]COMPLETED!$O:$O,"Not Found")</f>
        <v>Not Found</v>
      </c>
      <c r="W1304" s="2" t="str">
        <f>_xlfn.XLOOKUP(Table2[[#This Row],[Adjusted Form '#]],[2]BILLED!$D:$D,[2]BILLED!$M:$M,"Not Found")</f>
        <v>9400 1361 0605 3116 8263 76</v>
      </c>
      <c r="X1304" s="17" t="e">
        <f>_xlfn.XLOOKUP(Table2[[#This Row],[Adjusted Form '#]],[2]BILLED!$D:$D,[1]BILLED!$O:$O,"Not Found")</f>
        <v>#REF!</v>
      </c>
      <c r="Y1304" s="17" t="e">
        <f>_xlfn.XLOOKUP(Table2[[#This Row],[Adjusted Form '#]],'[2]REJECTED ORDERS'!$D:$D,'[2]REJECTED ORDERS'!$E:$E)</f>
        <v>#N/A</v>
      </c>
      <c r="Z1304" s="1"/>
      <c r="AA1304" s="1"/>
    </row>
    <row r="1305" spans="1:27" ht="15" customHeight="1" x14ac:dyDescent="0.35">
      <c r="A1305" s="4" t="s">
        <v>1954</v>
      </c>
      <c r="B1305" s="1" t="s">
        <v>2697</v>
      </c>
      <c r="C1305" s="11">
        <v>45105</v>
      </c>
      <c r="D1305" s="11" t="s">
        <v>6199</v>
      </c>
      <c r="E1305" s="1" t="s">
        <v>191</v>
      </c>
      <c r="F1305" s="1" t="s">
        <v>6191</v>
      </c>
      <c r="G1305" s="6">
        <f>COUNTIF(F:F,Table2[[#This Row],[Form '#]])</f>
        <v>1</v>
      </c>
      <c r="H1305" s="1" t="s">
        <v>1628</v>
      </c>
      <c r="I1305" s="1" t="s">
        <v>758</v>
      </c>
      <c r="J1305" s="1" t="s">
        <v>78</v>
      </c>
      <c r="K1305" s="1" t="s">
        <v>3853</v>
      </c>
      <c r="L1305" s="1"/>
      <c r="M1305" s="6" t="str">
        <f>IF(Table2[[#This Row],[Corrected Form '#
 (If Duplicated)]]="",Table2[[#This Row],[Form '#]],Table2[[#This Row],[Corrected Form '#
 (If Duplicated)]])</f>
        <v>7812-03124</v>
      </c>
      <c r="N1305" s="1" t="s">
        <v>49</v>
      </c>
      <c r="O1305" s="6" t="str">
        <f>IF(Table2[[#This Row],[POG CONFIRMATION RECEIPT OF ORDER
(DATE &amp; TIME)]]="","No Confirmation","Received Confirmation")</f>
        <v>Received Confirmation</v>
      </c>
      <c r="P1305" s="6">
        <f ca="1">TODAY()-Table2[[#This Row],[DATE SENT TO POG]]</f>
        <v>198</v>
      </c>
      <c r="Q1305" s="6" t="s">
        <v>5803</v>
      </c>
      <c r="R13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5" s="2" t="str">
        <f>_xlfn.XLOOKUP(Table2[[#This Row],[Adjusted Form '#]],'[2]IN PROGRESS'!$D:$D,'[2]IN PROGRESS'!$M:$M,"Not Found")</f>
        <v>Not Found</v>
      </c>
      <c r="U1305" s="2" t="str">
        <f>_xlfn.XLOOKUP(Table2[[#This Row],[Adjusted Form '#]],[1]COMPLETED!$D:$D,[2]COMPLETED!$M:$M,"Not Found")</f>
        <v>Not Found</v>
      </c>
      <c r="V1305" s="17" t="str">
        <f>_xlfn.XLOOKUP(Table2[[#This Row],[Adjusted Form '#]],[2]COMPLETED!$D:$D,[2]COMPLETED!$O:$O,"Not Found")</f>
        <v>Not Found</v>
      </c>
      <c r="W1305" s="2" t="str">
        <f>_xlfn.XLOOKUP(Table2[[#This Row],[Adjusted Form '#]],[2]BILLED!$D:$D,[2]BILLED!$M:$M,"Not Found")</f>
        <v>1Z5063E0YW42339767</v>
      </c>
      <c r="X1305" s="17" t="e">
        <f>_xlfn.XLOOKUP(Table2[[#This Row],[Adjusted Form '#]],[2]BILLED!$D:$D,[1]BILLED!$O:$O,"Not Found")</f>
        <v>#REF!</v>
      </c>
      <c r="Y1305" s="17" t="e">
        <f>_xlfn.XLOOKUP(Table2[[#This Row],[Adjusted Form '#]],'[2]REJECTED ORDERS'!$D:$D,'[2]REJECTED ORDERS'!$E:$E)</f>
        <v>#N/A</v>
      </c>
      <c r="Z1305" s="1"/>
      <c r="AA1305" s="1"/>
    </row>
    <row r="1306" spans="1:27" ht="15" customHeight="1" x14ac:dyDescent="0.35">
      <c r="A1306" s="4" t="s">
        <v>1955</v>
      </c>
      <c r="B1306" s="1" t="s">
        <v>4805</v>
      </c>
      <c r="C1306" s="11">
        <v>45105</v>
      </c>
      <c r="D1306" s="11" t="s">
        <v>6200</v>
      </c>
      <c r="E1306" s="1" t="s">
        <v>21</v>
      </c>
      <c r="F1306" s="1" t="s">
        <v>6192</v>
      </c>
      <c r="G1306" s="6">
        <f>COUNTIF(F:F,Table2[[#This Row],[Form '#]])</f>
        <v>1</v>
      </c>
      <c r="H1306" s="1" t="s">
        <v>4391</v>
      </c>
      <c r="I1306" s="1" t="s">
        <v>127</v>
      </c>
      <c r="J1306" s="1" t="s">
        <v>76</v>
      </c>
      <c r="K1306" s="1" t="s">
        <v>3883</v>
      </c>
      <c r="L1306" s="1"/>
      <c r="M1306" s="6" t="str">
        <f>IF(Table2[[#This Row],[Corrected Form '#
 (If Duplicated)]]="",Table2[[#This Row],[Form '#]],Table2[[#This Row],[Corrected Form '#
 (If Duplicated)]])</f>
        <v>7818-31052</v>
      </c>
      <c r="N1306" s="1" t="s">
        <v>49</v>
      </c>
      <c r="O1306" s="6" t="str">
        <f>IF(Table2[[#This Row],[POG CONFIRMATION RECEIPT OF ORDER
(DATE &amp; TIME)]]="","No Confirmation","Received Confirmation")</f>
        <v>Received Confirmation</v>
      </c>
      <c r="P1306" s="6">
        <f ca="1">TODAY()-Table2[[#This Row],[DATE SENT TO POG]]</f>
        <v>198</v>
      </c>
      <c r="Q1306" s="6" t="s">
        <v>5803</v>
      </c>
      <c r="R13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6" s="2" t="str">
        <f>_xlfn.XLOOKUP(Table2[[#This Row],[Adjusted Form '#]],'[2]IN PROGRESS'!$D:$D,'[2]IN PROGRESS'!$M:$M,"Not Found")</f>
        <v>Not Found</v>
      </c>
      <c r="U1306" s="2" t="str">
        <f>_xlfn.XLOOKUP(Table2[[#This Row],[Adjusted Form '#]],[1]COMPLETED!$D:$D,[2]COMPLETED!$M:$M,"Not Found")</f>
        <v>Not Found</v>
      </c>
      <c r="V1306" s="17" t="str">
        <f>_xlfn.XLOOKUP(Table2[[#This Row],[Adjusted Form '#]],[2]COMPLETED!$D:$D,[2]COMPLETED!$O:$O,"Not Found")</f>
        <v>Not Found</v>
      </c>
      <c r="W1306" s="2" t="str">
        <f>_xlfn.XLOOKUP(Table2[[#This Row],[Adjusted Form '#]],[2]BILLED!$D:$D,[2]BILLED!$M:$M,"Not Found")</f>
        <v>1Z5063E0YW41141463</v>
      </c>
      <c r="X1306" s="17" t="e">
        <f>_xlfn.XLOOKUP(Table2[[#This Row],[Adjusted Form '#]],[2]BILLED!$D:$D,[1]BILLED!$O:$O,"Not Found")</f>
        <v>#REF!</v>
      </c>
      <c r="Y1306" s="17" t="e">
        <f>_xlfn.XLOOKUP(Table2[[#This Row],[Adjusted Form '#]],'[2]REJECTED ORDERS'!$D:$D,'[2]REJECTED ORDERS'!$E:$E)</f>
        <v>#N/A</v>
      </c>
      <c r="Z1306" s="1"/>
      <c r="AA1306" s="1"/>
    </row>
    <row r="1307" spans="1:27" ht="15" customHeight="1" x14ac:dyDescent="0.35">
      <c r="A1307" s="4" t="s">
        <v>1956</v>
      </c>
      <c r="B1307" s="1" t="s">
        <v>4805</v>
      </c>
      <c r="C1307" s="11">
        <v>45105</v>
      </c>
      <c r="D1307" s="11" t="s">
        <v>6200</v>
      </c>
      <c r="E1307" s="1" t="s">
        <v>21</v>
      </c>
      <c r="F1307" s="1" t="s">
        <v>6193</v>
      </c>
      <c r="G1307" s="6">
        <f>COUNTIF(F:F,Table2[[#This Row],[Form '#]])</f>
        <v>1</v>
      </c>
      <c r="H1307" s="1" t="s">
        <v>656</v>
      </c>
      <c r="I1307" s="1" t="s">
        <v>758</v>
      </c>
      <c r="J1307" s="1" t="s">
        <v>78</v>
      </c>
      <c r="K1307" s="1" t="s">
        <v>3853</v>
      </c>
      <c r="L1307" s="1"/>
      <c r="M1307" s="6" t="str">
        <f>IF(Table2[[#This Row],[Corrected Form '#
 (If Duplicated)]]="",Table2[[#This Row],[Form '#]],Table2[[#This Row],[Corrected Form '#
 (If Duplicated)]])</f>
        <v>7818-27253</v>
      </c>
      <c r="N1307" s="1" t="s">
        <v>49</v>
      </c>
      <c r="O1307" s="6" t="str">
        <f>IF(Table2[[#This Row],[POG CONFIRMATION RECEIPT OF ORDER
(DATE &amp; TIME)]]="","No Confirmation","Received Confirmation")</f>
        <v>Received Confirmation</v>
      </c>
      <c r="P1307" s="6">
        <f ca="1">TODAY()-Table2[[#This Row],[DATE SENT TO POG]]</f>
        <v>198</v>
      </c>
      <c r="Q1307" s="6" t="s">
        <v>5803</v>
      </c>
      <c r="R13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7" s="2" t="str">
        <f>_xlfn.XLOOKUP(Table2[[#This Row],[Adjusted Form '#]],'[2]IN PROGRESS'!$D:$D,'[2]IN PROGRESS'!$M:$M,"Not Found")</f>
        <v>Not Found</v>
      </c>
      <c r="U1307" s="2" t="str">
        <f>_xlfn.XLOOKUP(Table2[[#This Row],[Adjusted Form '#]],[1]COMPLETED!$D:$D,[2]COMPLETED!$M:$M,"Not Found")</f>
        <v>Not Found</v>
      </c>
      <c r="V1307" s="17" t="str">
        <f>_xlfn.XLOOKUP(Table2[[#This Row],[Adjusted Form '#]],[2]COMPLETED!$D:$D,[2]COMPLETED!$O:$O,"Not Found")</f>
        <v>Not Found</v>
      </c>
      <c r="W1307" s="2" t="str">
        <f>_xlfn.XLOOKUP(Table2[[#This Row],[Adjusted Form '#]],[2]BILLED!$D:$D,[2]BILLED!$M:$M,"Not Found")</f>
        <v>1Z5063E0YW40891904</v>
      </c>
      <c r="X1307" s="17" t="e">
        <f>_xlfn.XLOOKUP(Table2[[#This Row],[Adjusted Form '#]],[2]BILLED!$D:$D,[1]BILLED!$O:$O,"Not Found")</f>
        <v>#REF!</v>
      </c>
      <c r="Y1307" s="17" t="e">
        <f>_xlfn.XLOOKUP(Table2[[#This Row],[Adjusted Form '#]],'[2]REJECTED ORDERS'!$D:$D,'[2]REJECTED ORDERS'!$E:$E)</f>
        <v>#N/A</v>
      </c>
      <c r="Z1307" s="1"/>
      <c r="AA1307" s="1"/>
    </row>
    <row r="1308" spans="1:27" ht="15" customHeight="1" x14ac:dyDescent="0.35">
      <c r="A1308" s="4" t="s">
        <v>1959</v>
      </c>
      <c r="B1308" s="1" t="s">
        <v>4805</v>
      </c>
      <c r="C1308" s="11">
        <v>45105</v>
      </c>
      <c r="D1308" s="11" t="s">
        <v>6200</v>
      </c>
      <c r="E1308" s="1" t="s">
        <v>21</v>
      </c>
      <c r="F1308" s="1" t="s">
        <v>6194</v>
      </c>
      <c r="G1308" s="6">
        <f>COUNTIF(F:F,Table2[[#This Row],[Form '#]])</f>
        <v>1</v>
      </c>
      <c r="H1308" s="1" t="s">
        <v>1007</v>
      </c>
      <c r="I1308" s="1" t="s">
        <v>3852</v>
      </c>
      <c r="J1308" s="1" t="s">
        <v>80</v>
      </c>
      <c r="K1308" s="1" t="s">
        <v>3853</v>
      </c>
      <c r="L1308" s="1"/>
      <c r="M1308" s="6" t="str">
        <f>IF(Table2[[#This Row],[Corrected Form '#
 (If Duplicated)]]="",Table2[[#This Row],[Form '#]],Table2[[#This Row],[Corrected Form '#
 (If Duplicated)]])</f>
        <v>7818-26062</v>
      </c>
      <c r="N1308" s="1" t="s">
        <v>49</v>
      </c>
      <c r="O1308" s="6" t="str">
        <f>IF(Table2[[#This Row],[POG CONFIRMATION RECEIPT OF ORDER
(DATE &amp; TIME)]]="","No Confirmation","Received Confirmation")</f>
        <v>Received Confirmation</v>
      </c>
      <c r="P1308" s="6">
        <f ca="1">TODAY()-Table2[[#This Row],[DATE SENT TO POG]]</f>
        <v>198</v>
      </c>
      <c r="Q1308" s="6" t="s">
        <v>5803</v>
      </c>
      <c r="R13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08" s="2" t="str">
        <f>_xlfn.XLOOKUP(Table2[[#This Row],[Adjusted Form '#]],'[2]IN PROGRESS'!$D:$D,'[2]IN PROGRESS'!$M:$M,"Not Found")</f>
        <v>Not Found</v>
      </c>
      <c r="U1308" s="2" t="str">
        <f>_xlfn.XLOOKUP(Table2[[#This Row],[Adjusted Form '#]],[1]COMPLETED!$D:$D,[2]COMPLETED!$M:$M,"Not Found")</f>
        <v>Not Found</v>
      </c>
      <c r="V1308" s="17" t="str">
        <f>_xlfn.XLOOKUP(Table2[[#This Row],[Adjusted Form '#]],[2]COMPLETED!$D:$D,[2]COMPLETED!$O:$O,"Not Found")</f>
        <v>Not Found</v>
      </c>
      <c r="W1308" s="2" t="str">
        <f>_xlfn.XLOOKUP(Table2[[#This Row],[Adjusted Form '#]],[2]BILLED!$D:$D,[2]BILLED!$M:$M,"Not Found")</f>
        <v>9400 1361 0605 3072 4216 15</v>
      </c>
      <c r="X1308" s="17" t="e">
        <f>_xlfn.XLOOKUP(Table2[[#This Row],[Adjusted Form '#]],[2]BILLED!$D:$D,[1]BILLED!$O:$O,"Not Found")</f>
        <v>#REF!</v>
      </c>
      <c r="Y1308" s="17" t="e">
        <f>_xlfn.XLOOKUP(Table2[[#This Row],[Adjusted Form '#]],'[2]REJECTED ORDERS'!$D:$D,'[2]REJECTED ORDERS'!$E:$E)</f>
        <v>#N/A</v>
      </c>
      <c r="Z1308" s="1"/>
      <c r="AA1308" s="1"/>
    </row>
    <row r="1309" spans="1:27" ht="15" customHeight="1" x14ac:dyDescent="0.35">
      <c r="A1309" s="4" t="s">
        <v>1961</v>
      </c>
      <c r="B1309" s="1" t="s">
        <v>4805</v>
      </c>
      <c r="C1309" s="11">
        <v>45105</v>
      </c>
      <c r="D1309" s="11" t="s">
        <v>6200</v>
      </c>
      <c r="E1309" s="1" t="s">
        <v>21</v>
      </c>
      <c r="F1309" s="1" t="s">
        <v>6213</v>
      </c>
      <c r="G1309" s="6">
        <f>COUNTIF(F:F,Table2[[#This Row],[Form '#]])</f>
        <v>1</v>
      </c>
      <c r="H1309" s="1" t="s">
        <v>341</v>
      </c>
      <c r="I1309" s="1" t="s">
        <v>3852</v>
      </c>
      <c r="J1309" s="1" t="s">
        <v>80</v>
      </c>
      <c r="K1309" s="1" t="s">
        <v>3853</v>
      </c>
      <c r="L1309" s="1"/>
      <c r="M1309" s="6" t="str">
        <f>IF(Table2[[#This Row],[Corrected Form '#
 (If Duplicated)]]="",Table2[[#This Row],[Form '#]],Table2[[#This Row],[Corrected Form '#
 (If Duplicated)]])</f>
        <v>7818-1823</v>
      </c>
      <c r="N1309" s="1" t="s">
        <v>49</v>
      </c>
      <c r="O1309" s="6" t="str">
        <f>IF(Table2[[#This Row],[POG CONFIRMATION RECEIPT OF ORDER
(DATE &amp; TIME)]]="","No Confirmation","Received Confirmation")</f>
        <v>Received Confirmation</v>
      </c>
      <c r="P1309" s="6">
        <f ca="1">TODAY()-Table2[[#This Row],[DATE SENT TO POG]]</f>
        <v>198</v>
      </c>
      <c r="Q1309" s="6" t="s">
        <v>5802</v>
      </c>
      <c r="R13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0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09" s="2" t="str">
        <f>_xlfn.XLOOKUP(Table2[[#This Row],[Adjusted Form '#]],'[2]IN PROGRESS'!$D:$D,'[2]IN PROGRESS'!$M:$M,"Not Found")</f>
        <v>Not Found</v>
      </c>
      <c r="U1309" s="2" t="str">
        <f>_xlfn.XLOOKUP(Table2[[#This Row],[Adjusted Form '#]],[1]COMPLETED!$D:$D,[2]COMPLETED!$M:$M,"Not Found")</f>
        <v>Not Found</v>
      </c>
      <c r="V1309" s="17" t="str">
        <f>_xlfn.XLOOKUP(Table2[[#This Row],[Adjusted Form '#]],[2]COMPLETED!$D:$D,[2]COMPLETED!$O:$O,"Not Found")</f>
        <v>Not Found</v>
      </c>
      <c r="W1309" s="2" t="str">
        <f>_xlfn.XLOOKUP(Table2[[#This Row],[Adjusted Form '#]],[2]BILLED!$D:$D,[2]BILLED!$M:$M,"Not Found")</f>
        <v>Not Found</v>
      </c>
      <c r="X1309" s="17" t="str">
        <f>_xlfn.XLOOKUP(Table2[[#This Row],[Adjusted Form '#]],[2]BILLED!$D:$D,[1]BILLED!$O:$O,"Not Found")</f>
        <v>Not Found</v>
      </c>
      <c r="Y1309" s="17" t="e">
        <f>_xlfn.XLOOKUP(Table2[[#This Row],[Adjusted Form '#]],'[2]REJECTED ORDERS'!$D:$D,'[2]REJECTED ORDERS'!$E:$E)</f>
        <v>#N/A</v>
      </c>
      <c r="Z1309" s="1"/>
      <c r="AA1309" s="1"/>
    </row>
    <row r="1310" spans="1:27" ht="15" customHeight="1" x14ac:dyDescent="0.35">
      <c r="A1310" s="4" t="s">
        <v>1962</v>
      </c>
      <c r="B1310" s="1" t="s">
        <v>2104</v>
      </c>
      <c r="C1310" s="11">
        <v>45105</v>
      </c>
      <c r="D1310" s="11" t="s">
        <v>6201</v>
      </c>
      <c r="E1310" s="1" t="s">
        <v>73</v>
      </c>
      <c r="F1310" s="1" t="s">
        <v>6195</v>
      </c>
      <c r="G1310" s="6">
        <f>COUNTIF(F:F,Table2[[#This Row],[Form '#]])</f>
        <v>1</v>
      </c>
      <c r="H1310" s="1" t="s">
        <v>6196</v>
      </c>
      <c r="I1310" s="1" t="s">
        <v>3852</v>
      </c>
      <c r="J1310" s="1" t="s">
        <v>80</v>
      </c>
      <c r="K1310" s="1" t="s">
        <v>3853</v>
      </c>
      <c r="L1310" s="1"/>
      <c r="M1310" s="6" t="str">
        <f>IF(Table2[[#This Row],[Corrected Form '#
 (If Duplicated)]]="",Table2[[#This Row],[Form '#]],Table2[[#This Row],[Corrected Form '#
 (If Duplicated)]])</f>
        <v>7823-02680</v>
      </c>
      <c r="N1310" s="1" t="s">
        <v>49</v>
      </c>
      <c r="O1310" s="6" t="str">
        <f>IF(Table2[[#This Row],[POG CONFIRMATION RECEIPT OF ORDER
(DATE &amp; TIME)]]="","No Confirmation","Received Confirmation")</f>
        <v>Received Confirmation</v>
      </c>
      <c r="P1310" s="6">
        <f ca="1">TODAY()-Table2[[#This Row],[DATE SENT TO POG]]</f>
        <v>198</v>
      </c>
      <c r="Q1310" s="6" t="s">
        <v>5803</v>
      </c>
      <c r="R13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0" s="2" t="str">
        <f>_xlfn.XLOOKUP(Table2[[#This Row],[Adjusted Form '#]],'[2]IN PROGRESS'!$D:$D,'[2]IN PROGRESS'!$M:$M,"Not Found")</f>
        <v>Not Found</v>
      </c>
      <c r="U1310" s="2" t="str">
        <f>_xlfn.XLOOKUP(Table2[[#This Row],[Adjusted Form '#]],[1]COMPLETED!$D:$D,[2]COMPLETED!$M:$M,"Not Found")</f>
        <v>Not Found</v>
      </c>
      <c r="V1310" s="17" t="str">
        <f>_xlfn.XLOOKUP(Table2[[#This Row],[Adjusted Form '#]],[2]COMPLETED!$D:$D,[2]COMPLETED!$O:$O,"Not Found")</f>
        <v>Not Found</v>
      </c>
      <c r="W1310" s="2" t="str">
        <f>_xlfn.XLOOKUP(Table2[[#This Row],[Adjusted Form '#]],[2]BILLED!$D:$D,[2]BILLED!$M:$M,"Not Found")</f>
        <v>1Z5063E0YW40496690</v>
      </c>
      <c r="X1310" s="17" t="e">
        <f>_xlfn.XLOOKUP(Table2[[#This Row],[Adjusted Form '#]],[2]BILLED!$D:$D,[1]BILLED!$O:$O,"Not Found")</f>
        <v>#REF!</v>
      </c>
      <c r="Y1310" s="17" t="str">
        <f>_xlfn.XLOOKUP(Table2[[#This Row],[Adjusted Form '#]],'[2]REJECTED ORDERS'!$D:$D,'[2]REJECTED ORDERS'!$E:$E)</f>
        <v>FORM NUMBER ALREADY USED</v>
      </c>
      <c r="Z1310" s="1"/>
      <c r="AA1310" s="1"/>
    </row>
    <row r="1311" spans="1:27" ht="15" customHeight="1" x14ac:dyDescent="0.35">
      <c r="A1311" s="4" t="s">
        <v>1963</v>
      </c>
      <c r="B1311" s="1" t="s">
        <v>885</v>
      </c>
      <c r="C1311" s="11">
        <v>45105</v>
      </c>
      <c r="D1311" s="11" t="s">
        <v>6207</v>
      </c>
      <c r="E1311" s="1" t="s">
        <v>21</v>
      </c>
      <c r="F1311" s="1" t="s">
        <v>6218</v>
      </c>
      <c r="G1311" s="6">
        <f>COUNTIF(F:F,Table2[[#This Row],[Form '#]])</f>
        <v>1</v>
      </c>
      <c r="H1311" s="1" t="s">
        <v>6202</v>
      </c>
      <c r="I1311" s="1" t="s">
        <v>3852</v>
      </c>
      <c r="J1311" s="1" t="s">
        <v>75</v>
      </c>
      <c r="K1311" s="1" t="s">
        <v>3891</v>
      </c>
      <c r="L1311" s="1"/>
      <c r="M1311" s="6" t="str">
        <f>IF(Table2[[#This Row],[Corrected Form '#
 (If Duplicated)]]="",Table2[[#This Row],[Form '#]],Table2[[#This Row],[Corrected Form '#
 (If Duplicated)]])</f>
        <v>7818-25974</v>
      </c>
      <c r="N1311" s="1" t="s">
        <v>49</v>
      </c>
      <c r="O1311" s="6" t="str">
        <f>IF(Table2[[#This Row],[POG CONFIRMATION RECEIPT OF ORDER
(DATE &amp; TIME)]]="","No Confirmation","Received Confirmation")</f>
        <v>Received Confirmation</v>
      </c>
      <c r="P1311" s="6">
        <f ca="1">TODAY()-Table2[[#This Row],[DATE SENT TO POG]]</f>
        <v>198</v>
      </c>
      <c r="Q1311" s="6" t="s">
        <v>5803</v>
      </c>
      <c r="R13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1" s="2" t="str">
        <f>_xlfn.XLOOKUP(Table2[[#This Row],[Adjusted Form '#]],'[2]IN PROGRESS'!$D:$D,'[2]IN PROGRESS'!$M:$M,"Not Found")</f>
        <v>Not Found</v>
      </c>
      <c r="U1311" s="2" t="str">
        <f>_xlfn.XLOOKUP(Table2[[#This Row],[Adjusted Form '#]],[1]COMPLETED!$D:$D,[2]COMPLETED!$M:$M,"Not Found")</f>
        <v>Not Found</v>
      </c>
      <c r="V1311" s="17" t="str">
        <f>_xlfn.XLOOKUP(Table2[[#This Row],[Adjusted Form '#]],[2]COMPLETED!$D:$D,[2]COMPLETED!$O:$O,"Not Found")</f>
        <v>Not Found</v>
      </c>
      <c r="W1311" s="2" t="str">
        <f>_xlfn.XLOOKUP(Table2[[#This Row],[Adjusted Form '#]],[2]BILLED!$D:$D,[2]BILLED!$M:$M,"Not Found")</f>
        <v>9400 1361 0605 3116 8805 38</v>
      </c>
      <c r="X1311" s="17" t="e">
        <f>_xlfn.XLOOKUP(Table2[[#This Row],[Adjusted Form '#]],[2]BILLED!$D:$D,[1]BILLED!$O:$O,"Not Found")</f>
        <v>#REF!</v>
      </c>
      <c r="Y1311" s="17" t="e">
        <f>_xlfn.XLOOKUP(Table2[[#This Row],[Adjusted Form '#]],'[2]REJECTED ORDERS'!$D:$D,'[2]REJECTED ORDERS'!$E:$E)</f>
        <v>#N/A</v>
      </c>
      <c r="Z1311" s="1"/>
      <c r="AA1311" s="1"/>
    </row>
    <row r="1312" spans="1:27" ht="15" customHeight="1" x14ac:dyDescent="0.35">
      <c r="A1312" s="4" t="s">
        <v>1965</v>
      </c>
      <c r="B1312" s="1" t="s">
        <v>885</v>
      </c>
      <c r="C1312" s="11">
        <v>45105</v>
      </c>
      <c r="D1312" s="11" t="s">
        <v>6207</v>
      </c>
      <c r="E1312" s="1" t="s">
        <v>21</v>
      </c>
      <c r="F1312" s="1" t="s">
        <v>6203</v>
      </c>
      <c r="G1312" s="6">
        <f>COUNTIF(F:F,Table2[[#This Row],[Form '#]])</f>
        <v>1</v>
      </c>
      <c r="H1312" s="1" t="s">
        <v>3517</v>
      </c>
      <c r="I1312" s="1" t="s">
        <v>127</v>
      </c>
      <c r="J1312" s="1" t="s">
        <v>76</v>
      </c>
      <c r="K1312" s="1" t="s">
        <v>4011</v>
      </c>
      <c r="L1312" s="1"/>
      <c r="M1312" s="6" t="str">
        <f>IF(Table2[[#This Row],[Corrected Form '#
 (If Duplicated)]]="",Table2[[#This Row],[Form '#]],Table2[[#This Row],[Corrected Form '#
 (If Duplicated)]])</f>
        <v>7818-14056</v>
      </c>
      <c r="N1312" s="1" t="s">
        <v>49</v>
      </c>
      <c r="O1312" s="6" t="str">
        <f>IF(Table2[[#This Row],[POG CONFIRMATION RECEIPT OF ORDER
(DATE &amp; TIME)]]="","No Confirmation","Received Confirmation")</f>
        <v>Received Confirmation</v>
      </c>
      <c r="P1312" s="6">
        <f ca="1">TODAY()-Table2[[#This Row],[DATE SENT TO POG]]</f>
        <v>198</v>
      </c>
      <c r="Q1312" s="6" t="s">
        <v>5803</v>
      </c>
      <c r="R13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2" s="2" t="str">
        <f>_xlfn.XLOOKUP(Table2[[#This Row],[Adjusted Form '#]],'[2]IN PROGRESS'!$D:$D,'[2]IN PROGRESS'!$M:$M,"Not Found")</f>
        <v>Not Found</v>
      </c>
      <c r="U1312" s="2" t="str">
        <f>_xlfn.XLOOKUP(Table2[[#This Row],[Adjusted Form '#]],[1]COMPLETED!$D:$D,[2]COMPLETED!$M:$M,"Not Found")</f>
        <v>Not Found</v>
      </c>
      <c r="V1312" s="17" t="str">
        <f>_xlfn.XLOOKUP(Table2[[#This Row],[Adjusted Form '#]],[2]COMPLETED!$D:$D,[2]COMPLETED!$O:$O,"Not Found")</f>
        <v>Not Found</v>
      </c>
      <c r="W1312" s="2" t="str">
        <f>_xlfn.XLOOKUP(Table2[[#This Row],[Adjusted Form '#]],[2]BILLED!$D:$D,[2]BILLED!$M:$M,"Not Found")</f>
        <v>9402 1112 0620 9870 9737 79</v>
      </c>
      <c r="X1312" s="17" t="e">
        <f>_xlfn.XLOOKUP(Table2[[#This Row],[Adjusted Form '#]],[2]BILLED!$D:$D,[1]BILLED!$O:$O,"Not Found")</f>
        <v>#REF!</v>
      </c>
      <c r="Y1312" s="17" t="e">
        <f>_xlfn.XLOOKUP(Table2[[#This Row],[Adjusted Form '#]],'[2]REJECTED ORDERS'!$D:$D,'[2]REJECTED ORDERS'!$E:$E)</f>
        <v>#N/A</v>
      </c>
      <c r="Z1312" s="1"/>
      <c r="AA1312" s="1"/>
    </row>
    <row r="1313" spans="1:27" ht="15" customHeight="1" x14ac:dyDescent="0.35">
      <c r="A1313" s="4" t="s">
        <v>1967</v>
      </c>
      <c r="B1313" s="1" t="s">
        <v>885</v>
      </c>
      <c r="C1313" s="11">
        <v>45105</v>
      </c>
      <c r="D1313" s="11" t="s">
        <v>6207</v>
      </c>
      <c r="E1313" s="1" t="s">
        <v>21</v>
      </c>
      <c r="F1313" s="1" t="s">
        <v>6204</v>
      </c>
      <c r="G1313" s="6">
        <f>COUNTIF(F:F,Table2[[#This Row],[Form '#]])</f>
        <v>1</v>
      </c>
      <c r="H1313" s="1" t="s">
        <v>6205</v>
      </c>
      <c r="I1313" s="1" t="s">
        <v>3852</v>
      </c>
      <c r="J1313" s="1" t="s">
        <v>3891</v>
      </c>
      <c r="K1313" s="1" t="s">
        <v>3853</v>
      </c>
      <c r="L1313" s="1"/>
      <c r="M1313" s="6" t="str">
        <f>IF(Table2[[#This Row],[Corrected Form '#
 (If Duplicated)]]="",Table2[[#This Row],[Form '#]],Table2[[#This Row],[Corrected Form '#
 (If Duplicated)]])</f>
        <v>7818-29942</v>
      </c>
      <c r="N1313" s="1" t="s">
        <v>49</v>
      </c>
      <c r="O1313" s="6" t="str">
        <f>IF(Table2[[#This Row],[POG CONFIRMATION RECEIPT OF ORDER
(DATE &amp; TIME)]]="","No Confirmation","Received Confirmation")</f>
        <v>Received Confirmation</v>
      </c>
      <c r="P1313" s="6">
        <f ca="1">TODAY()-Table2[[#This Row],[DATE SENT TO POG]]</f>
        <v>198</v>
      </c>
      <c r="Q1313" s="6" t="s">
        <v>5803</v>
      </c>
      <c r="R13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3" s="2" t="str">
        <f>_xlfn.XLOOKUP(Table2[[#This Row],[Adjusted Form '#]],'[2]IN PROGRESS'!$D:$D,'[2]IN PROGRESS'!$M:$M,"Not Found")</f>
        <v>Not Found</v>
      </c>
      <c r="U1313" s="2" t="str">
        <f>_xlfn.XLOOKUP(Table2[[#This Row],[Adjusted Form '#]],[1]COMPLETED!$D:$D,[2]COMPLETED!$M:$M,"Not Found")</f>
        <v>Not Found</v>
      </c>
      <c r="V1313" s="17" t="str">
        <f>_xlfn.XLOOKUP(Table2[[#This Row],[Adjusted Form '#]],[2]COMPLETED!$D:$D,[2]COMPLETED!$O:$O,"Not Found")</f>
        <v>Not Found</v>
      </c>
      <c r="W1313" s="2" t="str">
        <f>_xlfn.XLOOKUP(Table2[[#This Row],[Adjusted Form '#]],[2]BILLED!$D:$D,[2]BILLED!$M:$M,"Not Found")</f>
        <v>9400 1361 0605 3072 3015 04</v>
      </c>
      <c r="X1313" s="17" t="e">
        <f>_xlfn.XLOOKUP(Table2[[#This Row],[Adjusted Form '#]],[2]BILLED!$D:$D,[1]BILLED!$O:$O,"Not Found")</f>
        <v>#REF!</v>
      </c>
      <c r="Y1313" s="17" t="e">
        <f>_xlfn.XLOOKUP(Table2[[#This Row],[Adjusted Form '#]],'[2]REJECTED ORDERS'!$D:$D,'[2]REJECTED ORDERS'!$E:$E)</f>
        <v>#N/A</v>
      </c>
      <c r="Z1313" s="1"/>
      <c r="AA1313" s="1"/>
    </row>
    <row r="1314" spans="1:27" ht="15" customHeight="1" x14ac:dyDescent="0.35">
      <c r="A1314" s="4" t="s">
        <v>1968</v>
      </c>
      <c r="B1314" s="1" t="s">
        <v>885</v>
      </c>
      <c r="C1314" s="11">
        <v>45105</v>
      </c>
      <c r="D1314" s="11" t="s">
        <v>6207</v>
      </c>
      <c r="E1314" s="1" t="s">
        <v>21</v>
      </c>
      <c r="F1314" s="1" t="s">
        <v>6206</v>
      </c>
      <c r="G1314" s="6">
        <f>COUNTIF(F:F,Table2[[#This Row],[Form '#]])</f>
        <v>1</v>
      </c>
      <c r="H1314" s="1" t="s">
        <v>669</v>
      </c>
      <c r="I1314" s="1" t="s">
        <v>127</v>
      </c>
      <c r="J1314" s="1" t="s">
        <v>76</v>
      </c>
      <c r="K1314" s="1" t="s">
        <v>4011</v>
      </c>
      <c r="L1314" s="1"/>
      <c r="M1314" s="6" t="str">
        <f>IF(Table2[[#This Row],[Corrected Form '#
 (If Duplicated)]]="",Table2[[#This Row],[Form '#]],Table2[[#This Row],[Corrected Form '#
 (If Duplicated)]])</f>
        <v>7818-4019</v>
      </c>
      <c r="N1314" s="1" t="s">
        <v>49</v>
      </c>
      <c r="O1314" s="6" t="str">
        <f>IF(Table2[[#This Row],[POG CONFIRMATION RECEIPT OF ORDER
(DATE &amp; TIME)]]="","No Confirmation","Received Confirmation")</f>
        <v>Received Confirmation</v>
      </c>
      <c r="P1314" s="6">
        <f ca="1">TODAY()-Table2[[#This Row],[DATE SENT TO POG]]</f>
        <v>198</v>
      </c>
      <c r="Q1314" s="6" t="s">
        <v>5802</v>
      </c>
      <c r="R13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1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14" s="2" t="str">
        <f>_xlfn.XLOOKUP(Table2[[#This Row],[Adjusted Form '#]],'[2]IN PROGRESS'!$D:$D,'[2]IN PROGRESS'!$M:$M,"Not Found")</f>
        <v>Not Found</v>
      </c>
      <c r="U1314" s="2" t="str">
        <f>_xlfn.XLOOKUP(Table2[[#This Row],[Adjusted Form '#]],[1]COMPLETED!$D:$D,[2]COMPLETED!$M:$M,"Not Found")</f>
        <v>Not Found</v>
      </c>
      <c r="V1314" s="17" t="str">
        <f>_xlfn.XLOOKUP(Table2[[#This Row],[Adjusted Form '#]],[2]COMPLETED!$D:$D,[2]COMPLETED!$O:$O,"Not Found")</f>
        <v>Not Found</v>
      </c>
      <c r="W1314" s="2" t="str">
        <f>_xlfn.XLOOKUP(Table2[[#This Row],[Adjusted Form '#]],[2]BILLED!$D:$D,[2]BILLED!$M:$M,"Not Found")</f>
        <v>Not Found</v>
      </c>
      <c r="X1314" s="17" t="str">
        <f>_xlfn.XLOOKUP(Table2[[#This Row],[Adjusted Form '#]],[2]BILLED!$D:$D,[1]BILLED!$O:$O,"Not Found")</f>
        <v>Not Found</v>
      </c>
      <c r="Y1314" s="17" t="e">
        <f>_xlfn.XLOOKUP(Table2[[#This Row],[Adjusted Form '#]],'[2]REJECTED ORDERS'!$D:$D,'[2]REJECTED ORDERS'!$E:$E)</f>
        <v>#N/A</v>
      </c>
      <c r="Z1314" s="1"/>
      <c r="AA1314" s="1"/>
    </row>
    <row r="1315" spans="1:27" ht="15" customHeight="1" x14ac:dyDescent="0.35">
      <c r="A1315" s="4" t="s">
        <v>1969</v>
      </c>
      <c r="B1315" s="1" t="s">
        <v>2395</v>
      </c>
      <c r="C1315" s="11">
        <v>45106</v>
      </c>
      <c r="D1315" s="11" t="s">
        <v>6215</v>
      </c>
      <c r="E1315" s="1" t="s">
        <v>21</v>
      </c>
      <c r="F1315" s="1" t="s">
        <v>6208</v>
      </c>
      <c r="G1315" s="6">
        <f>COUNTIF(F:F,Table2[[#This Row],[Form '#]])</f>
        <v>1</v>
      </c>
      <c r="H1315" s="1" t="s">
        <v>6209</v>
      </c>
      <c r="I1315" s="1" t="s">
        <v>127</v>
      </c>
      <c r="J1315" s="1" t="s">
        <v>71</v>
      </c>
      <c r="K1315" s="1" t="s">
        <v>3883</v>
      </c>
      <c r="L1315" s="1"/>
      <c r="M1315" s="6" t="str">
        <f>IF(Table2[[#This Row],[Corrected Form '#
 (If Duplicated)]]="",Table2[[#This Row],[Form '#]],Table2[[#This Row],[Corrected Form '#
 (If Duplicated)]])</f>
        <v>7818-25221</v>
      </c>
      <c r="N1315" s="1" t="s">
        <v>49</v>
      </c>
      <c r="O1315" s="6" t="str">
        <f>IF(Table2[[#This Row],[POG CONFIRMATION RECEIPT OF ORDER
(DATE &amp; TIME)]]="","No Confirmation","Received Confirmation")</f>
        <v>Received Confirmation</v>
      </c>
      <c r="P1315" s="6">
        <f ca="1">TODAY()-Table2[[#This Row],[DATE SENT TO POG]]</f>
        <v>197</v>
      </c>
      <c r="Q1315" s="6" t="s">
        <v>5803</v>
      </c>
      <c r="R13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5" s="2" t="str">
        <f>_xlfn.XLOOKUP(Table2[[#This Row],[Adjusted Form '#]],'[2]IN PROGRESS'!$D:$D,'[2]IN PROGRESS'!$M:$M,"Not Found")</f>
        <v>Not Found</v>
      </c>
      <c r="U1315" s="2" t="str">
        <f>_xlfn.XLOOKUP(Table2[[#This Row],[Adjusted Form '#]],[1]COMPLETED!$D:$D,[2]COMPLETED!$M:$M,"Not Found")</f>
        <v>Not Found</v>
      </c>
      <c r="V1315" s="17" t="str">
        <f>_xlfn.XLOOKUP(Table2[[#This Row],[Adjusted Form '#]],[2]COMPLETED!$D:$D,[2]COMPLETED!$O:$O,"Not Found")</f>
        <v>Not Found</v>
      </c>
      <c r="W1315" s="2" t="str">
        <f>_xlfn.XLOOKUP(Table2[[#This Row],[Adjusted Form '#]],[2]BILLED!$D:$D,[2]BILLED!$M:$M,"Not Found")</f>
        <v>1Z5063E0YW40651244</v>
      </c>
      <c r="X1315" s="17" t="e">
        <f>_xlfn.XLOOKUP(Table2[[#This Row],[Adjusted Form '#]],[2]BILLED!$D:$D,[1]BILLED!$O:$O,"Not Found")</f>
        <v>#REF!</v>
      </c>
      <c r="Y1315" s="17" t="e">
        <f>_xlfn.XLOOKUP(Table2[[#This Row],[Adjusted Form '#]],'[2]REJECTED ORDERS'!$D:$D,'[2]REJECTED ORDERS'!$E:$E)</f>
        <v>#N/A</v>
      </c>
      <c r="Z1315" s="1"/>
      <c r="AA1315" s="1"/>
    </row>
    <row r="1316" spans="1:27" ht="15" customHeight="1" x14ac:dyDescent="0.35">
      <c r="A1316" s="4" t="s">
        <v>1970</v>
      </c>
      <c r="B1316" s="1" t="s">
        <v>2395</v>
      </c>
      <c r="C1316" s="11">
        <v>45106</v>
      </c>
      <c r="D1316" s="11" t="s">
        <v>6215</v>
      </c>
      <c r="E1316" s="1" t="s">
        <v>21</v>
      </c>
      <c r="F1316" s="1" t="s">
        <v>6210</v>
      </c>
      <c r="G1316" s="6">
        <f>COUNTIF(F:F,Table2[[#This Row],[Form '#]])</f>
        <v>1</v>
      </c>
      <c r="H1316" s="1" t="s">
        <v>6211</v>
      </c>
      <c r="I1316" s="1" t="s">
        <v>177</v>
      </c>
      <c r="J1316" s="1" t="s">
        <v>75</v>
      </c>
      <c r="K1316" s="1" t="s">
        <v>3853</v>
      </c>
      <c r="L1316" s="1"/>
      <c r="M1316" s="6" t="str">
        <f>IF(Table2[[#This Row],[Corrected Form '#
 (If Duplicated)]]="",Table2[[#This Row],[Form '#]],Table2[[#This Row],[Corrected Form '#
 (If Duplicated)]])</f>
        <v>7818-13589</v>
      </c>
      <c r="N1316" s="1" t="s">
        <v>49</v>
      </c>
      <c r="O1316" s="6" t="str">
        <f>IF(Table2[[#This Row],[POG CONFIRMATION RECEIPT OF ORDER
(DATE &amp; TIME)]]="","No Confirmation","Received Confirmation")</f>
        <v>Received Confirmation</v>
      </c>
      <c r="P1316" s="6">
        <f ca="1">TODAY()-Table2[[#This Row],[DATE SENT TO POG]]</f>
        <v>197</v>
      </c>
      <c r="Q1316" s="6" t="s">
        <v>5803</v>
      </c>
      <c r="R13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6" s="2" t="str">
        <f>_xlfn.XLOOKUP(Table2[[#This Row],[Adjusted Form '#]],'[2]IN PROGRESS'!$D:$D,'[2]IN PROGRESS'!$M:$M,"Not Found")</f>
        <v>Not Found</v>
      </c>
      <c r="U1316" s="2" t="str">
        <f>_xlfn.XLOOKUP(Table2[[#This Row],[Adjusted Form '#]],[1]COMPLETED!$D:$D,[2]COMPLETED!$M:$M,"Not Found")</f>
        <v>Not Found</v>
      </c>
      <c r="V1316" s="17" t="str">
        <f>_xlfn.XLOOKUP(Table2[[#This Row],[Adjusted Form '#]],[2]COMPLETED!$D:$D,[2]COMPLETED!$O:$O,"Not Found")</f>
        <v>Not Found</v>
      </c>
      <c r="W1316" s="2" t="str">
        <f>_xlfn.XLOOKUP(Table2[[#This Row],[Adjusted Form '#]],[2]BILLED!$D:$D,[2]BILLED!$M:$M,"Not Found")</f>
        <v>9400 1361 0605 3106 8652 24</v>
      </c>
      <c r="X1316" s="17" t="e">
        <f>_xlfn.XLOOKUP(Table2[[#This Row],[Adjusted Form '#]],[2]BILLED!$D:$D,[1]BILLED!$O:$O,"Not Found")</f>
        <v>#REF!</v>
      </c>
      <c r="Y1316" s="17" t="e">
        <f>_xlfn.XLOOKUP(Table2[[#This Row],[Adjusted Form '#]],'[2]REJECTED ORDERS'!$D:$D,'[2]REJECTED ORDERS'!$E:$E)</f>
        <v>#N/A</v>
      </c>
      <c r="Z1316" s="1"/>
      <c r="AA1316" s="1"/>
    </row>
    <row r="1317" spans="1:27" ht="15" customHeight="1" x14ac:dyDescent="0.35">
      <c r="A1317" s="4" t="s">
        <v>1971</v>
      </c>
      <c r="B1317" s="1" t="s">
        <v>2356</v>
      </c>
      <c r="C1317" s="11">
        <v>45106</v>
      </c>
      <c r="D1317" s="11" t="s">
        <v>6216</v>
      </c>
      <c r="E1317" s="1" t="s">
        <v>14</v>
      </c>
      <c r="F1317" s="1" t="s">
        <v>6212</v>
      </c>
      <c r="G1317" s="6">
        <f>COUNTIF(F:F,Table2[[#This Row],[Form '#]])</f>
        <v>1</v>
      </c>
      <c r="H1317" s="1" t="s">
        <v>1487</v>
      </c>
      <c r="I1317" s="1" t="s">
        <v>758</v>
      </c>
      <c r="J1317" s="1" t="s">
        <v>78</v>
      </c>
      <c r="K1317" s="1" t="s">
        <v>3853</v>
      </c>
      <c r="L1317" s="1"/>
      <c r="M1317" s="6" t="str">
        <f>IF(Table2[[#This Row],[Corrected Form '#
 (If Duplicated)]]="",Table2[[#This Row],[Form '#]],Table2[[#This Row],[Corrected Form '#
 (If Duplicated)]])</f>
        <v>7810-01193</v>
      </c>
      <c r="N1317" s="1" t="s">
        <v>49</v>
      </c>
      <c r="O1317" s="6" t="str">
        <f>IF(Table2[[#This Row],[POG CONFIRMATION RECEIPT OF ORDER
(DATE &amp; TIME)]]="","No Confirmation","Received Confirmation")</f>
        <v>Received Confirmation</v>
      </c>
      <c r="P1317" s="6">
        <f ca="1">TODAY()-Table2[[#This Row],[DATE SENT TO POG]]</f>
        <v>197</v>
      </c>
      <c r="Q1317" s="6" t="s">
        <v>5803</v>
      </c>
      <c r="R13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7" s="2" t="str">
        <f>_xlfn.XLOOKUP(Table2[[#This Row],[Adjusted Form '#]],'[2]IN PROGRESS'!$D:$D,'[2]IN PROGRESS'!$M:$M,"Not Found")</f>
        <v>Not Found</v>
      </c>
      <c r="U1317" s="2" t="str">
        <f>_xlfn.XLOOKUP(Table2[[#This Row],[Adjusted Form '#]],[1]COMPLETED!$D:$D,[2]COMPLETED!$M:$M,"Not Found")</f>
        <v>Not Found</v>
      </c>
      <c r="V1317" s="17" t="str">
        <f>_xlfn.XLOOKUP(Table2[[#This Row],[Adjusted Form '#]],[2]COMPLETED!$D:$D,[2]COMPLETED!$O:$O,"Not Found")</f>
        <v>Not Found</v>
      </c>
      <c r="W1317" s="2" t="str">
        <f>_xlfn.XLOOKUP(Table2[[#This Row],[Adjusted Form '#]],[2]BILLED!$D:$D,[2]BILLED!$M:$M,"Not Found")</f>
        <v>1Z5063E0YW41935856</v>
      </c>
      <c r="X1317" s="17" t="e">
        <f>_xlfn.XLOOKUP(Table2[[#This Row],[Adjusted Form '#]],[2]BILLED!$D:$D,[1]BILLED!$O:$O,"Not Found")</f>
        <v>#REF!</v>
      </c>
      <c r="Y1317" s="17" t="e">
        <f>_xlfn.XLOOKUP(Table2[[#This Row],[Adjusted Form '#]],'[2]REJECTED ORDERS'!$D:$D,'[2]REJECTED ORDERS'!$E:$E)</f>
        <v>#N/A</v>
      </c>
      <c r="Z1317" s="1"/>
      <c r="AA1317" s="1"/>
    </row>
    <row r="1318" spans="1:27" ht="15" customHeight="1" x14ac:dyDescent="0.35">
      <c r="A1318" s="4" t="s">
        <v>1972</v>
      </c>
      <c r="B1318" s="1" t="s">
        <v>2489</v>
      </c>
      <c r="C1318" s="11">
        <v>45106</v>
      </c>
      <c r="D1318" s="11" t="s">
        <v>6217</v>
      </c>
      <c r="E1318" s="1" t="s">
        <v>191</v>
      </c>
      <c r="F1318" s="1" t="s">
        <v>6214</v>
      </c>
      <c r="G1318" s="6">
        <f>COUNTIF(F:F,Table2[[#This Row],[Form '#]])</f>
        <v>1</v>
      </c>
      <c r="H1318" s="1" t="s">
        <v>3596</v>
      </c>
      <c r="I1318" s="1" t="s">
        <v>127</v>
      </c>
      <c r="J1318" s="1" t="s">
        <v>71</v>
      </c>
      <c r="K1318" s="1" t="s">
        <v>4011</v>
      </c>
      <c r="L1318" s="1"/>
      <c r="M1318" s="6" t="str">
        <f>IF(Table2[[#This Row],[Corrected Form '#
 (If Duplicated)]]="",Table2[[#This Row],[Form '#]],Table2[[#This Row],[Corrected Form '#
 (If Duplicated)]])</f>
        <v>7812-01564</v>
      </c>
      <c r="N1318" s="1" t="s">
        <v>49</v>
      </c>
      <c r="O1318" s="6" t="str">
        <f>IF(Table2[[#This Row],[POG CONFIRMATION RECEIPT OF ORDER
(DATE &amp; TIME)]]="","No Confirmation","Received Confirmation")</f>
        <v>Received Confirmation</v>
      </c>
      <c r="P1318" s="6">
        <f ca="1">TODAY()-Table2[[#This Row],[DATE SENT TO POG]]</f>
        <v>197</v>
      </c>
      <c r="Q1318" s="6" t="s">
        <v>5803</v>
      </c>
      <c r="R13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8" s="2" t="str">
        <f>_xlfn.XLOOKUP(Table2[[#This Row],[Adjusted Form '#]],'[2]IN PROGRESS'!$D:$D,'[2]IN PROGRESS'!$M:$M,"Not Found")</f>
        <v>Not Found</v>
      </c>
      <c r="U1318" s="2" t="str">
        <f>_xlfn.XLOOKUP(Table2[[#This Row],[Adjusted Form '#]],[1]COMPLETED!$D:$D,[2]COMPLETED!$M:$M,"Not Found")</f>
        <v>Not Found</v>
      </c>
      <c r="V1318" s="17" t="str">
        <f>_xlfn.XLOOKUP(Table2[[#This Row],[Adjusted Form '#]],[2]COMPLETED!$D:$D,[2]COMPLETED!$O:$O,"Not Found")</f>
        <v>Not Found</v>
      </c>
      <c r="W1318" s="2" t="str">
        <f>_xlfn.XLOOKUP(Table2[[#This Row],[Adjusted Form '#]],[2]BILLED!$D:$D,[2]BILLED!$M:$M,"Not Found")</f>
        <v>1Z5063E0YW40650665</v>
      </c>
      <c r="X1318" s="17" t="e">
        <f>_xlfn.XLOOKUP(Table2[[#This Row],[Adjusted Form '#]],[2]BILLED!$D:$D,[1]BILLED!$O:$O,"Not Found")</f>
        <v>#REF!</v>
      </c>
      <c r="Y1318" s="17" t="e">
        <f>_xlfn.XLOOKUP(Table2[[#This Row],[Adjusted Form '#]],'[2]REJECTED ORDERS'!$D:$D,'[2]REJECTED ORDERS'!$E:$E)</f>
        <v>#N/A</v>
      </c>
      <c r="Z1318" s="1"/>
      <c r="AA1318" s="1"/>
    </row>
    <row r="1319" spans="1:27" ht="15" customHeight="1" x14ac:dyDescent="0.35">
      <c r="A1319" s="4" t="s">
        <v>1973</v>
      </c>
      <c r="B1319" s="1" t="s">
        <v>2583</v>
      </c>
      <c r="C1319" s="11">
        <v>45106</v>
      </c>
      <c r="D1319" s="11" t="s">
        <v>6236</v>
      </c>
      <c r="E1319" s="1" t="s">
        <v>191</v>
      </c>
      <c r="F1319" s="1" t="s">
        <v>2548</v>
      </c>
      <c r="G1319" s="6">
        <f>COUNTIF(F:F,Table2[[#This Row],[Form '#]])</f>
        <v>1</v>
      </c>
      <c r="H1319" s="1" t="s">
        <v>5666</v>
      </c>
      <c r="I1319" s="1" t="s">
        <v>127</v>
      </c>
      <c r="J1319" s="1" t="s">
        <v>3891</v>
      </c>
      <c r="K1319" s="1" t="s">
        <v>3891</v>
      </c>
      <c r="L1319" s="1"/>
      <c r="M1319" s="6" t="str">
        <f>IF(Table2[[#This Row],[Corrected Form '#
 (If Duplicated)]]="",Table2[[#This Row],[Form '#]],Table2[[#This Row],[Corrected Form '#
 (If Duplicated)]])</f>
        <v>7812-01482</v>
      </c>
      <c r="N1319" s="1" t="s">
        <v>49</v>
      </c>
      <c r="O1319" s="6" t="str">
        <f>IF(Table2[[#This Row],[POG CONFIRMATION RECEIPT OF ORDER
(DATE &amp; TIME)]]="","No Confirmation","Received Confirmation")</f>
        <v>Received Confirmation</v>
      </c>
      <c r="P1319" s="6">
        <f ca="1">TODAY()-Table2[[#This Row],[DATE SENT TO POG]]</f>
        <v>197</v>
      </c>
      <c r="Q1319" s="6" t="s">
        <v>5803</v>
      </c>
      <c r="R13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19" s="2" t="str">
        <f>_xlfn.XLOOKUP(Table2[[#This Row],[Adjusted Form '#]],'[2]IN PROGRESS'!$D:$D,'[2]IN PROGRESS'!$M:$M,"Not Found")</f>
        <v>Not Found</v>
      </c>
      <c r="U1319" s="2" t="str">
        <f>_xlfn.XLOOKUP(Table2[[#This Row],[Adjusted Form '#]],[1]COMPLETED!$D:$D,[2]COMPLETED!$M:$M,"Not Found")</f>
        <v>Not Found</v>
      </c>
      <c r="V1319" s="17" t="str">
        <f>_xlfn.XLOOKUP(Table2[[#This Row],[Adjusted Form '#]],[2]COMPLETED!$D:$D,[2]COMPLETED!$O:$O,"Not Found")</f>
        <v>Not Found</v>
      </c>
      <c r="W1319" s="2" t="str">
        <f>_xlfn.XLOOKUP(Table2[[#This Row],[Adjusted Form '#]],[2]BILLED!$D:$D,[2]BILLED!$M:$M,"Not Found")</f>
        <v>9400 1118 9956 1799 4822 34</v>
      </c>
      <c r="X1319" s="17" t="e">
        <f>_xlfn.XLOOKUP(Table2[[#This Row],[Adjusted Form '#]],[2]BILLED!$D:$D,[1]BILLED!$O:$O,"Not Found")</f>
        <v>#REF!</v>
      </c>
      <c r="Y1319" s="17" t="e">
        <f>_xlfn.XLOOKUP(Table2[[#This Row],[Adjusted Form '#]],'[2]REJECTED ORDERS'!$D:$D,'[2]REJECTED ORDERS'!$E:$E)</f>
        <v>#N/A</v>
      </c>
      <c r="Z1319" s="1"/>
      <c r="AA1319" s="1"/>
    </row>
    <row r="1320" spans="1:27" ht="15" customHeight="1" x14ac:dyDescent="0.35">
      <c r="A1320" s="4" t="s">
        <v>1975</v>
      </c>
      <c r="B1320" s="1" t="s">
        <v>4599</v>
      </c>
      <c r="C1320" s="11">
        <v>45106</v>
      </c>
      <c r="D1320" s="11" t="s">
        <v>6237</v>
      </c>
      <c r="E1320" s="1" t="s">
        <v>21</v>
      </c>
      <c r="F1320" s="1" t="s">
        <v>6219</v>
      </c>
      <c r="G1320" s="6">
        <f>COUNTIF(F:F,Table2[[#This Row],[Form '#]])</f>
        <v>1</v>
      </c>
      <c r="H1320" s="1" t="s">
        <v>4662</v>
      </c>
      <c r="I1320" s="1" t="s">
        <v>3864</v>
      </c>
      <c r="J1320" s="1" t="s">
        <v>78</v>
      </c>
      <c r="K1320" s="1" t="s">
        <v>3879</v>
      </c>
      <c r="L1320" s="1"/>
      <c r="M1320" s="6" t="str">
        <f>IF(Table2[[#This Row],[Corrected Form '#
 (If Duplicated)]]="",Table2[[#This Row],[Form '#]],Table2[[#This Row],[Corrected Form '#
 (If Duplicated)]])</f>
        <v>7818-2466</v>
      </c>
      <c r="N1320" s="1" t="s">
        <v>49</v>
      </c>
      <c r="O1320" s="6" t="str">
        <f>IF(Table2[[#This Row],[POG CONFIRMATION RECEIPT OF ORDER
(DATE &amp; TIME)]]="","No Confirmation","Received Confirmation")</f>
        <v>Received Confirmation</v>
      </c>
      <c r="P1320" s="6">
        <f ca="1">TODAY()-Table2[[#This Row],[DATE SENT TO POG]]</f>
        <v>197</v>
      </c>
      <c r="Q1320" s="6" t="s">
        <v>5802</v>
      </c>
      <c r="R13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2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20" s="2" t="str">
        <f>_xlfn.XLOOKUP(Table2[[#This Row],[Adjusted Form '#]],'[2]IN PROGRESS'!$D:$D,'[2]IN PROGRESS'!$M:$M,"Not Found")</f>
        <v>Not Found</v>
      </c>
      <c r="U1320" s="2" t="str">
        <f>_xlfn.XLOOKUP(Table2[[#This Row],[Adjusted Form '#]],[1]COMPLETED!$D:$D,[2]COMPLETED!$M:$M,"Not Found")</f>
        <v>Not Found</v>
      </c>
      <c r="V1320" s="17" t="str">
        <f>_xlfn.XLOOKUP(Table2[[#This Row],[Adjusted Form '#]],[2]COMPLETED!$D:$D,[2]COMPLETED!$O:$O,"Not Found")</f>
        <v>Not Found</v>
      </c>
      <c r="W1320" s="2" t="str">
        <f>_xlfn.XLOOKUP(Table2[[#This Row],[Adjusted Form '#]],[2]BILLED!$D:$D,[2]BILLED!$M:$M,"Not Found")</f>
        <v>Not Found</v>
      </c>
      <c r="X1320" s="17" t="str">
        <f>_xlfn.XLOOKUP(Table2[[#This Row],[Adjusted Form '#]],[2]BILLED!$D:$D,[1]BILLED!$O:$O,"Not Found")</f>
        <v>Not Found</v>
      </c>
      <c r="Y1320" s="17" t="e">
        <f>_xlfn.XLOOKUP(Table2[[#This Row],[Adjusted Form '#]],'[2]REJECTED ORDERS'!$D:$D,'[2]REJECTED ORDERS'!$E:$E)</f>
        <v>#N/A</v>
      </c>
      <c r="Z1320" s="1"/>
      <c r="AA1320" s="1"/>
    </row>
    <row r="1321" spans="1:27" ht="15" customHeight="1" x14ac:dyDescent="0.35">
      <c r="A1321" s="4" t="s">
        <v>1977</v>
      </c>
      <c r="B1321" s="1" t="s">
        <v>1037</v>
      </c>
      <c r="C1321" s="11">
        <v>45107</v>
      </c>
      <c r="D1321" s="11" t="s">
        <v>6238</v>
      </c>
      <c r="E1321" s="1" t="s">
        <v>21</v>
      </c>
      <c r="F1321" s="1" t="s">
        <v>6220</v>
      </c>
      <c r="G1321" s="6">
        <f>COUNTIF(F:F,Table2[[#This Row],[Form '#]])</f>
        <v>1</v>
      </c>
      <c r="H1321" s="1" t="s">
        <v>752</v>
      </c>
      <c r="I1321" s="1" t="s">
        <v>127</v>
      </c>
      <c r="J1321" s="1" t="s">
        <v>76</v>
      </c>
      <c r="K1321" s="1" t="s">
        <v>3883</v>
      </c>
      <c r="L1321" s="1"/>
      <c r="M1321" s="6" t="str">
        <f>IF(Table2[[#This Row],[Corrected Form '#
 (If Duplicated)]]="",Table2[[#This Row],[Form '#]],Table2[[#This Row],[Corrected Form '#
 (If Duplicated)]])</f>
        <v>7818-29588</v>
      </c>
      <c r="N1321" s="1" t="s">
        <v>49</v>
      </c>
      <c r="O1321" s="6" t="str">
        <f>IF(Table2[[#This Row],[POG CONFIRMATION RECEIPT OF ORDER
(DATE &amp; TIME)]]="","No Confirmation","Received Confirmation")</f>
        <v>Received Confirmation</v>
      </c>
      <c r="P1321" s="6">
        <f ca="1">TODAY()-Table2[[#This Row],[DATE SENT TO POG]]</f>
        <v>196</v>
      </c>
      <c r="Q1321" s="6" t="s">
        <v>5803</v>
      </c>
      <c r="R13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1" s="2" t="str">
        <f>_xlfn.XLOOKUP(Table2[[#This Row],[Adjusted Form '#]],'[2]IN PROGRESS'!$D:$D,'[2]IN PROGRESS'!$M:$M,"Not Found")</f>
        <v>Not Found</v>
      </c>
      <c r="U1321" s="2" t="str">
        <f>_xlfn.XLOOKUP(Table2[[#This Row],[Adjusted Form '#]],[1]COMPLETED!$D:$D,[2]COMPLETED!$M:$M,"Not Found")</f>
        <v>Not Found</v>
      </c>
      <c r="V1321" s="17" t="str">
        <f>_xlfn.XLOOKUP(Table2[[#This Row],[Adjusted Form '#]],[2]COMPLETED!$D:$D,[2]COMPLETED!$O:$O,"Not Found")</f>
        <v>Not Found</v>
      </c>
      <c r="W1321" s="2" t="str">
        <f>_xlfn.XLOOKUP(Table2[[#This Row],[Adjusted Form '#]],[2]BILLED!$D:$D,[2]BILLED!$M:$M,"Not Found")</f>
        <v>1Z5063E0YW41559674</v>
      </c>
      <c r="X1321" s="17" t="e">
        <f>_xlfn.XLOOKUP(Table2[[#This Row],[Adjusted Form '#]],[2]BILLED!$D:$D,[1]BILLED!$O:$O,"Not Found")</f>
        <v>#REF!</v>
      </c>
      <c r="Y1321" s="17" t="e">
        <f>_xlfn.XLOOKUP(Table2[[#This Row],[Adjusted Form '#]],'[2]REJECTED ORDERS'!$D:$D,'[2]REJECTED ORDERS'!$E:$E)</f>
        <v>#N/A</v>
      </c>
      <c r="Z1321" s="1"/>
      <c r="AA1321" s="1"/>
    </row>
    <row r="1322" spans="1:27" ht="15" customHeight="1" x14ac:dyDescent="0.35">
      <c r="A1322" s="4" t="s">
        <v>1978</v>
      </c>
      <c r="B1322" s="1" t="s">
        <v>1037</v>
      </c>
      <c r="C1322" s="11">
        <v>45107</v>
      </c>
      <c r="D1322" s="11" t="s">
        <v>6238</v>
      </c>
      <c r="E1322" s="1" t="s">
        <v>21</v>
      </c>
      <c r="F1322" s="1" t="s">
        <v>6221</v>
      </c>
      <c r="G1322" s="6">
        <f>COUNTIF(F:F,Table2[[#This Row],[Form '#]])</f>
        <v>1</v>
      </c>
      <c r="H1322" s="1" t="s">
        <v>6222</v>
      </c>
      <c r="I1322" s="1" t="s">
        <v>3852</v>
      </c>
      <c r="J1322" s="1" t="s">
        <v>80</v>
      </c>
      <c r="K1322" s="1" t="s">
        <v>3853</v>
      </c>
      <c r="L1322" s="1"/>
      <c r="M1322" s="6" t="str">
        <f>IF(Table2[[#This Row],[Corrected Form '#
 (If Duplicated)]]="",Table2[[#This Row],[Form '#]],Table2[[#This Row],[Corrected Form '#
 (If Duplicated)]])</f>
        <v>7818-21131</v>
      </c>
      <c r="N1322" s="1" t="s">
        <v>49</v>
      </c>
      <c r="O1322" s="6" t="str">
        <f>IF(Table2[[#This Row],[POG CONFIRMATION RECEIPT OF ORDER
(DATE &amp; TIME)]]="","No Confirmation","Received Confirmation")</f>
        <v>Received Confirmation</v>
      </c>
      <c r="P1322" s="6">
        <f ca="1">TODAY()-Table2[[#This Row],[DATE SENT TO POG]]</f>
        <v>196</v>
      </c>
      <c r="Q1322" s="6" t="s">
        <v>5803</v>
      </c>
      <c r="R13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2" s="2" t="str">
        <f>_xlfn.XLOOKUP(Table2[[#This Row],[Adjusted Form '#]],'[2]IN PROGRESS'!$D:$D,'[2]IN PROGRESS'!$M:$M,"Not Found")</f>
        <v>Not Found</v>
      </c>
      <c r="U1322" s="2" t="str">
        <f>_xlfn.XLOOKUP(Table2[[#This Row],[Adjusted Form '#]],[1]COMPLETED!$D:$D,[2]COMPLETED!$M:$M,"Not Found")</f>
        <v>Not Found</v>
      </c>
      <c r="V1322" s="17" t="str">
        <f>_xlfn.XLOOKUP(Table2[[#This Row],[Adjusted Form '#]],[2]COMPLETED!$D:$D,[2]COMPLETED!$O:$O,"Not Found")</f>
        <v>Not Found</v>
      </c>
      <c r="W1322" s="2" t="str">
        <f>_xlfn.XLOOKUP(Table2[[#This Row],[Adjusted Form '#]],[2]BILLED!$D:$D,[2]BILLED!$M:$M,"Not Found")</f>
        <v>9400 1112 0620 9895 1848 55</v>
      </c>
      <c r="X1322" s="17" t="e">
        <f>_xlfn.XLOOKUP(Table2[[#This Row],[Adjusted Form '#]],[2]BILLED!$D:$D,[1]BILLED!$O:$O,"Not Found")</f>
        <v>#REF!</v>
      </c>
      <c r="Y1322" s="17" t="e">
        <f>_xlfn.XLOOKUP(Table2[[#This Row],[Adjusted Form '#]],'[2]REJECTED ORDERS'!$D:$D,'[2]REJECTED ORDERS'!$E:$E)</f>
        <v>#N/A</v>
      </c>
      <c r="Z1322" s="1"/>
      <c r="AA1322" s="1"/>
    </row>
    <row r="1323" spans="1:27" ht="15" customHeight="1" x14ac:dyDescent="0.35">
      <c r="A1323" s="4" t="s">
        <v>1979</v>
      </c>
      <c r="B1323" s="1" t="s">
        <v>1037</v>
      </c>
      <c r="C1323" s="11">
        <v>45107</v>
      </c>
      <c r="D1323" s="11" t="s">
        <v>6238</v>
      </c>
      <c r="E1323" s="1" t="s">
        <v>21</v>
      </c>
      <c r="F1323" s="1" t="s">
        <v>6223</v>
      </c>
      <c r="G1323" s="6">
        <f>COUNTIF(F:F,Table2[[#This Row],[Form '#]])</f>
        <v>1</v>
      </c>
      <c r="H1323" s="1" t="s">
        <v>6224</v>
      </c>
      <c r="I1323" s="1" t="s">
        <v>3864</v>
      </c>
      <c r="J1323" s="1" t="s">
        <v>78</v>
      </c>
      <c r="K1323" s="1" t="s">
        <v>3879</v>
      </c>
      <c r="L1323" s="1"/>
      <c r="M1323" s="6" t="str">
        <f>IF(Table2[[#This Row],[Corrected Form '#
 (If Duplicated)]]="",Table2[[#This Row],[Form '#]],Table2[[#This Row],[Corrected Form '#
 (If Duplicated)]])</f>
        <v>7818-26841</v>
      </c>
      <c r="N1323" s="1" t="s">
        <v>49</v>
      </c>
      <c r="O1323" s="6" t="str">
        <f>IF(Table2[[#This Row],[POG CONFIRMATION RECEIPT OF ORDER
(DATE &amp; TIME)]]="","No Confirmation","Received Confirmation")</f>
        <v>Received Confirmation</v>
      </c>
      <c r="P1323" s="6">
        <f ca="1">TODAY()-Table2[[#This Row],[DATE SENT TO POG]]</f>
        <v>196</v>
      </c>
      <c r="Q1323" s="6" t="s">
        <v>5803</v>
      </c>
      <c r="R13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3" s="2" t="str">
        <f>_xlfn.XLOOKUP(Table2[[#This Row],[Adjusted Form '#]],'[2]IN PROGRESS'!$D:$D,'[2]IN PROGRESS'!$M:$M,"Not Found")</f>
        <v>Not Found</v>
      </c>
      <c r="U1323" s="2" t="str">
        <f>_xlfn.XLOOKUP(Table2[[#This Row],[Adjusted Form '#]],[1]COMPLETED!$D:$D,[2]COMPLETED!$M:$M,"Not Found")</f>
        <v>Not Found</v>
      </c>
      <c r="V1323" s="17" t="str">
        <f>_xlfn.XLOOKUP(Table2[[#This Row],[Adjusted Form '#]],[2]COMPLETED!$D:$D,[2]COMPLETED!$O:$O,"Not Found")</f>
        <v>Not Found</v>
      </c>
      <c r="W1323" s="2" t="str">
        <f>_xlfn.XLOOKUP(Table2[[#This Row],[Adjusted Form '#]],[2]BILLED!$D:$D,[2]BILLED!$M:$M,"Not Found")</f>
        <v>9400 1361 0605 3067 4966 35</v>
      </c>
      <c r="X1323" s="17" t="e">
        <f>_xlfn.XLOOKUP(Table2[[#This Row],[Adjusted Form '#]],[2]BILLED!$D:$D,[1]BILLED!$O:$O,"Not Found")</f>
        <v>#REF!</v>
      </c>
      <c r="Y1323" s="17" t="e">
        <f>_xlfn.XLOOKUP(Table2[[#This Row],[Adjusted Form '#]],'[2]REJECTED ORDERS'!$D:$D,'[2]REJECTED ORDERS'!$E:$E)</f>
        <v>#N/A</v>
      </c>
      <c r="Z1323" s="1"/>
      <c r="AA1323" s="1"/>
    </row>
    <row r="1324" spans="1:27" ht="15" customHeight="1" x14ac:dyDescent="0.35">
      <c r="A1324" s="4" t="s">
        <v>1980</v>
      </c>
      <c r="B1324" s="1" t="s">
        <v>1037</v>
      </c>
      <c r="C1324" s="11">
        <v>45107</v>
      </c>
      <c r="D1324" s="11" t="s">
        <v>6238</v>
      </c>
      <c r="E1324" s="1" t="s">
        <v>21</v>
      </c>
      <c r="F1324" s="1" t="s">
        <v>6225</v>
      </c>
      <c r="G1324" s="6">
        <f>COUNTIF(F:F,Table2[[#This Row],[Form '#]])</f>
        <v>1</v>
      </c>
      <c r="H1324" s="1" t="s">
        <v>923</v>
      </c>
      <c r="I1324" s="1" t="s">
        <v>127</v>
      </c>
      <c r="J1324" s="1" t="s">
        <v>71</v>
      </c>
      <c r="K1324" s="1" t="s">
        <v>4011</v>
      </c>
      <c r="L1324" s="1"/>
      <c r="M1324" s="6" t="str">
        <f>IF(Table2[[#This Row],[Corrected Form '#
 (If Duplicated)]]="",Table2[[#This Row],[Form '#]],Table2[[#This Row],[Corrected Form '#
 (If Duplicated)]])</f>
        <v>7818-23665</v>
      </c>
      <c r="N1324" s="1" t="s">
        <v>49</v>
      </c>
      <c r="O1324" s="6" t="str">
        <f>IF(Table2[[#This Row],[POG CONFIRMATION RECEIPT OF ORDER
(DATE &amp; TIME)]]="","No Confirmation","Received Confirmation")</f>
        <v>Received Confirmation</v>
      </c>
      <c r="P1324" s="6">
        <f ca="1">TODAY()-Table2[[#This Row],[DATE SENT TO POG]]</f>
        <v>196</v>
      </c>
      <c r="Q1324" s="6" t="s">
        <v>5803</v>
      </c>
      <c r="R13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4" s="2" t="str">
        <f>_xlfn.XLOOKUP(Table2[[#This Row],[Adjusted Form '#]],'[2]IN PROGRESS'!$D:$D,'[2]IN PROGRESS'!$M:$M,"Not Found")</f>
        <v>Not Found</v>
      </c>
      <c r="U1324" s="2" t="str">
        <f>_xlfn.XLOOKUP(Table2[[#This Row],[Adjusted Form '#]],[1]COMPLETED!$D:$D,[2]COMPLETED!$M:$M,"Not Found")</f>
        <v>Not Found</v>
      </c>
      <c r="V1324" s="17" t="str">
        <f>_xlfn.XLOOKUP(Table2[[#This Row],[Adjusted Form '#]],[2]COMPLETED!$D:$D,[2]COMPLETED!$O:$O,"Not Found")</f>
        <v>Not Found</v>
      </c>
      <c r="W1324" s="2" t="str">
        <f>_xlfn.XLOOKUP(Table2[[#This Row],[Adjusted Form '#]],[2]BILLED!$D:$D,[2]BILLED!$M:$M,"Not Found")</f>
        <v>1Z5063E0YW42506479</v>
      </c>
      <c r="X1324" s="17" t="e">
        <f>_xlfn.XLOOKUP(Table2[[#This Row],[Adjusted Form '#]],[2]BILLED!$D:$D,[1]BILLED!$O:$O,"Not Found")</f>
        <v>#REF!</v>
      </c>
      <c r="Y1324" s="17" t="e">
        <f>_xlfn.XLOOKUP(Table2[[#This Row],[Adjusted Form '#]],'[2]REJECTED ORDERS'!$D:$D,'[2]REJECTED ORDERS'!$E:$E)</f>
        <v>#N/A</v>
      </c>
      <c r="Z1324" s="1"/>
      <c r="AA1324" s="1"/>
    </row>
    <row r="1325" spans="1:27" ht="15" customHeight="1" x14ac:dyDescent="0.35">
      <c r="A1325" s="4" t="s">
        <v>1981</v>
      </c>
      <c r="B1325" s="1" t="s">
        <v>6226</v>
      </c>
      <c r="C1325" s="11">
        <v>45107</v>
      </c>
      <c r="D1325" s="11" t="s">
        <v>6239</v>
      </c>
      <c r="E1325" s="1" t="s">
        <v>21</v>
      </c>
      <c r="F1325" s="1" t="s">
        <v>6227</v>
      </c>
      <c r="G1325" s="6">
        <f>COUNTIF(F:F,Table2[[#This Row],[Form '#]])</f>
        <v>1</v>
      </c>
      <c r="H1325" s="1" t="s">
        <v>6228</v>
      </c>
      <c r="I1325" s="1" t="s">
        <v>127</v>
      </c>
      <c r="J1325" s="1" t="s">
        <v>76</v>
      </c>
      <c r="K1325" s="1" t="s">
        <v>3883</v>
      </c>
      <c r="L1325" s="1"/>
      <c r="M1325" s="6" t="str">
        <f>IF(Table2[[#This Row],[Corrected Form '#
 (If Duplicated)]]="",Table2[[#This Row],[Form '#]],Table2[[#This Row],[Corrected Form '#
 (If Duplicated)]])</f>
        <v>7818-26809</v>
      </c>
      <c r="N1325" s="1" t="s">
        <v>49</v>
      </c>
      <c r="O1325" s="6" t="str">
        <f>IF(Table2[[#This Row],[POG CONFIRMATION RECEIPT OF ORDER
(DATE &amp; TIME)]]="","No Confirmation","Received Confirmation")</f>
        <v>Received Confirmation</v>
      </c>
      <c r="P1325" s="6">
        <f ca="1">TODAY()-Table2[[#This Row],[DATE SENT TO POG]]</f>
        <v>196</v>
      </c>
      <c r="Q1325" s="6" t="s">
        <v>5803</v>
      </c>
      <c r="R13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5" s="2" t="str">
        <f>_xlfn.XLOOKUP(Table2[[#This Row],[Adjusted Form '#]],'[2]IN PROGRESS'!$D:$D,'[2]IN PROGRESS'!$M:$M,"Not Found")</f>
        <v>Not Found</v>
      </c>
      <c r="U1325" s="2" t="str">
        <f>_xlfn.XLOOKUP(Table2[[#This Row],[Adjusted Form '#]],[1]COMPLETED!$D:$D,[2]COMPLETED!$M:$M,"Not Found")</f>
        <v>Not Found</v>
      </c>
      <c r="V1325" s="17" t="str">
        <f>_xlfn.XLOOKUP(Table2[[#This Row],[Adjusted Form '#]],[2]COMPLETED!$D:$D,[2]COMPLETED!$O:$O,"Not Found")</f>
        <v>Not Found</v>
      </c>
      <c r="W1325" s="2" t="str">
        <f>_xlfn.XLOOKUP(Table2[[#This Row],[Adjusted Form '#]],[2]BILLED!$D:$D,[2]BILLED!$M:$M,"Not Found")</f>
        <v>9402 1112 0620 9895 4328 79</v>
      </c>
      <c r="X1325" s="17" t="e">
        <f>_xlfn.XLOOKUP(Table2[[#This Row],[Adjusted Form '#]],[2]BILLED!$D:$D,[1]BILLED!$O:$O,"Not Found")</f>
        <v>#REF!</v>
      </c>
      <c r="Y1325" s="17" t="e">
        <f>_xlfn.XLOOKUP(Table2[[#This Row],[Adjusted Form '#]],'[2]REJECTED ORDERS'!$D:$D,'[2]REJECTED ORDERS'!$E:$E)</f>
        <v>#N/A</v>
      </c>
      <c r="Z1325" s="1"/>
      <c r="AA1325" s="1"/>
    </row>
    <row r="1326" spans="1:27" ht="15" customHeight="1" x14ac:dyDescent="0.35">
      <c r="A1326" s="4" t="s">
        <v>1983</v>
      </c>
      <c r="B1326" s="1" t="s">
        <v>238</v>
      </c>
      <c r="C1326" s="11">
        <v>45107</v>
      </c>
      <c r="D1326" s="11" t="s">
        <v>6240</v>
      </c>
      <c r="E1326" s="1" t="s">
        <v>73</v>
      </c>
      <c r="F1326" s="1" t="s">
        <v>6229</v>
      </c>
      <c r="G1326" s="6">
        <f>COUNTIF(F:F,Table2[[#This Row],[Form '#]])</f>
        <v>2</v>
      </c>
      <c r="H1326" s="1" t="s">
        <v>6230</v>
      </c>
      <c r="I1326" s="1" t="s">
        <v>3852</v>
      </c>
      <c r="J1326" s="1" t="s">
        <v>80</v>
      </c>
      <c r="K1326" s="1" t="s">
        <v>3853</v>
      </c>
      <c r="L1326" s="1"/>
      <c r="M1326" s="6" t="str">
        <f>IF(Table2[[#This Row],[Corrected Form '#
 (If Duplicated)]]="",Table2[[#This Row],[Form '#]],Table2[[#This Row],[Corrected Form '#
 (If Duplicated)]])</f>
        <v>7823-02238</v>
      </c>
      <c r="N1326" s="1" t="s">
        <v>49</v>
      </c>
      <c r="O1326" s="6" t="str">
        <f>IF(Table2[[#This Row],[POG CONFIRMATION RECEIPT OF ORDER
(DATE &amp; TIME)]]="","No Confirmation","Received Confirmation")</f>
        <v>Received Confirmation</v>
      </c>
      <c r="P1326" s="6">
        <f ca="1">TODAY()-Table2[[#This Row],[DATE SENT TO POG]]</f>
        <v>196</v>
      </c>
      <c r="Q1326" s="6" t="s">
        <v>5803</v>
      </c>
      <c r="R13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6" s="2" t="str">
        <f>_xlfn.XLOOKUP(Table2[[#This Row],[Adjusted Form '#]],'[2]IN PROGRESS'!$D:$D,'[2]IN PROGRESS'!$M:$M,"Not Found")</f>
        <v>Not Found</v>
      </c>
      <c r="U1326" s="2" t="str">
        <f>_xlfn.XLOOKUP(Table2[[#This Row],[Adjusted Form '#]],[1]COMPLETED!$D:$D,[2]COMPLETED!$M:$M,"Not Found")</f>
        <v>Not Found</v>
      </c>
      <c r="V1326" s="17" t="str">
        <f>_xlfn.XLOOKUP(Table2[[#This Row],[Adjusted Form '#]],[2]COMPLETED!$D:$D,[2]COMPLETED!$O:$O,"Not Found")</f>
        <v>Not Found</v>
      </c>
      <c r="W1326" s="2" t="str">
        <f>_xlfn.XLOOKUP(Table2[[#This Row],[Adjusted Form '#]],[2]BILLED!$D:$D,[2]BILLED!$M:$M,"Not Found")</f>
        <v>9400 1361 0605 3072 3635 19</v>
      </c>
      <c r="X1326" s="17" t="e">
        <f>_xlfn.XLOOKUP(Table2[[#This Row],[Adjusted Form '#]],[2]BILLED!$D:$D,[1]BILLED!$O:$O,"Not Found")</f>
        <v>#REF!</v>
      </c>
      <c r="Y1326" s="17" t="e">
        <f>_xlfn.XLOOKUP(Table2[[#This Row],[Adjusted Form '#]],'[2]REJECTED ORDERS'!$D:$D,'[2]REJECTED ORDERS'!$E:$E)</f>
        <v>#N/A</v>
      </c>
      <c r="Z1326" s="1"/>
      <c r="AA1326" s="1"/>
    </row>
    <row r="1327" spans="1:27" ht="15" customHeight="1" x14ac:dyDescent="0.35">
      <c r="A1327" s="4" t="s">
        <v>1984</v>
      </c>
      <c r="B1327" s="1" t="s">
        <v>733</v>
      </c>
      <c r="C1327" s="11">
        <v>45107</v>
      </c>
      <c r="D1327" s="11" t="s">
        <v>6240</v>
      </c>
      <c r="E1327" s="1" t="s">
        <v>21</v>
      </c>
      <c r="F1327" s="1" t="s">
        <v>6232</v>
      </c>
      <c r="G1327" s="6">
        <f>COUNTIF(F:F,Table2[[#This Row],[Form '#]])</f>
        <v>1</v>
      </c>
      <c r="H1327" s="1" t="s">
        <v>6231</v>
      </c>
      <c r="I1327" s="1" t="s">
        <v>127</v>
      </c>
      <c r="J1327" s="1" t="s">
        <v>71</v>
      </c>
      <c r="K1327" s="1" t="s">
        <v>3883</v>
      </c>
      <c r="L1327" s="1"/>
      <c r="M1327" s="6" t="str">
        <f>IF(Table2[[#This Row],[Corrected Form '#
 (If Duplicated)]]="",Table2[[#This Row],[Form '#]],Table2[[#This Row],[Corrected Form '#
 (If Duplicated)]])</f>
        <v>7818-18935</v>
      </c>
      <c r="N1327" s="1" t="s">
        <v>49</v>
      </c>
      <c r="O1327" s="6" t="str">
        <f>IF(Table2[[#This Row],[POG CONFIRMATION RECEIPT OF ORDER
(DATE &amp; TIME)]]="","No Confirmation","Received Confirmation")</f>
        <v>Received Confirmation</v>
      </c>
      <c r="P1327" s="6">
        <f ca="1">TODAY()-Table2[[#This Row],[DATE SENT TO POG]]</f>
        <v>196</v>
      </c>
      <c r="Q1327" s="6" t="s">
        <v>5803</v>
      </c>
      <c r="R13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7" s="2" t="str">
        <f>_xlfn.XLOOKUP(Table2[[#This Row],[Adjusted Form '#]],'[2]IN PROGRESS'!$D:$D,'[2]IN PROGRESS'!$M:$M,"Not Found")</f>
        <v>Not Found</v>
      </c>
      <c r="U1327" s="2" t="str">
        <f>_xlfn.XLOOKUP(Table2[[#This Row],[Adjusted Form '#]],[1]COMPLETED!$D:$D,[2]COMPLETED!$M:$M,"Not Found")</f>
        <v>Not Found</v>
      </c>
      <c r="V1327" s="17" t="str">
        <f>_xlfn.XLOOKUP(Table2[[#This Row],[Adjusted Form '#]],[2]COMPLETED!$D:$D,[2]COMPLETED!$O:$O,"Not Found")</f>
        <v>Not Found</v>
      </c>
      <c r="W1327" s="2" t="str">
        <f>_xlfn.XLOOKUP(Table2[[#This Row],[Adjusted Form '#]],[2]BILLED!$D:$D,[2]BILLED!$M:$M,"Not Found")</f>
        <v>1Z5063E0YW40912837</v>
      </c>
      <c r="X1327" s="17" t="e">
        <f>_xlfn.XLOOKUP(Table2[[#This Row],[Adjusted Form '#]],[2]BILLED!$D:$D,[1]BILLED!$O:$O,"Not Found")</f>
        <v>#REF!</v>
      </c>
      <c r="Y1327" s="17" t="e">
        <f>_xlfn.XLOOKUP(Table2[[#This Row],[Adjusted Form '#]],'[2]REJECTED ORDERS'!$D:$D,'[2]REJECTED ORDERS'!$E:$E)</f>
        <v>#N/A</v>
      </c>
      <c r="Z1327" s="1"/>
      <c r="AA1327" s="1"/>
    </row>
    <row r="1328" spans="1:27" ht="15" customHeight="1" x14ac:dyDescent="0.35">
      <c r="A1328" s="4" t="s">
        <v>1985</v>
      </c>
      <c r="B1328" s="1" t="s">
        <v>733</v>
      </c>
      <c r="C1328" s="11">
        <v>45107</v>
      </c>
      <c r="D1328" s="11" t="s">
        <v>6240</v>
      </c>
      <c r="E1328" s="1" t="s">
        <v>21</v>
      </c>
      <c r="F1328" s="1" t="s">
        <v>6233</v>
      </c>
      <c r="G1328" s="6">
        <f>COUNTIF(F:F,Table2[[#This Row],[Form '#]])</f>
        <v>1</v>
      </c>
      <c r="H1328" s="1" t="s">
        <v>6234</v>
      </c>
      <c r="I1328" s="1" t="s">
        <v>758</v>
      </c>
      <c r="J1328" s="1" t="s">
        <v>78</v>
      </c>
      <c r="K1328" s="1" t="s">
        <v>3853</v>
      </c>
      <c r="L1328" s="1"/>
      <c r="M1328" s="6" t="str">
        <f>IF(Table2[[#This Row],[Corrected Form '#
 (If Duplicated)]]="",Table2[[#This Row],[Form '#]],Table2[[#This Row],[Corrected Form '#
 (If Duplicated)]])</f>
        <v>7818-24635</v>
      </c>
      <c r="N1328" s="1" t="s">
        <v>49</v>
      </c>
      <c r="O1328" s="6" t="str">
        <f>IF(Table2[[#This Row],[POG CONFIRMATION RECEIPT OF ORDER
(DATE &amp; TIME)]]="","No Confirmation","Received Confirmation")</f>
        <v>Received Confirmation</v>
      </c>
      <c r="P1328" s="6">
        <f ca="1">TODAY()-Table2[[#This Row],[DATE SENT TO POG]]</f>
        <v>196</v>
      </c>
      <c r="Q1328" s="6" t="s">
        <v>5803</v>
      </c>
      <c r="R13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8" s="2" t="str">
        <f>_xlfn.XLOOKUP(Table2[[#This Row],[Adjusted Form '#]],'[2]IN PROGRESS'!$D:$D,'[2]IN PROGRESS'!$M:$M,"Not Found")</f>
        <v>Not Found</v>
      </c>
      <c r="U1328" s="2" t="str">
        <f>_xlfn.XLOOKUP(Table2[[#This Row],[Adjusted Form '#]],[1]COMPLETED!$D:$D,[2]COMPLETED!$M:$M,"Not Found")</f>
        <v>Not Found</v>
      </c>
      <c r="V1328" s="17" t="str">
        <f>_xlfn.XLOOKUP(Table2[[#This Row],[Adjusted Form '#]],[2]COMPLETED!$D:$D,[2]COMPLETED!$O:$O,"Not Found")</f>
        <v>Not Found</v>
      </c>
      <c r="W1328" s="2" t="str">
        <f>_xlfn.XLOOKUP(Table2[[#This Row],[Adjusted Form '#]],[2]BILLED!$D:$D,[2]BILLED!$M:$M,"Not Found")</f>
        <v>1Z5063E0YW41532460</v>
      </c>
      <c r="X1328" s="17" t="e">
        <f>_xlfn.XLOOKUP(Table2[[#This Row],[Adjusted Form '#]],[2]BILLED!$D:$D,[1]BILLED!$O:$O,"Not Found")</f>
        <v>#REF!</v>
      </c>
      <c r="Y1328" s="17" t="e">
        <f>_xlfn.XLOOKUP(Table2[[#This Row],[Adjusted Form '#]],'[2]REJECTED ORDERS'!$D:$D,'[2]REJECTED ORDERS'!$E:$E)</f>
        <v>#N/A</v>
      </c>
      <c r="Z1328" s="1"/>
      <c r="AA1328" s="1"/>
    </row>
    <row r="1329" spans="1:27" ht="15" customHeight="1" x14ac:dyDescent="0.35">
      <c r="A1329" s="4" t="s">
        <v>1988</v>
      </c>
      <c r="B1329" s="1" t="s">
        <v>733</v>
      </c>
      <c r="C1329" s="11">
        <v>45107</v>
      </c>
      <c r="D1329" s="11" t="s">
        <v>6240</v>
      </c>
      <c r="E1329" s="1" t="s">
        <v>21</v>
      </c>
      <c r="F1329" s="1" t="s">
        <v>6235</v>
      </c>
      <c r="G1329" s="6">
        <f>COUNTIF(F:F,Table2[[#This Row],[Form '#]])</f>
        <v>1</v>
      </c>
      <c r="H1329" s="1" t="s">
        <v>1176</v>
      </c>
      <c r="I1329" s="1" t="s">
        <v>177</v>
      </c>
      <c r="J1329" s="1" t="s">
        <v>75</v>
      </c>
      <c r="K1329" s="1" t="s">
        <v>4011</v>
      </c>
      <c r="L1329" s="1"/>
      <c r="M1329" s="6" t="str">
        <f>IF(Table2[[#This Row],[Corrected Form '#
 (If Duplicated)]]="",Table2[[#This Row],[Form '#]],Table2[[#This Row],[Corrected Form '#
 (If Duplicated)]])</f>
        <v>7818-14057</v>
      </c>
      <c r="N1329" s="1" t="s">
        <v>49</v>
      </c>
      <c r="O1329" s="6" t="str">
        <f>IF(Table2[[#This Row],[POG CONFIRMATION RECEIPT OF ORDER
(DATE &amp; TIME)]]="","No Confirmation","Received Confirmation")</f>
        <v>Received Confirmation</v>
      </c>
      <c r="P1329" s="6">
        <f ca="1">TODAY()-Table2[[#This Row],[DATE SENT TO POG]]</f>
        <v>196</v>
      </c>
      <c r="Q1329" s="6" t="s">
        <v>5803</v>
      </c>
      <c r="R13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29" s="2" t="str">
        <f>_xlfn.XLOOKUP(Table2[[#This Row],[Adjusted Form '#]],'[2]IN PROGRESS'!$D:$D,'[2]IN PROGRESS'!$M:$M,"Not Found")</f>
        <v>Not Found</v>
      </c>
      <c r="U1329" s="2" t="str">
        <f>_xlfn.XLOOKUP(Table2[[#This Row],[Adjusted Form '#]],[1]COMPLETED!$D:$D,[2]COMPLETED!$M:$M,"Not Found")</f>
        <v>Not Found</v>
      </c>
      <c r="V1329" s="17" t="str">
        <f>_xlfn.XLOOKUP(Table2[[#This Row],[Adjusted Form '#]],[2]COMPLETED!$D:$D,[2]COMPLETED!$O:$O,"Not Found")</f>
        <v>Not Found</v>
      </c>
      <c r="W1329" s="2" t="str">
        <f>_xlfn.XLOOKUP(Table2[[#This Row],[Adjusted Form '#]],[2]BILLED!$D:$D,[2]BILLED!$M:$M,"Not Found")</f>
        <v>1Z5063E0YW42660392</v>
      </c>
      <c r="X1329" s="17" t="e">
        <f>_xlfn.XLOOKUP(Table2[[#This Row],[Adjusted Form '#]],[2]BILLED!$D:$D,[1]BILLED!$O:$O,"Not Found")</f>
        <v>#REF!</v>
      </c>
      <c r="Y1329" s="17" t="e">
        <f>_xlfn.XLOOKUP(Table2[[#This Row],[Adjusted Form '#]],'[2]REJECTED ORDERS'!$D:$D,'[2]REJECTED ORDERS'!$E:$E)</f>
        <v>#N/A</v>
      </c>
      <c r="Z1329" s="1"/>
      <c r="AA1329" s="1"/>
    </row>
    <row r="1330" spans="1:27" ht="15" customHeight="1" x14ac:dyDescent="0.35">
      <c r="A1330" s="4" t="s">
        <v>1989</v>
      </c>
      <c r="B1330" s="1" t="s">
        <v>6242</v>
      </c>
      <c r="C1330" s="11">
        <v>45110</v>
      </c>
      <c r="D1330" s="11" t="s">
        <v>6243</v>
      </c>
      <c r="E1330" s="1" t="s">
        <v>191</v>
      </c>
      <c r="F1330" s="1" t="s">
        <v>6244</v>
      </c>
      <c r="G1330" s="6">
        <f>COUNTIF(F:F,Table2[[#This Row],[Form '#]])</f>
        <v>1</v>
      </c>
      <c r="H1330" s="1" t="s">
        <v>6245</v>
      </c>
      <c r="I1330" s="1" t="s">
        <v>177</v>
      </c>
      <c r="J1330" s="1" t="s">
        <v>75</v>
      </c>
      <c r="K1330" s="1" t="s">
        <v>4011</v>
      </c>
      <c r="L1330" s="1"/>
      <c r="M1330" s="6" t="str">
        <f>IF(Table2[[#This Row],[Corrected Form '#
 (If Duplicated)]]="",Table2[[#This Row],[Form '#]],Table2[[#This Row],[Corrected Form '#
 (If Duplicated)]])</f>
        <v>7812-4027</v>
      </c>
      <c r="N1330" s="1" t="s">
        <v>49</v>
      </c>
      <c r="O1330" s="6" t="str">
        <f>IF(Table2[[#This Row],[POG CONFIRMATION RECEIPT OF ORDER
(DATE &amp; TIME)]]="","No Confirmation","Received Confirmation")</f>
        <v>Received Confirmation</v>
      </c>
      <c r="P1330" s="6">
        <f ca="1">TODAY()-Table2[[#This Row],[DATE SENT TO POG]]</f>
        <v>193</v>
      </c>
      <c r="Q1330" s="6" t="s">
        <v>5803</v>
      </c>
      <c r="R13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0" s="2" t="str">
        <f>_xlfn.XLOOKUP(Table2[[#This Row],[Adjusted Form '#]],'[2]IN PROGRESS'!$D:$D,'[2]IN PROGRESS'!$M:$M,"Not Found")</f>
        <v>Not Found</v>
      </c>
      <c r="U1330" s="2" t="str">
        <f>_xlfn.XLOOKUP(Table2[[#This Row],[Adjusted Form '#]],[1]COMPLETED!$D:$D,[2]COMPLETED!$M:$M,"Not Found")</f>
        <v>Not Found</v>
      </c>
      <c r="V1330" s="17" t="str">
        <f>_xlfn.XLOOKUP(Table2[[#This Row],[Adjusted Form '#]],[2]COMPLETED!$D:$D,[2]COMPLETED!$O:$O,"Not Found")</f>
        <v>Not Found</v>
      </c>
      <c r="W1330" s="2" t="str">
        <f>_xlfn.XLOOKUP(Table2[[#This Row],[Adjusted Form '#]],[2]BILLED!$D:$D,[2]BILLED!$M:$M,"Not Found")</f>
        <v>9400 1361 0605 3094 4966 77</v>
      </c>
      <c r="X1330" s="17" t="e">
        <f>_xlfn.XLOOKUP(Table2[[#This Row],[Adjusted Form '#]],[2]BILLED!$D:$D,[1]BILLED!$O:$O,"Not Found")</f>
        <v>#REF!</v>
      </c>
      <c r="Y1330" s="17" t="e">
        <f>_xlfn.XLOOKUP(Table2[[#This Row],[Adjusted Form '#]],'[2]REJECTED ORDERS'!$D:$D,'[2]REJECTED ORDERS'!$E:$E)</f>
        <v>#N/A</v>
      </c>
      <c r="Z1330" s="1"/>
      <c r="AA1330" s="1"/>
    </row>
    <row r="1331" spans="1:27" ht="15" customHeight="1" x14ac:dyDescent="0.35">
      <c r="A1331" s="4" t="s">
        <v>1991</v>
      </c>
      <c r="B1331" s="1" t="s">
        <v>1305</v>
      </c>
      <c r="C1331" s="11">
        <v>45110</v>
      </c>
      <c r="E1331" s="1" t="s">
        <v>73</v>
      </c>
      <c r="F1331" s="1" t="s">
        <v>6246</v>
      </c>
      <c r="G1331" s="6">
        <f>COUNTIF(F:F,Table2[[#This Row],[Form '#]])</f>
        <v>1</v>
      </c>
      <c r="H1331" s="1" t="s">
        <v>6247</v>
      </c>
      <c r="I1331" s="1" t="s">
        <v>3852</v>
      </c>
      <c r="J1331" s="1" t="s">
        <v>75</v>
      </c>
      <c r="K1331" s="1" t="s">
        <v>4011</v>
      </c>
      <c r="L1331" s="1"/>
      <c r="M1331" s="6" t="str">
        <f>IF(Table2[[#This Row],[Corrected Form '#
 (If Duplicated)]]="",Table2[[#This Row],[Form '#]],Table2[[#This Row],[Corrected Form '#
 (If Duplicated)]])</f>
        <v>7823-02765</v>
      </c>
      <c r="N1331" s="1" t="s">
        <v>49</v>
      </c>
      <c r="O1331" s="6" t="str">
        <f>IF(Table2[[#This Row],[POG CONFIRMATION RECEIPT OF ORDER
(DATE &amp; TIME)]]="","No Confirmation","Received Confirmation")</f>
        <v>No Confirmation</v>
      </c>
      <c r="P1331" s="6">
        <f ca="1">TODAY()-Table2[[#This Row],[DATE SENT TO POG]]</f>
        <v>193</v>
      </c>
      <c r="Q1331" s="6" t="s">
        <v>5803</v>
      </c>
      <c r="R13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1" s="2" t="str">
        <f>_xlfn.XLOOKUP(Table2[[#This Row],[Adjusted Form '#]],'[2]IN PROGRESS'!$D:$D,'[2]IN PROGRESS'!$M:$M,"Not Found")</f>
        <v>Not Found</v>
      </c>
      <c r="U1331" s="2" t="str">
        <f>_xlfn.XLOOKUP(Table2[[#This Row],[Adjusted Form '#]],[1]COMPLETED!$D:$D,[2]COMPLETED!$M:$M,"Not Found")</f>
        <v>Not Found</v>
      </c>
      <c r="V1331" s="17" t="str">
        <f>_xlfn.XLOOKUP(Table2[[#This Row],[Adjusted Form '#]],[2]COMPLETED!$D:$D,[2]COMPLETED!$O:$O,"Not Found")</f>
        <v>Not Found</v>
      </c>
      <c r="W1331" s="2" t="str">
        <f>_xlfn.XLOOKUP(Table2[[#This Row],[Adjusted Form '#]],[2]BILLED!$D:$D,[2]BILLED!$M:$M,"Not Found")</f>
        <v>9400 1361 0605 3075 5241 77</v>
      </c>
      <c r="X1331" s="17" t="e">
        <f>_xlfn.XLOOKUP(Table2[[#This Row],[Adjusted Form '#]],[2]BILLED!$D:$D,[1]BILLED!$O:$O,"Not Found")</f>
        <v>#REF!</v>
      </c>
      <c r="Y1331" s="17" t="e">
        <f>_xlfn.XLOOKUP(Table2[[#This Row],[Adjusted Form '#]],'[2]REJECTED ORDERS'!$D:$D,'[2]REJECTED ORDERS'!$E:$E)</f>
        <v>#N/A</v>
      </c>
      <c r="Z1331" s="1"/>
      <c r="AA1331" s="1"/>
    </row>
    <row r="1332" spans="1:27" ht="15" customHeight="1" x14ac:dyDescent="0.35">
      <c r="A1332" s="4" t="s">
        <v>1992</v>
      </c>
      <c r="B1332" s="1" t="s">
        <v>3646</v>
      </c>
      <c r="C1332" s="11">
        <v>45111</v>
      </c>
      <c r="D1332" s="11" t="s">
        <v>6260</v>
      </c>
      <c r="E1332" s="1" t="s">
        <v>1592</v>
      </c>
      <c r="F1332" s="1" t="s">
        <v>6248</v>
      </c>
      <c r="G1332" s="6">
        <f>COUNTIF(F:F,Table2[[#This Row],[Form '#]])</f>
        <v>1</v>
      </c>
      <c r="H1332" s="1" t="s">
        <v>6249</v>
      </c>
      <c r="I1332" s="1" t="s">
        <v>177</v>
      </c>
      <c r="J1332" s="1" t="s">
        <v>75</v>
      </c>
      <c r="K1332" s="1" t="s">
        <v>3853</v>
      </c>
      <c r="L1332" s="1"/>
      <c r="M1332" s="6" t="str">
        <f>IF(Table2[[#This Row],[Corrected Form '#
 (If Duplicated)]]="",Table2[[#This Row],[Form '#]],Table2[[#This Row],[Corrected Form '#
 (If Duplicated)]])</f>
        <v>7811-00197</v>
      </c>
      <c r="N1332" s="1" t="s">
        <v>49</v>
      </c>
      <c r="O1332" s="6" t="str">
        <f>IF(Table2[[#This Row],[POG CONFIRMATION RECEIPT OF ORDER
(DATE &amp; TIME)]]="","No Confirmation","Received Confirmation")</f>
        <v>Received Confirmation</v>
      </c>
      <c r="P1332" s="6">
        <f ca="1">TODAY()-Table2[[#This Row],[DATE SENT TO POG]]</f>
        <v>192</v>
      </c>
      <c r="Q1332" s="6" t="s">
        <v>5803</v>
      </c>
      <c r="R13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2" s="2" t="str">
        <f>_xlfn.XLOOKUP(Table2[[#This Row],[Adjusted Form '#]],'[2]IN PROGRESS'!$D:$D,'[2]IN PROGRESS'!$M:$M,"Not Found")</f>
        <v>Not Found</v>
      </c>
      <c r="U1332" s="2" t="str">
        <f>_xlfn.XLOOKUP(Table2[[#This Row],[Adjusted Form '#]],[1]COMPLETED!$D:$D,[2]COMPLETED!$M:$M,"Not Found")</f>
        <v>Not Found</v>
      </c>
      <c r="V1332" s="17" t="str">
        <f>_xlfn.XLOOKUP(Table2[[#This Row],[Adjusted Form '#]],[2]COMPLETED!$D:$D,[2]COMPLETED!$O:$O,"Not Found")</f>
        <v>Not Found</v>
      </c>
      <c r="W1332" s="2" t="str">
        <f>_xlfn.XLOOKUP(Table2[[#This Row],[Adjusted Form '#]],[2]BILLED!$D:$D,[2]BILLED!$M:$M,"Not Found")</f>
        <v>9400 1361 0605 3092 4344 28</v>
      </c>
      <c r="X1332" s="17" t="e">
        <f>_xlfn.XLOOKUP(Table2[[#This Row],[Adjusted Form '#]],[2]BILLED!$D:$D,[1]BILLED!$O:$O,"Not Found")</f>
        <v>#REF!</v>
      </c>
      <c r="Y1332" s="17" t="e">
        <f>_xlfn.XLOOKUP(Table2[[#This Row],[Adjusted Form '#]],'[2]REJECTED ORDERS'!$D:$D,'[2]REJECTED ORDERS'!$E:$E)</f>
        <v>#N/A</v>
      </c>
      <c r="Z1332" s="1"/>
      <c r="AA1332" s="1"/>
    </row>
    <row r="1333" spans="1:27" ht="15" customHeight="1" x14ac:dyDescent="0.35">
      <c r="A1333" s="4" t="s">
        <v>1993</v>
      </c>
      <c r="B1333" s="1" t="s">
        <v>592</v>
      </c>
      <c r="C1333" s="11">
        <v>45112</v>
      </c>
      <c r="D1333" s="11" t="s">
        <v>6261</v>
      </c>
      <c r="E1333" s="1" t="s">
        <v>21</v>
      </c>
      <c r="F1333" s="1" t="s">
        <v>6250</v>
      </c>
      <c r="G1333" s="6">
        <f>COUNTIF(F:F,Table2[[#This Row],[Form '#]])</f>
        <v>1</v>
      </c>
      <c r="H1333" s="1" t="s">
        <v>6251</v>
      </c>
      <c r="I1333" s="1" t="s">
        <v>127</v>
      </c>
      <c r="J1333" s="1" t="s">
        <v>74</v>
      </c>
      <c r="K1333" s="1" t="s">
        <v>3891</v>
      </c>
      <c r="L1333" s="1"/>
      <c r="M1333" s="6" t="str">
        <f>IF(Table2[[#This Row],[Corrected Form '#
 (If Duplicated)]]="",Table2[[#This Row],[Form '#]],Table2[[#This Row],[Corrected Form '#
 (If Duplicated)]])</f>
        <v>7818-28631</v>
      </c>
      <c r="N1333" s="1" t="s">
        <v>49</v>
      </c>
      <c r="O1333" s="6" t="str">
        <f>IF(Table2[[#This Row],[POG CONFIRMATION RECEIPT OF ORDER
(DATE &amp; TIME)]]="","No Confirmation","Received Confirmation")</f>
        <v>Received Confirmation</v>
      </c>
      <c r="P1333" s="6">
        <f ca="1">TODAY()-Table2[[#This Row],[DATE SENT TO POG]]</f>
        <v>191</v>
      </c>
      <c r="Q1333" s="6" t="s">
        <v>5803</v>
      </c>
      <c r="R13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3" s="2" t="str">
        <f>_xlfn.XLOOKUP(Table2[[#This Row],[Adjusted Form '#]],'[2]IN PROGRESS'!$D:$D,'[2]IN PROGRESS'!$M:$M,"Not Found")</f>
        <v>Not Found</v>
      </c>
      <c r="U1333" s="2" t="str">
        <f>_xlfn.XLOOKUP(Table2[[#This Row],[Adjusted Form '#]],[1]COMPLETED!$D:$D,[2]COMPLETED!$M:$M,"Not Found")</f>
        <v>Not Found</v>
      </c>
      <c r="V1333" s="17" t="str">
        <f>_xlfn.XLOOKUP(Table2[[#This Row],[Adjusted Form '#]],[2]COMPLETED!$D:$D,[2]COMPLETED!$O:$O,"Not Found")</f>
        <v>Not Found</v>
      </c>
      <c r="W1333" s="2" t="str">
        <f>_xlfn.XLOOKUP(Table2[[#This Row],[Adjusted Form '#]],[2]BILLED!$D:$D,[2]BILLED!$M:$M,"Not Found")</f>
        <v>9400 1112 0620 9426 5598 31</v>
      </c>
      <c r="X1333" s="17" t="e">
        <f>_xlfn.XLOOKUP(Table2[[#This Row],[Adjusted Form '#]],[2]BILLED!$D:$D,[1]BILLED!$O:$O,"Not Found")</f>
        <v>#REF!</v>
      </c>
      <c r="Y1333" s="17" t="e">
        <f>_xlfn.XLOOKUP(Table2[[#This Row],[Adjusted Form '#]],'[2]REJECTED ORDERS'!$D:$D,'[2]REJECTED ORDERS'!$E:$E)</f>
        <v>#N/A</v>
      </c>
      <c r="Z1333" s="1"/>
      <c r="AA1333" s="1"/>
    </row>
    <row r="1334" spans="1:27" ht="15" customHeight="1" x14ac:dyDescent="0.35">
      <c r="A1334" s="4" t="s">
        <v>1994</v>
      </c>
      <c r="B1334" s="1" t="s">
        <v>592</v>
      </c>
      <c r="C1334" s="11">
        <v>45112</v>
      </c>
      <c r="D1334" s="11" t="s">
        <v>6261</v>
      </c>
      <c r="E1334" s="1" t="s">
        <v>21</v>
      </c>
      <c r="F1334" s="1" t="s">
        <v>6252</v>
      </c>
      <c r="G1334" s="6">
        <f>COUNTIF(F:F,Table2[[#This Row],[Form '#]])</f>
        <v>1</v>
      </c>
      <c r="H1334" s="1" t="s">
        <v>2320</v>
      </c>
      <c r="I1334" s="1" t="s">
        <v>177</v>
      </c>
      <c r="J1334" s="1" t="s">
        <v>75</v>
      </c>
      <c r="K1334" s="1" t="s">
        <v>3853</v>
      </c>
      <c r="L1334" s="1"/>
      <c r="M1334" s="6" t="str">
        <f>IF(Table2[[#This Row],[Corrected Form '#
 (If Duplicated)]]="",Table2[[#This Row],[Form '#]],Table2[[#This Row],[Corrected Form '#
 (If Duplicated)]])</f>
        <v>7818-21695</v>
      </c>
      <c r="N1334" s="1" t="s">
        <v>49</v>
      </c>
      <c r="O1334" s="6" t="str">
        <f>IF(Table2[[#This Row],[POG CONFIRMATION RECEIPT OF ORDER
(DATE &amp; TIME)]]="","No Confirmation","Received Confirmation")</f>
        <v>Received Confirmation</v>
      </c>
      <c r="P1334" s="6">
        <f ca="1">TODAY()-Table2[[#This Row],[DATE SENT TO POG]]</f>
        <v>191</v>
      </c>
      <c r="Q1334" s="6" t="s">
        <v>5803</v>
      </c>
      <c r="R13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4" s="2" t="str">
        <f>_xlfn.XLOOKUP(Table2[[#This Row],[Adjusted Form '#]],'[2]IN PROGRESS'!$D:$D,'[2]IN PROGRESS'!$M:$M,"Not Found")</f>
        <v>Not Found</v>
      </c>
      <c r="U1334" s="2" t="str">
        <f>_xlfn.XLOOKUP(Table2[[#This Row],[Adjusted Form '#]],[1]COMPLETED!$D:$D,[2]COMPLETED!$M:$M,"Not Found")</f>
        <v>Not Found</v>
      </c>
      <c r="V1334" s="17" t="str">
        <f>_xlfn.XLOOKUP(Table2[[#This Row],[Adjusted Form '#]],[2]COMPLETED!$D:$D,[2]COMPLETED!$O:$O,"Not Found")</f>
        <v>Not Found</v>
      </c>
      <c r="W1334" s="2" t="str">
        <f>_xlfn.XLOOKUP(Table2[[#This Row],[Adjusted Form '#]],[2]BILLED!$D:$D,[2]BILLED!$M:$M,"Not Found")</f>
        <v>9400 1361 0605 3092 4506 33</v>
      </c>
      <c r="X1334" s="17" t="e">
        <f>_xlfn.XLOOKUP(Table2[[#This Row],[Adjusted Form '#]],[2]BILLED!$D:$D,[1]BILLED!$O:$O,"Not Found")</f>
        <v>#REF!</v>
      </c>
      <c r="Y1334" s="17" t="e">
        <f>_xlfn.XLOOKUP(Table2[[#This Row],[Adjusted Form '#]],'[2]REJECTED ORDERS'!$D:$D,'[2]REJECTED ORDERS'!$E:$E)</f>
        <v>#N/A</v>
      </c>
      <c r="Z1334" s="1"/>
      <c r="AA1334" s="1"/>
    </row>
    <row r="1335" spans="1:27" ht="15" customHeight="1" x14ac:dyDescent="0.35">
      <c r="A1335" s="4" t="s">
        <v>1995</v>
      </c>
      <c r="B1335" s="1" t="s">
        <v>592</v>
      </c>
      <c r="C1335" s="11">
        <v>45112</v>
      </c>
      <c r="D1335" s="11" t="s">
        <v>6261</v>
      </c>
      <c r="E1335" s="1" t="s">
        <v>21</v>
      </c>
      <c r="F1335" s="1" t="s">
        <v>6253</v>
      </c>
      <c r="G1335" s="6">
        <f>COUNTIF(F:F,Table2[[#This Row],[Form '#]])</f>
        <v>1</v>
      </c>
      <c r="H1335" s="1" t="s">
        <v>413</v>
      </c>
      <c r="I1335" s="1" t="s">
        <v>177</v>
      </c>
      <c r="J1335" s="1" t="s">
        <v>75</v>
      </c>
      <c r="K1335" s="1" t="s">
        <v>3853</v>
      </c>
      <c r="L1335" s="1"/>
      <c r="M1335" s="6" t="str">
        <f>IF(Table2[[#This Row],[Corrected Form '#
 (If Duplicated)]]="",Table2[[#This Row],[Form '#]],Table2[[#This Row],[Corrected Form '#
 (If Duplicated)]])</f>
        <v>7818-29701</v>
      </c>
      <c r="N1335" s="1" t="s">
        <v>49</v>
      </c>
      <c r="O1335" s="6" t="str">
        <f>IF(Table2[[#This Row],[POG CONFIRMATION RECEIPT OF ORDER
(DATE &amp; TIME)]]="","No Confirmation","Received Confirmation")</f>
        <v>Received Confirmation</v>
      </c>
      <c r="P1335" s="6">
        <f ca="1">TODAY()-Table2[[#This Row],[DATE SENT TO POG]]</f>
        <v>191</v>
      </c>
      <c r="Q1335" s="6" t="s">
        <v>5803</v>
      </c>
      <c r="R13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5" s="2" t="str">
        <f>_xlfn.XLOOKUP(Table2[[#This Row],[Adjusted Form '#]],'[2]IN PROGRESS'!$D:$D,'[2]IN PROGRESS'!$M:$M,"Not Found")</f>
        <v>Not Found</v>
      </c>
      <c r="U1335" s="2" t="str">
        <f>_xlfn.XLOOKUP(Table2[[#This Row],[Adjusted Form '#]],[1]COMPLETED!$D:$D,[2]COMPLETED!$M:$M,"Not Found")</f>
        <v>Not Found</v>
      </c>
      <c r="V1335" s="17" t="str">
        <f>_xlfn.XLOOKUP(Table2[[#This Row],[Adjusted Form '#]],[2]COMPLETED!$D:$D,[2]COMPLETED!$O:$O,"Not Found")</f>
        <v>Not Found</v>
      </c>
      <c r="W1335" s="2" t="str">
        <f>_xlfn.XLOOKUP(Table2[[#This Row],[Adjusted Form '#]],[2]BILLED!$D:$D,[2]BILLED!$M:$M,"Not Found")</f>
        <v>9400 1361 0605 3092 4829 86</v>
      </c>
      <c r="X1335" s="17" t="e">
        <f>_xlfn.XLOOKUP(Table2[[#This Row],[Adjusted Form '#]],[2]BILLED!$D:$D,[1]BILLED!$O:$O,"Not Found")</f>
        <v>#REF!</v>
      </c>
      <c r="Y1335" s="17" t="e">
        <f>_xlfn.XLOOKUP(Table2[[#This Row],[Adjusted Form '#]],'[2]REJECTED ORDERS'!$D:$D,'[2]REJECTED ORDERS'!$E:$E)</f>
        <v>#N/A</v>
      </c>
      <c r="Z1335" s="1"/>
      <c r="AA1335" s="1"/>
    </row>
    <row r="1336" spans="1:27" ht="15" customHeight="1" x14ac:dyDescent="0.35">
      <c r="A1336" s="4" t="s">
        <v>1996</v>
      </c>
      <c r="B1336" s="1" t="s">
        <v>592</v>
      </c>
      <c r="C1336" s="11">
        <v>45112</v>
      </c>
      <c r="D1336" s="11" t="s">
        <v>6261</v>
      </c>
      <c r="E1336" s="1" t="s">
        <v>21</v>
      </c>
      <c r="F1336" s="1" t="s">
        <v>6254</v>
      </c>
      <c r="G1336" s="6">
        <f>COUNTIF(F:F,Table2[[#This Row],[Form '#]])</f>
        <v>1</v>
      </c>
      <c r="H1336" s="1" t="s">
        <v>3592</v>
      </c>
      <c r="I1336" s="1" t="s">
        <v>3852</v>
      </c>
      <c r="J1336" s="1" t="s">
        <v>80</v>
      </c>
      <c r="K1336" s="1" t="s">
        <v>3853</v>
      </c>
      <c r="L1336" s="1"/>
      <c r="M1336" s="6" t="str">
        <f>IF(Table2[[#This Row],[Corrected Form '#
 (If Duplicated)]]="",Table2[[#This Row],[Form '#]],Table2[[#This Row],[Corrected Form '#
 (If Duplicated)]])</f>
        <v>7818-29590</v>
      </c>
      <c r="N1336" s="1" t="s">
        <v>49</v>
      </c>
      <c r="O1336" s="6" t="str">
        <f>IF(Table2[[#This Row],[POG CONFIRMATION RECEIPT OF ORDER
(DATE &amp; TIME)]]="","No Confirmation","Received Confirmation")</f>
        <v>Received Confirmation</v>
      </c>
      <c r="P1336" s="6">
        <f ca="1">TODAY()-Table2[[#This Row],[DATE SENT TO POG]]</f>
        <v>191</v>
      </c>
      <c r="Q1336" s="6" t="s">
        <v>5803</v>
      </c>
      <c r="R13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6" s="2" t="str">
        <f>_xlfn.XLOOKUP(Table2[[#This Row],[Adjusted Form '#]],'[2]IN PROGRESS'!$D:$D,'[2]IN PROGRESS'!$M:$M,"Not Found")</f>
        <v>Not Found</v>
      </c>
      <c r="U1336" s="2" t="str">
        <f>_xlfn.XLOOKUP(Table2[[#This Row],[Adjusted Form '#]],[1]COMPLETED!$D:$D,[2]COMPLETED!$M:$M,"Not Found")</f>
        <v>Not Found</v>
      </c>
      <c r="V1336" s="17" t="str">
        <f>_xlfn.XLOOKUP(Table2[[#This Row],[Adjusted Form '#]],[2]COMPLETED!$D:$D,[2]COMPLETED!$O:$O,"Not Found")</f>
        <v>Not Found</v>
      </c>
      <c r="W1336" s="2" t="str">
        <f>_xlfn.XLOOKUP(Table2[[#This Row],[Adjusted Form '#]],[2]BILLED!$D:$D,[2]BILLED!$M:$M,"Not Found")</f>
        <v>9400 1112 0620 9806 4268 07</v>
      </c>
      <c r="X1336" s="17" t="e">
        <f>_xlfn.XLOOKUP(Table2[[#This Row],[Adjusted Form '#]],[2]BILLED!$D:$D,[1]BILLED!$O:$O,"Not Found")</f>
        <v>#REF!</v>
      </c>
      <c r="Y1336" s="17" t="e">
        <f>_xlfn.XLOOKUP(Table2[[#This Row],[Adjusted Form '#]],'[2]REJECTED ORDERS'!$D:$D,'[2]REJECTED ORDERS'!$E:$E)</f>
        <v>#N/A</v>
      </c>
      <c r="Z1336" s="1"/>
      <c r="AA1336" s="1"/>
    </row>
    <row r="1337" spans="1:27" ht="15" customHeight="1" x14ac:dyDescent="0.35">
      <c r="A1337" s="4" t="s">
        <v>1997</v>
      </c>
      <c r="B1337" s="1" t="s">
        <v>592</v>
      </c>
      <c r="C1337" s="11">
        <v>45112</v>
      </c>
      <c r="D1337" s="11" t="s">
        <v>6261</v>
      </c>
      <c r="E1337" s="1" t="s">
        <v>21</v>
      </c>
      <c r="F1337" s="1" t="s">
        <v>6255</v>
      </c>
      <c r="G1337" s="6">
        <f>COUNTIF(F:F,Table2[[#This Row],[Form '#]])</f>
        <v>1</v>
      </c>
      <c r="H1337" s="1" t="s">
        <v>6256</v>
      </c>
      <c r="I1337" s="1" t="s">
        <v>3864</v>
      </c>
      <c r="J1337" s="1" t="s">
        <v>78</v>
      </c>
      <c r="K1337" s="1" t="s">
        <v>3879</v>
      </c>
      <c r="L1337" s="1"/>
      <c r="M1337" s="6" t="str">
        <f>IF(Table2[[#This Row],[Corrected Form '#
 (If Duplicated)]]="",Table2[[#This Row],[Form '#]],Table2[[#This Row],[Corrected Form '#
 (If Duplicated)]])</f>
        <v>7818-28422</v>
      </c>
      <c r="N1337" s="1" t="s">
        <v>49</v>
      </c>
      <c r="O1337" s="6" t="str">
        <f>IF(Table2[[#This Row],[POG CONFIRMATION RECEIPT OF ORDER
(DATE &amp; TIME)]]="","No Confirmation","Received Confirmation")</f>
        <v>Received Confirmation</v>
      </c>
      <c r="P1337" s="6">
        <f ca="1">TODAY()-Table2[[#This Row],[DATE SENT TO POG]]</f>
        <v>191</v>
      </c>
      <c r="Q1337" s="6" t="s">
        <v>5803</v>
      </c>
      <c r="R13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7" s="2" t="str">
        <f>_xlfn.XLOOKUP(Table2[[#This Row],[Adjusted Form '#]],'[2]IN PROGRESS'!$D:$D,'[2]IN PROGRESS'!$M:$M,"Not Found")</f>
        <v>Not Found</v>
      </c>
      <c r="U1337" s="2" t="str">
        <f>_xlfn.XLOOKUP(Table2[[#This Row],[Adjusted Form '#]],[1]COMPLETED!$D:$D,[2]COMPLETED!$M:$M,"Not Found")</f>
        <v>Not Found</v>
      </c>
      <c r="V1337" s="17" t="str">
        <f>_xlfn.XLOOKUP(Table2[[#This Row],[Adjusted Form '#]],[2]COMPLETED!$D:$D,[2]COMPLETED!$O:$O,"Not Found")</f>
        <v>Not Found</v>
      </c>
      <c r="W1337" s="2" t="str">
        <f>_xlfn.XLOOKUP(Table2[[#This Row],[Adjusted Form '#]],[2]BILLED!$D:$D,[2]BILLED!$M:$M,"Not Found")</f>
        <v>9400 1361 0605 3094 5007 94</v>
      </c>
      <c r="X1337" s="17" t="e">
        <f>_xlfn.XLOOKUP(Table2[[#This Row],[Adjusted Form '#]],[2]BILLED!$D:$D,[1]BILLED!$O:$O,"Not Found")</f>
        <v>#REF!</v>
      </c>
      <c r="Y1337" s="17" t="e">
        <f>_xlfn.XLOOKUP(Table2[[#This Row],[Adjusted Form '#]],'[2]REJECTED ORDERS'!$D:$D,'[2]REJECTED ORDERS'!$E:$E)</f>
        <v>#N/A</v>
      </c>
      <c r="Z1337" s="1"/>
      <c r="AA1337" s="1"/>
    </row>
    <row r="1338" spans="1:27" ht="15" customHeight="1" x14ac:dyDescent="0.35">
      <c r="A1338" s="4" t="s">
        <v>1999</v>
      </c>
      <c r="B1338" s="1" t="s">
        <v>592</v>
      </c>
      <c r="C1338" s="11">
        <v>45112</v>
      </c>
      <c r="D1338" s="11" t="s">
        <v>6261</v>
      </c>
      <c r="E1338" s="1" t="s">
        <v>21</v>
      </c>
      <c r="F1338" s="1" t="s">
        <v>6257</v>
      </c>
      <c r="G1338" s="6">
        <f>COUNTIF(F:F,Table2[[#This Row],[Form '#]])</f>
        <v>1</v>
      </c>
      <c r="H1338" s="1" t="s">
        <v>1528</v>
      </c>
      <c r="I1338" s="1" t="s">
        <v>127</v>
      </c>
      <c r="J1338" s="1" t="s">
        <v>71</v>
      </c>
      <c r="K1338" s="1" t="s">
        <v>4011</v>
      </c>
      <c r="L1338" s="1"/>
      <c r="M1338" s="6" t="str">
        <f>IF(Table2[[#This Row],[Corrected Form '#
 (If Duplicated)]]="",Table2[[#This Row],[Form '#]],Table2[[#This Row],[Corrected Form '#
 (If Duplicated)]])</f>
        <v>7818-28726</v>
      </c>
      <c r="N1338" s="1" t="s">
        <v>49</v>
      </c>
      <c r="O1338" s="6" t="str">
        <f>IF(Table2[[#This Row],[POG CONFIRMATION RECEIPT OF ORDER
(DATE &amp; TIME)]]="","No Confirmation","Received Confirmation")</f>
        <v>Received Confirmation</v>
      </c>
      <c r="P1338" s="6">
        <f ca="1">TODAY()-Table2[[#This Row],[DATE SENT TO POG]]</f>
        <v>191</v>
      </c>
      <c r="Q1338" s="6" t="s">
        <v>5803</v>
      </c>
      <c r="R13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8" s="2" t="str">
        <f>_xlfn.XLOOKUP(Table2[[#This Row],[Adjusted Form '#]],'[2]IN PROGRESS'!$D:$D,'[2]IN PROGRESS'!$M:$M,"Not Found")</f>
        <v>Not Found</v>
      </c>
      <c r="U1338" s="2" t="str">
        <f>_xlfn.XLOOKUP(Table2[[#This Row],[Adjusted Form '#]],[1]COMPLETED!$D:$D,[2]COMPLETED!$M:$M,"Not Found")</f>
        <v>Not Found</v>
      </c>
      <c r="V1338" s="17" t="str">
        <f>_xlfn.XLOOKUP(Table2[[#This Row],[Adjusted Form '#]],[2]COMPLETED!$D:$D,[2]COMPLETED!$O:$O,"Not Found")</f>
        <v>Not Found</v>
      </c>
      <c r="W1338" s="2" t="str">
        <f>_xlfn.XLOOKUP(Table2[[#This Row],[Adjusted Form '#]],[2]BILLED!$D:$D,[2]BILLED!$M:$M,"Not Found")</f>
        <v>9400 1361 0605 3075 5408 01</v>
      </c>
      <c r="X1338" s="17" t="e">
        <f>_xlfn.XLOOKUP(Table2[[#This Row],[Adjusted Form '#]],[2]BILLED!$D:$D,[1]BILLED!$O:$O,"Not Found")</f>
        <v>#REF!</v>
      </c>
      <c r="Y1338" s="17" t="e">
        <f>_xlfn.XLOOKUP(Table2[[#This Row],[Adjusted Form '#]],'[2]REJECTED ORDERS'!$D:$D,'[2]REJECTED ORDERS'!$E:$E)</f>
        <v>#N/A</v>
      </c>
      <c r="Z1338" s="1"/>
      <c r="AA1338" s="1"/>
    </row>
    <row r="1339" spans="1:27" ht="15" customHeight="1" x14ac:dyDescent="0.35">
      <c r="A1339" s="4" t="s">
        <v>2000</v>
      </c>
      <c r="B1339" s="1" t="s">
        <v>592</v>
      </c>
      <c r="C1339" s="11">
        <v>45112</v>
      </c>
      <c r="D1339" s="11" t="s">
        <v>6261</v>
      </c>
      <c r="E1339" s="1" t="s">
        <v>21</v>
      </c>
      <c r="F1339" s="1" t="s">
        <v>6258</v>
      </c>
      <c r="G1339" s="6">
        <f>COUNTIF(F:F,Table2[[#This Row],[Form '#]])</f>
        <v>1</v>
      </c>
      <c r="H1339" s="1" t="s">
        <v>6259</v>
      </c>
      <c r="I1339" s="1" t="s">
        <v>758</v>
      </c>
      <c r="J1339" s="1" t="s">
        <v>78</v>
      </c>
      <c r="K1339" s="1" t="s">
        <v>3853</v>
      </c>
      <c r="L1339" s="1"/>
      <c r="M1339" s="6" t="str">
        <f>IF(Table2[[#This Row],[Corrected Form '#
 (If Duplicated)]]="",Table2[[#This Row],[Form '#]],Table2[[#This Row],[Corrected Form '#
 (If Duplicated)]])</f>
        <v>7818-22490</v>
      </c>
      <c r="N1339" s="1" t="s">
        <v>49</v>
      </c>
      <c r="O1339" s="6" t="str">
        <f>IF(Table2[[#This Row],[POG CONFIRMATION RECEIPT OF ORDER
(DATE &amp; TIME)]]="","No Confirmation","Received Confirmation")</f>
        <v>Received Confirmation</v>
      </c>
      <c r="P1339" s="6">
        <f ca="1">TODAY()-Table2[[#This Row],[DATE SENT TO POG]]</f>
        <v>191</v>
      </c>
      <c r="Q1339" s="6" t="s">
        <v>5803</v>
      </c>
      <c r="R13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39" s="2" t="str">
        <f>_xlfn.XLOOKUP(Table2[[#This Row],[Adjusted Form '#]],'[2]IN PROGRESS'!$D:$D,'[2]IN PROGRESS'!$M:$M,"Not Found")</f>
        <v>Not Found</v>
      </c>
      <c r="U1339" s="2" t="str">
        <f>_xlfn.XLOOKUP(Table2[[#This Row],[Adjusted Form '#]],[1]COMPLETED!$D:$D,[2]COMPLETED!$M:$M,"Not Found")</f>
        <v>Not Found</v>
      </c>
      <c r="V1339" s="17" t="str">
        <f>_xlfn.XLOOKUP(Table2[[#This Row],[Adjusted Form '#]],[2]COMPLETED!$D:$D,[2]COMPLETED!$O:$O,"Not Found")</f>
        <v>Not Found</v>
      </c>
      <c r="W1339" s="2" t="str">
        <f>_xlfn.XLOOKUP(Table2[[#This Row],[Adjusted Form '#]],[2]BILLED!$D:$D,[2]BILLED!$M:$M,"Not Found")</f>
        <v>9400 1112 0620  9882 0056 68</v>
      </c>
      <c r="X1339" s="17" t="e">
        <f>_xlfn.XLOOKUP(Table2[[#This Row],[Adjusted Form '#]],[2]BILLED!$D:$D,[1]BILLED!$O:$O,"Not Found")</f>
        <v>#REF!</v>
      </c>
      <c r="Y1339" s="17" t="e">
        <f>_xlfn.XLOOKUP(Table2[[#This Row],[Adjusted Form '#]],'[2]REJECTED ORDERS'!$D:$D,'[2]REJECTED ORDERS'!$E:$E)</f>
        <v>#N/A</v>
      </c>
      <c r="Z1339" s="1"/>
      <c r="AA1339" s="1"/>
    </row>
    <row r="1340" spans="1:27" ht="15" customHeight="1" x14ac:dyDescent="0.35">
      <c r="A1340" s="4" t="s">
        <v>2002</v>
      </c>
      <c r="B1340" s="1" t="s">
        <v>3019</v>
      </c>
      <c r="C1340" s="11">
        <v>45112</v>
      </c>
      <c r="D1340" s="11" t="s">
        <v>6264</v>
      </c>
      <c r="E1340" s="1" t="s">
        <v>21</v>
      </c>
      <c r="F1340" s="1" t="s">
        <v>6262</v>
      </c>
      <c r="G1340" s="6">
        <f>COUNTIF(F:F,Table2[[#This Row],[Form '#]])</f>
        <v>1</v>
      </c>
      <c r="H1340" s="1" t="s">
        <v>6263</v>
      </c>
      <c r="I1340" s="1" t="s">
        <v>3864</v>
      </c>
      <c r="J1340" s="1" t="s">
        <v>78</v>
      </c>
      <c r="K1340" s="1" t="s">
        <v>3879</v>
      </c>
      <c r="L1340" s="1"/>
      <c r="M1340" s="6" t="str">
        <f>IF(Table2[[#This Row],[Corrected Form '#
 (If Duplicated)]]="",Table2[[#This Row],[Form '#]],Table2[[#This Row],[Corrected Form '#
 (If Duplicated)]])</f>
        <v>7818-04473</v>
      </c>
      <c r="N1340" s="1" t="s">
        <v>49</v>
      </c>
      <c r="O1340" s="6" t="str">
        <f>IF(Table2[[#This Row],[POG CONFIRMATION RECEIPT OF ORDER
(DATE &amp; TIME)]]="","No Confirmation","Received Confirmation")</f>
        <v>Received Confirmation</v>
      </c>
      <c r="P1340" s="6">
        <f ca="1">TODAY()-Table2[[#This Row],[DATE SENT TO POG]]</f>
        <v>191</v>
      </c>
      <c r="Q1340" s="6" t="s">
        <v>5803</v>
      </c>
      <c r="R13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40" s="2" t="str">
        <f>_xlfn.XLOOKUP(Table2[[#This Row],[Adjusted Form '#]],'[2]IN PROGRESS'!$D:$D,'[2]IN PROGRESS'!$M:$M,"Not Found")</f>
        <v>Not Found</v>
      </c>
      <c r="U1340" s="2" t="str">
        <f>_xlfn.XLOOKUP(Table2[[#This Row],[Adjusted Form '#]],[1]COMPLETED!$D:$D,[2]COMPLETED!$M:$M,"Not Found")</f>
        <v>Not Found</v>
      </c>
      <c r="V1340" s="17" t="str">
        <f>_xlfn.XLOOKUP(Table2[[#This Row],[Adjusted Form '#]],[2]COMPLETED!$D:$D,[2]COMPLETED!$O:$O,"Not Found")</f>
        <v>Not Found</v>
      </c>
      <c r="W1340" s="2" t="str">
        <f>_xlfn.XLOOKUP(Table2[[#This Row],[Adjusted Form '#]],[2]BILLED!$D:$D,[2]BILLED!$M:$M,"Not Found")</f>
        <v>9400 1361 0605 3093 3484 72</v>
      </c>
      <c r="X1340" s="17" t="e">
        <f>_xlfn.XLOOKUP(Table2[[#This Row],[Adjusted Form '#]],[2]BILLED!$D:$D,[1]BILLED!$O:$O,"Not Found")</f>
        <v>#REF!</v>
      </c>
      <c r="Y1340" s="17" t="e">
        <f>_xlfn.XLOOKUP(Table2[[#This Row],[Adjusted Form '#]],'[2]REJECTED ORDERS'!$D:$D,'[2]REJECTED ORDERS'!$E:$E)</f>
        <v>#N/A</v>
      </c>
      <c r="Z1340" s="1"/>
      <c r="AA1340" s="1"/>
    </row>
    <row r="1341" spans="1:27" ht="15" customHeight="1" x14ac:dyDescent="0.35">
      <c r="A1341" s="4" t="s">
        <v>2003</v>
      </c>
      <c r="B1341" s="1" t="s">
        <v>998</v>
      </c>
      <c r="C1341" s="11">
        <v>45112</v>
      </c>
      <c r="D1341" s="11" t="s">
        <v>6274</v>
      </c>
      <c r="E1341" s="1" t="s">
        <v>14</v>
      </c>
      <c r="F1341" s="1" t="s">
        <v>6265</v>
      </c>
      <c r="G1341" s="6">
        <f>COUNTIF(F:F,Table2[[#This Row],[Form '#]])</f>
        <v>1</v>
      </c>
      <c r="H1341" s="1" t="s">
        <v>6266</v>
      </c>
      <c r="I1341" s="1" t="s">
        <v>3852</v>
      </c>
      <c r="J1341" s="1" t="s">
        <v>3891</v>
      </c>
      <c r="K1341" s="1" t="s">
        <v>3853</v>
      </c>
      <c r="L1341" s="1"/>
      <c r="M1341" s="6" t="str">
        <f>IF(Table2[[#This Row],[Corrected Form '#
 (If Duplicated)]]="",Table2[[#This Row],[Form '#]],Table2[[#This Row],[Corrected Form '#
 (If Duplicated)]])</f>
        <v>7810-01623</v>
      </c>
      <c r="N1341" s="1" t="s">
        <v>49</v>
      </c>
      <c r="O1341" s="6" t="str">
        <f>IF(Table2[[#This Row],[POG CONFIRMATION RECEIPT OF ORDER
(DATE &amp; TIME)]]="","No Confirmation","Received Confirmation")</f>
        <v>Received Confirmation</v>
      </c>
      <c r="P1341" s="6">
        <f ca="1">TODAY()-Table2[[#This Row],[DATE SENT TO POG]]</f>
        <v>191</v>
      </c>
      <c r="Q1341" s="6" t="s">
        <v>5803</v>
      </c>
      <c r="R13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41" s="2" t="str">
        <f>_xlfn.XLOOKUP(Table2[[#This Row],[Adjusted Form '#]],'[2]IN PROGRESS'!$D:$D,'[2]IN PROGRESS'!$M:$M,"Not Found")</f>
        <v>Not Found</v>
      </c>
      <c r="U1341" s="2" t="str">
        <f>_xlfn.XLOOKUP(Table2[[#This Row],[Adjusted Form '#]],[1]COMPLETED!$D:$D,[2]COMPLETED!$M:$M,"Not Found")</f>
        <v>Not Found</v>
      </c>
      <c r="V1341" s="17" t="str">
        <f>_xlfn.XLOOKUP(Table2[[#This Row],[Adjusted Form '#]],[2]COMPLETED!$D:$D,[2]COMPLETED!$O:$O,"Not Found")</f>
        <v>Not Found</v>
      </c>
      <c r="W1341" s="2" t="str">
        <f>_xlfn.XLOOKUP(Table2[[#This Row],[Adjusted Form '#]],[2]BILLED!$D:$D,[2]BILLED!$M:$M,"Not Found")</f>
        <v>9400 1361 0605 3072 3113 50</v>
      </c>
      <c r="X1341" s="17" t="e">
        <f>_xlfn.XLOOKUP(Table2[[#This Row],[Adjusted Form '#]],[2]BILLED!$D:$D,[1]BILLED!$O:$O,"Not Found")</f>
        <v>#REF!</v>
      </c>
      <c r="Y1341" s="17" t="e">
        <f>_xlfn.XLOOKUP(Table2[[#This Row],[Adjusted Form '#]],'[2]REJECTED ORDERS'!$D:$D,'[2]REJECTED ORDERS'!$E:$E)</f>
        <v>#N/A</v>
      </c>
      <c r="Z1341" s="1"/>
      <c r="AA1341" s="1"/>
    </row>
    <row r="1342" spans="1:27" ht="15" customHeight="1" x14ac:dyDescent="0.35">
      <c r="A1342" s="4" t="s">
        <v>2004</v>
      </c>
      <c r="B1342" s="1" t="s">
        <v>998</v>
      </c>
      <c r="C1342" s="11">
        <v>45112</v>
      </c>
      <c r="D1342" s="11" t="s">
        <v>6274</v>
      </c>
      <c r="E1342" s="1" t="s">
        <v>14</v>
      </c>
      <c r="F1342" s="1" t="s">
        <v>6267</v>
      </c>
      <c r="G1342" s="6">
        <f>COUNTIF(F:F,Table2[[#This Row],[Form '#]])</f>
        <v>1</v>
      </c>
      <c r="H1342" s="1" t="s">
        <v>1746</v>
      </c>
      <c r="I1342" s="1" t="s">
        <v>127</v>
      </c>
      <c r="J1342" s="1" t="s">
        <v>74</v>
      </c>
      <c r="K1342" s="1" t="s">
        <v>4011</v>
      </c>
      <c r="L1342" s="1"/>
      <c r="M1342" s="6" t="str">
        <f>IF(Table2[[#This Row],[Corrected Form '#
 (If Duplicated)]]="",Table2[[#This Row],[Form '#]],Table2[[#This Row],[Corrected Form '#
 (If Duplicated)]])</f>
        <v>7810-4023</v>
      </c>
      <c r="N1342" s="1" t="s">
        <v>49</v>
      </c>
      <c r="O1342" s="6" t="str">
        <f>IF(Table2[[#This Row],[POG CONFIRMATION RECEIPT OF ORDER
(DATE &amp; TIME)]]="","No Confirmation","Received Confirmation")</f>
        <v>Received Confirmation</v>
      </c>
      <c r="P1342" s="6">
        <f ca="1">TODAY()-Table2[[#This Row],[DATE SENT TO POG]]</f>
        <v>191</v>
      </c>
      <c r="Q1342" s="6" t="s">
        <v>5802</v>
      </c>
      <c r="R13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4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42" s="2" t="str">
        <f>_xlfn.XLOOKUP(Table2[[#This Row],[Adjusted Form '#]],'[2]IN PROGRESS'!$D:$D,'[2]IN PROGRESS'!$M:$M,"Not Found")</f>
        <v>Not Found</v>
      </c>
      <c r="U1342" s="2" t="str">
        <f>_xlfn.XLOOKUP(Table2[[#This Row],[Adjusted Form '#]],[1]COMPLETED!$D:$D,[2]COMPLETED!$M:$M,"Not Found")</f>
        <v>Not Found</v>
      </c>
      <c r="V1342" s="17" t="str">
        <f>_xlfn.XLOOKUP(Table2[[#This Row],[Adjusted Form '#]],[2]COMPLETED!$D:$D,[2]COMPLETED!$O:$O,"Not Found")</f>
        <v>Not Found</v>
      </c>
      <c r="W1342" s="2" t="str">
        <f>_xlfn.XLOOKUP(Table2[[#This Row],[Adjusted Form '#]],[2]BILLED!$D:$D,[2]BILLED!$M:$M,"Not Found")</f>
        <v>Not Found</v>
      </c>
      <c r="X1342" s="17" t="str">
        <f>_xlfn.XLOOKUP(Table2[[#This Row],[Adjusted Form '#]],[2]BILLED!$D:$D,[1]BILLED!$O:$O,"Not Found")</f>
        <v>Not Found</v>
      </c>
      <c r="Y1342" s="17" t="e">
        <f>_xlfn.XLOOKUP(Table2[[#This Row],[Adjusted Form '#]],'[2]REJECTED ORDERS'!$D:$D,'[2]REJECTED ORDERS'!$E:$E)</f>
        <v>#N/A</v>
      </c>
      <c r="Z1342" s="1"/>
      <c r="AA1342" s="1"/>
    </row>
    <row r="1343" spans="1:27" ht="15" customHeight="1" x14ac:dyDescent="0.35">
      <c r="A1343" s="4" t="s">
        <v>2006</v>
      </c>
      <c r="B1343" s="1" t="s">
        <v>998</v>
      </c>
      <c r="C1343" s="11">
        <v>45112</v>
      </c>
      <c r="D1343" s="11" t="s">
        <v>6274</v>
      </c>
      <c r="E1343" s="1" t="s">
        <v>14</v>
      </c>
      <c r="F1343" s="1" t="s">
        <v>6268</v>
      </c>
      <c r="G1343" s="6">
        <f>COUNTIF(F:F,Table2[[#This Row],[Form '#]])</f>
        <v>1</v>
      </c>
      <c r="H1343" s="1" t="s">
        <v>123</v>
      </c>
      <c r="I1343" s="1" t="s">
        <v>127</v>
      </c>
      <c r="J1343" s="1" t="s">
        <v>76</v>
      </c>
      <c r="K1343" s="1" t="s">
        <v>4011</v>
      </c>
      <c r="L1343" s="1"/>
      <c r="M1343" s="6" t="str">
        <f>IF(Table2[[#This Row],[Corrected Form '#
 (If Duplicated)]]="",Table2[[#This Row],[Form '#]],Table2[[#This Row],[Corrected Form '#
 (If Duplicated)]])</f>
        <v>7810-15669</v>
      </c>
      <c r="N1343" s="1" t="s">
        <v>49</v>
      </c>
      <c r="O1343" s="6" t="str">
        <f>IF(Table2[[#This Row],[POG CONFIRMATION RECEIPT OF ORDER
(DATE &amp; TIME)]]="","No Confirmation","Received Confirmation")</f>
        <v>Received Confirmation</v>
      </c>
      <c r="P1343" s="6">
        <f ca="1">TODAY()-Table2[[#This Row],[DATE SENT TO POG]]</f>
        <v>191</v>
      </c>
      <c r="Q1343" s="6" t="s">
        <v>5802</v>
      </c>
      <c r="R13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4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43" s="2" t="str">
        <f>_xlfn.XLOOKUP(Table2[[#This Row],[Adjusted Form '#]],'[2]IN PROGRESS'!$D:$D,'[2]IN PROGRESS'!$M:$M,"Not Found")</f>
        <v>Not Found</v>
      </c>
      <c r="U1343" s="2" t="str">
        <f>_xlfn.XLOOKUP(Table2[[#This Row],[Adjusted Form '#]],[1]COMPLETED!$D:$D,[2]COMPLETED!$M:$M,"Not Found")</f>
        <v>Not Found</v>
      </c>
      <c r="V1343" s="17" t="str">
        <f>_xlfn.XLOOKUP(Table2[[#This Row],[Adjusted Form '#]],[2]COMPLETED!$D:$D,[2]COMPLETED!$O:$O,"Not Found")</f>
        <v>Not Found</v>
      </c>
      <c r="W1343" s="2" t="str">
        <f>_xlfn.XLOOKUP(Table2[[#This Row],[Adjusted Form '#]],[2]BILLED!$D:$D,[2]BILLED!$M:$M,"Not Found")</f>
        <v>Not Found</v>
      </c>
      <c r="X1343" s="17" t="str">
        <f>_xlfn.XLOOKUP(Table2[[#This Row],[Adjusted Form '#]],[2]BILLED!$D:$D,[1]BILLED!$O:$O,"Not Found")</f>
        <v>Not Found</v>
      </c>
      <c r="Y1343" s="17" t="e">
        <f>_xlfn.XLOOKUP(Table2[[#This Row],[Adjusted Form '#]],'[2]REJECTED ORDERS'!$D:$D,'[2]REJECTED ORDERS'!$E:$E)</f>
        <v>#N/A</v>
      </c>
      <c r="Z1343" s="1"/>
      <c r="AA1343" s="1"/>
    </row>
    <row r="1344" spans="1:27" ht="15" customHeight="1" x14ac:dyDescent="0.35">
      <c r="A1344" s="4" t="s">
        <v>2007</v>
      </c>
      <c r="B1344" s="1" t="s">
        <v>998</v>
      </c>
      <c r="C1344" s="11">
        <v>45112</v>
      </c>
      <c r="D1344" s="11" t="s">
        <v>6274</v>
      </c>
      <c r="E1344" s="1" t="s">
        <v>14</v>
      </c>
      <c r="F1344" s="1" t="s">
        <v>6269</v>
      </c>
      <c r="G1344" s="6">
        <f>COUNTIF(F:F,Table2[[#This Row],[Form '#]])</f>
        <v>1</v>
      </c>
      <c r="H1344" s="1" t="s">
        <v>6270</v>
      </c>
      <c r="I1344" s="1" t="s">
        <v>3852</v>
      </c>
      <c r="J1344" s="1" t="s">
        <v>80</v>
      </c>
      <c r="K1344" s="1" t="s">
        <v>4011</v>
      </c>
      <c r="L1344" s="1"/>
      <c r="M1344" s="6" t="str">
        <f>IF(Table2[[#This Row],[Corrected Form '#
 (If Duplicated)]]="",Table2[[#This Row],[Form '#]],Table2[[#This Row],[Corrected Form '#
 (If Duplicated)]])</f>
        <v>7810-03413</v>
      </c>
      <c r="N1344" s="1" t="s">
        <v>49</v>
      </c>
      <c r="O1344" s="6" t="str">
        <f>IF(Table2[[#This Row],[POG CONFIRMATION RECEIPT OF ORDER
(DATE &amp; TIME)]]="","No Confirmation","Received Confirmation")</f>
        <v>Received Confirmation</v>
      </c>
      <c r="P1344" s="6">
        <f ca="1">TODAY()-Table2[[#This Row],[DATE SENT TO POG]]</f>
        <v>191</v>
      </c>
      <c r="Q1344" s="6" t="s">
        <v>5802</v>
      </c>
      <c r="R13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4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44" s="2" t="str">
        <f>_xlfn.XLOOKUP(Table2[[#This Row],[Adjusted Form '#]],'[2]IN PROGRESS'!$D:$D,'[2]IN PROGRESS'!$M:$M,"Not Found")</f>
        <v>Not Found</v>
      </c>
      <c r="U1344" s="2" t="str">
        <f>_xlfn.XLOOKUP(Table2[[#This Row],[Adjusted Form '#]],[1]COMPLETED!$D:$D,[2]COMPLETED!$M:$M,"Not Found")</f>
        <v>Not Found</v>
      </c>
      <c r="V1344" s="17" t="str">
        <f>_xlfn.XLOOKUP(Table2[[#This Row],[Adjusted Form '#]],[2]COMPLETED!$D:$D,[2]COMPLETED!$O:$O,"Not Found")</f>
        <v>Not Found</v>
      </c>
      <c r="W1344" s="2" t="str">
        <f>_xlfn.XLOOKUP(Table2[[#This Row],[Adjusted Form '#]],[2]BILLED!$D:$D,[2]BILLED!$M:$M,"Not Found")</f>
        <v>Not Found</v>
      </c>
      <c r="X1344" s="17" t="str">
        <f>_xlfn.XLOOKUP(Table2[[#This Row],[Adjusted Form '#]],[2]BILLED!$D:$D,[1]BILLED!$O:$O,"Not Found")</f>
        <v>Not Found</v>
      </c>
      <c r="Y1344" s="17" t="e">
        <f>_xlfn.XLOOKUP(Table2[[#This Row],[Adjusted Form '#]],'[2]REJECTED ORDERS'!$D:$D,'[2]REJECTED ORDERS'!$E:$E)</f>
        <v>#N/A</v>
      </c>
      <c r="Z1344" s="1"/>
      <c r="AA1344" s="1"/>
    </row>
    <row r="1345" spans="1:27" ht="15" customHeight="1" x14ac:dyDescent="0.35">
      <c r="A1345" s="4" t="s">
        <v>2008</v>
      </c>
      <c r="B1345" s="1" t="s">
        <v>998</v>
      </c>
      <c r="C1345" s="11">
        <v>45112</v>
      </c>
      <c r="D1345" s="11" t="s">
        <v>6274</v>
      </c>
      <c r="E1345" s="1" t="s">
        <v>14</v>
      </c>
      <c r="F1345" s="1" t="s">
        <v>6271</v>
      </c>
      <c r="G1345" s="6">
        <f>COUNTIF(F:F,Table2[[#This Row],[Form '#]])</f>
        <v>1</v>
      </c>
      <c r="H1345" s="1" t="s">
        <v>3514</v>
      </c>
      <c r="I1345" s="1" t="s">
        <v>127</v>
      </c>
      <c r="J1345" s="1" t="s">
        <v>76</v>
      </c>
      <c r="K1345" s="1" t="s">
        <v>4011</v>
      </c>
      <c r="L1345" s="1"/>
      <c r="M1345" s="6" t="str">
        <f>IF(Table2[[#This Row],[Corrected Form '#
 (If Duplicated)]]="",Table2[[#This Row],[Form '#]],Table2[[#This Row],[Corrected Form '#
 (If Duplicated)]])</f>
        <v>7810-03220</v>
      </c>
      <c r="N1345" s="1" t="s">
        <v>49</v>
      </c>
      <c r="O1345" s="6" t="str">
        <f>IF(Table2[[#This Row],[POG CONFIRMATION RECEIPT OF ORDER
(DATE &amp; TIME)]]="","No Confirmation","Received Confirmation")</f>
        <v>Received Confirmation</v>
      </c>
      <c r="P1345" s="6">
        <f ca="1">TODAY()-Table2[[#This Row],[DATE SENT TO POG]]</f>
        <v>191</v>
      </c>
      <c r="Q1345" s="6" t="s">
        <v>5802</v>
      </c>
      <c r="R13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4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45" s="2" t="str">
        <f>_xlfn.XLOOKUP(Table2[[#This Row],[Adjusted Form '#]],'[2]IN PROGRESS'!$D:$D,'[2]IN PROGRESS'!$M:$M,"Not Found")</f>
        <v>Not Found</v>
      </c>
      <c r="U1345" s="2" t="str">
        <f>_xlfn.XLOOKUP(Table2[[#This Row],[Adjusted Form '#]],[1]COMPLETED!$D:$D,[2]COMPLETED!$M:$M,"Not Found")</f>
        <v>Not Found</v>
      </c>
      <c r="V1345" s="17" t="str">
        <f>_xlfn.XLOOKUP(Table2[[#This Row],[Adjusted Form '#]],[2]COMPLETED!$D:$D,[2]COMPLETED!$O:$O,"Not Found")</f>
        <v>Not Found</v>
      </c>
      <c r="W1345" s="2" t="str">
        <f>_xlfn.XLOOKUP(Table2[[#This Row],[Adjusted Form '#]],[2]BILLED!$D:$D,[2]BILLED!$M:$M,"Not Found")</f>
        <v>Not Found</v>
      </c>
      <c r="X1345" s="17" t="str">
        <f>_xlfn.XLOOKUP(Table2[[#This Row],[Adjusted Form '#]],[2]BILLED!$D:$D,[1]BILLED!$O:$O,"Not Found")</f>
        <v>Not Found</v>
      </c>
      <c r="Y1345" s="17" t="e">
        <f>_xlfn.XLOOKUP(Table2[[#This Row],[Adjusted Form '#]],'[2]REJECTED ORDERS'!$D:$D,'[2]REJECTED ORDERS'!$E:$E)</f>
        <v>#N/A</v>
      </c>
      <c r="Z1345" s="1"/>
      <c r="AA1345" s="1"/>
    </row>
    <row r="1346" spans="1:27" ht="15" customHeight="1" x14ac:dyDescent="0.35">
      <c r="A1346" s="4" t="s">
        <v>2009</v>
      </c>
      <c r="B1346" s="1" t="s">
        <v>998</v>
      </c>
      <c r="C1346" s="11">
        <v>45112</v>
      </c>
      <c r="D1346" s="11" t="s">
        <v>6274</v>
      </c>
      <c r="E1346" s="1" t="s">
        <v>14</v>
      </c>
      <c r="F1346" s="1" t="s">
        <v>6272</v>
      </c>
      <c r="G1346" s="6">
        <f>COUNTIF(F:F,Table2[[#This Row],[Form '#]])</f>
        <v>1</v>
      </c>
      <c r="H1346" s="1" t="s">
        <v>6273</v>
      </c>
      <c r="I1346" s="1" t="s">
        <v>28</v>
      </c>
      <c r="J1346" s="1" t="s">
        <v>69</v>
      </c>
      <c r="K1346" s="1" t="s">
        <v>4011</v>
      </c>
      <c r="L1346" s="1"/>
      <c r="M1346" s="6" t="str">
        <f>IF(Table2[[#This Row],[Corrected Form '#
 (If Duplicated)]]="",Table2[[#This Row],[Form '#]],Table2[[#This Row],[Corrected Form '#
 (If Duplicated)]])</f>
        <v>7810-3716</v>
      </c>
      <c r="N1346" s="1" t="s">
        <v>49</v>
      </c>
      <c r="O1346" s="6" t="str">
        <f>IF(Table2[[#This Row],[POG CONFIRMATION RECEIPT OF ORDER
(DATE &amp; TIME)]]="","No Confirmation","Received Confirmation")</f>
        <v>Received Confirmation</v>
      </c>
      <c r="P1346" s="6">
        <f ca="1">TODAY()-Table2[[#This Row],[DATE SENT TO POG]]</f>
        <v>191</v>
      </c>
      <c r="Q1346" s="6" t="s">
        <v>5802</v>
      </c>
      <c r="R13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4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46" s="2" t="str">
        <f>_xlfn.XLOOKUP(Table2[[#This Row],[Adjusted Form '#]],'[2]IN PROGRESS'!$D:$D,'[2]IN PROGRESS'!$M:$M,"Not Found")</f>
        <v>Not Found</v>
      </c>
      <c r="U1346" s="2" t="str">
        <f>_xlfn.XLOOKUP(Table2[[#This Row],[Adjusted Form '#]],[1]COMPLETED!$D:$D,[2]COMPLETED!$M:$M,"Not Found")</f>
        <v>Not Found</v>
      </c>
      <c r="V1346" s="17" t="str">
        <f>_xlfn.XLOOKUP(Table2[[#This Row],[Adjusted Form '#]],[2]COMPLETED!$D:$D,[2]COMPLETED!$O:$O,"Not Found")</f>
        <v>Not Found</v>
      </c>
      <c r="W1346" s="2" t="str">
        <f>_xlfn.XLOOKUP(Table2[[#This Row],[Adjusted Form '#]],[2]BILLED!$D:$D,[2]BILLED!$M:$M,"Not Found")</f>
        <v>Not Found</v>
      </c>
      <c r="X1346" s="17" t="str">
        <f>_xlfn.XLOOKUP(Table2[[#This Row],[Adjusted Form '#]],[2]BILLED!$D:$D,[1]BILLED!$O:$O,"Not Found")</f>
        <v>Not Found</v>
      </c>
      <c r="Y1346" s="17" t="e">
        <f>_xlfn.XLOOKUP(Table2[[#This Row],[Adjusted Form '#]],'[2]REJECTED ORDERS'!$D:$D,'[2]REJECTED ORDERS'!$E:$E)</f>
        <v>#N/A</v>
      </c>
      <c r="Z1346" s="1"/>
      <c r="AA1346" s="1"/>
    </row>
    <row r="1347" spans="1:27" ht="15" customHeight="1" x14ac:dyDescent="0.35">
      <c r="A1347" s="4" t="s">
        <v>2011</v>
      </c>
      <c r="B1347" s="1" t="s">
        <v>231</v>
      </c>
      <c r="C1347" s="11">
        <v>45112</v>
      </c>
      <c r="D1347" s="11" t="s">
        <v>6280</v>
      </c>
      <c r="E1347" s="1" t="s">
        <v>21</v>
      </c>
      <c r="F1347" s="1" t="s">
        <v>6275</v>
      </c>
      <c r="G1347" s="6">
        <f>COUNTIF(F:F,Table2[[#This Row],[Form '#]])</f>
        <v>1</v>
      </c>
      <c r="H1347" s="1" t="s">
        <v>6276</v>
      </c>
      <c r="I1347" s="1" t="s">
        <v>177</v>
      </c>
      <c r="J1347" s="1" t="s">
        <v>75</v>
      </c>
      <c r="K1347" s="1" t="s">
        <v>3853</v>
      </c>
      <c r="L1347" s="1"/>
      <c r="M1347" s="6" t="str">
        <f>IF(Table2[[#This Row],[Corrected Form '#
 (If Duplicated)]]="",Table2[[#This Row],[Form '#]],Table2[[#This Row],[Corrected Form '#
 (If Duplicated)]])</f>
        <v>7818-11323</v>
      </c>
      <c r="N1347" s="1" t="s">
        <v>49</v>
      </c>
      <c r="O1347" s="6" t="str">
        <f>IF(Table2[[#This Row],[POG CONFIRMATION RECEIPT OF ORDER
(DATE &amp; TIME)]]="","No Confirmation","Received Confirmation")</f>
        <v>Received Confirmation</v>
      </c>
      <c r="P1347" s="6">
        <f ca="1">TODAY()-Table2[[#This Row],[DATE SENT TO POG]]</f>
        <v>191</v>
      </c>
      <c r="Q1347" s="6" t="s">
        <v>5803</v>
      </c>
      <c r="R13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47" s="2" t="str">
        <f>_xlfn.XLOOKUP(Table2[[#This Row],[Adjusted Form '#]],'[2]IN PROGRESS'!$D:$D,'[2]IN PROGRESS'!$M:$M,"Not Found")</f>
        <v>Not Found</v>
      </c>
      <c r="U1347" s="2" t="str">
        <f>_xlfn.XLOOKUP(Table2[[#This Row],[Adjusted Form '#]],[1]COMPLETED!$D:$D,[2]COMPLETED!$M:$M,"Not Found")</f>
        <v>Not Found</v>
      </c>
      <c r="V1347" s="17" t="str">
        <f>_xlfn.XLOOKUP(Table2[[#This Row],[Adjusted Form '#]],[2]COMPLETED!$D:$D,[2]COMPLETED!$O:$O,"Not Found")</f>
        <v>Not Found</v>
      </c>
      <c r="W1347" s="2" t="str">
        <f>_xlfn.XLOOKUP(Table2[[#This Row],[Adjusted Form '#]],[2]BILLED!$D:$D,[2]BILLED!$M:$M,"Not Found")</f>
        <v>9400 1361 0605 3106 5987 02</v>
      </c>
      <c r="X1347" s="17" t="e">
        <f>_xlfn.XLOOKUP(Table2[[#This Row],[Adjusted Form '#]],[2]BILLED!$D:$D,[1]BILLED!$O:$O,"Not Found")</f>
        <v>#REF!</v>
      </c>
      <c r="Y1347" s="17" t="e">
        <f>_xlfn.XLOOKUP(Table2[[#This Row],[Adjusted Form '#]],'[2]REJECTED ORDERS'!$D:$D,'[2]REJECTED ORDERS'!$E:$E)</f>
        <v>#N/A</v>
      </c>
      <c r="Z1347" s="1"/>
      <c r="AA1347" s="1"/>
    </row>
    <row r="1348" spans="1:27" ht="15" customHeight="1" x14ac:dyDescent="0.35">
      <c r="A1348" s="4" t="s">
        <v>2012</v>
      </c>
      <c r="B1348" s="1" t="s">
        <v>231</v>
      </c>
      <c r="C1348" s="11">
        <v>45112</v>
      </c>
      <c r="D1348" s="11" t="s">
        <v>6280</v>
      </c>
      <c r="E1348" s="1" t="s">
        <v>21</v>
      </c>
      <c r="F1348" s="1" t="s">
        <v>6277</v>
      </c>
      <c r="G1348" s="6">
        <f>COUNTIF(F:F,Table2[[#This Row],[Form '#]])</f>
        <v>1</v>
      </c>
      <c r="H1348" s="1" t="s">
        <v>6278</v>
      </c>
      <c r="I1348" s="1" t="s">
        <v>3852</v>
      </c>
      <c r="J1348" s="1" t="s">
        <v>75</v>
      </c>
      <c r="K1348" s="1" t="s">
        <v>4011</v>
      </c>
      <c r="L1348" s="1"/>
      <c r="M1348" s="6" t="str">
        <f>IF(Table2[[#This Row],[Corrected Form '#
 (If Duplicated)]]="",Table2[[#This Row],[Form '#]],Table2[[#This Row],[Corrected Form '#
 (If Duplicated)]])</f>
        <v>7818-24993</v>
      </c>
      <c r="N1348" s="1" t="s">
        <v>49</v>
      </c>
      <c r="O1348" s="6" t="str">
        <f>IF(Table2[[#This Row],[POG CONFIRMATION RECEIPT OF ORDER
(DATE &amp; TIME)]]="","No Confirmation","Received Confirmation")</f>
        <v>Received Confirmation</v>
      </c>
      <c r="P1348" s="6">
        <f ca="1">TODAY()-Table2[[#This Row],[DATE SENT TO POG]]</f>
        <v>191</v>
      </c>
      <c r="Q1348" s="6" t="s">
        <v>5803</v>
      </c>
      <c r="R13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48" s="2" t="str">
        <f>_xlfn.XLOOKUP(Table2[[#This Row],[Adjusted Form '#]],'[2]IN PROGRESS'!$D:$D,'[2]IN PROGRESS'!$M:$M,"Not Found")</f>
        <v>Not Found</v>
      </c>
      <c r="U1348" s="2" t="str">
        <f>_xlfn.XLOOKUP(Table2[[#This Row],[Adjusted Form '#]],[1]COMPLETED!$D:$D,[2]COMPLETED!$M:$M,"Not Found")</f>
        <v>Not Found</v>
      </c>
      <c r="V1348" s="17" t="str">
        <f>_xlfn.XLOOKUP(Table2[[#This Row],[Adjusted Form '#]],[2]COMPLETED!$D:$D,[2]COMPLETED!$O:$O,"Not Found")</f>
        <v>Not Found</v>
      </c>
      <c r="W1348" s="2" t="str">
        <f>_xlfn.XLOOKUP(Table2[[#This Row],[Adjusted Form '#]],[2]BILLED!$D:$D,[2]BILLED!$M:$M,"Not Found")</f>
        <v>9400 1361 0605 3093 3380 53</v>
      </c>
      <c r="X1348" s="17" t="e">
        <f>_xlfn.XLOOKUP(Table2[[#This Row],[Adjusted Form '#]],[2]BILLED!$D:$D,[1]BILLED!$O:$O,"Not Found")</f>
        <v>#REF!</v>
      </c>
      <c r="Y1348" s="17" t="e">
        <f>_xlfn.XLOOKUP(Table2[[#This Row],[Adjusted Form '#]],'[2]REJECTED ORDERS'!$D:$D,'[2]REJECTED ORDERS'!$E:$E)</f>
        <v>#N/A</v>
      </c>
      <c r="Z1348" s="1"/>
      <c r="AA1348" s="1"/>
    </row>
    <row r="1349" spans="1:27" ht="15" customHeight="1" x14ac:dyDescent="0.35">
      <c r="A1349" s="4" t="s">
        <v>2014</v>
      </c>
      <c r="B1349" s="1" t="s">
        <v>231</v>
      </c>
      <c r="C1349" s="11">
        <v>45112</v>
      </c>
      <c r="D1349" s="11" t="s">
        <v>6280</v>
      </c>
      <c r="E1349" s="1" t="s">
        <v>21</v>
      </c>
      <c r="F1349" s="1" t="s">
        <v>6279</v>
      </c>
      <c r="G1349" s="6">
        <f>COUNTIF(F:F,Table2[[#This Row],[Form '#]])</f>
        <v>1</v>
      </c>
      <c r="H1349" s="1" t="s">
        <v>2850</v>
      </c>
      <c r="I1349" s="1" t="s">
        <v>127</v>
      </c>
      <c r="J1349" s="1" t="s">
        <v>76</v>
      </c>
      <c r="K1349" s="1" t="s">
        <v>4011</v>
      </c>
      <c r="L1349" s="1"/>
      <c r="M1349" s="6" t="str">
        <f>IF(Table2[[#This Row],[Corrected Form '#
 (If Duplicated)]]="",Table2[[#This Row],[Form '#]],Table2[[#This Row],[Corrected Form '#
 (If Duplicated)]])</f>
        <v>7818-29495</v>
      </c>
      <c r="N1349" s="1" t="s">
        <v>49</v>
      </c>
      <c r="O1349" s="6" t="str">
        <f>IF(Table2[[#This Row],[POG CONFIRMATION RECEIPT OF ORDER
(DATE &amp; TIME)]]="","No Confirmation","Received Confirmation")</f>
        <v>Received Confirmation</v>
      </c>
      <c r="P1349" s="6">
        <f ca="1">TODAY()-Table2[[#This Row],[DATE SENT TO POG]]</f>
        <v>191</v>
      </c>
      <c r="Q1349" s="6" t="s">
        <v>5803</v>
      </c>
      <c r="R13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49" s="2" t="str">
        <f>_xlfn.XLOOKUP(Table2[[#This Row],[Adjusted Form '#]],'[2]IN PROGRESS'!$D:$D,'[2]IN PROGRESS'!$M:$M,"Not Found")</f>
        <v>Not Found</v>
      </c>
      <c r="U1349" s="2" t="str">
        <f>_xlfn.XLOOKUP(Table2[[#This Row],[Adjusted Form '#]],[1]COMPLETED!$D:$D,[2]COMPLETED!$M:$M,"Not Found")</f>
        <v>Not Found</v>
      </c>
      <c r="V1349" s="17" t="str">
        <f>_xlfn.XLOOKUP(Table2[[#This Row],[Adjusted Form '#]],[2]COMPLETED!$D:$D,[2]COMPLETED!$O:$O,"Not Found")</f>
        <v>Not Found</v>
      </c>
      <c r="W1349" s="2" t="str">
        <f>_xlfn.XLOOKUP(Table2[[#This Row],[Adjusted Form '#]],[2]BILLED!$D:$D,[2]BILLED!$M:$M,"Not Found")</f>
        <v>9400 1361 0605 3153 7575 72</v>
      </c>
      <c r="X1349" s="17" t="e">
        <f>_xlfn.XLOOKUP(Table2[[#This Row],[Adjusted Form '#]],[2]BILLED!$D:$D,[1]BILLED!$O:$O,"Not Found")</f>
        <v>#REF!</v>
      </c>
      <c r="Y1349" s="17" t="e">
        <f>_xlfn.XLOOKUP(Table2[[#This Row],[Adjusted Form '#]],'[2]REJECTED ORDERS'!$D:$D,'[2]REJECTED ORDERS'!$E:$E)</f>
        <v>#N/A</v>
      </c>
      <c r="Z1349" s="1"/>
      <c r="AA1349" s="1"/>
    </row>
    <row r="1350" spans="1:27" ht="15" customHeight="1" x14ac:dyDescent="0.35">
      <c r="A1350" s="4" t="s">
        <v>2015</v>
      </c>
      <c r="B1350" s="1" t="s">
        <v>496</v>
      </c>
      <c r="C1350" s="11">
        <v>45113</v>
      </c>
      <c r="E1350" s="1" t="s">
        <v>73</v>
      </c>
      <c r="F1350" s="1" t="s">
        <v>6281</v>
      </c>
      <c r="G1350" s="6">
        <f>COUNTIF(F:F,Table2[[#This Row],[Form '#]])</f>
        <v>1</v>
      </c>
      <c r="H1350" s="1" t="s">
        <v>6282</v>
      </c>
      <c r="I1350" s="1" t="s">
        <v>127</v>
      </c>
      <c r="J1350" s="1" t="s">
        <v>74</v>
      </c>
      <c r="K1350" s="1" t="s">
        <v>3883</v>
      </c>
      <c r="L1350" s="1"/>
      <c r="M1350" s="6" t="str">
        <f>IF(Table2[[#This Row],[Corrected Form '#
 (If Duplicated)]]="",Table2[[#This Row],[Form '#]],Table2[[#This Row],[Corrected Form '#
 (If Duplicated)]])</f>
        <v>7823-02846</v>
      </c>
      <c r="N1350" s="1" t="s">
        <v>49</v>
      </c>
      <c r="O1350" s="6" t="str">
        <f>IF(Table2[[#This Row],[POG CONFIRMATION RECEIPT OF ORDER
(DATE &amp; TIME)]]="","No Confirmation","Received Confirmation")</f>
        <v>No Confirmation</v>
      </c>
      <c r="P1350" s="6">
        <f ca="1">TODAY()-Table2[[#This Row],[DATE SENT TO POG]]</f>
        <v>190</v>
      </c>
      <c r="Q1350" s="6" t="s">
        <v>5803</v>
      </c>
      <c r="R13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0" s="2" t="str">
        <f>_xlfn.XLOOKUP(Table2[[#This Row],[Adjusted Form '#]],'[2]IN PROGRESS'!$D:$D,'[2]IN PROGRESS'!$M:$M,"Not Found")</f>
        <v>Not Found</v>
      </c>
      <c r="U1350" s="2" t="str">
        <f>_xlfn.XLOOKUP(Table2[[#This Row],[Adjusted Form '#]],[1]COMPLETED!$D:$D,[2]COMPLETED!$M:$M,"Not Found")</f>
        <v>Not Found</v>
      </c>
      <c r="V1350" s="17" t="str">
        <f>_xlfn.XLOOKUP(Table2[[#This Row],[Adjusted Form '#]],[2]COMPLETED!$D:$D,[2]COMPLETED!$O:$O,"Not Found")</f>
        <v>Not Found</v>
      </c>
      <c r="W1350" s="2" t="str">
        <f>_xlfn.XLOOKUP(Table2[[#This Row],[Adjusted Form '#]],[2]BILLED!$D:$D,[2]BILLED!$M:$M,"Not Found")</f>
        <v>9400 1112 0620 9888 5692 63</v>
      </c>
      <c r="X1350" s="17" t="e">
        <f>_xlfn.XLOOKUP(Table2[[#This Row],[Adjusted Form '#]],[2]BILLED!$D:$D,[1]BILLED!$O:$O,"Not Found")</f>
        <v>#REF!</v>
      </c>
      <c r="Y1350" s="17" t="e">
        <f>_xlfn.XLOOKUP(Table2[[#This Row],[Adjusted Form '#]],'[2]REJECTED ORDERS'!$D:$D,'[2]REJECTED ORDERS'!$E:$E)</f>
        <v>#N/A</v>
      </c>
      <c r="Z1350" s="1"/>
      <c r="AA1350" s="1"/>
    </row>
    <row r="1351" spans="1:27" ht="15" customHeight="1" x14ac:dyDescent="0.35">
      <c r="A1351" s="4" t="s">
        <v>2016</v>
      </c>
      <c r="B1351" s="1" t="s">
        <v>409</v>
      </c>
      <c r="C1351" s="11">
        <v>45113</v>
      </c>
      <c r="D1351" s="11" t="s">
        <v>6292</v>
      </c>
      <c r="E1351" s="1" t="s">
        <v>21</v>
      </c>
      <c r="F1351" s="1" t="s">
        <v>6283</v>
      </c>
      <c r="G1351" s="6">
        <f>COUNTIF(F:F,Table2[[#This Row],[Form '#]])</f>
        <v>1</v>
      </c>
      <c r="H1351" s="1" t="s">
        <v>6284</v>
      </c>
      <c r="I1351" s="1" t="s">
        <v>3852</v>
      </c>
      <c r="J1351" s="1" t="s">
        <v>75</v>
      </c>
      <c r="K1351" s="1" t="s">
        <v>3853</v>
      </c>
      <c r="L1351" s="1"/>
      <c r="M1351" s="6" t="str">
        <f>IF(Table2[[#This Row],[Corrected Form '#
 (If Duplicated)]]="",Table2[[#This Row],[Form '#]],Table2[[#This Row],[Corrected Form '#
 (If Duplicated)]])</f>
        <v>7818-28085</v>
      </c>
      <c r="N1351" s="1" t="s">
        <v>49</v>
      </c>
      <c r="O1351" s="6" t="str">
        <f>IF(Table2[[#This Row],[POG CONFIRMATION RECEIPT OF ORDER
(DATE &amp; TIME)]]="","No Confirmation","Received Confirmation")</f>
        <v>Received Confirmation</v>
      </c>
      <c r="P1351" s="6">
        <f ca="1">TODAY()-Table2[[#This Row],[DATE SENT TO POG]]</f>
        <v>190</v>
      </c>
      <c r="Q1351" s="6" t="s">
        <v>5803</v>
      </c>
      <c r="R13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1" s="2" t="str">
        <f>_xlfn.XLOOKUP(Table2[[#This Row],[Adjusted Form '#]],'[2]IN PROGRESS'!$D:$D,'[2]IN PROGRESS'!$M:$M,"Not Found")</f>
        <v>Not Found</v>
      </c>
      <c r="U1351" s="2" t="str">
        <f>_xlfn.XLOOKUP(Table2[[#This Row],[Adjusted Form '#]],[1]COMPLETED!$D:$D,[2]COMPLETED!$M:$M,"Not Found")</f>
        <v>Not Found</v>
      </c>
      <c r="V1351" s="17" t="str">
        <f>_xlfn.XLOOKUP(Table2[[#This Row],[Adjusted Form '#]],[2]COMPLETED!$D:$D,[2]COMPLETED!$O:$O,"Not Found")</f>
        <v>Not Found</v>
      </c>
      <c r="W1351" s="2" t="str">
        <f>_xlfn.XLOOKUP(Table2[[#This Row],[Adjusted Form '#]],[2]BILLED!$D:$D,[2]BILLED!$M:$M,"Not Found")</f>
        <v>9400 1361 0605 3075 5359 99</v>
      </c>
      <c r="X1351" s="17" t="e">
        <f>_xlfn.XLOOKUP(Table2[[#This Row],[Adjusted Form '#]],[2]BILLED!$D:$D,[1]BILLED!$O:$O,"Not Found")</f>
        <v>#REF!</v>
      </c>
      <c r="Y1351" s="17" t="e">
        <f>_xlfn.XLOOKUP(Table2[[#This Row],[Adjusted Form '#]],'[2]REJECTED ORDERS'!$D:$D,'[2]REJECTED ORDERS'!$E:$E)</f>
        <v>#N/A</v>
      </c>
      <c r="Z1351" s="1"/>
      <c r="AA1351" s="1"/>
    </row>
    <row r="1352" spans="1:27" ht="15" customHeight="1" x14ac:dyDescent="0.35">
      <c r="A1352" s="4" t="s">
        <v>2018</v>
      </c>
      <c r="B1352" s="1" t="s">
        <v>409</v>
      </c>
      <c r="C1352" s="11">
        <v>45113</v>
      </c>
      <c r="D1352" s="11" t="s">
        <v>6292</v>
      </c>
      <c r="E1352" s="1" t="s">
        <v>21</v>
      </c>
      <c r="F1352" s="1" t="s">
        <v>6285</v>
      </c>
      <c r="G1352" s="6">
        <f>COUNTIF(F:F,Table2[[#This Row],[Form '#]])</f>
        <v>1</v>
      </c>
      <c r="H1352" s="1" t="s">
        <v>2096</v>
      </c>
      <c r="I1352" s="1" t="s">
        <v>177</v>
      </c>
      <c r="J1352" s="1" t="s">
        <v>75</v>
      </c>
      <c r="K1352" s="1" t="s">
        <v>3853</v>
      </c>
      <c r="L1352" s="1"/>
      <c r="M1352" s="6" t="str">
        <f>IF(Table2[[#This Row],[Corrected Form '#
 (If Duplicated)]]="",Table2[[#This Row],[Form '#]],Table2[[#This Row],[Corrected Form '#
 (If Duplicated)]])</f>
        <v>7818-28492</v>
      </c>
      <c r="N1352" s="1" t="s">
        <v>49</v>
      </c>
      <c r="O1352" s="6" t="str">
        <f>IF(Table2[[#This Row],[POG CONFIRMATION RECEIPT OF ORDER
(DATE &amp; TIME)]]="","No Confirmation","Received Confirmation")</f>
        <v>Received Confirmation</v>
      </c>
      <c r="P1352" s="6">
        <f ca="1">TODAY()-Table2[[#This Row],[DATE SENT TO POG]]</f>
        <v>190</v>
      </c>
      <c r="Q1352" s="6" t="s">
        <v>5803</v>
      </c>
      <c r="R13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2" s="2" t="str">
        <f>_xlfn.XLOOKUP(Table2[[#This Row],[Adjusted Form '#]],'[2]IN PROGRESS'!$D:$D,'[2]IN PROGRESS'!$M:$M,"Not Found")</f>
        <v>Not Found</v>
      </c>
      <c r="U1352" s="2" t="str">
        <f>_xlfn.XLOOKUP(Table2[[#This Row],[Adjusted Form '#]],[1]COMPLETED!$D:$D,[2]COMPLETED!$M:$M,"Not Found")</f>
        <v>Not Found</v>
      </c>
      <c r="V1352" s="17" t="str">
        <f>_xlfn.XLOOKUP(Table2[[#This Row],[Adjusted Form '#]],[2]COMPLETED!$D:$D,[2]COMPLETED!$O:$O,"Not Found")</f>
        <v>Not Found</v>
      </c>
      <c r="W1352" s="2" t="str">
        <f>_xlfn.XLOOKUP(Table2[[#This Row],[Adjusted Form '#]],[2]BILLED!$D:$D,[2]BILLED!$M:$M,"Not Found")</f>
        <v>9400 1361 0605 3093 3172 25</v>
      </c>
      <c r="X1352" s="17" t="e">
        <f>_xlfn.XLOOKUP(Table2[[#This Row],[Adjusted Form '#]],[2]BILLED!$D:$D,[1]BILLED!$O:$O,"Not Found")</f>
        <v>#REF!</v>
      </c>
      <c r="Y1352" s="17" t="e">
        <f>_xlfn.XLOOKUP(Table2[[#This Row],[Adjusted Form '#]],'[2]REJECTED ORDERS'!$D:$D,'[2]REJECTED ORDERS'!$E:$E)</f>
        <v>#N/A</v>
      </c>
      <c r="Z1352" s="1"/>
      <c r="AA1352" s="1"/>
    </row>
    <row r="1353" spans="1:27" ht="15" customHeight="1" x14ac:dyDescent="0.35">
      <c r="A1353" s="4" t="s">
        <v>2021</v>
      </c>
      <c r="B1353" s="1" t="s">
        <v>409</v>
      </c>
      <c r="C1353" s="11">
        <v>45113</v>
      </c>
      <c r="D1353" s="11" t="s">
        <v>6292</v>
      </c>
      <c r="E1353" s="1" t="s">
        <v>21</v>
      </c>
      <c r="F1353" s="1" t="s">
        <v>6286</v>
      </c>
      <c r="G1353" s="6">
        <f>COUNTIF(F:F,Table2[[#This Row],[Form '#]])</f>
        <v>1</v>
      </c>
      <c r="H1353" s="1" t="s">
        <v>6287</v>
      </c>
      <c r="I1353" s="1" t="s">
        <v>177</v>
      </c>
      <c r="J1353" s="1" t="s">
        <v>75</v>
      </c>
      <c r="K1353" s="1" t="s">
        <v>3853</v>
      </c>
      <c r="L1353" s="1"/>
      <c r="M1353" s="6" t="str">
        <f>IF(Table2[[#This Row],[Corrected Form '#
 (If Duplicated)]]="",Table2[[#This Row],[Form '#]],Table2[[#This Row],[Corrected Form '#
 (If Duplicated)]])</f>
        <v>7818-25115</v>
      </c>
      <c r="N1353" s="1" t="s">
        <v>49</v>
      </c>
      <c r="O1353" s="6" t="str">
        <f>IF(Table2[[#This Row],[POG CONFIRMATION RECEIPT OF ORDER
(DATE &amp; TIME)]]="","No Confirmation","Received Confirmation")</f>
        <v>Received Confirmation</v>
      </c>
      <c r="P1353" s="6">
        <f ca="1">TODAY()-Table2[[#This Row],[DATE SENT TO POG]]</f>
        <v>190</v>
      </c>
      <c r="Q1353" s="6" t="s">
        <v>5803</v>
      </c>
      <c r="R13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3" s="2" t="str">
        <f>_xlfn.XLOOKUP(Table2[[#This Row],[Adjusted Form '#]],'[2]IN PROGRESS'!$D:$D,'[2]IN PROGRESS'!$M:$M,"Not Found")</f>
        <v>Not Found</v>
      </c>
      <c r="U1353" s="2" t="str">
        <f>_xlfn.XLOOKUP(Table2[[#This Row],[Adjusted Form '#]],[1]COMPLETED!$D:$D,[2]COMPLETED!$M:$M,"Not Found")</f>
        <v>Not Found</v>
      </c>
      <c r="V1353" s="17" t="str">
        <f>_xlfn.XLOOKUP(Table2[[#This Row],[Adjusted Form '#]],[2]COMPLETED!$D:$D,[2]COMPLETED!$O:$O,"Not Found")</f>
        <v>Not Found</v>
      </c>
      <c r="W1353" s="2" t="str">
        <f>_xlfn.XLOOKUP(Table2[[#This Row],[Adjusted Form '#]],[2]BILLED!$D:$D,[2]BILLED!$M:$M,"Not Found")</f>
        <v>9400 1361 0605 3094 4912 21</v>
      </c>
      <c r="X1353" s="17" t="e">
        <f>_xlfn.XLOOKUP(Table2[[#This Row],[Adjusted Form '#]],[2]BILLED!$D:$D,[1]BILLED!$O:$O,"Not Found")</f>
        <v>#REF!</v>
      </c>
      <c r="Y1353" s="17" t="e">
        <f>_xlfn.XLOOKUP(Table2[[#This Row],[Adjusted Form '#]],'[2]REJECTED ORDERS'!$D:$D,'[2]REJECTED ORDERS'!$E:$E)</f>
        <v>#N/A</v>
      </c>
      <c r="Z1353" s="1"/>
      <c r="AA1353" s="1"/>
    </row>
    <row r="1354" spans="1:27" ht="15" customHeight="1" x14ac:dyDescent="0.35">
      <c r="A1354" s="4" t="s">
        <v>2023</v>
      </c>
      <c r="B1354" s="1" t="s">
        <v>409</v>
      </c>
      <c r="C1354" s="11">
        <v>45113</v>
      </c>
      <c r="D1354" s="11" t="s">
        <v>6292</v>
      </c>
      <c r="E1354" s="1" t="s">
        <v>21</v>
      </c>
      <c r="F1354" s="1" t="s">
        <v>6288</v>
      </c>
      <c r="G1354" s="6">
        <f>COUNTIF(F:F,Table2[[#This Row],[Form '#]])</f>
        <v>1</v>
      </c>
      <c r="H1354" s="1" t="s">
        <v>1174</v>
      </c>
      <c r="I1354" s="1" t="s">
        <v>177</v>
      </c>
      <c r="J1354" s="1" t="s">
        <v>75</v>
      </c>
      <c r="K1354" s="1" t="s">
        <v>3853</v>
      </c>
      <c r="L1354" s="1"/>
      <c r="M1354" s="6" t="str">
        <f>IF(Table2[[#This Row],[Corrected Form '#
 (If Duplicated)]]="",Table2[[#This Row],[Form '#]],Table2[[#This Row],[Corrected Form '#
 (If Duplicated)]])</f>
        <v>7818-31162</v>
      </c>
      <c r="N1354" s="1" t="s">
        <v>49</v>
      </c>
      <c r="O1354" s="6" t="str">
        <f>IF(Table2[[#This Row],[POG CONFIRMATION RECEIPT OF ORDER
(DATE &amp; TIME)]]="","No Confirmation","Received Confirmation")</f>
        <v>Received Confirmation</v>
      </c>
      <c r="P1354" s="6">
        <f ca="1">TODAY()-Table2[[#This Row],[DATE SENT TO POG]]</f>
        <v>190</v>
      </c>
      <c r="Q1354" s="6" t="s">
        <v>5803</v>
      </c>
      <c r="R13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4" s="2" t="str">
        <f>_xlfn.XLOOKUP(Table2[[#This Row],[Adjusted Form '#]],'[2]IN PROGRESS'!$D:$D,'[2]IN PROGRESS'!$M:$M,"Not Found")</f>
        <v>Not Found</v>
      </c>
      <c r="U1354" s="2" t="str">
        <f>_xlfn.XLOOKUP(Table2[[#This Row],[Adjusted Form '#]],[1]COMPLETED!$D:$D,[2]COMPLETED!$M:$M,"Not Found")</f>
        <v>Not Found</v>
      </c>
      <c r="V1354" s="17" t="str">
        <f>_xlfn.XLOOKUP(Table2[[#This Row],[Adjusted Form '#]],[2]COMPLETED!$D:$D,[2]COMPLETED!$O:$O,"Not Found")</f>
        <v>Not Found</v>
      </c>
      <c r="W1354" s="2" t="str">
        <f>_xlfn.XLOOKUP(Table2[[#This Row],[Adjusted Form '#]],[2]BILLED!$D:$D,[2]BILLED!$M:$M,"Not Found")</f>
        <v>9400 1361 0605 3106 7249 34</v>
      </c>
      <c r="X1354" s="17" t="e">
        <f>_xlfn.XLOOKUP(Table2[[#This Row],[Adjusted Form '#]],[2]BILLED!$D:$D,[1]BILLED!$O:$O,"Not Found")</f>
        <v>#REF!</v>
      </c>
      <c r="Y1354" s="17" t="e">
        <f>_xlfn.XLOOKUP(Table2[[#This Row],[Adjusted Form '#]],'[2]REJECTED ORDERS'!$D:$D,'[2]REJECTED ORDERS'!$E:$E)</f>
        <v>#N/A</v>
      </c>
      <c r="Z1354" s="1"/>
      <c r="AA1354" s="1"/>
    </row>
    <row r="1355" spans="1:27" ht="15" customHeight="1" x14ac:dyDescent="0.35">
      <c r="A1355" s="4" t="s">
        <v>2024</v>
      </c>
      <c r="B1355" s="1" t="s">
        <v>409</v>
      </c>
      <c r="C1355" s="11">
        <v>45113</v>
      </c>
      <c r="D1355" s="11" t="s">
        <v>6292</v>
      </c>
      <c r="E1355" s="1" t="s">
        <v>21</v>
      </c>
      <c r="F1355" s="1" t="s">
        <v>6289</v>
      </c>
      <c r="G1355" s="6">
        <f>COUNTIF(F:F,Table2[[#This Row],[Form '#]])</f>
        <v>1</v>
      </c>
      <c r="H1355" s="1" t="s">
        <v>6290</v>
      </c>
      <c r="I1355" s="1" t="s">
        <v>3852</v>
      </c>
      <c r="J1355" s="1" t="s">
        <v>80</v>
      </c>
      <c r="K1355" s="1" t="s">
        <v>4011</v>
      </c>
      <c r="L1355" s="1"/>
      <c r="M1355" s="6" t="str">
        <f>IF(Table2[[#This Row],[Corrected Form '#
 (If Duplicated)]]="",Table2[[#This Row],[Form '#]],Table2[[#This Row],[Corrected Form '#
 (If Duplicated)]])</f>
        <v>7818-26599</v>
      </c>
      <c r="N1355" s="1" t="s">
        <v>49</v>
      </c>
      <c r="O1355" s="6" t="str">
        <f>IF(Table2[[#This Row],[POG CONFIRMATION RECEIPT OF ORDER
(DATE &amp; TIME)]]="","No Confirmation","Received Confirmation")</f>
        <v>Received Confirmation</v>
      </c>
      <c r="P1355" s="6">
        <f ca="1">TODAY()-Table2[[#This Row],[DATE SENT TO POG]]</f>
        <v>190</v>
      </c>
      <c r="Q1355" s="6" t="s">
        <v>5803</v>
      </c>
      <c r="R13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5" s="2" t="str">
        <f>_xlfn.XLOOKUP(Table2[[#This Row],[Adjusted Form '#]],'[2]IN PROGRESS'!$D:$D,'[2]IN PROGRESS'!$M:$M,"Not Found")</f>
        <v>Not Found</v>
      </c>
      <c r="U1355" s="2" t="str">
        <f>_xlfn.XLOOKUP(Table2[[#This Row],[Adjusted Form '#]],[1]COMPLETED!$D:$D,[2]COMPLETED!$M:$M,"Not Found")</f>
        <v>Not Found</v>
      </c>
      <c r="V1355" s="17" t="str">
        <f>_xlfn.XLOOKUP(Table2[[#This Row],[Adjusted Form '#]],[2]COMPLETED!$D:$D,[2]COMPLETED!$O:$O,"Not Found")</f>
        <v>Not Found</v>
      </c>
      <c r="W1355" s="2" t="str">
        <f>_xlfn.XLOOKUP(Table2[[#This Row],[Adjusted Form '#]],[2]BILLED!$D:$D,[2]BILLED!$M:$M,"Not Found")</f>
        <v>9400 1361 0605 3116 8005 29</v>
      </c>
      <c r="X1355" s="17" t="e">
        <f>_xlfn.XLOOKUP(Table2[[#This Row],[Adjusted Form '#]],[2]BILLED!$D:$D,[1]BILLED!$O:$O,"Not Found")</f>
        <v>#REF!</v>
      </c>
      <c r="Y1355" s="17" t="e">
        <f>_xlfn.XLOOKUP(Table2[[#This Row],[Adjusted Form '#]],'[2]REJECTED ORDERS'!$D:$D,'[2]REJECTED ORDERS'!$E:$E)</f>
        <v>#N/A</v>
      </c>
      <c r="Z1355" s="1"/>
      <c r="AA1355" s="1"/>
    </row>
    <row r="1356" spans="1:27" ht="15" customHeight="1" x14ac:dyDescent="0.35">
      <c r="A1356" s="4" t="s">
        <v>2025</v>
      </c>
      <c r="B1356" s="1" t="s">
        <v>409</v>
      </c>
      <c r="C1356" s="11">
        <v>45113</v>
      </c>
      <c r="D1356" s="11" t="s">
        <v>6292</v>
      </c>
      <c r="E1356" s="1" t="s">
        <v>21</v>
      </c>
      <c r="F1356" s="1" t="s">
        <v>6291</v>
      </c>
      <c r="G1356" s="6">
        <f>COUNTIF(F:F,Table2[[#This Row],[Form '#]])</f>
        <v>1</v>
      </c>
      <c r="H1356" s="1" t="s">
        <v>3521</v>
      </c>
      <c r="I1356" s="1" t="s">
        <v>3852</v>
      </c>
      <c r="J1356" s="1" t="s">
        <v>80</v>
      </c>
      <c r="K1356" s="1" t="s">
        <v>3853</v>
      </c>
      <c r="L1356" s="1"/>
      <c r="M1356" s="6" t="str">
        <f>IF(Table2[[#This Row],[Corrected Form '#
 (If Duplicated)]]="",Table2[[#This Row],[Form '#]],Table2[[#This Row],[Corrected Form '#
 (If Duplicated)]])</f>
        <v>7818-31164</v>
      </c>
      <c r="N1356" s="1" t="s">
        <v>49</v>
      </c>
      <c r="O1356" s="6" t="str">
        <f>IF(Table2[[#This Row],[POG CONFIRMATION RECEIPT OF ORDER
(DATE &amp; TIME)]]="","No Confirmation","Received Confirmation")</f>
        <v>Received Confirmation</v>
      </c>
      <c r="P1356" s="6">
        <f ca="1">TODAY()-Table2[[#This Row],[DATE SENT TO POG]]</f>
        <v>190</v>
      </c>
      <c r="Q1356" s="6" t="s">
        <v>5803</v>
      </c>
      <c r="R13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6" s="2" t="str">
        <f>_xlfn.XLOOKUP(Table2[[#This Row],[Adjusted Form '#]],'[2]IN PROGRESS'!$D:$D,'[2]IN PROGRESS'!$M:$M,"Not Found")</f>
        <v>Not Found</v>
      </c>
      <c r="U1356" s="2" t="str">
        <f>_xlfn.XLOOKUP(Table2[[#This Row],[Adjusted Form '#]],[1]COMPLETED!$D:$D,[2]COMPLETED!$M:$M,"Not Found")</f>
        <v>Not Found</v>
      </c>
      <c r="V1356" s="17" t="str">
        <f>_xlfn.XLOOKUP(Table2[[#This Row],[Adjusted Form '#]],[2]COMPLETED!$D:$D,[2]COMPLETED!$O:$O,"Not Found")</f>
        <v>Not Found</v>
      </c>
      <c r="W1356" s="2" t="str">
        <f>_xlfn.XLOOKUP(Table2[[#This Row],[Adjusted Form '#]],[2]BILLED!$D:$D,[2]BILLED!$M:$M,"Not Found")</f>
        <v>9400 1361 0605 3116 7684 54</v>
      </c>
      <c r="X1356" s="17" t="e">
        <f>_xlfn.XLOOKUP(Table2[[#This Row],[Adjusted Form '#]],[2]BILLED!$D:$D,[1]BILLED!$O:$O,"Not Found")</f>
        <v>#REF!</v>
      </c>
      <c r="Y1356" s="17" t="e">
        <f>_xlfn.XLOOKUP(Table2[[#This Row],[Adjusted Form '#]],'[2]REJECTED ORDERS'!$D:$D,'[2]REJECTED ORDERS'!$E:$E)</f>
        <v>#N/A</v>
      </c>
      <c r="Z1356" s="1"/>
      <c r="AA1356" s="1"/>
    </row>
    <row r="1357" spans="1:27" ht="15" customHeight="1" x14ac:dyDescent="0.35">
      <c r="A1357" s="4" t="s">
        <v>2026</v>
      </c>
      <c r="B1357" s="1" t="s">
        <v>1854</v>
      </c>
      <c r="C1357" s="11">
        <v>45114</v>
      </c>
      <c r="D1357" s="11" t="s">
        <v>6325</v>
      </c>
      <c r="E1357" s="1" t="s">
        <v>21</v>
      </c>
      <c r="F1357" s="1" t="s">
        <v>6293</v>
      </c>
      <c r="G1357" s="6">
        <f>COUNTIF(F:F,Table2[[#This Row],[Form '#]])</f>
        <v>1</v>
      </c>
      <c r="H1357" s="1" t="s">
        <v>2708</v>
      </c>
      <c r="I1357" s="1" t="s">
        <v>3852</v>
      </c>
      <c r="J1357" s="1" t="s">
        <v>80</v>
      </c>
      <c r="K1357" s="1" t="s">
        <v>3853</v>
      </c>
      <c r="L1357" s="1"/>
      <c r="M1357" s="6" t="str">
        <f>IF(Table2[[#This Row],[Corrected Form '#
 (If Duplicated)]]="",Table2[[#This Row],[Form '#]],Table2[[#This Row],[Corrected Form '#
 (If Duplicated)]])</f>
        <v>7818-28400</v>
      </c>
      <c r="N1357" s="1" t="s">
        <v>49</v>
      </c>
      <c r="O1357" s="6" t="str">
        <f>IF(Table2[[#This Row],[POG CONFIRMATION RECEIPT OF ORDER
(DATE &amp; TIME)]]="","No Confirmation","Received Confirmation")</f>
        <v>Received Confirmation</v>
      </c>
      <c r="P1357" s="6">
        <f ca="1">TODAY()-Table2[[#This Row],[DATE SENT TO POG]]</f>
        <v>189</v>
      </c>
      <c r="Q1357" s="6" t="s">
        <v>5803</v>
      </c>
      <c r="R13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7" s="2" t="str">
        <f>_xlfn.XLOOKUP(Table2[[#This Row],[Adjusted Form '#]],'[2]IN PROGRESS'!$D:$D,'[2]IN PROGRESS'!$M:$M,"Not Found")</f>
        <v>Not Found</v>
      </c>
      <c r="U1357" s="2" t="str">
        <f>_xlfn.XLOOKUP(Table2[[#This Row],[Adjusted Form '#]],[1]COMPLETED!$D:$D,[2]COMPLETED!$M:$M,"Not Found")</f>
        <v>Not Found</v>
      </c>
      <c r="V1357" s="17" t="str">
        <f>_xlfn.XLOOKUP(Table2[[#This Row],[Adjusted Form '#]],[2]COMPLETED!$D:$D,[2]COMPLETED!$O:$O,"Not Found")</f>
        <v>Not Found</v>
      </c>
      <c r="W1357" s="2" t="str">
        <f>_xlfn.XLOOKUP(Table2[[#This Row],[Adjusted Form '#]],[2]BILLED!$D:$D,[2]BILLED!$M:$M,"Not Found")</f>
        <v>9402 1112 0620 9848 6186 26</v>
      </c>
      <c r="X1357" s="17" t="e">
        <f>_xlfn.XLOOKUP(Table2[[#This Row],[Adjusted Form '#]],[2]BILLED!$D:$D,[1]BILLED!$O:$O,"Not Found")</f>
        <v>#REF!</v>
      </c>
      <c r="Y1357" s="17" t="e">
        <f>_xlfn.XLOOKUP(Table2[[#This Row],[Adjusted Form '#]],'[2]REJECTED ORDERS'!$D:$D,'[2]REJECTED ORDERS'!$E:$E)</f>
        <v>#N/A</v>
      </c>
      <c r="Z1357" s="1"/>
      <c r="AA1357" s="1"/>
    </row>
    <row r="1358" spans="1:27" ht="15" customHeight="1" x14ac:dyDescent="0.35">
      <c r="A1358" s="4" t="s">
        <v>2027</v>
      </c>
      <c r="B1358" s="1" t="s">
        <v>958</v>
      </c>
      <c r="C1358" s="11">
        <v>45117</v>
      </c>
      <c r="D1358" s="11" t="s">
        <v>6326</v>
      </c>
      <c r="E1358" s="1" t="s">
        <v>191</v>
      </c>
      <c r="F1358" s="1" t="s">
        <v>6294</v>
      </c>
      <c r="G1358" s="6">
        <f>COUNTIF(F:F,Table2[[#This Row],[Form '#]])</f>
        <v>1</v>
      </c>
      <c r="H1358" s="1" t="s">
        <v>3606</v>
      </c>
      <c r="I1358" s="1" t="s">
        <v>127</v>
      </c>
      <c r="J1358" s="1" t="s">
        <v>76</v>
      </c>
      <c r="K1358" s="1" t="s">
        <v>4011</v>
      </c>
      <c r="L1358" s="1"/>
      <c r="M1358" s="6" t="str">
        <f>IF(Table2[[#This Row],[Corrected Form '#
 (If Duplicated)]]="",Table2[[#This Row],[Form '#]],Table2[[#This Row],[Corrected Form '#
 (If Duplicated)]])</f>
        <v>7812-03132</v>
      </c>
      <c r="N1358" s="1" t="s">
        <v>49</v>
      </c>
      <c r="O1358" s="6" t="str">
        <f>IF(Table2[[#This Row],[POG CONFIRMATION RECEIPT OF ORDER
(DATE &amp; TIME)]]="","No Confirmation","Received Confirmation")</f>
        <v>Received Confirmation</v>
      </c>
      <c r="P1358" s="6">
        <f ca="1">TODAY()-Table2[[#This Row],[DATE SENT TO POG]]</f>
        <v>186</v>
      </c>
      <c r="Q1358" s="6" t="s">
        <v>5803</v>
      </c>
      <c r="R13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8" s="2" t="str">
        <f>_xlfn.XLOOKUP(Table2[[#This Row],[Adjusted Form '#]],'[2]IN PROGRESS'!$D:$D,'[2]IN PROGRESS'!$M:$M,"Not Found")</f>
        <v>Not Found</v>
      </c>
      <c r="U1358" s="2" t="str">
        <f>_xlfn.XLOOKUP(Table2[[#This Row],[Adjusted Form '#]],[1]COMPLETED!$D:$D,[2]COMPLETED!$M:$M,"Not Found")</f>
        <v>Not Found</v>
      </c>
      <c r="V1358" s="17" t="str">
        <f>_xlfn.XLOOKUP(Table2[[#This Row],[Adjusted Form '#]],[2]COMPLETED!$D:$D,[2]COMPLETED!$O:$O,"Not Found")</f>
        <v>Not Found</v>
      </c>
      <c r="W1358" s="2" t="str">
        <f>_xlfn.XLOOKUP(Table2[[#This Row],[Adjusted Form '#]],[2]BILLED!$D:$D,[2]BILLED!$M:$M,"Not Found")</f>
        <v>9400 1361 0605 3133 1808 64</v>
      </c>
      <c r="X1358" s="17" t="e">
        <f>_xlfn.XLOOKUP(Table2[[#This Row],[Adjusted Form '#]],[2]BILLED!$D:$D,[1]BILLED!$O:$O,"Not Found")</f>
        <v>#REF!</v>
      </c>
      <c r="Y1358" s="17" t="e">
        <f>_xlfn.XLOOKUP(Table2[[#This Row],[Adjusted Form '#]],'[2]REJECTED ORDERS'!$D:$D,'[2]REJECTED ORDERS'!$E:$E)</f>
        <v>#N/A</v>
      </c>
      <c r="Z1358" s="1"/>
      <c r="AA1358" s="1"/>
    </row>
    <row r="1359" spans="1:27" ht="15" customHeight="1" x14ac:dyDescent="0.35">
      <c r="A1359" s="4" t="s">
        <v>2029</v>
      </c>
      <c r="B1359" s="1" t="s">
        <v>958</v>
      </c>
      <c r="C1359" s="11">
        <v>45117</v>
      </c>
      <c r="D1359" s="11" t="s">
        <v>6326</v>
      </c>
      <c r="E1359" s="1" t="s">
        <v>191</v>
      </c>
      <c r="F1359" s="1" t="s">
        <v>6295</v>
      </c>
      <c r="G1359" s="6">
        <f>COUNTIF(F:F,Table2[[#This Row],[Form '#]])</f>
        <v>1</v>
      </c>
      <c r="H1359" s="1" t="s">
        <v>1923</v>
      </c>
      <c r="I1359" s="1" t="s">
        <v>177</v>
      </c>
      <c r="J1359" s="1" t="s">
        <v>75</v>
      </c>
      <c r="K1359" s="1" t="s">
        <v>3853</v>
      </c>
      <c r="L1359" s="1"/>
      <c r="M1359" s="6" t="str">
        <f>IF(Table2[[#This Row],[Corrected Form '#
 (If Duplicated)]]="",Table2[[#This Row],[Form '#]],Table2[[#This Row],[Corrected Form '#
 (If Duplicated)]])</f>
        <v>7812-03142</v>
      </c>
      <c r="N1359" s="1" t="s">
        <v>49</v>
      </c>
      <c r="O1359" s="6" t="str">
        <f>IF(Table2[[#This Row],[POG CONFIRMATION RECEIPT OF ORDER
(DATE &amp; TIME)]]="","No Confirmation","Received Confirmation")</f>
        <v>Received Confirmation</v>
      </c>
      <c r="P1359" s="6">
        <f ca="1">TODAY()-Table2[[#This Row],[DATE SENT TO POG]]</f>
        <v>186</v>
      </c>
      <c r="Q1359" s="6" t="s">
        <v>5803</v>
      </c>
      <c r="R13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59" s="2" t="str">
        <f>_xlfn.XLOOKUP(Table2[[#This Row],[Adjusted Form '#]],'[2]IN PROGRESS'!$D:$D,'[2]IN PROGRESS'!$M:$M,"Not Found")</f>
        <v>Not Found</v>
      </c>
      <c r="U1359" s="2" t="str">
        <f>_xlfn.XLOOKUP(Table2[[#This Row],[Adjusted Form '#]],[1]COMPLETED!$D:$D,[2]COMPLETED!$M:$M,"Not Found")</f>
        <v>Not Found</v>
      </c>
      <c r="V1359" s="17" t="str">
        <f>_xlfn.XLOOKUP(Table2[[#This Row],[Adjusted Form '#]],[2]COMPLETED!$D:$D,[2]COMPLETED!$O:$O,"Not Found")</f>
        <v>Not Found</v>
      </c>
      <c r="W1359" s="2" t="str">
        <f>_xlfn.XLOOKUP(Table2[[#This Row],[Adjusted Form '#]],[2]BILLED!$D:$D,[2]BILLED!$M:$M,"Not Found")</f>
        <v>9400 1361 0605 3151 7696 38</v>
      </c>
      <c r="X1359" s="17" t="e">
        <f>_xlfn.XLOOKUP(Table2[[#This Row],[Adjusted Form '#]],[2]BILLED!$D:$D,[1]BILLED!$O:$O,"Not Found")</f>
        <v>#REF!</v>
      </c>
      <c r="Y1359" s="17" t="e">
        <f>_xlfn.XLOOKUP(Table2[[#This Row],[Adjusted Form '#]],'[2]REJECTED ORDERS'!$D:$D,'[2]REJECTED ORDERS'!$E:$E)</f>
        <v>#N/A</v>
      </c>
      <c r="Z1359" s="1"/>
      <c r="AA1359" s="1"/>
    </row>
    <row r="1360" spans="1:27" ht="15" customHeight="1" x14ac:dyDescent="0.35">
      <c r="A1360" s="4" t="s">
        <v>2031</v>
      </c>
      <c r="B1360" s="1" t="s">
        <v>3404</v>
      </c>
      <c r="C1360" s="11">
        <v>45117</v>
      </c>
      <c r="D1360" s="11" t="s">
        <v>6327</v>
      </c>
      <c r="E1360" s="1" t="s">
        <v>21</v>
      </c>
      <c r="F1360" s="1" t="s">
        <v>6328</v>
      </c>
      <c r="G1360" s="6">
        <f>COUNTIF(F:F,Table2[[#This Row],[Form '#]])</f>
        <v>1</v>
      </c>
      <c r="H1360" s="1" t="s">
        <v>6329</v>
      </c>
      <c r="I1360" s="1" t="s">
        <v>758</v>
      </c>
      <c r="J1360" s="1" t="s">
        <v>78</v>
      </c>
      <c r="K1360" s="1" t="s">
        <v>3853</v>
      </c>
      <c r="L1360" s="1"/>
      <c r="M1360" s="6" t="str">
        <f>IF(Table2[[#This Row],[Corrected Form '#
 (If Duplicated)]]="",Table2[[#This Row],[Form '#]],Table2[[#This Row],[Corrected Form '#
 (If Duplicated)]])</f>
        <v>7818-25055</v>
      </c>
      <c r="N1360" s="1" t="s">
        <v>49</v>
      </c>
      <c r="O1360" s="6" t="str">
        <f>IF(Table2[[#This Row],[POG CONFIRMATION RECEIPT OF ORDER
(DATE &amp; TIME)]]="","No Confirmation","Received Confirmation")</f>
        <v>Received Confirmation</v>
      </c>
      <c r="P1360" s="6">
        <f ca="1">TODAY()-Table2[[#This Row],[DATE SENT TO POG]]</f>
        <v>186</v>
      </c>
      <c r="Q1360" s="6" t="s">
        <v>5803</v>
      </c>
      <c r="R13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0" s="2" t="str">
        <f>_xlfn.XLOOKUP(Table2[[#This Row],[Adjusted Form '#]],'[2]IN PROGRESS'!$D:$D,'[2]IN PROGRESS'!$M:$M,"Not Found")</f>
        <v>Not Found</v>
      </c>
      <c r="U1360" s="2" t="str">
        <f>_xlfn.XLOOKUP(Table2[[#This Row],[Adjusted Form '#]],[1]COMPLETED!$D:$D,[2]COMPLETED!$M:$M,"Not Found")</f>
        <v>Not Found</v>
      </c>
      <c r="V1360" s="17" t="str">
        <f>_xlfn.XLOOKUP(Table2[[#This Row],[Adjusted Form '#]],[2]COMPLETED!$D:$D,[2]COMPLETED!$O:$O,"Not Found")</f>
        <v>Not Found</v>
      </c>
      <c r="W1360" s="2" t="str">
        <f>_xlfn.XLOOKUP(Table2[[#This Row],[Adjusted Form '#]],[2]BILLED!$D:$D,[2]BILLED!$M:$M,"Not Found")</f>
        <v>9400 1361 0605 3133 2258 93</v>
      </c>
      <c r="X1360" s="17" t="e">
        <f>_xlfn.XLOOKUP(Table2[[#This Row],[Adjusted Form '#]],[2]BILLED!$D:$D,[1]BILLED!$O:$O,"Not Found")</f>
        <v>#REF!</v>
      </c>
      <c r="Y1360" s="17" t="e">
        <f>_xlfn.XLOOKUP(Table2[[#This Row],[Adjusted Form '#]],'[2]REJECTED ORDERS'!$D:$D,'[2]REJECTED ORDERS'!$E:$E)</f>
        <v>#N/A</v>
      </c>
      <c r="Z1360" s="1"/>
      <c r="AA1360" s="1"/>
    </row>
    <row r="1361" spans="1:27" ht="15" customHeight="1" x14ac:dyDescent="0.35">
      <c r="A1361" s="4" t="s">
        <v>2032</v>
      </c>
      <c r="B1361" s="1" t="s">
        <v>3404</v>
      </c>
      <c r="C1361" s="11">
        <v>45117</v>
      </c>
      <c r="D1361" s="11" t="s">
        <v>6327</v>
      </c>
      <c r="E1361" s="1" t="s">
        <v>21</v>
      </c>
      <c r="F1361" s="1" t="s">
        <v>6330</v>
      </c>
      <c r="G1361" s="6">
        <f>COUNTIF(F:F,Table2[[#This Row],[Form '#]])</f>
        <v>1</v>
      </c>
      <c r="H1361" s="1" t="s">
        <v>3464</v>
      </c>
      <c r="I1361" s="1" t="s">
        <v>127</v>
      </c>
      <c r="J1361" s="1" t="s">
        <v>71</v>
      </c>
      <c r="K1361" s="1" t="s">
        <v>3883</v>
      </c>
      <c r="L1361" s="1"/>
      <c r="M1361" s="6" t="str">
        <f>IF(Table2[[#This Row],[Corrected Form '#
 (If Duplicated)]]="",Table2[[#This Row],[Form '#]],Table2[[#This Row],[Corrected Form '#
 (If Duplicated)]])</f>
        <v>7818-12809</v>
      </c>
      <c r="N1361" s="1" t="s">
        <v>49</v>
      </c>
      <c r="O1361" s="6" t="str">
        <f>IF(Table2[[#This Row],[POG CONFIRMATION RECEIPT OF ORDER
(DATE &amp; TIME)]]="","No Confirmation","Received Confirmation")</f>
        <v>Received Confirmation</v>
      </c>
      <c r="P1361" s="6">
        <f ca="1">TODAY()-Table2[[#This Row],[DATE SENT TO POG]]</f>
        <v>186</v>
      </c>
      <c r="Q1361" s="6" t="s">
        <v>5803</v>
      </c>
      <c r="R13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1" s="2" t="str">
        <f>_xlfn.XLOOKUP(Table2[[#This Row],[Adjusted Form '#]],'[2]IN PROGRESS'!$D:$D,'[2]IN PROGRESS'!$M:$M,"Not Found")</f>
        <v>Not Found</v>
      </c>
      <c r="U1361" s="2" t="str">
        <f>_xlfn.XLOOKUP(Table2[[#This Row],[Adjusted Form '#]],[1]COMPLETED!$D:$D,[2]COMPLETED!$M:$M,"Not Found")</f>
        <v>Not Found</v>
      </c>
      <c r="V1361" s="17" t="str">
        <f>_xlfn.XLOOKUP(Table2[[#This Row],[Adjusted Form '#]],[2]COMPLETED!$D:$D,[2]COMPLETED!$O:$O,"Not Found")</f>
        <v>Not Found</v>
      </c>
      <c r="W1361" s="2" t="str">
        <f>_xlfn.XLOOKUP(Table2[[#This Row],[Adjusted Form '#]],[2]BILLED!$D:$D,[2]BILLED!$M:$M,"Not Found")</f>
        <v>9400 1361 0605 3138 2525 73</v>
      </c>
      <c r="X1361" s="17" t="e">
        <f>_xlfn.XLOOKUP(Table2[[#This Row],[Adjusted Form '#]],[2]BILLED!$D:$D,[1]BILLED!$O:$O,"Not Found")</f>
        <v>#REF!</v>
      </c>
      <c r="Y1361" s="17" t="e">
        <f>_xlfn.XLOOKUP(Table2[[#This Row],[Adjusted Form '#]],'[2]REJECTED ORDERS'!$D:$D,'[2]REJECTED ORDERS'!$E:$E)</f>
        <v>#N/A</v>
      </c>
      <c r="Z1361" s="1"/>
      <c r="AA1361" s="1"/>
    </row>
    <row r="1362" spans="1:27" ht="15" customHeight="1" x14ac:dyDescent="0.35">
      <c r="A1362" s="4" t="s">
        <v>2033</v>
      </c>
      <c r="B1362" s="1" t="s">
        <v>3404</v>
      </c>
      <c r="C1362" s="11">
        <v>45117</v>
      </c>
      <c r="D1362" s="11" t="s">
        <v>6327</v>
      </c>
      <c r="E1362" s="1" t="s">
        <v>21</v>
      </c>
      <c r="F1362" s="1" t="s">
        <v>6331</v>
      </c>
      <c r="G1362" s="6">
        <f>COUNTIF(F:F,Table2[[#This Row],[Form '#]])</f>
        <v>1</v>
      </c>
      <c r="H1362" s="1" t="s">
        <v>6332</v>
      </c>
      <c r="I1362" s="1" t="s">
        <v>3852</v>
      </c>
      <c r="J1362" s="1" t="s">
        <v>75</v>
      </c>
      <c r="K1362" s="1" t="s">
        <v>3853</v>
      </c>
      <c r="L1362" s="1"/>
      <c r="M1362" s="6" t="str">
        <f>IF(Table2[[#This Row],[Corrected Form '#
 (If Duplicated)]]="",Table2[[#This Row],[Form '#]],Table2[[#This Row],[Corrected Form '#
 (If Duplicated)]])</f>
        <v>7818-14792</v>
      </c>
      <c r="N1362" s="1" t="s">
        <v>49</v>
      </c>
      <c r="O1362" s="6" t="str">
        <f>IF(Table2[[#This Row],[POG CONFIRMATION RECEIPT OF ORDER
(DATE &amp; TIME)]]="","No Confirmation","Received Confirmation")</f>
        <v>Received Confirmation</v>
      </c>
      <c r="P1362" s="6">
        <f ca="1">TODAY()-Table2[[#This Row],[DATE SENT TO POG]]</f>
        <v>186</v>
      </c>
      <c r="Q1362" s="6" t="s">
        <v>5803</v>
      </c>
      <c r="R13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2" s="2" t="str">
        <f>_xlfn.XLOOKUP(Table2[[#This Row],[Adjusted Form '#]],'[2]IN PROGRESS'!$D:$D,'[2]IN PROGRESS'!$M:$M,"Not Found")</f>
        <v>Not Found</v>
      </c>
      <c r="U1362" s="2" t="str">
        <f>_xlfn.XLOOKUP(Table2[[#This Row],[Adjusted Form '#]],[1]COMPLETED!$D:$D,[2]COMPLETED!$M:$M,"Not Found")</f>
        <v>Not Found</v>
      </c>
      <c r="V1362" s="17" t="str">
        <f>_xlfn.XLOOKUP(Table2[[#This Row],[Adjusted Form '#]],[2]COMPLETED!$D:$D,[2]COMPLETED!$O:$O,"Not Found")</f>
        <v>Not Found</v>
      </c>
      <c r="W1362" s="2" t="str">
        <f>_xlfn.XLOOKUP(Table2[[#This Row],[Adjusted Form '#]],[2]BILLED!$D:$D,[2]BILLED!$M:$M,"Not Found")</f>
        <v>9400 1361 0605 3150 7293 12</v>
      </c>
      <c r="X1362" s="17" t="e">
        <f>_xlfn.XLOOKUP(Table2[[#This Row],[Adjusted Form '#]],[2]BILLED!$D:$D,[1]BILLED!$O:$O,"Not Found")</f>
        <v>#REF!</v>
      </c>
      <c r="Y1362" s="17" t="e">
        <f>_xlfn.XLOOKUP(Table2[[#This Row],[Adjusted Form '#]],'[2]REJECTED ORDERS'!$D:$D,'[2]REJECTED ORDERS'!$E:$E)</f>
        <v>#N/A</v>
      </c>
      <c r="Z1362" s="1"/>
      <c r="AA1362" s="1"/>
    </row>
    <row r="1363" spans="1:27" ht="15" customHeight="1" x14ac:dyDescent="0.35">
      <c r="A1363" s="4" t="s">
        <v>2034</v>
      </c>
      <c r="B1363" s="1" t="s">
        <v>3404</v>
      </c>
      <c r="C1363" s="11">
        <v>45117</v>
      </c>
      <c r="D1363" s="11" t="s">
        <v>6327</v>
      </c>
      <c r="E1363" s="1" t="s">
        <v>21</v>
      </c>
      <c r="F1363" s="1" t="s">
        <v>6333</v>
      </c>
      <c r="G1363" s="6">
        <f>COUNTIF(F:F,Table2[[#This Row],[Form '#]])</f>
        <v>1</v>
      </c>
      <c r="H1363" s="1" t="s">
        <v>6334</v>
      </c>
      <c r="I1363" s="1" t="s">
        <v>3852</v>
      </c>
      <c r="J1363" s="1" t="s">
        <v>80</v>
      </c>
      <c r="K1363" s="1" t="s">
        <v>3853</v>
      </c>
      <c r="L1363" s="1"/>
      <c r="M1363" s="6" t="str">
        <f>IF(Table2[[#This Row],[Corrected Form '#
 (If Duplicated)]]="",Table2[[#This Row],[Form '#]],Table2[[#This Row],[Corrected Form '#
 (If Duplicated)]])</f>
        <v>7818-30913</v>
      </c>
      <c r="N1363" s="1" t="s">
        <v>49</v>
      </c>
      <c r="O1363" s="6" t="str">
        <f>IF(Table2[[#This Row],[POG CONFIRMATION RECEIPT OF ORDER
(DATE &amp; TIME)]]="","No Confirmation","Received Confirmation")</f>
        <v>Received Confirmation</v>
      </c>
      <c r="P1363" s="6">
        <f ca="1">TODAY()-Table2[[#This Row],[DATE SENT TO POG]]</f>
        <v>186</v>
      </c>
      <c r="Q1363" s="6" t="s">
        <v>5803</v>
      </c>
      <c r="R13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3" s="2" t="str">
        <f>_xlfn.XLOOKUP(Table2[[#This Row],[Adjusted Form '#]],'[2]IN PROGRESS'!$D:$D,'[2]IN PROGRESS'!$M:$M,"Not Found")</f>
        <v>Not Found</v>
      </c>
      <c r="U1363" s="2" t="str">
        <f>_xlfn.XLOOKUP(Table2[[#This Row],[Adjusted Form '#]],[1]COMPLETED!$D:$D,[2]COMPLETED!$M:$M,"Not Found")</f>
        <v>Not Found</v>
      </c>
      <c r="V1363" s="17" t="str">
        <f>_xlfn.XLOOKUP(Table2[[#This Row],[Adjusted Form '#]],[2]COMPLETED!$D:$D,[2]COMPLETED!$O:$O,"Not Found")</f>
        <v>Not Found</v>
      </c>
      <c r="W1363" s="2" t="str">
        <f>_xlfn.XLOOKUP(Table2[[#This Row],[Adjusted Form '#]],[2]BILLED!$D:$D,[2]BILLED!$M:$M,"Not Found")</f>
        <v>9400 1361 0605 3124 4597 57</v>
      </c>
      <c r="X1363" s="17" t="e">
        <f>_xlfn.XLOOKUP(Table2[[#This Row],[Adjusted Form '#]],[2]BILLED!$D:$D,[1]BILLED!$O:$O,"Not Found")</f>
        <v>#REF!</v>
      </c>
      <c r="Y1363" s="17" t="e">
        <f>_xlfn.XLOOKUP(Table2[[#This Row],[Adjusted Form '#]],'[2]REJECTED ORDERS'!$D:$D,'[2]REJECTED ORDERS'!$E:$E)</f>
        <v>#N/A</v>
      </c>
      <c r="Z1363" s="1"/>
      <c r="AA1363" s="1"/>
    </row>
    <row r="1364" spans="1:27" ht="15" customHeight="1" x14ac:dyDescent="0.35">
      <c r="A1364" s="4" t="s">
        <v>2037</v>
      </c>
      <c r="B1364" s="1" t="s">
        <v>3404</v>
      </c>
      <c r="C1364" s="11">
        <v>45117</v>
      </c>
      <c r="D1364" s="11" t="s">
        <v>6327</v>
      </c>
      <c r="E1364" s="1" t="s">
        <v>21</v>
      </c>
      <c r="F1364" s="1" t="s">
        <v>6335</v>
      </c>
      <c r="G1364" s="6">
        <f>COUNTIF(F:F,Table2[[#This Row],[Form '#]])</f>
        <v>1</v>
      </c>
      <c r="H1364" s="1" t="s">
        <v>6336</v>
      </c>
      <c r="I1364" s="1" t="s">
        <v>758</v>
      </c>
      <c r="J1364" s="1" t="s">
        <v>78</v>
      </c>
      <c r="K1364" s="1" t="s">
        <v>3853</v>
      </c>
      <c r="L1364" s="1"/>
      <c r="M1364" s="6" t="str">
        <f>IF(Table2[[#This Row],[Corrected Form '#
 (If Duplicated)]]="",Table2[[#This Row],[Form '#]],Table2[[#This Row],[Corrected Form '#
 (If Duplicated)]])</f>
        <v>7818-28701</v>
      </c>
      <c r="N1364" s="1" t="s">
        <v>49</v>
      </c>
      <c r="O1364" s="6" t="str">
        <f>IF(Table2[[#This Row],[POG CONFIRMATION RECEIPT OF ORDER
(DATE &amp; TIME)]]="","No Confirmation","Received Confirmation")</f>
        <v>Received Confirmation</v>
      </c>
      <c r="P1364" s="6">
        <f ca="1">TODAY()-Table2[[#This Row],[DATE SENT TO POG]]</f>
        <v>186</v>
      </c>
      <c r="Q1364" s="6" t="s">
        <v>5803</v>
      </c>
      <c r="R13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4" s="2" t="str">
        <f>_xlfn.XLOOKUP(Table2[[#This Row],[Adjusted Form '#]],'[2]IN PROGRESS'!$D:$D,'[2]IN PROGRESS'!$M:$M,"Not Found")</f>
        <v>Not Found</v>
      </c>
      <c r="U1364" s="2" t="str">
        <f>_xlfn.XLOOKUP(Table2[[#This Row],[Adjusted Form '#]],[1]COMPLETED!$D:$D,[2]COMPLETED!$M:$M,"Not Found")</f>
        <v>Not Found</v>
      </c>
      <c r="V1364" s="17" t="str">
        <f>_xlfn.XLOOKUP(Table2[[#This Row],[Adjusted Form '#]],[2]COMPLETED!$D:$D,[2]COMPLETED!$O:$O,"Not Found")</f>
        <v>Not Found</v>
      </c>
      <c r="W1364" s="2" t="str">
        <f>_xlfn.XLOOKUP(Table2[[#This Row],[Adjusted Form '#]],[2]BILLED!$D:$D,[2]BILLED!$M:$M,"Not Found")</f>
        <v>9400 1361 0605 3133 1988 76</v>
      </c>
      <c r="X1364" s="17" t="e">
        <f>_xlfn.XLOOKUP(Table2[[#This Row],[Adjusted Form '#]],[2]BILLED!$D:$D,[1]BILLED!$O:$O,"Not Found")</f>
        <v>#REF!</v>
      </c>
      <c r="Y1364" s="17" t="e">
        <f>_xlfn.XLOOKUP(Table2[[#This Row],[Adjusted Form '#]],'[2]REJECTED ORDERS'!$D:$D,'[2]REJECTED ORDERS'!$E:$E)</f>
        <v>#N/A</v>
      </c>
      <c r="Z1364" s="1"/>
      <c r="AA1364" s="1"/>
    </row>
    <row r="1365" spans="1:27" ht="15" customHeight="1" x14ac:dyDescent="0.35">
      <c r="A1365" s="4" t="s">
        <v>2038</v>
      </c>
      <c r="B1365" s="1" t="s">
        <v>1422</v>
      </c>
      <c r="C1365" s="11">
        <v>45117</v>
      </c>
      <c r="D1365" s="11" t="s">
        <v>6327</v>
      </c>
      <c r="E1365" s="1" t="s">
        <v>191</v>
      </c>
      <c r="F1365" s="1" t="s">
        <v>6296</v>
      </c>
      <c r="G1365" s="6">
        <f>COUNTIF(F:F,Table2[[#This Row],[Form '#]])</f>
        <v>1</v>
      </c>
      <c r="H1365" s="1" t="s">
        <v>6297</v>
      </c>
      <c r="I1365" s="1" t="s">
        <v>3864</v>
      </c>
      <c r="J1365" s="1" t="s">
        <v>78</v>
      </c>
      <c r="K1365" s="1" t="s">
        <v>3879</v>
      </c>
      <c r="L1365" s="1"/>
      <c r="M1365" s="6" t="str">
        <f>IF(Table2[[#This Row],[Corrected Form '#
 (If Duplicated)]]="",Table2[[#This Row],[Form '#]],Table2[[#This Row],[Corrected Form '#
 (If Duplicated)]])</f>
        <v>7812-01541</v>
      </c>
      <c r="N1365" s="1" t="s">
        <v>49</v>
      </c>
      <c r="O1365" s="6" t="str">
        <f>IF(Table2[[#This Row],[POG CONFIRMATION RECEIPT OF ORDER
(DATE &amp; TIME)]]="","No Confirmation","Received Confirmation")</f>
        <v>Received Confirmation</v>
      </c>
      <c r="P1365" s="6">
        <f ca="1">TODAY()-Table2[[#This Row],[DATE SENT TO POG]]</f>
        <v>186</v>
      </c>
      <c r="Q1365" s="6" t="s">
        <v>5802</v>
      </c>
      <c r="R13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6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65" s="2" t="str">
        <f>_xlfn.XLOOKUP(Table2[[#This Row],[Adjusted Form '#]],'[2]IN PROGRESS'!$D:$D,'[2]IN PROGRESS'!$M:$M,"Not Found")</f>
        <v>Not Found</v>
      </c>
      <c r="U1365" s="2" t="str">
        <f>_xlfn.XLOOKUP(Table2[[#This Row],[Adjusted Form '#]],[1]COMPLETED!$D:$D,[2]COMPLETED!$M:$M,"Not Found")</f>
        <v>Not Found</v>
      </c>
      <c r="V1365" s="17" t="str">
        <f>_xlfn.XLOOKUP(Table2[[#This Row],[Adjusted Form '#]],[2]COMPLETED!$D:$D,[2]COMPLETED!$O:$O,"Not Found")</f>
        <v>Not Found</v>
      </c>
      <c r="W1365" s="2" t="str">
        <f>_xlfn.XLOOKUP(Table2[[#This Row],[Adjusted Form '#]],[2]BILLED!$D:$D,[2]BILLED!$M:$M,"Not Found")</f>
        <v>Not Found</v>
      </c>
      <c r="X1365" s="17" t="str">
        <f>_xlfn.XLOOKUP(Table2[[#This Row],[Adjusted Form '#]],[2]BILLED!$D:$D,[1]BILLED!$O:$O,"Not Found")</f>
        <v>Not Found</v>
      </c>
      <c r="Y1365" s="17" t="e">
        <f>_xlfn.XLOOKUP(Table2[[#This Row],[Adjusted Form '#]],'[2]REJECTED ORDERS'!$D:$D,'[2]REJECTED ORDERS'!$E:$E)</f>
        <v>#N/A</v>
      </c>
      <c r="Z1365" s="1"/>
      <c r="AA1365" s="1"/>
    </row>
    <row r="1366" spans="1:27" ht="15" customHeight="1" x14ac:dyDescent="0.35">
      <c r="A1366" s="4" t="s">
        <v>2039</v>
      </c>
      <c r="B1366" s="1" t="s">
        <v>1568</v>
      </c>
      <c r="C1366" s="11">
        <v>45117</v>
      </c>
      <c r="D1366" s="11" t="s">
        <v>6327</v>
      </c>
      <c r="E1366" s="1" t="s">
        <v>21</v>
      </c>
      <c r="F1366" s="1" t="s">
        <v>6298</v>
      </c>
      <c r="G1366" s="6">
        <f>COUNTIF(F:F,Table2[[#This Row],[Form '#]])</f>
        <v>1</v>
      </c>
      <c r="H1366" s="1" t="s">
        <v>6299</v>
      </c>
      <c r="I1366" s="1" t="s">
        <v>28</v>
      </c>
      <c r="J1366" s="1" t="s">
        <v>69</v>
      </c>
      <c r="K1366" s="1" t="s">
        <v>4631</v>
      </c>
      <c r="L1366" s="1"/>
      <c r="M1366" s="6" t="str">
        <f>IF(Table2[[#This Row],[Corrected Form '#
 (If Duplicated)]]="",Table2[[#This Row],[Form '#]],Table2[[#This Row],[Corrected Form '#
 (If Duplicated)]])</f>
        <v>7818-31165</v>
      </c>
      <c r="N1366" s="1" t="s">
        <v>104</v>
      </c>
      <c r="O1366" s="6" t="str">
        <f>IF(Table2[[#This Row],[POG CONFIRMATION RECEIPT OF ORDER
(DATE &amp; TIME)]]="","No Confirmation","Received Confirmation")</f>
        <v>Received Confirmation</v>
      </c>
      <c r="P1366" s="6">
        <f ca="1">TODAY()-Table2[[#This Row],[DATE SENT TO POG]]</f>
        <v>186</v>
      </c>
      <c r="Q1366" s="6" t="s">
        <v>5803</v>
      </c>
      <c r="R13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6" s="2" t="str">
        <f>_xlfn.XLOOKUP(Table2[[#This Row],[Adjusted Form '#]],'[2]IN PROGRESS'!$D:$D,'[2]IN PROGRESS'!$M:$M,"Not Found")</f>
        <v>Not Found</v>
      </c>
      <c r="U1366" s="2" t="str">
        <f>_xlfn.XLOOKUP(Table2[[#This Row],[Adjusted Form '#]],[1]COMPLETED!$D:$D,[2]COMPLETED!$M:$M,"Not Found")</f>
        <v>Not Found</v>
      </c>
      <c r="V1366" s="17" t="str">
        <f>_xlfn.XLOOKUP(Table2[[#This Row],[Adjusted Form '#]],[2]COMPLETED!$D:$D,[2]COMPLETED!$O:$O,"Not Found")</f>
        <v>Not Found</v>
      </c>
      <c r="W1366" s="2" t="str">
        <f>_xlfn.XLOOKUP(Table2[[#This Row],[Adjusted Form '#]],[2]BILLED!$D:$D,[2]BILLED!$M:$M,"Not Found")</f>
        <v>9402 1112 0620 9492 4656 69</v>
      </c>
      <c r="X1366" s="17" t="e">
        <f>_xlfn.XLOOKUP(Table2[[#This Row],[Adjusted Form '#]],[2]BILLED!$D:$D,[1]BILLED!$O:$O,"Not Found")</f>
        <v>#REF!</v>
      </c>
      <c r="Y1366" s="17" t="e">
        <f>_xlfn.XLOOKUP(Table2[[#This Row],[Adjusted Form '#]],'[2]REJECTED ORDERS'!$D:$D,'[2]REJECTED ORDERS'!$E:$E)</f>
        <v>#N/A</v>
      </c>
      <c r="Z1366" s="1"/>
      <c r="AA1366" s="1"/>
    </row>
    <row r="1367" spans="1:27" ht="15" customHeight="1" x14ac:dyDescent="0.35">
      <c r="A1367" s="4" t="s">
        <v>2041</v>
      </c>
      <c r="B1367" s="1" t="s">
        <v>3703</v>
      </c>
      <c r="C1367" s="11">
        <v>45117</v>
      </c>
      <c r="D1367" s="11" t="s">
        <v>6337</v>
      </c>
      <c r="E1367" s="1" t="s">
        <v>21</v>
      </c>
      <c r="F1367" s="1" t="s">
        <v>6300</v>
      </c>
      <c r="G1367" s="6">
        <f>COUNTIF(F:F,Table2[[#This Row],[Form '#]])</f>
        <v>1</v>
      </c>
      <c r="H1367" s="1" t="s">
        <v>6301</v>
      </c>
      <c r="I1367" s="1" t="s">
        <v>758</v>
      </c>
      <c r="J1367" s="1" t="s">
        <v>78</v>
      </c>
      <c r="K1367" s="1" t="s">
        <v>4430</v>
      </c>
      <c r="L1367" s="1"/>
      <c r="M1367" s="6" t="str">
        <f>IF(Table2[[#This Row],[Corrected Form '#
 (If Duplicated)]]="",Table2[[#This Row],[Form '#]],Table2[[#This Row],[Corrected Form '#
 (If Duplicated)]])</f>
        <v>7818-28207</v>
      </c>
      <c r="N1367" s="1" t="s">
        <v>49</v>
      </c>
      <c r="O1367" s="6" t="str">
        <f>IF(Table2[[#This Row],[POG CONFIRMATION RECEIPT OF ORDER
(DATE &amp; TIME)]]="","No Confirmation","Received Confirmation")</f>
        <v>Received Confirmation</v>
      </c>
      <c r="P1367" s="6">
        <f ca="1">TODAY()-Table2[[#This Row],[DATE SENT TO POG]]</f>
        <v>186</v>
      </c>
      <c r="Q1367" s="6" t="s">
        <v>5803</v>
      </c>
      <c r="R13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7" s="2" t="str">
        <f>_xlfn.XLOOKUP(Table2[[#This Row],[Adjusted Form '#]],'[2]IN PROGRESS'!$D:$D,'[2]IN PROGRESS'!$M:$M,"Not Found")</f>
        <v>Not Found</v>
      </c>
      <c r="U1367" s="2" t="str">
        <f>_xlfn.XLOOKUP(Table2[[#This Row],[Adjusted Form '#]],[1]COMPLETED!$D:$D,[2]COMPLETED!$M:$M,"Not Found")</f>
        <v>Not Found</v>
      </c>
      <c r="V1367" s="17" t="str">
        <f>_xlfn.XLOOKUP(Table2[[#This Row],[Adjusted Form '#]],[2]COMPLETED!$D:$D,[2]COMPLETED!$O:$O,"Not Found")</f>
        <v>Not Found</v>
      </c>
      <c r="W1367" s="2" t="str">
        <f>_xlfn.XLOOKUP(Table2[[#This Row],[Adjusted Form '#]],[2]BILLED!$D:$D,[2]BILLED!$M:$M,"Not Found")</f>
        <v>9402 1112 0620 9848 4845 59</v>
      </c>
      <c r="X1367" s="17" t="e">
        <f>_xlfn.XLOOKUP(Table2[[#This Row],[Adjusted Form '#]],[2]BILLED!$D:$D,[1]BILLED!$O:$O,"Not Found")</f>
        <v>#REF!</v>
      </c>
      <c r="Y1367" s="17" t="e">
        <f>_xlfn.XLOOKUP(Table2[[#This Row],[Adjusted Form '#]],'[2]REJECTED ORDERS'!$D:$D,'[2]REJECTED ORDERS'!$E:$E)</f>
        <v>#N/A</v>
      </c>
      <c r="Z1367" s="1"/>
      <c r="AA1367" s="1"/>
    </row>
    <row r="1368" spans="1:27" ht="15" customHeight="1" x14ac:dyDescent="0.35">
      <c r="A1368" s="4" t="s">
        <v>2042</v>
      </c>
      <c r="B1368" s="1" t="s">
        <v>953</v>
      </c>
      <c r="C1368" s="11">
        <v>45117</v>
      </c>
      <c r="D1368" s="11" t="s">
        <v>6338</v>
      </c>
      <c r="E1368" s="1" t="s">
        <v>21</v>
      </c>
      <c r="F1368" s="1" t="s">
        <v>6302</v>
      </c>
      <c r="G1368" s="6">
        <f>COUNTIF(F:F,Table2[[#This Row],[Form '#]])</f>
        <v>1</v>
      </c>
      <c r="H1368" s="1" t="s">
        <v>2049</v>
      </c>
      <c r="I1368" s="1" t="s">
        <v>3864</v>
      </c>
      <c r="J1368" s="1" t="s">
        <v>78</v>
      </c>
      <c r="K1368" s="1" t="s">
        <v>3879</v>
      </c>
      <c r="L1368" s="1"/>
      <c r="M1368" s="6" t="str">
        <f>IF(Table2[[#This Row],[Corrected Form '#
 (If Duplicated)]]="",Table2[[#This Row],[Form '#]],Table2[[#This Row],[Corrected Form '#
 (If Duplicated)]])</f>
        <v>7818-03128</v>
      </c>
      <c r="N1368" s="1" t="s">
        <v>49</v>
      </c>
      <c r="O1368" s="6" t="str">
        <f>IF(Table2[[#This Row],[POG CONFIRMATION RECEIPT OF ORDER
(DATE &amp; TIME)]]="","No Confirmation","Received Confirmation")</f>
        <v>Received Confirmation</v>
      </c>
      <c r="P1368" s="6">
        <f ca="1">TODAY()-Table2[[#This Row],[DATE SENT TO POG]]</f>
        <v>186</v>
      </c>
      <c r="Q1368" s="6" t="s">
        <v>5802</v>
      </c>
      <c r="R13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6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68" s="2" t="str">
        <f>_xlfn.XLOOKUP(Table2[[#This Row],[Adjusted Form '#]],'[2]IN PROGRESS'!$D:$D,'[2]IN PROGRESS'!$M:$M,"Not Found")</f>
        <v>Not Found</v>
      </c>
      <c r="U1368" s="2" t="str">
        <f>_xlfn.XLOOKUP(Table2[[#This Row],[Adjusted Form '#]],[1]COMPLETED!$D:$D,[2]COMPLETED!$M:$M,"Not Found")</f>
        <v>Not Found</v>
      </c>
      <c r="V1368" s="17" t="str">
        <f>_xlfn.XLOOKUP(Table2[[#This Row],[Adjusted Form '#]],[2]COMPLETED!$D:$D,[2]COMPLETED!$O:$O,"Not Found")</f>
        <v>Not Found</v>
      </c>
      <c r="W1368" s="2" t="str">
        <f>_xlfn.XLOOKUP(Table2[[#This Row],[Adjusted Form '#]],[2]BILLED!$D:$D,[2]BILLED!$M:$M,"Not Found")</f>
        <v>Not Found</v>
      </c>
      <c r="X1368" s="17" t="str">
        <f>_xlfn.XLOOKUP(Table2[[#This Row],[Adjusted Form '#]],[2]BILLED!$D:$D,[1]BILLED!$O:$O,"Not Found")</f>
        <v>Not Found</v>
      </c>
      <c r="Y1368" s="17" t="e">
        <f>_xlfn.XLOOKUP(Table2[[#This Row],[Adjusted Form '#]],'[2]REJECTED ORDERS'!$D:$D,'[2]REJECTED ORDERS'!$E:$E)</f>
        <v>#N/A</v>
      </c>
      <c r="Z1368" s="1"/>
      <c r="AA1368" s="1"/>
    </row>
    <row r="1369" spans="1:27" ht="15" customHeight="1" x14ac:dyDescent="0.35">
      <c r="A1369" s="4" t="s">
        <v>2043</v>
      </c>
      <c r="B1369" s="1" t="s">
        <v>2389</v>
      </c>
      <c r="C1369" s="11">
        <v>45117</v>
      </c>
      <c r="D1369" s="11" t="s">
        <v>6339</v>
      </c>
      <c r="E1369" s="1" t="s">
        <v>21</v>
      </c>
      <c r="F1369" s="1" t="s">
        <v>6303</v>
      </c>
      <c r="G1369" s="6">
        <f>COUNTIF(F:F,Table2[[#This Row],[Form '#]])</f>
        <v>1</v>
      </c>
      <c r="H1369" s="1" t="s">
        <v>6304</v>
      </c>
      <c r="I1369" s="1" t="s">
        <v>127</v>
      </c>
      <c r="J1369" s="1" t="s">
        <v>76</v>
      </c>
      <c r="K1369" s="1" t="s">
        <v>4011</v>
      </c>
      <c r="L1369" s="1"/>
      <c r="M1369" s="6" t="str">
        <f>IF(Table2[[#This Row],[Corrected Form '#
 (If Duplicated)]]="",Table2[[#This Row],[Form '#]],Table2[[#This Row],[Corrected Form '#
 (If Duplicated)]])</f>
        <v>7812-4019</v>
      </c>
      <c r="N1369" s="1" t="s">
        <v>49</v>
      </c>
      <c r="O1369" s="6" t="str">
        <f>IF(Table2[[#This Row],[POG CONFIRMATION RECEIPT OF ORDER
(DATE &amp; TIME)]]="","No Confirmation","Received Confirmation")</f>
        <v>Received Confirmation</v>
      </c>
      <c r="P1369" s="6">
        <f ca="1">TODAY()-Table2[[#This Row],[DATE SENT TO POG]]</f>
        <v>186</v>
      </c>
      <c r="Q1369" s="6" t="s">
        <v>5803</v>
      </c>
      <c r="R13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69" s="2" t="str">
        <f>_xlfn.XLOOKUP(Table2[[#This Row],[Adjusted Form '#]],'[2]IN PROGRESS'!$D:$D,'[2]IN PROGRESS'!$M:$M,"Not Found")</f>
        <v>Not Found</v>
      </c>
      <c r="U1369" s="2" t="str">
        <f>_xlfn.XLOOKUP(Table2[[#This Row],[Adjusted Form '#]],[1]COMPLETED!$D:$D,[2]COMPLETED!$M:$M,"Not Found")</f>
        <v>Not Found</v>
      </c>
      <c r="V1369" s="17" t="str">
        <f>_xlfn.XLOOKUP(Table2[[#This Row],[Adjusted Form '#]],[2]COMPLETED!$D:$D,[2]COMPLETED!$O:$O,"Not Found")</f>
        <v>Not Found</v>
      </c>
      <c r="W1369" s="2" t="str">
        <f>_xlfn.XLOOKUP(Table2[[#This Row],[Adjusted Form '#]],[2]BILLED!$D:$D,[2]BILLED!$M:$M,"Not Found")</f>
        <v>9400 1361 0605 3153 7458 52</v>
      </c>
      <c r="X1369" s="17" t="e">
        <f>_xlfn.XLOOKUP(Table2[[#This Row],[Adjusted Form '#]],[2]BILLED!$D:$D,[1]BILLED!$O:$O,"Not Found")</f>
        <v>#REF!</v>
      </c>
      <c r="Y1369" s="17" t="e">
        <f>_xlfn.XLOOKUP(Table2[[#This Row],[Adjusted Form '#]],'[2]REJECTED ORDERS'!$D:$D,'[2]REJECTED ORDERS'!$E:$E)</f>
        <v>#N/A</v>
      </c>
      <c r="Z1369" s="1"/>
      <c r="AA1369" s="1"/>
    </row>
    <row r="1370" spans="1:27" ht="15" customHeight="1" x14ac:dyDescent="0.35">
      <c r="A1370" s="4" t="s">
        <v>2045</v>
      </c>
      <c r="B1370" s="1" t="s">
        <v>4131</v>
      </c>
      <c r="C1370" s="11">
        <v>45117</v>
      </c>
      <c r="D1370" s="11" t="s">
        <v>6340</v>
      </c>
      <c r="E1370" s="1" t="s">
        <v>21</v>
      </c>
      <c r="F1370" s="1" t="s">
        <v>6305</v>
      </c>
      <c r="G1370" s="6">
        <f>COUNTIF(F:F,Table2[[#This Row],[Form '#]])</f>
        <v>1</v>
      </c>
      <c r="H1370" s="1" t="s">
        <v>2640</v>
      </c>
      <c r="I1370" s="1" t="s">
        <v>3864</v>
      </c>
      <c r="J1370" s="1" t="s">
        <v>78</v>
      </c>
      <c r="K1370" s="1" t="s">
        <v>3879</v>
      </c>
      <c r="L1370" s="1"/>
      <c r="M1370" s="6" t="str">
        <f>IF(Table2[[#This Row],[Corrected Form '#
 (If Duplicated)]]="",Table2[[#This Row],[Form '#]],Table2[[#This Row],[Corrected Form '#
 (If Duplicated)]])</f>
        <v>7818-00355</v>
      </c>
      <c r="N1370" s="1" t="s">
        <v>49</v>
      </c>
      <c r="O1370" s="6" t="str">
        <f>IF(Table2[[#This Row],[POG CONFIRMATION RECEIPT OF ORDER
(DATE &amp; TIME)]]="","No Confirmation","Received Confirmation")</f>
        <v>Received Confirmation</v>
      </c>
      <c r="P1370" s="6">
        <f ca="1">TODAY()-Table2[[#This Row],[DATE SENT TO POG]]</f>
        <v>186</v>
      </c>
      <c r="Q1370" s="6" t="s">
        <v>5802</v>
      </c>
      <c r="R13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7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70" s="2" t="str">
        <f>_xlfn.XLOOKUP(Table2[[#This Row],[Adjusted Form '#]],'[2]IN PROGRESS'!$D:$D,'[2]IN PROGRESS'!$M:$M,"Not Found")</f>
        <v>Not Found</v>
      </c>
      <c r="U1370" s="2" t="str">
        <f>_xlfn.XLOOKUP(Table2[[#This Row],[Adjusted Form '#]],[1]COMPLETED!$D:$D,[2]COMPLETED!$M:$M,"Not Found")</f>
        <v>Not Found</v>
      </c>
      <c r="V1370" s="17" t="str">
        <f>_xlfn.XLOOKUP(Table2[[#This Row],[Adjusted Form '#]],[2]COMPLETED!$D:$D,[2]COMPLETED!$O:$O,"Not Found")</f>
        <v>Not Found</v>
      </c>
      <c r="W1370" s="2" t="str">
        <f>_xlfn.XLOOKUP(Table2[[#This Row],[Adjusted Form '#]],[2]BILLED!$D:$D,[2]BILLED!$M:$M,"Not Found")</f>
        <v>Not Found</v>
      </c>
      <c r="X1370" s="17" t="str">
        <f>_xlfn.XLOOKUP(Table2[[#This Row],[Adjusted Form '#]],[2]BILLED!$D:$D,[1]BILLED!$O:$O,"Not Found")</f>
        <v>Not Found</v>
      </c>
      <c r="Y1370" s="17" t="e">
        <f>_xlfn.XLOOKUP(Table2[[#This Row],[Adjusted Form '#]],'[2]REJECTED ORDERS'!$D:$D,'[2]REJECTED ORDERS'!$E:$E)</f>
        <v>#N/A</v>
      </c>
      <c r="Z1370" s="1"/>
      <c r="AA1370" s="1"/>
    </row>
    <row r="1371" spans="1:27" ht="15" customHeight="1" x14ac:dyDescent="0.35">
      <c r="A1371" s="4" t="s">
        <v>2046</v>
      </c>
      <c r="B1371" s="1" t="s">
        <v>3762</v>
      </c>
      <c r="C1371" s="11">
        <v>45118</v>
      </c>
      <c r="D1371" s="11" t="s">
        <v>6341</v>
      </c>
      <c r="E1371" s="1" t="s">
        <v>21</v>
      </c>
      <c r="F1371" s="1" t="s">
        <v>6306</v>
      </c>
      <c r="G1371" s="6">
        <f>COUNTIF(F:F,Table2[[#This Row],[Form '#]])</f>
        <v>1</v>
      </c>
      <c r="H1371" s="1" t="s">
        <v>1945</v>
      </c>
      <c r="I1371" s="1" t="s">
        <v>28</v>
      </c>
      <c r="J1371" s="1" t="s">
        <v>69</v>
      </c>
      <c r="K1371" s="1" t="s">
        <v>4011</v>
      </c>
      <c r="L1371" s="1"/>
      <c r="M1371" s="6" t="str">
        <f>IF(Table2[[#This Row],[Corrected Form '#
 (If Duplicated)]]="",Table2[[#This Row],[Form '#]],Table2[[#This Row],[Corrected Form '#
 (If Duplicated)]])</f>
        <v>7818-21220</v>
      </c>
      <c r="N1371" s="1" t="s">
        <v>49</v>
      </c>
      <c r="O1371" s="6" t="str">
        <f>IF(Table2[[#This Row],[POG CONFIRMATION RECEIPT OF ORDER
(DATE &amp; TIME)]]="","No Confirmation","Received Confirmation")</f>
        <v>Received Confirmation</v>
      </c>
      <c r="P1371" s="6">
        <f ca="1">TODAY()-Table2[[#This Row],[DATE SENT TO POG]]</f>
        <v>185</v>
      </c>
      <c r="Q1371" s="6" t="s">
        <v>5803</v>
      </c>
      <c r="R13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71" s="2" t="str">
        <f>_xlfn.XLOOKUP(Table2[[#This Row],[Adjusted Form '#]],'[2]IN PROGRESS'!$D:$D,'[2]IN PROGRESS'!$M:$M,"Not Found")</f>
        <v>Not Found</v>
      </c>
      <c r="U1371" s="2" t="str">
        <f>_xlfn.XLOOKUP(Table2[[#This Row],[Adjusted Form '#]],[1]COMPLETED!$D:$D,[2]COMPLETED!$M:$M,"Not Found")</f>
        <v>Not Found</v>
      </c>
      <c r="V1371" s="17" t="str">
        <f>_xlfn.XLOOKUP(Table2[[#This Row],[Adjusted Form '#]],[2]COMPLETED!$D:$D,[2]COMPLETED!$O:$O,"Not Found")</f>
        <v>Not Found</v>
      </c>
      <c r="W1371" s="2" t="str">
        <f>_xlfn.XLOOKUP(Table2[[#This Row],[Adjusted Form '#]],[2]BILLED!$D:$D,[2]BILLED!$M:$M,"Not Found")</f>
        <v>9400 1361 0605 3123 9256 35</v>
      </c>
      <c r="X1371" s="17" t="e">
        <f>_xlfn.XLOOKUP(Table2[[#This Row],[Adjusted Form '#]],[2]BILLED!$D:$D,[1]BILLED!$O:$O,"Not Found")</f>
        <v>#REF!</v>
      </c>
      <c r="Y1371" s="17" t="e">
        <f>_xlfn.XLOOKUP(Table2[[#This Row],[Adjusted Form '#]],'[2]REJECTED ORDERS'!$D:$D,'[2]REJECTED ORDERS'!$E:$E)</f>
        <v>#N/A</v>
      </c>
      <c r="Z1371" s="1"/>
      <c r="AA1371" s="1"/>
    </row>
    <row r="1372" spans="1:27" ht="15" customHeight="1" x14ac:dyDescent="0.35">
      <c r="A1372" s="4" t="s">
        <v>2048</v>
      </c>
      <c r="B1372" s="1" t="s">
        <v>6307</v>
      </c>
      <c r="C1372" s="11">
        <v>45118</v>
      </c>
      <c r="D1372" s="11" t="s">
        <v>6342</v>
      </c>
      <c r="E1372" s="1" t="s">
        <v>191</v>
      </c>
      <c r="F1372" s="1" t="s">
        <v>6308</v>
      </c>
      <c r="G1372" s="6">
        <f>COUNTIF(F:F,Table2[[#This Row],[Form '#]])</f>
        <v>1</v>
      </c>
      <c r="H1372" s="1" t="s">
        <v>6309</v>
      </c>
      <c r="I1372" s="1" t="s">
        <v>127</v>
      </c>
      <c r="J1372" s="1" t="s">
        <v>76</v>
      </c>
      <c r="K1372" s="1" t="s">
        <v>3883</v>
      </c>
      <c r="L1372" s="1"/>
      <c r="M1372" s="6" t="str">
        <f>IF(Table2[[#This Row],[Corrected Form '#
 (If Duplicated)]]="",Table2[[#This Row],[Form '#]],Table2[[#This Row],[Corrected Form '#
 (If Duplicated)]])</f>
        <v>7812-03020</v>
      </c>
      <c r="N1372" s="1" t="s">
        <v>49</v>
      </c>
      <c r="O1372" s="6" t="str">
        <f>IF(Table2[[#This Row],[POG CONFIRMATION RECEIPT OF ORDER
(DATE &amp; TIME)]]="","No Confirmation","Received Confirmation")</f>
        <v>Received Confirmation</v>
      </c>
      <c r="P1372" s="6">
        <f ca="1">TODAY()-Table2[[#This Row],[DATE SENT TO POG]]</f>
        <v>185</v>
      </c>
      <c r="Q1372" s="6" t="s">
        <v>5803</v>
      </c>
      <c r="R13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72" s="2" t="str">
        <f>_xlfn.XLOOKUP(Table2[[#This Row],[Adjusted Form '#]],'[2]IN PROGRESS'!$D:$D,'[2]IN PROGRESS'!$M:$M,"Not Found")</f>
        <v>Not Found</v>
      </c>
      <c r="U1372" s="2" t="str">
        <f>_xlfn.XLOOKUP(Table2[[#This Row],[Adjusted Form '#]],[1]COMPLETED!$D:$D,[2]COMPLETED!$M:$M,"Not Found")</f>
        <v>Not Found</v>
      </c>
      <c r="V1372" s="17" t="str">
        <f>_xlfn.XLOOKUP(Table2[[#This Row],[Adjusted Form '#]],[2]COMPLETED!$D:$D,[2]COMPLETED!$O:$O,"Not Found")</f>
        <v>Not Found</v>
      </c>
      <c r="W1372" s="2" t="str">
        <f>_xlfn.XLOOKUP(Table2[[#This Row],[Adjusted Form '#]],[2]BILLED!$D:$D,[2]BILLED!$M:$M,"Not Found")</f>
        <v>9400 1361 0605 3118 1206 63</v>
      </c>
      <c r="X1372" s="17" t="e">
        <f>_xlfn.XLOOKUP(Table2[[#This Row],[Adjusted Form '#]],[2]BILLED!$D:$D,[1]BILLED!$O:$O,"Not Found")</f>
        <v>#REF!</v>
      </c>
      <c r="Y1372" s="17" t="e">
        <f>_xlfn.XLOOKUP(Table2[[#This Row],[Adjusted Form '#]],'[2]REJECTED ORDERS'!$D:$D,'[2]REJECTED ORDERS'!$E:$E)</f>
        <v>#N/A</v>
      </c>
      <c r="Z1372" s="1"/>
      <c r="AA1372" s="1"/>
    </row>
    <row r="1373" spans="1:27" ht="15" customHeight="1" x14ac:dyDescent="0.35">
      <c r="A1373" s="4" t="s">
        <v>2050</v>
      </c>
      <c r="B1373" s="1" t="s">
        <v>697</v>
      </c>
      <c r="C1373" s="11">
        <v>45118</v>
      </c>
      <c r="D1373" s="11" t="s">
        <v>6342</v>
      </c>
      <c r="E1373" s="1" t="s">
        <v>14</v>
      </c>
      <c r="F1373" s="1" t="s">
        <v>6310</v>
      </c>
      <c r="G1373" s="6">
        <f>COUNTIF(F:F,Table2[[#This Row],[Form '#]])</f>
        <v>1</v>
      </c>
      <c r="H1373" s="1" t="s">
        <v>1494</v>
      </c>
      <c r="I1373" s="1" t="s">
        <v>758</v>
      </c>
      <c r="J1373" s="1" t="s">
        <v>78</v>
      </c>
      <c r="K1373" s="1" t="s">
        <v>4430</v>
      </c>
      <c r="L1373" s="1"/>
      <c r="M1373" s="6" t="str">
        <f>IF(Table2[[#This Row],[Corrected Form '#
 (If Duplicated)]]="",Table2[[#This Row],[Form '#]],Table2[[#This Row],[Corrected Form '#
 (If Duplicated)]])</f>
        <v>7810-02232</v>
      </c>
      <c r="N1373" s="1" t="s">
        <v>49</v>
      </c>
      <c r="O1373" s="6" t="str">
        <f>IF(Table2[[#This Row],[POG CONFIRMATION RECEIPT OF ORDER
(DATE &amp; TIME)]]="","No Confirmation","Received Confirmation")</f>
        <v>Received Confirmation</v>
      </c>
      <c r="P1373" s="6">
        <f ca="1">TODAY()-Table2[[#This Row],[DATE SENT TO POG]]</f>
        <v>185</v>
      </c>
      <c r="Q1373" s="6" t="s">
        <v>5803</v>
      </c>
      <c r="R13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73" s="2" t="str">
        <f>_xlfn.XLOOKUP(Table2[[#This Row],[Adjusted Form '#]],'[2]IN PROGRESS'!$D:$D,'[2]IN PROGRESS'!$M:$M,"Not Found")</f>
        <v>Not Found</v>
      </c>
      <c r="U1373" s="2" t="str">
        <f>_xlfn.XLOOKUP(Table2[[#This Row],[Adjusted Form '#]],[1]COMPLETED!$D:$D,[2]COMPLETED!$M:$M,"Not Found")</f>
        <v>Not Found</v>
      </c>
      <c r="V1373" s="17" t="str">
        <f>_xlfn.XLOOKUP(Table2[[#This Row],[Adjusted Form '#]],[2]COMPLETED!$D:$D,[2]COMPLETED!$O:$O,"Not Found")</f>
        <v>Not Found</v>
      </c>
      <c r="W1373" s="2" t="str">
        <f>_xlfn.XLOOKUP(Table2[[#This Row],[Adjusted Form '#]],[2]BILLED!$D:$D,[2]BILLED!$M:$M,"Not Found")</f>
        <v>9400 1361 0605 3151 7371 87</v>
      </c>
      <c r="X1373" s="17" t="e">
        <f>_xlfn.XLOOKUP(Table2[[#This Row],[Adjusted Form '#]],[2]BILLED!$D:$D,[1]BILLED!$O:$O,"Not Found")</f>
        <v>#REF!</v>
      </c>
      <c r="Y1373" s="17" t="e">
        <f>_xlfn.XLOOKUP(Table2[[#This Row],[Adjusted Form '#]],'[2]REJECTED ORDERS'!$D:$D,'[2]REJECTED ORDERS'!$E:$E)</f>
        <v>#N/A</v>
      </c>
      <c r="Z1373" s="1"/>
      <c r="AA1373" s="1"/>
    </row>
    <row r="1374" spans="1:27" ht="15" customHeight="1" x14ac:dyDescent="0.35">
      <c r="A1374" s="4" t="s">
        <v>2051</v>
      </c>
      <c r="B1374" s="1" t="s">
        <v>3410</v>
      </c>
      <c r="C1374" s="11">
        <v>45118</v>
      </c>
      <c r="D1374" s="11" t="s">
        <v>6342</v>
      </c>
      <c r="E1374" s="1" t="s">
        <v>191</v>
      </c>
      <c r="F1374" s="1" t="s">
        <v>6311</v>
      </c>
      <c r="G1374" s="6">
        <f>COUNTIF(F:F,Table2[[#This Row],[Form '#]])</f>
        <v>1</v>
      </c>
      <c r="H1374" s="1" t="s">
        <v>2060</v>
      </c>
      <c r="I1374" s="1" t="s">
        <v>127</v>
      </c>
      <c r="J1374" s="1" t="s">
        <v>76</v>
      </c>
      <c r="K1374" s="1" t="s">
        <v>3883</v>
      </c>
      <c r="L1374" s="1"/>
      <c r="M1374" s="6" t="str">
        <f>IF(Table2[[#This Row],[Corrected Form '#
 (If Duplicated)]]="",Table2[[#This Row],[Form '#]],Table2[[#This Row],[Corrected Form '#
 (If Duplicated)]])</f>
        <v>7812-05887</v>
      </c>
      <c r="N1374" s="1" t="s">
        <v>49</v>
      </c>
      <c r="O1374" s="6" t="str">
        <f>IF(Table2[[#This Row],[POG CONFIRMATION RECEIPT OF ORDER
(DATE &amp; TIME)]]="","No Confirmation","Received Confirmation")</f>
        <v>Received Confirmation</v>
      </c>
      <c r="P1374" s="6">
        <f ca="1">TODAY()-Table2[[#This Row],[DATE SENT TO POG]]</f>
        <v>185</v>
      </c>
      <c r="Q1374" s="6" t="s">
        <v>5802</v>
      </c>
      <c r="R13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7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74" s="2" t="str">
        <f>_xlfn.XLOOKUP(Table2[[#This Row],[Adjusted Form '#]],'[2]IN PROGRESS'!$D:$D,'[2]IN PROGRESS'!$M:$M,"Not Found")</f>
        <v>Not Found</v>
      </c>
      <c r="U1374" s="2" t="str">
        <f>_xlfn.XLOOKUP(Table2[[#This Row],[Adjusted Form '#]],[1]COMPLETED!$D:$D,[2]COMPLETED!$M:$M,"Not Found")</f>
        <v>Not Found</v>
      </c>
      <c r="V1374" s="17" t="str">
        <f>_xlfn.XLOOKUP(Table2[[#This Row],[Adjusted Form '#]],[2]COMPLETED!$D:$D,[2]COMPLETED!$O:$O,"Not Found")</f>
        <v>Not Found</v>
      </c>
      <c r="W1374" s="2" t="str">
        <f>_xlfn.XLOOKUP(Table2[[#This Row],[Adjusted Form '#]],[2]BILLED!$D:$D,[2]BILLED!$M:$M,"Not Found")</f>
        <v>Not Found</v>
      </c>
      <c r="X1374" s="17" t="str">
        <f>_xlfn.XLOOKUP(Table2[[#This Row],[Adjusted Form '#]],[2]BILLED!$D:$D,[1]BILLED!$O:$O,"Not Found")</f>
        <v>Not Found</v>
      </c>
      <c r="Y1374" s="17" t="e">
        <f>_xlfn.XLOOKUP(Table2[[#This Row],[Adjusted Form '#]],'[2]REJECTED ORDERS'!$D:$D,'[2]REJECTED ORDERS'!$E:$E)</f>
        <v>#N/A</v>
      </c>
      <c r="Z1374" s="1"/>
      <c r="AA1374" s="1"/>
    </row>
    <row r="1375" spans="1:27" ht="15" customHeight="1" x14ac:dyDescent="0.35">
      <c r="A1375" s="4" t="s">
        <v>2052</v>
      </c>
      <c r="B1375" s="1" t="s">
        <v>1166</v>
      </c>
      <c r="C1375" s="11">
        <v>45118</v>
      </c>
      <c r="D1375" s="11" t="s">
        <v>6343</v>
      </c>
      <c r="E1375" s="1" t="s">
        <v>73</v>
      </c>
      <c r="F1375" s="1" t="s">
        <v>6347</v>
      </c>
      <c r="G1375" s="6">
        <f>COUNTIF(F:F,Table2[[#This Row],[Form '#]])</f>
        <v>1</v>
      </c>
      <c r="H1375" s="1" t="s">
        <v>6348</v>
      </c>
      <c r="I1375" s="1" t="s">
        <v>106</v>
      </c>
      <c r="J1375" s="1" t="s">
        <v>3891</v>
      </c>
      <c r="K1375" s="1" t="s">
        <v>3891</v>
      </c>
      <c r="L1375" s="1"/>
      <c r="M1375" s="6" t="str">
        <f>IF(Table2[[#This Row],[Corrected Form '#
 (If Duplicated)]]="",Table2[[#This Row],[Form '#]],Table2[[#This Row],[Corrected Form '#
 (If Duplicated)]])</f>
        <v>7823-02905</v>
      </c>
      <c r="N1375" s="1"/>
      <c r="O1375" s="6" t="str">
        <f>IF(Table2[[#This Row],[POG CONFIRMATION RECEIPT OF ORDER
(DATE &amp; TIME)]]="","No Confirmation","Received Confirmation")</f>
        <v>Received Confirmation</v>
      </c>
      <c r="P1375" s="6">
        <f ca="1">TODAY()-Table2[[#This Row],[DATE SENT TO POG]]</f>
        <v>185</v>
      </c>
      <c r="Q1375" s="6" t="s">
        <v>5803</v>
      </c>
      <c r="R13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75" s="2" t="str">
        <f>_xlfn.XLOOKUP(Table2[[#This Row],[Adjusted Form '#]],'[2]IN PROGRESS'!$D:$D,'[2]IN PROGRESS'!$M:$M,"Not Found")</f>
        <v>Not Found</v>
      </c>
      <c r="U1375" s="2" t="str">
        <f>_xlfn.XLOOKUP(Table2[[#This Row],[Adjusted Form '#]],[1]COMPLETED!$D:$D,[2]COMPLETED!$M:$M,"Not Found")</f>
        <v>Not Found</v>
      </c>
      <c r="V1375" s="17">
        <f>_xlfn.XLOOKUP(Table2[[#This Row],[Adjusted Form '#]],[2]COMPLETED!$D:$D,[2]COMPLETED!$O:$O,"Not Found")</f>
        <v>0</v>
      </c>
      <c r="W1375" s="2" t="str">
        <f>_xlfn.XLOOKUP(Table2[[#This Row],[Adjusted Form '#]],[2]BILLED!$D:$D,[2]BILLED!$M:$M,"Not Found")</f>
        <v>9400 1112 0620 9461 8274 52</v>
      </c>
      <c r="X1375" s="17" t="e">
        <f>_xlfn.XLOOKUP(Table2[[#This Row],[Adjusted Form '#]],[2]BILLED!$D:$D,[1]BILLED!$O:$O,"Not Found")</f>
        <v>#REF!</v>
      </c>
      <c r="Y1375" s="17" t="e">
        <f>_xlfn.XLOOKUP(Table2[[#This Row],[Adjusted Form '#]],'[2]REJECTED ORDERS'!$D:$D,'[2]REJECTED ORDERS'!$E:$E)</f>
        <v>#N/A</v>
      </c>
      <c r="Z1375" s="1"/>
      <c r="AA1375" s="1"/>
    </row>
    <row r="1376" spans="1:27" ht="15" customHeight="1" x14ac:dyDescent="0.35">
      <c r="A1376" s="4" t="s">
        <v>2054</v>
      </c>
      <c r="B1376" s="1" t="s">
        <v>2682</v>
      </c>
      <c r="C1376" s="11">
        <v>45119</v>
      </c>
      <c r="D1376" s="11" t="s">
        <v>6344</v>
      </c>
      <c r="E1376" s="1" t="s">
        <v>73</v>
      </c>
      <c r="F1376" s="1" t="s">
        <v>6312</v>
      </c>
      <c r="G1376" s="6">
        <f>COUNTIF(F:F,Table2[[#This Row],[Form '#]])</f>
        <v>1</v>
      </c>
      <c r="H1376" s="1" t="s">
        <v>6313</v>
      </c>
      <c r="I1376" s="1" t="s">
        <v>3864</v>
      </c>
      <c r="J1376" s="1" t="s">
        <v>78</v>
      </c>
      <c r="K1376" s="1" t="s">
        <v>3879</v>
      </c>
      <c r="L1376" s="1"/>
      <c r="M1376" s="6" t="str">
        <f>IF(Table2[[#This Row],[Corrected Form '#
 (If Duplicated)]]="",Table2[[#This Row],[Form '#]],Table2[[#This Row],[Corrected Form '#
 (If Duplicated)]])</f>
        <v>7823-03335</v>
      </c>
      <c r="N1376" s="1" t="s">
        <v>49</v>
      </c>
      <c r="O1376" s="6" t="str">
        <f>IF(Table2[[#This Row],[POG CONFIRMATION RECEIPT OF ORDER
(DATE &amp; TIME)]]="","No Confirmation","Received Confirmation")</f>
        <v>Received Confirmation</v>
      </c>
      <c r="P1376" s="6">
        <f ca="1">TODAY()-Table2[[#This Row],[DATE SENT TO POG]]</f>
        <v>184</v>
      </c>
      <c r="Q1376" s="6" t="s">
        <v>5803</v>
      </c>
      <c r="R13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76" s="2" t="str">
        <f>_xlfn.XLOOKUP(Table2[[#This Row],[Adjusted Form '#]],'[2]IN PROGRESS'!$D:$D,'[2]IN PROGRESS'!$M:$M,"Not Found")</f>
        <v>Not Found</v>
      </c>
      <c r="U1376" s="2" t="str">
        <f>_xlfn.XLOOKUP(Table2[[#This Row],[Adjusted Form '#]],[1]COMPLETED!$D:$D,[2]COMPLETED!$M:$M,"Not Found")</f>
        <v>Not Found</v>
      </c>
      <c r="V1376" s="17" t="str">
        <f>_xlfn.XLOOKUP(Table2[[#This Row],[Adjusted Form '#]],[2]COMPLETED!$D:$D,[2]COMPLETED!$O:$O,"Not Found")</f>
        <v>Not Found</v>
      </c>
      <c r="W1376" s="2" t="str">
        <f>_xlfn.XLOOKUP(Table2[[#This Row],[Adjusted Form '#]],[2]BILLED!$D:$D,[2]BILLED!$M:$M,"Not Found")</f>
        <v>9400 1361 0605 3150 3388 35</v>
      </c>
      <c r="X1376" s="17" t="e">
        <f>_xlfn.XLOOKUP(Table2[[#This Row],[Adjusted Form '#]],[2]BILLED!$D:$D,[1]BILLED!$O:$O,"Not Found")</f>
        <v>#REF!</v>
      </c>
      <c r="Y1376" s="17" t="e">
        <f>_xlfn.XLOOKUP(Table2[[#This Row],[Adjusted Form '#]],'[2]REJECTED ORDERS'!$D:$D,'[2]REJECTED ORDERS'!$E:$E)</f>
        <v>#N/A</v>
      </c>
      <c r="Z1376" s="1"/>
      <c r="AA1376" s="1"/>
    </row>
    <row r="1377" spans="1:27" ht="15" customHeight="1" x14ac:dyDescent="0.35">
      <c r="A1377" s="4" t="s">
        <v>2055</v>
      </c>
      <c r="B1377" s="1" t="s">
        <v>6314</v>
      </c>
      <c r="C1377" s="11">
        <v>45119</v>
      </c>
      <c r="D1377" s="11" t="s">
        <v>6344</v>
      </c>
      <c r="E1377" s="1" t="s">
        <v>21</v>
      </c>
      <c r="F1377" s="1" t="s">
        <v>6315</v>
      </c>
      <c r="G1377" s="6">
        <f>COUNTIF(F:F,Table2[[#This Row],[Form '#]])</f>
        <v>1</v>
      </c>
      <c r="H1377" s="1" t="s">
        <v>6316</v>
      </c>
      <c r="I1377" s="1" t="s">
        <v>3852</v>
      </c>
      <c r="J1377" s="1" t="s">
        <v>80</v>
      </c>
      <c r="K1377" s="1" t="s">
        <v>3853</v>
      </c>
      <c r="L1377" s="1"/>
      <c r="M1377" s="6" t="str">
        <f>IF(Table2[[#This Row],[Corrected Form '#
 (If Duplicated)]]="",Table2[[#This Row],[Form '#]],Table2[[#This Row],[Corrected Form '#
 (If Duplicated)]])</f>
        <v>7818-19300</v>
      </c>
      <c r="N1377" s="1" t="s">
        <v>49</v>
      </c>
      <c r="O1377" s="6" t="str">
        <f>IF(Table2[[#This Row],[POG CONFIRMATION RECEIPT OF ORDER
(DATE &amp; TIME)]]="","No Confirmation","Received Confirmation")</f>
        <v>Received Confirmation</v>
      </c>
      <c r="P1377" s="6">
        <f ca="1">TODAY()-Table2[[#This Row],[DATE SENT TO POG]]</f>
        <v>184</v>
      </c>
      <c r="Q1377" s="6" t="s">
        <v>5803</v>
      </c>
      <c r="R13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77" s="2" t="str">
        <f>_xlfn.XLOOKUP(Table2[[#This Row],[Adjusted Form '#]],'[2]IN PROGRESS'!$D:$D,'[2]IN PROGRESS'!$M:$M,"Not Found")</f>
        <v>Not Found</v>
      </c>
      <c r="U1377" s="2" t="str">
        <f>_xlfn.XLOOKUP(Table2[[#This Row],[Adjusted Form '#]],[1]COMPLETED!$D:$D,[2]COMPLETED!$M:$M,"Not Found")</f>
        <v>Not Found</v>
      </c>
      <c r="V1377" s="17" t="str">
        <f>_xlfn.XLOOKUP(Table2[[#This Row],[Adjusted Form '#]],[2]COMPLETED!$D:$D,[2]COMPLETED!$O:$O,"Not Found")</f>
        <v>Not Found</v>
      </c>
      <c r="W1377" s="2" t="str">
        <f>_xlfn.XLOOKUP(Table2[[#This Row],[Adjusted Form '#]],[2]BILLED!$D:$D,[2]BILLED!$M:$M,"Not Found")</f>
        <v>9402 1112 0620 9492 6079 39</v>
      </c>
      <c r="X1377" s="17" t="e">
        <f>_xlfn.XLOOKUP(Table2[[#This Row],[Adjusted Form '#]],[2]BILLED!$D:$D,[1]BILLED!$O:$O,"Not Found")</f>
        <v>#REF!</v>
      </c>
      <c r="Y1377" s="17" t="e">
        <f>_xlfn.XLOOKUP(Table2[[#This Row],[Adjusted Form '#]],'[2]REJECTED ORDERS'!$D:$D,'[2]REJECTED ORDERS'!$E:$E)</f>
        <v>#N/A</v>
      </c>
      <c r="Z1377" s="1"/>
      <c r="AA1377" s="1"/>
    </row>
    <row r="1378" spans="1:27" ht="15" customHeight="1" x14ac:dyDescent="0.35">
      <c r="A1378" s="4" t="s">
        <v>2056</v>
      </c>
      <c r="B1378" s="1" t="s">
        <v>6314</v>
      </c>
      <c r="C1378" s="11">
        <v>45119</v>
      </c>
      <c r="D1378" s="11" t="s">
        <v>6344</v>
      </c>
      <c r="E1378" s="1" t="s">
        <v>21</v>
      </c>
      <c r="F1378" s="1" t="s">
        <v>6317</v>
      </c>
      <c r="G1378" s="6">
        <f>COUNTIF(F:F,Table2[[#This Row],[Form '#]])</f>
        <v>1</v>
      </c>
      <c r="H1378" s="1" t="s">
        <v>6318</v>
      </c>
      <c r="I1378" s="1" t="s">
        <v>3852</v>
      </c>
      <c r="J1378" s="1" t="s">
        <v>80</v>
      </c>
      <c r="K1378" s="1" t="s">
        <v>3853</v>
      </c>
      <c r="L1378" s="1"/>
      <c r="M1378" s="6" t="str">
        <f>IF(Table2[[#This Row],[Corrected Form '#
 (If Duplicated)]]="",Table2[[#This Row],[Form '#]],Table2[[#This Row],[Corrected Form '#
 (If Duplicated)]])</f>
        <v>7818-26845</v>
      </c>
      <c r="N1378" s="1" t="s">
        <v>49</v>
      </c>
      <c r="O1378" s="6" t="str">
        <f>IF(Table2[[#This Row],[POG CONFIRMATION RECEIPT OF ORDER
(DATE &amp; TIME)]]="","No Confirmation","Received Confirmation")</f>
        <v>Received Confirmation</v>
      </c>
      <c r="P1378" s="6">
        <f ca="1">TODAY()-Table2[[#This Row],[DATE SENT TO POG]]</f>
        <v>184</v>
      </c>
      <c r="Q1378" s="6" t="s">
        <v>5803</v>
      </c>
      <c r="R13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78" s="2" t="str">
        <f>_xlfn.XLOOKUP(Table2[[#This Row],[Adjusted Form '#]],'[2]IN PROGRESS'!$D:$D,'[2]IN PROGRESS'!$M:$M,"Not Found")</f>
        <v>Not Found</v>
      </c>
      <c r="U1378" s="2" t="str">
        <f>_xlfn.XLOOKUP(Table2[[#This Row],[Adjusted Form '#]],[1]COMPLETED!$D:$D,[2]COMPLETED!$M:$M,"Not Found")</f>
        <v>Not Found</v>
      </c>
      <c r="V1378" s="17" t="str">
        <f>_xlfn.XLOOKUP(Table2[[#This Row],[Adjusted Form '#]],[2]COMPLETED!$D:$D,[2]COMPLETED!$O:$O,"Not Found")</f>
        <v>Not Found</v>
      </c>
      <c r="W1378" s="2" t="str">
        <f>_xlfn.XLOOKUP(Table2[[#This Row],[Adjusted Form '#]],[2]BILLED!$D:$D,[2]BILLED!$M:$M,"Not Found")</f>
        <v>9402 1112 0620 9848 6455 47</v>
      </c>
      <c r="X1378" s="17" t="e">
        <f>_xlfn.XLOOKUP(Table2[[#This Row],[Adjusted Form '#]],[2]BILLED!$D:$D,[1]BILLED!$O:$O,"Not Found")</f>
        <v>#REF!</v>
      </c>
      <c r="Y1378" s="17" t="e">
        <f>_xlfn.XLOOKUP(Table2[[#This Row],[Adjusted Form '#]],'[2]REJECTED ORDERS'!$D:$D,'[2]REJECTED ORDERS'!$E:$E)</f>
        <v>#N/A</v>
      </c>
      <c r="Z1378" s="1"/>
      <c r="AA1378" s="1"/>
    </row>
    <row r="1379" spans="1:27" ht="15" customHeight="1" x14ac:dyDescent="0.35">
      <c r="A1379" s="4" t="s">
        <v>2057</v>
      </c>
      <c r="B1379" s="1" t="s">
        <v>6314</v>
      </c>
      <c r="C1379" s="11">
        <v>45119</v>
      </c>
      <c r="D1379" s="11" t="s">
        <v>6344</v>
      </c>
      <c r="E1379" s="1" t="s">
        <v>21</v>
      </c>
      <c r="F1379" s="1" t="s">
        <v>6319</v>
      </c>
      <c r="G1379" s="6">
        <f>COUNTIF(F:F,Table2[[#This Row],[Form '#]])</f>
        <v>1</v>
      </c>
      <c r="H1379" s="1" t="s">
        <v>6320</v>
      </c>
      <c r="I1379" s="1" t="s">
        <v>3891</v>
      </c>
      <c r="J1379" s="1" t="s">
        <v>3891</v>
      </c>
      <c r="K1379" s="1" t="s">
        <v>3891</v>
      </c>
      <c r="L1379" s="1"/>
      <c r="M1379" s="6" t="str">
        <f>IF(Table2[[#This Row],[Corrected Form '#
 (If Duplicated)]]="",Table2[[#This Row],[Form '#]],Table2[[#This Row],[Corrected Form '#
 (If Duplicated)]])</f>
        <v>7818-26835</v>
      </c>
      <c r="N1379" s="1" t="s">
        <v>49</v>
      </c>
      <c r="O1379" s="6" t="str">
        <f>IF(Table2[[#This Row],[POG CONFIRMATION RECEIPT OF ORDER
(DATE &amp; TIME)]]="","No Confirmation","Received Confirmation")</f>
        <v>Received Confirmation</v>
      </c>
      <c r="P1379" s="6">
        <f ca="1">TODAY()-Table2[[#This Row],[DATE SENT TO POG]]</f>
        <v>184</v>
      </c>
      <c r="Q1379" s="6" t="s">
        <v>5803</v>
      </c>
      <c r="R13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37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379" s="2" t="str">
        <f>_xlfn.XLOOKUP(Table2[[#This Row],[Adjusted Form '#]],'[2]IN PROGRESS'!$D:$D,'[2]IN PROGRESS'!$M:$M,"Not Found")</f>
        <v>Not Found</v>
      </c>
      <c r="U1379" s="2" t="str">
        <f>_xlfn.XLOOKUP(Table2[[#This Row],[Adjusted Form '#]],[1]COMPLETED!$D:$D,[2]COMPLETED!$M:$M,"Not Found")</f>
        <v>Not Found</v>
      </c>
      <c r="V1379" s="17">
        <f>_xlfn.XLOOKUP(Table2[[#This Row],[Adjusted Form '#]],[2]COMPLETED!$D:$D,[2]COMPLETED!$O:$O,"Not Found")</f>
        <v>0</v>
      </c>
      <c r="W1379" s="2" t="str">
        <f>_xlfn.XLOOKUP(Table2[[#This Row],[Adjusted Form '#]],[2]BILLED!$D:$D,[2]BILLED!$M:$M,"Not Found")</f>
        <v>Not Found</v>
      </c>
      <c r="X1379" s="17" t="str">
        <f>_xlfn.XLOOKUP(Table2[[#This Row],[Adjusted Form '#]],[2]BILLED!$D:$D,[1]BILLED!$O:$O,"Not Found")</f>
        <v>Not Found</v>
      </c>
      <c r="Y1379" s="17" t="e">
        <f>_xlfn.XLOOKUP(Table2[[#This Row],[Adjusted Form '#]],'[2]REJECTED ORDERS'!$D:$D,'[2]REJECTED ORDERS'!$E:$E)</f>
        <v>#N/A</v>
      </c>
      <c r="Z1379" s="1"/>
      <c r="AA1379" s="1"/>
    </row>
    <row r="1380" spans="1:27" ht="15" customHeight="1" x14ac:dyDescent="0.35">
      <c r="A1380" s="4" t="s">
        <v>2058</v>
      </c>
      <c r="B1380" s="1" t="s">
        <v>1289</v>
      </c>
      <c r="C1380" s="11">
        <v>45119</v>
      </c>
      <c r="D1380" s="11" t="s">
        <v>6345</v>
      </c>
      <c r="E1380" s="1" t="s">
        <v>14</v>
      </c>
      <c r="F1380" s="1" t="s">
        <v>6321</v>
      </c>
      <c r="G1380" s="6">
        <f>COUNTIF(F:F,Table2[[#This Row],[Form '#]])</f>
        <v>2</v>
      </c>
      <c r="H1380" s="1" t="s">
        <v>1108</v>
      </c>
      <c r="I1380" s="1" t="s">
        <v>28</v>
      </c>
      <c r="J1380" s="1" t="s">
        <v>69</v>
      </c>
      <c r="K1380" s="1" t="s">
        <v>4631</v>
      </c>
      <c r="L1380" s="1"/>
      <c r="M1380" s="6" t="str">
        <f>IF(Table2[[#This Row],[Corrected Form '#
 (If Duplicated)]]="",Table2[[#This Row],[Form '#]],Table2[[#This Row],[Corrected Form '#
 (If Duplicated)]])</f>
        <v>7810-02111</v>
      </c>
      <c r="N1380" s="1" t="s">
        <v>49</v>
      </c>
      <c r="O1380" s="6" t="str">
        <f>IF(Table2[[#This Row],[POG CONFIRMATION RECEIPT OF ORDER
(DATE &amp; TIME)]]="","No Confirmation","Received Confirmation")</f>
        <v>Received Confirmation</v>
      </c>
      <c r="P1380" s="6">
        <f ca="1">TODAY()-Table2[[#This Row],[DATE SENT TO POG]]</f>
        <v>184</v>
      </c>
      <c r="Q1380" s="6" t="s">
        <v>5803</v>
      </c>
      <c r="R13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0" s="2" t="str">
        <f>_xlfn.XLOOKUP(Table2[[#This Row],[Adjusted Form '#]],'[2]IN PROGRESS'!$D:$D,'[2]IN PROGRESS'!$M:$M,"Not Found")</f>
        <v>Not Found</v>
      </c>
      <c r="U1380" s="2" t="str">
        <f>_xlfn.XLOOKUP(Table2[[#This Row],[Adjusted Form '#]],[1]COMPLETED!$D:$D,[2]COMPLETED!$M:$M,"Not Found")</f>
        <v>Not Found</v>
      </c>
      <c r="V1380" s="17" t="str">
        <f>_xlfn.XLOOKUP(Table2[[#This Row],[Adjusted Form '#]],[2]COMPLETED!$D:$D,[2]COMPLETED!$O:$O,"Not Found")</f>
        <v>Not Found</v>
      </c>
      <c r="W1380" s="2" t="str">
        <f>_xlfn.XLOOKUP(Table2[[#This Row],[Adjusted Form '#]],[2]BILLED!$D:$D,[2]BILLED!$M:$M,"Not Found")</f>
        <v>9400 1361 0605 3123 9420 69</v>
      </c>
      <c r="X1380" s="17" t="e">
        <f>_xlfn.XLOOKUP(Table2[[#This Row],[Adjusted Form '#]],[2]BILLED!$D:$D,[1]BILLED!$O:$O,"Not Found")</f>
        <v>#REF!</v>
      </c>
      <c r="Y1380" s="17" t="str">
        <f>_xlfn.XLOOKUP(Table2[[#This Row],[Adjusted Form '#]],'[2]REJECTED ORDERS'!$D:$D,'[2]REJECTED ORDERS'!$E:$E)</f>
        <v>FORM NUMBER ALREADY USED</v>
      </c>
      <c r="Z1380" s="1"/>
      <c r="AA1380" s="1"/>
    </row>
    <row r="1381" spans="1:27" ht="15" customHeight="1" x14ac:dyDescent="0.35">
      <c r="A1381" s="4" t="s">
        <v>2059</v>
      </c>
      <c r="B1381" s="1" t="s">
        <v>1305</v>
      </c>
      <c r="C1381" s="11">
        <v>45119</v>
      </c>
      <c r="D1381" s="11" t="s">
        <v>6324</v>
      </c>
      <c r="E1381" s="1" t="s">
        <v>191</v>
      </c>
      <c r="F1381" s="1" t="s">
        <v>6322</v>
      </c>
      <c r="G1381" s="6">
        <f>COUNTIF(F:F,Table2[[#This Row],[Form '#]])</f>
        <v>1</v>
      </c>
      <c r="H1381" s="1" t="s">
        <v>6323</v>
      </c>
      <c r="I1381" s="1" t="s">
        <v>3852</v>
      </c>
      <c r="J1381" s="1" t="s">
        <v>80</v>
      </c>
      <c r="K1381" s="1" t="s">
        <v>3853</v>
      </c>
      <c r="L1381" s="1"/>
      <c r="M1381" s="6" t="str">
        <f>IF(Table2[[#This Row],[Corrected Form '#
 (If Duplicated)]]="",Table2[[#This Row],[Form '#]],Table2[[#This Row],[Corrected Form '#
 (If Duplicated)]])</f>
        <v>7812-02092</v>
      </c>
      <c r="N1381" s="1" t="s">
        <v>49</v>
      </c>
      <c r="O1381" s="6" t="str">
        <f>IF(Table2[[#This Row],[POG CONFIRMATION RECEIPT OF ORDER
(DATE &amp; TIME)]]="","No Confirmation","Received Confirmation")</f>
        <v>Received Confirmation</v>
      </c>
      <c r="P1381" s="6">
        <f ca="1">TODAY()-Table2[[#This Row],[DATE SENT TO POG]]</f>
        <v>184</v>
      </c>
      <c r="Q1381" s="6" t="s">
        <v>5803</v>
      </c>
      <c r="R13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1" s="2" t="str">
        <f>_xlfn.XLOOKUP(Table2[[#This Row],[Adjusted Form '#]],'[2]IN PROGRESS'!$D:$D,'[2]IN PROGRESS'!$M:$M,"Not Found")</f>
        <v>Not Found</v>
      </c>
      <c r="U1381" s="2" t="str">
        <f>_xlfn.XLOOKUP(Table2[[#This Row],[Adjusted Form '#]],[1]COMPLETED!$D:$D,[2]COMPLETED!$M:$M,"Not Found")</f>
        <v>Not Found</v>
      </c>
      <c r="V1381" s="17" t="str">
        <f>_xlfn.XLOOKUP(Table2[[#This Row],[Adjusted Form '#]],[2]COMPLETED!$D:$D,[2]COMPLETED!$O:$O,"Not Found")</f>
        <v>Not Found</v>
      </c>
      <c r="W1381" s="2" t="str">
        <f>_xlfn.XLOOKUP(Table2[[#This Row],[Adjusted Form '#]],[2]BILLED!$D:$D,[2]BILLED!$M:$M,"Not Found")</f>
        <v>9400 1361 0605 3196 3249 77</v>
      </c>
      <c r="X1381" s="17" t="e">
        <f>_xlfn.XLOOKUP(Table2[[#This Row],[Adjusted Form '#]],[2]BILLED!$D:$D,[1]BILLED!$O:$O,"Not Found")</f>
        <v>#REF!</v>
      </c>
      <c r="Y1381" s="17" t="e">
        <f>_xlfn.XLOOKUP(Table2[[#This Row],[Adjusted Form '#]],'[2]REJECTED ORDERS'!$D:$D,'[2]REJECTED ORDERS'!$E:$E)</f>
        <v>#N/A</v>
      </c>
      <c r="Z1381" s="1"/>
      <c r="AA1381" s="1"/>
    </row>
    <row r="1382" spans="1:27" ht="15" customHeight="1" x14ac:dyDescent="0.35">
      <c r="A1382" s="4" t="s">
        <v>2061</v>
      </c>
      <c r="B1382" s="1" t="s">
        <v>1998</v>
      </c>
      <c r="C1382" s="11">
        <v>45120</v>
      </c>
      <c r="D1382" s="11" t="s">
        <v>6349</v>
      </c>
      <c r="E1382" s="1" t="s">
        <v>14</v>
      </c>
      <c r="F1382" s="1" t="s">
        <v>6346</v>
      </c>
      <c r="G1382" s="6">
        <f>COUNTIF(F:F,Table2[[#This Row],[Form '#]])</f>
        <v>1</v>
      </c>
      <c r="H1382" s="1" t="s">
        <v>3535</v>
      </c>
      <c r="I1382" s="1" t="s">
        <v>177</v>
      </c>
      <c r="J1382" s="1" t="s">
        <v>75</v>
      </c>
      <c r="K1382" s="1" t="s">
        <v>4011</v>
      </c>
      <c r="L1382" s="1"/>
      <c r="M1382" s="6" t="str">
        <f>IF(Table2[[#This Row],[Corrected Form '#
 (If Duplicated)]]="",Table2[[#This Row],[Form '#]],Table2[[#This Row],[Corrected Form '#
 (If Duplicated)]])</f>
        <v>7810-01120</v>
      </c>
      <c r="N1382" s="1" t="s">
        <v>49</v>
      </c>
      <c r="O1382" s="6" t="str">
        <f>IF(Table2[[#This Row],[POG CONFIRMATION RECEIPT OF ORDER
(DATE &amp; TIME)]]="","No Confirmation","Received Confirmation")</f>
        <v>Received Confirmation</v>
      </c>
      <c r="P1382" s="6">
        <f ca="1">TODAY()-Table2[[#This Row],[DATE SENT TO POG]]</f>
        <v>183</v>
      </c>
      <c r="Q1382" s="6" t="s">
        <v>5803</v>
      </c>
      <c r="R13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2" s="2" t="str">
        <f>_xlfn.XLOOKUP(Table2[[#This Row],[Adjusted Form '#]],'[2]IN PROGRESS'!$D:$D,'[2]IN PROGRESS'!$M:$M,"Not Found")</f>
        <v>Not Found</v>
      </c>
      <c r="U1382" s="2" t="str">
        <f>_xlfn.XLOOKUP(Table2[[#This Row],[Adjusted Form '#]],[1]COMPLETED!$D:$D,[2]COMPLETED!$M:$M,"Not Found")</f>
        <v>Not Found</v>
      </c>
      <c r="V1382" s="17" t="str">
        <f>_xlfn.XLOOKUP(Table2[[#This Row],[Adjusted Form '#]],[2]COMPLETED!$D:$D,[2]COMPLETED!$O:$O,"Not Found")</f>
        <v>Not Found</v>
      </c>
      <c r="W1382" s="2" t="str">
        <f>_xlfn.XLOOKUP(Table2[[#This Row],[Adjusted Form '#]],[2]BILLED!$D:$D,[2]BILLED!$M:$M,"Not Found")</f>
        <v>9400 1361 0605 3133 3279 00</v>
      </c>
      <c r="X1382" s="17" t="e">
        <f>_xlfn.XLOOKUP(Table2[[#This Row],[Adjusted Form '#]],[2]BILLED!$D:$D,[1]BILLED!$O:$O,"Not Found")</f>
        <v>#REF!</v>
      </c>
      <c r="Y1382" s="17" t="e">
        <f>_xlfn.XLOOKUP(Table2[[#This Row],[Adjusted Form '#]],'[2]REJECTED ORDERS'!$D:$D,'[2]REJECTED ORDERS'!$E:$E)</f>
        <v>#N/A</v>
      </c>
      <c r="Z1382" s="1"/>
      <c r="AA1382" s="1"/>
    </row>
    <row r="1383" spans="1:27" ht="15" customHeight="1" x14ac:dyDescent="0.35">
      <c r="A1383" s="4" t="s">
        <v>2063</v>
      </c>
      <c r="B1383" s="1" t="s">
        <v>818</v>
      </c>
      <c r="C1383" s="11">
        <v>45120</v>
      </c>
      <c r="D1383" s="11" t="s">
        <v>6370</v>
      </c>
      <c r="E1383" s="1" t="s">
        <v>21</v>
      </c>
      <c r="F1383" s="1" t="s">
        <v>6350</v>
      </c>
      <c r="G1383" s="6">
        <f>COUNTIF(F:F,Table2[[#This Row],[Form '#]])</f>
        <v>1</v>
      </c>
      <c r="H1383" s="1" t="s">
        <v>3289</v>
      </c>
      <c r="I1383" s="1" t="s">
        <v>127</v>
      </c>
      <c r="J1383" s="1" t="s">
        <v>74</v>
      </c>
      <c r="K1383" s="1" t="s">
        <v>3883</v>
      </c>
      <c r="L1383" s="1"/>
      <c r="M1383" s="6" t="str">
        <f>IF(Table2[[#This Row],[Corrected Form '#
 (If Duplicated)]]="",Table2[[#This Row],[Form '#]],Table2[[#This Row],[Corrected Form '#
 (If Duplicated)]])</f>
        <v>7818-28132</v>
      </c>
      <c r="N1383" s="1" t="s">
        <v>104</v>
      </c>
      <c r="O1383" s="6" t="str">
        <f>IF(Table2[[#This Row],[POG CONFIRMATION RECEIPT OF ORDER
(DATE &amp; TIME)]]="","No Confirmation","Received Confirmation")</f>
        <v>Received Confirmation</v>
      </c>
      <c r="P1383" s="6">
        <f ca="1">TODAY()-Table2[[#This Row],[DATE SENT TO POG]]</f>
        <v>183</v>
      </c>
      <c r="Q1383" s="6" t="s">
        <v>5803</v>
      </c>
      <c r="R13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3" s="2" t="str">
        <f>_xlfn.XLOOKUP(Table2[[#This Row],[Adjusted Form '#]],'[2]IN PROGRESS'!$D:$D,'[2]IN PROGRESS'!$M:$M,"Not Found")</f>
        <v>Not Found</v>
      </c>
      <c r="U1383" s="2" t="str">
        <f>_xlfn.XLOOKUP(Table2[[#This Row],[Adjusted Form '#]],[1]COMPLETED!$D:$D,[2]COMPLETED!$M:$M,"Not Found")</f>
        <v>Not Found</v>
      </c>
      <c r="V1383" s="17" t="str">
        <f>_xlfn.XLOOKUP(Table2[[#This Row],[Adjusted Form '#]],[2]COMPLETED!$D:$D,[2]COMPLETED!$O:$O,"Not Found")</f>
        <v>Not Found</v>
      </c>
      <c r="W1383" s="2" t="str">
        <f>_xlfn.XLOOKUP(Table2[[#This Row],[Adjusted Form '#]],[2]BILLED!$D:$D,[2]BILLED!$M:$M,"Not Found")</f>
        <v>9402 1112 0620 9882 8960 97</v>
      </c>
      <c r="X1383" s="17" t="e">
        <f>_xlfn.XLOOKUP(Table2[[#This Row],[Adjusted Form '#]],[2]BILLED!$D:$D,[1]BILLED!$O:$O,"Not Found")</f>
        <v>#REF!</v>
      </c>
      <c r="Y1383" s="17" t="e">
        <f>_xlfn.XLOOKUP(Table2[[#This Row],[Adjusted Form '#]],'[2]REJECTED ORDERS'!$D:$D,'[2]REJECTED ORDERS'!$E:$E)</f>
        <v>#N/A</v>
      </c>
      <c r="Z1383" s="1"/>
      <c r="AA1383" s="1"/>
    </row>
    <row r="1384" spans="1:27" ht="15" customHeight="1" x14ac:dyDescent="0.35">
      <c r="A1384" s="4" t="s">
        <v>2064</v>
      </c>
      <c r="B1384" s="1" t="s">
        <v>6351</v>
      </c>
      <c r="C1384" s="11">
        <v>45120</v>
      </c>
      <c r="D1384" s="11" t="s">
        <v>6370</v>
      </c>
      <c r="E1384" s="1" t="s">
        <v>21</v>
      </c>
      <c r="F1384" s="1" t="s">
        <v>6352</v>
      </c>
      <c r="G1384" s="6">
        <f>COUNTIF(F:F,Table2[[#This Row],[Form '#]])</f>
        <v>1</v>
      </c>
      <c r="H1384" s="1" t="s">
        <v>6353</v>
      </c>
      <c r="I1384" s="1" t="s">
        <v>177</v>
      </c>
      <c r="J1384" s="1" t="s">
        <v>75</v>
      </c>
      <c r="K1384" s="1" t="s">
        <v>3853</v>
      </c>
      <c r="L1384" s="1"/>
      <c r="M1384" s="6" t="str">
        <f>IF(Table2[[#This Row],[Corrected Form '#
 (If Duplicated)]]="",Table2[[#This Row],[Form '#]],Table2[[#This Row],[Corrected Form '#
 (If Duplicated)]])</f>
        <v>7818-22468</v>
      </c>
      <c r="N1384" s="1" t="s">
        <v>49</v>
      </c>
      <c r="O1384" s="6" t="str">
        <f>IF(Table2[[#This Row],[POG CONFIRMATION RECEIPT OF ORDER
(DATE &amp; TIME)]]="","No Confirmation","Received Confirmation")</f>
        <v>Received Confirmation</v>
      </c>
      <c r="P1384" s="6">
        <f ca="1">TODAY()-Table2[[#This Row],[DATE SENT TO POG]]</f>
        <v>183</v>
      </c>
      <c r="Q1384" s="6" t="s">
        <v>5803</v>
      </c>
      <c r="R13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4" s="2" t="str">
        <f>_xlfn.XLOOKUP(Table2[[#This Row],[Adjusted Form '#]],'[2]IN PROGRESS'!$D:$D,'[2]IN PROGRESS'!$M:$M,"Not Found")</f>
        <v>Not Found</v>
      </c>
      <c r="U1384" s="2" t="str">
        <f>_xlfn.XLOOKUP(Table2[[#This Row],[Adjusted Form '#]],[1]COMPLETED!$D:$D,[2]COMPLETED!$M:$M,"Not Found")</f>
        <v>Not Found</v>
      </c>
      <c r="V1384" s="17" t="str">
        <f>_xlfn.XLOOKUP(Table2[[#This Row],[Adjusted Form '#]],[2]COMPLETED!$D:$D,[2]COMPLETED!$O:$O,"Not Found")</f>
        <v>Not Found</v>
      </c>
      <c r="W1384" s="2" t="str">
        <f>_xlfn.XLOOKUP(Table2[[#This Row],[Adjusted Form '#]],[2]BILLED!$D:$D,[2]BILLED!$M:$M,"Not Found")</f>
        <v>9400 1361 0605 3197 9558 59</v>
      </c>
      <c r="X1384" s="17" t="e">
        <f>_xlfn.XLOOKUP(Table2[[#This Row],[Adjusted Form '#]],[2]BILLED!$D:$D,[1]BILLED!$O:$O,"Not Found")</f>
        <v>#REF!</v>
      </c>
      <c r="Y1384" s="17" t="e">
        <f>_xlfn.XLOOKUP(Table2[[#This Row],[Adjusted Form '#]],'[2]REJECTED ORDERS'!$D:$D,'[2]REJECTED ORDERS'!$E:$E)</f>
        <v>#N/A</v>
      </c>
      <c r="Z1384" s="1"/>
      <c r="AA1384" s="1"/>
    </row>
    <row r="1385" spans="1:27" ht="15" customHeight="1" x14ac:dyDescent="0.35">
      <c r="A1385" s="4" t="s">
        <v>2066</v>
      </c>
      <c r="B1385" s="1" t="s">
        <v>6351</v>
      </c>
      <c r="C1385" s="11">
        <v>45120</v>
      </c>
      <c r="D1385" s="11" t="s">
        <v>6370</v>
      </c>
      <c r="E1385" s="1" t="s">
        <v>21</v>
      </c>
      <c r="F1385" s="1" t="s">
        <v>6354</v>
      </c>
      <c r="G1385" s="6">
        <f>COUNTIF(F:F,Table2[[#This Row],[Form '#]])</f>
        <v>1</v>
      </c>
      <c r="H1385" s="1" t="s">
        <v>6355</v>
      </c>
      <c r="I1385" s="1" t="s">
        <v>758</v>
      </c>
      <c r="J1385" s="1" t="s">
        <v>78</v>
      </c>
      <c r="K1385" s="1" t="s">
        <v>3853</v>
      </c>
      <c r="L1385" s="1"/>
      <c r="M1385" s="6" t="str">
        <f>IF(Table2[[#This Row],[Corrected Form '#
 (If Duplicated)]]="",Table2[[#This Row],[Form '#]],Table2[[#This Row],[Corrected Form '#
 (If Duplicated)]])</f>
        <v>7818-12439</v>
      </c>
      <c r="N1385" s="1" t="s">
        <v>49</v>
      </c>
      <c r="O1385" s="6" t="str">
        <f>IF(Table2[[#This Row],[POG CONFIRMATION RECEIPT OF ORDER
(DATE &amp; TIME)]]="","No Confirmation","Received Confirmation")</f>
        <v>Received Confirmation</v>
      </c>
      <c r="P1385" s="6">
        <f ca="1">TODAY()-Table2[[#This Row],[DATE SENT TO POG]]</f>
        <v>183</v>
      </c>
      <c r="Q1385" s="6" t="s">
        <v>5803</v>
      </c>
      <c r="R13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5" s="2" t="str">
        <f>_xlfn.XLOOKUP(Table2[[#This Row],[Adjusted Form '#]],'[2]IN PROGRESS'!$D:$D,'[2]IN PROGRESS'!$M:$M,"Not Found")</f>
        <v>Not Found</v>
      </c>
      <c r="U1385" s="2" t="str">
        <f>_xlfn.XLOOKUP(Table2[[#This Row],[Adjusted Form '#]],[1]COMPLETED!$D:$D,[2]COMPLETED!$M:$M,"Not Found")</f>
        <v>Not Found</v>
      </c>
      <c r="V1385" s="17" t="str">
        <f>_xlfn.XLOOKUP(Table2[[#This Row],[Adjusted Form '#]],[2]COMPLETED!$D:$D,[2]COMPLETED!$O:$O,"Not Found")</f>
        <v>Not Found</v>
      </c>
      <c r="W1385" s="2" t="str">
        <f>_xlfn.XLOOKUP(Table2[[#This Row],[Adjusted Form '#]],[2]BILLED!$D:$D,[2]BILLED!$M:$M,"Not Found")</f>
        <v>9400 1361 0605 3151 7542 52</v>
      </c>
      <c r="X1385" s="17" t="e">
        <f>_xlfn.XLOOKUP(Table2[[#This Row],[Adjusted Form '#]],[2]BILLED!$D:$D,[1]BILLED!$O:$O,"Not Found")</f>
        <v>#REF!</v>
      </c>
      <c r="Y1385" s="17" t="e">
        <f>_xlfn.XLOOKUP(Table2[[#This Row],[Adjusted Form '#]],'[2]REJECTED ORDERS'!$D:$D,'[2]REJECTED ORDERS'!$E:$E)</f>
        <v>#N/A</v>
      </c>
      <c r="Z1385" s="1"/>
      <c r="AA1385" s="1"/>
    </row>
    <row r="1386" spans="1:27" ht="15" customHeight="1" x14ac:dyDescent="0.35">
      <c r="A1386" s="4" t="s">
        <v>2067</v>
      </c>
      <c r="B1386" s="1" t="s">
        <v>6351</v>
      </c>
      <c r="C1386" s="11">
        <v>45120</v>
      </c>
      <c r="D1386" s="11" t="s">
        <v>6370</v>
      </c>
      <c r="E1386" s="1" t="s">
        <v>21</v>
      </c>
      <c r="F1386" s="1" t="s">
        <v>6356</v>
      </c>
      <c r="G1386" s="6">
        <f>COUNTIF(F:F,Table2[[#This Row],[Form '#]])</f>
        <v>1</v>
      </c>
      <c r="H1386" s="1" t="s">
        <v>3545</v>
      </c>
      <c r="I1386" s="1" t="s">
        <v>127</v>
      </c>
      <c r="J1386" s="1" t="s">
        <v>76</v>
      </c>
      <c r="K1386" s="1" t="s">
        <v>3883</v>
      </c>
      <c r="L1386" s="1"/>
      <c r="M1386" s="6" t="str">
        <f>IF(Table2[[#This Row],[Corrected Form '#
 (If Duplicated)]]="",Table2[[#This Row],[Form '#]],Table2[[#This Row],[Corrected Form '#
 (If Duplicated)]])</f>
        <v>7818-30934</v>
      </c>
      <c r="N1386" s="1" t="s">
        <v>49</v>
      </c>
      <c r="O1386" s="6" t="str">
        <f>IF(Table2[[#This Row],[POG CONFIRMATION RECEIPT OF ORDER
(DATE &amp; TIME)]]="","No Confirmation","Received Confirmation")</f>
        <v>Received Confirmation</v>
      </c>
      <c r="P1386" s="6">
        <f ca="1">TODAY()-Table2[[#This Row],[DATE SENT TO POG]]</f>
        <v>183</v>
      </c>
      <c r="Q1386" s="6" t="s">
        <v>5803</v>
      </c>
      <c r="R13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6" s="2" t="str">
        <f>_xlfn.XLOOKUP(Table2[[#This Row],[Adjusted Form '#]],'[2]IN PROGRESS'!$D:$D,'[2]IN PROGRESS'!$M:$M,"Not Found")</f>
        <v>Not Found</v>
      </c>
      <c r="U1386" s="2" t="str">
        <f>_xlfn.XLOOKUP(Table2[[#This Row],[Adjusted Form '#]],[1]COMPLETED!$D:$D,[2]COMPLETED!$M:$M,"Not Found")</f>
        <v>Not Found</v>
      </c>
      <c r="V1386" s="17" t="str">
        <f>_xlfn.XLOOKUP(Table2[[#This Row],[Adjusted Form '#]],[2]COMPLETED!$D:$D,[2]COMPLETED!$O:$O,"Not Found")</f>
        <v>Not Found</v>
      </c>
      <c r="W1386" s="2" t="str">
        <f>_xlfn.XLOOKUP(Table2[[#This Row],[Adjusted Form '#]],[2]BILLED!$D:$D,[2]BILLED!$M:$M,"Not Found")</f>
        <v>9400 1361 0605 3151 8585 61</v>
      </c>
      <c r="X1386" s="17" t="e">
        <f>_xlfn.XLOOKUP(Table2[[#This Row],[Adjusted Form '#]],[2]BILLED!$D:$D,[1]BILLED!$O:$O,"Not Found")</f>
        <v>#REF!</v>
      </c>
      <c r="Y1386" s="17" t="e">
        <f>_xlfn.XLOOKUP(Table2[[#This Row],[Adjusted Form '#]],'[2]REJECTED ORDERS'!$D:$D,'[2]REJECTED ORDERS'!$E:$E)</f>
        <v>#N/A</v>
      </c>
      <c r="Z1386" s="1"/>
      <c r="AA1386" s="1"/>
    </row>
    <row r="1387" spans="1:27" ht="15" customHeight="1" x14ac:dyDescent="0.35">
      <c r="A1387" s="4" t="s">
        <v>2069</v>
      </c>
      <c r="B1387" s="1" t="s">
        <v>6351</v>
      </c>
      <c r="C1387" s="11">
        <v>45120</v>
      </c>
      <c r="D1387" s="11" t="s">
        <v>6370</v>
      </c>
      <c r="E1387" s="1" t="s">
        <v>21</v>
      </c>
      <c r="F1387" s="1" t="s">
        <v>6357</v>
      </c>
      <c r="G1387" s="6">
        <f>COUNTIF(F:F,Table2[[#This Row],[Form '#]])</f>
        <v>1</v>
      </c>
      <c r="H1387" s="1" t="s">
        <v>3702</v>
      </c>
      <c r="I1387" s="1" t="s">
        <v>28</v>
      </c>
      <c r="J1387" s="1" t="s">
        <v>69</v>
      </c>
      <c r="K1387" s="1" t="s">
        <v>4011</v>
      </c>
      <c r="L1387" s="1"/>
      <c r="M1387" s="6" t="str">
        <f>IF(Table2[[#This Row],[Corrected Form '#
 (If Duplicated)]]="",Table2[[#This Row],[Form '#]],Table2[[#This Row],[Corrected Form '#
 (If Duplicated)]])</f>
        <v>7818-30977</v>
      </c>
      <c r="N1387" s="1" t="s">
        <v>49</v>
      </c>
      <c r="O1387" s="6" t="str">
        <f>IF(Table2[[#This Row],[POG CONFIRMATION RECEIPT OF ORDER
(DATE &amp; TIME)]]="","No Confirmation","Received Confirmation")</f>
        <v>Received Confirmation</v>
      </c>
      <c r="P1387" s="6">
        <f ca="1">TODAY()-Table2[[#This Row],[DATE SENT TO POG]]</f>
        <v>183</v>
      </c>
      <c r="Q1387" s="6" t="s">
        <v>5803</v>
      </c>
      <c r="R13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7" s="2" t="str">
        <f>_xlfn.XLOOKUP(Table2[[#This Row],[Adjusted Form '#]],'[2]IN PROGRESS'!$D:$D,'[2]IN PROGRESS'!$M:$M,"Not Found")</f>
        <v>Not Found</v>
      </c>
      <c r="U1387" s="2" t="str">
        <f>_xlfn.XLOOKUP(Table2[[#This Row],[Adjusted Form '#]],[1]COMPLETED!$D:$D,[2]COMPLETED!$M:$M,"Not Found")</f>
        <v>Not Found</v>
      </c>
      <c r="V1387" s="17" t="str">
        <f>_xlfn.XLOOKUP(Table2[[#This Row],[Adjusted Form '#]],[2]COMPLETED!$D:$D,[2]COMPLETED!$O:$O,"Not Found")</f>
        <v>Not Found</v>
      </c>
      <c r="W1387" s="2" t="str">
        <f>_xlfn.XLOOKUP(Table2[[#This Row],[Adjusted Form '#]],[2]BILLED!$D:$D,[2]BILLED!$M:$M,"Not Found")</f>
        <v>9400 1361 0605 3153 8262 61</v>
      </c>
      <c r="X1387" s="17" t="e">
        <f>_xlfn.XLOOKUP(Table2[[#This Row],[Adjusted Form '#]],[2]BILLED!$D:$D,[1]BILLED!$O:$O,"Not Found")</f>
        <v>#REF!</v>
      </c>
      <c r="Y1387" s="17" t="e">
        <f>_xlfn.XLOOKUP(Table2[[#This Row],[Adjusted Form '#]],'[2]REJECTED ORDERS'!$D:$D,'[2]REJECTED ORDERS'!$E:$E)</f>
        <v>#N/A</v>
      </c>
      <c r="Z1387" s="1"/>
      <c r="AA1387" s="1"/>
    </row>
    <row r="1388" spans="1:27" ht="15" customHeight="1" x14ac:dyDescent="0.35">
      <c r="A1388" s="4" t="s">
        <v>2070</v>
      </c>
      <c r="B1388" s="1" t="s">
        <v>6351</v>
      </c>
      <c r="C1388" s="11">
        <v>45120</v>
      </c>
      <c r="D1388" s="11" t="s">
        <v>6370</v>
      </c>
      <c r="E1388" s="1" t="s">
        <v>21</v>
      </c>
      <c r="F1388" s="1" t="s">
        <v>6358</v>
      </c>
      <c r="G1388" s="6">
        <f>COUNTIF(F:F,Table2[[#This Row],[Form '#]])</f>
        <v>1</v>
      </c>
      <c r="H1388" s="1" t="s">
        <v>2524</v>
      </c>
      <c r="I1388" s="1" t="s">
        <v>28</v>
      </c>
      <c r="J1388" s="1" t="s">
        <v>69</v>
      </c>
      <c r="K1388" s="1" t="s">
        <v>4631</v>
      </c>
      <c r="L1388" s="1"/>
      <c r="M1388" s="6" t="str">
        <f>IF(Table2[[#This Row],[Corrected Form '#
 (If Duplicated)]]="",Table2[[#This Row],[Form '#]],Table2[[#This Row],[Corrected Form '#
 (If Duplicated)]])</f>
        <v>7818-28454</v>
      </c>
      <c r="N1388" s="1" t="s">
        <v>49</v>
      </c>
      <c r="O1388" s="6" t="str">
        <f>IF(Table2[[#This Row],[POG CONFIRMATION RECEIPT OF ORDER
(DATE &amp; TIME)]]="","No Confirmation","Received Confirmation")</f>
        <v>Received Confirmation</v>
      </c>
      <c r="P1388" s="6">
        <f ca="1">TODAY()-Table2[[#This Row],[DATE SENT TO POG]]</f>
        <v>183</v>
      </c>
      <c r="Q1388" s="6" t="s">
        <v>5803</v>
      </c>
      <c r="R13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8" s="2" t="str">
        <f>_xlfn.XLOOKUP(Table2[[#This Row],[Adjusted Form '#]],'[2]IN PROGRESS'!$D:$D,'[2]IN PROGRESS'!$M:$M,"Not Found")</f>
        <v>Not Found</v>
      </c>
      <c r="U1388" s="2" t="str">
        <f>_xlfn.XLOOKUP(Table2[[#This Row],[Adjusted Form '#]],[1]COMPLETED!$D:$D,[2]COMPLETED!$M:$M,"Not Found")</f>
        <v>Not Found</v>
      </c>
      <c r="V1388" s="17" t="str">
        <f>_xlfn.XLOOKUP(Table2[[#This Row],[Adjusted Form '#]],[2]COMPLETED!$D:$D,[2]COMPLETED!$O:$O,"Not Found")</f>
        <v>Not Found</v>
      </c>
      <c r="W1388" s="2" t="str">
        <f>_xlfn.XLOOKUP(Table2[[#This Row],[Adjusted Form '#]],[2]BILLED!$D:$D,[2]BILLED!$M:$M,"Not Found")</f>
        <v>9400 1361 0605 3133 2113 91</v>
      </c>
      <c r="X1388" s="17" t="e">
        <f>_xlfn.XLOOKUP(Table2[[#This Row],[Adjusted Form '#]],[2]BILLED!$D:$D,[1]BILLED!$O:$O,"Not Found")</f>
        <v>#REF!</v>
      </c>
      <c r="Y1388" s="17" t="e">
        <f>_xlfn.XLOOKUP(Table2[[#This Row],[Adjusted Form '#]],'[2]REJECTED ORDERS'!$D:$D,'[2]REJECTED ORDERS'!$E:$E)</f>
        <v>#N/A</v>
      </c>
      <c r="Z1388" s="1"/>
      <c r="AA1388" s="1"/>
    </row>
    <row r="1389" spans="1:27" ht="15" customHeight="1" x14ac:dyDescent="0.35">
      <c r="A1389" s="4" t="s">
        <v>2071</v>
      </c>
      <c r="B1389" s="1" t="s">
        <v>6351</v>
      </c>
      <c r="C1389" s="11">
        <v>45120</v>
      </c>
      <c r="D1389" s="11" t="s">
        <v>6370</v>
      </c>
      <c r="E1389" s="1" t="s">
        <v>21</v>
      </c>
      <c r="F1389" s="1" t="s">
        <v>6359</v>
      </c>
      <c r="G1389" s="6">
        <f>COUNTIF(F:F,Table2[[#This Row],[Form '#]])</f>
        <v>1</v>
      </c>
      <c r="H1389" s="1" t="s">
        <v>1398</v>
      </c>
      <c r="I1389" s="1" t="s">
        <v>3852</v>
      </c>
      <c r="J1389" s="1" t="s">
        <v>80</v>
      </c>
      <c r="K1389" s="1" t="s">
        <v>3853</v>
      </c>
      <c r="L1389" s="1"/>
      <c r="M1389" s="6" t="str">
        <f>IF(Table2[[#This Row],[Corrected Form '#
 (If Duplicated)]]="",Table2[[#This Row],[Form '#]],Table2[[#This Row],[Corrected Form '#
 (If Duplicated)]])</f>
        <v>7818-17391</v>
      </c>
      <c r="N1389" s="1" t="s">
        <v>49</v>
      </c>
      <c r="O1389" s="6" t="str">
        <f>IF(Table2[[#This Row],[POG CONFIRMATION RECEIPT OF ORDER
(DATE &amp; TIME)]]="","No Confirmation","Received Confirmation")</f>
        <v>Received Confirmation</v>
      </c>
      <c r="P1389" s="6">
        <f ca="1">TODAY()-Table2[[#This Row],[DATE SENT TO POG]]</f>
        <v>183</v>
      </c>
      <c r="Q1389" s="6" t="s">
        <v>5803</v>
      </c>
      <c r="R13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89" s="2" t="str">
        <f>_xlfn.XLOOKUP(Table2[[#This Row],[Adjusted Form '#]],'[2]IN PROGRESS'!$D:$D,'[2]IN PROGRESS'!$M:$M,"Not Found")</f>
        <v>Not Found</v>
      </c>
      <c r="U1389" s="2" t="str">
        <f>_xlfn.XLOOKUP(Table2[[#This Row],[Adjusted Form '#]],[1]COMPLETED!$D:$D,[2]COMPLETED!$M:$M,"Not Found")</f>
        <v>Not Found</v>
      </c>
      <c r="V1389" s="17" t="str">
        <f>_xlfn.XLOOKUP(Table2[[#This Row],[Adjusted Form '#]],[2]COMPLETED!$D:$D,[2]COMPLETED!$O:$O,"Not Found")</f>
        <v>Not Found</v>
      </c>
      <c r="W1389" s="2" t="str">
        <f>_xlfn.XLOOKUP(Table2[[#This Row],[Adjusted Form '#]],[2]BILLED!$D:$D,[2]BILLED!$M:$M,"Not Found")</f>
        <v>9400 1361 0605 3151 8043 77</v>
      </c>
      <c r="X1389" s="17" t="e">
        <f>_xlfn.XLOOKUP(Table2[[#This Row],[Adjusted Form '#]],[2]BILLED!$D:$D,[1]BILLED!$O:$O,"Not Found")</f>
        <v>#REF!</v>
      </c>
      <c r="Y1389" s="17" t="e">
        <f>_xlfn.XLOOKUP(Table2[[#This Row],[Adjusted Form '#]],'[2]REJECTED ORDERS'!$D:$D,'[2]REJECTED ORDERS'!$E:$E)</f>
        <v>#N/A</v>
      </c>
      <c r="Z1389" s="1"/>
      <c r="AA1389" s="1"/>
    </row>
    <row r="1390" spans="1:27" ht="15" customHeight="1" x14ac:dyDescent="0.35">
      <c r="A1390" s="4" t="s">
        <v>2073</v>
      </c>
      <c r="B1390" s="1" t="s">
        <v>6351</v>
      </c>
      <c r="C1390" s="11">
        <v>45120</v>
      </c>
      <c r="D1390" s="11" t="s">
        <v>6370</v>
      </c>
      <c r="E1390" s="1" t="s">
        <v>21</v>
      </c>
      <c r="F1390" s="1" t="s">
        <v>6360</v>
      </c>
      <c r="G1390" s="6">
        <f>COUNTIF(F:F,Table2[[#This Row],[Form '#]])</f>
        <v>1</v>
      </c>
      <c r="H1390" s="1" t="s">
        <v>98</v>
      </c>
      <c r="I1390" s="1" t="s">
        <v>3864</v>
      </c>
      <c r="J1390" s="1" t="s">
        <v>78</v>
      </c>
      <c r="K1390" s="1" t="s">
        <v>3879</v>
      </c>
      <c r="L1390" s="1"/>
      <c r="M1390" s="6" t="str">
        <f>IF(Table2[[#This Row],[Corrected Form '#
 (If Duplicated)]]="",Table2[[#This Row],[Form '#]],Table2[[#This Row],[Corrected Form '#
 (If Duplicated)]])</f>
        <v>7818-26064</v>
      </c>
      <c r="N1390" s="1" t="s">
        <v>49</v>
      </c>
      <c r="O1390" s="6" t="str">
        <f>IF(Table2[[#This Row],[POG CONFIRMATION RECEIPT OF ORDER
(DATE &amp; TIME)]]="","No Confirmation","Received Confirmation")</f>
        <v>Received Confirmation</v>
      </c>
      <c r="P1390" s="6">
        <f ca="1">TODAY()-Table2[[#This Row],[DATE SENT TO POG]]</f>
        <v>183</v>
      </c>
      <c r="Q1390" s="6" t="s">
        <v>5803</v>
      </c>
      <c r="R13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0" s="2" t="str">
        <f>_xlfn.XLOOKUP(Table2[[#This Row],[Adjusted Form '#]],'[2]IN PROGRESS'!$D:$D,'[2]IN PROGRESS'!$M:$M,"Not Found")</f>
        <v>Not Found</v>
      </c>
      <c r="U1390" s="2" t="str">
        <f>_xlfn.XLOOKUP(Table2[[#This Row],[Adjusted Form '#]],[1]COMPLETED!$D:$D,[2]COMPLETED!$M:$M,"Not Found")</f>
        <v>Not Found</v>
      </c>
      <c r="V1390" s="17" t="str">
        <f>_xlfn.XLOOKUP(Table2[[#This Row],[Adjusted Form '#]],[2]COMPLETED!$D:$D,[2]COMPLETED!$O:$O,"Not Found")</f>
        <v>Not Found</v>
      </c>
      <c r="W1390" s="2" t="str">
        <f>_xlfn.XLOOKUP(Table2[[#This Row],[Adjusted Form '#]],[2]BILLED!$D:$D,[2]BILLED!$M:$M,"Not Found")</f>
        <v>9400 1361 0605 3133 2780 66</v>
      </c>
      <c r="X1390" s="17" t="e">
        <f>_xlfn.XLOOKUP(Table2[[#This Row],[Adjusted Form '#]],[2]BILLED!$D:$D,[1]BILLED!$O:$O,"Not Found")</f>
        <v>#REF!</v>
      </c>
      <c r="Y1390" s="17" t="e">
        <f>_xlfn.XLOOKUP(Table2[[#This Row],[Adjusted Form '#]],'[2]REJECTED ORDERS'!$D:$D,'[2]REJECTED ORDERS'!$E:$E)</f>
        <v>#N/A</v>
      </c>
      <c r="Z1390" s="1"/>
      <c r="AA1390" s="1"/>
    </row>
    <row r="1391" spans="1:27" ht="15" customHeight="1" x14ac:dyDescent="0.35">
      <c r="A1391" s="4" t="s">
        <v>2074</v>
      </c>
      <c r="B1391" s="1" t="s">
        <v>6351</v>
      </c>
      <c r="C1391" s="11">
        <v>45120</v>
      </c>
      <c r="D1391" s="11" t="s">
        <v>6370</v>
      </c>
      <c r="E1391" s="1" t="s">
        <v>21</v>
      </c>
      <c r="F1391" s="1" t="s">
        <v>6361</v>
      </c>
      <c r="G1391" s="6">
        <f>COUNTIF(F:F,Table2[[#This Row],[Form '#]])</f>
        <v>1</v>
      </c>
      <c r="H1391" s="1" t="s">
        <v>6362</v>
      </c>
      <c r="I1391" s="1" t="s">
        <v>3852</v>
      </c>
      <c r="J1391" s="1" t="s">
        <v>80</v>
      </c>
      <c r="K1391" s="1" t="s">
        <v>3853</v>
      </c>
      <c r="L1391" s="1"/>
      <c r="M1391" s="6" t="str">
        <f>IF(Table2[[#This Row],[Corrected Form '#
 (If Duplicated)]]="",Table2[[#This Row],[Form '#]],Table2[[#This Row],[Corrected Form '#
 (If Duplicated)]])</f>
        <v>7818-29948</v>
      </c>
      <c r="N1391" s="1" t="s">
        <v>49</v>
      </c>
      <c r="O1391" s="6" t="str">
        <f>IF(Table2[[#This Row],[POG CONFIRMATION RECEIPT OF ORDER
(DATE &amp; TIME)]]="","No Confirmation","Received Confirmation")</f>
        <v>Received Confirmation</v>
      </c>
      <c r="P1391" s="6">
        <f ca="1">TODAY()-Table2[[#This Row],[DATE SENT TO POG]]</f>
        <v>183</v>
      </c>
      <c r="Q1391" s="6" t="s">
        <v>5803</v>
      </c>
      <c r="R13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1" s="2" t="str">
        <f>_xlfn.XLOOKUP(Table2[[#This Row],[Adjusted Form '#]],'[2]IN PROGRESS'!$D:$D,'[2]IN PROGRESS'!$M:$M,"Not Found")</f>
        <v>Not Found</v>
      </c>
      <c r="U1391" s="2" t="str">
        <f>_xlfn.XLOOKUP(Table2[[#This Row],[Adjusted Form '#]],[1]COMPLETED!$D:$D,[2]COMPLETED!$M:$M,"Not Found")</f>
        <v>Not Found</v>
      </c>
      <c r="V1391" s="17" t="str">
        <f>_xlfn.XLOOKUP(Table2[[#This Row],[Adjusted Form '#]],[2]COMPLETED!$D:$D,[2]COMPLETED!$O:$O,"Not Found")</f>
        <v>Not Found</v>
      </c>
      <c r="W1391" s="2" t="str">
        <f>_xlfn.XLOOKUP(Table2[[#This Row],[Adjusted Form '#]],[2]BILLED!$D:$D,[2]BILLED!$M:$M,"Not Found")</f>
        <v>9400 1361 0605 3198 0267 32</v>
      </c>
      <c r="X1391" s="17" t="e">
        <f>_xlfn.XLOOKUP(Table2[[#This Row],[Adjusted Form '#]],[2]BILLED!$D:$D,[1]BILLED!$O:$O,"Not Found")</f>
        <v>#REF!</v>
      </c>
      <c r="Y1391" s="17" t="e">
        <f>_xlfn.XLOOKUP(Table2[[#This Row],[Adjusted Form '#]],'[2]REJECTED ORDERS'!$D:$D,'[2]REJECTED ORDERS'!$E:$E)</f>
        <v>#N/A</v>
      </c>
      <c r="Z1391" s="1"/>
      <c r="AA1391" s="1"/>
    </row>
    <row r="1392" spans="1:27" ht="15" customHeight="1" x14ac:dyDescent="0.35">
      <c r="A1392" s="4" t="s">
        <v>2075</v>
      </c>
      <c r="B1392" s="1" t="s">
        <v>6351</v>
      </c>
      <c r="C1392" s="11">
        <v>45120</v>
      </c>
      <c r="D1392" s="11" t="s">
        <v>6370</v>
      </c>
      <c r="E1392" s="1" t="s">
        <v>21</v>
      </c>
      <c r="F1392" s="1" t="s">
        <v>6363</v>
      </c>
      <c r="G1392" s="6">
        <f>COUNTIF(F:F,Table2[[#This Row],[Form '#]])</f>
        <v>1</v>
      </c>
      <c r="H1392" s="1" t="s">
        <v>1322</v>
      </c>
      <c r="I1392" s="1" t="s">
        <v>758</v>
      </c>
      <c r="J1392" s="1" t="s">
        <v>78</v>
      </c>
      <c r="K1392" s="1" t="s">
        <v>3853</v>
      </c>
      <c r="L1392" s="1"/>
      <c r="M1392" s="6" t="str">
        <f>IF(Table2[[#This Row],[Corrected Form '#
 (If Duplicated)]]="",Table2[[#This Row],[Form '#]],Table2[[#This Row],[Corrected Form '#
 (If Duplicated)]])</f>
        <v>7818-14910</v>
      </c>
      <c r="N1392" s="1" t="s">
        <v>49</v>
      </c>
      <c r="O1392" s="6" t="str">
        <f>IF(Table2[[#This Row],[POG CONFIRMATION RECEIPT OF ORDER
(DATE &amp; TIME)]]="","No Confirmation","Received Confirmation")</f>
        <v>Received Confirmation</v>
      </c>
      <c r="P1392" s="6">
        <f ca="1">TODAY()-Table2[[#This Row],[DATE SENT TO POG]]</f>
        <v>183</v>
      </c>
      <c r="Q1392" s="6" t="s">
        <v>5803</v>
      </c>
      <c r="R13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2" s="2" t="str">
        <f>_xlfn.XLOOKUP(Table2[[#This Row],[Adjusted Form '#]],'[2]IN PROGRESS'!$D:$D,'[2]IN PROGRESS'!$M:$M,"Not Found")</f>
        <v>Not Found</v>
      </c>
      <c r="U1392" s="2" t="str">
        <f>_xlfn.XLOOKUP(Table2[[#This Row],[Adjusted Form '#]],[1]COMPLETED!$D:$D,[2]COMPLETED!$M:$M,"Not Found")</f>
        <v>Not Found</v>
      </c>
      <c r="V1392" s="17" t="str">
        <f>_xlfn.XLOOKUP(Table2[[#This Row],[Adjusted Form '#]],[2]COMPLETED!$D:$D,[2]COMPLETED!$O:$O,"Not Found")</f>
        <v>Not Found</v>
      </c>
      <c r="W1392" s="2" t="str">
        <f>_xlfn.XLOOKUP(Table2[[#This Row],[Adjusted Form '#]],[2]BILLED!$D:$D,[2]BILLED!$M:$M,"Not Found")</f>
        <v>9400 1361 0605 3123 9035 10</v>
      </c>
      <c r="X1392" s="17" t="e">
        <f>_xlfn.XLOOKUP(Table2[[#This Row],[Adjusted Form '#]],[2]BILLED!$D:$D,[1]BILLED!$O:$O,"Not Found")</f>
        <v>#REF!</v>
      </c>
      <c r="Y1392" s="17" t="e">
        <f>_xlfn.XLOOKUP(Table2[[#This Row],[Adjusted Form '#]],'[2]REJECTED ORDERS'!$D:$D,'[2]REJECTED ORDERS'!$E:$E)</f>
        <v>#N/A</v>
      </c>
      <c r="Z1392" s="1"/>
      <c r="AA1392" s="1"/>
    </row>
    <row r="1393" spans="1:27" ht="15" customHeight="1" x14ac:dyDescent="0.35">
      <c r="A1393" s="4" t="s">
        <v>2076</v>
      </c>
      <c r="B1393" s="1" t="s">
        <v>6351</v>
      </c>
      <c r="C1393" s="11">
        <v>45120</v>
      </c>
      <c r="D1393" s="11" t="s">
        <v>6370</v>
      </c>
      <c r="E1393" s="1" t="s">
        <v>21</v>
      </c>
      <c r="F1393" s="1" t="s">
        <v>6364</v>
      </c>
      <c r="G1393" s="6">
        <f>COUNTIF(F:F,Table2[[#This Row],[Form '#]])</f>
        <v>1</v>
      </c>
      <c r="H1393" s="1" t="s">
        <v>2818</v>
      </c>
      <c r="I1393" s="1" t="s">
        <v>177</v>
      </c>
      <c r="J1393" s="1" t="s">
        <v>75</v>
      </c>
      <c r="K1393" s="1" t="s">
        <v>3853</v>
      </c>
      <c r="L1393" s="1"/>
      <c r="M1393" s="6" t="str">
        <f>IF(Table2[[#This Row],[Corrected Form '#
 (If Duplicated)]]="",Table2[[#This Row],[Form '#]],Table2[[#This Row],[Corrected Form '#
 (If Duplicated)]])</f>
        <v>7818-18056</v>
      </c>
      <c r="N1393" s="1" t="s">
        <v>49</v>
      </c>
      <c r="O1393" s="6" t="str">
        <f>IF(Table2[[#This Row],[POG CONFIRMATION RECEIPT OF ORDER
(DATE &amp; TIME)]]="","No Confirmation","Received Confirmation")</f>
        <v>Received Confirmation</v>
      </c>
      <c r="P1393" s="6">
        <f ca="1">TODAY()-Table2[[#This Row],[DATE SENT TO POG]]</f>
        <v>183</v>
      </c>
      <c r="Q1393" s="6" t="s">
        <v>5803</v>
      </c>
      <c r="R13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3" s="2" t="str">
        <f>_xlfn.XLOOKUP(Table2[[#This Row],[Adjusted Form '#]],'[2]IN PROGRESS'!$D:$D,'[2]IN PROGRESS'!$M:$M,"Not Found")</f>
        <v>Not Found</v>
      </c>
      <c r="U1393" s="2" t="str">
        <f>_xlfn.XLOOKUP(Table2[[#This Row],[Adjusted Form '#]],[1]COMPLETED!$D:$D,[2]COMPLETED!$M:$M,"Not Found")</f>
        <v>Not Found</v>
      </c>
      <c r="V1393" s="17" t="str">
        <f>_xlfn.XLOOKUP(Table2[[#This Row],[Adjusted Form '#]],[2]COMPLETED!$D:$D,[2]COMPLETED!$O:$O,"Not Found")</f>
        <v>Not Found</v>
      </c>
      <c r="W1393" s="2" t="str">
        <f>_xlfn.XLOOKUP(Table2[[#This Row],[Adjusted Form '#]],[2]BILLED!$D:$D,[2]BILLED!$M:$M,"Not Found")</f>
        <v>9400 1361 0605 3197 9079 19</v>
      </c>
      <c r="X1393" s="17" t="e">
        <f>_xlfn.XLOOKUP(Table2[[#This Row],[Adjusted Form '#]],[2]BILLED!$D:$D,[1]BILLED!$O:$O,"Not Found")</f>
        <v>#REF!</v>
      </c>
      <c r="Y1393" s="17" t="e">
        <f>_xlfn.XLOOKUP(Table2[[#This Row],[Adjusted Form '#]],'[2]REJECTED ORDERS'!$D:$D,'[2]REJECTED ORDERS'!$E:$E)</f>
        <v>#N/A</v>
      </c>
      <c r="Z1393" s="1"/>
      <c r="AA1393" s="1"/>
    </row>
    <row r="1394" spans="1:27" ht="15" customHeight="1" x14ac:dyDescent="0.35">
      <c r="A1394" s="4" t="s">
        <v>2077</v>
      </c>
      <c r="B1394" s="1" t="s">
        <v>6351</v>
      </c>
      <c r="C1394" s="11">
        <v>45120</v>
      </c>
      <c r="D1394" s="11" t="s">
        <v>6370</v>
      </c>
      <c r="E1394" s="1" t="s">
        <v>21</v>
      </c>
      <c r="F1394" s="1" t="s">
        <v>6365</v>
      </c>
      <c r="G1394" s="6">
        <f>COUNTIF(F:F,Table2[[#This Row],[Form '#]])</f>
        <v>1</v>
      </c>
      <c r="H1394" s="1" t="s">
        <v>6366</v>
      </c>
      <c r="I1394" s="1" t="s">
        <v>3864</v>
      </c>
      <c r="J1394" s="1" t="s">
        <v>78</v>
      </c>
      <c r="K1394" s="1" t="s">
        <v>3879</v>
      </c>
      <c r="L1394" s="1"/>
      <c r="M1394" s="6" t="str">
        <f>IF(Table2[[#This Row],[Corrected Form '#
 (If Duplicated)]]="",Table2[[#This Row],[Form '#]],Table2[[#This Row],[Corrected Form '#
 (If Duplicated)]])</f>
        <v>7818-29815</v>
      </c>
      <c r="N1394" s="1" t="s">
        <v>49</v>
      </c>
      <c r="O1394" s="6" t="str">
        <f>IF(Table2[[#This Row],[POG CONFIRMATION RECEIPT OF ORDER
(DATE &amp; TIME)]]="","No Confirmation","Received Confirmation")</f>
        <v>Received Confirmation</v>
      </c>
      <c r="P1394" s="6">
        <f ca="1">TODAY()-Table2[[#This Row],[DATE SENT TO POG]]</f>
        <v>183</v>
      </c>
      <c r="Q1394" s="6" t="s">
        <v>5803</v>
      </c>
      <c r="R13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4" s="2" t="str">
        <f>_xlfn.XLOOKUP(Table2[[#This Row],[Adjusted Form '#]],'[2]IN PROGRESS'!$D:$D,'[2]IN PROGRESS'!$M:$M,"Not Found")</f>
        <v>Not Found</v>
      </c>
      <c r="U1394" s="2" t="str">
        <f>_xlfn.XLOOKUP(Table2[[#This Row],[Adjusted Form '#]],[1]COMPLETED!$D:$D,[2]COMPLETED!$M:$M,"Not Found")</f>
        <v>Not Found</v>
      </c>
      <c r="V1394" s="17" t="str">
        <f>_xlfn.XLOOKUP(Table2[[#This Row],[Adjusted Form '#]],[2]COMPLETED!$D:$D,[2]COMPLETED!$O:$O,"Not Found")</f>
        <v>Not Found</v>
      </c>
      <c r="W1394" s="2" t="str">
        <f>_xlfn.XLOOKUP(Table2[[#This Row],[Adjusted Form '#]],[2]BILLED!$D:$D,[2]BILLED!$M:$M,"Not Found")</f>
        <v>9400 1361 0605 3150 3829 68</v>
      </c>
      <c r="X1394" s="17" t="e">
        <f>_xlfn.XLOOKUP(Table2[[#This Row],[Adjusted Form '#]],[2]BILLED!$D:$D,[1]BILLED!$O:$O,"Not Found")</f>
        <v>#REF!</v>
      </c>
      <c r="Y1394" s="17" t="e">
        <f>_xlfn.XLOOKUP(Table2[[#This Row],[Adjusted Form '#]],'[2]REJECTED ORDERS'!$D:$D,'[2]REJECTED ORDERS'!$E:$E)</f>
        <v>#N/A</v>
      </c>
      <c r="Z1394" s="1"/>
      <c r="AA1394" s="1"/>
    </row>
    <row r="1395" spans="1:27" ht="15" customHeight="1" x14ac:dyDescent="0.35">
      <c r="A1395" s="4" t="s">
        <v>2078</v>
      </c>
      <c r="B1395" s="1" t="s">
        <v>6351</v>
      </c>
      <c r="C1395" s="11">
        <v>45120</v>
      </c>
      <c r="D1395" s="11" t="s">
        <v>6370</v>
      </c>
      <c r="E1395" s="1" t="s">
        <v>21</v>
      </c>
      <c r="F1395" s="1" t="s">
        <v>6367</v>
      </c>
      <c r="G1395" s="6">
        <f>COUNTIF(F:F,Table2[[#This Row],[Form '#]])</f>
        <v>1</v>
      </c>
      <c r="H1395" s="1" t="s">
        <v>3191</v>
      </c>
      <c r="I1395" s="1" t="s">
        <v>3852</v>
      </c>
      <c r="J1395" s="1" t="s">
        <v>80</v>
      </c>
      <c r="K1395" s="1" t="s">
        <v>3853</v>
      </c>
      <c r="L1395" s="1"/>
      <c r="M1395" s="6" t="str">
        <f>IF(Table2[[#This Row],[Corrected Form '#
 (If Duplicated)]]="",Table2[[#This Row],[Form '#]],Table2[[#This Row],[Corrected Form '#
 (If Duplicated)]])</f>
        <v>7818-29865</v>
      </c>
      <c r="N1395" s="1" t="s">
        <v>49</v>
      </c>
      <c r="O1395" s="6" t="str">
        <f>IF(Table2[[#This Row],[POG CONFIRMATION RECEIPT OF ORDER
(DATE &amp; TIME)]]="","No Confirmation","Received Confirmation")</f>
        <v>Received Confirmation</v>
      </c>
      <c r="P1395" s="6">
        <f ca="1">TODAY()-Table2[[#This Row],[DATE SENT TO POG]]</f>
        <v>183</v>
      </c>
      <c r="Q1395" s="6" t="s">
        <v>5803</v>
      </c>
      <c r="R13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5" s="2" t="str">
        <f>_xlfn.XLOOKUP(Table2[[#This Row],[Adjusted Form '#]],'[2]IN PROGRESS'!$D:$D,'[2]IN PROGRESS'!$M:$M,"Not Found")</f>
        <v>Not Found</v>
      </c>
      <c r="U1395" s="2" t="str">
        <f>_xlfn.XLOOKUP(Table2[[#This Row],[Adjusted Form '#]],[1]COMPLETED!$D:$D,[2]COMPLETED!$M:$M,"Not Found")</f>
        <v>Not Found</v>
      </c>
      <c r="V1395" s="17" t="str">
        <f>_xlfn.XLOOKUP(Table2[[#This Row],[Adjusted Form '#]],[2]COMPLETED!$D:$D,[2]COMPLETED!$O:$O,"Not Found")</f>
        <v>Not Found</v>
      </c>
      <c r="W1395" s="2" t="str">
        <f>_xlfn.XLOOKUP(Table2[[#This Row],[Adjusted Form '#]],[2]BILLED!$D:$D,[2]BILLED!$M:$M,"Not Found")</f>
        <v>9400 1361 0605 3133 3041 61</v>
      </c>
      <c r="X1395" s="17" t="e">
        <f>_xlfn.XLOOKUP(Table2[[#This Row],[Adjusted Form '#]],[2]BILLED!$D:$D,[1]BILLED!$O:$O,"Not Found")</f>
        <v>#REF!</v>
      </c>
      <c r="Y1395" s="17" t="e">
        <f>_xlfn.XLOOKUP(Table2[[#This Row],[Adjusted Form '#]],'[2]REJECTED ORDERS'!$D:$D,'[2]REJECTED ORDERS'!$E:$E)</f>
        <v>#N/A</v>
      </c>
      <c r="Z1395" s="1"/>
      <c r="AA1395" s="1"/>
    </row>
    <row r="1396" spans="1:27" ht="15" customHeight="1" x14ac:dyDescent="0.35">
      <c r="A1396" s="4" t="s">
        <v>2080</v>
      </c>
      <c r="B1396" s="1" t="s">
        <v>6351</v>
      </c>
      <c r="C1396" s="11">
        <v>45120</v>
      </c>
      <c r="D1396" s="11" t="s">
        <v>6370</v>
      </c>
      <c r="E1396" s="1" t="s">
        <v>21</v>
      </c>
      <c r="F1396" s="1" t="s">
        <v>6368</v>
      </c>
      <c r="G1396" s="6">
        <f>COUNTIF(F:F,Table2[[#This Row],[Form '#]])</f>
        <v>1</v>
      </c>
      <c r="H1396" s="1" t="s">
        <v>4662</v>
      </c>
      <c r="I1396" s="1" t="s">
        <v>127</v>
      </c>
      <c r="J1396" s="1" t="s">
        <v>71</v>
      </c>
      <c r="K1396" s="1" t="s">
        <v>4011</v>
      </c>
      <c r="L1396" s="1"/>
      <c r="M1396" s="6" t="str">
        <f>IF(Table2[[#This Row],[Corrected Form '#
 (If Duplicated)]]="",Table2[[#This Row],[Form '#]],Table2[[#This Row],[Corrected Form '#
 (If Duplicated)]])</f>
        <v>7818-30976</v>
      </c>
      <c r="N1396" s="1" t="s">
        <v>49</v>
      </c>
      <c r="O1396" s="6" t="str">
        <f>IF(Table2[[#This Row],[POG CONFIRMATION RECEIPT OF ORDER
(DATE &amp; TIME)]]="","No Confirmation","Received Confirmation")</f>
        <v>Received Confirmation</v>
      </c>
      <c r="P1396" s="6">
        <f ca="1">TODAY()-Table2[[#This Row],[DATE SENT TO POG]]</f>
        <v>183</v>
      </c>
      <c r="Q1396" s="6" t="s">
        <v>5803</v>
      </c>
      <c r="R13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6" s="2" t="str">
        <f>_xlfn.XLOOKUP(Table2[[#This Row],[Adjusted Form '#]],'[2]IN PROGRESS'!$D:$D,'[2]IN PROGRESS'!$M:$M,"Not Found")</f>
        <v>Not Found</v>
      </c>
      <c r="U1396" s="2" t="str">
        <f>_xlfn.XLOOKUP(Table2[[#This Row],[Adjusted Form '#]],[1]COMPLETED!$D:$D,[2]COMPLETED!$M:$M,"Not Found")</f>
        <v>Not Found</v>
      </c>
      <c r="V1396" s="17" t="str">
        <f>_xlfn.XLOOKUP(Table2[[#This Row],[Adjusted Form '#]],[2]COMPLETED!$D:$D,[2]COMPLETED!$O:$O,"Not Found")</f>
        <v>Not Found</v>
      </c>
      <c r="W1396" s="2" t="str">
        <f>_xlfn.XLOOKUP(Table2[[#This Row],[Adjusted Form '#]],[2]BILLED!$D:$D,[2]BILLED!$M:$M,"Not Found")</f>
        <v>9400 1361 0605 3150 1986 20</v>
      </c>
      <c r="X1396" s="17" t="e">
        <f>_xlfn.XLOOKUP(Table2[[#This Row],[Adjusted Form '#]],[2]BILLED!$D:$D,[1]BILLED!$O:$O,"Not Found")</f>
        <v>#REF!</v>
      </c>
      <c r="Y1396" s="17" t="e">
        <f>_xlfn.XLOOKUP(Table2[[#This Row],[Adjusted Form '#]],'[2]REJECTED ORDERS'!$D:$D,'[2]REJECTED ORDERS'!$E:$E)</f>
        <v>#N/A</v>
      </c>
      <c r="Z1396" s="1"/>
      <c r="AA1396" s="1"/>
    </row>
    <row r="1397" spans="1:27" ht="15" customHeight="1" x14ac:dyDescent="0.35">
      <c r="A1397" s="4" t="s">
        <v>2081</v>
      </c>
      <c r="B1397" s="1" t="s">
        <v>6351</v>
      </c>
      <c r="C1397" s="11">
        <v>45120</v>
      </c>
      <c r="D1397" s="11" t="s">
        <v>6370</v>
      </c>
      <c r="E1397" s="1" t="s">
        <v>21</v>
      </c>
      <c r="F1397" s="1" t="s">
        <v>6369</v>
      </c>
      <c r="G1397" s="6">
        <f>COUNTIF(F:F,Table2[[#This Row],[Form '#]])</f>
        <v>1</v>
      </c>
      <c r="H1397" s="1" t="s">
        <v>2887</v>
      </c>
      <c r="I1397" s="1" t="s">
        <v>758</v>
      </c>
      <c r="J1397" s="1" t="s">
        <v>78</v>
      </c>
      <c r="K1397" s="1" t="s">
        <v>3853</v>
      </c>
      <c r="L1397" s="1"/>
      <c r="M1397" s="6" t="str">
        <f>IF(Table2[[#This Row],[Corrected Form '#
 (If Duplicated)]]="",Table2[[#This Row],[Form '#]],Table2[[#This Row],[Corrected Form '#
 (If Duplicated)]])</f>
        <v>7818-19957</v>
      </c>
      <c r="N1397" s="1" t="s">
        <v>49</v>
      </c>
      <c r="O1397" s="6" t="str">
        <f>IF(Table2[[#This Row],[POG CONFIRMATION RECEIPT OF ORDER
(DATE &amp; TIME)]]="","No Confirmation","Received Confirmation")</f>
        <v>Received Confirmation</v>
      </c>
      <c r="P1397" s="6">
        <f ca="1">TODAY()-Table2[[#This Row],[DATE SENT TO POG]]</f>
        <v>183</v>
      </c>
      <c r="Q1397" s="6" t="s">
        <v>5803</v>
      </c>
      <c r="R13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7" s="2" t="str">
        <f>_xlfn.XLOOKUP(Table2[[#This Row],[Adjusted Form '#]],'[2]IN PROGRESS'!$D:$D,'[2]IN PROGRESS'!$M:$M,"Not Found")</f>
        <v>Not Found</v>
      </c>
      <c r="U1397" s="2" t="str">
        <f>_xlfn.XLOOKUP(Table2[[#This Row],[Adjusted Form '#]],[1]COMPLETED!$D:$D,[2]COMPLETED!$M:$M,"Not Found")</f>
        <v>Not Found</v>
      </c>
      <c r="V1397" s="17" t="str">
        <f>_xlfn.XLOOKUP(Table2[[#This Row],[Adjusted Form '#]],[2]COMPLETED!$D:$D,[2]COMPLETED!$O:$O,"Not Found")</f>
        <v>Not Found</v>
      </c>
      <c r="W1397" s="2" t="str">
        <f>_xlfn.XLOOKUP(Table2[[#This Row],[Adjusted Form '#]],[2]BILLED!$D:$D,[2]BILLED!$M:$M,"Not Found")</f>
        <v>9400 1361 0605 3198 0328 87</v>
      </c>
      <c r="X1397" s="17" t="e">
        <f>_xlfn.XLOOKUP(Table2[[#This Row],[Adjusted Form '#]],[2]BILLED!$D:$D,[1]BILLED!$O:$O,"Not Found")</f>
        <v>#REF!</v>
      </c>
      <c r="Y1397" s="17" t="e">
        <f>_xlfn.XLOOKUP(Table2[[#This Row],[Adjusted Form '#]],'[2]REJECTED ORDERS'!$D:$D,'[2]REJECTED ORDERS'!$E:$E)</f>
        <v>#N/A</v>
      </c>
      <c r="Z1397" s="1"/>
      <c r="AA1397" s="1"/>
    </row>
    <row r="1398" spans="1:27" ht="15" customHeight="1" x14ac:dyDescent="0.35">
      <c r="A1398" s="4" t="s">
        <v>2083</v>
      </c>
      <c r="B1398" s="1" t="s">
        <v>689</v>
      </c>
      <c r="C1398" s="11">
        <v>45121</v>
      </c>
      <c r="D1398" s="11" t="s">
        <v>6376</v>
      </c>
      <c r="E1398" s="1" t="s">
        <v>191</v>
      </c>
      <c r="F1398" s="1" t="s">
        <v>6371</v>
      </c>
      <c r="G1398" s="6">
        <f>COUNTIF(F:F,Table2[[#This Row],[Form '#]])</f>
        <v>1</v>
      </c>
      <c r="H1398" s="1" t="s">
        <v>1573</v>
      </c>
      <c r="I1398" s="1" t="s">
        <v>177</v>
      </c>
      <c r="J1398" s="1" t="s">
        <v>75</v>
      </c>
      <c r="K1398" s="1" t="s">
        <v>3853</v>
      </c>
      <c r="L1398" s="1"/>
      <c r="M1398" s="6" t="str">
        <f>IF(Table2[[#This Row],[Corrected Form '#
 (If Duplicated)]]="",Table2[[#This Row],[Form '#]],Table2[[#This Row],[Corrected Form '#
 (If Duplicated)]])</f>
        <v>7812-3659</v>
      </c>
      <c r="N1398" s="1" t="s">
        <v>49</v>
      </c>
      <c r="O1398" s="6" t="str">
        <f>IF(Table2[[#This Row],[POG CONFIRMATION RECEIPT OF ORDER
(DATE &amp; TIME)]]="","No Confirmation","Received Confirmation")</f>
        <v>Received Confirmation</v>
      </c>
      <c r="P1398" s="6">
        <f ca="1">TODAY()-Table2[[#This Row],[DATE SENT TO POG]]</f>
        <v>182</v>
      </c>
      <c r="Q1398" s="6" t="s">
        <v>5803</v>
      </c>
      <c r="R13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8" s="2" t="str">
        <f>_xlfn.XLOOKUP(Table2[[#This Row],[Adjusted Form '#]],'[2]IN PROGRESS'!$D:$D,'[2]IN PROGRESS'!$M:$M,"Not Found")</f>
        <v>Not Found</v>
      </c>
      <c r="U1398" s="2" t="str">
        <f>_xlfn.XLOOKUP(Table2[[#This Row],[Adjusted Form '#]],[1]COMPLETED!$D:$D,[2]COMPLETED!$M:$M,"Not Found")</f>
        <v>Not Found</v>
      </c>
      <c r="V1398" s="17" t="str">
        <f>_xlfn.XLOOKUP(Table2[[#This Row],[Adjusted Form '#]],[2]COMPLETED!$D:$D,[2]COMPLETED!$O:$O,"Not Found")</f>
        <v>Not Found</v>
      </c>
      <c r="W1398" s="2" t="str">
        <f>_xlfn.XLOOKUP(Table2[[#This Row],[Adjusted Form '#]],[2]BILLED!$D:$D,[2]BILLED!$M:$M,"Not Found")</f>
        <v>9402 1112 0620 9492 4084 06</v>
      </c>
      <c r="X1398" s="17" t="e">
        <f>_xlfn.XLOOKUP(Table2[[#This Row],[Adjusted Form '#]],[2]BILLED!$D:$D,[1]BILLED!$O:$O,"Not Found")</f>
        <v>#REF!</v>
      </c>
      <c r="Y1398" s="17" t="e">
        <f>_xlfn.XLOOKUP(Table2[[#This Row],[Adjusted Form '#]],'[2]REJECTED ORDERS'!$D:$D,'[2]REJECTED ORDERS'!$E:$E)</f>
        <v>#N/A</v>
      </c>
      <c r="Z1398" s="1"/>
      <c r="AA1398" s="1"/>
    </row>
    <row r="1399" spans="1:27" ht="15" customHeight="1" x14ac:dyDescent="0.35">
      <c r="A1399" s="4" t="s">
        <v>2084</v>
      </c>
      <c r="B1399" s="1" t="s">
        <v>1568</v>
      </c>
      <c r="C1399" s="11">
        <v>45121</v>
      </c>
      <c r="D1399" s="11" t="s">
        <v>6376</v>
      </c>
      <c r="E1399" s="1" t="s">
        <v>21</v>
      </c>
      <c r="F1399" s="1" t="s">
        <v>6372</v>
      </c>
      <c r="G1399" s="6">
        <f>COUNTIF(F:F,Table2[[#This Row],[Form '#]])</f>
        <v>1</v>
      </c>
      <c r="H1399" s="1" t="s">
        <v>582</v>
      </c>
      <c r="I1399" s="1" t="s">
        <v>3852</v>
      </c>
      <c r="J1399" s="1" t="s">
        <v>80</v>
      </c>
      <c r="K1399" s="1" t="s">
        <v>4011</v>
      </c>
      <c r="L1399" s="1"/>
      <c r="M1399" s="6" t="str">
        <f>IF(Table2[[#This Row],[Corrected Form '#
 (If Duplicated)]]="",Table2[[#This Row],[Form '#]],Table2[[#This Row],[Corrected Form '#
 (If Duplicated)]])</f>
        <v>7818-29794</v>
      </c>
      <c r="N1399" s="1" t="s">
        <v>49</v>
      </c>
      <c r="O1399" s="6" t="str">
        <f>IF(Table2[[#This Row],[POG CONFIRMATION RECEIPT OF ORDER
(DATE &amp; TIME)]]="","No Confirmation","Received Confirmation")</f>
        <v>Received Confirmation</v>
      </c>
      <c r="P1399" s="6">
        <f ca="1">TODAY()-Table2[[#This Row],[DATE SENT TO POG]]</f>
        <v>182</v>
      </c>
      <c r="Q1399" s="6" t="s">
        <v>5803</v>
      </c>
      <c r="R13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3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399" s="2" t="str">
        <f>_xlfn.XLOOKUP(Table2[[#This Row],[Adjusted Form '#]],'[2]IN PROGRESS'!$D:$D,'[2]IN PROGRESS'!$M:$M,"Not Found")</f>
        <v>Not Found</v>
      </c>
      <c r="U1399" s="2" t="str">
        <f>_xlfn.XLOOKUP(Table2[[#This Row],[Adjusted Form '#]],[1]COMPLETED!$D:$D,[2]COMPLETED!$M:$M,"Not Found")</f>
        <v>Not Found</v>
      </c>
      <c r="V1399" s="17" t="str">
        <f>_xlfn.XLOOKUP(Table2[[#This Row],[Adjusted Form '#]],[2]COMPLETED!$D:$D,[2]COMPLETED!$O:$O,"Not Found")</f>
        <v>Not Found</v>
      </c>
      <c r="W1399" s="2" t="str">
        <f>_xlfn.XLOOKUP(Table2[[#This Row],[Adjusted Form '#]],[2]BILLED!$D:$D,[2]BILLED!$M:$M,"Not Found")</f>
        <v>9400 1361 0605 3151 7858 98</v>
      </c>
      <c r="X1399" s="17" t="e">
        <f>_xlfn.XLOOKUP(Table2[[#This Row],[Adjusted Form '#]],[2]BILLED!$D:$D,[1]BILLED!$O:$O,"Not Found")</f>
        <v>#REF!</v>
      </c>
      <c r="Y1399" s="17" t="e">
        <f>_xlfn.XLOOKUP(Table2[[#This Row],[Adjusted Form '#]],'[2]REJECTED ORDERS'!$D:$D,'[2]REJECTED ORDERS'!$E:$E)</f>
        <v>#N/A</v>
      </c>
      <c r="Z1399" s="1"/>
      <c r="AA1399" s="1"/>
    </row>
    <row r="1400" spans="1:27" ht="13" customHeight="1" x14ac:dyDescent="0.35">
      <c r="A1400" s="4" t="s">
        <v>2086</v>
      </c>
      <c r="B1400" s="1" t="s">
        <v>3458</v>
      </c>
      <c r="C1400" s="11">
        <v>45121</v>
      </c>
      <c r="D1400" s="11" t="s">
        <v>6375</v>
      </c>
      <c r="E1400" s="1" t="s">
        <v>21</v>
      </c>
      <c r="F1400" s="1" t="s">
        <v>6373</v>
      </c>
      <c r="G1400" s="6">
        <f>COUNTIF(F:F,Table2[[#This Row],[Form '#]])</f>
        <v>1</v>
      </c>
      <c r="H1400" s="1" t="s">
        <v>6374</v>
      </c>
      <c r="I1400" s="1" t="s">
        <v>127</v>
      </c>
      <c r="J1400" s="1" t="s">
        <v>76</v>
      </c>
      <c r="K1400" s="1" t="s">
        <v>3883</v>
      </c>
      <c r="L1400" s="1"/>
      <c r="M1400" s="6" t="str">
        <f>IF(Table2[[#This Row],[Corrected Form '#
 (If Duplicated)]]="",Table2[[#This Row],[Form '#]],Table2[[#This Row],[Corrected Form '#
 (If Duplicated)]])</f>
        <v>7818-25283</v>
      </c>
      <c r="N1400" s="1" t="s">
        <v>49</v>
      </c>
      <c r="O1400" s="6" t="str">
        <f>IF(Table2[[#This Row],[POG CONFIRMATION RECEIPT OF ORDER
(DATE &amp; TIME)]]="","No Confirmation","Received Confirmation")</f>
        <v>Received Confirmation</v>
      </c>
      <c r="P1400" s="6">
        <f ca="1">TODAY()-Table2[[#This Row],[DATE SENT TO POG]]</f>
        <v>182</v>
      </c>
      <c r="Q1400" s="6" t="s">
        <v>5803</v>
      </c>
      <c r="R14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0" s="2" t="str">
        <f>_xlfn.XLOOKUP(Table2[[#This Row],[Adjusted Form '#]],'[2]IN PROGRESS'!$D:$D,'[2]IN PROGRESS'!$M:$M,"Not Found")</f>
        <v>Not Found</v>
      </c>
      <c r="U1400" s="2" t="str">
        <f>_xlfn.XLOOKUP(Table2[[#This Row],[Adjusted Form '#]],[1]COMPLETED!$D:$D,[2]COMPLETED!$M:$M,"Not Found")</f>
        <v>Not Found</v>
      </c>
      <c r="V1400" s="17" t="str">
        <f>_xlfn.XLOOKUP(Table2[[#This Row],[Adjusted Form '#]],[2]COMPLETED!$D:$D,[2]COMPLETED!$O:$O,"Not Found")</f>
        <v>Not Found</v>
      </c>
      <c r="W1400" s="2" t="str">
        <f>_xlfn.XLOOKUP(Table2[[#This Row],[Adjusted Form '#]],[2]BILLED!$D:$D,[2]BILLED!$M:$M,"Not Found")</f>
        <v>9400 1361 0605 3134 1681 20</v>
      </c>
      <c r="X1400" s="17" t="e">
        <f>_xlfn.XLOOKUP(Table2[[#This Row],[Adjusted Form '#]],[2]BILLED!$D:$D,[1]BILLED!$O:$O,"Not Found")</f>
        <v>#REF!</v>
      </c>
      <c r="Y1400" s="17" t="e">
        <f>_xlfn.XLOOKUP(Table2[[#This Row],[Adjusted Form '#]],'[2]REJECTED ORDERS'!$D:$D,'[2]REJECTED ORDERS'!$E:$E)</f>
        <v>#N/A</v>
      </c>
      <c r="Z1400" s="1"/>
      <c r="AA1400" s="1"/>
    </row>
    <row r="1401" spans="1:27" ht="15" customHeight="1" x14ac:dyDescent="0.35">
      <c r="A1401" s="4" t="s">
        <v>2087</v>
      </c>
      <c r="B1401" s="1" t="s">
        <v>646</v>
      </c>
      <c r="C1401" s="11">
        <v>45124</v>
      </c>
      <c r="D1401" s="11" t="s">
        <v>6380</v>
      </c>
      <c r="E1401" s="1" t="s">
        <v>21</v>
      </c>
      <c r="F1401" s="1" t="s">
        <v>6381</v>
      </c>
      <c r="G1401" s="6">
        <f>COUNTIF(F:F,Table2[[#This Row],[Form '#]])</f>
        <v>1</v>
      </c>
      <c r="H1401" s="1" t="s">
        <v>2276</v>
      </c>
      <c r="I1401" s="1" t="s">
        <v>3852</v>
      </c>
      <c r="J1401" s="1" t="s">
        <v>80</v>
      </c>
      <c r="K1401" s="1" t="s">
        <v>4430</v>
      </c>
      <c r="L1401" s="1"/>
      <c r="M1401" s="6" t="str">
        <f>IF(Table2[[#This Row],[Corrected Form '#
 (If Duplicated)]]="",Table2[[#This Row],[Form '#]],Table2[[#This Row],[Corrected Form '#
 (If Duplicated)]])</f>
        <v>7818-14518</v>
      </c>
      <c r="N1401" s="1" t="s">
        <v>49</v>
      </c>
      <c r="O1401" s="6" t="str">
        <f>IF(Table2[[#This Row],[POG CONFIRMATION RECEIPT OF ORDER
(DATE &amp; TIME)]]="","No Confirmation","Received Confirmation")</f>
        <v>Received Confirmation</v>
      </c>
      <c r="P1401" s="6">
        <f ca="1">TODAY()-Table2[[#This Row],[DATE SENT TO POG]]</f>
        <v>179</v>
      </c>
      <c r="Q1401" s="6" t="s">
        <v>5803</v>
      </c>
      <c r="R14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1" s="2" t="str">
        <f>_xlfn.XLOOKUP(Table2[[#This Row],[Adjusted Form '#]],'[2]IN PROGRESS'!$D:$D,'[2]IN PROGRESS'!$M:$M,"Not Found")</f>
        <v>Not Found</v>
      </c>
      <c r="U1401" s="2" t="str">
        <f>_xlfn.XLOOKUP(Table2[[#This Row],[Adjusted Form '#]],[1]COMPLETED!$D:$D,[2]COMPLETED!$M:$M,"Not Found")</f>
        <v>Not Found</v>
      </c>
      <c r="V1401" s="17" t="str">
        <f>_xlfn.XLOOKUP(Table2[[#This Row],[Adjusted Form '#]],[2]COMPLETED!$D:$D,[2]COMPLETED!$O:$O,"Not Found")</f>
        <v>Not Found</v>
      </c>
      <c r="W1401" s="2" t="str">
        <f>_xlfn.XLOOKUP(Table2[[#This Row],[Adjusted Form '#]],[2]BILLED!$D:$D,[2]BILLED!$M:$M,"Not Found")</f>
        <v>9400 1361 0605 3150 4641 90</v>
      </c>
      <c r="X1401" s="17" t="e">
        <f>_xlfn.XLOOKUP(Table2[[#This Row],[Adjusted Form '#]],[2]BILLED!$D:$D,[1]BILLED!$O:$O,"Not Found")</f>
        <v>#REF!</v>
      </c>
      <c r="Y1401" s="17" t="e">
        <f>_xlfn.XLOOKUP(Table2[[#This Row],[Adjusted Form '#]],'[2]REJECTED ORDERS'!$D:$D,'[2]REJECTED ORDERS'!$E:$E)</f>
        <v>#N/A</v>
      </c>
      <c r="Z1401" s="1"/>
      <c r="AA1401" s="1"/>
    </row>
    <row r="1402" spans="1:27" ht="15" customHeight="1" x14ac:dyDescent="0.35">
      <c r="A1402" s="4" t="s">
        <v>2088</v>
      </c>
      <c r="B1402" s="1" t="s">
        <v>646</v>
      </c>
      <c r="C1402" s="11">
        <v>45124</v>
      </c>
      <c r="D1402" s="11" t="s">
        <v>6380</v>
      </c>
      <c r="E1402" s="1" t="s">
        <v>21</v>
      </c>
      <c r="F1402" s="1" t="s">
        <v>6382</v>
      </c>
      <c r="G1402" s="6">
        <f>COUNTIF(F:F,Table2[[#This Row],[Form '#]])</f>
        <v>1</v>
      </c>
      <c r="H1402" s="1" t="s">
        <v>125</v>
      </c>
      <c r="I1402" s="1" t="s">
        <v>3852</v>
      </c>
      <c r="J1402" s="1" t="s">
        <v>3891</v>
      </c>
      <c r="K1402" s="1" t="s">
        <v>3853</v>
      </c>
      <c r="L1402" s="1"/>
      <c r="M1402" s="6" t="str">
        <f>IF(Table2[[#This Row],[Corrected Form '#
 (If Duplicated)]]="",Table2[[#This Row],[Form '#]],Table2[[#This Row],[Corrected Form '#
 (If Duplicated)]])</f>
        <v>7818-28173</v>
      </c>
      <c r="N1402" s="1" t="s">
        <v>49</v>
      </c>
      <c r="O1402" s="6" t="str">
        <f>IF(Table2[[#This Row],[POG CONFIRMATION RECEIPT OF ORDER
(DATE &amp; TIME)]]="","No Confirmation","Received Confirmation")</f>
        <v>Received Confirmation</v>
      </c>
      <c r="P1402" s="6">
        <f ca="1">TODAY()-Table2[[#This Row],[DATE SENT TO POG]]</f>
        <v>179</v>
      </c>
      <c r="Q1402" s="6" t="s">
        <v>5803</v>
      </c>
      <c r="R14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2" s="2" t="str">
        <f>_xlfn.XLOOKUP(Table2[[#This Row],[Adjusted Form '#]],'[2]IN PROGRESS'!$D:$D,'[2]IN PROGRESS'!$M:$M,"Not Found")</f>
        <v>Not Found</v>
      </c>
      <c r="U1402" s="2" t="str">
        <f>_xlfn.XLOOKUP(Table2[[#This Row],[Adjusted Form '#]],[1]COMPLETED!$D:$D,[2]COMPLETED!$M:$M,"Not Found")</f>
        <v>Not Found</v>
      </c>
      <c r="V1402" s="17" t="str">
        <f>_xlfn.XLOOKUP(Table2[[#This Row],[Adjusted Form '#]],[2]COMPLETED!$D:$D,[2]COMPLETED!$O:$O,"Not Found")</f>
        <v>Not Found</v>
      </c>
      <c r="W1402" s="2" t="str">
        <f>_xlfn.XLOOKUP(Table2[[#This Row],[Adjusted Form '#]],[2]BILLED!$D:$D,[2]BILLED!$M:$M,"Not Found")</f>
        <v>9400 1361 0605 3154 0324 87</v>
      </c>
      <c r="X1402" s="17" t="e">
        <f>_xlfn.XLOOKUP(Table2[[#This Row],[Adjusted Form '#]],[2]BILLED!$D:$D,[1]BILLED!$O:$O,"Not Found")</f>
        <v>#REF!</v>
      </c>
      <c r="Y1402" s="17" t="e">
        <f>_xlfn.XLOOKUP(Table2[[#This Row],[Adjusted Form '#]],'[2]REJECTED ORDERS'!$D:$D,'[2]REJECTED ORDERS'!$E:$E)</f>
        <v>#N/A</v>
      </c>
      <c r="Z1402" s="1"/>
      <c r="AA1402" s="1"/>
    </row>
    <row r="1403" spans="1:27" ht="15" customHeight="1" x14ac:dyDescent="0.35">
      <c r="A1403" s="4" t="s">
        <v>2089</v>
      </c>
      <c r="B1403" s="1" t="s">
        <v>571</v>
      </c>
      <c r="C1403" s="11">
        <v>45124</v>
      </c>
      <c r="D1403" s="11" t="s">
        <v>6383</v>
      </c>
      <c r="E1403" s="1" t="s">
        <v>191</v>
      </c>
      <c r="F1403" s="1" t="s">
        <v>6384</v>
      </c>
      <c r="G1403" s="6">
        <f>COUNTIF(F:F,Table2[[#This Row],[Form '#]])</f>
        <v>1</v>
      </c>
      <c r="H1403" s="1" t="s">
        <v>6385</v>
      </c>
      <c r="I1403" s="1" t="s">
        <v>3852</v>
      </c>
      <c r="J1403" s="1" t="s">
        <v>3891</v>
      </c>
      <c r="K1403" s="1" t="s">
        <v>3891</v>
      </c>
      <c r="L1403" s="1"/>
      <c r="M1403" s="6" t="str">
        <f>IF(Table2[[#This Row],[Corrected Form '#
 (If Duplicated)]]="",Table2[[#This Row],[Form '#]],Table2[[#This Row],[Corrected Form '#
 (If Duplicated)]])</f>
        <v>7812-01806</v>
      </c>
      <c r="N1403" s="1" t="s">
        <v>49</v>
      </c>
      <c r="O1403" s="6" t="str">
        <f>IF(Table2[[#This Row],[POG CONFIRMATION RECEIPT OF ORDER
(DATE &amp; TIME)]]="","No Confirmation","Received Confirmation")</f>
        <v>Received Confirmation</v>
      </c>
      <c r="P1403" s="6">
        <f ca="1">TODAY()-Table2[[#This Row],[DATE SENT TO POG]]</f>
        <v>179</v>
      </c>
      <c r="Q1403" s="6" t="s">
        <v>5803</v>
      </c>
      <c r="R14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3" s="2" t="str">
        <f>_xlfn.XLOOKUP(Table2[[#This Row],[Adjusted Form '#]],'[2]IN PROGRESS'!$D:$D,'[2]IN PROGRESS'!$M:$M,"Not Found")</f>
        <v>Not Found</v>
      </c>
      <c r="U1403" s="2" t="str">
        <f>_xlfn.XLOOKUP(Table2[[#This Row],[Adjusted Form '#]],[1]COMPLETED!$D:$D,[2]COMPLETED!$M:$M,"Not Found")</f>
        <v>Not Found</v>
      </c>
      <c r="V1403" s="17" t="str">
        <f>_xlfn.XLOOKUP(Table2[[#This Row],[Adjusted Form '#]],[2]COMPLETED!$D:$D,[2]COMPLETED!$O:$O,"Not Found")</f>
        <v>Not Found</v>
      </c>
      <c r="W1403" s="2" t="str">
        <f>_xlfn.XLOOKUP(Table2[[#This Row],[Adjusted Form '#]],[2]BILLED!$D:$D,[2]BILLED!$M:$M,"Not Found")</f>
        <v>9400 1361 0605 3153 6903 43</v>
      </c>
      <c r="X1403" s="17" t="e">
        <f>_xlfn.XLOOKUP(Table2[[#This Row],[Adjusted Form '#]],[2]BILLED!$D:$D,[1]BILLED!$O:$O,"Not Found")</f>
        <v>#REF!</v>
      </c>
      <c r="Y1403" s="17" t="e">
        <f>_xlfn.XLOOKUP(Table2[[#This Row],[Adjusted Form '#]],'[2]REJECTED ORDERS'!$D:$D,'[2]REJECTED ORDERS'!$E:$E)</f>
        <v>#N/A</v>
      </c>
      <c r="Z1403" s="1"/>
      <c r="AA1403" s="1"/>
    </row>
    <row r="1404" spans="1:27" ht="15" customHeight="1" x14ac:dyDescent="0.35">
      <c r="A1404" s="4" t="s">
        <v>2090</v>
      </c>
      <c r="B1404" s="1" t="s">
        <v>1307</v>
      </c>
      <c r="C1404" s="11">
        <v>45125</v>
      </c>
      <c r="D1404" s="11" t="s">
        <v>6386</v>
      </c>
      <c r="E1404" s="1" t="s">
        <v>21</v>
      </c>
      <c r="F1404" s="1" t="s">
        <v>6387</v>
      </c>
      <c r="G1404" s="6">
        <f>COUNTIF(F:F,Table2[[#This Row],[Form '#]])</f>
        <v>1</v>
      </c>
      <c r="H1404" s="1" t="s">
        <v>6388</v>
      </c>
      <c r="I1404" s="1" t="s">
        <v>3864</v>
      </c>
      <c r="J1404" s="1" t="s">
        <v>78</v>
      </c>
      <c r="K1404" s="1" t="s">
        <v>3879</v>
      </c>
      <c r="L1404" s="1"/>
      <c r="M1404" s="6" t="str">
        <f>IF(Table2[[#This Row],[Corrected Form '#
 (If Duplicated)]]="",Table2[[#This Row],[Form '#]],Table2[[#This Row],[Corrected Form '#
 (If Duplicated)]])</f>
        <v>7818-19659</v>
      </c>
      <c r="N1404" s="1" t="s">
        <v>49</v>
      </c>
      <c r="O1404" s="6" t="str">
        <f>IF(Table2[[#This Row],[POG CONFIRMATION RECEIPT OF ORDER
(DATE &amp; TIME)]]="","No Confirmation","Received Confirmation")</f>
        <v>Received Confirmation</v>
      </c>
      <c r="P1404" s="6">
        <f ca="1">TODAY()-Table2[[#This Row],[DATE SENT TO POG]]</f>
        <v>178</v>
      </c>
      <c r="Q1404" s="6" t="s">
        <v>5803</v>
      </c>
      <c r="R14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4" s="2" t="str">
        <f>_xlfn.XLOOKUP(Table2[[#This Row],[Adjusted Form '#]],'[2]IN PROGRESS'!$D:$D,'[2]IN PROGRESS'!$M:$M,"Not Found")</f>
        <v>Not Found</v>
      </c>
      <c r="U1404" s="2" t="str">
        <f>_xlfn.XLOOKUP(Table2[[#This Row],[Adjusted Form '#]],[1]COMPLETED!$D:$D,[2]COMPLETED!$M:$M,"Not Found")</f>
        <v>Not Found</v>
      </c>
      <c r="V1404" s="17" t="str">
        <f>_xlfn.XLOOKUP(Table2[[#This Row],[Adjusted Form '#]],[2]COMPLETED!$D:$D,[2]COMPLETED!$O:$O,"Not Found")</f>
        <v>Not Found</v>
      </c>
      <c r="W1404" s="2" t="str">
        <f>_xlfn.XLOOKUP(Table2[[#This Row],[Adjusted Form '#]],[2]BILLED!$D:$D,[2]BILLED!$M:$M,"Not Found")</f>
        <v>9402 1112 0620 9870 9334 52</v>
      </c>
      <c r="X1404" s="17" t="e">
        <f>_xlfn.XLOOKUP(Table2[[#This Row],[Adjusted Form '#]],[2]BILLED!$D:$D,[1]BILLED!$O:$O,"Not Found")</f>
        <v>#REF!</v>
      </c>
      <c r="Y1404" s="17" t="e">
        <f>_xlfn.XLOOKUP(Table2[[#This Row],[Adjusted Form '#]],'[2]REJECTED ORDERS'!$D:$D,'[2]REJECTED ORDERS'!$E:$E)</f>
        <v>#N/A</v>
      </c>
      <c r="Z1404" s="1"/>
      <c r="AA1404" s="1"/>
    </row>
    <row r="1405" spans="1:27" ht="15" customHeight="1" x14ac:dyDescent="0.35">
      <c r="A1405" s="4" t="s">
        <v>2092</v>
      </c>
      <c r="B1405" s="1" t="s">
        <v>1170</v>
      </c>
      <c r="C1405" s="11">
        <v>45125</v>
      </c>
      <c r="D1405" s="11" t="s">
        <v>6389</v>
      </c>
      <c r="E1405" s="1" t="s">
        <v>14</v>
      </c>
      <c r="F1405" s="1" t="s">
        <v>6390</v>
      </c>
      <c r="G1405" s="6">
        <f>COUNTIF(F:F,Table2[[#This Row],[Form '#]])</f>
        <v>1</v>
      </c>
      <c r="H1405" s="1" t="s">
        <v>797</v>
      </c>
      <c r="I1405" s="1" t="s">
        <v>177</v>
      </c>
      <c r="J1405" s="1" t="s">
        <v>75</v>
      </c>
      <c r="K1405" s="1" t="s">
        <v>3853</v>
      </c>
      <c r="L1405" s="1"/>
      <c r="M1405" s="6" t="str">
        <f>IF(Table2[[#This Row],[Corrected Form '#
 (If Duplicated)]]="",Table2[[#This Row],[Form '#]],Table2[[#This Row],[Corrected Form '#
 (If Duplicated)]])</f>
        <v>7810-02173</v>
      </c>
      <c r="N1405" s="1" t="s">
        <v>49</v>
      </c>
      <c r="O1405" s="6" t="str">
        <f>IF(Table2[[#This Row],[POG CONFIRMATION RECEIPT OF ORDER
(DATE &amp; TIME)]]="","No Confirmation","Received Confirmation")</f>
        <v>Received Confirmation</v>
      </c>
      <c r="P1405" s="6">
        <f ca="1">TODAY()-Table2[[#This Row],[DATE SENT TO POG]]</f>
        <v>178</v>
      </c>
      <c r="Q1405" s="6" t="s">
        <v>5803</v>
      </c>
      <c r="R14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5" s="2" t="str">
        <f>_xlfn.XLOOKUP(Table2[[#This Row],[Adjusted Form '#]],'[2]IN PROGRESS'!$D:$D,'[2]IN PROGRESS'!$M:$M,"Not Found")</f>
        <v>Not Found</v>
      </c>
      <c r="U1405" s="2" t="str">
        <f>_xlfn.XLOOKUP(Table2[[#This Row],[Adjusted Form '#]],[1]COMPLETED!$D:$D,[2]COMPLETED!$M:$M,"Not Found")</f>
        <v>Not Found</v>
      </c>
      <c r="V1405" s="17" t="str">
        <f>_xlfn.XLOOKUP(Table2[[#This Row],[Adjusted Form '#]],[2]COMPLETED!$D:$D,[2]COMPLETED!$O:$O,"Not Found")</f>
        <v>Not Found</v>
      </c>
      <c r="W1405" s="2" t="str">
        <f>_xlfn.XLOOKUP(Table2[[#This Row],[Adjusted Form '#]],[2]BILLED!$D:$D,[2]BILLED!$M:$M,"Not Found")</f>
        <v>9400 1361 0605 3233 8709 00</v>
      </c>
      <c r="X1405" s="17" t="e">
        <f>_xlfn.XLOOKUP(Table2[[#This Row],[Adjusted Form '#]],[2]BILLED!$D:$D,[1]BILLED!$O:$O,"Not Found")</f>
        <v>#REF!</v>
      </c>
      <c r="Y1405" s="17" t="e">
        <f>_xlfn.XLOOKUP(Table2[[#This Row],[Adjusted Form '#]],'[2]REJECTED ORDERS'!$D:$D,'[2]REJECTED ORDERS'!$E:$E)</f>
        <v>#N/A</v>
      </c>
      <c r="Z1405" s="1"/>
      <c r="AA1405" s="1"/>
    </row>
    <row r="1406" spans="1:27" ht="15" customHeight="1" x14ac:dyDescent="0.35">
      <c r="A1406" s="4" t="s">
        <v>2093</v>
      </c>
      <c r="B1406" s="1" t="s">
        <v>3601</v>
      </c>
      <c r="C1406" s="11">
        <v>45126</v>
      </c>
      <c r="D1406" s="11" t="s">
        <v>6393</v>
      </c>
      <c r="E1406" s="1" t="s">
        <v>21</v>
      </c>
      <c r="F1406" s="1" t="s">
        <v>6391</v>
      </c>
      <c r="G1406" s="6">
        <f>COUNTIF(F:F,Table2[[#This Row],[Form '#]])</f>
        <v>1</v>
      </c>
      <c r="H1406" s="1" t="s">
        <v>6392</v>
      </c>
      <c r="I1406" s="1" t="s">
        <v>3852</v>
      </c>
      <c r="J1406" s="1" t="s">
        <v>80</v>
      </c>
      <c r="K1406" s="1" t="s">
        <v>3853</v>
      </c>
      <c r="L1406" s="1"/>
      <c r="M1406" s="6" t="str">
        <f>IF(Table2[[#This Row],[Corrected Form '#
 (If Duplicated)]]="",Table2[[#This Row],[Form '#]],Table2[[#This Row],[Corrected Form '#
 (If Duplicated)]])</f>
        <v>7818-28229</v>
      </c>
      <c r="N1406" s="1" t="s">
        <v>49</v>
      </c>
      <c r="O1406" s="6" t="str">
        <f>IF(Table2[[#This Row],[POG CONFIRMATION RECEIPT OF ORDER
(DATE &amp; TIME)]]="","No Confirmation","Received Confirmation")</f>
        <v>Received Confirmation</v>
      </c>
      <c r="P1406" s="6">
        <f ca="1">TODAY()-Table2[[#This Row],[DATE SENT TO POG]]</f>
        <v>177</v>
      </c>
      <c r="Q1406" s="6" t="s">
        <v>5803</v>
      </c>
      <c r="R14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6" s="2" t="str">
        <f>_xlfn.XLOOKUP(Table2[[#This Row],[Adjusted Form '#]],'[2]IN PROGRESS'!$D:$D,'[2]IN PROGRESS'!$M:$M,"Not Found")</f>
        <v>Not Found</v>
      </c>
      <c r="U1406" s="2" t="str">
        <f>_xlfn.XLOOKUP(Table2[[#This Row],[Adjusted Form '#]],[1]COMPLETED!$D:$D,[2]COMPLETED!$M:$M,"Not Found")</f>
        <v>Not Found</v>
      </c>
      <c r="V1406" s="17" t="str">
        <f>_xlfn.XLOOKUP(Table2[[#This Row],[Adjusted Form '#]],[2]COMPLETED!$D:$D,[2]COMPLETED!$O:$O,"Not Found")</f>
        <v>Not Found</v>
      </c>
      <c r="W1406" s="2" t="str">
        <f>_xlfn.XLOOKUP(Table2[[#This Row],[Adjusted Form '#]],[2]BILLED!$D:$D,[2]BILLED!$M:$M,"Not Found")</f>
        <v>9400 1361 0605 3151 7203 18</v>
      </c>
      <c r="X1406" s="17" t="e">
        <f>_xlfn.XLOOKUP(Table2[[#This Row],[Adjusted Form '#]],[2]BILLED!$D:$D,[1]BILLED!$O:$O,"Not Found")</f>
        <v>#REF!</v>
      </c>
      <c r="Y1406" s="17" t="e">
        <f>_xlfn.XLOOKUP(Table2[[#This Row],[Adjusted Form '#]],'[2]REJECTED ORDERS'!$D:$D,'[2]REJECTED ORDERS'!$E:$E)</f>
        <v>#N/A</v>
      </c>
      <c r="Z1406" s="1"/>
      <c r="AA1406" s="1"/>
    </row>
    <row r="1407" spans="1:27" ht="15" customHeight="1" x14ac:dyDescent="0.35">
      <c r="A1407" s="4" t="s">
        <v>2094</v>
      </c>
      <c r="B1407" s="1" t="s">
        <v>803</v>
      </c>
      <c r="C1407" s="11">
        <v>45126</v>
      </c>
      <c r="D1407" s="11" t="s">
        <v>6400</v>
      </c>
      <c r="E1407" s="1" t="s">
        <v>21</v>
      </c>
      <c r="F1407" s="1" t="s">
        <v>6394</v>
      </c>
      <c r="G1407" s="6">
        <f>COUNTIF(F:F,Table2[[#This Row],[Form '#]])</f>
        <v>1</v>
      </c>
      <c r="H1407" s="1" t="s">
        <v>1091</v>
      </c>
      <c r="I1407" s="1" t="s">
        <v>28</v>
      </c>
      <c r="J1407" s="1" t="s">
        <v>69</v>
      </c>
      <c r="K1407" s="1" t="s">
        <v>4011</v>
      </c>
      <c r="L1407" s="1"/>
      <c r="M1407" s="6" t="str">
        <f>IF(Table2[[#This Row],[Corrected Form '#
 (If Duplicated)]]="",Table2[[#This Row],[Form '#]],Table2[[#This Row],[Corrected Form '#
 (If Duplicated)]])</f>
        <v>7818-29571</v>
      </c>
      <c r="N1407" s="1" t="s">
        <v>49</v>
      </c>
      <c r="O1407" s="6" t="str">
        <f>IF(Table2[[#This Row],[POG CONFIRMATION RECEIPT OF ORDER
(DATE &amp; TIME)]]="","No Confirmation","Received Confirmation")</f>
        <v>Received Confirmation</v>
      </c>
      <c r="P1407" s="6">
        <f ca="1">TODAY()-Table2[[#This Row],[DATE SENT TO POG]]</f>
        <v>177</v>
      </c>
      <c r="Q1407" s="6" t="s">
        <v>5803</v>
      </c>
      <c r="R14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7" s="2" t="str">
        <f>_xlfn.XLOOKUP(Table2[[#This Row],[Adjusted Form '#]],'[2]IN PROGRESS'!$D:$D,'[2]IN PROGRESS'!$M:$M,"Not Found")</f>
        <v>Not Found</v>
      </c>
      <c r="U1407" s="2" t="str">
        <f>_xlfn.XLOOKUP(Table2[[#This Row],[Adjusted Form '#]],[1]COMPLETED!$D:$D,[2]COMPLETED!$M:$M,"Not Found")</f>
        <v>Not Found</v>
      </c>
      <c r="V1407" s="17" t="str">
        <f>_xlfn.XLOOKUP(Table2[[#This Row],[Adjusted Form '#]],[2]COMPLETED!$D:$D,[2]COMPLETED!$O:$O,"Not Found")</f>
        <v>Not Found</v>
      </c>
      <c r="W1407" s="2" t="str">
        <f>_xlfn.XLOOKUP(Table2[[#This Row],[Adjusted Form '#]],[2]BILLED!$D:$D,[2]BILLED!$M:$M,"Not Found")</f>
        <v>9400 1361 0605 3153 8569 47</v>
      </c>
      <c r="X1407" s="17" t="e">
        <f>_xlfn.XLOOKUP(Table2[[#This Row],[Adjusted Form '#]],[2]BILLED!$D:$D,[1]BILLED!$O:$O,"Not Found")</f>
        <v>#REF!</v>
      </c>
      <c r="Y1407" s="17" t="e">
        <f>_xlfn.XLOOKUP(Table2[[#This Row],[Adjusted Form '#]],'[2]REJECTED ORDERS'!$D:$D,'[2]REJECTED ORDERS'!$E:$E)</f>
        <v>#N/A</v>
      </c>
      <c r="Z1407" s="1"/>
      <c r="AA1407" s="1"/>
    </row>
    <row r="1408" spans="1:27" ht="15" customHeight="1" x14ac:dyDescent="0.35">
      <c r="A1408" s="4" t="s">
        <v>2095</v>
      </c>
      <c r="B1408" s="1" t="s">
        <v>803</v>
      </c>
      <c r="C1408" s="11">
        <v>45126</v>
      </c>
      <c r="D1408" s="11" t="s">
        <v>6400</v>
      </c>
      <c r="E1408" s="1" t="s">
        <v>21</v>
      </c>
      <c r="F1408" s="1" t="s">
        <v>6395</v>
      </c>
      <c r="G1408" s="6">
        <f>COUNTIF(F:F,Table2[[#This Row],[Form '#]])</f>
        <v>1</v>
      </c>
      <c r="H1408" s="1" t="s">
        <v>1087</v>
      </c>
      <c r="I1408" s="1" t="s">
        <v>127</v>
      </c>
      <c r="J1408" s="1" t="s">
        <v>74</v>
      </c>
      <c r="K1408" s="1" t="s">
        <v>4011</v>
      </c>
      <c r="L1408" s="1"/>
      <c r="M1408" s="6" t="str">
        <f>IF(Table2[[#This Row],[Corrected Form '#
 (If Duplicated)]]="",Table2[[#This Row],[Form '#]],Table2[[#This Row],[Corrected Form '#
 (If Duplicated)]])</f>
        <v>7818-29570</v>
      </c>
      <c r="N1408" s="1" t="s">
        <v>49</v>
      </c>
      <c r="O1408" s="6" t="str">
        <f>IF(Table2[[#This Row],[POG CONFIRMATION RECEIPT OF ORDER
(DATE &amp; TIME)]]="","No Confirmation","Received Confirmation")</f>
        <v>Received Confirmation</v>
      </c>
      <c r="P1408" s="6">
        <f ca="1">TODAY()-Table2[[#This Row],[DATE SENT TO POG]]</f>
        <v>177</v>
      </c>
      <c r="Q1408" s="6" t="s">
        <v>5803</v>
      </c>
      <c r="R14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8" s="2" t="str">
        <f>_xlfn.XLOOKUP(Table2[[#This Row],[Adjusted Form '#]],'[2]IN PROGRESS'!$D:$D,'[2]IN PROGRESS'!$M:$M,"Not Found")</f>
        <v>Not Found</v>
      </c>
      <c r="U1408" s="2" t="str">
        <f>_xlfn.XLOOKUP(Table2[[#This Row],[Adjusted Form '#]],[1]COMPLETED!$D:$D,[2]COMPLETED!$M:$M,"Not Found")</f>
        <v>Not Found</v>
      </c>
      <c r="V1408" s="17" t="str">
        <f>_xlfn.XLOOKUP(Table2[[#This Row],[Adjusted Form '#]],[2]COMPLETED!$D:$D,[2]COMPLETED!$O:$O,"Not Found")</f>
        <v>Not Found</v>
      </c>
      <c r="W1408" s="2" t="str">
        <f>_xlfn.XLOOKUP(Table2[[#This Row],[Adjusted Form '#]],[2]BILLED!$D:$D,[2]BILLED!$M:$M,"Not Found")</f>
        <v>9400 1361 0605 3138 2185 79</v>
      </c>
      <c r="X1408" s="17" t="e">
        <f>_xlfn.XLOOKUP(Table2[[#This Row],[Adjusted Form '#]],[2]BILLED!$D:$D,[1]BILLED!$O:$O,"Not Found")</f>
        <v>#REF!</v>
      </c>
      <c r="Y1408" s="17" t="e">
        <f>_xlfn.XLOOKUP(Table2[[#This Row],[Adjusted Form '#]],'[2]REJECTED ORDERS'!$D:$D,'[2]REJECTED ORDERS'!$E:$E)</f>
        <v>#N/A</v>
      </c>
      <c r="Z1408" s="1"/>
      <c r="AA1408" s="1"/>
    </row>
    <row r="1409" spans="1:27" ht="15" customHeight="1" x14ac:dyDescent="0.35">
      <c r="A1409" s="4" t="s">
        <v>2097</v>
      </c>
      <c r="B1409" s="1" t="s">
        <v>803</v>
      </c>
      <c r="C1409" s="11">
        <v>45126</v>
      </c>
      <c r="D1409" s="11" t="s">
        <v>6400</v>
      </c>
      <c r="E1409" s="1" t="s">
        <v>21</v>
      </c>
      <c r="F1409" s="1" t="s">
        <v>6396</v>
      </c>
      <c r="G1409" s="6">
        <f>COUNTIF(F:F,Table2[[#This Row],[Form '#]])</f>
        <v>1</v>
      </c>
      <c r="H1409" s="1" t="s">
        <v>6397</v>
      </c>
      <c r="I1409" s="1" t="s">
        <v>3852</v>
      </c>
      <c r="J1409" s="1" t="s">
        <v>80</v>
      </c>
      <c r="K1409" s="1" t="s">
        <v>3853</v>
      </c>
      <c r="L1409" s="1"/>
      <c r="M1409" s="6" t="str">
        <f>IF(Table2[[#This Row],[Corrected Form '#
 (If Duplicated)]]="",Table2[[#This Row],[Form '#]],Table2[[#This Row],[Corrected Form '#
 (If Duplicated)]])</f>
        <v>7818-29001</v>
      </c>
      <c r="N1409" s="1" t="s">
        <v>49</v>
      </c>
      <c r="O1409" s="6" t="str">
        <f>IF(Table2[[#This Row],[POG CONFIRMATION RECEIPT OF ORDER
(DATE &amp; TIME)]]="","No Confirmation","Received Confirmation")</f>
        <v>Received Confirmation</v>
      </c>
      <c r="P1409" s="6">
        <f ca="1">TODAY()-Table2[[#This Row],[DATE SENT TO POG]]</f>
        <v>177</v>
      </c>
      <c r="Q1409" s="6" t="s">
        <v>5803</v>
      </c>
      <c r="R14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09" s="2" t="str">
        <f>_xlfn.XLOOKUP(Table2[[#This Row],[Adjusted Form '#]],'[2]IN PROGRESS'!$D:$D,'[2]IN PROGRESS'!$M:$M,"Not Found")</f>
        <v>Not Found</v>
      </c>
      <c r="U1409" s="2" t="str">
        <f>_xlfn.XLOOKUP(Table2[[#This Row],[Adjusted Form '#]],[1]COMPLETED!$D:$D,[2]COMPLETED!$M:$M,"Not Found")</f>
        <v>Not Found</v>
      </c>
      <c r="V1409" s="17" t="str">
        <f>_xlfn.XLOOKUP(Table2[[#This Row],[Adjusted Form '#]],[2]COMPLETED!$D:$D,[2]COMPLETED!$O:$O,"Not Found")</f>
        <v>Not Found</v>
      </c>
      <c r="W1409" s="2" t="str">
        <f>_xlfn.XLOOKUP(Table2[[#This Row],[Adjusted Form '#]],[2]BILLED!$D:$D,[2]BILLED!$M:$M,"Not Found")</f>
        <v>9400 1361 0605 3153 8898 39</v>
      </c>
      <c r="X1409" s="17" t="e">
        <f>_xlfn.XLOOKUP(Table2[[#This Row],[Adjusted Form '#]],[2]BILLED!$D:$D,[1]BILLED!$O:$O,"Not Found")</f>
        <v>#REF!</v>
      </c>
      <c r="Y1409" s="17" t="e">
        <f>_xlfn.XLOOKUP(Table2[[#This Row],[Adjusted Form '#]],'[2]REJECTED ORDERS'!$D:$D,'[2]REJECTED ORDERS'!$E:$E)</f>
        <v>#N/A</v>
      </c>
      <c r="Z1409" s="1"/>
      <c r="AA1409" s="1"/>
    </row>
    <row r="1410" spans="1:27" ht="15" customHeight="1" x14ac:dyDescent="0.35">
      <c r="A1410" s="4" t="s">
        <v>2099</v>
      </c>
      <c r="B1410" s="1" t="s">
        <v>803</v>
      </c>
      <c r="C1410" s="11">
        <v>45126</v>
      </c>
      <c r="D1410" s="11" t="s">
        <v>6400</v>
      </c>
      <c r="E1410" s="1" t="s">
        <v>21</v>
      </c>
      <c r="F1410" s="1" t="s">
        <v>6398</v>
      </c>
      <c r="G1410" s="6">
        <f>COUNTIF(F:F,Table2[[#This Row],[Form '#]])</f>
        <v>1</v>
      </c>
      <c r="H1410" s="1" t="s">
        <v>6399</v>
      </c>
      <c r="I1410" s="1" t="s">
        <v>3864</v>
      </c>
      <c r="J1410" s="1" t="s">
        <v>78</v>
      </c>
      <c r="K1410" s="1" t="s">
        <v>3879</v>
      </c>
      <c r="L1410" s="1"/>
      <c r="M1410" s="6" t="str">
        <f>IF(Table2[[#This Row],[Corrected Form '#
 (If Duplicated)]]="",Table2[[#This Row],[Form '#]],Table2[[#This Row],[Corrected Form '#
 (If Duplicated)]])</f>
        <v>7818-26898</v>
      </c>
      <c r="N1410" s="1" t="s">
        <v>49</v>
      </c>
      <c r="O1410" s="6" t="str">
        <f>IF(Table2[[#This Row],[POG CONFIRMATION RECEIPT OF ORDER
(DATE &amp; TIME)]]="","No Confirmation","Received Confirmation")</f>
        <v>Received Confirmation</v>
      </c>
      <c r="P1410" s="6">
        <f ca="1">TODAY()-Table2[[#This Row],[DATE SENT TO POG]]</f>
        <v>177</v>
      </c>
      <c r="Q1410" s="6" t="s">
        <v>5803</v>
      </c>
      <c r="R14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0" s="2" t="str">
        <f>_xlfn.XLOOKUP(Table2[[#This Row],[Adjusted Form '#]],'[2]IN PROGRESS'!$D:$D,'[2]IN PROGRESS'!$M:$M,"Not Found")</f>
        <v>Not Found</v>
      </c>
      <c r="U1410" s="2" t="str">
        <f>_xlfn.XLOOKUP(Table2[[#This Row],[Adjusted Form '#]],[1]COMPLETED!$D:$D,[2]COMPLETED!$M:$M,"Not Found")</f>
        <v>Not Found</v>
      </c>
      <c r="V1410" s="17" t="str">
        <f>_xlfn.XLOOKUP(Table2[[#This Row],[Adjusted Form '#]],[2]COMPLETED!$D:$D,[2]COMPLETED!$O:$O,"Not Found")</f>
        <v>Not Found</v>
      </c>
      <c r="W1410" s="2" t="str">
        <f>_xlfn.XLOOKUP(Table2[[#This Row],[Adjusted Form '#]],[2]BILLED!$D:$D,[2]BILLED!$M:$M,"Not Found")</f>
        <v>9400 1361 0605 3154 0061 05</v>
      </c>
      <c r="X1410" s="17" t="e">
        <f>_xlfn.XLOOKUP(Table2[[#This Row],[Adjusted Form '#]],[2]BILLED!$D:$D,[1]BILLED!$O:$O,"Not Found")</f>
        <v>#REF!</v>
      </c>
      <c r="Y1410" s="17" t="e">
        <f>_xlfn.XLOOKUP(Table2[[#This Row],[Adjusted Form '#]],'[2]REJECTED ORDERS'!$D:$D,'[2]REJECTED ORDERS'!$E:$E)</f>
        <v>#N/A</v>
      </c>
      <c r="Z1410" s="1"/>
      <c r="AA1410" s="1"/>
    </row>
    <row r="1411" spans="1:27" ht="15" customHeight="1" x14ac:dyDescent="0.35">
      <c r="A1411" s="4" t="s">
        <v>2101</v>
      </c>
      <c r="B1411" s="1" t="s">
        <v>818</v>
      </c>
      <c r="C1411" s="11">
        <v>45126</v>
      </c>
      <c r="D1411" s="11" t="s">
        <v>6403</v>
      </c>
      <c r="E1411" s="1" t="s">
        <v>3625</v>
      </c>
      <c r="F1411" s="1" t="s">
        <v>6401</v>
      </c>
      <c r="G1411" s="6">
        <f>COUNTIF(F:F,Table2[[#This Row],[Form '#]])</f>
        <v>1</v>
      </c>
      <c r="H1411" s="1" t="s">
        <v>6402</v>
      </c>
      <c r="I1411" s="1" t="s">
        <v>758</v>
      </c>
      <c r="J1411" s="1" t="s">
        <v>78</v>
      </c>
      <c r="K1411" s="1" t="s">
        <v>3853</v>
      </c>
      <c r="L1411" s="1"/>
      <c r="M1411" s="6" t="str">
        <f>IF(Table2[[#This Row],[Corrected Form '#
 (If Duplicated)]]="",Table2[[#This Row],[Form '#]],Table2[[#This Row],[Corrected Form '#
 (If Duplicated)]])</f>
        <v>7815-00119</v>
      </c>
      <c r="N1411" s="1" t="s">
        <v>49</v>
      </c>
      <c r="O1411" s="6" t="str">
        <f>IF(Table2[[#This Row],[POG CONFIRMATION RECEIPT OF ORDER
(DATE &amp; TIME)]]="","No Confirmation","Received Confirmation")</f>
        <v>Received Confirmation</v>
      </c>
      <c r="P1411" s="6">
        <f ca="1">TODAY()-Table2[[#This Row],[DATE SENT TO POG]]</f>
        <v>177</v>
      </c>
      <c r="Q1411" s="6" t="s">
        <v>5803</v>
      </c>
      <c r="R14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1" s="2" t="str">
        <f>_xlfn.XLOOKUP(Table2[[#This Row],[Adjusted Form '#]],'[2]IN PROGRESS'!$D:$D,'[2]IN PROGRESS'!$M:$M,"Not Found")</f>
        <v>Not Found</v>
      </c>
      <c r="U1411" s="2" t="str">
        <f>_xlfn.XLOOKUP(Table2[[#This Row],[Adjusted Form '#]],[1]COMPLETED!$D:$D,[2]COMPLETED!$M:$M,"Not Found")</f>
        <v>Not Found</v>
      </c>
      <c r="V1411" s="17" t="str">
        <f>_xlfn.XLOOKUP(Table2[[#This Row],[Adjusted Form '#]],[2]COMPLETED!$D:$D,[2]COMPLETED!$O:$O,"Not Found")</f>
        <v>Not Found</v>
      </c>
      <c r="W1411" s="2" t="str">
        <f>_xlfn.XLOOKUP(Table2[[#This Row],[Adjusted Form '#]],[2]BILLED!$D:$D,[2]BILLED!$M:$M,"Not Found")</f>
        <v>9400 1361 0605 3138 2320 01</v>
      </c>
      <c r="X1411" s="17" t="e">
        <f>_xlfn.XLOOKUP(Table2[[#This Row],[Adjusted Form '#]],[2]BILLED!$D:$D,[1]BILLED!$O:$O,"Not Found")</f>
        <v>#REF!</v>
      </c>
      <c r="Y1411" s="17" t="e">
        <f>_xlfn.XLOOKUP(Table2[[#This Row],[Adjusted Form '#]],'[2]REJECTED ORDERS'!$D:$D,'[2]REJECTED ORDERS'!$E:$E)</f>
        <v>#N/A</v>
      </c>
      <c r="Z1411" s="1"/>
      <c r="AA1411" s="1"/>
    </row>
    <row r="1412" spans="1:27" ht="15" customHeight="1" x14ac:dyDescent="0.35">
      <c r="A1412" s="4" t="s">
        <v>2103</v>
      </c>
      <c r="B1412" s="1" t="s">
        <v>888</v>
      </c>
      <c r="C1412" s="11">
        <v>45127</v>
      </c>
      <c r="E1412" s="1" t="s">
        <v>21</v>
      </c>
      <c r="F1412" s="1" t="s">
        <v>6404</v>
      </c>
      <c r="G1412" s="6">
        <f>COUNTIF(F:F,Table2[[#This Row],[Form '#]])</f>
        <v>1</v>
      </c>
      <c r="H1412" s="1" t="s">
        <v>1290</v>
      </c>
      <c r="I1412" s="1" t="s">
        <v>3864</v>
      </c>
      <c r="J1412" s="1" t="s">
        <v>78</v>
      </c>
      <c r="K1412" s="1" t="s">
        <v>3879</v>
      </c>
      <c r="L1412" s="1"/>
      <c r="M1412" s="6" t="str">
        <f>IF(Table2[[#This Row],[Corrected Form '#
 (If Duplicated)]]="",Table2[[#This Row],[Form '#]],Table2[[#This Row],[Corrected Form '#
 (If Duplicated)]])</f>
        <v>7818-30978</v>
      </c>
      <c r="N1412" s="1" t="s">
        <v>104</v>
      </c>
      <c r="O1412" s="6" t="str">
        <f>IF(Table2[[#This Row],[POG CONFIRMATION RECEIPT OF ORDER
(DATE &amp; TIME)]]="","No Confirmation","Received Confirmation")</f>
        <v>No Confirmation</v>
      </c>
      <c r="P1412" s="6">
        <f ca="1">TODAY()-Table2[[#This Row],[DATE SENT TO POG]]</f>
        <v>176</v>
      </c>
      <c r="Q1412" s="6" t="s">
        <v>5803</v>
      </c>
      <c r="R14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2" s="2" t="str">
        <f>_xlfn.XLOOKUP(Table2[[#This Row],[Adjusted Form '#]],'[2]IN PROGRESS'!$D:$D,'[2]IN PROGRESS'!$M:$M,"Not Found")</f>
        <v>Not Found</v>
      </c>
      <c r="U1412" s="2" t="str">
        <f>_xlfn.XLOOKUP(Table2[[#This Row],[Adjusted Form '#]],[1]COMPLETED!$D:$D,[2]COMPLETED!$M:$M,"Not Found")</f>
        <v>Not Found</v>
      </c>
      <c r="V1412" s="17" t="str">
        <f>_xlfn.XLOOKUP(Table2[[#This Row],[Adjusted Form '#]],[2]COMPLETED!$D:$D,[2]COMPLETED!$O:$O,"Not Found")</f>
        <v>Not Found</v>
      </c>
      <c r="W1412" s="2" t="str">
        <f>_xlfn.XLOOKUP(Table2[[#This Row],[Adjusted Form '#]],[2]BILLED!$D:$D,[2]BILLED!$M:$M,"Not Found")</f>
        <v>9400 1112 0620 9492 4885 30</v>
      </c>
      <c r="X1412" s="17" t="e">
        <f>_xlfn.XLOOKUP(Table2[[#This Row],[Adjusted Form '#]],[2]BILLED!$D:$D,[1]BILLED!$O:$O,"Not Found")</f>
        <v>#REF!</v>
      </c>
      <c r="Y1412" s="17" t="e">
        <f>_xlfn.XLOOKUP(Table2[[#This Row],[Adjusted Form '#]],'[2]REJECTED ORDERS'!$D:$D,'[2]REJECTED ORDERS'!$E:$E)</f>
        <v>#N/A</v>
      </c>
      <c r="Z1412" s="1"/>
      <c r="AA1412" s="1"/>
    </row>
    <row r="1413" spans="1:27" ht="15" customHeight="1" x14ac:dyDescent="0.35">
      <c r="A1413" s="4" t="s">
        <v>2106</v>
      </c>
      <c r="B1413" s="1" t="s">
        <v>1667</v>
      </c>
      <c r="C1413" s="11">
        <v>45127</v>
      </c>
      <c r="D1413" s="11" t="s">
        <v>6428</v>
      </c>
      <c r="E1413" s="1" t="s">
        <v>191</v>
      </c>
      <c r="F1413" s="1" t="s">
        <v>6405</v>
      </c>
      <c r="G1413" s="6">
        <f>COUNTIF(F:F,Table2[[#This Row],[Form '#]])</f>
        <v>1</v>
      </c>
      <c r="H1413" s="1" t="s">
        <v>6406</v>
      </c>
      <c r="I1413" s="1" t="s">
        <v>3864</v>
      </c>
      <c r="J1413" s="1" t="s">
        <v>80</v>
      </c>
      <c r="K1413" s="1" t="s">
        <v>3853</v>
      </c>
      <c r="L1413" s="1"/>
      <c r="M1413" s="6" t="str">
        <f>IF(Table2[[#This Row],[Corrected Form '#
 (If Duplicated)]]="",Table2[[#This Row],[Form '#]],Table2[[#This Row],[Corrected Form '#
 (If Duplicated)]])</f>
        <v>7812-02798</v>
      </c>
      <c r="N1413" s="1" t="s">
        <v>49</v>
      </c>
      <c r="O1413" s="6" t="str">
        <f>IF(Table2[[#This Row],[POG CONFIRMATION RECEIPT OF ORDER
(DATE &amp; TIME)]]="","No Confirmation","Received Confirmation")</f>
        <v>Received Confirmation</v>
      </c>
      <c r="P1413" s="6">
        <f ca="1">TODAY()-Table2[[#This Row],[DATE SENT TO POG]]</f>
        <v>176</v>
      </c>
      <c r="Q1413" s="6" t="s">
        <v>5803</v>
      </c>
      <c r="R14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3" s="2" t="str">
        <f>_xlfn.XLOOKUP(Table2[[#This Row],[Adjusted Form '#]],'[2]IN PROGRESS'!$D:$D,'[2]IN PROGRESS'!$M:$M,"Not Found")</f>
        <v>Not Found</v>
      </c>
      <c r="U1413" s="2" t="str">
        <f>_xlfn.XLOOKUP(Table2[[#This Row],[Adjusted Form '#]],[1]COMPLETED!$D:$D,[2]COMPLETED!$M:$M,"Not Found")</f>
        <v>Not Found</v>
      </c>
      <c r="V1413" s="17" t="str">
        <f>_xlfn.XLOOKUP(Table2[[#This Row],[Adjusted Form '#]],[2]COMPLETED!$D:$D,[2]COMPLETED!$O:$O,"Not Found")</f>
        <v>Not Found</v>
      </c>
      <c r="W1413" s="2" t="str">
        <f>_xlfn.XLOOKUP(Table2[[#This Row],[Adjusted Form '#]],[2]BILLED!$D:$D,[2]BILLED!$M:$M,"Not Found")</f>
        <v>9400 1361 0605 3150 5722 46</v>
      </c>
      <c r="X1413" s="17" t="e">
        <f>_xlfn.XLOOKUP(Table2[[#This Row],[Adjusted Form '#]],[2]BILLED!$D:$D,[1]BILLED!$O:$O,"Not Found")</f>
        <v>#REF!</v>
      </c>
      <c r="Y1413" s="17" t="e">
        <f>_xlfn.XLOOKUP(Table2[[#This Row],[Adjusted Form '#]],'[2]REJECTED ORDERS'!$D:$D,'[2]REJECTED ORDERS'!$E:$E)</f>
        <v>#N/A</v>
      </c>
      <c r="Z1413" s="1"/>
      <c r="AA1413" s="1"/>
    </row>
    <row r="1414" spans="1:27" ht="15" customHeight="1" x14ac:dyDescent="0.35">
      <c r="A1414" s="4" t="s">
        <v>2108</v>
      </c>
      <c r="B1414" s="1" t="s">
        <v>2766</v>
      </c>
      <c r="C1414" s="11">
        <v>45127</v>
      </c>
      <c r="D1414" s="11" t="s">
        <v>6429</v>
      </c>
      <c r="E1414" s="1" t="s">
        <v>73</v>
      </c>
      <c r="F1414" s="1" t="s">
        <v>6407</v>
      </c>
      <c r="G1414" s="6">
        <f>COUNTIF(F:F,Table2[[#This Row],[Form '#]])</f>
        <v>1</v>
      </c>
      <c r="H1414" s="1" t="s">
        <v>6408</v>
      </c>
      <c r="I1414" s="1" t="s">
        <v>3852</v>
      </c>
      <c r="J1414" s="1" t="s">
        <v>80</v>
      </c>
      <c r="K1414" s="1" t="s">
        <v>3853</v>
      </c>
      <c r="L1414" s="1"/>
      <c r="M1414" s="6" t="str">
        <f>IF(Table2[[#This Row],[Corrected Form '#
 (If Duplicated)]]="",Table2[[#This Row],[Form '#]],Table2[[#This Row],[Corrected Form '#
 (If Duplicated)]])</f>
        <v>7823-03336</v>
      </c>
      <c r="N1414" s="1" t="s">
        <v>49</v>
      </c>
      <c r="O1414" s="6" t="str">
        <f>IF(Table2[[#This Row],[POG CONFIRMATION RECEIPT OF ORDER
(DATE &amp; TIME)]]="","No Confirmation","Received Confirmation")</f>
        <v>Received Confirmation</v>
      </c>
      <c r="P1414" s="6">
        <f ca="1">TODAY()-Table2[[#This Row],[DATE SENT TO POG]]</f>
        <v>176</v>
      </c>
      <c r="Q1414" s="6" t="s">
        <v>5803</v>
      </c>
      <c r="R14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4" s="2" t="str">
        <f>_xlfn.XLOOKUP(Table2[[#This Row],[Adjusted Form '#]],'[2]IN PROGRESS'!$D:$D,'[2]IN PROGRESS'!$M:$M,"Not Found")</f>
        <v>Not Found</v>
      </c>
      <c r="U1414" s="2" t="str">
        <f>_xlfn.XLOOKUP(Table2[[#This Row],[Adjusted Form '#]],[1]COMPLETED!$D:$D,[2]COMPLETED!$M:$M,"Not Found")</f>
        <v>Not Found</v>
      </c>
      <c r="V1414" s="17" t="str">
        <f>_xlfn.XLOOKUP(Table2[[#This Row],[Adjusted Form '#]],[2]COMPLETED!$D:$D,[2]COMPLETED!$O:$O,"Not Found")</f>
        <v>Not Found</v>
      </c>
      <c r="W1414" s="2" t="str">
        <f>_xlfn.XLOOKUP(Table2[[#This Row],[Adjusted Form '#]],[2]BILLED!$D:$D,[2]BILLED!$M:$M,"Not Found")</f>
        <v>9400 1361 0605 3150 4314 44</v>
      </c>
      <c r="X1414" s="17" t="e">
        <f>_xlfn.XLOOKUP(Table2[[#This Row],[Adjusted Form '#]],[2]BILLED!$D:$D,[1]BILLED!$O:$O,"Not Found")</f>
        <v>#REF!</v>
      </c>
      <c r="Y1414" s="17" t="e">
        <f>_xlfn.XLOOKUP(Table2[[#This Row],[Adjusted Form '#]],'[2]REJECTED ORDERS'!$D:$D,'[2]REJECTED ORDERS'!$E:$E)</f>
        <v>#N/A</v>
      </c>
      <c r="Z1414" s="1"/>
      <c r="AA1414" s="1"/>
    </row>
    <row r="1415" spans="1:27" ht="15" customHeight="1" x14ac:dyDescent="0.35">
      <c r="A1415" s="4" t="s">
        <v>2109</v>
      </c>
      <c r="B1415" s="1" t="s">
        <v>2191</v>
      </c>
      <c r="C1415" s="11">
        <v>45127</v>
      </c>
      <c r="D1415" s="11" t="s">
        <v>6429</v>
      </c>
      <c r="E1415" s="1" t="s">
        <v>21</v>
      </c>
      <c r="F1415" s="1" t="s">
        <v>6409</v>
      </c>
      <c r="G1415" s="6">
        <f>COUNTIF(F:F,Table2[[#This Row],[Form '#]])</f>
        <v>1</v>
      </c>
      <c r="H1415" s="1" t="s">
        <v>6410</v>
      </c>
      <c r="I1415" s="1" t="s">
        <v>3864</v>
      </c>
      <c r="J1415" s="1" t="s">
        <v>78</v>
      </c>
      <c r="K1415" s="1" t="s">
        <v>3879</v>
      </c>
      <c r="L1415" s="1"/>
      <c r="M1415" s="6" t="str">
        <f>IF(Table2[[#This Row],[Corrected Form '#
 (If Duplicated)]]="",Table2[[#This Row],[Form '#]],Table2[[#This Row],[Corrected Form '#
 (If Duplicated)]])</f>
        <v>7818-31077</v>
      </c>
      <c r="N1415" s="1" t="s">
        <v>49</v>
      </c>
      <c r="O1415" s="6" t="str">
        <f>IF(Table2[[#This Row],[POG CONFIRMATION RECEIPT OF ORDER
(DATE &amp; TIME)]]="","No Confirmation","Received Confirmation")</f>
        <v>Received Confirmation</v>
      </c>
      <c r="P1415" s="6">
        <f ca="1">TODAY()-Table2[[#This Row],[DATE SENT TO POG]]</f>
        <v>176</v>
      </c>
      <c r="Q1415" s="6" t="s">
        <v>5803</v>
      </c>
      <c r="R14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5" s="2" t="str">
        <f>_xlfn.XLOOKUP(Table2[[#This Row],[Adjusted Form '#]],'[2]IN PROGRESS'!$D:$D,'[2]IN PROGRESS'!$M:$M,"Not Found")</f>
        <v>Not Found</v>
      </c>
      <c r="U1415" s="2" t="str">
        <f>_xlfn.XLOOKUP(Table2[[#This Row],[Adjusted Form '#]],[1]COMPLETED!$D:$D,[2]COMPLETED!$M:$M,"Not Found")</f>
        <v>Not Found</v>
      </c>
      <c r="V1415" s="17" t="str">
        <f>_xlfn.XLOOKUP(Table2[[#This Row],[Adjusted Form '#]],[2]COMPLETED!$D:$D,[2]COMPLETED!$O:$O,"Not Found")</f>
        <v>Not Found</v>
      </c>
      <c r="W1415" s="2" t="str">
        <f>_xlfn.XLOOKUP(Table2[[#This Row],[Adjusted Form '#]],[2]BILLED!$D:$D,[2]BILLED!$M:$M,"Not Found")</f>
        <v>9400 1361 0605 3153 9570 19</v>
      </c>
      <c r="X1415" s="17" t="e">
        <f>_xlfn.XLOOKUP(Table2[[#This Row],[Adjusted Form '#]],[2]BILLED!$D:$D,[1]BILLED!$O:$O,"Not Found")</f>
        <v>#REF!</v>
      </c>
      <c r="Y1415" s="17" t="e">
        <f>_xlfn.XLOOKUP(Table2[[#This Row],[Adjusted Form '#]],'[2]REJECTED ORDERS'!$D:$D,'[2]REJECTED ORDERS'!$E:$E)</f>
        <v>#N/A</v>
      </c>
      <c r="Z1415" s="1"/>
      <c r="AA1415" s="1"/>
    </row>
    <row r="1416" spans="1:27" ht="15" customHeight="1" x14ac:dyDescent="0.35">
      <c r="A1416" s="4" t="s">
        <v>2110</v>
      </c>
      <c r="B1416" s="1" t="s">
        <v>2191</v>
      </c>
      <c r="C1416" s="11">
        <v>45127</v>
      </c>
      <c r="D1416" s="11" t="s">
        <v>6429</v>
      </c>
      <c r="E1416" s="1" t="s">
        <v>21</v>
      </c>
      <c r="F1416" s="1" t="s">
        <v>6411</v>
      </c>
      <c r="G1416" s="6">
        <f>COUNTIF(F:F,Table2[[#This Row],[Form '#]])</f>
        <v>1</v>
      </c>
      <c r="H1416" s="1" t="s">
        <v>2453</v>
      </c>
      <c r="I1416" s="1" t="s">
        <v>127</v>
      </c>
      <c r="J1416" s="1" t="s">
        <v>74</v>
      </c>
      <c r="K1416" s="1" t="s">
        <v>3883</v>
      </c>
      <c r="L1416" s="1"/>
      <c r="M1416" s="6" t="str">
        <f>IF(Table2[[#This Row],[Corrected Form '#
 (If Duplicated)]]="",Table2[[#This Row],[Form '#]],Table2[[#This Row],[Corrected Form '#
 (If Duplicated)]])</f>
        <v>7818-29414</v>
      </c>
      <c r="N1416" s="1" t="s">
        <v>49</v>
      </c>
      <c r="O1416" s="6" t="str">
        <f>IF(Table2[[#This Row],[POG CONFIRMATION RECEIPT OF ORDER
(DATE &amp; TIME)]]="","No Confirmation","Received Confirmation")</f>
        <v>Received Confirmation</v>
      </c>
      <c r="P1416" s="6">
        <f ca="1">TODAY()-Table2[[#This Row],[DATE SENT TO POG]]</f>
        <v>176</v>
      </c>
      <c r="Q1416" s="6" t="s">
        <v>5803</v>
      </c>
      <c r="R14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6" s="2" t="str">
        <f>_xlfn.XLOOKUP(Table2[[#This Row],[Adjusted Form '#]],'[2]IN PROGRESS'!$D:$D,'[2]IN PROGRESS'!$M:$M,"Not Found")</f>
        <v>Not Found</v>
      </c>
      <c r="U1416" s="2" t="str">
        <f>_xlfn.XLOOKUP(Table2[[#This Row],[Adjusted Form '#]],[1]COMPLETED!$D:$D,[2]COMPLETED!$M:$M,"Not Found")</f>
        <v>Not Found</v>
      </c>
      <c r="V1416" s="17" t="str">
        <f>_xlfn.XLOOKUP(Table2[[#This Row],[Adjusted Form '#]],[2]COMPLETED!$D:$D,[2]COMPLETED!$O:$O,"Not Found")</f>
        <v>Not Found</v>
      </c>
      <c r="W1416" s="2" t="str">
        <f>_xlfn.XLOOKUP(Table2[[#This Row],[Adjusted Form '#]],[2]BILLED!$D:$D,[2]BILLED!$M:$M,"Not Found")</f>
        <v>9400 1361 0605 3150 3007 33</v>
      </c>
      <c r="X1416" s="17" t="e">
        <f>_xlfn.XLOOKUP(Table2[[#This Row],[Adjusted Form '#]],[2]BILLED!$D:$D,[1]BILLED!$O:$O,"Not Found")</f>
        <v>#REF!</v>
      </c>
      <c r="Y1416" s="17" t="e">
        <f>_xlfn.XLOOKUP(Table2[[#This Row],[Adjusted Form '#]],'[2]REJECTED ORDERS'!$D:$D,'[2]REJECTED ORDERS'!$E:$E)</f>
        <v>#N/A</v>
      </c>
      <c r="Z1416" s="1"/>
      <c r="AA1416" s="1"/>
    </row>
    <row r="1417" spans="1:27" ht="15" customHeight="1" x14ac:dyDescent="0.35">
      <c r="A1417" s="4" t="s">
        <v>2111</v>
      </c>
      <c r="B1417" s="1" t="s">
        <v>2191</v>
      </c>
      <c r="C1417" s="11">
        <v>45127</v>
      </c>
      <c r="D1417" s="11" t="s">
        <v>6429</v>
      </c>
      <c r="E1417" s="1" t="s">
        <v>21</v>
      </c>
      <c r="F1417" s="1" t="s">
        <v>6412</v>
      </c>
      <c r="G1417" s="6">
        <f>COUNTIF(F:F,Table2[[#This Row],[Form '#]])</f>
        <v>1</v>
      </c>
      <c r="H1417" s="1" t="s">
        <v>1480</v>
      </c>
      <c r="I1417" s="1" t="s">
        <v>758</v>
      </c>
      <c r="J1417" s="1" t="s">
        <v>78</v>
      </c>
      <c r="K1417" s="1" t="s">
        <v>3853</v>
      </c>
      <c r="L1417" s="1"/>
      <c r="M1417" s="6" t="str">
        <f>IF(Table2[[#This Row],[Corrected Form '#
 (If Duplicated)]]="",Table2[[#This Row],[Form '#]],Table2[[#This Row],[Corrected Form '#
 (If Duplicated)]])</f>
        <v>7818-31047</v>
      </c>
      <c r="N1417" s="1" t="s">
        <v>49</v>
      </c>
      <c r="O1417" s="6" t="str">
        <f>IF(Table2[[#This Row],[POG CONFIRMATION RECEIPT OF ORDER
(DATE &amp; TIME)]]="","No Confirmation","Received Confirmation")</f>
        <v>Received Confirmation</v>
      </c>
      <c r="P1417" s="6">
        <f ca="1">TODAY()-Table2[[#This Row],[DATE SENT TO POG]]</f>
        <v>176</v>
      </c>
      <c r="Q1417" s="6" t="s">
        <v>5803</v>
      </c>
      <c r="R14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7" s="2" t="str">
        <f>_xlfn.XLOOKUP(Table2[[#This Row],[Adjusted Form '#]],'[2]IN PROGRESS'!$D:$D,'[2]IN PROGRESS'!$M:$M,"Not Found")</f>
        <v>Not Found</v>
      </c>
      <c r="U1417" s="2" t="str">
        <f>_xlfn.XLOOKUP(Table2[[#This Row],[Adjusted Form '#]],[1]COMPLETED!$D:$D,[2]COMPLETED!$M:$M,"Not Found")</f>
        <v>Not Found</v>
      </c>
      <c r="V1417" s="17" t="str">
        <f>_xlfn.XLOOKUP(Table2[[#This Row],[Adjusted Form '#]],[2]COMPLETED!$D:$D,[2]COMPLETED!$O:$O,"Not Found")</f>
        <v>Not Found</v>
      </c>
      <c r="W1417" s="2" t="str">
        <f>_xlfn.XLOOKUP(Table2[[#This Row],[Adjusted Form '#]],[2]BILLED!$D:$D,[2]BILLED!$M:$M,"Not Found")</f>
        <v>9400 1361 0605 3151 7037 00</v>
      </c>
      <c r="X1417" s="17" t="e">
        <f>_xlfn.XLOOKUP(Table2[[#This Row],[Adjusted Form '#]],[2]BILLED!$D:$D,[1]BILLED!$O:$O,"Not Found")</f>
        <v>#REF!</v>
      </c>
      <c r="Y1417" s="17" t="e">
        <f>_xlfn.XLOOKUP(Table2[[#This Row],[Adjusted Form '#]],'[2]REJECTED ORDERS'!$D:$D,'[2]REJECTED ORDERS'!$E:$E)</f>
        <v>#N/A</v>
      </c>
      <c r="Z1417" s="1"/>
      <c r="AA1417" s="1"/>
    </row>
    <row r="1418" spans="1:27" ht="15" customHeight="1" x14ac:dyDescent="0.35">
      <c r="A1418" s="4" t="s">
        <v>2112</v>
      </c>
      <c r="B1418" s="1" t="s">
        <v>2191</v>
      </c>
      <c r="C1418" s="11">
        <v>45127</v>
      </c>
      <c r="D1418" s="11" t="s">
        <v>6429</v>
      </c>
      <c r="E1418" s="1" t="s">
        <v>21</v>
      </c>
      <c r="F1418" s="1" t="s">
        <v>6413</v>
      </c>
      <c r="G1418" s="6">
        <f>COUNTIF(F:F,Table2[[#This Row],[Form '#]])</f>
        <v>1</v>
      </c>
      <c r="H1418" s="1" t="s">
        <v>6414</v>
      </c>
      <c r="I1418" s="1" t="s">
        <v>3852</v>
      </c>
      <c r="J1418" s="1" t="s">
        <v>80</v>
      </c>
      <c r="K1418" s="1" t="s">
        <v>3853</v>
      </c>
      <c r="L1418" s="1"/>
      <c r="M1418" s="6" t="str">
        <f>IF(Table2[[#This Row],[Corrected Form '#
 (If Duplicated)]]="",Table2[[#This Row],[Form '#]],Table2[[#This Row],[Corrected Form '#
 (If Duplicated)]])</f>
        <v>7818-21370</v>
      </c>
      <c r="N1418" s="1" t="s">
        <v>49</v>
      </c>
      <c r="O1418" s="6" t="str">
        <f>IF(Table2[[#This Row],[POG CONFIRMATION RECEIPT OF ORDER
(DATE &amp; TIME)]]="","No Confirmation","Received Confirmation")</f>
        <v>Received Confirmation</v>
      </c>
      <c r="P1418" s="6">
        <f ca="1">TODAY()-Table2[[#This Row],[DATE SENT TO POG]]</f>
        <v>176</v>
      </c>
      <c r="Q1418" s="6" t="s">
        <v>5803</v>
      </c>
      <c r="R14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8" s="2" t="str">
        <f>_xlfn.XLOOKUP(Table2[[#This Row],[Adjusted Form '#]],'[2]IN PROGRESS'!$D:$D,'[2]IN PROGRESS'!$M:$M,"Not Found")</f>
        <v>Not Found</v>
      </c>
      <c r="U1418" s="2" t="str">
        <f>_xlfn.XLOOKUP(Table2[[#This Row],[Adjusted Form '#]],[1]COMPLETED!$D:$D,[2]COMPLETED!$M:$M,"Not Found")</f>
        <v>Not Found</v>
      </c>
      <c r="V1418" s="17" t="str">
        <f>_xlfn.XLOOKUP(Table2[[#This Row],[Adjusted Form '#]],[2]COMPLETED!$D:$D,[2]COMPLETED!$O:$O,"Not Found")</f>
        <v>Not Found</v>
      </c>
      <c r="W1418" s="2" t="str">
        <f>_xlfn.XLOOKUP(Table2[[#This Row],[Adjusted Form '#]],[2]BILLED!$D:$D,[2]BILLED!$M:$M,"Not Found")</f>
        <v>9400 1361 0605 3222 4508 61</v>
      </c>
      <c r="X1418" s="17" t="e">
        <f>_xlfn.XLOOKUP(Table2[[#This Row],[Adjusted Form '#]],[2]BILLED!$D:$D,[1]BILLED!$O:$O,"Not Found")</f>
        <v>#REF!</v>
      </c>
      <c r="Y1418" s="17" t="e">
        <f>_xlfn.XLOOKUP(Table2[[#This Row],[Adjusted Form '#]],'[2]REJECTED ORDERS'!$D:$D,'[2]REJECTED ORDERS'!$E:$E)</f>
        <v>#N/A</v>
      </c>
      <c r="Z1418" s="1"/>
      <c r="AA1418" s="1"/>
    </row>
    <row r="1419" spans="1:27" ht="15" customHeight="1" x14ac:dyDescent="0.35">
      <c r="A1419" s="4" t="s">
        <v>2113</v>
      </c>
      <c r="B1419" s="1" t="s">
        <v>2191</v>
      </c>
      <c r="C1419" s="11">
        <v>45127</v>
      </c>
      <c r="D1419" s="11" t="s">
        <v>6429</v>
      </c>
      <c r="E1419" s="1" t="s">
        <v>21</v>
      </c>
      <c r="F1419" s="1" t="s">
        <v>6415</v>
      </c>
      <c r="G1419" s="6">
        <f>COUNTIF(F:F,Table2[[#This Row],[Form '#]])</f>
        <v>1</v>
      </c>
      <c r="H1419" s="1" t="s">
        <v>6416</v>
      </c>
      <c r="I1419" s="1" t="s">
        <v>127</v>
      </c>
      <c r="J1419" s="1" t="s">
        <v>74</v>
      </c>
      <c r="K1419" s="1" t="s">
        <v>4011</v>
      </c>
      <c r="L1419" s="1"/>
      <c r="M1419" s="6" t="str">
        <f>IF(Table2[[#This Row],[Corrected Form '#
 (If Duplicated)]]="",Table2[[#This Row],[Form '#]],Table2[[#This Row],[Corrected Form '#
 (If Duplicated)]])</f>
        <v>7818-19607</v>
      </c>
      <c r="N1419" s="1" t="s">
        <v>49</v>
      </c>
      <c r="O1419" s="6" t="str">
        <f>IF(Table2[[#This Row],[POG CONFIRMATION RECEIPT OF ORDER
(DATE &amp; TIME)]]="","No Confirmation","Received Confirmation")</f>
        <v>Received Confirmation</v>
      </c>
      <c r="P1419" s="6">
        <f ca="1">TODAY()-Table2[[#This Row],[DATE SENT TO POG]]</f>
        <v>176</v>
      </c>
      <c r="Q1419" s="6" t="s">
        <v>5803</v>
      </c>
      <c r="R14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19" s="2" t="str">
        <f>_xlfn.XLOOKUP(Table2[[#This Row],[Adjusted Form '#]],'[2]IN PROGRESS'!$D:$D,'[2]IN PROGRESS'!$M:$M,"Not Found")</f>
        <v>Not Found</v>
      </c>
      <c r="U1419" s="2" t="str">
        <f>_xlfn.XLOOKUP(Table2[[#This Row],[Adjusted Form '#]],[1]COMPLETED!$D:$D,[2]COMPLETED!$M:$M,"Not Found")</f>
        <v>Not Found</v>
      </c>
      <c r="V1419" s="17" t="str">
        <f>_xlfn.XLOOKUP(Table2[[#This Row],[Adjusted Form '#]],[2]COMPLETED!$D:$D,[2]COMPLETED!$O:$O,"Not Found")</f>
        <v>Not Found</v>
      </c>
      <c r="W1419" s="2" t="str">
        <f>_xlfn.XLOOKUP(Table2[[#This Row],[Adjusted Form '#]],[2]BILLED!$D:$D,[2]BILLED!$M:$M,"Not Found")</f>
        <v>9400 1361 0605 3153 6831 47</v>
      </c>
      <c r="X1419" s="17" t="e">
        <f>_xlfn.XLOOKUP(Table2[[#This Row],[Adjusted Form '#]],[2]BILLED!$D:$D,[1]BILLED!$O:$O,"Not Found")</f>
        <v>#REF!</v>
      </c>
      <c r="Y1419" s="17" t="e">
        <f>_xlfn.XLOOKUP(Table2[[#This Row],[Adjusted Form '#]],'[2]REJECTED ORDERS'!$D:$D,'[2]REJECTED ORDERS'!$E:$E)</f>
        <v>#N/A</v>
      </c>
      <c r="Z1419" s="1"/>
      <c r="AA1419" s="1"/>
    </row>
    <row r="1420" spans="1:27" ht="15" customHeight="1" x14ac:dyDescent="0.35">
      <c r="A1420" s="4" t="s">
        <v>2115</v>
      </c>
      <c r="B1420" s="1" t="s">
        <v>2191</v>
      </c>
      <c r="C1420" s="11">
        <v>45127</v>
      </c>
      <c r="D1420" s="11" t="s">
        <v>6429</v>
      </c>
      <c r="E1420" s="1" t="s">
        <v>21</v>
      </c>
      <c r="F1420" s="1" t="s">
        <v>6417</v>
      </c>
      <c r="G1420" s="6">
        <f>COUNTIF(F:F,Table2[[#This Row],[Form '#]])</f>
        <v>1</v>
      </c>
      <c r="H1420" s="1" t="s">
        <v>388</v>
      </c>
      <c r="I1420" s="1" t="s">
        <v>177</v>
      </c>
      <c r="J1420" s="1" t="s">
        <v>75</v>
      </c>
      <c r="K1420" s="1" t="s">
        <v>3853</v>
      </c>
      <c r="L1420" s="1"/>
      <c r="M1420" s="6" t="str">
        <f>IF(Table2[[#This Row],[Corrected Form '#
 (If Duplicated)]]="",Table2[[#This Row],[Form '#]],Table2[[#This Row],[Corrected Form '#
 (If Duplicated)]])</f>
        <v>7818-19608</v>
      </c>
      <c r="N1420" s="1" t="s">
        <v>49</v>
      </c>
      <c r="O1420" s="6" t="str">
        <f>IF(Table2[[#This Row],[POG CONFIRMATION RECEIPT OF ORDER
(DATE &amp; TIME)]]="","No Confirmation","Received Confirmation")</f>
        <v>Received Confirmation</v>
      </c>
      <c r="P1420" s="6">
        <f ca="1">TODAY()-Table2[[#This Row],[DATE SENT TO POG]]</f>
        <v>176</v>
      </c>
      <c r="Q1420" s="6" t="s">
        <v>5803</v>
      </c>
      <c r="R14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0" s="2" t="str">
        <f>_xlfn.XLOOKUP(Table2[[#This Row],[Adjusted Form '#]],'[2]IN PROGRESS'!$D:$D,'[2]IN PROGRESS'!$M:$M,"Not Found")</f>
        <v>Not Found</v>
      </c>
      <c r="U1420" s="2" t="str">
        <f>_xlfn.XLOOKUP(Table2[[#This Row],[Adjusted Form '#]],[1]COMPLETED!$D:$D,[2]COMPLETED!$M:$M,"Not Found")</f>
        <v>Not Found</v>
      </c>
      <c r="V1420" s="17" t="str">
        <f>_xlfn.XLOOKUP(Table2[[#This Row],[Adjusted Form '#]],[2]COMPLETED!$D:$D,[2]COMPLETED!$O:$O,"Not Found")</f>
        <v>Not Found</v>
      </c>
      <c r="W1420" s="2" t="str">
        <f>_xlfn.XLOOKUP(Table2[[#This Row],[Adjusted Form '#]],[2]BILLED!$D:$D,[2]BILLED!$M:$M,"Not Found")</f>
        <v>9400 1361 0605 3153 9201 36</v>
      </c>
      <c r="X1420" s="17" t="e">
        <f>_xlfn.XLOOKUP(Table2[[#This Row],[Adjusted Form '#]],[2]BILLED!$D:$D,[1]BILLED!$O:$O,"Not Found")</f>
        <v>#REF!</v>
      </c>
      <c r="Y1420" s="17" t="e">
        <f>_xlfn.XLOOKUP(Table2[[#This Row],[Adjusted Form '#]],'[2]REJECTED ORDERS'!$D:$D,'[2]REJECTED ORDERS'!$E:$E)</f>
        <v>#N/A</v>
      </c>
      <c r="Z1420" s="1"/>
      <c r="AA1420" s="1"/>
    </row>
    <row r="1421" spans="1:27" ht="15" customHeight="1" x14ac:dyDescent="0.35">
      <c r="A1421" s="4" t="s">
        <v>2116</v>
      </c>
      <c r="B1421" s="1" t="s">
        <v>2191</v>
      </c>
      <c r="C1421" s="11">
        <v>45127</v>
      </c>
      <c r="D1421" s="11" t="s">
        <v>6429</v>
      </c>
      <c r="E1421" s="1" t="s">
        <v>21</v>
      </c>
      <c r="F1421" s="1" t="s">
        <v>6418</v>
      </c>
      <c r="G1421" s="6">
        <f>COUNTIF(F:F,Table2[[#This Row],[Form '#]])</f>
        <v>1</v>
      </c>
      <c r="H1421" s="1" t="s">
        <v>6419</v>
      </c>
      <c r="I1421" s="1" t="s">
        <v>127</v>
      </c>
      <c r="J1421" s="1" t="s">
        <v>76</v>
      </c>
      <c r="K1421" s="1" t="s">
        <v>3883</v>
      </c>
      <c r="L1421" s="1"/>
      <c r="M1421" s="6" t="str">
        <f>IF(Table2[[#This Row],[Corrected Form '#
 (If Duplicated)]]="",Table2[[#This Row],[Form '#]],Table2[[#This Row],[Corrected Form '#
 (If Duplicated)]])</f>
        <v>7818-29951</v>
      </c>
      <c r="N1421" s="1" t="s">
        <v>49</v>
      </c>
      <c r="O1421" s="6" t="str">
        <f>IF(Table2[[#This Row],[POG CONFIRMATION RECEIPT OF ORDER
(DATE &amp; TIME)]]="","No Confirmation","Received Confirmation")</f>
        <v>Received Confirmation</v>
      </c>
      <c r="P1421" s="6">
        <f ca="1">TODAY()-Table2[[#This Row],[DATE SENT TO POG]]</f>
        <v>176</v>
      </c>
      <c r="Q1421" s="6" t="s">
        <v>5803</v>
      </c>
      <c r="R14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1" s="2" t="str">
        <f>_xlfn.XLOOKUP(Table2[[#This Row],[Adjusted Form '#]],'[2]IN PROGRESS'!$D:$D,'[2]IN PROGRESS'!$M:$M,"Not Found")</f>
        <v>Not Found</v>
      </c>
      <c r="U1421" s="2" t="str">
        <f>_xlfn.XLOOKUP(Table2[[#This Row],[Adjusted Form '#]],[1]COMPLETED!$D:$D,[2]COMPLETED!$M:$M,"Not Found")</f>
        <v>Not Found</v>
      </c>
      <c r="V1421" s="17" t="str">
        <f>_xlfn.XLOOKUP(Table2[[#This Row],[Adjusted Form '#]],[2]COMPLETED!$D:$D,[2]COMPLETED!$O:$O,"Not Found")</f>
        <v>Not Found</v>
      </c>
      <c r="W1421" s="2" t="str">
        <f>_xlfn.XLOOKUP(Table2[[#This Row],[Adjusted Form '#]],[2]BILLED!$D:$D,[2]BILLED!$M:$M,"Not Found")</f>
        <v>9400 1361 0605 3150 2565 42</v>
      </c>
      <c r="X1421" s="17" t="e">
        <f>_xlfn.XLOOKUP(Table2[[#This Row],[Adjusted Form '#]],[2]BILLED!$D:$D,[1]BILLED!$O:$O,"Not Found")</f>
        <v>#REF!</v>
      </c>
      <c r="Y1421" s="17" t="e">
        <f>_xlfn.XLOOKUP(Table2[[#This Row],[Adjusted Form '#]],'[2]REJECTED ORDERS'!$D:$D,'[2]REJECTED ORDERS'!$E:$E)</f>
        <v>#N/A</v>
      </c>
      <c r="Z1421" s="1"/>
      <c r="AA1421" s="1"/>
    </row>
    <row r="1422" spans="1:27" ht="15" customHeight="1" x14ac:dyDescent="0.35">
      <c r="A1422" s="4" t="s">
        <v>2117</v>
      </c>
      <c r="B1422" s="1" t="s">
        <v>2191</v>
      </c>
      <c r="C1422" s="11">
        <v>45127</v>
      </c>
      <c r="D1422" s="11" t="s">
        <v>6429</v>
      </c>
      <c r="E1422" s="1" t="s">
        <v>21</v>
      </c>
      <c r="F1422" s="1" t="s">
        <v>6420</v>
      </c>
      <c r="G1422" s="6">
        <f>COUNTIF(F:F,Table2[[#This Row],[Form '#]])</f>
        <v>1</v>
      </c>
      <c r="H1422" s="1" t="s">
        <v>3542</v>
      </c>
      <c r="I1422" s="1" t="s">
        <v>177</v>
      </c>
      <c r="J1422" s="1" t="s">
        <v>75</v>
      </c>
      <c r="K1422" s="1" t="s">
        <v>4011</v>
      </c>
      <c r="L1422" s="1"/>
      <c r="M1422" s="6" t="str">
        <f>IF(Table2[[#This Row],[Corrected Form '#
 (If Duplicated)]]="",Table2[[#This Row],[Form '#]],Table2[[#This Row],[Corrected Form '#
 (If Duplicated)]])</f>
        <v>7818-30914</v>
      </c>
      <c r="N1422" s="1" t="s">
        <v>49</v>
      </c>
      <c r="O1422" s="6" t="str">
        <f>IF(Table2[[#This Row],[POG CONFIRMATION RECEIPT OF ORDER
(DATE &amp; TIME)]]="","No Confirmation","Received Confirmation")</f>
        <v>Received Confirmation</v>
      </c>
      <c r="P1422" s="6">
        <f ca="1">TODAY()-Table2[[#This Row],[DATE SENT TO POG]]</f>
        <v>176</v>
      </c>
      <c r="Q1422" s="6" t="s">
        <v>5803</v>
      </c>
      <c r="R14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2" s="2" t="str">
        <f>_xlfn.XLOOKUP(Table2[[#This Row],[Adjusted Form '#]],'[2]IN PROGRESS'!$D:$D,'[2]IN PROGRESS'!$M:$M,"Not Found")</f>
        <v>Not Found</v>
      </c>
      <c r="U1422" s="2" t="str">
        <f>_xlfn.XLOOKUP(Table2[[#This Row],[Adjusted Form '#]],[1]COMPLETED!$D:$D,[2]COMPLETED!$M:$M,"Not Found")</f>
        <v>Not Found</v>
      </c>
      <c r="V1422" s="17" t="str">
        <f>_xlfn.XLOOKUP(Table2[[#This Row],[Adjusted Form '#]],[2]COMPLETED!$D:$D,[2]COMPLETED!$O:$O,"Not Found")</f>
        <v>Not Found</v>
      </c>
      <c r="W1422" s="2" t="str">
        <f>_xlfn.XLOOKUP(Table2[[#This Row],[Adjusted Form '#]],[2]BILLED!$D:$D,[2]BILLED!$M:$M,"Not Found")</f>
        <v>9400 1361 0605 3196 2050 47</v>
      </c>
      <c r="X1422" s="17" t="e">
        <f>_xlfn.XLOOKUP(Table2[[#This Row],[Adjusted Form '#]],[2]BILLED!$D:$D,[1]BILLED!$O:$O,"Not Found")</f>
        <v>#REF!</v>
      </c>
      <c r="Y1422" s="17" t="e">
        <f>_xlfn.XLOOKUP(Table2[[#This Row],[Adjusted Form '#]],'[2]REJECTED ORDERS'!$D:$D,'[2]REJECTED ORDERS'!$E:$E)</f>
        <v>#N/A</v>
      </c>
      <c r="Z1422" s="1"/>
      <c r="AA1422" s="1"/>
    </row>
    <row r="1423" spans="1:27" ht="15" customHeight="1" x14ac:dyDescent="0.35">
      <c r="A1423" s="4" t="s">
        <v>2118</v>
      </c>
      <c r="B1423" s="1" t="s">
        <v>498</v>
      </c>
      <c r="C1423" s="11">
        <v>45127</v>
      </c>
      <c r="D1423" s="11" t="s">
        <v>6429</v>
      </c>
      <c r="E1423" s="1" t="s">
        <v>191</v>
      </c>
      <c r="F1423" s="1" t="s">
        <v>6421</v>
      </c>
      <c r="G1423" s="6">
        <f>COUNTIF(F:F,Table2[[#This Row],[Form '#]])</f>
        <v>1</v>
      </c>
      <c r="H1423" s="1" t="s">
        <v>6422</v>
      </c>
      <c r="I1423" s="1" t="s">
        <v>127</v>
      </c>
      <c r="J1423" s="1" t="s">
        <v>76</v>
      </c>
      <c r="K1423" s="1" t="s">
        <v>3891</v>
      </c>
      <c r="L1423" s="1"/>
      <c r="M1423" s="6" t="str">
        <f>IF(Table2[[#This Row],[Corrected Form '#
 (If Duplicated)]]="",Table2[[#This Row],[Form '#]],Table2[[#This Row],[Corrected Form '#
 (If Duplicated)]])</f>
        <v>7812-03019</v>
      </c>
      <c r="N1423" s="1" t="s">
        <v>49</v>
      </c>
      <c r="O1423" s="6" t="str">
        <f>IF(Table2[[#This Row],[POG CONFIRMATION RECEIPT OF ORDER
(DATE &amp; TIME)]]="","No Confirmation","Received Confirmation")</f>
        <v>Received Confirmation</v>
      </c>
      <c r="P1423" s="6">
        <f ca="1">TODAY()-Table2[[#This Row],[DATE SENT TO POG]]</f>
        <v>176</v>
      </c>
      <c r="Q1423" s="6" t="s">
        <v>5803</v>
      </c>
      <c r="R14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3" s="2" t="str">
        <f>_xlfn.XLOOKUP(Table2[[#This Row],[Adjusted Form '#]],'[2]IN PROGRESS'!$D:$D,'[2]IN PROGRESS'!$M:$M,"Not Found")</f>
        <v>Not Found</v>
      </c>
      <c r="U1423" s="2" t="str">
        <f>_xlfn.XLOOKUP(Table2[[#This Row],[Adjusted Form '#]],[1]COMPLETED!$D:$D,[2]COMPLETED!$M:$M,"Not Found")</f>
        <v>Not Found</v>
      </c>
      <c r="V1423" s="17" t="str">
        <f>_xlfn.XLOOKUP(Table2[[#This Row],[Adjusted Form '#]],[2]COMPLETED!$D:$D,[2]COMPLETED!$O:$O,"Not Found")</f>
        <v>Not Found</v>
      </c>
      <c r="W1423" s="2" t="str">
        <f>_xlfn.XLOOKUP(Table2[[#This Row],[Adjusted Form '#]],[2]BILLED!$D:$D,[2]BILLED!$M:$M,"Not Found")</f>
        <v>9400 1361 0605 3150 7088 67</v>
      </c>
      <c r="X1423" s="17" t="e">
        <f>_xlfn.XLOOKUP(Table2[[#This Row],[Adjusted Form '#]],[2]BILLED!$D:$D,[1]BILLED!$O:$O,"Not Found")</f>
        <v>#REF!</v>
      </c>
      <c r="Y1423" s="17" t="e">
        <f>_xlfn.XLOOKUP(Table2[[#This Row],[Adjusted Form '#]],'[2]REJECTED ORDERS'!$D:$D,'[2]REJECTED ORDERS'!$E:$E)</f>
        <v>#N/A</v>
      </c>
      <c r="Z1423" s="1"/>
      <c r="AA1423" s="1"/>
    </row>
    <row r="1424" spans="1:27" ht="15" customHeight="1" x14ac:dyDescent="0.35">
      <c r="A1424" s="4" t="s">
        <v>2119</v>
      </c>
      <c r="B1424" s="1" t="s">
        <v>3731</v>
      </c>
      <c r="C1424" s="11">
        <v>45128</v>
      </c>
      <c r="D1424" s="11" t="s">
        <v>6433</v>
      </c>
      <c r="E1424" s="1" t="s">
        <v>21</v>
      </c>
      <c r="F1424" s="1" t="s">
        <v>6423</v>
      </c>
      <c r="G1424" s="6">
        <f>COUNTIF(F:F,Table2[[#This Row],[Form '#]])</f>
        <v>1</v>
      </c>
      <c r="H1424" s="1" t="s">
        <v>6424</v>
      </c>
      <c r="I1424" s="1" t="s">
        <v>3864</v>
      </c>
      <c r="J1424" s="1" t="s">
        <v>78</v>
      </c>
      <c r="K1424" s="1" t="s">
        <v>3879</v>
      </c>
      <c r="L1424" s="1"/>
      <c r="M1424" s="6" t="str">
        <f>IF(Table2[[#This Row],[Corrected Form '#
 (If Duplicated)]]="",Table2[[#This Row],[Form '#]],Table2[[#This Row],[Corrected Form '#
 (If Duplicated)]])</f>
        <v>7818-21190</v>
      </c>
      <c r="N1424" s="1" t="s">
        <v>49</v>
      </c>
      <c r="O1424" s="6" t="str">
        <f>IF(Table2[[#This Row],[POG CONFIRMATION RECEIPT OF ORDER
(DATE &amp; TIME)]]="","No Confirmation","Received Confirmation")</f>
        <v>Received Confirmation</v>
      </c>
      <c r="P1424" s="6">
        <f ca="1">TODAY()-Table2[[#This Row],[DATE SENT TO POG]]</f>
        <v>175</v>
      </c>
      <c r="Q1424" s="6" t="s">
        <v>5803</v>
      </c>
      <c r="R14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4" s="2" t="str">
        <f>_xlfn.XLOOKUP(Table2[[#This Row],[Adjusted Form '#]],'[2]IN PROGRESS'!$D:$D,'[2]IN PROGRESS'!$M:$M,"Not Found")</f>
        <v>Not Found</v>
      </c>
      <c r="U1424" s="2" t="str">
        <f>_xlfn.XLOOKUP(Table2[[#This Row],[Adjusted Form '#]],[1]COMPLETED!$D:$D,[2]COMPLETED!$M:$M,"Not Found")</f>
        <v>Not Found</v>
      </c>
      <c r="V1424" s="17" t="str">
        <f>_xlfn.XLOOKUP(Table2[[#This Row],[Adjusted Form '#]],[2]COMPLETED!$D:$D,[2]COMPLETED!$O:$O,"Not Found")</f>
        <v>Not Found</v>
      </c>
      <c r="W1424" s="2" t="str">
        <f>_xlfn.XLOOKUP(Table2[[#This Row],[Adjusted Form '#]],[2]BILLED!$D:$D,[2]BILLED!$M:$M,"Not Found")</f>
        <v>9400 1361 0605 3153 9879 86</v>
      </c>
      <c r="X1424" s="17" t="e">
        <f>_xlfn.XLOOKUP(Table2[[#This Row],[Adjusted Form '#]],[2]BILLED!$D:$D,[1]BILLED!$O:$O,"Not Found")</f>
        <v>#REF!</v>
      </c>
      <c r="Y1424" s="17" t="e">
        <f>_xlfn.XLOOKUP(Table2[[#This Row],[Adjusted Form '#]],'[2]REJECTED ORDERS'!$D:$D,'[2]REJECTED ORDERS'!$E:$E)</f>
        <v>#N/A</v>
      </c>
      <c r="Z1424" s="1"/>
      <c r="AA1424" s="1"/>
    </row>
    <row r="1425" spans="1:27" ht="15" customHeight="1" x14ac:dyDescent="0.35">
      <c r="A1425" s="4" t="s">
        <v>2120</v>
      </c>
      <c r="B1425" s="1" t="s">
        <v>3731</v>
      </c>
      <c r="C1425" s="11">
        <v>45128</v>
      </c>
      <c r="D1425" s="11" t="s">
        <v>6433</v>
      </c>
      <c r="E1425" s="1" t="s">
        <v>21</v>
      </c>
      <c r="F1425" s="1" t="s">
        <v>6425</v>
      </c>
      <c r="G1425" s="6">
        <f>COUNTIF(F:F,Table2[[#This Row],[Form '#]])</f>
        <v>1</v>
      </c>
      <c r="H1425" s="1" t="s">
        <v>3477</v>
      </c>
      <c r="I1425" s="1" t="s">
        <v>3852</v>
      </c>
      <c r="J1425" s="1" t="s">
        <v>80</v>
      </c>
      <c r="K1425" s="1" t="s">
        <v>3853</v>
      </c>
      <c r="L1425" s="1"/>
      <c r="M1425" s="6" t="str">
        <f>IF(Table2[[#This Row],[Corrected Form '#
 (If Duplicated)]]="",Table2[[#This Row],[Form '#]],Table2[[#This Row],[Corrected Form '#
 (If Duplicated)]])</f>
        <v>7818-27138</v>
      </c>
      <c r="N1425" s="1" t="s">
        <v>49</v>
      </c>
      <c r="O1425" s="6" t="str">
        <f>IF(Table2[[#This Row],[POG CONFIRMATION RECEIPT OF ORDER
(DATE &amp; TIME)]]="","No Confirmation","Received Confirmation")</f>
        <v>Received Confirmation</v>
      </c>
      <c r="P1425" s="6">
        <f ca="1">TODAY()-Table2[[#This Row],[DATE SENT TO POG]]</f>
        <v>175</v>
      </c>
      <c r="Q1425" s="6" t="s">
        <v>5803</v>
      </c>
      <c r="R14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5" s="2" t="str">
        <f>_xlfn.XLOOKUP(Table2[[#This Row],[Adjusted Form '#]],'[2]IN PROGRESS'!$D:$D,'[2]IN PROGRESS'!$M:$M,"Not Found")</f>
        <v>Not Found</v>
      </c>
      <c r="U1425" s="2" t="str">
        <f>_xlfn.XLOOKUP(Table2[[#This Row],[Adjusted Form '#]],[1]COMPLETED!$D:$D,[2]COMPLETED!$M:$M,"Not Found")</f>
        <v>Not Found</v>
      </c>
      <c r="V1425" s="17" t="str">
        <f>_xlfn.XLOOKUP(Table2[[#This Row],[Adjusted Form '#]],[2]COMPLETED!$D:$D,[2]COMPLETED!$O:$O,"Not Found")</f>
        <v>Not Found</v>
      </c>
      <c r="W1425" s="2" t="str">
        <f>_xlfn.XLOOKUP(Table2[[#This Row],[Adjusted Form '#]],[2]BILLED!$D:$D,[2]BILLED!$M:$M,"Not Found")</f>
        <v>9400 1361 0605 3153 8758 70</v>
      </c>
      <c r="X1425" s="17" t="e">
        <f>_xlfn.XLOOKUP(Table2[[#This Row],[Adjusted Form '#]],[2]BILLED!$D:$D,[1]BILLED!$O:$O,"Not Found")</f>
        <v>#REF!</v>
      </c>
      <c r="Y1425" s="17" t="e">
        <f>_xlfn.XLOOKUP(Table2[[#This Row],[Adjusted Form '#]],'[2]REJECTED ORDERS'!$D:$D,'[2]REJECTED ORDERS'!$E:$E)</f>
        <v>#N/A</v>
      </c>
      <c r="Z1425" s="1"/>
      <c r="AA1425" s="1"/>
    </row>
    <row r="1426" spans="1:27" ht="15" customHeight="1" x14ac:dyDescent="0.35">
      <c r="A1426" s="4" t="s">
        <v>2122</v>
      </c>
      <c r="B1426" s="1" t="s">
        <v>3610</v>
      </c>
      <c r="C1426" s="11">
        <v>45128</v>
      </c>
      <c r="D1426" s="11" t="s">
        <v>6433</v>
      </c>
      <c r="E1426" s="1" t="s">
        <v>14</v>
      </c>
      <c r="F1426" s="1" t="s">
        <v>6426</v>
      </c>
      <c r="G1426" s="6">
        <f>COUNTIF(F:F,Table2[[#This Row],[Form '#]])</f>
        <v>1</v>
      </c>
      <c r="H1426" s="1" t="s">
        <v>6427</v>
      </c>
      <c r="I1426" s="1" t="s">
        <v>28</v>
      </c>
      <c r="J1426" s="1" t="s">
        <v>69</v>
      </c>
      <c r="K1426" s="1" t="s">
        <v>4011</v>
      </c>
      <c r="L1426" s="1"/>
      <c r="M1426" s="6" t="str">
        <f>IF(Table2[[#This Row],[Corrected Form '#
 (If Duplicated)]]="",Table2[[#This Row],[Form '#]],Table2[[#This Row],[Corrected Form '#
 (If Duplicated)]])</f>
        <v>7810-00600</v>
      </c>
      <c r="N1426" s="1" t="s">
        <v>49</v>
      </c>
      <c r="O1426" s="6" t="str">
        <f>IF(Table2[[#This Row],[POG CONFIRMATION RECEIPT OF ORDER
(DATE &amp; TIME)]]="","No Confirmation","Received Confirmation")</f>
        <v>Received Confirmation</v>
      </c>
      <c r="P1426" s="6">
        <f ca="1">TODAY()-Table2[[#This Row],[DATE SENT TO POG]]</f>
        <v>175</v>
      </c>
      <c r="Q1426" s="6" t="s">
        <v>5803</v>
      </c>
      <c r="R14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6" s="2" t="str">
        <f>_xlfn.XLOOKUP(Table2[[#This Row],[Adjusted Form '#]],'[2]IN PROGRESS'!$D:$D,'[2]IN PROGRESS'!$M:$M,"Not Found")</f>
        <v>Not Found</v>
      </c>
      <c r="U1426" s="2" t="str">
        <f>_xlfn.XLOOKUP(Table2[[#This Row],[Adjusted Form '#]],[1]COMPLETED!$D:$D,[2]COMPLETED!$M:$M,"Not Found")</f>
        <v>Not Found</v>
      </c>
      <c r="V1426" s="17" t="str">
        <f>_xlfn.XLOOKUP(Table2[[#This Row],[Adjusted Form '#]],[2]COMPLETED!$D:$D,[2]COMPLETED!$O:$O,"Not Found")</f>
        <v>Not Found</v>
      </c>
      <c r="W1426" s="2" t="str">
        <f>_xlfn.XLOOKUP(Table2[[#This Row],[Adjusted Form '#]],[2]BILLED!$D:$D,[2]BILLED!$M:$M,"Not Found")</f>
        <v>9400 1112 0620 7403 9739 22</v>
      </c>
      <c r="X1426" s="17" t="e">
        <f>_xlfn.XLOOKUP(Table2[[#This Row],[Adjusted Form '#]],[2]BILLED!$D:$D,[1]BILLED!$O:$O,"Not Found")</f>
        <v>#REF!</v>
      </c>
      <c r="Y1426" s="17" t="e">
        <f>_xlfn.XLOOKUP(Table2[[#This Row],[Adjusted Form '#]],'[2]REJECTED ORDERS'!$D:$D,'[2]REJECTED ORDERS'!$E:$E)</f>
        <v>#N/A</v>
      </c>
      <c r="Z1426" s="1"/>
      <c r="AA1426" s="1"/>
    </row>
    <row r="1427" spans="1:27" ht="15" customHeight="1" x14ac:dyDescent="0.35">
      <c r="A1427" s="4" t="s">
        <v>2123</v>
      </c>
      <c r="B1427" s="1" t="s">
        <v>2918</v>
      </c>
      <c r="C1427" s="11">
        <v>45128</v>
      </c>
      <c r="E1427" s="1" t="s">
        <v>73</v>
      </c>
      <c r="F1427" s="1" t="s">
        <v>6430</v>
      </c>
      <c r="G1427" s="6">
        <f>COUNTIF(F:F,Table2[[#This Row],[Form '#]])</f>
        <v>1</v>
      </c>
      <c r="H1427" s="1" t="s">
        <v>6431</v>
      </c>
      <c r="I1427" s="1" t="s">
        <v>3864</v>
      </c>
      <c r="J1427" s="1" t="s">
        <v>78</v>
      </c>
      <c r="K1427" s="1" t="s">
        <v>3879</v>
      </c>
      <c r="L1427" s="1"/>
      <c r="M1427" s="6" t="str">
        <f>IF(Table2[[#This Row],[Corrected Form '#
 (If Duplicated)]]="",Table2[[#This Row],[Form '#]],Table2[[#This Row],[Corrected Form '#
 (If Duplicated)]])</f>
        <v>7823-02847</v>
      </c>
      <c r="N1427" s="1" t="s">
        <v>49</v>
      </c>
      <c r="O1427" s="6" t="str">
        <f>IF(Table2[[#This Row],[POG CONFIRMATION RECEIPT OF ORDER
(DATE &amp; TIME)]]="","No Confirmation","Received Confirmation")</f>
        <v>No Confirmation</v>
      </c>
      <c r="P1427" s="6">
        <f ca="1">TODAY()-Table2[[#This Row],[DATE SENT TO POG]]</f>
        <v>175</v>
      </c>
      <c r="Q1427" s="6" t="s">
        <v>5803</v>
      </c>
      <c r="R14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7" s="2" t="str">
        <f>_xlfn.XLOOKUP(Table2[[#This Row],[Adjusted Form '#]],'[2]IN PROGRESS'!$D:$D,'[2]IN PROGRESS'!$M:$M,"Not Found")</f>
        <v>Not Found</v>
      </c>
      <c r="U1427" s="2" t="str">
        <f>_xlfn.XLOOKUP(Table2[[#This Row],[Adjusted Form '#]],[1]COMPLETED!$D:$D,[2]COMPLETED!$M:$M,"Not Found")</f>
        <v>Not Found</v>
      </c>
      <c r="V1427" s="17" t="str">
        <f>_xlfn.XLOOKUP(Table2[[#This Row],[Adjusted Form '#]],[2]COMPLETED!$D:$D,[2]COMPLETED!$O:$O,"Not Found")</f>
        <v>Not Found</v>
      </c>
      <c r="W1427" s="2" t="str">
        <f>_xlfn.XLOOKUP(Table2[[#This Row],[Adjusted Form '#]],[2]BILLED!$D:$D,[2]BILLED!$M:$M,"Not Found")</f>
        <v>9400 1361 0605 3153 9343 24</v>
      </c>
      <c r="X1427" s="17" t="e">
        <f>_xlfn.XLOOKUP(Table2[[#This Row],[Adjusted Form '#]],[2]BILLED!$D:$D,[1]BILLED!$O:$O,"Not Found")</f>
        <v>#REF!</v>
      </c>
      <c r="Y1427" s="17" t="e">
        <f>_xlfn.XLOOKUP(Table2[[#This Row],[Adjusted Form '#]],'[2]REJECTED ORDERS'!$D:$D,'[2]REJECTED ORDERS'!$E:$E)</f>
        <v>#N/A</v>
      </c>
      <c r="Z1427" s="1"/>
      <c r="AA1427" s="1"/>
    </row>
    <row r="1428" spans="1:27" ht="15" customHeight="1" x14ac:dyDescent="0.35">
      <c r="A1428" s="4" t="s">
        <v>2125</v>
      </c>
      <c r="B1428" s="1" t="s">
        <v>2862</v>
      </c>
      <c r="C1428" s="11">
        <v>45128</v>
      </c>
      <c r="D1428" s="11" t="s">
        <v>6434</v>
      </c>
      <c r="E1428" s="1" t="s">
        <v>14</v>
      </c>
      <c r="F1428" s="1" t="s">
        <v>6432</v>
      </c>
      <c r="G1428" s="6">
        <f>COUNTIF(F:F,Table2[[#This Row],[Form '#]])</f>
        <v>1</v>
      </c>
      <c r="H1428" s="1" t="s">
        <v>1045</v>
      </c>
      <c r="I1428" s="1" t="s">
        <v>28</v>
      </c>
      <c r="J1428" s="1" t="s">
        <v>69</v>
      </c>
      <c r="K1428" s="1" t="s">
        <v>4631</v>
      </c>
      <c r="L1428" s="1"/>
      <c r="M1428" s="6" t="str">
        <f>IF(Table2[[#This Row],[Corrected Form '#
 (If Duplicated)]]="",Table2[[#This Row],[Form '#]],Table2[[#This Row],[Corrected Form '#
 (If Duplicated)]])</f>
        <v>7810-01911</v>
      </c>
      <c r="N1428" s="1" t="s">
        <v>49</v>
      </c>
      <c r="O1428" s="6" t="str">
        <f>IF(Table2[[#This Row],[POG CONFIRMATION RECEIPT OF ORDER
(DATE &amp; TIME)]]="","No Confirmation","Received Confirmation")</f>
        <v>Received Confirmation</v>
      </c>
      <c r="P1428" s="6">
        <f ca="1">TODAY()-Table2[[#This Row],[DATE SENT TO POG]]</f>
        <v>175</v>
      </c>
      <c r="Q1428" s="6" t="s">
        <v>5803</v>
      </c>
      <c r="R14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8" s="2" t="str">
        <f>_xlfn.XLOOKUP(Table2[[#This Row],[Adjusted Form '#]],'[2]IN PROGRESS'!$D:$D,'[2]IN PROGRESS'!$M:$M,"Not Found")</f>
        <v>Not Found</v>
      </c>
      <c r="U1428" s="2" t="str">
        <f>_xlfn.XLOOKUP(Table2[[#This Row],[Adjusted Form '#]],[1]COMPLETED!$D:$D,[2]COMPLETED!$M:$M,"Not Found")</f>
        <v>Not Found</v>
      </c>
      <c r="V1428" s="17" t="str">
        <f>_xlfn.XLOOKUP(Table2[[#This Row],[Adjusted Form '#]],[2]COMPLETED!$D:$D,[2]COMPLETED!$O:$O,"Not Found")</f>
        <v>Not Found</v>
      </c>
      <c r="W1428" s="2" t="str">
        <f>_xlfn.XLOOKUP(Table2[[#This Row],[Adjusted Form '#]],[2]BILLED!$D:$D,[2]BILLED!$M:$M,"Not Found")</f>
        <v>9400 1361 0605 3150 6182 41</v>
      </c>
      <c r="X1428" s="17" t="e">
        <f>_xlfn.XLOOKUP(Table2[[#This Row],[Adjusted Form '#]],[2]BILLED!$D:$D,[1]BILLED!$O:$O,"Not Found")</f>
        <v>#REF!</v>
      </c>
      <c r="Y1428" s="17" t="e">
        <f>_xlfn.XLOOKUP(Table2[[#This Row],[Adjusted Form '#]],'[2]REJECTED ORDERS'!$D:$D,'[2]REJECTED ORDERS'!$E:$E)</f>
        <v>#N/A</v>
      </c>
      <c r="Z1428" s="1"/>
      <c r="AA1428" s="1"/>
    </row>
    <row r="1429" spans="1:27" ht="15" customHeight="1" x14ac:dyDescent="0.35">
      <c r="A1429" s="4" t="s">
        <v>2127</v>
      </c>
      <c r="B1429" s="1" t="s">
        <v>1458</v>
      </c>
      <c r="C1429" s="11">
        <v>45128</v>
      </c>
      <c r="D1429" s="11" t="s">
        <v>6437</v>
      </c>
      <c r="E1429" s="1" t="s">
        <v>73</v>
      </c>
      <c r="F1429" s="1" t="s">
        <v>6435</v>
      </c>
      <c r="G1429" s="6">
        <f>COUNTIF(F:F,Table2[[#This Row],[Form '#]])</f>
        <v>1</v>
      </c>
      <c r="H1429" s="1" t="s">
        <v>6436</v>
      </c>
      <c r="I1429" s="1" t="s">
        <v>127</v>
      </c>
      <c r="J1429" s="1" t="s">
        <v>76</v>
      </c>
      <c r="K1429" s="1" t="s">
        <v>3883</v>
      </c>
      <c r="L1429" s="1"/>
      <c r="M1429" s="6" t="str">
        <f>IF(Table2[[#This Row],[Corrected Form '#
 (If Duplicated)]]="",Table2[[#This Row],[Form '#]],Table2[[#This Row],[Corrected Form '#
 (If Duplicated)]])</f>
        <v>7823-01539</v>
      </c>
      <c r="N1429" s="1" t="s">
        <v>49</v>
      </c>
      <c r="O1429" s="6" t="str">
        <f>IF(Table2[[#This Row],[POG CONFIRMATION RECEIPT OF ORDER
(DATE &amp; TIME)]]="","No Confirmation","Received Confirmation")</f>
        <v>Received Confirmation</v>
      </c>
      <c r="P1429" s="6">
        <f ca="1">TODAY()-Table2[[#This Row],[DATE SENT TO POG]]</f>
        <v>175</v>
      </c>
      <c r="Q1429" s="6" t="s">
        <v>5803</v>
      </c>
      <c r="R14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29" s="2" t="str">
        <f>_xlfn.XLOOKUP(Table2[[#This Row],[Adjusted Form '#]],'[2]IN PROGRESS'!$D:$D,'[2]IN PROGRESS'!$M:$M,"Not Found")</f>
        <v>Not Found</v>
      </c>
      <c r="U1429" s="2" t="str">
        <f>_xlfn.XLOOKUP(Table2[[#This Row],[Adjusted Form '#]],[1]COMPLETED!$D:$D,[2]COMPLETED!$M:$M,"Not Found")</f>
        <v>Not Found</v>
      </c>
      <c r="V1429" s="17" t="str">
        <f>_xlfn.XLOOKUP(Table2[[#This Row],[Adjusted Form '#]],[2]COMPLETED!$D:$D,[2]COMPLETED!$O:$O,"Not Found")</f>
        <v>Not Found</v>
      </c>
      <c r="W1429" s="2" t="str">
        <f>_xlfn.XLOOKUP(Table2[[#This Row],[Adjusted Form '#]],[2]BILLED!$D:$D,[2]BILLED!$M:$M,"Not Found")</f>
        <v>9400 1112 0620 9492 4101 28</v>
      </c>
      <c r="X1429" s="17" t="e">
        <f>_xlfn.XLOOKUP(Table2[[#This Row],[Adjusted Form '#]],[2]BILLED!$D:$D,[1]BILLED!$O:$O,"Not Found")</f>
        <v>#REF!</v>
      </c>
      <c r="Y1429" s="17" t="e">
        <f>_xlfn.XLOOKUP(Table2[[#This Row],[Adjusted Form '#]],'[2]REJECTED ORDERS'!$D:$D,'[2]REJECTED ORDERS'!$E:$E)</f>
        <v>#N/A</v>
      </c>
      <c r="Z1429" s="1"/>
      <c r="AA1429" s="1"/>
    </row>
    <row r="1430" spans="1:27" ht="15" customHeight="1" x14ac:dyDescent="0.35">
      <c r="A1430" s="4" t="s">
        <v>2128</v>
      </c>
      <c r="B1430" s="1" t="s">
        <v>731</v>
      </c>
      <c r="C1430" s="11">
        <v>45131</v>
      </c>
      <c r="D1430" s="11" t="s">
        <v>6453</v>
      </c>
      <c r="E1430" s="1" t="s">
        <v>21</v>
      </c>
      <c r="F1430" s="1" t="s">
        <v>6438</v>
      </c>
      <c r="G1430" s="6">
        <f>COUNTIF(F:F,Table2[[#This Row],[Form '#]])</f>
        <v>1</v>
      </c>
      <c r="H1430" s="1" t="s">
        <v>6439</v>
      </c>
      <c r="I1430" s="1" t="s">
        <v>177</v>
      </c>
      <c r="J1430" s="1" t="s">
        <v>75</v>
      </c>
      <c r="K1430" s="1" t="s">
        <v>3853</v>
      </c>
      <c r="L1430" s="1"/>
      <c r="M1430" s="6" t="str">
        <f>IF(Table2[[#This Row],[Corrected Form '#
 (If Duplicated)]]="",Table2[[#This Row],[Form '#]],Table2[[#This Row],[Corrected Form '#
 (If Duplicated)]])</f>
        <v>7818-14054</v>
      </c>
      <c r="N1430" s="1" t="s">
        <v>49</v>
      </c>
      <c r="O1430" s="6" t="str">
        <f>IF(Table2[[#This Row],[POG CONFIRMATION RECEIPT OF ORDER
(DATE &amp; TIME)]]="","No Confirmation","Received Confirmation")</f>
        <v>Received Confirmation</v>
      </c>
      <c r="P1430" s="6">
        <f ca="1">TODAY()-Table2[[#This Row],[DATE SENT TO POG]]</f>
        <v>172</v>
      </c>
      <c r="Q1430" s="6" t="s">
        <v>5803</v>
      </c>
      <c r="R14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0" s="2" t="str">
        <f>_xlfn.XLOOKUP(Table2[[#This Row],[Adjusted Form '#]],'[2]IN PROGRESS'!$D:$D,'[2]IN PROGRESS'!$M:$M,"Not Found")</f>
        <v>Not Found</v>
      </c>
      <c r="U1430" s="2" t="str">
        <f>_xlfn.XLOOKUP(Table2[[#This Row],[Adjusted Form '#]],[1]COMPLETED!$D:$D,[2]COMPLETED!$M:$M,"Not Found")</f>
        <v>Not Found</v>
      </c>
      <c r="V1430" s="17" t="str">
        <f>_xlfn.XLOOKUP(Table2[[#This Row],[Adjusted Form '#]],[2]COMPLETED!$D:$D,[2]COMPLETED!$O:$O,"Not Found")</f>
        <v>Not Found</v>
      </c>
      <c r="W1430" s="2" t="str">
        <f>_xlfn.XLOOKUP(Table2[[#This Row],[Adjusted Form '#]],[2]BILLED!$D:$D,[2]BILLED!$M:$M,"Not Found")</f>
        <v>9400 1361 0605 3197 9195 16</v>
      </c>
      <c r="X1430" s="17" t="e">
        <f>_xlfn.XLOOKUP(Table2[[#This Row],[Adjusted Form '#]],[2]BILLED!$D:$D,[1]BILLED!$O:$O,"Not Found")</f>
        <v>#REF!</v>
      </c>
      <c r="Y1430" s="17" t="e">
        <f>_xlfn.XLOOKUP(Table2[[#This Row],[Adjusted Form '#]],'[2]REJECTED ORDERS'!$D:$D,'[2]REJECTED ORDERS'!$E:$E)</f>
        <v>#N/A</v>
      </c>
      <c r="Z1430" s="1"/>
      <c r="AA1430" s="1"/>
    </row>
    <row r="1431" spans="1:27" ht="15" customHeight="1" x14ac:dyDescent="0.35">
      <c r="A1431" s="4" t="s">
        <v>2130</v>
      </c>
      <c r="B1431" s="1" t="s">
        <v>278</v>
      </c>
      <c r="C1431" s="11">
        <v>45131</v>
      </c>
      <c r="D1431" s="11" t="s">
        <v>6454</v>
      </c>
      <c r="E1431" s="1" t="s">
        <v>73</v>
      </c>
      <c r="F1431" s="1" t="s">
        <v>6440</v>
      </c>
      <c r="G1431" s="6">
        <f>COUNTIF(F:F,Table2[[#This Row],[Form '#]])</f>
        <v>1</v>
      </c>
      <c r="H1431" s="1" t="s">
        <v>6441</v>
      </c>
      <c r="I1431" s="1" t="s">
        <v>3864</v>
      </c>
      <c r="J1431" s="1" t="s">
        <v>78</v>
      </c>
      <c r="K1431" s="1" t="s">
        <v>3879</v>
      </c>
      <c r="L1431" s="1"/>
      <c r="M1431" s="6" t="str">
        <f>IF(Table2[[#This Row],[Corrected Form '#
 (If Duplicated)]]="",Table2[[#This Row],[Form '#]],Table2[[#This Row],[Corrected Form '#
 (If Duplicated)]])</f>
        <v>7823-02511</v>
      </c>
      <c r="N1431" s="1" t="s">
        <v>49</v>
      </c>
      <c r="O1431" s="6" t="str">
        <f>IF(Table2[[#This Row],[POG CONFIRMATION RECEIPT OF ORDER
(DATE &amp; TIME)]]="","No Confirmation","Received Confirmation")</f>
        <v>Received Confirmation</v>
      </c>
      <c r="P1431" s="6">
        <f ca="1">TODAY()-Table2[[#This Row],[DATE SENT TO POG]]</f>
        <v>172</v>
      </c>
      <c r="Q1431" s="6" t="s">
        <v>5803</v>
      </c>
      <c r="R14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1" s="2" t="str">
        <f>_xlfn.XLOOKUP(Table2[[#This Row],[Adjusted Form '#]],'[2]IN PROGRESS'!$D:$D,'[2]IN PROGRESS'!$M:$M,"Not Found")</f>
        <v>Not Found</v>
      </c>
      <c r="U1431" s="2" t="str">
        <f>_xlfn.XLOOKUP(Table2[[#This Row],[Adjusted Form '#]],[1]COMPLETED!$D:$D,[2]COMPLETED!$M:$M,"Not Found")</f>
        <v>Not Found</v>
      </c>
      <c r="V1431" s="17" t="str">
        <f>_xlfn.XLOOKUP(Table2[[#This Row],[Adjusted Form '#]],[2]COMPLETED!$D:$D,[2]COMPLETED!$O:$O,"Not Found")</f>
        <v>Not Found</v>
      </c>
      <c r="W1431" s="2" t="str">
        <f>_xlfn.XLOOKUP(Table2[[#This Row],[Adjusted Form '#]],[2]BILLED!$D:$D,[2]BILLED!$M:$M,"Not Found")</f>
        <v>9400 1361 0605 3207 8235 67</v>
      </c>
      <c r="X1431" s="17" t="e">
        <f>_xlfn.XLOOKUP(Table2[[#This Row],[Adjusted Form '#]],[2]BILLED!$D:$D,[1]BILLED!$O:$O,"Not Found")</f>
        <v>#REF!</v>
      </c>
      <c r="Y1431" s="17" t="e">
        <f>_xlfn.XLOOKUP(Table2[[#This Row],[Adjusted Form '#]],'[2]REJECTED ORDERS'!$D:$D,'[2]REJECTED ORDERS'!$E:$E)</f>
        <v>#N/A</v>
      </c>
      <c r="Z1431" s="1"/>
      <c r="AA1431" s="1"/>
    </row>
    <row r="1432" spans="1:27" ht="15" customHeight="1" x14ac:dyDescent="0.35">
      <c r="A1432" s="4" t="s">
        <v>2131</v>
      </c>
      <c r="B1432" s="1" t="s">
        <v>2864</v>
      </c>
      <c r="C1432" s="11">
        <v>45131</v>
      </c>
      <c r="D1432" s="11" t="s">
        <v>6455</v>
      </c>
      <c r="E1432" s="1" t="s">
        <v>191</v>
      </c>
      <c r="F1432" s="1" t="s">
        <v>6442</v>
      </c>
      <c r="G1432" s="6">
        <f>COUNTIF(F:F,Table2[[#This Row],[Form '#]])</f>
        <v>1</v>
      </c>
      <c r="H1432" s="1" t="s">
        <v>1582</v>
      </c>
      <c r="I1432" s="1" t="s">
        <v>3864</v>
      </c>
      <c r="J1432" s="1" t="s">
        <v>78</v>
      </c>
      <c r="K1432" s="1" t="s">
        <v>3879</v>
      </c>
      <c r="L1432" s="1"/>
      <c r="M1432" s="6" t="str">
        <f>IF(Table2[[#This Row],[Corrected Form '#
 (If Duplicated)]]="",Table2[[#This Row],[Form '#]],Table2[[#This Row],[Corrected Form '#
 (If Duplicated)]])</f>
        <v>7812-4025</v>
      </c>
      <c r="N1432" s="1" t="s">
        <v>49</v>
      </c>
      <c r="O1432" s="6" t="str">
        <f>IF(Table2[[#This Row],[POG CONFIRMATION RECEIPT OF ORDER
(DATE &amp; TIME)]]="","No Confirmation","Received Confirmation")</f>
        <v>Received Confirmation</v>
      </c>
      <c r="P1432" s="6">
        <f ca="1">TODAY()-Table2[[#This Row],[DATE SENT TO POG]]</f>
        <v>172</v>
      </c>
      <c r="Q1432" s="6" t="s">
        <v>5803</v>
      </c>
      <c r="R14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2" s="2" t="str">
        <f>_xlfn.XLOOKUP(Table2[[#This Row],[Adjusted Form '#]],'[2]IN PROGRESS'!$D:$D,'[2]IN PROGRESS'!$M:$M,"Not Found")</f>
        <v>Not Found</v>
      </c>
      <c r="U1432" s="2" t="str">
        <f>_xlfn.XLOOKUP(Table2[[#This Row],[Adjusted Form '#]],[1]COMPLETED!$D:$D,[2]COMPLETED!$M:$M,"Not Found")</f>
        <v>Not Found</v>
      </c>
      <c r="V1432" s="17" t="str">
        <f>_xlfn.XLOOKUP(Table2[[#This Row],[Adjusted Form '#]],[2]COMPLETED!$D:$D,[2]COMPLETED!$O:$O,"Not Found")</f>
        <v>Not Found</v>
      </c>
      <c r="W1432" s="2" t="str">
        <f>_xlfn.XLOOKUP(Table2[[#This Row],[Adjusted Form '#]],[2]BILLED!$D:$D,[2]BILLED!$M:$M,"Not Found")</f>
        <v>9402 1112 0620 9870 6864 71</v>
      </c>
      <c r="X1432" s="17" t="e">
        <f>_xlfn.XLOOKUP(Table2[[#This Row],[Adjusted Form '#]],[2]BILLED!$D:$D,[1]BILLED!$O:$O,"Not Found")</f>
        <v>#REF!</v>
      </c>
      <c r="Y1432" s="17" t="e">
        <f>_xlfn.XLOOKUP(Table2[[#This Row],[Adjusted Form '#]],'[2]REJECTED ORDERS'!$D:$D,'[2]REJECTED ORDERS'!$E:$E)</f>
        <v>#N/A</v>
      </c>
      <c r="Z1432" s="1"/>
      <c r="AA1432" s="1"/>
    </row>
    <row r="1433" spans="1:27" ht="15" customHeight="1" x14ac:dyDescent="0.35">
      <c r="A1433" s="4" t="s">
        <v>2132</v>
      </c>
      <c r="B1433" s="1" t="s">
        <v>2864</v>
      </c>
      <c r="C1433" s="11">
        <v>45131</v>
      </c>
      <c r="D1433" s="11" t="s">
        <v>6455</v>
      </c>
      <c r="E1433" s="1" t="s">
        <v>191</v>
      </c>
      <c r="F1433" s="1" t="s">
        <v>6443</v>
      </c>
      <c r="G1433" s="6">
        <f>COUNTIF(F:F,Table2[[#This Row],[Form '#]])</f>
        <v>1</v>
      </c>
      <c r="H1433" s="1" t="s">
        <v>6446</v>
      </c>
      <c r="I1433" s="1" t="s">
        <v>127</v>
      </c>
      <c r="J1433" s="1" t="s">
        <v>76</v>
      </c>
      <c r="K1433" s="1" t="s">
        <v>4011</v>
      </c>
      <c r="L1433" s="1"/>
      <c r="M1433" s="6" t="str">
        <f>IF(Table2[[#This Row],[Corrected Form '#
 (If Duplicated)]]="",Table2[[#This Row],[Form '#]],Table2[[#This Row],[Corrected Form '#
 (If Duplicated)]])</f>
        <v>7812-3587</v>
      </c>
      <c r="N1433" s="1" t="s">
        <v>49</v>
      </c>
      <c r="O1433" s="6" t="str">
        <f>IF(Table2[[#This Row],[POG CONFIRMATION RECEIPT OF ORDER
(DATE &amp; TIME)]]="","No Confirmation","Received Confirmation")</f>
        <v>Received Confirmation</v>
      </c>
      <c r="P1433" s="6">
        <f ca="1">TODAY()-Table2[[#This Row],[DATE SENT TO POG]]</f>
        <v>172</v>
      </c>
      <c r="Q1433" s="6" t="s">
        <v>5803</v>
      </c>
      <c r="R14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3" s="2" t="str">
        <f>_xlfn.XLOOKUP(Table2[[#This Row],[Adjusted Form '#]],'[2]IN PROGRESS'!$D:$D,'[2]IN PROGRESS'!$M:$M,"Not Found")</f>
        <v>Not Found</v>
      </c>
      <c r="U1433" s="2" t="str">
        <f>_xlfn.XLOOKUP(Table2[[#This Row],[Adjusted Form '#]],[1]COMPLETED!$D:$D,[2]COMPLETED!$M:$M,"Not Found")</f>
        <v>Not Found</v>
      </c>
      <c r="V1433" s="17" t="str">
        <f>_xlfn.XLOOKUP(Table2[[#This Row],[Adjusted Form '#]],[2]COMPLETED!$D:$D,[2]COMPLETED!$O:$O,"Not Found")</f>
        <v>Not Found</v>
      </c>
      <c r="W1433" s="2" t="str">
        <f>_xlfn.XLOOKUP(Table2[[#This Row],[Adjusted Form '#]],[2]BILLED!$D:$D,[2]BILLED!$M:$M,"Not Found")</f>
        <v>9400 1361 0605 3150 2777 83</v>
      </c>
      <c r="X1433" s="17" t="e">
        <f>_xlfn.XLOOKUP(Table2[[#This Row],[Adjusted Form '#]],[2]BILLED!$D:$D,[1]BILLED!$O:$O,"Not Found")</f>
        <v>#REF!</v>
      </c>
      <c r="Y1433" s="17" t="e">
        <f>_xlfn.XLOOKUP(Table2[[#This Row],[Adjusted Form '#]],'[2]REJECTED ORDERS'!$D:$D,'[2]REJECTED ORDERS'!$E:$E)</f>
        <v>#N/A</v>
      </c>
      <c r="Z1433" s="1"/>
      <c r="AA1433" s="1"/>
    </row>
    <row r="1434" spans="1:27" ht="15" customHeight="1" x14ac:dyDescent="0.35">
      <c r="A1434" s="4" t="s">
        <v>2133</v>
      </c>
      <c r="B1434" s="1" t="s">
        <v>2864</v>
      </c>
      <c r="C1434" s="11">
        <v>45131</v>
      </c>
      <c r="D1434" s="11" t="s">
        <v>6455</v>
      </c>
      <c r="E1434" s="1" t="s">
        <v>191</v>
      </c>
      <c r="F1434" s="1" t="s">
        <v>6444</v>
      </c>
      <c r="G1434" s="6">
        <f>COUNTIF(F:F,Table2[[#This Row],[Form '#]])</f>
        <v>1</v>
      </c>
      <c r="H1434" s="1" t="s">
        <v>6445</v>
      </c>
      <c r="I1434" s="1" t="s">
        <v>3852</v>
      </c>
      <c r="J1434" s="1" t="s">
        <v>75</v>
      </c>
      <c r="K1434" s="1" t="s">
        <v>3853</v>
      </c>
      <c r="L1434" s="1"/>
      <c r="M1434" s="6" t="str">
        <f>IF(Table2[[#This Row],[Corrected Form '#
 (If Duplicated)]]="",Table2[[#This Row],[Form '#]],Table2[[#This Row],[Corrected Form '#
 (If Duplicated)]])</f>
        <v>7812-3797</v>
      </c>
      <c r="N1434" s="1" t="s">
        <v>49</v>
      </c>
      <c r="O1434" s="6" t="str">
        <f>IF(Table2[[#This Row],[POG CONFIRMATION RECEIPT OF ORDER
(DATE &amp; TIME)]]="","No Confirmation","Received Confirmation")</f>
        <v>Received Confirmation</v>
      </c>
      <c r="P1434" s="6">
        <f ca="1">TODAY()-Table2[[#This Row],[DATE SENT TO POG]]</f>
        <v>172</v>
      </c>
      <c r="Q1434" s="6" t="s">
        <v>5803</v>
      </c>
      <c r="R14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4" s="2" t="str">
        <f>_xlfn.XLOOKUP(Table2[[#This Row],[Adjusted Form '#]],'[2]IN PROGRESS'!$D:$D,'[2]IN PROGRESS'!$M:$M,"Not Found")</f>
        <v>Not Found</v>
      </c>
      <c r="U1434" s="2" t="str">
        <f>_xlfn.XLOOKUP(Table2[[#This Row],[Adjusted Form '#]],[1]COMPLETED!$D:$D,[2]COMPLETED!$M:$M,"Not Found")</f>
        <v>Not Found</v>
      </c>
      <c r="V1434" s="17" t="str">
        <f>_xlfn.XLOOKUP(Table2[[#This Row],[Adjusted Form '#]],[2]COMPLETED!$D:$D,[2]COMPLETED!$O:$O,"Not Found")</f>
        <v>Not Found</v>
      </c>
      <c r="W1434" s="2" t="str">
        <f>_xlfn.XLOOKUP(Table2[[#This Row],[Adjusted Form '#]],[2]BILLED!$D:$D,[2]BILLED!$M:$M,"Not Found")</f>
        <v>9400 1112 0620 9434 0696 36</v>
      </c>
      <c r="X1434" s="17" t="e">
        <f>_xlfn.XLOOKUP(Table2[[#This Row],[Adjusted Form '#]],[2]BILLED!$D:$D,[1]BILLED!$O:$O,"Not Found")</f>
        <v>#REF!</v>
      </c>
      <c r="Y1434" s="17" t="e">
        <f>_xlfn.XLOOKUP(Table2[[#This Row],[Adjusted Form '#]],'[2]REJECTED ORDERS'!$D:$D,'[2]REJECTED ORDERS'!$E:$E)</f>
        <v>#N/A</v>
      </c>
      <c r="Z1434" s="1"/>
      <c r="AA1434" s="1"/>
    </row>
    <row r="1435" spans="1:27" ht="15" customHeight="1" x14ac:dyDescent="0.35">
      <c r="A1435" s="4" t="s">
        <v>2135</v>
      </c>
      <c r="B1435" s="1" t="s">
        <v>2864</v>
      </c>
      <c r="C1435" s="11">
        <v>45131</v>
      </c>
      <c r="D1435" s="11" t="s">
        <v>6455</v>
      </c>
      <c r="E1435" s="1" t="s">
        <v>191</v>
      </c>
      <c r="F1435" s="1" t="s">
        <v>6447</v>
      </c>
      <c r="G1435" s="6">
        <f>COUNTIF(F:F,Table2[[#This Row],[Form '#]])</f>
        <v>1</v>
      </c>
      <c r="H1435" s="1" t="s">
        <v>1864</v>
      </c>
      <c r="I1435" s="1" t="s">
        <v>127</v>
      </c>
      <c r="J1435" s="1" t="s">
        <v>74</v>
      </c>
      <c r="K1435" s="1" t="s">
        <v>4011</v>
      </c>
      <c r="L1435" s="1"/>
      <c r="M1435" s="6" t="str">
        <f>IF(Table2[[#This Row],[Corrected Form '#
 (If Duplicated)]]="",Table2[[#This Row],[Form '#]],Table2[[#This Row],[Corrected Form '#
 (If Duplicated)]])</f>
        <v>7812-4028</v>
      </c>
      <c r="N1435" s="1" t="s">
        <v>49</v>
      </c>
      <c r="O1435" s="6" t="str">
        <f>IF(Table2[[#This Row],[POG CONFIRMATION RECEIPT OF ORDER
(DATE &amp; TIME)]]="","No Confirmation","Received Confirmation")</f>
        <v>Received Confirmation</v>
      </c>
      <c r="P1435" s="6">
        <f ca="1">TODAY()-Table2[[#This Row],[DATE SENT TO POG]]</f>
        <v>172</v>
      </c>
      <c r="Q1435" s="6" t="s">
        <v>5803</v>
      </c>
      <c r="R14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5" s="2" t="str">
        <f>_xlfn.XLOOKUP(Table2[[#This Row],[Adjusted Form '#]],'[2]IN PROGRESS'!$D:$D,'[2]IN PROGRESS'!$M:$M,"Not Found")</f>
        <v>Not Found</v>
      </c>
      <c r="U1435" s="2" t="str">
        <f>_xlfn.XLOOKUP(Table2[[#This Row],[Adjusted Form '#]],[1]COMPLETED!$D:$D,[2]COMPLETED!$M:$M,"Not Found")</f>
        <v>Not Found</v>
      </c>
      <c r="V1435" s="17" t="str">
        <f>_xlfn.XLOOKUP(Table2[[#This Row],[Adjusted Form '#]],[2]COMPLETED!$D:$D,[2]COMPLETED!$O:$O,"Not Found")</f>
        <v>Not Found</v>
      </c>
      <c r="W1435" s="2" t="str">
        <f>_xlfn.XLOOKUP(Table2[[#This Row],[Adjusted Form '#]],[2]BILLED!$D:$D,[2]BILLED!$M:$M,"Not Found")</f>
        <v>9400 1361 0605 3138 2429 25</v>
      </c>
      <c r="X1435" s="17" t="e">
        <f>_xlfn.XLOOKUP(Table2[[#This Row],[Adjusted Form '#]],[2]BILLED!$D:$D,[1]BILLED!$O:$O,"Not Found")</f>
        <v>#REF!</v>
      </c>
      <c r="Y1435" s="17" t="e">
        <f>_xlfn.XLOOKUP(Table2[[#This Row],[Adjusted Form '#]],'[2]REJECTED ORDERS'!$D:$D,'[2]REJECTED ORDERS'!$E:$E)</f>
        <v>#N/A</v>
      </c>
      <c r="Z1435" s="1"/>
      <c r="AA1435" s="1"/>
    </row>
    <row r="1436" spans="1:27" ht="15" customHeight="1" x14ac:dyDescent="0.35">
      <c r="A1436" s="4" t="s">
        <v>2137</v>
      </c>
      <c r="B1436" s="1" t="s">
        <v>231</v>
      </c>
      <c r="C1436" s="11">
        <v>45131</v>
      </c>
      <c r="D1436" s="11" t="s">
        <v>6456</v>
      </c>
      <c r="E1436" s="1" t="s">
        <v>21</v>
      </c>
      <c r="F1436" s="1" t="s">
        <v>6448</v>
      </c>
      <c r="G1436" s="6">
        <f>COUNTIF(F:F,Table2[[#This Row],[Form '#]])</f>
        <v>1</v>
      </c>
      <c r="H1436" s="1" t="s">
        <v>2806</v>
      </c>
      <c r="I1436" s="1" t="s">
        <v>177</v>
      </c>
      <c r="J1436" s="1" t="s">
        <v>75</v>
      </c>
      <c r="K1436" s="1" t="s">
        <v>3853</v>
      </c>
      <c r="L1436" s="1"/>
      <c r="M1436" s="6" t="str">
        <f>IF(Table2[[#This Row],[Corrected Form '#
 (If Duplicated)]]="",Table2[[#This Row],[Form '#]],Table2[[#This Row],[Corrected Form '#
 (If Duplicated)]])</f>
        <v>7818-26604</v>
      </c>
      <c r="N1436" s="1" t="s">
        <v>49</v>
      </c>
      <c r="O1436" s="6" t="str">
        <f>IF(Table2[[#This Row],[POG CONFIRMATION RECEIPT OF ORDER
(DATE &amp; TIME)]]="","No Confirmation","Received Confirmation")</f>
        <v>Received Confirmation</v>
      </c>
      <c r="P1436" s="6">
        <f ca="1">TODAY()-Table2[[#This Row],[DATE SENT TO POG]]</f>
        <v>172</v>
      </c>
      <c r="Q1436" s="6" t="s">
        <v>5803</v>
      </c>
      <c r="R14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6" s="2" t="str">
        <f>_xlfn.XLOOKUP(Table2[[#This Row],[Adjusted Form '#]],'[2]IN PROGRESS'!$D:$D,'[2]IN PROGRESS'!$M:$M,"Not Found")</f>
        <v>Not Found</v>
      </c>
      <c r="U1436" s="2" t="str">
        <f>_xlfn.XLOOKUP(Table2[[#This Row],[Adjusted Form '#]],[1]COMPLETED!$D:$D,[2]COMPLETED!$M:$M,"Not Found")</f>
        <v>Not Found</v>
      </c>
      <c r="V1436" s="17" t="str">
        <f>_xlfn.XLOOKUP(Table2[[#This Row],[Adjusted Form '#]],[2]COMPLETED!$D:$D,[2]COMPLETED!$O:$O,"Not Found")</f>
        <v>Not Found</v>
      </c>
      <c r="W1436" s="2" t="str">
        <f>_xlfn.XLOOKUP(Table2[[#This Row],[Adjusted Form '#]],[2]BILLED!$D:$D,[2]BILLED!$M:$M,"Not Found")</f>
        <v>9400 1361 0605 3153 9005 65</v>
      </c>
      <c r="X1436" s="17" t="e">
        <f>_xlfn.XLOOKUP(Table2[[#This Row],[Adjusted Form '#]],[2]BILLED!$D:$D,[1]BILLED!$O:$O,"Not Found")</f>
        <v>#REF!</v>
      </c>
      <c r="Y1436" s="17" t="e">
        <f>_xlfn.XLOOKUP(Table2[[#This Row],[Adjusted Form '#]],'[2]REJECTED ORDERS'!$D:$D,'[2]REJECTED ORDERS'!$E:$E)</f>
        <v>#N/A</v>
      </c>
      <c r="Z1436" s="1"/>
      <c r="AA1436" s="1"/>
    </row>
    <row r="1437" spans="1:27" ht="15" customHeight="1" x14ac:dyDescent="0.35">
      <c r="A1437" s="4" t="s">
        <v>2139</v>
      </c>
      <c r="B1437" s="1" t="s">
        <v>231</v>
      </c>
      <c r="C1437" s="11">
        <v>45131</v>
      </c>
      <c r="D1437" s="11" t="s">
        <v>6456</v>
      </c>
      <c r="E1437" s="1" t="s">
        <v>21</v>
      </c>
      <c r="F1437" s="1" t="s">
        <v>6449</v>
      </c>
      <c r="G1437" s="6">
        <f>COUNTIF(F:F,Table2[[#This Row],[Form '#]])</f>
        <v>1</v>
      </c>
      <c r="H1437" s="1" t="s">
        <v>6450</v>
      </c>
      <c r="I1437" s="1" t="s">
        <v>177</v>
      </c>
      <c r="J1437" s="1" t="s">
        <v>75</v>
      </c>
      <c r="K1437" s="1" t="s">
        <v>3853</v>
      </c>
      <c r="L1437" s="1"/>
      <c r="M1437" s="6" t="str">
        <f>IF(Table2[[#This Row],[Corrected Form '#
 (If Duplicated)]]="",Table2[[#This Row],[Form '#]],Table2[[#This Row],[Corrected Form '#
 (If Duplicated)]])</f>
        <v>7818-28632</v>
      </c>
      <c r="N1437" s="1" t="s">
        <v>49</v>
      </c>
      <c r="O1437" s="6" t="str">
        <f>IF(Table2[[#This Row],[POG CONFIRMATION RECEIPT OF ORDER
(DATE &amp; TIME)]]="","No Confirmation","Received Confirmation")</f>
        <v>Received Confirmation</v>
      </c>
      <c r="P1437" s="6">
        <f ca="1">TODAY()-Table2[[#This Row],[DATE SENT TO POG]]</f>
        <v>172</v>
      </c>
      <c r="Q1437" s="6" t="s">
        <v>5803</v>
      </c>
      <c r="R14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7" s="2" t="str">
        <f>_xlfn.XLOOKUP(Table2[[#This Row],[Adjusted Form '#]],'[2]IN PROGRESS'!$D:$D,'[2]IN PROGRESS'!$M:$M,"Not Found")</f>
        <v>Not Found</v>
      </c>
      <c r="U1437" s="2" t="str">
        <f>_xlfn.XLOOKUP(Table2[[#This Row],[Adjusted Form '#]],[1]COMPLETED!$D:$D,[2]COMPLETED!$M:$M,"Not Found")</f>
        <v>Not Found</v>
      </c>
      <c r="V1437" s="17" t="str">
        <f>_xlfn.XLOOKUP(Table2[[#This Row],[Adjusted Form '#]],[2]COMPLETED!$D:$D,[2]COMPLETED!$O:$O,"Not Found")</f>
        <v>Not Found</v>
      </c>
      <c r="W1437" s="2" t="str">
        <f>_xlfn.XLOOKUP(Table2[[#This Row],[Adjusted Form '#]],[2]BILLED!$D:$D,[2]BILLED!$M:$M,"Not Found")</f>
        <v>9400 1361 0605 3151 6857 16</v>
      </c>
      <c r="X1437" s="17" t="e">
        <f>_xlfn.XLOOKUP(Table2[[#This Row],[Adjusted Form '#]],[2]BILLED!$D:$D,[1]BILLED!$O:$O,"Not Found")</f>
        <v>#REF!</v>
      </c>
      <c r="Y1437" s="17" t="e">
        <f>_xlfn.XLOOKUP(Table2[[#This Row],[Adjusted Form '#]],'[2]REJECTED ORDERS'!$D:$D,'[2]REJECTED ORDERS'!$E:$E)</f>
        <v>#N/A</v>
      </c>
      <c r="Z1437" s="1"/>
      <c r="AA1437" s="1"/>
    </row>
    <row r="1438" spans="1:27" ht="15" customHeight="1" x14ac:dyDescent="0.35">
      <c r="A1438" s="4" t="s">
        <v>2141</v>
      </c>
      <c r="B1438" s="1" t="s">
        <v>231</v>
      </c>
      <c r="C1438" s="11">
        <v>45131</v>
      </c>
      <c r="D1438" s="11" t="s">
        <v>6456</v>
      </c>
      <c r="E1438" s="1" t="s">
        <v>21</v>
      </c>
      <c r="F1438" s="1" t="s">
        <v>6452</v>
      </c>
      <c r="G1438" s="6">
        <f>COUNTIF(F:F,Table2[[#This Row],[Form '#]])</f>
        <v>1</v>
      </c>
      <c r="H1438" s="1" t="s">
        <v>1089</v>
      </c>
      <c r="I1438" s="1" t="s">
        <v>127</v>
      </c>
      <c r="J1438" s="1" t="s">
        <v>74</v>
      </c>
      <c r="K1438" s="1" t="s">
        <v>4011</v>
      </c>
      <c r="L1438" s="1"/>
      <c r="M1438" s="6" t="str">
        <f>IF(Table2[[#This Row],[Corrected Form '#
 (If Duplicated)]]="",Table2[[#This Row],[Form '#]],Table2[[#This Row],[Corrected Form '#
 (If Duplicated)]])</f>
        <v>7818-29433</v>
      </c>
      <c r="N1438" s="1" t="s">
        <v>49</v>
      </c>
      <c r="O1438" s="6" t="str">
        <f>IF(Table2[[#This Row],[POG CONFIRMATION RECEIPT OF ORDER
(DATE &amp; TIME)]]="","No Confirmation","Received Confirmation")</f>
        <v>Received Confirmation</v>
      </c>
      <c r="P1438" s="6">
        <f ca="1">TODAY()-Table2[[#This Row],[DATE SENT TO POG]]</f>
        <v>172</v>
      </c>
      <c r="Q1438" s="6" t="s">
        <v>5803</v>
      </c>
      <c r="R14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8" s="2" t="str">
        <f>_xlfn.XLOOKUP(Table2[[#This Row],[Adjusted Form '#]],'[2]IN PROGRESS'!$D:$D,'[2]IN PROGRESS'!$M:$M,"Not Found")</f>
        <v>Not Found</v>
      </c>
      <c r="U1438" s="2" t="str">
        <f>_xlfn.XLOOKUP(Table2[[#This Row],[Adjusted Form '#]],[1]COMPLETED!$D:$D,[2]COMPLETED!$M:$M,"Not Found")</f>
        <v>Not Found</v>
      </c>
      <c r="V1438" s="17" t="str">
        <f>_xlfn.XLOOKUP(Table2[[#This Row],[Adjusted Form '#]],[2]COMPLETED!$D:$D,[2]COMPLETED!$O:$O,"Not Found")</f>
        <v>Not Found</v>
      </c>
      <c r="W1438" s="2" t="str">
        <f>_xlfn.XLOOKUP(Table2[[#This Row],[Adjusted Form '#]],[2]BILLED!$D:$D,[2]BILLED!$M:$M,"Not Found")</f>
        <v>9400 1361 0605 3134 1504 15</v>
      </c>
      <c r="X1438" s="17" t="e">
        <f>_xlfn.XLOOKUP(Table2[[#This Row],[Adjusted Form '#]],[2]BILLED!$D:$D,[1]BILLED!$O:$O,"Not Found")</f>
        <v>#REF!</v>
      </c>
      <c r="Y1438" s="17" t="e">
        <f>_xlfn.XLOOKUP(Table2[[#This Row],[Adjusted Form '#]],'[2]REJECTED ORDERS'!$D:$D,'[2]REJECTED ORDERS'!$E:$E)</f>
        <v>#N/A</v>
      </c>
      <c r="Z1438" s="1"/>
      <c r="AA1438" s="1"/>
    </row>
    <row r="1439" spans="1:27" ht="15" customHeight="1" x14ac:dyDescent="0.35">
      <c r="A1439" s="4" t="s">
        <v>2143</v>
      </c>
      <c r="B1439" s="1" t="s">
        <v>4991</v>
      </c>
      <c r="C1439" s="11">
        <v>45132</v>
      </c>
      <c r="D1439" s="11" t="s">
        <v>6474</v>
      </c>
      <c r="E1439" s="1" t="s">
        <v>14</v>
      </c>
      <c r="F1439" s="1" t="s">
        <v>6457</v>
      </c>
      <c r="G1439" s="6">
        <f>COUNTIF(F:F,Table2[[#This Row],[Form '#]])</f>
        <v>1</v>
      </c>
      <c r="H1439" s="1" t="s">
        <v>6458</v>
      </c>
      <c r="I1439" s="1" t="s">
        <v>3864</v>
      </c>
      <c r="J1439" s="1" t="s">
        <v>78</v>
      </c>
      <c r="K1439" s="1" t="s">
        <v>3879</v>
      </c>
      <c r="L1439" s="1"/>
      <c r="M1439" s="6" t="str">
        <f>IF(Table2[[#This Row],[Corrected Form '#
 (If Duplicated)]]="",Table2[[#This Row],[Form '#]],Table2[[#This Row],[Corrected Form '#
 (If Duplicated)]])</f>
        <v>7810-02130</v>
      </c>
      <c r="N1439" s="1" t="s">
        <v>49</v>
      </c>
      <c r="O1439" s="6" t="str">
        <f>IF(Table2[[#This Row],[POG CONFIRMATION RECEIPT OF ORDER
(DATE &amp; TIME)]]="","No Confirmation","Received Confirmation")</f>
        <v>Received Confirmation</v>
      </c>
      <c r="P1439" s="6">
        <f ca="1">TODAY()-Table2[[#This Row],[DATE SENT TO POG]]</f>
        <v>171</v>
      </c>
      <c r="Q1439" s="6" t="s">
        <v>5803</v>
      </c>
      <c r="R14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39" s="2" t="str">
        <f>_xlfn.XLOOKUP(Table2[[#This Row],[Adjusted Form '#]],'[2]IN PROGRESS'!$D:$D,'[2]IN PROGRESS'!$M:$M,"Not Found")</f>
        <v>Not Found</v>
      </c>
      <c r="U1439" s="2" t="str">
        <f>_xlfn.XLOOKUP(Table2[[#This Row],[Adjusted Form '#]],[1]COMPLETED!$D:$D,[2]COMPLETED!$M:$M,"Not Found")</f>
        <v>Not Found</v>
      </c>
      <c r="V1439" s="17" t="str">
        <f>_xlfn.XLOOKUP(Table2[[#This Row],[Adjusted Form '#]],[2]COMPLETED!$D:$D,[2]COMPLETED!$O:$O,"Not Found")</f>
        <v>Not Found</v>
      </c>
      <c r="W1439" s="2" t="str">
        <f>_xlfn.XLOOKUP(Table2[[#This Row],[Adjusted Form '#]],[2]BILLED!$D:$D,[2]BILLED!$M:$M,"Not Found")</f>
        <v>9400 1361 0605 3197 8912 01</v>
      </c>
      <c r="X1439" s="17" t="e">
        <f>_xlfn.XLOOKUP(Table2[[#This Row],[Adjusted Form '#]],[2]BILLED!$D:$D,[1]BILLED!$O:$O,"Not Found")</f>
        <v>#REF!</v>
      </c>
      <c r="Y1439" s="17" t="e">
        <f>_xlfn.XLOOKUP(Table2[[#This Row],[Adjusted Form '#]],'[2]REJECTED ORDERS'!$D:$D,'[2]REJECTED ORDERS'!$E:$E)</f>
        <v>#N/A</v>
      </c>
      <c r="Z1439" s="1"/>
      <c r="AA1439" s="1"/>
    </row>
    <row r="1440" spans="1:27" ht="15" customHeight="1" x14ac:dyDescent="0.35">
      <c r="A1440" s="4" t="s">
        <v>2145</v>
      </c>
      <c r="B1440" s="1" t="s">
        <v>3404</v>
      </c>
      <c r="C1440" s="11">
        <v>45132</v>
      </c>
      <c r="D1440" s="11" t="s">
        <v>6472</v>
      </c>
      <c r="E1440" s="1" t="s">
        <v>21</v>
      </c>
      <c r="F1440" s="1" t="s">
        <v>6459</v>
      </c>
      <c r="G1440" s="6">
        <f>COUNTIF(F:F,Table2[[#This Row],[Form '#]])</f>
        <v>1</v>
      </c>
      <c r="H1440" s="1" t="s">
        <v>844</v>
      </c>
      <c r="I1440" s="1" t="s">
        <v>177</v>
      </c>
      <c r="J1440" s="1" t="s">
        <v>75</v>
      </c>
      <c r="K1440" s="1" t="s">
        <v>3853</v>
      </c>
      <c r="L1440" s="1"/>
      <c r="M1440" s="6" t="str">
        <f>IF(Table2[[#This Row],[Corrected Form '#
 (If Duplicated)]]="",Table2[[#This Row],[Form '#]],Table2[[#This Row],[Corrected Form '#
 (If Duplicated)]])</f>
        <v>7818-13884</v>
      </c>
      <c r="N1440" s="1" t="s">
        <v>49</v>
      </c>
      <c r="O1440" s="6" t="str">
        <f>IF(Table2[[#This Row],[POG CONFIRMATION RECEIPT OF ORDER
(DATE &amp; TIME)]]="","No Confirmation","Received Confirmation")</f>
        <v>Received Confirmation</v>
      </c>
      <c r="P1440" s="6">
        <f ca="1">TODAY()-Table2[[#This Row],[DATE SENT TO POG]]</f>
        <v>171</v>
      </c>
      <c r="Q1440" s="6" t="s">
        <v>5803</v>
      </c>
      <c r="R14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0" s="2" t="str">
        <f>_xlfn.XLOOKUP(Table2[[#This Row],[Adjusted Form '#]],'[2]IN PROGRESS'!$D:$D,'[2]IN PROGRESS'!$M:$M,"Not Found")</f>
        <v>Not Found</v>
      </c>
      <c r="U1440" s="2" t="str">
        <f>_xlfn.XLOOKUP(Table2[[#This Row],[Adjusted Form '#]],[1]COMPLETED!$D:$D,[2]COMPLETED!$M:$M,"Not Found")</f>
        <v>Not Found</v>
      </c>
      <c r="V1440" s="17" t="str">
        <f>_xlfn.XLOOKUP(Table2[[#This Row],[Adjusted Form '#]],[2]COMPLETED!$D:$D,[2]COMPLETED!$O:$O,"Not Found")</f>
        <v>Not Found</v>
      </c>
      <c r="W1440" s="2" t="str">
        <f>_xlfn.XLOOKUP(Table2[[#This Row],[Adjusted Form '#]],[2]BILLED!$D:$D,[2]BILLED!$M:$M,"Not Found")</f>
        <v>9400 1361 0605 3194 9780 28</v>
      </c>
      <c r="X1440" s="17" t="e">
        <f>_xlfn.XLOOKUP(Table2[[#This Row],[Adjusted Form '#]],[2]BILLED!$D:$D,[1]BILLED!$O:$O,"Not Found")</f>
        <v>#REF!</v>
      </c>
      <c r="Y1440" s="17" t="e">
        <f>_xlfn.XLOOKUP(Table2[[#This Row],[Adjusted Form '#]],'[2]REJECTED ORDERS'!$D:$D,'[2]REJECTED ORDERS'!$E:$E)</f>
        <v>#N/A</v>
      </c>
      <c r="Z1440" s="1"/>
      <c r="AA1440" s="1"/>
    </row>
    <row r="1441" spans="1:27" ht="15" customHeight="1" x14ac:dyDescent="0.35">
      <c r="A1441" s="4" t="s">
        <v>2146</v>
      </c>
      <c r="B1441" s="1" t="s">
        <v>3404</v>
      </c>
      <c r="C1441" s="11">
        <v>45132</v>
      </c>
      <c r="D1441" s="11" t="s">
        <v>6472</v>
      </c>
      <c r="E1441" s="1" t="s">
        <v>21</v>
      </c>
      <c r="F1441" s="1" t="s">
        <v>6460</v>
      </c>
      <c r="G1441" s="6">
        <f>COUNTIF(F:F,Table2[[#This Row],[Form '#]])</f>
        <v>1</v>
      </c>
      <c r="H1441" s="1" t="s">
        <v>6461</v>
      </c>
      <c r="I1441" s="1" t="s">
        <v>127</v>
      </c>
      <c r="J1441" s="1" t="s">
        <v>3891</v>
      </c>
      <c r="K1441" s="1" t="s">
        <v>3891</v>
      </c>
      <c r="L1441" s="1"/>
      <c r="M1441" s="6" t="str">
        <f>IF(Table2[[#This Row],[Corrected Form '#
 (If Duplicated)]]="",Table2[[#This Row],[Form '#]],Table2[[#This Row],[Corrected Form '#
 (If Duplicated)]])</f>
        <v>7818-14954</v>
      </c>
      <c r="N1441" s="1" t="s">
        <v>49</v>
      </c>
      <c r="O1441" s="6" t="str">
        <f>IF(Table2[[#This Row],[POG CONFIRMATION RECEIPT OF ORDER
(DATE &amp; TIME)]]="","No Confirmation","Received Confirmation")</f>
        <v>Received Confirmation</v>
      </c>
      <c r="P1441" s="6">
        <f ca="1">TODAY()-Table2[[#This Row],[DATE SENT TO POG]]</f>
        <v>171</v>
      </c>
      <c r="Q1441" s="6" t="s">
        <v>5803</v>
      </c>
      <c r="R14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1" s="2" t="str">
        <f>_xlfn.XLOOKUP(Table2[[#This Row],[Adjusted Form '#]],'[2]IN PROGRESS'!$D:$D,'[2]IN PROGRESS'!$M:$M,"Not Found")</f>
        <v>Not Found</v>
      </c>
      <c r="U1441" s="2" t="str">
        <f>_xlfn.XLOOKUP(Table2[[#This Row],[Adjusted Form '#]],[1]COMPLETED!$D:$D,[2]COMPLETED!$M:$M,"Not Found")</f>
        <v>Not Found</v>
      </c>
      <c r="V1441" s="17" t="str">
        <f>_xlfn.XLOOKUP(Table2[[#This Row],[Adjusted Form '#]],[2]COMPLETED!$D:$D,[2]COMPLETED!$O:$O,"Not Found")</f>
        <v>Not Found</v>
      </c>
      <c r="W1441" s="2" t="str">
        <f>_xlfn.XLOOKUP(Table2[[#This Row],[Adjusted Form '#]],[2]BILLED!$D:$D,[2]BILLED!$M:$M,"Not Found")</f>
        <v>9400 1361 0605 3217 1053 49</v>
      </c>
      <c r="X1441" s="17" t="e">
        <f>_xlfn.XLOOKUP(Table2[[#This Row],[Adjusted Form '#]],[2]BILLED!$D:$D,[1]BILLED!$O:$O,"Not Found")</f>
        <v>#REF!</v>
      </c>
      <c r="Y1441" s="17" t="e">
        <f>_xlfn.XLOOKUP(Table2[[#This Row],[Adjusted Form '#]],'[2]REJECTED ORDERS'!$D:$D,'[2]REJECTED ORDERS'!$E:$E)</f>
        <v>#N/A</v>
      </c>
      <c r="Z1441" s="1"/>
      <c r="AA1441" s="1"/>
    </row>
    <row r="1442" spans="1:27" ht="15" customHeight="1" x14ac:dyDescent="0.35">
      <c r="A1442" s="4" t="s">
        <v>2147</v>
      </c>
      <c r="B1442" s="1" t="s">
        <v>3404</v>
      </c>
      <c r="C1442" s="11">
        <v>45132</v>
      </c>
      <c r="D1442" s="11" t="s">
        <v>6472</v>
      </c>
      <c r="E1442" s="1" t="s">
        <v>21</v>
      </c>
      <c r="F1442" s="1" t="s">
        <v>6462</v>
      </c>
      <c r="G1442" s="6">
        <f>COUNTIF(F:F,Table2[[#This Row],[Form '#]])</f>
        <v>1</v>
      </c>
      <c r="H1442" s="1" t="s">
        <v>1101</v>
      </c>
      <c r="I1442" s="1" t="s">
        <v>28</v>
      </c>
      <c r="J1442" s="1" t="s">
        <v>69</v>
      </c>
      <c r="K1442" s="1" t="s">
        <v>4011</v>
      </c>
      <c r="L1442" s="1"/>
      <c r="M1442" s="6" t="str">
        <f>IF(Table2[[#This Row],[Corrected Form '#
 (If Duplicated)]]="",Table2[[#This Row],[Form '#]],Table2[[#This Row],[Corrected Form '#
 (If Duplicated)]])</f>
        <v>7818-16290</v>
      </c>
      <c r="N1442" s="1" t="s">
        <v>49</v>
      </c>
      <c r="O1442" s="6" t="str">
        <f>IF(Table2[[#This Row],[POG CONFIRMATION RECEIPT OF ORDER
(DATE &amp; TIME)]]="","No Confirmation","Received Confirmation")</f>
        <v>Received Confirmation</v>
      </c>
      <c r="P1442" s="6">
        <f ca="1">TODAY()-Table2[[#This Row],[DATE SENT TO POG]]</f>
        <v>171</v>
      </c>
      <c r="Q1442" s="6" t="s">
        <v>5803</v>
      </c>
      <c r="R14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2" s="2" t="str">
        <f>_xlfn.XLOOKUP(Table2[[#This Row],[Adjusted Form '#]],'[2]IN PROGRESS'!$D:$D,'[2]IN PROGRESS'!$M:$M,"Not Found")</f>
        <v>Not Found</v>
      </c>
      <c r="U1442" s="2" t="str">
        <f>_xlfn.XLOOKUP(Table2[[#This Row],[Adjusted Form '#]],[1]COMPLETED!$D:$D,[2]COMPLETED!$M:$M,"Not Found")</f>
        <v>Not Found</v>
      </c>
      <c r="V1442" s="17" t="str">
        <f>_xlfn.XLOOKUP(Table2[[#This Row],[Adjusted Form '#]],[2]COMPLETED!$D:$D,[2]COMPLETED!$O:$O,"Not Found")</f>
        <v>Not Found</v>
      </c>
      <c r="W1442" s="2" t="str">
        <f>_xlfn.XLOOKUP(Table2[[#This Row],[Adjusted Form '#]],[2]BILLED!$D:$D,[2]BILLED!$M:$M,"Not Found")</f>
        <v>9400 1361 0605 3197 8773 73</v>
      </c>
      <c r="X1442" s="17" t="e">
        <f>_xlfn.XLOOKUP(Table2[[#This Row],[Adjusted Form '#]],[2]BILLED!$D:$D,[1]BILLED!$O:$O,"Not Found")</f>
        <v>#REF!</v>
      </c>
      <c r="Y1442" s="17" t="e">
        <f>_xlfn.XLOOKUP(Table2[[#This Row],[Adjusted Form '#]],'[2]REJECTED ORDERS'!$D:$D,'[2]REJECTED ORDERS'!$E:$E)</f>
        <v>#N/A</v>
      </c>
      <c r="Z1442" s="1"/>
      <c r="AA1442" s="1"/>
    </row>
    <row r="1443" spans="1:27" ht="15" customHeight="1" x14ac:dyDescent="0.35">
      <c r="A1443" s="4" t="s">
        <v>2149</v>
      </c>
      <c r="B1443" s="1" t="s">
        <v>6463</v>
      </c>
      <c r="C1443" s="11">
        <v>45132</v>
      </c>
      <c r="D1443" s="11" t="s">
        <v>6473</v>
      </c>
      <c r="E1443" s="1" t="s">
        <v>21</v>
      </c>
      <c r="F1443" s="1" t="s">
        <v>6464</v>
      </c>
      <c r="G1443" s="6">
        <f>COUNTIF(F:F,Table2[[#This Row],[Form '#]])</f>
        <v>1</v>
      </c>
      <c r="H1443" s="1" t="s">
        <v>954</v>
      </c>
      <c r="I1443" s="1" t="s">
        <v>3864</v>
      </c>
      <c r="J1443" s="1" t="s">
        <v>78</v>
      </c>
      <c r="K1443" s="1" t="s">
        <v>3879</v>
      </c>
      <c r="L1443" s="1"/>
      <c r="M1443" s="6" t="str">
        <f>IF(Table2[[#This Row],[Corrected Form '#
 (If Duplicated)]]="",Table2[[#This Row],[Form '#]],Table2[[#This Row],[Corrected Form '#
 (If Duplicated)]])</f>
        <v>7818-22390</v>
      </c>
      <c r="N1443" s="1" t="s">
        <v>49</v>
      </c>
      <c r="O1443" s="6" t="str">
        <f>IF(Table2[[#This Row],[POG CONFIRMATION RECEIPT OF ORDER
(DATE &amp; TIME)]]="","No Confirmation","Received Confirmation")</f>
        <v>Received Confirmation</v>
      </c>
      <c r="P1443" s="6">
        <f ca="1">TODAY()-Table2[[#This Row],[DATE SENT TO POG]]</f>
        <v>171</v>
      </c>
      <c r="Q1443" s="6" t="s">
        <v>5803</v>
      </c>
      <c r="R14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3" s="2" t="str">
        <f>_xlfn.XLOOKUP(Table2[[#This Row],[Adjusted Form '#]],'[2]IN PROGRESS'!$D:$D,'[2]IN PROGRESS'!$M:$M,"Not Found")</f>
        <v>Not Found</v>
      </c>
      <c r="U1443" s="2" t="str">
        <f>_xlfn.XLOOKUP(Table2[[#This Row],[Adjusted Form '#]],[1]COMPLETED!$D:$D,[2]COMPLETED!$M:$M,"Not Found")</f>
        <v>Not Found</v>
      </c>
      <c r="V1443" s="17" t="str">
        <f>_xlfn.XLOOKUP(Table2[[#This Row],[Adjusted Form '#]],[2]COMPLETED!$D:$D,[2]COMPLETED!$O:$O,"Not Found")</f>
        <v>Not Found</v>
      </c>
      <c r="W1443" s="2" t="str">
        <f>_xlfn.XLOOKUP(Table2[[#This Row],[Adjusted Form '#]],[2]BILLED!$D:$D,[2]BILLED!$M:$M,"Not Found")</f>
        <v>9400 1361 0605 3196 2273 60</v>
      </c>
      <c r="X1443" s="17" t="e">
        <f>_xlfn.XLOOKUP(Table2[[#This Row],[Adjusted Form '#]],[2]BILLED!$D:$D,[1]BILLED!$O:$O,"Not Found")</f>
        <v>#REF!</v>
      </c>
      <c r="Y1443" s="17" t="e">
        <f>_xlfn.XLOOKUP(Table2[[#This Row],[Adjusted Form '#]],'[2]REJECTED ORDERS'!$D:$D,'[2]REJECTED ORDERS'!$E:$E)</f>
        <v>#N/A</v>
      </c>
      <c r="Z1443" s="1"/>
      <c r="AA1443" s="1"/>
    </row>
    <row r="1444" spans="1:27" ht="15" customHeight="1" x14ac:dyDescent="0.35">
      <c r="A1444" s="4" t="s">
        <v>2151</v>
      </c>
      <c r="B1444" s="1" t="s">
        <v>1278</v>
      </c>
      <c r="C1444" s="11">
        <v>45132</v>
      </c>
      <c r="D1444" s="11" t="s">
        <v>6473</v>
      </c>
      <c r="E1444" s="1" t="s">
        <v>21</v>
      </c>
      <c r="F1444" s="1" t="s">
        <v>6465</v>
      </c>
      <c r="G1444" s="6">
        <f>COUNTIF(F:F,Table2[[#This Row],[Form '#]])</f>
        <v>1</v>
      </c>
      <c r="H1444" s="1" t="s">
        <v>6466</v>
      </c>
      <c r="I1444" s="1" t="s">
        <v>3891</v>
      </c>
      <c r="J1444" s="1" t="s">
        <v>3891</v>
      </c>
      <c r="K1444" s="1" t="s">
        <v>3891</v>
      </c>
      <c r="L1444" s="1"/>
      <c r="M1444" s="6" t="str">
        <f>IF(Table2[[#This Row],[Corrected Form '#
 (If Duplicated)]]="",Table2[[#This Row],[Form '#]],Table2[[#This Row],[Corrected Form '#
 (If Duplicated)]])</f>
        <v>7818-26840</v>
      </c>
      <c r="N1444" s="1" t="s">
        <v>49</v>
      </c>
      <c r="O1444" s="6" t="str">
        <f>IF(Table2[[#This Row],[POG CONFIRMATION RECEIPT OF ORDER
(DATE &amp; TIME)]]="","No Confirmation","Received Confirmation")</f>
        <v>Received Confirmation</v>
      </c>
      <c r="P1444" s="6">
        <f ca="1">TODAY()-Table2[[#This Row],[DATE SENT TO POG]]</f>
        <v>171</v>
      </c>
      <c r="Q1444" s="6" t="s">
        <v>5803</v>
      </c>
      <c r="R14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4" s="2" t="str">
        <f>_xlfn.XLOOKUP(Table2[[#This Row],[Adjusted Form '#]],'[2]IN PROGRESS'!$D:$D,'[2]IN PROGRESS'!$M:$M,"Not Found")</f>
        <v>Not Found</v>
      </c>
      <c r="U1444" s="2" t="str">
        <f>_xlfn.XLOOKUP(Table2[[#This Row],[Adjusted Form '#]],[1]COMPLETED!$D:$D,[2]COMPLETED!$M:$M,"Not Found")</f>
        <v>Not Found</v>
      </c>
      <c r="V1444" s="17" t="str">
        <f>_xlfn.XLOOKUP(Table2[[#This Row],[Adjusted Form '#]],[2]COMPLETED!$D:$D,[2]COMPLETED!$O:$O,"Not Found")</f>
        <v>Not Found</v>
      </c>
      <c r="W1444" s="2" t="str">
        <f>_xlfn.XLOOKUP(Table2[[#This Row],[Adjusted Form '#]],[2]BILLED!$D:$D,[2]BILLED!$M:$M,"Not Found")</f>
        <v>9402 1112 0620 9492 6630 34</v>
      </c>
      <c r="X1444" s="17" t="e">
        <f>_xlfn.XLOOKUP(Table2[[#This Row],[Adjusted Form '#]],[2]BILLED!$D:$D,[1]BILLED!$O:$O,"Not Found")</f>
        <v>#REF!</v>
      </c>
      <c r="Y1444" s="17" t="e">
        <f>_xlfn.XLOOKUP(Table2[[#This Row],[Adjusted Form '#]],'[2]REJECTED ORDERS'!$D:$D,'[2]REJECTED ORDERS'!$E:$E)</f>
        <v>#N/A</v>
      </c>
      <c r="Z1444" s="1"/>
      <c r="AA1444" s="1"/>
    </row>
    <row r="1445" spans="1:27" ht="15" customHeight="1" x14ac:dyDescent="0.35">
      <c r="A1445" s="4" t="s">
        <v>2154</v>
      </c>
      <c r="B1445" s="1" t="s">
        <v>1278</v>
      </c>
      <c r="C1445" s="11">
        <v>45132</v>
      </c>
      <c r="D1445" s="11" t="s">
        <v>6473</v>
      </c>
      <c r="E1445" s="1" t="s">
        <v>21</v>
      </c>
      <c r="F1445" s="1" t="s">
        <v>6467</v>
      </c>
      <c r="G1445" s="6">
        <f>COUNTIF(F:F,Table2[[#This Row],[Form '#]])</f>
        <v>1</v>
      </c>
      <c r="H1445" s="1" t="s">
        <v>2187</v>
      </c>
      <c r="I1445" s="1" t="s">
        <v>28</v>
      </c>
      <c r="J1445" s="1" t="s">
        <v>69</v>
      </c>
      <c r="K1445" s="1" t="s">
        <v>4631</v>
      </c>
      <c r="L1445" s="1"/>
      <c r="M1445" s="6" t="str">
        <f>IF(Table2[[#This Row],[Corrected Form '#
 (If Duplicated)]]="",Table2[[#This Row],[Form '#]],Table2[[#This Row],[Corrected Form '#
 (If Duplicated)]])</f>
        <v>7818-26980</v>
      </c>
      <c r="N1445" s="1" t="s">
        <v>49</v>
      </c>
      <c r="O1445" s="6" t="str">
        <f>IF(Table2[[#This Row],[POG CONFIRMATION RECEIPT OF ORDER
(DATE &amp; TIME)]]="","No Confirmation","Received Confirmation")</f>
        <v>Received Confirmation</v>
      </c>
      <c r="P1445" s="6">
        <f ca="1">TODAY()-Table2[[#This Row],[DATE SENT TO POG]]</f>
        <v>171</v>
      </c>
      <c r="Q1445" s="6" t="s">
        <v>5803</v>
      </c>
      <c r="R14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5" s="2" t="str">
        <f>_xlfn.XLOOKUP(Table2[[#This Row],[Adjusted Form '#]],'[2]IN PROGRESS'!$D:$D,'[2]IN PROGRESS'!$M:$M,"Not Found")</f>
        <v>Not Found</v>
      </c>
      <c r="U1445" s="2" t="str">
        <f>_xlfn.XLOOKUP(Table2[[#This Row],[Adjusted Form '#]],[1]COMPLETED!$D:$D,[2]COMPLETED!$M:$M,"Not Found")</f>
        <v>Not Found</v>
      </c>
      <c r="V1445" s="17" t="str">
        <f>_xlfn.XLOOKUP(Table2[[#This Row],[Adjusted Form '#]],[2]COMPLETED!$D:$D,[2]COMPLETED!$O:$O,"Not Found")</f>
        <v>Not Found</v>
      </c>
      <c r="W1445" s="2" t="str">
        <f>_xlfn.XLOOKUP(Table2[[#This Row],[Adjusted Form '#]],[2]BILLED!$D:$D,[2]BILLED!$M:$M,"Not Found")</f>
        <v>9400 1361 0605 3194 9610 20</v>
      </c>
      <c r="X1445" s="17" t="e">
        <f>_xlfn.XLOOKUP(Table2[[#This Row],[Adjusted Form '#]],[2]BILLED!$D:$D,[1]BILLED!$O:$O,"Not Found")</f>
        <v>#REF!</v>
      </c>
      <c r="Y1445" s="17" t="e">
        <f>_xlfn.XLOOKUP(Table2[[#This Row],[Adjusted Form '#]],'[2]REJECTED ORDERS'!$D:$D,'[2]REJECTED ORDERS'!$E:$E)</f>
        <v>#N/A</v>
      </c>
      <c r="Z1445" s="1"/>
      <c r="AA1445" s="1"/>
    </row>
    <row r="1446" spans="1:27" ht="15" customHeight="1" x14ac:dyDescent="0.35">
      <c r="A1446" s="4" t="s">
        <v>2156</v>
      </c>
      <c r="B1446" s="1" t="s">
        <v>1278</v>
      </c>
      <c r="C1446" s="11">
        <v>45132</v>
      </c>
      <c r="D1446" s="11" t="s">
        <v>6473</v>
      </c>
      <c r="E1446" s="1" t="s">
        <v>21</v>
      </c>
      <c r="F1446" s="1" t="s">
        <v>6468</v>
      </c>
      <c r="G1446" s="6">
        <f>COUNTIF(F:F,Table2[[#This Row],[Form '#]])</f>
        <v>1</v>
      </c>
      <c r="H1446" s="1" t="s">
        <v>6469</v>
      </c>
      <c r="I1446" s="1" t="s">
        <v>3852</v>
      </c>
      <c r="J1446" s="1" t="s">
        <v>80</v>
      </c>
      <c r="K1446" s="1" t="s">
        <v>3853</v>
      </c>
      <c r="L1446" s="1"/>
      <c r="M1446" s="6" t="str">
        <f>IF(Table2[[#This Row],[Corrected Form '#
 (If Duplicated)]]="",Table2[[#This Row],[Form '#]],Table2[[#This Row],[Corrected Form '#
 (If Duplicated)]])</f>
        <v>7818-28241</v>
      </c>
      <c r="N1446" s="1" t="s">
        <v>49</v>
      </c>
      <c r="O1446" s="6" t="str">
        <f>IF(Table2[[#This Row],[POG CONFIRMATION RECEIPT OF ORDER
(DATE &amp; TIME)]]="","No Confirmation","Received Confirmation")</f>
        <v>Received Confirmation</v>
      </c>
      <c r="P1446" s="6">
        <f ca="1">TODAY()-Table2[[#This Row],[DATE SENT TO POG]]</f>
        <v>171</v>
      </c>
      <c r="Q1446" s="6" t="s">
        <v>5803</v>
      </c>
      <c r="R14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6" s="2" t="str">
        <f>_xlfn.XLOOKUP(Table2[[#This Row],[Adjusted Form '#]],'[2]IN PROGRESS'!$D:$D,'[2]IN PROGRESS'!$M:$M,"Not Found")</f>
        <v>Not Found</v>
      </c>
      <c r="U1446" s="2" t="str">
        <f>_xlfn.XLOOKUP(Table2[[#This Row],[Adjusted Form '#]],[1]COMPLETED!$D:$D,[2]COMPLETED!$M:$M,"Not Found")</f>
        <v>Not Found</v>
      </c>
      <c r="V1446" s="17" t="str">
        <f>_xlfn.XLOOKUP(Table2[[#This Row],[Adjusted Form '#]],[2]COMPLETED!$D:$D,[2]COMPLETED!$O:$O,"Not Found")</f>
        <v>Not Found</v>
      </c>
      <c r="W1446" s="2" t="str">
        <f>_xlfn.XLOOKUP(Table2[[#This Row],[Adjusted Form '#]],[2]BILLED!$D:$D,[2]BILLED!$M:$M,"Not Found")</f>
        <v>9400 1361 0605 3222 4475 40</v>
      </c>
      <c r="X1446" s="17" t="e">
        <f>_xlfn.XLOOKUP(Table2[[#This Row],[Adjusted Form '#]],[2]BILLED!$D:$D,[1]BILLED!$O:$O,"Not Found")</f>
        <v>#REF!</v>
      </c>
      <c r="Y1446" s="17" t="e">
        <f>_xlfn.XLOOKUP(Table2[[#This Row],[Adjusted Form '#]],'[2]REJECTED ORDERS'!$D:$D,'[2]REJECTED ORDERS'!$E:$E)</f>
        <v>#N/A</v>
      </c>
      <c r="Z1446" s="1"/>
      <c r="AA1446" s="1"/>
    </row>
    <row r="1447" spans="1:27" ht="15" customHeight="1" x14ac:dyDescent="0.35">
      <c r="A1447" s="4" t="s">
        <v>2157</v>
      </c>
      <c r="B1447" s="1" t="s">
        <v>1278</v>
      </c>
      <c r="C1447" s="11">
        <v>45132</v>
      </c>
      <c r="D1447" s="11" t="s">
        <v>6473</v>
      </c>
      <c r="E1447" s="1" t="s">
        <v>21</v>
      </c>
      <c r="F1447" s="1" t="s">
        <v>6470</v>
      </c>
      <c r="G1447" s="6">
        <f>COUNTIF(F:F,Table2[[#This Row],[Form '#]])</f>
        <v>1</v>
      </c>
      <c r="H1447" s="1" t="s">
        <v>6471</v>
      </c>
      <c r="I1447" s="1" t="s">
        <v>127</v>
      </c>
      <c r="J1447" s="1" t="s">
        <v>76</v>
      </c>
      <c r="K1447" s="1" t="s">
        <v>3891</v>
      </c>
      <c r="L1447" s="1"/>
      <c r="M1447" s="6" t="str">
        <f>IF(Table2[[#This Row],[Corrected Form '#
 (If Duplicated)]]="",Table2[[#This Row],[Form '#]],Table2[[#This Row],[Corrected Form '#
 (If Duplicated)]])</f>
        <v>7818-29901</v>
      </c>
      <c r="N1447" s="1" t="s">
        <v>49</v>
      </c>
      <c r="O1447" s="6" t="str">
        <f>IF(Table2[[#This Row],[POG CONFIRMATION RECEIPT OF ORDER
(DATE &amp; TIME)]]="","No Confirmation","Received Confirmation")</f>
        <v>Received Confirmation</v>
      </c>
      <c r="P1447" s="6">
        <f ca="1">TODAY()-Table2[[#This Row],[DATE SENT TO POG]]</f>
        <v>171</v>
      </c>
      <c r="Q1447" s="6" t="s">
        <v>5803</v>
      </c>
      <c r="R14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7" s="2" t="str">
        <f>_xlfn.XLOOKUP(Table2[[#This Row],[Adjusted Form '#]],'[2]IN PROGRESS'!$D:$D,'[2]IN PROGRESS'!$M:$M,"Not Found")</f>
        <v>Not Found</v>
      </c>
      <c r="U1447" s="2" t="str">
        <f>_xlfn.XLOOKUP(Table2[[#This Row],[Adjusted Form '#]],[1]COMPLETED!$D:$D,[2]COMPLETED!$M:$M,"Not Found")</f>
        <v>Not Found</v>
      </c>
      <c r="V1447" s="17" t="str">
        <f>_xlfn.XLOOKUP(Table2[[#This Row],[Adjusted Form '#]],[2]COMPLETED!$D:$D,[2]COMPLETED!$O:$O,"Not Found")</f>
        <v>Not Found</v>
      </c>
      <c r="W1447" s="2" t="str">
        <f>_xlfn.XLOOKUP(Table2[[#This Row],[Adjusted Form '#]],[2]BILLED!$D:$D,[2]BILLED!$M:$M,"Not Found")</f>
        <v>9400 1361 0605 3197 8839 09</v>
      </c>
      <c r="X1447" s="17" t="e">
        <f>_xlfn.XLOOKUP(Table2[[#This Row],[Adjusted Form '#]],[2]BILLED!$D:$D,[1]BILLED!$O:$O,"Not Found")</f>
        <v>#REF!</v>
      </c>
      <c r="Y1447" s="17" t="e">
        <f>_xlfn.XLOOKUP(Table2[[#This Row],[Adjusted Form '#]],'[2]REJECTED ORDERS'!$D:$D,'[2]REJECTED ORDERS'!$E:$E)</f>
        <v>#N/A</v>
      </c>
      <c r="Z1447" s="1"/>
      <c r="AA1447" s="1"/>
    </row>
    <row r="1448" spans="1:27" ht="15" customHeight="1" x14ac:dyDescent="0.35">
      <c r="A1448" s="4" t="s">
        <v>2158</v>
      </c>
      <c r="B1448" s="1" t="s">
        <v>4317</v>
      </c>
      <c r="C1448" s="11">
        <v>45133</v>
      </c>
      <c r="D1448" s="11" t="s">
        <v>6477</v>
      </c>
      <c r="E1448" s="1" t="s">
        <v>191</v>
      </c>
      <c r="F1448" s="1" t="s">
        <v>6475</v>
      </c>
      <c r="G1448" s="6">
        <f>COUNTIF(F:F,Table2[[#This Row],[Form '#]])</f>
        <v>1</v>
      </c>
      <c r="H1448" s="1" t="s">
        <v>6476</v>
      </c>
      <c r="I1448" s="1" t="s">
        <v>177</v>
      </c>
      <c r="J1448" s="1" t="s">
        <v>75</v>
      </c>
      <c r="K1448" s="1" t="s">
        <v>3853</v>
      </c>
      <c r="L1448" s="1"/>
      <c r="M1448" s="6" t="str">
        <f>IF(Table2[[#This Row],[Corrected Form '#
 (If Duplicated)]]="",Table2[[#This Row],[Form '#]],Table2[[#This Row],[Corrected Form '#
 (If Duplicated)]])</f>
        <v>7812-02093</v>
      </c>
      <c r="N1448" s="1" t="s">
        <v>49</v>
      </c>
      <c r="O1448" s="6" t="str">
        <f>IF(Table2[[#This Row],[POG CONFIRMATION RECEIPT OF ORDER
(DATE &amp; TIME)]]="","No Confirmation","Received Confirmation")</f>
        <v>Received Confirmation</v>
      </c>
      <c r="P1448" s="6">
        <f ca="1">TODAY()-Table2[[#This Row],[DATE SENT TO POG]]</f>
        <v>170</v>
      </c>
      <c r="Q1448" s="6" t="s">
        <v>5803</v>
      </c>
      <c r="R14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8" s="2" t="str">
        <f>_xlfn.XLOOKUP(Table2[[#This Row],[Adjusted Form '#]],'[2]IN PROGRESS'!$D:$D,'[2]IN PROGRESS'!$M:$M,"Not Found")</f>
        <v>Not Found</v>
      </c>
      <c r="U1448" s="2" t="str">
        <f>_xlfn.XLOOKUP(Table2[[#This Row],[Adjusted Form '#]],[1]COMPLETED!$D:$D,[2]COMPLETED!$M:$M,"Not Found")</f>
        <v>Not Found</v>
      </c>
      <c r="V1448" s="17" t="str">
        <f>_xlfn.XLOOKUP(Table2[[#This Row],[Adjusted Form '#]],[2]COMPLETED!$D:$D,[2]COMPLETED!$O:$O,"Not Found")</f>
        <v>Not Found</v>
      </c>
      <c r="W1448" s="2" t="str">
        <f>_xlfn.XLOOKUP(Table2[[#This Row],[Adjusted Form '#]],[2]BILLED!$D:$D,[2]BILLED!$M:$M,"Not Found")</f>
        <v>9400 1361 0605 3196 2980 63</v>
      </c>
      <c r="X1448" s="17" t="e">
        <f>_xlfn.XLOOKUP(Table2[[#This Row],[Adjusted Form '#]],[2]BILLED!$D:$D,[1]BILLED!$O:$O,"Not Found")</f>
        <v>#REF!</v>
      </c>
      <c r="Y1448" s="17" t="e">
        <f>_xlfn.XLOOKUP(Table2[[#This Row],[Adjusted Form '#]],'[2]REJECTED ORDERS'!$D:$D,'[2]REJECTED ORDERS'!$E:$E)</f>
        <v>#N/A</v>
      </c>
      <c r="Z1448" s="1"/>
      <c r="AA1448" s="1"/>
    </row>
    <row r="1449" spans="1:27" ht="15" customHeight="1" x14ac:dyDescent="0.35">
      <c r="A1449" s="4" t="s">
        <v>2159</v>
      </c>
      <c r="B1449" s="1" t="s">
        <v>1086</v>
      </c>
      <c r="C1449" s="11">
        <v>45133</v>
      </c>
      <c r="D1449" s="11" t="s">
        <v>6479</v>
      </c>
      <c r="E1449" s="1" t="s">
        <v>21</v>
      </c>
      <c r="F1449" s="1" t="s">
        <v>6478</v>
      </c>
      <c r="G1449" s="6">
        <f>COUNTIF(F:F,Table2[[#This Row],[Form '#]])</f>
        <v>1</v>
      </c>
      <c r="H1449" s="1" t="s">
        <v>1477</v>
      </c>
      <c r="I1449" s="1" t="s">
        <v>28</v>
      </c>
      <c r="J1449" s="1" t="s">
        <v>69</v>
      </c>
      <c r="K1449" s="1" t="s">
        <v>4011</v>
      </c>
      <c r="L1449" s="1"/>
      <c r="M1449" s="6" t="str">
        <f>IF(Table2[[#This Row],[Corrected Form '#
 (If Duplicated)]]="",Table2[[#This Row],[Form '#]],Table2[[#This Row],[Corrected Form '#
 (If Duplicated)]])</f>
        <v>7818-16340</v>
      </c>
      <c r="N1449" s="1" t="s">
        <v>49</v>
      </c>
      <c r="O1449" s="6" t="str">
        <f>IF(Table2[[#This Row],[POG CONFIRMATION RECEIPT OF ORDER
(DATE &amp; TIME)]]="","No Confirmation","Received Confirmation")</f>
        <v>Received Confirmation</v>
      </c>
      <c r="P1449" s="6">
        <f ca="1">TODAY()-Table2[[#This Row],[DATE SENT TO POG]]</f>
        <v>170</v>
      </c>
      <c r="Q1449" s="6" t="s">
        <v>5803</v>
      </c>
      <c r="R14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49" s="2" t="str">
        <f>_xlfn.XLOOKUP(Table2[[#This Row],[Adjusted Form '#]],'[2]IN PROGRESS'!$D:$D,'[2]IN PROGRESS'!$M:$M,"Not Found")</f>
        <v>Not Found</v>
      </c>
      <c r="U1449" s="2" t="str">
        <f>_xlfn.XLOOKUP(Table2[[#This Row],[Adjusted Form '#]],[1]COMPLETED!$D:$D,[2]COMPLETED!$M:$M,"Not Found")</f>
        <v>Not Found</v>
      </c>
      <c r="V1449" s="17" t="str">
        <f>_xlfn.XLOOKUP(Table2[[#This Row],[Adjusted Form '#]],[2]COMPLETED!$D:$D,[2]COMPLETED!$O:$O,"Not Found")</f>
        <v>Not Found</v>
      </c>
      <c r="W1449" s="2" t="str">
        <f>_xlfn.XLOOKUP(Table2[[#This Row],[Adjusted Form '#]],[2]BILLED!$D:$D,[2]BILLED!$M:$M,"Not Found")</f>
        <v>9400 1361 0605 3233 8554 26</v>
      </c>
      <c r="X1449" s="17" t="e">
        <f>_xlfn.XLOOKUP(Table2[[#This Row],[Adjusted Form '#]],[2]BILLED!$D:$D,[1]BILLED!$O:$O,"Not Found")</f>
        <v>#REF!</v>
      </c>
      <c r="Y1449" s="17" t="e">
        <f>_xlfn.XLOOKUP(Table2[[#This Row],[Adjusted Form '#]],'[2]REJECTED ORDERS'!$D:$D,'[2]REJECTED ORDERS'!$E:$E)</f>
        <v>#N/A</v>
      </c>
      <c r="Z1449" s="1"/>
      <c r="AA1449" s="1"/>
    </row>
    <row r="1450" spans="1:27" ht="15" customHeight="1" x14ac:dyDescent="0.35">
      <c r="A1450" s="4" t="s">
        <v>2161</v>
      </c>
      <c r="B1450" s="1" t="s">
        <v>1278</v>
      </c>
      <c r="C1450" s="11">
        <v>45133</v>
      </c>
      <c r="D1450" s="11" t="s">
        <v>6481</v>
      </c>
      <c r="E1450" s="1" t="s">
        <v>21</v>
      </c>
      <c r="F1450" s="1" t="s">
        <v>6480</v>
      </c>
      <c r="G1450" s="6">
        <f>COUNTIF(F:F,Table2[[#This Row],[Form '#]])</f>
        <v>1</v>
      </c>
      <c r="H1450" s="1" t="s">
        <v>1155</v>
      </c>
      <c r="I1450" s="13" t="s">
        <v>3852</v>
      </c>
      <c r="J1450" s="1" t="s">
        <v>80</v>
      </c>
      <c r="K1450" s="1" t="s">
        <v>3853</v>
      </c>
      <c r="L1450" s="1"/>
      <c r="M1450" s="6" t="str">
        <f>IF(Table2[[#This Row],[Corrected Form '#
 (If Duplicated)]]="",Table2[[#This Row],[Form '#]],Table2[[#This Row],[Corrected Form '#
 (If Duplicated)]])</f>
        <v>7818-30979</v>
      </c>
      <c r="N1450" s="1" t="s">
        <v>49</v>
      </c>
      <c r="O1450" s="6" t="str">
        <f>IF(Table2[[#This Row],[POG CONFIRMATION RECEIPT OF ORDER
(DATE &amp; TIME)]]="","No Confirmation","Received Confirmation")</f>
        <v>Received Confirmation</v>
      </c>
      <c r="P1450" s="6">
        <f ca="1">TODAY()-Table2[[#This Row],[DATE SENT TO POG]]</f>
        <v>170</v>
      </c>
      <c r="Q1450" s="6" t="s">
        <v>5803</v>
      </c>
      <c r="R14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0" s="2" t="str">
        <f>_xlfn.XLOOKUP(Table2[[#This Row],[Adjusted Form '#]],'[2]IN PROGRESS'!$D:$D,'[2]IN PROGRESS'!$M:$M,"Not Found")</f>
        <v>Not Found</v>
      </c>
      <c r="U1450" s="2" t="str">
        <f>_xlfn.XLOOKUP(Table2[[#This Row],[Adjusted Form '#]],[1]COMPLETED!$D:$D,[2]COMPLETED!$M:$M,"Not Found")</f>
        <v>Not Found</v>
      </c>
      <c r="V1450" s="17" t="str">
        <f>_xlfn.XLOOKUP(Table2[[#This Row],[Adjusted Form '#]],[2]COMPLETED!$D:$D,[2]COMPLETED!$O:$O,"Not Found")</f>
        <v>Not Found</v>
      </c>
      <c r="W1450" s="2" t="str">
        <f>_xlfn.XLOOKUP(Table2[[#This Row],[Adjusted Form '#]],[2]BILLED!$D:$D,[2]BILLED!$M:$M,"Not Found")</f>
        <v>9400 1361 0605 3222 4502 67</v>
      </c>
      <c r="X1450" s="17" t="e">
        <f>_xlfn.XLOOKUP(Table2[[#This Row],[Adjusted Form '#]],[2]BILLED!$D:$D,[1]BILLED!$O:$O,"Not Found")</f>
        <v>#REF!</v>
      </c>
      <c r="Y1450" s="17" t="e">
        <f>_xlfn.XLOOKUP(Table2[[#This Row],[Adjusted Form '#]],'[2]REJECTED ORDERS'!$D:$D,'[2]REJECTED ORDERS'!$E:$E)</f>
        <v>#N/A</v>
      </c>
      <c r="Z1450" s="1"/>
      <c r="AA1450" s="1"/>
    </row>
    <row r="1451" spans="1:27" ht="15" customHeight="1" x14ac:dyDescent="0.35">
      <c r="A1451" s="4" t="s">
        <v>2162</v>
      </c>
      <c r="B1451" s="1" t="s">
        <v>190</v>
      </c>
      <c r="C1451" s="11">
        <v>45133</v>
      </c>
      <c r="D1451" s="11" t="s">
        <v>6484</v>
      </c>
      <c r="E1451" s="1" t="s">
        <v>21</v>
      </c>
      <c r="F1451" s="1" t="s">
        <v>6482</v>
      </c>
      <c r="G1451" s="6">
        <f>COUNTIF(F:F,Table2[[#This Row],[Form '#]])</f>
        <v>1</v>
      </c>
      <c r="H1451" s="5" t="s">
        <v>6483</v>
      </c>
      <c r="I1451" s="1" t="s">
        <v>3852</v>
      </c>
      <c r="J1451" s="1" t="s">
        <v>75</v>
      </c>
      <c r="K1451" s="1" t="s">
        <v>3853</v>
      </c>
      <c r="L1451" s="1"/>
      <c r="M1451" s="6" t="str">
        <f>IF(Table2[[#This Row],[Corrected Form '#
 (If Duplicated)]]="",Table2[[#This Row],[Form '#]],Table2[[#This Row],[Corrected Form '#
 (If Duplicated)]])</f>
        <v>7818-29455</v>
      </c>
      <c r="N1451" s="1" t="s">
        <v>49</v>
      </c>
      <c r="O1451" s="6" t="str">
        <f>IF(Table2[[#This Row],[POG CONFIRMATION RECEIPT OF ORDER
(DATE &amp; TIME)]]="","No Confirmation","Received Confirmation")</f>
        <v>Received Confirmation</v>
      </c>
      <c r="P1451" s="6">
        <f ca="1">TODAY()-Table2[[#This Row],[DATE SENT TO POG]]</f>
        <v>170</v>
      </c>
      <c r="Q1451" s="6" t="s">
        <v>5803</v>
      </c>
      <c r="R14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1" s="2" t="str">
        <f>_xlfn.XLOOKUP(Table2[[#This Row],[Adjusted Form '#]],'[2]IN PROGRESS'!$D:$D,'[2]IN PROGRESS'!$M:$M,"Not Found")</f>
        <v>Not Found</v>
      </c>
      <c r="U1451" s="2" t="str">
        <f>_xlfn.XLOOKUP(Table2[[#This Row],[Adjusted Form '#]],[1]COMPLETED!$D:$D,[2]COMPLETED!$M:$M,"Not Found")</f>
        <v>Not Found</v>
      </c>
      <c r="V1451" s="17" t="str">
        <f>_xlfn.XLOOKUP(Table2[[#This Row],[Adjusted Form '#]],[2]COMPLETED!$D:$D,[2]COMPLETED!$O:$O,"Not Found")</f>
        <v>Not Found</v>
      </c>
      <c r="W1451" s="2" t="str">
        <f>_xlfn.XLOOKUP(Table2[[#This Row],[Adjusted Form '#]],[2]BILLED!$D:$D,[2]BILLED!$M:$M,"Not Found")</f>
        <v>9400 1361 0605 3197 8583 03</v>
      </c>
      <c r="X1451" s="17" t="e">
        <f>_xlfn.XLOOKUP(Table2[[#This Row],[Adjusted Form '#]],[2]BILLED!$D:$D,[1]BILLED!$O:$O,"Not Found")</f>
        <v>#REF!</v>
      </c>
      <c r="Y1451" s="17" t="e">
        <f>_xlfn.XLOOKUP(Table2[[#This Row],[Adjusted Form '#]],'[2]REJECTED ORDERS'!$D:$D,'[2]REJECTED ORDERS'!$E:$E)</f>
        <v>#N/A</v>
      </c>
      <c r="Z1451" s="1"/>
      <c r="AA1451" s="1"/>
    </row>
    <row r="1452" spans="1:27" ht="15" customHeight="1" x14ac:dyDescent="0.35">
      <c r="A1452" s="4" t="s">
        <v>2164</v>
      </c>
      <c r="B1452" s="1" t="s">
        <v>1010</v>
      </c>
      <c r="C1452" s="11">
        <v>45134</v>
      </c>
      <c r="D1452" s="11" t="s">
        <v>6487</v>
      </c>
      <c r="E1452" s="1" t="s">
        <v>73</v>
      </c>
      <c r="F1452" s="1" t="s">
        <v>6485</v>
      </c>
      <c r="G1452" s="6">
        <f>COUNTIF(F:F,Table2[[#This Row],[Form '#]])</f>
        <v>1</v>
      </c>
      <c r="H1452" s="1" t="s">
        <v>574</v>
      </c>
      <c r="I1452" s="1" t="s">
        <v>3852</v>
      </c>
      <c r="J1452" s="1" t="s">
        <v>80</v>
      </c>
      <c r="K1452" s="1" t="s">
        <v>3853</v>
      </c>
      <c r="L1452" s="1"/>
      <c r="M1452" s="6" t="str">
        <f>IF(Table2[[#This Row],[Corrected Form '#
 (If Duplicated)]]="",Table2[[#This Row],[Form '#]],Table2[[#This Row],[Corrected Form '#
 (If Duplicated)]])</f>
        <v>7823-01340</v>
      </c>
      <c r="N1452" s="1" t="s">
        <v>49</v>
      </c>
      <c r="O1452" s="6" t="str">
        <f>IF(Table2[[#This Row],[POG CONFIRMATION RECEIPT OF ORDER
(DATE &amp; TIME)]]="","No Confirmation","Received Confirmation")</f>
        <v>Received Confirmation</v>
      </c>
      <c r="P1452" s="6">
        <f ca="1">TODAY()-Table2[[#This Row],[DATE SENT TO POG]]</f>
        <v>169</v>
      </c>
      <c r="Q1452" s="6" t="s">
        <v>5803</v>
      </c>
      <c r="R14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2" s="2" t="str">
        <f>_xlfn.XLOOKUP(Table2[[#This Row],[Adjusted Form '#]],'[2]IN PROGRESS'!$D:$D,'[2]IN PROGRESS'!$M:$M,"Not Found")</f>
        <v>Not Found</v>
      </c>
      <c r="U1452" s="2" t="str">
        <f>_xlfn.XLOOKUP(Table2[[#This Row],[Adjusted Form '#]],[1]COMPLETED!$D:$D,[2]COMPLETED!$M:$M,"Not Found")</f>
        <v>Not Found</v>
      </c>
      <c r="V1452" s="17" t="str">
        <f>_xlfn.XLOOKUP(Table2[[#This Row],[Adjusted Form '#]],[2]COMPLETED!$D:$D,[2]COMPLETED!$O:$O,"Not Found")</f>
        <v>Not Found</v>
      </c>
      <c r="W1452" s="2" t="str">
        <f>_xlfn.XLOOKUP(Table2[[#This Row],[Adjusted Form '#]],[2]BILLED!$D:$D,[2]BILLED!$M:$M,"Not Found")</f>
        <v>9400 1361 0605 3197 8319 62</v>
      </c>
      <c r="X1452" s="17" t="e">
        <f>_xlfn.XLOOKUP(Table2[[#This Row],[Adjusted Form '#]],[2]BILLED!$D:$D,[1]BILLED!$O:$O,"Not Found")</f>
        <v>#REF!</v>
      </c>
      <c r="Y1452" s="17" t="e">
        <f>_xlfn.XLOOKUP(Table2[[#This Row],[Adjusted Form '#]],'[2]REJECTED ORDERS'!$D:$D,'[2]REJECTED ORDERS'!$E:$E)</f>
        <v>#N/A</v>
      </c>
      <c r="Z1452" s="1"/>
      <c r="AA1452" s="1"/>
    </row>
    <row r="1453" spans="1:27" ht="15" customHeight="1" x14ac:dyDescent="0.35">
      <c r="A1453" s="4" t="s">
        <v>2166</v>
      </c>
      <c r="B1453" s="1" t="s">
        <v>3756</v>
      </c>
      <c r="C1453" s="11">
        <v>45134</v>
      </c>
      <c r="D1453" s="11" t="s">
        <v>6487</v>
      </c>
      <c r="E1453" s="1" t="s">
        <v>73</v>
      </c>
      <c r="F1453" s="1" t="s">
        <v>6486</v>
      </c>
      <c r="G1453" s="6">
        <f>COUNTIF(F:F,Table2[[#This Row],[Form '#]])</f>
        <v>1</v>
      </c>
      <c r="H1453" s="1" t="s">
        <v>816</v>
      </c>
      <c r="I1453" s="1" t="s">
        <v>3864</v>
      </c>
      <c r="J1453" s="1" t="s">
        <v>78</v>
      </c>
      <c r="K1453" s="1" t="s">
        <v>3879</v>
      </c>
      <c r="L1453" s="1"/>
      <c r="M1453" s="6" t="str">
        <f>IF(Table2[[#This Row],[Corrected Form '#
 (If Duplicated)]]="",Table2[[#This Row],[Form '#]],Table2[[#This Row],[Corrected Form '#
 (If Duplicated)]])</f>
        <v>7823-02816</v>
      </c>
      <c r="N1453" s="1" t="s">
        <v>49</v>
      </c>
      <c r="O1453" s="6" t="str">
        <f>IF(Table2[[#This Row],[POG CONFIRMATION RECEIPT OF ORDER
(DATE &amp; TIME)]]="","No Confirmation","Received Confirmation")</f>
        <v>Received Confirmation</v>
      </c>
      <c r="P1453" s="6">
        <f ca="1">TODAY()-Table2[[#This Row],[DATE SENT TO POG]]</f>
        <v>169</v>
      </c>
      <c r="Q1453" s="6" t="s">
        <v>5803</v>
      </c>
      <c r="R14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3" s="2" t="str">
        <f>_xlfn.XLOOKUP(Table2[[#This Row],[Adjusted Form '#]],'[2]IN PROGRESS'!$D:$D,'[2]IN PROGRESS'!$M:$M,"Not Found")</f>
        <v>Not Found</v>
      </c>
      <c r="U1453" s="2" t="str">
        <f>_xlfn.XLOOKUP(Table2[[#This Row],[Adjusted Form '#]],[1]COMPLETED!$D:$D,[2]COMPLETED!$M:$M,"Not Found")</f>
        <v>Not Found</v>
      </c>
      <c r="V1453" s="17" t="str">
        <f>_xlfn.XLOOKUP(Table2[[#This Row],[Adjusted Form '#]],[2]COMPLETED!$D:$D,[2]COMPLETED!$O:$O,"Not Found")</f>
        <v>Not Found</v>
      </c>
      <c r="W1453" s="2" t="str">
        <f>_xlfn.XLOOKUP(Table2[[#This Row],[Adjusted Form '#]],[2]BILLED!$D:$D,[2]BILLED!$M:$M,"Not Found")</f>
        <v>9400 1361 0605 3197 9404 66</v>
      </c>
      <c r="X1453" s="17" t="e">
        <f>_xlfn.XLOOKUP(Table2[[#This Row],[Adjusted Form '#]],[2]BILLED!$D:$D,[1]BILLED!$O:$O,"Not Found")</f>
        <v>#REF!</v>
      </c>
      <c r="Y1453" s="17" t="e">
        <f>_xlfn.XLOOKUP(Table2[[#This Row],[Adjusted Form '#]],'[2]REJECTED ORDERS'!$D:$D,'[2]REJECTED ORDERS'!$E:$E)</f>
        <v>#N/A</v>
      </c>
      <c r="Z1453" s="1"/>
      <c r="AA1453" s="1"/>
    </row>
    <row r="1454" spans="1:27" ht="15" customHeight="1" x14ac:dyDescent="0.35">
      <c r="A1454" s="4" t="s">
        <v>2168</v>
      </c>
      <c r="B1454" s="1" t="s">
        <v>528</v>
      </c>
      <c r="C1454" s="11">
        <v>45135</v>
      </c>
      <c r="D1454" s="11" t="s">
        <v>6490</v>
      </c>
      <c r="E1454" s="1" t="s">
        <v>191</v>
      </c>
      <c r="F1454" s="1" t="s">
        <v>6489</v>
      </c>
      <c r="G1454" s="6">
        <f>COUNTIF(F:F,Table2[[#This Row],[Form '#]])</f>
        <v>1</v>
      </c>
      <c r="H1454" s="1" t="s">
        <v>1815</v>
      </c>
      <c r="I1454" s="1" t="s">
        <v>3852</v>
      </c>
      <c r="J1454" s="1" t="s">
        <v>75</v>
      </c>
      <c r="K1454" s="1" t="s">
        <v>3853</v>
      </c>
      <c r="L1454" s="1"/>
      <c r="M1454" s="6" t="str">
        <f>IF(Table2[[#This Row],[Corrected Form '#
 (If Duplicated)]]="",Table2[[#This Row],[Form '#]],Table2[[#This Row],[Corrected Form '#
 (If Duplicated)]])</f>
        <v>7812-01554</v>
      </c>
      <c r="N1454" s="1" t="s">
        <v>49</v>
      </c>
      <c r="O1454" s="6" t="str">
        <f>IF(Table2[[#This Row],[POG CONFIRMATION RECEIPT OF ORDER
(DATE &amp; TIME)]]="","No Confirmation","Received Confirmation")</f>
        <v>Received Confirmation</v>
      </c>
      <c r="P1454" s="6">
        <f ca="1">TODAY()-Table2[[#This Row],[DATE SENT TO POG]]</f>
        <v>168</v>
      </c>
      <c r="Q1454" s="6" t="s">
        <v>5803</v>
      </c>
      <c r="R14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4" s="2" t="str">
        <f>_xlfn.XLOOKUP(Table2[[#This Row],[Adjusted Form '#]],'[2]IN PROGRESS'!$D:$D,'[2]IN PROGRESS'!$M:$M,"Not Found")</f>
        <v>Not Found</v>
      </c>
      <c r="U1454" s="2" t="str">
        <f>_xlfn.XLOOKUP(Table2[[#This Row],[Adjusted Form '#]],[1]COMPLETED!$D:$D,[2]COMPLETED!$M:$M,"Not Found")</f>
        <v>Not Found</v>
      </c>
      <c r="V1454" s="17" t="str">
        <f>_xlfn.XLOOKUP(Table2[[#This Row],[Adjusted Form '#]],[2]COMPLETED!$D:$D,[2]COMPLETED!$O:$O,"Not Found")</f>
        <v>Not Found</v>
      </c>
      <c r="W1454" s="2" t="str">
        <f>_xlfn.XLOOKUP(Table2[[#This Row],[Adjusted Form '#]],[2]BILLED!$D:$D,[2]BILLED!$M:$M,"Not Found")</f>
        <v>9400 1112 0620 9470 0007 30</v>
      </c>
      <c r="X1454" s="17" t="e">
        <f>_xlfn.XLOOKUP(Table2[[#This Row],[Adjusted Form '#]],[2]BILLED!$D:$D,[1]BILLED!$O:$O,"Not Found")</f>
        <v>#REF!</v>
      </c>
      <c r="Y1454" s="17" t="str">
        <f>_xlfn.XLOOKUP(Table2[[#This Row],[Adjusted Form '#]],'[2]REJECTED ORDERS'!$D:$D,'[2]REJECTED ORDERS'!$E:$E)</f>
        <v>FORM NUMBER ALREADY USED</v>
      </c>
      <c r="Z1454" s="1"/>
      <c r="AA1454" s="1"/>
    </row>
    <row r="1455" spans="1:27" ht="15" customHeight="1" x14ac:dyDescent="0.35">
      <c r="A1455" s="4" t="s">
        <v>2169</v>
      </c>
      <c r="B1455" s="1" t="s">
        <v>2373</v>
      </c>
      <c r="C1455" s="11">
        <v>45135</v>
      </c>
      <c r="D1455" s="11" t="s">
        <v>6497</v>
      </c>
      <c r="E1455" s="1" t="s">
        <v>21</v>
      </c>
      <c r="F1455" s="1" t="s">
        <v>6491</v>
      </c>
      <c r="G1455" s="6">
        <f>COUNTIF(F:F,Table2[[#This Row],[Form '#]])</f>
        <v>1</v>
      </c>
      <c r="H1455" s="1" t="s">
        <v>3456</v>
      </c>
      <c r="I1455" s="1" t="s">
        <v>758</v>
      </c>
      <c r="J1455" s="1" t="s">
        <v>78</v>
      </c>
      <c r="K1455" s="1" t="s">
        <v>3853</v>
      </c>
      <c r="L1455" s="1"/>
      <c r="M1455" s="6" t="str">
        <f>IF(Table2[[#This Row],[Corrected Form '#
 (If Duplicated)]]="",Table2[[#This Row],[Form '#]],Table2[[#This Row],[Corrected Form '#
 (If Duplicated)]])</f>
        <v>7818-01425</v>
      </c>
      <c r="N1455" s="1" t="s">
        <v>49</v>
      </c>
      <c r="O1455" s="6" t="str">
        <f>IF(Table2[[#This Row],[POG CONFIRMATION RECEIPT OF ORDER
(DATE &amp; TIME)]]="","No Confirmation","Received Confirmation")</f>
        <v>Received Confirmation</v>
      </c>
      <c r="P1455" s="6">
        <f ca="1">TODAY()-Table2[[#This Row],[DATE SENT TO POG]]</f>
        <v>168</v>
      </c>
      <c r="Q1455" s="6" t="s">
        <v>5803</v>
      </c>
      <c r="R14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5" s="2" t="str">
        <f>_xlfn.XLOOKUP(Table2[[#This Row],[Adjusted Form '#]],'[2]IN PROGRESS'!$D:$D,'[2]IN PROGRESS'!$M:$M,"Not Found")</f>
        <v>Not Found</v>
      </c>
      <c r="U1455" s="2" t="str">
        <f>_xlfn.XLOOKUP(Table2[[#This Row],[Adjusted Form '#]],[1]COMPLETED!$D:$D,[2]COMPLETED!$M:$M,"Not Found")</f>
        <v>Not Found</v>
      </c>
      <c r="V1455" s="17" t="str">
        <f>_xlfn.XLOOKUP(Table2[[#This Row],[Adjusted Form '#]],[2]COMPLETED!$D:$D,[2]COMPLETED!$O:$O,"Not Found")</f>
        <v>Not Found</v>
      </c>
      <c r="W1455" s="2" t="str">
        <f>_xlfn.XLOOKUP(Table2[[#This Row],[Adjusted Form '#]],[2]BILLED!$D:$D,[2]BILLED!$M:$M,"Not Found")</f>
        <v>9400 1361 0605 3197 8994 36</v>
      </c>
      <c r="X1455" s="17" t="e">
        <f>_xlfn.XLOOKUP(Table2[[#This Row],[Adjusted Form '#]],[2]BILLED!$D:$D,[1]BILLED!$O:$O,"Not Found")</f>
        <v>#REF!</v>
      </c>
      <c r="Y1455" s="17" t="e">
        <f>_xlfn.XLOOKUP(Table2[[#This Row],[Adjusted Form '#]],'[2]REJECTED ORDERS'!$D:$D,'[2]REJECTED ORDERS'!$E:$E)</f>
        <v>#N/A</v>
      </c>
      <c r="Z1455" s="1"/>
      <c r="AA1455" s="1"/>
    </row>
    <row r="1456" spans="1:27" ht="15" customHeight="1" x14ac:dyDescent="0.35">
      <c r="A1456" s="4" t="s">
        <v>2170</v>
      </c>
      <c r="B1456" s="1" t="s">
        <v>2373</v>
      </c>
      <c r="C1456" s="11">
        <v>45135</v>
      </c>
      <c r="D1456" s="11" t="s">
        <v>6497</v>
      </c>
      <c r="E1456" s="1" t="s">
        <v>21</v>
      </c>
      <c r="F1456" s="1" t="s">
        <v>6492</v>
      </c>
      <c r="G1456" s="6">
        <f>COUNTIF(F:F,Table2[[#This Row],[Form '#]])</f>
        <v>1</v>
      </c>
      <c r="H1456" s="1" t="s">
        <v>6493</v>
      </c>
      <c r="I1456" s="1" t="s">
        <v>127</v>
      </c>
      <c r="J1456" s="1" t="s">
        <v>76</v>
      </c>
      <c r="K1456" s="1" t="s">
        <v>3883</v>
      </c>
      <c r="L1456" s="1"/>
      <c r="M1456" s="6" t="str">
        <f>IF(Table2[[#This Row],[Corrected Form '#
 (If Duplicated)]]="",Table2[[#This Row],[Form '#]],Table2[[#This Row],[Corrected Form '#
 (If Duplicated)]])</f>
        <v>7818-25014</v>
      </c>
      <c r="N1456" s="1" t="s">
        <v>49</v>
      </c>
      <c r="O1456" s="6" t="str">
        <f>IF(Table2[[#This Row],[POG CONFIRMATION RECEIPT OF ORDER
(DATE &amp; TIME)]]="","No Confirmation","Received Confirmation")</f>
        <v>Received Confirmation</v>
      </c>
      <c r="P1456" s="6">
        <f ca="1">TODAY()-Table2[[#This Row],[DATE SENT TO POG]]</f>
        <v>168</v>
      </c>
      <c r="Q1456" s="6" t="s">
        <v>5803</v>
      </c>
      <c r="R14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6" s="2" t="str">
        <f>_xlfn.XLOOKUP(Table2[[#This Row],[Adjusted Form '#]],'[2]IN PROGRESS'!$D:$D,'[2]IN PROGRESS'!$M:$M,"Not Found")</f>
        <v>Not Found</v>
      </c>
      <c r="U1456" s="2" t="str">
        <f>_xlfn.XLOOKUP(Table2[[#This Row],[Adjusted Form '#]],[1]COMPLETED!$D:$D,[2]COMPLETED!$M:$M,"Not Found")</f>
        <v>Not Found</v>
      </c>
      <c r="V1456" s="17" t="str">
        <f>_xlfn.XLOOKUP(Table2[[#This Row],[Adjusted Form '#]],[2]COMPLETED!$D:$D,[2]COMPLETED!$O:$O,"Not Found")</f>
        <v>Not Found</v>
      </c>
      <c r="W1456" s="2" t="str">
        <f>_xlfn.XLOOKUP(Table2[[#This Row],[Adjusted Form '#]],[2]BILLED!$D:$D,[2]BILLED!$M:$M,"Not Found")</f>
        <v>9400 1361 0605 3222 4490 94</v>
      </c>
      <c r="X1456" s="17" t="e">
        <f>_xlfn.XLOOKUP(Table2[[#This Row],[Adjusted Form '#]],[2]BILLED!$D:$D,[1]BILLED!$O:$O,"Not Found")</f>
        <v>#REF!</v>
      </c>
      <c r="Y1456" s="17" t="e">
        <f>_xlfn.XLOOKUP(Table2[[#This Row],[Adjusted Form '#]],'[2]REJECTED ORDERS'!$D:$D,'[2]REJECTED ORDERS'!$E:$E)</f>
        <v>#N/A</v>
      </c>
      <c r="Z1456" s="1"/>
      <c r="AA1456" s="1"/>
    </row>
    <row r="1457" spans="1:27" ht="15" customHeight="1" x14ac:dyDescent="0.35">
      <c r="A1457" s="4" t="s">
        <v>2171</v>
      </c>
      <c r="B1457" s="1" t="s">
        <v>496</v>
      </c>
      <c r="C1457" s="11">
        <v>45136</v>
      </c>
      <c r="D1457" s="11" t="s">
        <v>6498</v>
      </c>
      <c r="E1457" s="1" t="s">
        <v>1592</v>
      </c>
      <c r="F1457" s="1" t="s">
        <v>6494</v>
      </c>
      <c r="G1457" s="6">
        <f>COUNTIF(F:F,Table2[[#This Row],[Form '#]])</f>
        <v>1</v>
      </c>
      <c r="H1457" s="1" t="s">
        <v>3581</v>
      </c>
      <c r="I1457" s="1" t="s">
        <v>3891</v>
      </c>
      <c r="J1457" s="1" t="s">
        <v>3891</v>
      </c>
      <c r="K1457" s="1" t="s">
        <v>3891</v>
      </c>
      <c r="L1457" s="1"/>
      <c r="M1457" s="6" t="str">
        <f>IF(Table2[[#This Row],[Corrected Form '#
 (If Duplicated)]]="",Table2[[#This Row],[Form '#]],Table2[[#This Row],[Corrected Form '#
 (If Duplicated)]])</f>
        <v>7811-00307</v>
      </c>
      <c r="N1457" s="1" t="s">
        <v>49</v>
      </c>
      <c r="O1457" s="6" t="str">
        <f>IF(Table2[[#This Row],[POG CONFIRMATION RECEIPT OF ORDER
(DATE &amp; TIME)]]="","No Confirmation","Received Confirmation")</f>
        <v>Received Confirmation</v>
      </c>
      <c r="P1457" s="6">
        <f ca="1">TODAY()-Table2[[#This Row],[DATE SENT TO POG]]</f>
        <v>167</v>
      </c>
      <c r="Q1457" s="6" t="s">
        <v>5803</v>
      </c>
      <c r="R14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7" s="2" t="str">
        <f>_xlfn.XLOOKUP(Table2[[#This Row],[Adjusted Form '#]],'[2]IN PROGRESS'!$D:$D,'[2]IN PROGRESS'!$M:$M,"Not Found")</f>
        <v>Not Found</v>
      </c>
      <c r="U1457" s="2" t="str">
        <f>_xlfn.XLOOKUP(Table2[[#This Row],[Adjusted Form '#]],[1]COMPLETED!$D:$D,[2]COMPLETED!$M:$M,"Not Found")</f>
        <v>Not Found</v>
      </c>
      <c r="V1457" s="17" t="str">
        <f>_xlfn.XLOOKUP(Table2[[#This Row],[Adjusted Form '#]],[2]COMPLETED!$D:$D,[2]COMPLETED!$O:$O,"Not Found")</f>
        <v>Not Found</v>
      </c>
      <c r="W1457" s="2" t="str">
        <f>_xlfn.XLOOKUP(Table2[[#This Row],[Adjusted Form '#]],[2]BILLED!$D:$D,[2]BILLED!$M:$M,"Not Found")</f>
        <v>9400 1361 0605 3197 8673 29</v>
      </c>
      <c r="X1457" s="17" t="e">
        <f>_xlfn.XLOOKUP(Table2[[#This Row],[Adjusted Form '#]],[2]BILLED!$D:$D,[1]BILLED!$O:$O,"Not Found")</f>
        <v>#REF!</v>
      </c>
      <c r="Y1457" s="17" t="e">
        <f>_xlfn.XLOOKUP(Table2[[#This Row],[Adjusted Form '#]],'[2]REJECTED ORDERS'!$D:$D,'[2]REJECTED ORDERS'!$E:$E)</f>
        <v>#N/A</v>
      </c>
      <c r="Z1457" s="1"/>
      <c r="AA1457" s="1"/>
    </row>
    <row r="1458" spans="1:27" ht="15" customHeight="1" x14ac:dyDescent="0.35">
      <c r="A1458" s="4" t="s">
        <v>2172</v>
      </c>
      <c r="B1458" s="1" t="s">
        <v>496</v>
      </c>
      <c r="C1458" s="11">
        <v>45136</v>
      </c>
      <c r="D1458" s="11" t="s">
        <v>6498</v>
      </c>
      <c r="E1458" s="1" t="s">
        <v>1592</v>
      </c>
      <c r="F1458" s="1" t="s">
        <v>6495</v>
      </c>
      <c r="G1458" s="6">
        <f>COUNTIF(F:F,Table2[[#This Row],[Form '#]])</f>
        <v>1</v>
      </c>
      <c r="H1458" s="1" t="s">
        <v>6496</v>
      </c>
      <c r="I1458" s="1" t="s">
        <v>177</v>
      </c>
      <c r="J1458" s="1" t="s">
        <v>75</v>
      </c>
      <c r="K1458" s="1" t="s">
        <v>4011</v>
      </c>
      <c r="L1458" s="1"/>
      <c r="M1458" s="6" t="str">
        <f>IF(Table2[[#This Row],[Corrected Form '#
 (If Duplicated)]]="",Table2[[#This Row],[Form '#]],Table2[[#This Row],[Corrected Form '#
 (If Duplicated)]])</f>
        <v>7811-00316</v>
      </c>
      <c r="N1458" s="1" t="s">
        <v>49</v>
      </c>
      <c r="O1458" s="6" t="str">
        <f>IF(Table2[[#This Row],[POG CONFIRMATION RECEIPT OF ORDER
(DATE &amp; TIME)]]="","No Confirmation","Received Confirmation")</f>
        <v>Received Confirmation</v>
      </c>
      <c r="P1458" s="6">
        <f ca="1">TODAY()-Table2[[#This Row],[DATE SENT TO POG]]</f>
        <v>167</v>
      </c>
      <c r="Q1458" s="6" t="s">
        <v>5803</v>
      </c>
      <c r="R14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8" s="2" t="str">
        <f>_xlfn.XLOOKUP(Table2[[#This Row],[Adjusted Form '#]],'[2]IN PROGRESS'!$D:$D,'[2]IN PROGRESS'!$M:$M,"Not Found")</f>
        <v>Not Found</v>
      </c>
      <c r="U1458" s="2" t="str">
        <f>_xlfn.XLOOKUP(Table2[[#This Row],[Adjusted Form '#]],[1]COMPLETED!$D:$D,[2]COMPLETED!$M:$M,"Not Found")</f>
        <v>Not Found</v>
      </c>
      <c r="V1458" s="17" t="str">
        <f>_xlfn.XLOOKUP(Table2[[#This Row],[Adjusted Form '#]],[2]COMPLETED!$D:$D,[2]COMPLETED!$O:$O,"Not Found")</f>
        <v>Not Found</v>
      </c>
      <c r="W1458" s="2" t="str">
        <f>_xlfn.XLOOKUP(Table2[[#This Row],[Adjusted Form '#]],[2]BILLED!$D:$D,[2]BILLED!$M:$M,"Not Found")</f>
        <v>9400 1361 0605 3197 8187 27</v>
      </c>
      <c r="X1458" s="17" t="e">
        <f>_xlfn.XLOOKUP(Table2[[#This Row],[Adjusted Form '#]],[2]BILLED!$D:$D,[1]BILLED!$O:$O,"Not Found")</f>
        <v>#REF!</v>
      </c>
      <c r="Y1458" s="17" t="e">
        <f>_xlfn.XLOOKUP(Table2[[#This Row],[Adjusted Form '#]],'[2]REJECTED ORDERS'!$D:$D,'[2]REJECTED ORDERS'!$E:$E)</f>
        <v>#N/A</v>
      </c>
      <c r="Z1458" s="1"/>
      <c r="AA1458" s="1"/>
    </row>
    <row r="1459" spans="1:27" ht="15" customHeight="1" x14ac:dyDescent="0.35">
      <c r="A1459" s="4" t="s">
        <v>2173</v>
      </c>
      <c r="B1459" s="1" t="s">
        <v>6499</v>
      </c>
      <c r="C1459" s="11">
        <v>45138</v>
      </c>
      <c r="D1459" s="11" t="s">
        <v>6504</v>
      </c>
      <c r="E1459" s="1" t="s">
        <v>14</v>
      </c>
      <c r="F1459" s="1" t="s">
        <v>6500</v>
      </c>
      <c r="G1459" s="6">
        <f>COUNTIF(F:F,Table2[[#This Row],[Form '#]])</f>
        <v>1</v>
      </c>
      <c r="H1459" s="1" t="s">
        <v>3540</v>
      </c>
      <c r="I1459" s="1" t="s">
        <v>177</v>
      </c>
      <c r="J1459" s="1" t="s">
        <v>75</v>
      </c>
      <c r="K1459" s="1" t="s">
        <v>3853</v>
      </c>
      <c r="L1459" s="1"/>
      <c r="M1459" s="6" t="str">
        <f>IF(Table2[[#This Row],[Corrected Form '#
 (If Duplicated)]]="",Table2[[#This Row],[Form '#]],Table2[[#This Row],[Corrected Form '#
 (If Duplicated)]])</f>
        <v>7810-01839</v>
      </c>
      <c r="N1459" s="1" t="s">
        <v>49</v>
      </c>
      <c r="O1459" s="6" t="str">
        <f>IF(Table2[[#This Row],[POG CONFIRMATION RECEIPT OF ORDER
(DATE &amp; TIME)]]="","No Confirmation","Received Confirmation")</f>
        <v>Received Confirmation</v>
      </c>
      <c r="P1459" s="6">
        <f ca="1">TODAY()-Table2[[#This Row],[DATE SENT TO POG]]</f>
        <v>165</v>
      </c>
      <c r="Q1459" s="6" t="s">
        <v>5803</v>
      </c>
      <c r="R14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59" s="2" t="str">
        <f>_xlfn.XLOOKUP(Table2[[#This Row],[Adjusted Form '#]],'[2]IN PROGRESS'!$D:$D,'[2]IN PROGRESS'!$M:$M,"Not Found")</f>
        <v>Not Found</v>
      </c>
      <c r="U1459" s="2" t="str">
        <f>_xlfn.XLOOKUP(Table2[[#This Row],[Adjusted Form '#]],[1]COMPLETED!$D:$D,[2]COMPLETED!$M:$M,"Not Found")</f>
        <v>Not Found</v>
      </c>
      <c r="V1459" s="17" t="str">
        <f>_xlfn.XLOOKUP(Table2[[#This Row],[Adjusted Form '#]],[2]COMPLETED!$D:$D,[2]COMPLETED!$O:$O,"Not Found")</f>
        <v>Not Found</v>
      </c>
      <c r="W1459" s="2" t="str">
        <f>_xlfn.XLOOKUP(Table2[[#This Row],[Adjusted Form '#]],[2]BILLED!$D:$D,[2]BILLED!$M:$M,"Not Found")</f>
        <v>9400 1361 0605 3197 8508 71</v>
      </c>
      <c r="X1459" s="17" t="e">
        <f>_xlfn.XLOOKUP(Table2[[#This Row],[Adjusted Form '#]],[2]BILLED!$D:$D,[1]BILLED!$O:$O,"Not Found")</f>
        <v>#REF!</v>
      </c>
      <c r="Y1459" s="17" t="e">
        <f>_xlfn.XLOOKUP(Table2[[#This Row],[Adjusted Form '#]],'[2]REJECTED ORDERS'!$D:$D,'[2]REJECTED ORDERS'!$E:$E)</f>
        <v>#N/A</v>
      </c>
      <c r="Z1459" s="1"/>
      <c r="AA1459" s="1"/>
    </row>
    <row r="1460" spans="1:27" ht="15" customHeight="1" x14ac:dyDescent="0.35">
      <c r="A1460" s="4" t="s">
        <v>2176</v>
      </c>
      <c r="B1460" s="1" t="s">
        <v>2595</v>
      </c>
      <c r="C1460" s="11">
        <v>45138</v>
      </c>
      <c r="D1460" s="11" t="s">
        <v>6505</v>
      </c>
      <c r="E1460" s="1" t="s">
        <v>14</v>
      </c>
      <c r="F1460" s="1" t="s">
        <v>6501</v>
      </c>
      <c r="G1460" s="6">
        <f>COUNTIF(F:F,Table2[[#This Row],[Form '#]])</f>
        <v>1</v>
      </c>
      <c r="H1460" s="1" t="s">
        <v>6502</v>
      </c>
      <c r="I1460" s="1" t="s">
        <v>28</v>
      </c>
      <c r="J1460" s="1" t="s">
        <v>69</v>
      </c>
      <c r="K1460" s="1" t="s">
        <v>3891</v>
      </c>
      <c r="L1460" s="1"/>
      <c r="M1460" s="6" t="str">
        <f>IF(Table2[[#This Row],[Corrected Form '#
 (If Duplicated)]]="",Table2[[#This Row],[Form '#]],Table2[[#This Row],[Corrected Form '#
 (If Duplicated)]])</f>
        <v>7810-02218</v>
      </c>
      <c r="N1460" s="1" t="s">
        <v>49</v>
      </c>
      <c r="O1460" s="6" t="str">
        <f>IF(Table2[[#This Row],[POG CONFIRMATION RECEIPT OF ORDER
(DATE &amp; TIME)]]="","No Confirmation","Received Confirmation")</f>
        <v>Received Confirmation</v>
      </c>
      <c r="P1460" s="6">
        <f ca="1">TODAY()-Table2[[#This Row],[DATE SENT TO POG]]</f>
        <v>165</v>
      </c>
      <c r="Q1460" s="6" t="s">
        <v>5803</v>
      </c>
      <c r="R14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0" s="2" t="str">
        <f>_xlfn.XLOOKUP(Table2[[#This Row],[Adjusted Form '#]],'[2]IN PROGRESS'!$D:$D,'[2]IN PROGRESS'!$M:$M,"Not Found")</f>
        <v>Not Found</v>
      </c>
      <c r="U1460" s="2" t="str">
        <f>_xlfn.XLOOKUP(Table2[[#This Row],[Adjusted Form '#]],[1]COMPLETED!$D:$D,[2]COMPLETED!$M:$M,"Not Found")</f>
        <v>Not Found</v>
      </c>
      <c r="V1460" s="17" t="str">
        <f>_xlfn.XLOOKUP(Table2[[#This Row],[Adjusted Form '#]],[2]COMPLETED!$D:$D,[2]COMPLETED!$O:$O,"Not Found")</f>
        <v>Not Found</v>
      </c>
      <c r="W1460" s="2" t="str">
        <f>_xlfn.XLOOKUP(Table2[[#This Row],[Adjusted Form '#]],[2]BILLED!$D:$D,[2]BILLED!$M:$M,"Not Found")</f>
        <v>9400 1361 0605 3197 9495 13</v>
      </c>
      <c r="X1460" s="17" t="e">
        <f>_xlfn.XLOOKUP(Table2[[#This Row],[Adjusted Form '#]],[2]BILLED!$D:$D,[1]BILLED!$O:$O,"Not Found")</f>
        <v>#REF!</v>
      </c>
      <c r="Y1460" s="17" t="e">
        <f>_xlfn.XLOOKUP(Table2[[#This Row],[Adjusted Form '#]],'[2]REJECTED ORDERS'!$D:$D,'[2]REJECTED ORDERS'!$E:$E)</f>
        <v>#N/A</v>
      </c>
      <c r="Z1460" s="1"/>
      <c r="AA1460" s="1"/>
    </row>
    <row r="1461" spans="1:27" ht="15" customHeight="1" x14ac:dyDescent="0.35">
      <c r="A1461" s="4" t="s">
        <v>2177</v>
      </c>
      <c r="B1461" s="1" t="s">
        <v>5470</v>
      </c>
      <c r="C1461" s="11">
        <v>45138</v>
      </c>
      <c r="D1461" s="11" t="s">
        <v>6528</v>
      </c>
      <c r="E1461" s="1" t="s">
        <v>21</v>
      </c>
      <c r="F1461" s="1" t="s">
        <v>6503</v>
      </c>
      <c r="G1461" s="6">
        <f>COUNTIF(F:F,Table2[[#This Row],[Form '#]])</f>
        <v>1</v>
      </c>
      <c r="H1461" s="1" t="s">
        <v>1990</v>
      </c>
      <c r="I1461" s="1" t="s">
        <v>3852</v>
      </c>
      <c r="J1461" s="1" t="s">
        <v>80</v>
      </c>
      <c r="K1461" s="1" t="s">
        <v>3853</v>
      </c>
      <c r="L1461" s="1"/>
      <c r="M1461" s="6" t="str">
        <f>IF(Table2[[#This Row],[Corrected Form '#
 (If Duplicated)]]="",Table2[[#This Row],[Form '#]],Table2[[#This Row],[Corrected Form '#
 (If Duplicated)]])</f>
        <v>7818-31214</v>
      </c>
      <c r="N1461" s="1" t="s">
        <v>104</v>
      </c>
      <c r="O1461" s="6" t="str">
        <f>IF(Table2[[#This Row],[POG CONFIRMATION RECEIPT OF ORDER
(DATE &amp; TIME)]]="","No Confirmation","Received Confirmation")</f>
        <v>Received Confirmation</v>
      </c>
      <c r="P1461" s="6">
        <f ca="1">TODAY()-Table2[[#This Row],[DATE SENT TO POG]]</f>
        <v>165</v>
      </c>
      <c r="Q1461" s="6" t="s">
        <v>5803</v>
      </c>
      <c r="R14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1" s="2" t="str">
        <f>_xlfn.XLOOKUP(Table2[[#This Row],[Adjusted Form '#]],'[2]IN PROGRESS'!$D:$D,'[2]IN PROGRESS'!$M:$M,"Not Found")</f>
        <v>Not Found</v>
      </c>
      <c r="U1461" s="2" t="str">
        <f>_xlfn.XLOOKUP(Table2[[#This Row],[Adjusted Form '#]],[1]COMPLETED!$D:$D,[2]COMPLETED!$M:$M,"Not Found")</f>
        <v>Not Found</v>
      </c>
      <c r="V1461" s="17" t="str">
        <f>_xlfn.XLOOKUP(Table2[[#This Row],[Adjusted Form '#]],[2]COMPLETED!$D:$D,[2]COMPLETED!$O:$O,"Not Found")</f>
        <v>Not Found</v>
      </c>
      <c r="W1461" s="2" t="str">
        <f>_xlfn.XLOOKUP(Table2[[#This Row],[Adjusted Form '#]],[2]BILLED!$D:$D,[2]BILLED!$M:$M,"Not Found")</f>
        <v>9400 1112 0620 9492 6836 14</v>
      </c>
      <c r="X1461" s="17" t="e">
        <f>_xlfn.XLOOKUP(Table2[[#This Row],[Adjusted Form '#]],[2]BILLED!$D:$D,[1]BILLED!$O:$O,"Not Found")</f>
        <v>#REF!</v>
      </c>
      <c r="Y1461" s="17" t="e">
        <f>_xlfn.XLOOKUP(Table2[[#This Row],[Adjusted Form '#]],'[2]REJECTED ORDERS'!$D:$D,'[2]REJECTED ORDERS'!$E:$E)</f>
        <v>#N/A</v>
      </c>
      <c r="Z1461" s="1"/>
      <c r="AA1461" s="1"/>
    </row>
    <row r="1462" spans="1:27" ht="15" customHeight="1" x14ac:dyDescent="0.35">
      <c r="A1462" s="4" t="s">
        <v>2178</v>
      </c>
      <c r="B1462" s="1" t="s">
        <v>6058</v>
      </c>
      <c r="C1462" s="11">
        <v>45138</v>
      </c>
      <c r="D1462" s="11" t="s">
        <v>6528</v>
      </c>
      <c r="E1462" s="1" t="s">
        <v>21</v>
      </c>
      <c r="F1462" s="1" t="s">
        <v>6506</v>
      </c>
      <c r="G1462" s="6">
        <f>COUNTIF(F:F,Table2[[#This Row],[Form '#]])</f>
        <v>1</v>
      </c>
      <c r="H1462" s="1" t="s">
        <v>3063</v>
      </c>
      <c r="I1462" s="1" t="s">
        <v>3852</v>
      </c>
      <c r="J1462" s="1" t="s">
        <v>80</v>
      </c>
      <c r="K1462" s="1" t="s">
        <v>4430</v>
      </c>
      <c r="L1462" s="1"/>
      <c r="M1462" s="6" t="str">
        <f>IF(Table2[[#This Row],[Corrected Form '#
 (If Duplicated)]]="",Table2[[#This Row],[Form '#]],Table2[[#This Row],[Corrected Form '#
 (If Duplicated)]])</f>
        <v>7818-18941</v>
      </c>
      <c r="N1462" s="1" t="s">
        <v>49</v>
      </c>
      <c r="O1462" s="6" t="str">
        <f>IF(Table2[[#This Row],[POG CONFIRMATION RECEIPT OF ORDER
(DATE &amp; TIME)]]="","No Confirmation","Received Confirmation")</f>
        <v>Received Confirmation</v>
      </c>
      <c r="P1462" s="6">
        <f ca="1">TODAY()-Table2[[#This Row],[DATE SENT TO POG]]</f>
        <v>165</v>
      </c>
      <c r="Q1462" s="6" t="s">
        <v>5803</v>
      </c>
      <c r="R14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2" s="2" t="str">
        <f>_xlfn.XLOOKUP(Table2[[#This Row],[Adjusted Form '#]],'[2]IN PROGRESS'!$D:$D,'[2]IN PROGRESS'!$M:$M,"Not Found")</f>
        <v>Not Found</v>
      </c>
      <c r="U1462" s="2" t="str">
        <f>_xlfn.XLOOKUP(Table2[[#This Row],[Adjusted Form '#]],[1]COMPLETED!$D:$D,[2]COMPLETED!$M:$M,"Not Found")</f>
        <v>Not Found</v>
      </c>
      <c r="V1462" s="17" t="str">
        <f>_xlfn.XLOOKUP(Table2[[#This Row],[Adjusted Form '#]],[2]COMPLETED!$D:$D,[2]COMPLETED!$O:$O,"Not Found")</f>
        <v>Not Found</v>
      </c>
      <c r="W1462" s="2" t="str">
        <f>_xlfn.XLOOKUP(Table2[[#This Row],[Adjusted Form '#]],[2]BILLED!$D:$D,[2]BILLED!$M:$M,"Not Found")</f>
        <v>9400 1361 0605 3199 7602 15</v>
      </c>
      <c r="X1462" s="17" t="e">
        <f>_xlfn.XLOOKUP(Table2[[#This Row],[Adjusted Form '#]],[2]BILLED!$D:$D,[1]BILLED!$O:$O,"Not Found")</f>
        <v>#REF!</v>
      </c>
      <c r="Y1462" s="17" t="e">
        <f>_xlfn.XLOOKUP(Table2[[#This Row],[Adjusted Form '#]],'[2]REJECTED ORDERS'!$D:$D,'[2]REJECTED ORDERS'!$E:$E)</f>
        <v>#N/A</v>
      </c>
      <c r="Z1462" s="1"/>
      <c r="AA1462" s="1"/>
    </row>
    <row r="1463" spans="1:27" ht="15" customHeight="1" x14ac:dyDescent="0.35">
      <c r="A1463" s="4" t="s">
        <v>2179</v>
      </c>
      <c r="B1463" s="1" t="s">
        <v>6058</v>
      </c>
      <c r="C1463" s="11">
        <v>45138</v>
      </c>
      <c r="D1463" s="11" t="s">
        <v>6528</v>
      </c>
      <c r="E1463" s="1" t="s">
        <v>21</v>
      </c>
      <c r="F1463" s="1" t="s">
        <v>6507</v>
      </c>
      <c r="G1463" s="6">
        <f>COUNTIF(F:F,Table2[[#This Row],[Form '#]])</f>
        <v>1</v>
      </c>
      <c r="H1463" s="1" t="s">
        <v>6508</v>
      </c>
      <c r="I1463" s="1" t="s">
        <v>3852</v>
      </c>
      <c r="J1463" s="1" t="s">
        <v>80</v>
      </c>
      <c r="K1463" s="1" t="s">
        <v>4430</v>
      </c>
      <c r="L1463" s="1"/>
      <c r="M1463" s="6" t="str">
        <f>IF(Table2[[#This Row],[Corrected Form '#
 (If Duplicated)]]="",Table2[[#This Row],[Form '#]],Table2[[#This Row],[Corrected Form '#
 (If Duplicated)]])</f>
        <v>7818-28389</v>
      </c>
      <c r="N1463" s="1" t="s">
        <v>49</v>
      </c>
      <c r="O1463" s="6" t="str">
        <f>IF(Table2[[#This Row],[POG CONFIRMATION RECEIPT OF ORDER
(DATE &amp; TIME)]]="","No Confirmation","Received Confirmation")</f>
        <v>Received Confirmation</v>
      </c>
      <c r="P1463" s="6">
        <f ca="1">TODAY()-Table2[[#This Row],[DATE SENT TO POG]]</f>
        <v>165</v>
      </c>
      <c r="Q1463" s="6" t="s">
        <v>5803</v>
      </c>
      <c r="R14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3" s="2" t="str">
        <f>_xlfn.XLOOKUP(Table2[[#This Row],[Adjusted Form '#]],'[2]IN PROGRESS'!$D:$D,'[2]IN PROGRESS'!$M:$M,"Not Found")</f>
        <v>Not Found</v>
      </c>
      <c r="U1463" s="2" t="str">
        <f>_xlfn.XLOOKUP(Table2[[#This Row],[Adjusted Form '#]],[1]COMPLETED!$D:$D,[2]COMPLETED!$M:$M,"Not Found")</f>
        <v>Not Found</v>
      </c>
      <c r="V1463" s="17" t="str">
        <f>_xlfn.XLOOKUP(Table2[[#This Row],[Adjusted Form '#]],[2]COMPLETED!$D:$D,[2]COMPLETED!$O:$O,"Not Found")</f>
        <v>Not Found</v>
      </c>
      <c r="W1463" s="2" t="str">
        <f>_xlfn.XLOOKUP(Table2[[#This Row],[Adjusted Form '#]],[2]BILLED!$D:$D,[2]BILLED!$M:$M,"Not Found")</f>
        <v>9400 1361 0605 3199 7812 72</v>
      </c>
      <c r="X1463" s="17" t="e">
        <f>_xlfn.XLOOKUP(Table2[[#This Row],[Adjusted Form '#]],[2]BILLED!$D:$D,[1]BILLED!$O:$O,"Not Found")</f>
        <v>#REF!</v>
      </c>
      <c r="Y1463" s="17" t="e">
        <f>_xlfn.XLOOKUP(Table2[[#This Row],[Adjusted Form '#]],'[2]REJECTED ORDERS'!$D:$D,'[2]REJECTED ORDERS'!$E:$E)</f>
        <v>#N/A</v>
      </c>
      <c r="Z1463" s="1"/>
      <c r="AA1463" s="1"/>
    </row>
    <row r="1464" spans="1:27" ht="15" customHeight="1" x14ac:dyDescent="0.35">
      <c r="A1464" s="4" t="s">
        <v>2180</v>
      </c>
      <c r="B1464" s="1" t="s">
        <v>6058</v>
      </c>
      <c r="C1464" s="11">
        <v>45138</v>
      </c>
      <c r="D1464" s="11" t="s">
        <v>6528</v>
      </c>
      <c r="E1464" s="1" t="s">
        <v>21</v>
      </c>
      <c r="F1464" s="1" t="s">
        <v>6509</v>
      </c>
      <c r="G1464" s="6">
        <f>COUNTIF(F:F,Table2[[#This Row],[Form '#]])</f>
        <v>1</v>
      </c>
      <c r="H1464" s="1" t="s">
        <v>912</v>
      </c>
      <c r="I1464" s="1" t="s">
        <v>3852</v>
      </c>
      <c r="J1464" s="1" t="s">
        <v>80</v>
      </c>
      <c r="K1464" s="1" t="s">
        <v>4430</v>
      </c>
      <c r="L1464" s="1"/>
      <c r="M1464" s="6" t="str">
        <f>IF(Table2[[#This Row],[Corrected Form '#
 (If Duplicated)]]="",Table2[[#This Row],[Form '#]],Table2[[#This Row],[Corrected Form '#
 (If Duplicated)]])</f>
        <v>7818-18558</v>
      </c>
      <c r="N1464" s="1" t="s">
        <v>49</v>
      </c>
      <c r="O1464" s="6" t="str">
        <f>IF(Table2[[#This Row],[POG CONFIRMATION RECEIPT OF ORDER
(DATE &amp; TIME)]]="","No Confirmation","Received Confirmation")</f>
        <v>Received Confirmation</v>
      </c>
      <c r="P1464" s="6">
        <f ca="1">TODAY()-Table2[[#This Row],[DATE SENT TO POG]]</f>
        <v>165</v>
      </c>
      <c r="Q1464" s="6" t="s">
        <v>5803</v>
      </c>
      <c r="R14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4" s="2" t="str">
        <f>_xlfn.XLOOKUP(Table2[[#This Row],[Adjusted Form '#]],'[2]IN PROGRESS'!$D:$D,'[2]IN PROGRESS'!$M:$M,"Not Found")</f>
        <v>Not Found</v>
      </c>
      <c r="U1464" s="2" t="str">
        <f>_xlfn.XLOOKUP(Table2[[#This Row],[Adjusted Form '#]],[1]COMPLETED!$D:$D,[2]COMPLETED!$M:$M,"Not Found")</f>
        <v>Not Found</v>
      </c>
      <c r="V1464" s="17" t="str">
        <f>_xlfn.XLOOKUP(Table2[[#This Row],[Adjusted Form '#]],[2]COMPLETED!$D:$D,[2]COMPLETED!$O:$O,"Not Found")</f>
        <v>Not Found</v>
      </c>
      <c r="W1464" s="2" t="str">
        <f>_xlfn.XLOOKUP(Table2[[#This Row],[Adjusted Form '#]],[2]BILLED!$D:$D,[2]BILLED!$M:$M,"Not Found")</f>
        <v>9400 1361 0605 3200 3405 80</v>
      </c>
      <c r="X1464" s="17" t="e">
        <f>_xlfn.XLOOKUP(Table2[[#This Row],[Adjusted Form '#]],[2]BILLED!$D:$D,[1]BILLED!$O:$O,"Not Found")</f>
        <v>#REF!</v>
      </c>
      <c r="Y1464" s="17" t="e">
        <f>_xlfn.XLOOKUP(Table2[[#This Row],[Adjusted Form '#]],'[2]REJECTED ORDERS'!$D:$D,'[2]REJECTED ORDERS'!$E:$E)</f>
        <v>#N/A</v>
      </c>
      <c r="Z1464" s="1"/>
      <c r="AA1464" s="1"/>
    </row>
    <row r="1465" spans="1:27" ht="15" customHeight="1" x14ac:dyDescent="0.35">
      <c r="A1465" s="4" t="s">
        <v>2181</v>
      </c>
      <c r="B1465" s="1" t="s">
        <v>6058</v>
      </c>
      <c r="C1465" s="11">
        <v>45138</v>
      </c>
      <c r="D1465" s="11" t="s">
        <v>6528</v>
      </c>
      <c r="E1465" s="1" t="s">
        <v>21</v>
      </c>
      <c r="F1465" s="1" t="s">
        <v>6510</v>
      </c>
      <c r="G1465" s="6">
        <f>COUNTIF(F:F,Table2[[#This Row],[Form '#]])</f>
        <v>1</v>
      </c>
      <c r="H1465" s="1" t="s">
        <v>6511</v>
      </c>
      <c r="I1465" s="1" t="s">
        <v>127</v>
      </c>
      <c r="J1465" s="1" t="s">
        <v>74</v>
      </c>
      <c r="K1465" s="1" t="s">
        <v>4011</v>
      </c>
      <c r="L1465" s="1"/>
      <c r="M1465" s="6" t="str">
        <f>IF(Table2[[#This Row],[Corrected Form '#
 (If Duplicated)]]="",Table2[[#This Row],[Form '#]],Table2[[#This Row],[Corrected Form '#
 (If Duplicated)]])</f>
        <v>7818-25819</v>
      </c>
      <c r="N1465" s="1" t="s">
        <v>49</v>
      </c>
      <c r="O1465" s="6" t="str">
        <f>IF(Table2[[#This Row],[POG CONFIRMATION RECEIPT OF ORDER
(DATE &amp; TIME)]]="","No Confirmation","Received Confirmation")</f>
        <v>Received Confirmation</v>
      </c>
      <c r="P1465" s="6">
        <f ca="1">TODAY()-Table2[[#This Row],[DATE SENT TO POG]]</f>
        <v>165</v>
      </c>
      <c r="Q1465" s="6" t="s">
        <v>5802</v>
      </c>
      <c r="R14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46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465" s="2" t="str">
        <f>_xlfn.XLOOKUP(Table2[[#This Row],[Adjusted Form '#]],'[2]IN PROGRESS'!$D:$D,'[2]IN PROGRESS'!$M:$M,"Not Found")</f>
        <v>Not Found</v>
      </c>
      <c r="U1465" s="2" t="str">
        <f>_xlfn.XLOOKUP(Table2[[#This Row],[Adjusted Form '#]],[1]COMPLETED!$D:$D,[2]COMPLETED!$M:$M,"Not Found")</f>
        <v>Not Found</v>
      </c>
      <c r="V1465" s="17" t="str">
        <f>_xlfn.XLOOKUP(Table2[[#This Row],[Adjusted Form '#]],[2]COMPLETED!$D:$D,[2]COMPLETED!$O:$O,"Not Found")</f>
        <v>Not Found</v>
      </c>
      <c r="W1465" s="2" t="str">
        <f>_xlfn.XLOOKUP(Table2[[#This Row],[Adjusted Form '#]],[2]BILLED!$D:$D,[2]BILLED!$M:$M,"Not Found")</f>
        <v>Not Found</v>
      </c>
      <c r="X1465" s="17" t="str">
        <f>_xlfn.XLOOKUP(Table2[[#This Row],[Adjusted Form '#]],[2]BILLED!$D:$D,[1]BILLED!$O:$O,"Not Found")</f>
        <v>Not Found</v>
      </c>
      <c r="Y1465" s="17" t="e">
        <f>_xlfn.XLOOKUP(Table2[[#This Row],[Adjusted Form '#]],'[2]REJECTED ORDERS'!$D:$D,'[2]REJECTED ORDERS'!$E:$E)</f>
        <v>#N/A</v>
      </c>
      <c r="Z1465" s="1"/>
      <c r="AA1465" s="1"/>
    </row>
    <row r="1466" spans="1:27" ht="15" customHeight="1" x14ac:dyDescent="0.35">
      <c r="A1466" s="4" t="s">
        <v>2182</v>
      </c>
      <c r="B1466" s="1" t="s">
        <v>6058</v>
      </c>
      <c r="C1466" s="11">
        <v>45138</v>
      </c>
      <c r="D1466" s="11" t="s">
        <v>6528</v>
      </c>
      <c r="E1466" s="1" t="s">
        <v>21</v>
      </c>
      <c r="F1466" s="1" t="s">
        <v>6512</v>
      </c>
      <c r="G1466" s="6">
        <f>COUNTIF(F:F,Table2[[#This Row],[Form '#]])</f>
        <v>1</v>
      </c>
      <c r="H1466" s="1" t="s">
        <v>6513</v>
      </c>
      <c r="I1466" s="1" t="s">
        <v>127</v>
      </c>
      <c r="J1466" s="1" t="s">
        <v>76</v>
      </c>
      <c r="K1466" s="1" t="s">
        <v>4011</v>
      </c>
      <c r="L1466" s="1"/>
      <c r="M1466" s="6" t="str">
        <f>IF(Table2[[#This Row],[Corrected Form '#
 (If Duplicated)]]="",Table2[[#This Row],[Form '#]],Table2[[#This Row],[Corrected Form '#
 (If Duplicated)]])</f>
        <v>7818-17334</v>
      </c>
      <c r="N1466" s="1" t="s">
        <v>49</v>
      </c>
      <c r="O1466" s="6" t="str">
        <f>IF(Table2[[#This Row],[POG CONFIRMATION RECEIPT OF ORDER
(DATE &amp; TIME)]]="","No Confirmation","Received Confirmation")</f>
        <v>Received Confirmation</v>
      </c>
      <c r="P1466" s="6">
        <f ca="1">TODAY()-Table2[[#This Row],[DATE SENT TO POG]]</f>
        <v>165</v>
      </c>
      <c r="Q1466" s="6" t="s">
        <v>5803</v>
      </c>
      <c r="R14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6" s="2" t="str">
        <f>_xlfn.XLOOKUP(Table2[[#This Row],[Adjusted Form '#]],'[2]IN PROGRESS'!$D:$D,'[2]IN PROGRESS'!$M:$M,"Not Found")</f>
        <v>Not Found</v>
      </c>
      <c r="U1466" s="2" t="str">
        <f>_xlfn.XLOOKUP(Table2[[#This Row],[Adjusted Form '#]],[1]COMPLETED!$D:$D,[2]COMPLETED!$M:$M,"Not Found")</f>
        <v>Not Found</v>
      </c>
      <c r="V1466" s="17" t="str">
        <f>_xlfn.XLOOKUP(Table2[[#This Row],[Adjusted Form '#]],[2]COMPLETED!$D:$D,[2]COMPLETED!$O:$O,"Not Found")</f>
        <v>Not Found</v>
      </c>
      <c r="W1466" s="2" t="str">
        <f>_xlfn.XLOOKUP(Table2[[#This Row],[Adjusted Form '#]],[2]BILLED!$D:$D,[2]BILLED!$M:$M,"Not Found")</f>
        <v>9402 1112 0620 9492 6901 22</v>
      </c>
      <c r="X1466" s="17" t="e">
        <f>_xlfn.XLOOKUP(Table2[[#This Row],[Adjusted Form '#]],[2]BILLED!$D:$D,[1]BILLED!$O:$O,"Not Found")</f>
        <v>#REF!</v>
      </c>
      <c r="Y1466" s="17" t="e">
        <f>_xlfn.XLOOKUP(Table2[[#This Row],[Adjusted Form '#]],'[2]REJECTED ORDERS'!$D:$D,'[2]REJECTED ORDERS'!$E:$E)</f>
        <v>#N/A</v>
      </c>
      <c r="Z1466" s="1"/>
      <c r="AA1466" s="1"/>
    </row>
    <row r="1467" spans="1:27" ht="15" customHeight="1" x14ac:dyDescent="0.35">
      <c r="A1467" s="4" t="s">
        <v>2183</v>
      </c>
      <c r="B1467" s="1" t="s">
        <v>6058</v>
      </c>
      <c r="C1467" s="11">
        <v>45138</v>
      </c>
      <c r="D1467" s="11" t="s">
        <v>6528</v>
      </c>
      <c r="E1467" s="1" t="s">
        <v>21</v>
      </c>
      <c r="F1467" s="1" t="s">
        <v>6514</v>
      </c>
      <c r="G1467" s="6">
        <f>COUNTIF(F:F,Table2[[#This Row],[Form '#]])</f>
        <v>1</v>
      </c>
      <c r="H1467" s="1" t="s">
        <v>6515</v>
      </c>
      <c r="I1467" s="1" t="s">
        <v>3864</v>
      </c>
      <c r="J1467" s="1" t="s">
        <v>78</v>
      </c>
      <c r="K1467" s="1" t="s">
        <v>3879</v>
      </c>
      <c r="L1467" s="1"/>
      <c r="M1467" s="6" t="str">
        <f>IF(Table2[[#This Row],[Corrected Form '#
 (If Duplicated)]]="",Table2[[#This Row],[Form '#]],Table2[[#This Row],[Corrected Form '#
 (If Duplicated)]])</f>
        <v>7818-29016</v>
      </c>
      <c r="N1467" s="1" t="s">
        <v>49</v>
      </c>
      <c r="O1467" s="6" t="str">
        <f>IF(Table2[[#This Row],[POG CONFIRMATION RECEIPT OF ORDER
(DATE &amp; TIME)]]="","No Confirmation","Received Confirmation")</f>
        <v>Received Confirmation</v>
      </c>
      <c r="P1467" s="6">
        <f ca="1">TODAY()-Table2[[#This Row],[DATE SENT TO POG]]</f>
        <v>165</v>
      </c>
      <c r="Q1467" s="6" t="s">
        <v>5803</v>
      </c>
      <c r="R14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7" s="2" t="str">
        <f>_xlfn.XLOOKUP(Table2[[#This Row],[Adjusted Form '#]],'[2]IN PROGRESS'!$D:$D,'[2]IN PROGRESS'!$M:$M,"Not Found")</f>
        <v>Not Found</v>
      </c>
      <c r="U1467" s="2" t="str">
        <f>_xlfn.XLOOKUP(Table2[[#This Row],[Adjusted Form '#]],[1]COMPLETED!$D:$D,[2]COMPLETED!$M:$M,"Not Found")</f>
        <v>Not Found</v>
      </c>
      <c r="V1467" s="17" t="str">
        <f>_xlfn.XLOOKUP(Table2[[#This Row],[Adjusted Form '#]],[2]COMPLETED!$D:$D,[2]COMPLETED!$O:$O,"Not Found")</f>
        <v>Not Found</v>
      </c>
      <c r="W1467" s="2" t="str">
        <f>_xlfn.XLOOKUP(Table2[[#This Row],[Adjusted Form '#]],[2]BILLED!$D:$D,[2]BILLED!$M:$M,"Not Found")</f>
        <v>9400 1361 0605 3196 2822 15</v>
      </c>
      <c r="X1467" s="17" t="e">
        <f>_xlfn.XLOOKUP(Table2[[#This Row],[Adjusted Form '#]],[2]BILLED!$D:$D,[1]BILLED!$O:$O,"Not Found")</f>
        <v>#REF!</v>
      </c>
      <c r="Y1467" s="17" t="e">
        <f>_xlfn.XLOOKUP(Table2[[#This Row],[Adjusted Form '#]],'[2]REJECTED ORDERS'!$D:$D,'[2]REJECTED ORDERS'!$E:$E)</f>
        <v>#N/A</v>
      </c>
      <c r="Z1467" s="1"/>
      <c r="AA1467" s="1"/>
    </row>
    <row r="1468" spans="1:27" ht="15" customHeight="1" x14ac:dyDescent="0.35">
      <c r="A1468" s="4" t="s">
        <v>2184</v>
      </c>
      <c r="B1468" s="1" t="s">
        <v>6058</v>
      </c>
      <c r="C1468" s="11">
        <v>45138</v>
      </c>
      <c r="D1468" s="11" t="s">
        <v>6528</v>
      </c>
      <c r="E1468" s="1" t="s">
        <v>21</v>
      </c>
      <c r="F1468" s="1" t="s">
        <v>6516</v>
      </c>
      <c r="G1468" s="6">
        <f>COUNTIF(F:F,Table2[[#This Row],[Form '#]])</f>
        <v>1</v>
      </c>
      <c r="H1468" s="1" t="s">
        <v>2350</v>
      </c>
      <c r="I1468" s="1" t="s">
        <v>28</v>
      </c>
      <c r="J1468" s="1" t="s">
        <v>69</v>
      </c>
      <c r="K1468" s="1" t="s">
        <v>4011</v>
      </c>
      <c r="L1468" s="1"/>
      <c r="M1468" s="6" t="str">
        <f>IF(Table2[[#This Row],[Corrected Form '#
 (If Duplicated)]]="",Table2[[#This Row],[Form '#]],Table2[[#This Row],[Corrected Form '#
 (If Duplicated)]])</f>
        <v>7818-19576</v>
      </c>
      <c r="N1468" s="1" t="s">
        <v>49</v>
      </c>
      <c r="O1468" s="6" t="str">
        <f>IF(Table2[[#This Row],[POG CONFIRMATION RECEIPT OF ORDER
(DATE &amp; TIME)]]="","No Confirmation","Received Confirmation")</f>
        <v>Received Confirmation</v>
      </c>
      <c r="P1468" s="6">
        <f ca="1">TODAY()-Table2[[#This Row],[DATE SENT TO POG]]</f>
        <v>165</v>
      </c>
      <c r="Q1468" s="6" t="s">
        <v>5803</v>
      </c>
      <c r="R14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8" s="2" t="str">
        <f>_xlfn.XLOOKUP(Table2[[#This Row],[Adjusted Form '#]],'[2]IN PROGRESS'!$D:$D,'[2]IN PROGRESS'!$M:$M,"Not Found")</f>
        <v>Not Found</v>
      </c>
      <c r="U1468" s="2" t="str">
        <f>_xlfn.XLOOKUP(Table2[[#This Row],[Adjusted Form '#]],[1]COMPLETED!$D:$D,[2]COMPLETED!$M:$M,"Not Found")</f>
        <v>Not Found</v>
      </c>
      <c r="V1468" s="17" t="str">
        <f>_xlfn.XLOOKUP(Table2[[#This Row],[Adjusted Form '#]],[2]COMPLETED!$D:$D,[2]COMPLETED!$O:$O,"Not Found")</f>
        <v>Not Found</v>
      </c>
      <c r="W1468" s="2" t="str">
        <f>_xlfn.XLOOKUP(Table2[[#This Row],[Adjusted Form '#]],[2]BILLED!$D:$D,[2]BILLED!$M:$M,"Not Found")</f>
        <v>9400 1361 0605 3200 3632 20</v>
      </c>
      <c r="X1468" s="17" t="e">
        <f>_xlfn.XLOOKUP(Table2[[#This Row],[Adjusted Form '#]],[2]BILLED!$D:$D,[1]BILLED!$O:$O,"Not Found")</f>
        <v>#REF!</v>
      </c>
      <c r="Y1468" s="17" t="e">
        <f>_xlfn.XLOOKUP(Table2[[#This Row],[Adjusted Form '#]],'[2]REJECTED ORDERS'!$D:$D,'[2]REJECTED ORDERS'!$E:$E)</f>
        <v>#N/A</v>
      </c>
      <c r="Z1468" s="1"/>
      <c r="AA1468" s="1"/>
    </row>
    <row r="1469" spans="1:27" ht="15" customHeight="1" x14ac:dyDescent="0.35">
      <c r="A1469" s="4" t="s">
        <v>2186</v>
      </c>
      <c r="B1469" s="1" t="s">
        <v>6058</v>
      </c>
      <c r="C1469" s="11">
        <v>45138</v>
      </c>
      <c r="D1469" s="11" t="s">
        <v>6528</v>
      </c>
      <c r="E1469" s="1" t="s">
        <v>21</v>
      </c>
      <c r="F1469" s="1" t="s">
        <v>6517</v>
      </c>
      <c r="G1469" s="6">
        <f>COUNTIF(F:F,Table2[[#This Row],[Form '#]])</f>
        <v>1</v>
      </c>
      <c r="H1469" s="1" t="s">
        <v>6518</v>
      </c>
      <c r="I1469" s="1" t="s">
        <v>3864</v>
      </c>
      <c r="J1469" s="1" t="s">
        <v>78</v>
      </c>
      <c r="K1469" s="1" t="s">
        <v>3879</v>
      </c>
      <c r="L1469" s="1"/>
      <c r="M1469" s="6" t="str">
        <f>IF(Table2[[#This Row],[Corrected Form '#
 (If Duplicated)]]="",Table2[[#This Row],[Form '#]],Table2[[#This Row],[Corrected Form '#
 (If Duplicated)]])</f>
        <v>7818-17760</v>
      </c>
      <c r="N1469" s="1" t="s">
        <v>49</v>
      </c>
      <c r="O1469" s="6" t="str">
        <f>IF(Table2[[#This Row],[POG CONFIRMATION RECEIPT OF ORDER
(DATE &amp; TIME)]]="","No Confirmation","Received Confirmation")</f>
        <v>Received Confirmation</v>
      </c>
      <c r="P1469" s="6">
        <f ca="1">TODAY()-Table2[[#This Row],[DATE SENT TO POG]]</f>
        <v>165</v>
      </c>
      <c r="Q1469" s="6" t="s">
        <v>5803</v>
      </c>
      <c r="R14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69" s="2" t="str">
        <f>_xlfn.XLOOKUP(Table2[[#This Row],[Adjusted Form '#]],'[2]IN PROGRESS'!$D:$D,'[2]IN PROGRESS'!$M:$M,"Not Found")</f>
        <v>Not Found</v>
      </c>
      <c r="U1469" s="2" t="str">
        <f>_xlfn.XLOOKUP(Table2[[#This Row],[Adjusted Form '#]],[1]COMPLETED!$D:$D,[2]COMPLETED!$M:$M,"Not Found")</f>
        <v>Not Found</v>
      </c>
      <c r="V1469" s="17" t="str">
        <f>_xlfn.XLOOKUP(Table2[[#This Row],[Adjusted Form '#]],[2]COMPLETED!$D:$D,[2]COMPLETED!$O:$O,"Not Found")</f>
        <v>Not Found</v>
      </c>
      <c r="W1469" s="2" t="str">
        <f>_xlfn.XLOOKUP(Table2[[#This Row],[Adjusted Form '#]],[2]BILLED!$D:$D,[2]BILLED!$M:$M,"Not Found")</f>
        <v>9400 1361 0605 3199 2107 89</v>
      </c>
      <c r="X1469" s="17" t="e">
        <f>_xlfn.XLOOKUP(Table2[[#This Row],[Adjusted Form '#]],[2]BILLED!$D:$D,[1]BILLED!$O:$O,"Not Found")</f>
        <v>#REF!</v>
      </c>
      <c r="Y1469" s="17" t="e">
        <f>_xlfn.XLOOKUP(Table2[[#This Row],[Adjusted Form '#]],'[2]REJECTED ORDERS'!$D:$D,'[2]REJECTED ORDERS'!$E:$E)</f>
        <v>#N/A</v>
      </c>
      <c r="Z1469" s="1"/>
      <c r="AA1469" s="1"/>
    </row>
    <row r="1470" spans="1:27" ht="15" customHeight="1" x14ac:dyDescent="0.35">
      <c r="A1470" s="4" t="s">
        <v>8229</v>
      </c>
      <c r="B1470" s="1" t="s">
        <v>6058</v>
      </c>
      <c r="C1470" s="11">
        <v>45138</v>
      </c>
      <c r="D1470" s="11" t="s">
        <v>6528</v>
      </c>
      <c r="E1470" s="1" t="s">
        <v>21</v>
      </c>
      <c r="F1470" s="1" t="s">
        <v>6519</v>
      </c>
      <c r="G1470" s="6">
        <f>COUNTIF(F:F,Table2[[#This Row],[Form '#]])</f>
        <v>1</v>
      </c>
      <c r="H1470" s="1" t="s">
        <v>6520</v>
      </c>
      <c r="I1470" s="1" t="s">
        <v>3852</v>
      </c>
      <c r="J1470" s="1" t="s">
        <v>80</v>
      </c>
      <c r="K1470" s="1" t="s">
        <v>4430</v>
      </c>
      <c r="L1470" s="1"/>
      <c r="M1470" s="6" t="str">
        <f>IF(Table2[[#This Row],[Corrected Form '#
 (If Duplicated)]]="",Table2[[#This Row],[Form '#]],Table2[[#This Row],[Corrected Form '#
 (If Duplicated)]])</f>
        <v>7818-31220</v>
      </c>
      <c r="N1470" s="1" t="s">
        <v>49</v>
      </c>
      <c r="O1470" s="6" t="str">
        <f>IF(Table2[[#This Row],[POG CONFIRMATION RECEIPT OF ORDER
(DATE &amp; TIME)]]="","No Confirmation","Received Confirmation")</f>
        <v>Received Confirmation</v>
      </c>
      <c r="P1470" s="6">
        <f ca="1">TODAY()-Table2[[#This Row],[DATE SENT TO POG]]</f>
        <v>165</v>
      </c>
      <c r="Q1470" s="6" t="s">
        <v>5803</v>
      </c>
      <c r="R14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0" s="2" t="str">
        <f>_xlfn.XLOOKUP(Table2[[#This Row],[Adjusted Form '#]],'[2]IN PROGRESS'!$D:$D,'[2]IN PROGRESS'!$M:$M,"Not Found")</f>
        <v>Not Found</v>
      </c>
      <c r="U1470" s="2" t="str">
        <f>_xlfn.XLOOKUP(Table2[[#This Row],[Adjusted Form '#]],[1]COMPLETED!$D:$D,[2]COMPLETED!$M:$M,"Not Found")</f>
        <v>Not Found</v>
      </c>
      <c r="V1470" s="17" t="str">
        <f>_xlfn.XLOOKUP(Table2[[#This Row],[Adjusted Form '#]],[2]COMPLETED!$D:$D,[2]COMPLETED!$O:$O,"Not Found")</f>
        <v>Not Found</v>
      </c>
      <c r="W1470" s="2" t="str">
        <f>_xlfn.XLOOKUP(Table2[[#This Row],[Adjusted Form '#]],[2]BILLED!$D:$D,[2]BILLED!$M:$M,"Not Found")</f>
        <v>9400 1361 0605 3199 7342 30</v>
      </c>
      <c r="X1470" s="17" t="e">
        <f>_xlfn.XLOOKUP(Table2[[#This Row],[Adjusted Form '#]],[2]BILLED!$D:$D,[1]BILLED!$O:$O,"Not Found")</f>
        <v>#REF!</v>
      </c>
      <c r="Y1470" s="17" t="e">
        <f>_xlfn.XLOOKUP(Table2[[#This Row],[Adjusted Form '#]],'[2]REJECTED ORDERS'!$D:$D,'[2]REJECTED ORDERS'!$E:$E)</f>
        <v>#N/A</v>
      </c>
      <c r="Z1470" s="1"/>
      <c r="AA1470" s="1"/>
    </row>
    <row r="1471" spans="1:27" ht="15" customHeight="1" x14ac:dyDescent="0.35">
      <c r="A1471" s="4" t="s">
        <v>8230</v>
      </c>
      <c r="B1471" s="1" t="s">
        <v>3661</v>
      </c>
      <c r="C1471" s="11">
        <v>45139</v>
      </c>
      <c r="D1471" s="11" t="s">
        <v>6529</v>
      </c>
      <c r="E1471" s="1" t="s">
        <v>14</v>
      </c>
      <c r="F1471" s="1" t="s">
        <v>6521</v>
      </c>
      <c r="G1471" s="6">
        <f>COUNTIF(F:F,Table2[[#This Row],[Form '#]])</f>
        <v>1</v>
      </c>
      <c r="H1471" s="1" t="s">
        <v>1345</v>
      </c>
      <c r="I1471" s="1" t="s">
        <v>758</v>
      </c>
      <c r="J1471" s="1" t="s">
        <v>78</v>
      </c>
      <c r="K1471" s="1" t="s">
        <v>4430</v>
      </c>
      <c r="L1471" s="1"/>
      <c r="M1471" s="6" t="str">
        <f>IF(Table2[[#This Row],[Corrected Form '#
 (If Duplicated)]]="",Table2[[#This Row],[Form '#]],Table2[[#This Row],[Corrected Form '#
 (If Duplicated)]])</f>
        <v>7810-02244</v>
      </c>
      <c r="N1471" s="1" t="s">
        <v>49</v>
      </c>
      <c r="O1471" s="6" t="str">
        <f>IF(Table2[[#This Row],[POG CONFIRMATION RECEIPT OF ORDER
(DATE &amp; TIME)]]="","No Confirmation","Received Confirmation")</f>
        <v>Received Confirmation</v>
      </c>
      <c r="P1471" s="6">
        <f ca="1">TODAY()-Table2[[#This Row],[DATE SENT TO POG]]</f>
        <v>164</v>
      </c>
      <c r="Q1471" s="6" t="s">
        <v>5803</v>
      </c>
      <c r="R14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1" s="2" t="str">
        <f>_xlfn.XLOOKUP(Table2[[#This Row],[Adjusted Form '#]],'[2]IN PROGRESS'!$D:$D,'[2]IN PROGRESS'!$M:$M,"Not Found")</f>
        <v>Not Found</v>
      </c>
      <c r="U1471" s="2" t="str">
        <f>_xlfn.XLOOKUP(Table2[[#This Row],[Adjusted Form '#]],[1]COMPLETED!$D:$D,[2]COMPLETED!$M:$M,"Not Found")</f>
        <v>Not Found</v>
      </c>
      <c r="V1471" s="17" t="str">
        <f>_xlfn.XLOOKUP(Table2[[#This Row],[Adjusted Form '#]],[2]COMPLETED!$D:$D,[2]COMPLETED!$O:$O,"Not Found")</f>
        <v>Not Found</v>
      </c>
      <c r="W1471" s="2" t="str">
        <f>_xlfn.XLOOKUP(Table2[[#This Row],[Adjusted Form '#]],[2]BILLED!$D:$D,[2]BILLED!$M:$M,"Not Found")</f>
        <v>9400 1112 0620 9461 8346 10</v>
      </c>
      <c r="X1471" s="17" t="e">
        <f>_xlfn.XLOOKUP(Table2[[#This Row],[Adjusted Form '#]],[2]BILLED!$D:$D,[1]BILLED!$O:$O,"Not Found")</f>
        <v>#REF!</v>
      </c>
      <c r="Y1471" s="17" t="e">
        <f>_xlfn.XLOOKUP(Table2[[#This Row],[Adjusted Form '#]],'[2]REJECTED ORDERS'!$D:$D,'[2]REJECTED ORDERS'!$E:$E)</f>
        <v>#N/A</v>
      </c>
      <c r="Z1471" s="1"/>
      <c r="AA1471" s="1"/>
    </row>
    <row r="1472" spans="1:27" ht="15" customHeight="1" x14ac:dyDescent="0.35">
      <c r="A1472" s="4" t="s">
        <v>8231</v>
      </c>
      <c r="B1472" s="1" t="s">
        <v>3086</v>
      </c>
      <c r="C1472" s="11">
        <v>45139</v>
      </c>
      <c r="D1472" s="11" t="s">
        <v>6529</v>
      </c>
      <c r="E1472" s="1" t="s">
        <v>21</v>
      </c>
      <c r="F1472" s="1" t="s">
        <v>6522</v>
      </c>
      <c r="G1472" s="6">
        <f>COUNTIF(F:F,Table2[[#This Row],[Form '#]])</f>
        <v>1</v>
      </c>
      <c r="H1472" s="1" t="s">
        <v>531</v>
      </c>
      <c r="I1472" s="1" t="s">
        <v>127</v>
      </c>
      <c r="J1472" s="1" t="s">
        <v>74</v>
      </c>
      <c r="K1472" s="1" t="s">
        <v>4011</v>
      </c>
      <c r="L1472" s="1"/>
      <c r="M1472" s="6" t="str">
        <f>IF(Table2[[#This Row],[Corrected Form '#
 (If Duplicated)]]="",Table2[[#This Row],[Form '#]],Table2[[#This Row],[Corrected Form '#
 (If Duplicated)]])</f>
        <v>7818-29911</v>
      </c>
      <c r="N1472" s="1" t="s">
        <v>49</v>
      </c>
      <c r="O1472" s="6" t="str">
        <f>IF(Table2[[#This Row],[POG CONFIRMATION RECEIPT OF ORDER
(DATE &amp; TIME)]]="","No Confirmation","Received Confirmation")</f>
        <v>Received Confirmation</v>
      </c>
      <c r="P1472" s="6">
        <f ca="1">TODAY()-Table2[[#This Row],[DATE SENT TO POG]]</f>
        <v>164</v>
      </c>
      <c r="Q1472" s="6" t="s">
        <v>5803</v>
      </c>
      <c r="R14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2" s="2" t="str">
        <f>_xlfn.XLOOKUP(Table2[[#This Row],[Adjusted Form '#]],'[2]IN PROGRESS'!$D:$D,'[2]IN PROGRESS'!$M:$M,"Not Found")</f>
        <v>Not Found</v>
      </c>
      <c r="U1472" s="2" t="str">
        <f>_xlfn.XLOOKUP(Table2[[#This Row],[Adjusted Form '#]],[1]COMPLETED!$D:$D,[2]COMPLETED!$M:$M,"Not Found")</f>
        <v>Not Found</v>
      </c>
      <c r="V1472" s="17" t="str">
        <f>_xlfn.XLOOKUP(Table2[[#This Row],[Adjusted Form '#]],[2]COMPLETED!$D:$D,[2]COMPLETED!$O:$O,"Not Found")</f>
        <v>Not Found</v>
      </c>
      <c r="W1472" s="2" t="str">
        <f>_xlfn.XLOOKUP(Table2[[#This Row],[Adjusted Form '#]],[2]BILLED!$D:$D,[2]BILLED!$M:$M,"Not Found")</f>
        <v>9400 1361 0605 3199 2395 75</v>
      </c>
      <c r="X1472" s="17" t="e">
        <f>_xlfn.XLOOKUP(Table2[[#This Row],[Adjusted Form '#]],[2]BILLED!$D:$D,[1]BILLED!$O:$O,"Not Found")</f>
        <v>#REF!</v>
      </c>
      <c r="Y1472" s="17" t="e">
        <f>_xlfn.XLOOKUP(Table2[[#This Row],[Adjusted Form '#]],'[2]REJECTED ORDERS'!$D:$D,'[2]REJECTED ORDERS'!$E:$E)</f>
        <v>#N/A</v>
      </c>
      <c r="Z1472" s="1"/>
      <c r="AA1472" s="1"/>
    </row>
    <row r="1473" spans="1:27" ht="15" customHeight="1" x14ac:dyDescent="0.35">
      <c r="A1473" s="4" t="s">
        <v>8232</v>
      </c>
      <c r="B1473" s="1" t="s">
        <v>630</v>
      </c>
      <c r="C1473" s="11">
        <v>45139</v>
      </c>
      <c r="D1473" s="11" t="s">
        <v>6530</v>
      </c>
      <c r="E1473" s="1" t="s">
        <v>21</v>
      </c>
      <c r="F1473" s="1" t="s">
        <v>6523</v>
      </c>
      <c r="G1473" s="6">
        <f>COUNTIF(F:F,Table2[[#This Row],[Form '#]])</f>
        <v>1</v>
      </c>
      <c r="H1473" s="1" t="s">
        <v>6524</v>
      </c>
      <c r="I1473" s="1" t="s">
        <v>3852</v>
      </c>
      <c r="J1473" s="1" t="s">
        <v>80</v>
      </c>
      <c r="K1473" s="1" t="s">
        <v>4430</v>
      </c>
      <c r="L1473" s="1"/>
      <c r="M1473" s="6" t="str">
        <f>IF(Table2[[#This Row],[Corrected Form '#
 (If Duplicated)]]="",Table2[[#This Row],[Form '#]],Table2[[#This Row],[Corrected Form '#
 (If Duplicated)]])</f>
        <v>7818-08649</v>
      </c>
      <c r="N1473" s="1" t="s">
        <v>49</v>
      </c>
      <c r="O1473" s="6" t="str">
        <f>IF(Table2[[#This Row],[POG CONFIRMATION RECEIPT OF ORDER
(DATE &amp; TIME)]]="","No Confirmation","Received Confirmation")</f>
        <v>Received Confirmation</v>
      </c>
      <c r="P1473" s="6">
        <f ca="1">TODAY()-Table2[[#This Row],[DATE SENT TO POG]]</f>
        <v>164</v>
      </c>
      <c r="Q1473" s="6" t="s">
        <v>5803</v>
      </c>
      <c r="R14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3" s="2" t="str">
        <f>_xlfn.XLOOKUP(Table2[[#This Row],[Adjusted Form '#]],'[2]IN PROGRESS'!$D:$D,'[2]IN PROGRESS'!$M:$M,"Not Found")</f>
        <v>Not Found</v>
      </c>
      <c r="U1473" s="2" t="str">
        <f>_xlfn.XLOOKUP(Table2[[#This Row],[Adjusted Form '#]],[1]COMPLETED!$D:$D,[2]COMPLETED!$M:$M,"Not Found")</f>
        <v>Not Found</v>
      </c>
      <c r="V1473" s="17" t="str">
        <f>_xlfn.XLOOKUP(Table2[[#This Row],[Adjusted Form '#]],[2]COMPLETED!$D:$D,[2]COMPLETED!$O:$O,"Not Found")</f>
        <v>Not Found</v>
      </c>
      <c r="W1473" s="2" t="str">
        <f>_xlfn.XLOOKUP(Table2[[#This Row],[Adjusted Form '#]],[2]BILLED!$D:$D,[2]BILLED!$M:$M,"Not Found")</f>
        <v>9402 1112 0620 9492 6549 95</v>
      </c>
      <c r="X1473" s="17" t="e">
        <f>_xlfn.XLOOKUP(Table2[[#This Row],[Adjusted Form '#]],[2]BILLED!$D:$D,[1]BILLED!$O:$O,"Not Found")</f>
        <v>#REF!</v>
      </c>
      <c r="Y1473" s="17" t="e">
        <f>_xlfn.XLOOKUP(Table2[[#This Row],[Adjusted Form '#]],'[2]REJECTED ORDERS'!$D:$D,'[2]REJECTED ORDERS'!$E:$E)</f>
        <v>#N/A</v>
      </c>
      <c r="Z1473" s="1"/>
      <c r="AA1473" s="1"/>
    </row>
    <row r="1474" spans="1:27" ht="15" customHeight="1" x14ac:dyDescent="0.35">
      <c r="A1474" s="4" t="s">
        <v>8233</v>
      </c>
      <c r="B1474" s="1" t="s">
        <v>211</v>
      </c>
      <c r="C1474" s="11">
        <v>45139</v>
      </c>
      <c r="D1474" s="11" t="s">
        <v>6531</v>
      </c>
      <c r="E1474" s="1" t="s">
        <v>21</v>
      </c>
      <c r="F1474" s="1" t="s">
        <v>6525</v>
      </c>
      <c r="G1474" s="6">
        <f>COUNTIF(F:F,Table2[[#This Row],[Form '#]])</f>
        <v>1</v>
      </c>
      <c r="H1474" s="1" t="s">
        <v>3078</v>
      </c>
      <c r="I1474" s="1" t="s">
        <v>758</v>
      </c>
      <c r="J1474" s="1" t="s">
        <v>78</v>
      </c>
      <c r="K1474" s="1" t="s">
        <v>3853</v>
      </c>
      <c r="L1474" s="1"/>
      <c r="M1474" s="6" t="str">
        <f>IF(Table2[[#This Row],[Corrected Form '#
 (If Duplicated)]]="",Table2[[#This Row],[Form '#]],Table2[[#This Row],[Corrected Form '#
 (If Duplicated)]])</f>
        <v>7818-10485</v>
      </c>
      <c r="N1474" s="1" t="s">
        <v>49</v>
      </c>
      <c r="O1474" s="6" t="str">
        <f>IF(Table2[[#This Row],[POG CONFIRMATION RECEIPT OF ORDER
(DATE &amp; TIME)]]="","No Confirmation","Received Confirmation")</f>
        <v>Received Confirmation</v>
      </c>
      <c r="P1474" s="6">
        <f ca="1">TODAY()-Table2[[#This Row],[DATE SENT TO POG]]</f>
        <v>164</v>
      </c>
      <c r="Q1474" s="6" t="s">
        <v>5803</v>
      </c>
      <c r="R14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4" s="2" t="str">
        <f>_xlfn.XLOOKUP(Table2[[#This Row],[Adjusted Form '#]],'[2]IN PROGRESS'!$D:$D,'[2]IN PROGRESS'!$M:$M,"Not Found")</f>
        <v>Not Found</v>
      </c>
      <c r="U1474" s="2" t="str">
        <f>_xlfn.XLOOKUP(Table2[[#This Row],[Adjusted Form '#]],[1]COMPLETED!$D:$D,[2]COMPLETED!$M:$M,"Not Found")</f>
        <v>Not Found</v>
      </c>
      <c r="V1474" s="17" t="str">
        <f>_xlfn.XLOOKUP(Table2[[#This Row],[Adjusted Form '#]],[2]COMPLETED!$D:$D,[2]COMPLETED!$O:$O,"Not Found")</f>
        <v>Not Found</v>
      </c>
      <c r="W1474" s="2" t="str">
        <f>_xlfn.XLOOKUP(Table2[[#This Row],[Adjusted Form '#]],[2]BILLED!$D:$D,[2]BILLED!$M:$M,"Not Found")</f>
        <v>9400 1112 0620 9492 6744 83</v>
      </c>
      <c r="X1474" s="17" t="e">
        <f>_xlfn.XLOOKUP(Table2[[#This Row],[Adjusted Form '#]],[2]BILLED!$D:$D,[1]BILLED!$O:$O,"Not Found")</f>
        <v>#REF!</v>
      </c>
      <c r="Y1474" s="17" t="e">
        <f>_xlfn.XLOOKUP(Table2[[#This Row],[Adjusted Form '#]],'[2]REJECTED ORDERS'!$D:$D,'[2]REJECTED ORDERS'!$E:$E)</f>
        <v>#N/A</v>
      </c>
      <c r="Z1474" s="1"/>
      <c r="AA1474" s="1"/>
    </row>
    <row r="1475" spans="1:27" ht="15" customHeight="1" x14ac:dyDescent="0.35">
      <c r="A1475" s="4" t="s">
        <v>2189</v>
      </c>
      <c r="B1475" s="1" t="s">
        <v>3124</v>
      </c>
      <c r="C1475" s="11">
        <v>45139</v>
      </c>
      <c r="D1475" s="11" t="s">
        <v>6531</v>
      </c>
      <c r="E1475" s="1" t="s">
        <v>73</v>
      </c>
      <c r="F1475" s="1" t="s">
        <v>6526</v>
      </c>
      <c r="G1475" s="6">
        <f>COUNTIF(F:F,Table2[[#This Row],[Form '#]])</f>
        <v>1</v>
      </c>
      <c r="H1475" s="1" t="s">
        <v>6527</v>
      </c>
      <c r="I1475" s="1" t="s">
        <v>177</v>
      </c>
      <c r="J1475" s="1" t="s">
        <v>75</v>
      </c>
      <c r="K1475" s="1" t="s">
        <v>3853</v>
      </c>
      <c r="L1475" s="1"/>
      <c r="M1475" s="6" t="str">
        <f>IF(Table2[[#This Row],[Corrected Form '#
 (If Duplicated)]]="",Table2[[#This Row],[Form '#]],Table2[[#This Row],[Corrected Form '#
 (If Duplicated)]])</f>
        <v>7823-03031</v>
      </c>
      <c r="N1475" s="1" t="s">
        <v>49</v>
      </c>
      <c r="O1475" s="6" t="str">
        <f>IF(Table2[[#This Row],[POG CONFIRMATION RECEIPT OF ORDER
(DATE &amp; TIME)]]="","No Confirmation","Received Confirmation")</f>
        <v>Received Confirmation</v>
      </c>
      <c r="P1475" s="6">
        <f ca="1">TODAY()-Table2[[#This Row],[DATE SENT TO POG]]</f>
        <v>164</v>
      </c>
      <c r="Q1475" s="6" t="s">
        <v>5803</v>
      </c>
      <c r="R14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5" s="2" t="str">
        <f>_xlfn.XLOOKUP(Table2[[#This Row],[Adjusted Form '#]],'[2]IN PROGRESS'!$D:$D,'[2]IN PROGRESS'!$M:$M,"Not Found")</f>
        <v>Not Found</v>
      </c>
      <c r="U1475" s="2" t="str">
        <f>_xlfn.XLOOKUP(Table2[[#This Row],[Adjusted Form '#]],[1]COMPLETED!$D:$D,[2]COMPLETED!$M:$M,"Not Found")</f>
        <v>Not Found</v>
      </c>
      <c r="V1475" s="17" t="str">
        <f>_xlfn.XLOOKUP(Table2[[#This Row],[Adjusted Form '#]],[2]COMPLETED!$D:$D,[2]COMPLETED!$O:$O,"Not Found")</f>
        <v>Not Found</v>
      </c>
      <c r="W1475" s="2" t="str">
        <f>_xlfn.XLOOKUP(Table2[[#This Row],[Adjusted Form '#]],[2]BILLED!$D:$D,[2]BILLED!$M:$M,"Not Found")</f>
        <v>9402 1112 0620 9492 6439 37</v>
      </c>
      <c r="X1475" s="17" t="e">
        <f>_xlfn.XLOOKUP(Table2[[#This Row],[Adjusted Form '#]],[2]BILLED!$D:$D,[1]BILLED!$O:$O,"Not Found")</f>
        <v>#REF!</v>
      </c>
      <c r="Y1475" s="17" t="e">
        <f>_xlfn.XLOOKUP(Table2[[#This Row],[Adjusted Form '#]],'[2]REJECTED ORDERS'!$D:$D,'[2]REJECTED ORDERS'!$E:$E)</f>
        <v>#N/A</v>
      </c>
      <c r="Z1475" s="1"/>
      <c r="AA1475" s="1"/>
    </row>
    <row r="1476" spans="1:27" ht="15" customHeight="1" x14ac:dyDescent="0.35">
      <c r="A1476" s="4" t="s">
        <v>2190</v>
      </c>
      <c r="B1476" s="1" t="s">
        <v>970</v>
      </c>
      <c r="C1476" s="11">
        <v>45139</v>
      </c>
      <c r="D1476" s="11" t="s">
        <v>6534</v>
      </c>
      <c r="E1476" s="1" t="s">
        <v>73</v>
      </c>
      <c r="F1476" s="1" t="s">
        <v>6532</v>
      </c>
      <c r="G1476" s="6">
        <f>COUNTIF(F:F,Table2[[#This Row],[Form '#]])</f>
        <v>1</v>
      </c>
      <c r="H1476" s="1" t="s">
        <v>6533</v>
      </c>
      <c r="I1476" s="1" t="s">
        <v>3852</v>
      </c>
      <c r="J1476" s="1" t="s">
        <v>80</v>
      </c>
      <c r="K1476" s="1" t="s">
        <v>3853</v>
      </c>
      <c r="L1476" s="1"/>
      <c r="M1476" s="6" t="str">
        <f>IF(Table2[[#This Row],[Corrected Form '#
 (If Duplicated)]]="",Table2[[#This Row],[Form '#]],Table2[[#This Row],[Corrected Form '#
 (If Duplicated)]])</f>
        <v>7823-01537</v>
      </c>
      <c r="N1476" s="1" t="s">
        <v>49</v>
      </c>
      <c r="O1476" s="6" t="str">
        <f>IF(Table2[[#This Row],[POG CONFIRMATION RECEIPT OF ORDER
(DATE &amp; TIME)]]="","No Confirmation","Received Confirmation")</f>
        <v>Received Confirmation</v>
      </c>
      <c r="P1476" s="6">
        <f ca="1">TODAY()-Table2[[#This Row],[DATE SENT TO POG]]</f>
        <v>164</v>
      </c>
      <c r="Q1476" s="6" t="s">
        <v>5803</v>
      </c>
      <c r="R14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6" s="2" t="str">
        <f>_xlfn.XLOOKUP(Table2[[#This Row],[Adjusted Form '#]],'[2]IN PROGRESS'!$D:$D,'[2]IN PROGRESS'!$M:$M,"Not Found")</f>
        <v>Not Found</v>
      </c>
      <c r="U1476" s="2" t="str">
        <f>_xlfn.XLOOKUP(Table2[[#This Row],[Adjusted Form '#]],[1]COMPLETED!$D:$D,[2]COMPLETED!$M:$M,"Not Found")</f>
        <v>Not Found</v>
      </c>
      <c r="V1476" s="17" t="str">
        <f>_xlfn.XLOOKUP(Table2[[#This Row],[Adjusted Form '#]],[2]COMPLETED!$D:$D,[2]COMPLETED!$O:$O,"Not Found")</f>
        <v>Not Found</v>
      </c>
      <c r="W1476" s="2" t="str">
        <f>_xlfn.XLOOKUP(Table2[[#This Row],[Adjusted Form '#]],[2]BILLED!$D:$D,[2]BILLED!$M:$M,"Not Found")</f>
        <v>9400 1361 0605 3199 7704 36</v>
      </c>
      <c r="X1476" s="17" t="e">
        <f>_xlfn.XLOOKUP(Table2[[#This Row],[Adjusted Form '#]],[2]BILLED!$D:$D,[1]BILLED!$O:$O,"Not Found")</f>
        <v>#REF!</v>
      </c>
      <c r="Y1476" s="17" t="e">
        <f>_xlfn.XLOOKUP(Table2[[#This Row],[Adjusted Form '#]],'[2]REJECTED ORDERS'!$D:$D,'[2]REJECTED ORDERS'!$E:$E)</f>
        <v>#N/A</v>
      </c>
      <c r="Z1476" s="1"/>
      <c r="AA1476" s="1"/>
    </row>
    <row r="1477" spans="1:27" ht="15" customHeight="1" x14ac:dyDescent="0.35">
      <c r="A1477" s="4" t="s">
        <v>2192</v>
      </c>
      <c r="B1477" s="1" t="s">
        <v>6535</v>
      </c>
      <c r="C1477" s="11">
        <v>45140</v>
      </c>
      <c r="D1477" s="11" t="s">
        <v>6545</v>
      </c>
      <c r="E1477" s="1" t="s">
        <v>14</v>
      </c>
      <c r="F1477" s="1" t="s">
        <v>6536</v>
      </c>
      <c r="G1477" s="6">
        <f>COUNTIF(F:F,Table2[[#This Row],[Form '#]])</f>
        <v>1</v>
      </c>
      <c r="H1477" s="1" t="s">
        <v>3642</v>
      </c>
      <c r="I1477" s="1" t="s">
        <v>177</v>
      </c>
      <c r="J1477" s="1" t="s">
        <v>75</v>
      </c>
      <c r="K1477" s="1" t="s">
        <v>3853</v>
      </c>
      <c r="L1477" s="1"/>
      <c r="M1477" s="6" t="str">
        <f>IF(Table2[[#This Row],[Corrected Form '#
 (If Duplicated)]]="",Table2[[#This Row],[Form '#]],Table2[[#This Row],[Corrected Form '#
 (If Duplicated)]])</f>
        <v>7810-01924</v>
      </c>
      <c r="N1477" s="1" t="s">
        <v>49</v>
      </c>
      <c r="O1477" s="6" t="str">
        <f>IF(Table2[[#This Row],[POG CONFIRMATION RECEIPT OF ORDER
(DATE &amp; TIME)]]="","No Confirmation","Received Confirmation")</f>
        <v>Received Confirmation</v>
      </c>
      <c r="P1477" s="6">
        <f ca="1">TODAY()-Table2[[#This Row],[DATE SENT TO POG]]</f>
        <v>163</v>
      </c>
      <c r="Q1477" s="6" t="s">
        <v>5803</v>
      </c>
      <c r="R14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7" s="2" t="str">
        <f>_xlfn.XLOOKUP(Table2[[#This Row],[Adjusted Form '#]],'[2]IN PROGRESS'!$D:$D,'[2]IN PROGRESS'!$M:$M,"Not Found")</f>
        <v>Not Found</v>
      </c>
      <c r="U1477" s="2" t="str">
        <f>_xlfn.XLOOKUP(Table2[[#This Row],[Adjusted Form '#]],[1]COMPLETED!$D:$D,[2]COMPLETED!$M:$M,"Not Found")</f>
        <v>Not Found</v>
      </c>
      <c r="V1477" s="17" t="str">
        <f>_xlfn.XLOOKUP(Table2[[#This Row],[Adjusted Form '#]],[2]COMPLETED!$D:$D,[2]COMPLETED!$O:$O,"Not Found")</f>
        <v>Not Found</v>
      </c>
      <c r="W1477" s="2" t="str">
        <f>_xlfn.XLOOKUP(Table2[[#This Row],[Adjusted Form '#]],[2]BILLED!$D:$D,[2]BILLED!$M:$M,"Not Found")</f>
        <v>9402 1112 0620 9492 6374 00</v>
      </c>
      <c r="X1477" s="17" t="e">
        <f>_xlfn.XLOOKUP(Table2[[#This Row],[Adjusted Form '#]],[2]BILLED!$D:$D,[1]BILLED!$O:$O,"Not Found")</f>
        <v>#REF!</v>
      </c>
      <c r="Y1477" s="17" t="e">
        <f>_xlfn.XLOOKUP(Table2[[#This Row],[Adjusted Form '#]],'[2]REJECTED ORDERS'!$D:$D,'[2]REJECTED ORDERS'!$E:$E)</f>
        <v>#N/A</v>
      </c>
      <c r="Z1477" s="1"/>
      <c r="AA1477" s="1"/>
    </row>
    <row r="1478" spans="1:27" ht="15" customHeight="1" x14ac:dyDescent="0.35">
      <c r="A1478" s="4" t="s">
        <v>2193</v>
      </c>
      <c r="B1478" s="1" t="s">
        <v>3419</v>
      </c>
      <c r="C1478" s="11">
        <v>45140</v>
      </c>
      <c r="D1478" s="11" t="s">
        <v>6546</v>
      </c>
      <c r="E1478" s="1" t="s">
        <v>191</v>
      </c>
      <c r="F1478" s="1" t="s">
        <v>6537</v>
      </c>
      <c r="G1478" s="6">
        <f>COUNTIF(F:F,Table2[[#This Row],[Form '#]])</f>
        <v>1</v>
      </c>
      <c r="H1478" s="1" t="s">
        <v>3788</v>
      </c>
      <c r="I1478" s="1" t="s">
        <v>758</v>
      </c>
      <c r="J1478" s="1" t="s">
        <v>78</v>
      </c>
      <c r="K1478" s="1" t="s">
        <v>3853</v>
      </c>
      <c r="L1478" s="1"/>
      <c r="M1478" s="6" t="str">
        <f>IF(Table2[[#This Row],[Corrected Form '#
 (If Duplicated)]]="",Table2[[#This Row],[Form '#]],Table2[[#This Row],[Corrected Form '#
 (If Duplicated)]])</f>
        <v>7812-03133</v>
      </c>
      <c r="N1478" s="1" t="s">
        <v>49</v>
      </c>
      <c r="O1478" s="6" t="str">
        <f>IF(Table2[[#This Row],[POG CONFIRMATION RECEIPT OF ORDER
(DATE &amp; TIME)]]="","No Confirmation","Received Confirmation")</f>
        <v>Received Confirmation</v>
      </c>
      <c r="P1478" s="6">
        <f ca="1">TODAY()-Table2[[#This Row],[DATE SENT TO POG]]</f>
        <v>163</v>
      </c>
      <c r="Q1478" s="6" t="s">
        <v>5803</v>
      </c>
      <c r="R14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8" s="2" t="str">
        <f>_xlfn.XLOOKUP(Table2[[#This Row],[Adjusted Form '#]],'[2]IN PROGRESS'!$D:$D,'[2]IN PROGRESS'!$M:$M,"Not Found")</f>
        <v>Not Found</v>
      </c>
      <c r="U1478" s="2" t="str">
        <f>_xlfn.XLOOKUP(Table2[[#This Row],[Adjusted Form '#]],[1]COMPLETED!$D:$D,[2]COMPLETED!$M:$M,"Not Found")</f>
        <v>Not Found</v>
      </c>
      <c r="V1478" s="17" t="str">
        <f>_xlfn.XLOOKUP(Table2[[#This Row],[Adjusted Form '#]],[2]COMPLETED!$D:$D,[2]COMPLETED!$O:$O,"Not Found")</f>
        <v>Not Found</v>
      </c>
      <c r="W1478" s="2" t="str">
        <f>_xlfn.XLOOKUP(Table2[[#This Row],[Adjusted Form '#]],[2]BILLED!$D:$D,[2]BILLED!$M:$M,"Not Found")</f>
        <v>9402 1112 0620 9492 4795 50</v>
      </c>
      <c r="X1478" s="17" t="e">
        <f>_xlfn.XLOOKUP(Table2[[#This Row],[Adjusted Form '#]],[2]BILLED!$D:$D,[1]BILLED!$O:$O,"Not Found")</f>
        <v>#REF!</v>
      </c>
      <c r="Y1478" s="17" t="e">
        <f>_xlfn.XLOOKUP(Table2[[#This Row],[Adjusted Form '#]],'[2]REJECTED ORDERS'!$D:$D,'[2]REJECTED ORDERS'!$E:$E)</f>
        <v>#N/A</v>
      </c>
      <c r="Z1478" s="1"/>
      <c r="AA1478" s="1"/>
    </row>
    <row r="1479" spans="1:27" ht="15" customHeight="1" x14ac:dyDescent="0.35">
      <c r="A1479" s="4" t="s">
        <v>2195</v>
      </c>
      <c r="B1479" s="1" t="s">
        <v>3674</v>
      </c>
      <c r="C1479" s="11">
        <v>45140</v>
      </c>
      <c r="D1479" s="11" t="s">
        <v>6547</v>
      </c>
      <c r="E1479" s="1" t="s">
        <v>14</v>
      </c>
      <c r="F1479" s="1" t="s">
        <v>6538</v>
      </c>
      <c r="G1479" s="6">
        <f>COUNTIF(F:F,Table2[[#This Row],[Form '#]])</f>
        <v>1</v>
      </c>
      <c r="H1479" s="1" t="s">
        <v>6539</v>
      </c>
      <c r="I1479" s="1" t="s">
        <v>3852</v>
      </c>
      <c r="J1479" s="1" t="s">
        <v>80</v>
      </c>
      <c r="K1479" s="1" t="s">
        <v>3853</v>
      </c>
      <c r="L1479" s="1"/>
      <c r="M1479" s="6" t="str">
        <f>IF(Table2[[#This Row],[Corrected Form '#
 (If Duplicated)]]="",Table2[[#This Row],[Form '#]],Table2[[#This Row],[Corrected Form '#
 (If Duplicated)]])</f>
        <v>7810-01629</v>
      </c>
      <c r="N1479" s="1" t="s">
        <v>49</v>
      </c>
      <c r="O1479" s="6" t="str">
        <f>IF(Table2[[#This Row],[POG CONFIRMATION RECEIPT OF ORDER
(DATE &amp; TIME)]]="","No Confirmation","Received Confirmation")</f>
        <v>Received Confirmation</v>
      </c>
      <c r="P1479" s="6">
        <f ca="1">TODAY()-Table2[[#This Row],[DATE SENT TO POG]]</f>
        <v>163</v>
      </c>
      <c r="Q1479" s="6" t="s">
        <v>5803</v>
      </c>
      <c r="R14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79" s="2" t="str">
        <f>_xlfn.XLOOKUP(Table2[[#This Row],[Adjusted Form '#]],'[2]IN PROGRESS'!$D:$D,'[2]IN PROGRESS'!$M:$M,"Not Found")</f>
        <v>Not Found</v>
      </c>
      <c r="U1479" s="2" t="str">
        <f>_xlfn.XLOOKUP(Table2[[#This Row],[Adjusted Form '#]],[1]COMPLETED!$D:$D,[2]COMPLETED!$M:$M,"Not Found")</f>
        <v>Not Found</v>
      </c>
      <c r="V1479" s="17" t="str">
        <f>_xlfn.XLOOKUP(Table2[[#This Row],[Adjusted Form '#]],[2]COMPLETED!$D:$D,[2]COMPLETED!$O:$O,"Not Found")</f>
        <v>Not Found</v>
      </c>
      <c r="W1479" s="2" t="str">
        <f>_xlfn.XLOOKUP(Table2[[#This Row],[Adjusted Form '#]],[2]BILLED!$D:$D,[2]BILLED!$M:$M,"Not Found")</f>
        <v>9400 1361 0605 3199 7497 77</v>
      </c>
      <c r="X1479" s="17" t="e">
        <f>_xlfn.XLOOKUP(Table2[[#This Row],[Adjusted Form '#]],[2]BILLED!$D:$D,[1]BILLED!$O:$O,"Not Found")</f>
        <v>#REF!</v>
      </c>
      <c r="Y1479" s="17" t="e">
        <f>_xlfn.XLOOKUP(Table2[[#This Row],[Adjusted Form '#]],'[2]REJECTED ORDERS'!$D:$D,'[2]REJECTED ORDERS'!$E:$E)</f>
        <v>#N/A</v>
      </c>
      <c r="Z1479" s="1"/>
      <c r="AA1479" s="1"/>
    </row>
    <row r="1480" spans="1:27" ht="15" customHeight="1" x14ac:dyDescent="0.35">
      <c r="A1480" s="4" t="s">
        <v>2196</v>
      </c>
      <c r="B1480" s="1" t="s">
        <v>3674</v>
      </c>
      <c r="C1480" s="11">
        <v>45140</v>
      </c>
      <c r="D1480" s="11" t="s">
        <v>6547</v>
      </c>
      <c r="E1480" s="1" t="s">
        <v>14</v>
      </c>
      <c r="F1480" s="1" t="s">
        <v>6540</v>
      </c>
      <c r="G1480" s="6">
        <f>COUNTIF(F:F,Table2[[#This Row],[Form '#]])</f>
        <v>1</v>
      </c>
      <c r="H1480" s="1" t="s">
        <v>6541</v>
      </c>
      <c r="I1480" s="1" t="s">
        <v>3852</v>
      </c>
      <c r="J1480" s="1" t="s">
        <v>80</v>
      </c>
      <c r="K1480" s="1" t="s">
        <v>3853</v>
      </c>
      <c r="L1480" s="1"/>
      <c r="M1480" s="6" t="str">
        <f>IF(Table2[[#This Row],[Corrected Form '#
 (If Duplicated)]]="",Table2[[#This Row],[Form '#]],Table2[[#This Row],[Corrected Form '#
 (If Duplicated)]])</f>
        <v>7810-01630</v>
      </c>
      <c r="N1480" s="1" t="s">
        <v>49</v>
      </c>
      <c r="O1480" s="6" t="str">
        <f>IF(Table2[[#This Row],[POG CONFIRMATION RECEIPT OF ORDER
(DATE &amp; TIME)]]="","No Confirmation","Received Confirmation")</f>
        <v>Received Confirmation</v>
      </c>
      <c r="P1480" s="6">
        <f ca="1">TODAY()-Table2[[#This Row],[DATE SENT TO POG]]</f>
        <v>163</v>
      </c>
      <c r="Q1480" s="6" t="s">
        <v>5803</v>
      </c>
      <c r="R14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0" s="2" t="str">
        <f>_xlfn.XLOOKUP(Table2[[#This Row],[Adjusted Form '#]],'[2]IN PROGRESS'!$D:$D,'[2]IN PROGRESS'!$M:$M,"Not Found")</f>
        <v>Not Found</v>
      </c>
      <c r="U1480" s="2" t="str">
        <f>_xlfn.XLOOKUP(Table2[[#This Row],[Adjusted Form '#]],[1]COMPLETED!$D:$D,[2]COMPLETED!$M:$M,"Not Found")</f>
        <v>Not Found</v>
      </c>
      <c r="V1480" s="17" t="str">
        <f>_xlfn.XLOOKUP(Table2[[#This Row],[Adjusted Form '#]],[2]COMPLETED!$D:$D,[2]COMPLETED!$O:$O,"Not Found")</f>
        <v>Not Found</v>
      </c>
      <c r="W1480" s="2" t="str">
        <f>_xlfn.XLOOKUP(Table2[[#This Row],[Adjusted Form '#]],[2]BILLED!$D:$D,[2]BILLED!$M:$M,"Not Found")</f>
        <v>9400 1361 0605 3222 4481 03</v>
      </c>
      <c r="X1480" s="17" t="e">
        <f>_xlfn.XLOOKUP(Table2[[#This Row],[Adjusted Form '#]],[2]BILLED!$D:$D,[1]BILLED!$O:$O,"Not Found")</f>
        <v>#REF!</v>
      </c>
      <c r="Y1480" s="17" t="e">
        <f>_xlfn.XLOOKUP(Table2[[#This Row],[Adjusted Form '#]],'[2]REJECTED ORDERS'!$D:$D,'[2]REJECTED ORDERS'!$E:$E)</f>
        <v>#N/A</v>
      </c>
      <c r="Z1480" s="1"/>
      <c r="AA1480" s="1"/>
    </row>
    <row r="1481" spans="1:27" ht="15" customHeight="1" x14ac:dyDescent="0.35">
      <c r="A1481" s="4" t="s">
        <v>2197</v>
      </c>
      <c r="B1481" s="1" t="s">
        <v>2941</v>
      </c>
      <c r="C1481" s="11">
        <v>45140</v>
      </c>
      <c r="D1481" s="11" t="s">
        <v>6548</v>
      </c>
      <c r="E1481" s="1" t="s">
        <v>21</v>
      </c>
      <c r="F1481" s="1" t="s">
        <v>6542</v>
      </c>
      <c r="G1481" s="6">
        <f>COUNTIF(F:F,Table2[[#This Row],[Form '#]])</f>
        <v>1</v>
      </c>
      <c r="H1481" s="1" t="s">
        <v>1042</v>
      </c>
      <c r="I1481" s="1" t="s">
        <v>127</v>
      </c>
      <c r="J1481" s="1" t="s">
        <v>74</v>
      </c>
      <c r="K1481" s="1" t="s">
        <v>3891</v>
      </c>
      <c r="L1481" s="1"/>
      <c r="M1481" s="6" t="str">
        <f>IF(Table2[[#This Row],[Corrected Form '#
 (If Duplicated)]]="",Table2[[#This Row],[Form '#]],Table2[[#This Row],[Corrected Form '#
 (If Duplicated)]])</f>
        <v>7818-29484</v>
      </c>
      <c r="N1481" s="1" t="s">
        <v>49</v>
      </c>
      <c r="O1481" s="6" t="str">
        <f>IF(Table2[[#This Row],[POG CONFIRMATION RECEIPT OF ORDER
(DATE &amp; TIME)]]="","No Confirmation","Received Confirmation")</f>
        <v>Received Confirmation</v>
      </c>
      <c r="P1481" s="6">
        <f ca="1">TODAY()-Table2[[#This Row],[DATE SENT TO POG]]</f>
        <v>163</v>
      </c>
      <c r="Q1481" s="6" t="s">
        <v>5803</v>
      </c>
      <c r="R14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1" s="2" t="str">
        <f>_xlfn.XLOOKUP(Table2[[#This Row],[Adjusted Form '#]],'[2]IN PROGRESS'!$D:$D,'[2]IN PROGRESS'!$M:$M,"Not Found")</f>
        <v>Not Found</v>
      </c>
      <c r="U1481" s="2" t="str">
        <f>_xlfn.XLOOKUP(Table2[[#This Row],[Adjusted Form '#]],[1]COMPLETED!$D:$D,[2]COMPLETED!$M:$M,"Not Found")</f>
        <v>Not Found</v>
      </c>
      <c r="V1481" s="17" t="str">
        <f>_xlfn.XLOOKUP(Table2[[#This Row],[Adjusted Form '#]],[2]COMPLETED!$D:$D,[2]COMPLETED!$O:$O,"Not Found")</f>
        <v>Not Found</v>
      </c>
      <c r="W1481" s="2" t="str">
        <f>_xlfn.XLOOKUP(Table2[[#This Row],[Adjusted Form '#]],[2]BILLED!$D:$D,[2]BILLED!$M:$M,"Not Found")</f>
        <v>9400 1361 0605 3200 3523 09</v>
      </c>
      <c r="X1481" s="17" t="e">
        <f>_xlfn.XLOOKUP(Table2[[#This Row],[Adjusted Form '#]],[2]BILLED!$D:$D,[1]BILLED!$O:$O,"Not Found")</f>
        <v>#REF!</v>
      </c>
      <c r="Y1481" s="17" t="e">
        <f>_xlfn.XLOOKUP(Table2[[#This Row],[Adjusted Form '#]],'[2]REJECTED ORDERS'!$D:$D,'[2]REJECTED ORDERS'!$E:$E)</f>
        <v>#N/A</v>
      </c>
      <c r="Z1481" s="1"/>
      <c r="AA1481" s="1"/>
    </row>
    <row r="1482" spans="1:27" ht="15" customHeight="1" x14ac:dyDescent="0.35">
      <c r="A1482" s="4" t="s">
        <v>2199</v>
      </c>
      <c r="B1482" s="1" t="s">
        <v>2941</v>
      </c>
      <c r="C1482" s="11">
        <v>45140</v>
      </c>
      <c r="D1482" s="11" t="s">
        <v>6548</v>
      </c>
      <c r="E1482" s="1" t="s">
        <v>21</v>
      </c>
      <c r="F1482" s="1" t="s">
        <v>6543</v>
      </c>
      <c r="G1482" s="6">
        <f>COUNTIF(F:F,Table2[[#This Row],[Form '#]])</f>
        <v>1</v>
      </c>
      <c r="H1482" s="1" t="s">
        <v>3548</v>
      </c>
      <c r="I1482" s="1" t="s">
        <v>127</v>
      </c>
      <c r="J1482" s="1" t="s">
        <v>76</v>
      </c>
      <c r="K1482" s="1" t="s">
        <v>3883</v>
      </c>
      <c r="L1482" s="1"/>
      <c r="M1482" s="6" t="str">
        <f>IF(Table2[[#This Row],[Corrected Form '#
 (If Duplicated)]]="",Table2[[#This Row],[Form '#]],Table2[[#This Row],[Corrected Form '#
 (If Duplicated)]])</f>
        <v>7818-29434</v>
      </c>
      <c r="N1482" s="1" t="s">
        <v>49</v>
      </c>
      <c r="O1482" s="6" t="str">
        <f>IF(Table2[[#This Row],[POG CONFIRMATION RECEIPT OF ORDER
(DATE &amp; TIME)]]="","No Confirmation","Received Confirmation")</f>
        <v>Received Confirmation</v>
      </c>
      <c r="P1482" s="6">
        <f ca="1">TODAY()-Table2[[#This Row],[DATE SENT TO POG]]</f>
        <v>163</v>
      </c>
      <c r="Q1482" s="6" t="s">
        <v>5803</v>
      </c>
      <c r="R14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2" s="2" t="str">
        <f>_xlfn.XLOOKUP(Table2[[#This Row],[Adjusted Form '#]],'[2]IN PROGRESS'!$D:$D,'[2]IN PROGRESS'!$M:$M,"Not Found")</f>
        <v>Not Found</v>
      </c>
      <c r="U1482" s="2" t="str">
        <f>_xlfn.XLOOKUP(Table2[[#This Row],[Adjusted Form '#]],[1]COMPLETED!$D:$D,[2]COMPLETED!$M:$M,"Not Found")</f>
        <v>Not Found</v>
      </c>
      <c r="V1482" s="17" t="str">
        <f>_xlfn.XLOOKUP(Table2[[#This Row],[Adjusted Form '#]],[2]COMPLETED!$D:$D,[2]COMPLETED!$O:$O,"Not Found")</f>
        <v>Not Found</v>
      </c>
      <c r="W1482" s="2" t="str">
        <f>_xlfn.XLOOKUP(Table2[[#This Row],[Adjusted Form '#]],[2]BILLED!$D:$D,[2]BILLED!$M:$M,"Not Found")</f>
        <v>9400 1361 0605 3194 9167 78</v>
      </c>
      <c r="X1482" s="17" t="e">
        <f>_xlfn.XLOOKUP(Table2[[#This Row],[Adjusted Form '#]],[2]BILLED!$D:$D,[1]BILLED!$O:$O,"Not Found")</f>
        <v>#REF!</v>
      </c>
      <c r="Y1482" s="17" t="e">
        <f>_xlfn.XLOOKUP(Table2[[#This Row],[Adjusted Form '#]],'[2]REJECTED ORDERS'!$D:$D,'[2]REJECTED ORDERS'!$E:$E)</f>
        <v>#N/A</v>
      </c>
      <c r="Z1482" s="1"/>
      <c r="AA1482" s="1"/>
    </row>
    <row r="1483" spans="1:27" ht="15" customHeight="1" x14ac:dyDescent="0.35">
      <c r="A1483" s="4" t="s">
        <v>2200</v>
      </c>
      <c r="B1483" s="1" t="s">
        <v>2941</v>
      </c>
      <c r="C1483" s="11">
        <v>45140</v>
      </c>
      <c r="D1483" s="11" t="s">
        <v>6548</v>
      </c>
      <c r="E1483" s="1" t="s">
        <v>21</v>
      </c>
      <c r="F1483" s="1" t="s">
        <v>6544</v>
      </c>
      <c r="G1483" s="6">
        <f>COUNTIF(F:F,Table2[[#This Row],[Form '#]])</f>
        <v>1</v>
      </c>
      <c r="H1483" s="1" t="s">
        <v>2612</v>
      </c>
      <c r="I1483" s="1" t="s">
        <v>127</v>
      </c>
      <c r="J1483" s="1" t="s">
        <v>74</v>
      </c>
      <c r="K1483" s="1" t="s">
        <v>4011</v>
      </c>
      <c r="L1483" s="1"/>
      <c r="M1483" s="6" t="str">
        <f>IF(Table2[[#This Row],[Corrected Form '#
 (If Duplicated)]]="",Table2[[#This Row],[Form '#]],Table2[[#This Row],[Corrected Form '#
 (If Duplicated)]])</f>
        <v>7818-18826</v>
      </c>
      <c r="N1483" s="1" t="s">
        <v>49</v>
      </c>
      <c r="O1483" s="6" t="str">
        <f>IF(Table2[[#This Row],[POG CONFIRMATION RECEIPT OF ORDER
(DATE &amp; TIME)]]="","No Confirmation","Received Confirmation")</f>
        <v>Received Confirmation</v>
      </c>
      <c r="P1483" s="6">
        <f ca="1">TODAY()-Table2[[#This Row],[DATE SENT TO POG]]</f>
        <v>163</v>
      </c>
      <c r="Q1483" s="6" t="s">
        <v>5803</v>
      </c>
      <c r="R14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3" s="2" t="str">
        <f>_xlfn.XLOOKUP(Table2[[#This Row],[Adjusted Form '#]],'[2]IN PROGRESS'!$D:$D,'[2]IN PROGRESS'!$M:$M,"Not Found")</f>
        <v>Not Found</v>
      </c>
      <c r="U1483" s="2" t="str">
        <f>_xlfn.XLOOKUP(Table2[[#This Row],[Adjusted Form '#]],[1]COMPLETED!$D:$D,[2]COMPLETED!$M:$M,"Not Found")</f>
        <v>Not Found</v>
      </c>
      <c r="V1483" s="17" t="str">
        <f>_xlfn.XLOOKUP(Table2[[#This Row],[Adjusted Form '#]],[2]COMPLETED!$D:$D,[2]COMPLETED!$O:$O,"Not Found")</f>
        <v>Not Found</v>
      </c>
      <c r="W1483" s="2" t="str">
        <f>_xlfn.XLOOKUP(Table2[[#This Row],[Adjusted Form '#]],[2]BILLED!$D:$D,[2]BILLED!$M:$M,"Not Found")</f>
        <v>9400 1361 0605 3199 2214 19</v>
      </c>
      <c r="X1483" s="17" t="e">
        <f>_xlfn.XLOOKUP(Table2[[#This Row],[Adjusted Form '#]],[2]BILLED!$D:$D,[1]BILLED!$O:$O,"Not Found")</f>
        <v>#REF!</v>
      </c>
      <c r="Y1483" s="17" t="e">
        <f>_xlfn.XLOOKUP(Table2[[#This Row],[Adjusted Form '#]],'[2]REJECTED ORDERS'!$D:$D,'[2]REJECTED ORDERS'!$E:$E)</f>
        <v>#N/A</v>
      </c>
      <c r="Z1483" s="1"/>
      <c r="AA1483" s="1"/>
    </row>
    <row r="1484" spans="1:27" ht="15" customHeight="1" x14ac:dyDescent="0.35">
      <c r="A1484" s="4" t="s">
        <v>2201</v>
      </c>
      <c r="B1484" s="1" t="s">
        <v>443</v>
      </c>
      <c r="C1484" s="11">
        <v>45140</v>
      </c>
      <c r="D1484" s="11" t="s">
        <v>6550</v>
      </c>
      <c r="E1484" s="1" t="s">
        <v>21</v>
      </c>
      <c r="F1484" s="1" t="s">
        <v>6549</v>
      </c>
      <c r="G1484" s="6">
        <f>COUNTIF(F:F,Table2[[#This Row],[Form '#]])</f>
        <v>1</v>
      </c>
      <c r="H1484" s="1" t="s">
        <v>3534</v>
      </c>
      <c r="I1484" s="1" t="s">
        <v>4330</v>
      </c>
      <c r="J1484" s="1" t="s">
        <v>80</v>
      </c>
      <c r="K1484" s="1" t="s">
        <v>3853</v>
      </c>
      <c r="L1484" s="1"/>
      <c r="M1484" s="6" t="str">
        <f>IF(Table2[[#This Row],[Corrected Form '#
 (If Duplicated)]]="",Table2[[#This Row],[Form '#]],Table2[[#This Row],[Corrected Form '#
 (If Duplicated)]])</f>
        <v>7818-29013</v>
      </c>
      <c r="N1484" s="1" t="s">
        <v>49</v>
      </c>
      <c r="O1484" s="6" t="str">
        <f>IF(Table2[[#This Row],[POG CONFIRMATION RECEIPT OF ORDER
(DATE &amp; TIME)]]="","No Confirmation","Received Confirmation")</f>
        <v>Received Confirmation</v>
      </c>
      <c r="P1484" s="6">
        <f ca="1">TODAY()-Table2[[#This Row],[DATE SENT TO POG]]</f>
        <v>163</v>
      </c>
      <c r="Q1484" s="6" t="s">
        <v>5803</v>
      </c>
      <c r="R14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4" s="2" t="str">
        <f>_xlfn.XLOOKUP(Table2[[#This Row],[Adjusted Form '#]],'[2]IN PROGRESS'!$D:$D,'[2]IN PROGRESS'!$M:$M,"Not Found")</f>
        <v>Not Found</v>
      </c>
      <c r="U1484" s="2" t="str">
        <f>_xlfn.XLOOKUP(Table2[[#This Row],[Adjusted Form '#]],[1]COMPLETED!$D:$D,[2]COMPLETED!$M:$M,"Not Found")</f>
        <v>Not Found</v>
      </c>
      <c r="V1484" s="17" t="str">
        <f>_xlfn.XLOOKUP(Table2[[#This Row],[Adjusted Form '#]],[2]COMPLETED!$D:$D,[2]COMPLETED!$O:$O,"Not Found")</f>
        <v>Not Found</v>
      </c>
      <c r="W1484" s="2" t="str">
        <f>_xlfn.XLOOKUP(Table2[[#This Row],[Adjusted Form '#]],[2]BILLED!$D:$D,[2]BILLED!$M:$M,"Not Found")</f>
        <v>9400 1361 0605 3199 7926 12</v>
      </c>
      <c r="X1484" s="17" t="e">
        <f>_xlfn.XLOOKUP(Table2[[#This Row],[Adjusted Form '#]],[2]BILLED!$D:$D,[1]BILLED!$O:$O,"Not Found")</f>
        <v>#REF!</v>
      </c>
      <c r="Y1484" s="17" t="e">
        <f>_xlfn.XLOOKUP(Table2[[#This Row],[Adjusted Form '#]],'[2]REJECTED ORDERS'!$D:$D,'[2]REJECTED ORDERS'!$E:$E)</f>
        <v>#N/A</v>
      </c>
      <c r="Z1484" s="1"/>
      <c r="AA1484" s="1"/>
    </row>
    <row r="1485" spans="1:27" ht="15" customHeight="1" x14ac:dyDescent="0.35">
      <c r="A1485" s="4" t="s">
        <v>2202</v>
      </c>
      <c r="B1485" s="1" t="s">
        <v>6551</v>
      </c>
      <c r="C1485" s="11">
        <v>45140</v>
      </c>
      <c r="D1485" s="11" t="s">
        <v>6555</v>
      </c>
      <c r="E1485" s="1" t="s">
        <v>73</v>
      </c>
      <c r="F1485" s="1" t="s">
        <v>6552</v>
      </c>
      <c r="G1485" s="6">
        <f>COUNTIF(F:F,Table2[[#This Row],[Form '#]])</f>
        <v>1</v>
      </c>
      <c r="H1485" s="1" t="s">
        <v>6553</v>
      </c>
      <c r="I1485" s="1" t="s">
        <v>3891</v>
      </c>
      <c r="J1485" s="1" t="s">
        <v>3891</v>
      </c>
      <c r="K1485" s="1" t="s">
        <v>3891</v>
      </c>
      <c r="L1485" s="1"/>
      <c r="M1485" s="6" t="str">
        <f>IF(Table2[[#This Row],[Corrected Form '#
 (If Duplicated)]]="",Table2[[#This Row],[Form '#]],Table2[[#This Row],[Corrected Form '#
 (If Duplicated)]])</f>
        <v>7823-01538</v>
      </c>
      <c r="N1485" s="1" t="s">
        <v>49</v>
      </c>
      <c r="O1485" s="6" t="str">
        <f>IF(Table2[[#This Row],[POG CONFIRMATION RECEIPT OF ORDER
(DATE &amp; TIME)]]="","No Confirmation","Received Confirmation")</f>
        <v>Received Confirmation</v>
      </c>
      <c r="P1485" s="6">
        <f ca="1">TODAY()-Table2[[#This Row],[DATE SENT TO POG]]</f>
        <v>163</v>
      </c>
      <c r="Q1485" s="6" t="s">
        <v>5803</v>
      </c>
      <c r="R14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5" s="2" t="str">
        <f>_xlfn.XLOOKUP(Table2[[#This Row],[Adjusted Form '#]],'[2]IN PROGRESS'!$D:$D,'[2]IN PROGRESS'!$M:$M,"Not Found")</f>
        <v>Not Found</v>
      </c>
      <c r="U1485" s="2" t="str">
        <f>_xlfn.XLOOKUP(Table2[[#This Row],[Adjusted Form '#]],[1]COMPLETED!$D:$D,[2]COMPLETED!$M:$M,"Not Found")</f>
        <v>Not Found</v>
      </c>
      <c r="V1485" s="17" t="str">
        <f>_xlfn.XLOOKUP(Table2[[#This Row],[Adjusted Form '#]],[2]COMPLETED!$D:$D,[2]COMPLETED!$O:$O,"Not Found")</f>
        <v>Not Found</v>
      </c>
      <c r="W1485" s="2" t="str">
        <f>_xlfn.XLOOKUP(Table2[[#This Row],[Adjusted Form '#]],[2]BILLED!$D:$D,[2]BILLED!$M:$M,"Not Found")</f>
        <v>9400 1112 0620 9486 9290 01</v>
      </c>
      <c r="X1485" s="17" t="e">
        <f>_xlfn.XLOOKUP(Table2[[#This Row],[Adjusted Form '#]],[2]BILLED!$D:$D,[1]BILLED!$O:$O,"Not Found")</f>
        <v>#REF!</v>
      </c>
      <c r="Y1485" s="17" t="e">
        <f>_xlfn.XLOOKUP(Table2[[#This Row],[Adjusted Form '#]],'[2]REJECTED ORDERS'!$D:$D,'[2]REJECTED ORDERS'!$E:$E)</f>
        <v>#N/A</v>
      </c>
      <c r="Z1485" s="1"/>
      <c r="AA1485" s="1"/>
    </row>
    <row r="1486" spans="1:27" ht="15" customHeight="1" x14ac:dyDescent="0.35">
      <c r="A1486" s="4" t="s">
        <v>2204</v>
      </c>
      <c r="B1486" s="1" t="s">
        <v>1242</v>
      </c>
      <c r="C1486" s="11">
        <v>45140</v>
      </c>
      <c r="D1486" s="11" t="s">
        <v>6556</v>
      </c>
      <c r="E1486" s="1" t="s">
        <v>14</v>
      </c>
      <c r="F1486" s="1" t="s">
        <v>6554</v>
      </c>
      <c r="G1486" s="6">
        <f>COUNTIF(F:F,Table2[[#This Row],[Form '#]])</f>
        <v>1</v>
      </c>
      <c r="H1486" s="1" t="s">
        <v>3499</v>
      </c>
      <c r="I1486" s="1" t="s">
        <v>177</v>
      </c>
      <c r="J1486" s="1" t="s">
        <v>75</v>
      </c>
      <c r="K1486" s="1" t="s">
        <v>3853</v>
      </c>
      <c r="L1486" s="1"/>
      <c r="M1486" s="6" t="str">
        <f>IF(Table2[[#This Row],[Corrected Form '#
 (If Duplicated)]]="",Table2[[#This Row],[Form '#]],Table2[[#This Row],[Corrected Form '#
 (If Duplicated)]])</f>
        <v>7810-01920</v>
      </c>
      <c r="N1486" s="1" t="s">
        <v>49</v>
      </c>
      <c r="O1486" s="6" t="str">
        <f>IF(Table2[[#This Row],[POG CONFIRMATION RECEIPT OF ORDER
(DATE &amp; TIME)]]="","No Confirmation","Received Confirmation")</f>
        <v>Received Confirmation</v>
      </c>
      <c r="P1486" s="6">
        <f ca="1">TODAY()-Table2[[#This Row],[DATE SENT TO POG]]</f>
        <v>163</v>
      </c>
      <c r="Q1486" s="6" t="s">
        <v>5803</v>
      </c>
      <c r="R14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6" s="2" t="str">
        <f>_xlfn.XLOOKUP(Table2[[#This Row],[Adjusted Form '#]],'[2]IN PROGRESS'!$D:$D,'[2]IN PROGRESS'!$M:$M,"Not Found")</f>
        <v>Not Found</v>
      </c>
      <c r="U1486" s="2" t="str">
        <f>_xlfn.XLOOKUP(Table2[[#This Row],[Adjusted Form '#]],[1]COMPLETED!$D:$D,[2]COMPLETED!$M:$M,"Not Found")</f>
        <v>Not Found</v>
      </c>
      <c r="V1486" s="17" t="str">
        <f>_xlfn.XLOOKUP(Table2[[#This Row],[Adjusted Form '#]],[2]COMPLETED!$D:$D,[2]COMPLETED!$O:$O,"Not Found")</f>
        <v>Not Found</v>
      </c>
      <c r="W1486" s="2" t="str">
        <f>_xlfn.XLOOKUP(Table2[[#This Row],[Adjusted Form '#]],[2]BILLED!$D:$D,[2]BILLED!$M:$M,"Not Found")</f>
        <v>9400 1112 0620 9481 2489 85</v>
      </c>
      <c r="X1486" s="17" t="e">
        <f>_xlfn.XLOOKUP(Table2[[#This Row],[Adjusted Form '#]],[2]BILLED!$D:$D,[1]BILLED!$O:$O,"Not Found")</f>
        <v>#REF!</v>
      </c>
      <c r="Y1486" s="17" t="e">
        <f>_xlfn.XLOOKUP(Table2[[#This Row],[Adjusted Form '#]],'[2]REJECTED ORDERS'!$D:$D,'[2]REJECTED ORDERS'!$E:$E)</f>
        <v>#N/A</v>
      </c>
      <c r="Z1486" s="1"/>
      <c r="AA1486" s="1"/>
    </row>
    <row r="1487" spans="1:27" ht="15" customHeight="1" x14ac:dyDescent="0.35">
      <c r="A1487" s="4" t="s">
        <v>2205</v>
      </c>
      <c r="B1487" s="1" t="s">
        <v>3615</v>
      </c>
      <c r="C1487" s="11">
        <v>45141</v>
      </c>
      <c r="D1487" s="11" t="s">
        <v>6569</v>
      </c>
      <c r="E1487" s="1" t="s">
        <v>21</v>
      </c>
      <c r="F1487" s="1" t="s">
        <v>6557</v>
      </c>
      <c r="G1487" s="6">
        <f>COUNTIF(F:F,Table2[[#This Row],[Form '#]])</f>
        <v>2</v>
      </c>
      <c r="H1487" s="1" t="s">
        <v>6558</v>
      </c>
      <c r="I1487" s="1" t="s">
        <v>177</v>
      </c>
      <c r="J1487" s="1" t="s">
        <v>75</v>
      </c>
      <c r="K1487" s="1" t="s">
        <v>3853</v>
      </c>
      <c r="L1487" s="1"/>
      <c r="M1487" s="6" t="str">
        <f>IF(Table2[[#This Row],[Corrected Form '#
 (If Duplicated)]]="",Table2[[#This Row],[Form '#]],Table2[[#This Row],[Corrected Form '#
 (If Duplicated)]])</f>
        <v>7818-01989</v>
      </c>
      <c r="N1487" s="1" t="s">
        <v>49</v>
      </c>
      <c r="O1487" s="6" t="str">
        <f>IF(Table2[[#This Row],[POG CONFIRMATION RECEIPT OF ORDER
(DATE &amp; TIME)]]="","No Confirmation","Received Confirmation")</f>
        <v>Received Confirmation</v>
      </c>
      <c r="P1487" s="6">
        <f ca="1">TODAY()-Table2[[#This Row],[DATE SENT TO POG]]</f>
        <v>162</v>
      </c>
      <c r="Q1487" s="6" t="s">
        <v>5803</v>
      </c>
      <c r="R14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7" s="2" t="str">
        <f>_xlfn.XLOOKUP(Table2[[#This Row],[Adjusted Form '#]],'[2]IN PROGRESS'!$D:$D,'[2]IN PROGRESS'!$M:$M,"Not Found")</f>
        <v>Not Found</v>
      </c>
      <c r="U1487" s="2" t="str">
        <f>_xlfn.XLOOKUP(Table2[[#This Row],[Adjusted Form '#]],[1]COMPLETED!$D:$D,[2]COMPLETED!$M:$M,"Not Found")</f>
        <v>Not Found</v>
      </c>
      <c r="V1487" s="17" t="str">
        <f>_xlfn.XLOOKUP(Table2[[#This Row],[Adjusted Form '#]],[2]COMPLETED!$D:$D,[2]COMPLETED!$O:$O,"Not Found")</f>
        <v>Not Found</v>
      </c>
      <c r="W1487" s="2" t="str">
        <f>_xlfn.XLOOKUP(Table2[[#This Row],[Adjusted Form '#]],[2]BILLED!$D:$D,[2]BILLED!$M:$M,"Not Found")</f>
        <v>9400 1361 0605 3581 6020 62</v>
      </c>
      <c r="X1487" s="17" t="e">
        <f>_xlfn.XLOOKUP(Table2[[#This Row],[Adjusted Form '#]],[2]BILLED!$D:$D,[1]BILLED!$O:$O,"Not Found")</f>
        <v>#REF!</v>
      </c>
      <c r="Y1487" s="17" t="e">
        <f>_xlfn.XLOOKUP(Table2[[#This Row],[Adjusted Form '#]],'[2]REJECTED ORDERS'!$D:$D,'[2]REJECTED ORDERS'!$E:$E)</f>
        <v>#N/A</v>
      </c>
      <c r="Z1487" s="1"/>
      <c r="AA1487" s="1"/>
    </row>
    <row r="1488" spans="1:27" ht="15" customHeight="1" x14ac:dyDescent="0.35">
      <c r="A1488" s="4" t="s">
        <v>2206</v>
      </c>
      <c r="B1488" s="1" t="s">
        <v>3615</v>
      </c>
      <c r="C1488" s="11">
        <v>45141</v>
      </c>
      <c r="D1488" s="11" t="s">
        <v>6569</v>
      </c>
      <c r="E1488" s="1" t="s">
        <v>21</v>
      </c>
      <c r="F1488" s="1" t="s">
        <v>6559</v>
      </c>
      <c r="G1488" s="6">
        <f>COUNTIF(F:F,Table2[[#This Row],[Form '#]])</f>
        <v>1</v>
      </c>
      <c r="H1488" s="1" t="s">
        <v>533</v>
      </c>
      <c r="I1488" s="1" t="s">
        <v>3852</v>
      </c>
      <c r="J1488" s="1" t="s">
        <v>80</v>
      </c>
      <c r="K1488" s="1" t="s">
        <v>3853</v>
      </c>
      <c r="L1488" s="1"/>
      <c r="M1488" s="6" t="str">
        <f>IF(Table2[[#This Row],[Corrected Form '#
 (If Duplicated)]]="",Table2[[#This Row],[Form '#]],Table2[[#This Row],[Corrected Form '#
 (If Duplicated)]])</f>
        <v>7818-31079</v>
      </c>
      <c r="N1488" s="1" t="s">
        <v>49</v>
      </c>
      <c r="O1488" s="6" t="str">
        <f>IF(Table2[[#This Row],[POG CONFIRMATION RECEIPT OF ORDER
(DATE &amp; TIME)]]="","No Confirmation","Received Confirmation")</f>
        <v>Received Confirmation</v>
      </c>
      <c r="P1488" s="6">
        <f ca="1">TODAY()-Table2[[#This Row],[DATE SENT TO POG]]</f>
        <v>162</v>
      </c>
      <c r="Q1488" s="6" t="s">
        <v>5803</v>
      </c>
      <c r="R14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88" s="2" t="str">
        <f>_xlfn.XLOOKUP(Table2[[#This Row],[Adjusted Form '#]],'[2]IN PROGRESS'!$D:$D,'[2]IN PROGRESS'!$M:$M,"Not Found")</f>
        <v>Not Found</v>
      </c>
      <c r="U1488" s="2" t="str">
        <f>_xlfn.XLOOKUP(Table2[[#This Row],[Adjusted Form '#]],[1]COMPLETED!$D:$D,[2]COMPLETED!$M:$M,"Not Found")</f>
        <v>Not Found</v>
      </c>
      <c r="V1488" s="17" t="str">
        <f>_xlfn.XLOOKUP(Table2[[#This Row],[Adjusted Form '#]],[2]COMPLETED!$D:$D,[2]COMPLETED!$O:$O,"Not Found")</f>
        <v>Not Found</v>
      </c>
      <c r="W1488" s="2" t="str">
        <f>_xlfn.XLOOKUP(Table2[[#This Row],[Adjusted Form '#]],[2]BILLED!$D:$D,[2]BILLED!$M:$M,"Not Found")</f>
        <v>9400 1112 0620 9486 9181 28</v>
      </c>
      <c r="X1488" s="17" t="e">
        <f>_xlfn.XLOOKUP(Table2[[#This Row],[Adjusted Form '#]],[2]BILLED!$D:$D,[1]BILLED!$O:$O,"Not Found")</f>
        <v>#REF!</v>
      </c>
      <c r="Y1488" s="17" t="e">
        <f>_xlfn.XLOOKUP(Table2[[#This Row],[Adjusted Form '#]],'[2]REJECTED ORDERS'!$D:$D,'[2]REJECTED ORDERS'!$E:$E)</f>
        <v>#N/A</v>
      </c>
      <c r="Z1488" s="1"/>
      <c r="AA1488" s="1"/>
    </row>
    <row r="1489" spans="1:27" ht="15" customHeight="1" x14ac:dyDescent="0.35">
      <c r="A1489" s="4" t="s">
        <v>2207</v>
      </c>
      <c r="B1489" s="1" t="s">
        <v>3615</v>
      </c>
      <c r="C1489" s="11">
        <v>45141</v>
      </c>
      <c r="D1489" s="11" t="s">
        <v>6569</v>
      </c>
      <c r="E1489" s="1" t="s">
        <v>21</v>
      </c>
      <c r="F1489" s="1" t="s">
        <v>6560</v>
      </c>
      <c r="G1489" s="6">
        <f>COUNTIF(F:F,Table2[[#This Row],[Form '#]])</f>
        <v>1</v>
      </c>
      <c r="H1489" s="1" t="s">
        <v>3254</v>
      </c>
      <c r="I1489" s="1" t="s">
        <v>127</v>
      </c>
      <c r="J1489" s="1" t="s">
        <v>74</v>
      </c>
      <c r="K1489" s="1" t="s">
        <v>4011</v>
      </c>
      <c r="L1489" s="1"/>
      <c r="M1489" s="6" t="str">
        <f>IF(Table2[[#This Row],[Corrected Form '#
 (If Duplicated)]]="",Table2[[#This Row],[Form '#]],Table2[[#This Row],[Corrected Form '#
 (If Duplicated)]])</f>
        <v>7818-28270</v>
      </c>
      <c r="N1489" s="1" t="s">
        <v>49</v>
      </c>
      <c r="O1489" s="6" t="str">
        <f>IF(Table2[[#This Row],[POG CONFIRMATION RECEIPT OF ORDER
(DATE &amp; TIME)]]="","No Confirmation","Received Confirmation")</f>
        <v>Received Confirmation</v>
      </c>
      <c r="P1489" s="6">
        <f ca="1">TODAY()-Table2[[#This Row],[DATE SENT TO POG]]</f>
        <v>162</v>
      </c>
      <c r="Q1489" s="6" t="s">
        <v>5802</v>
      </c>
      <c r="R14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48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489" s="2" t="str">
        <f>_xlfn.XLOOKUP(Table2[[#This Row],[Adjusted Form '#]],'[2]IN PROGRESS'!$D:$D,'[2]IN PROGRESS'!$M:$M,"Not Found")</f>
        <v>Not Found</v>
      </c>
      <c r="U1489" s="2" t="str">
        <f>_xlfn.XLOOKUP(Table2[[#This Row],[Adjusted Form '#]],[1]COMPLETED!$D:$D,[2]COMPLETED!$M:$M,"Not Found")</f>
        <v>Not Found</v>
      </c>
      <c r="V1489" s="17" t="str">
        <f>_xlfn.XLOOKUP(Table2[[#This Row],[Adjusted Form '#]],[2]COMPLETED!$D:$D,[2]COMPLETED!$O:$O,"Not Found")</f>
        <v>Not Found</v>
      </c>
      <c r="W1489" s="2" t="str">
        <f>_xlfn.XLOOKUP(Table2[[#This Row],[Adjusted Form '#]],[2]BILLED!$D:$D,[2]BILLED!$M:$M,"Not Found")</f>
        <v>Not Found</v>
      </c>
      <c r="X1489" s="17" t="str">
        <f>_xlfn.XLOOKUP(Table2[[#This Row],[Adjusted Form '#]],[2]BILLED!$D:$D,[1]BILLED!$O:$O,"Not Found")</f>
        <v>Not Found</v>
      </c>
      <c r="Y1489" s="17" t="e">
        <f>_xlfn.XLOOKUP(Table2[[#This Row],[Adjusted Form '#]],'[2]REJECTED ORDERS'!$D:$D,'[2]REJECTED ORDERS'!$E:$E)</f>
        <v>#N/A</v>
      </c>
      <c r="Z1489" s="1"/>
      <c r="AA1489" s="1"/>
    </row>
    <row r="1490" spans="1:27" ht="15" customHeight="1" x14ac:dyDescent="0.35">
      <c r="A1490" s="4" t="s">
        <v>2209</v>
      </c>
      <c r="B1490" s="1" t="s">
        <v>3615</v>
      </c>
      <c r="C1490" s="11">
        <v>45141</v>
      </c>
      <c r="D1490" s="11" t="s">
        <v>6569</v>
      </c>
      <c r="E1490" s="1" t="s">
        <v>21</v>
      </c>
      <c r="F1490" s="1" t="s">
        <v>6561</v>
      </c>
      <c r="G1490" s="6">
        <f>COUNTIF(F:F,Table2[[#This Row],[Form '#]])</f>
        <v>1</v>
      </c>
      <c r="H1490" s="1" t="s">
        <v>6562</v>
      </c>
      <c r="I1490" s="1" t="s">
        <v>127</v>
      </c>
      <c r="J1490" s="1" t="s">
        <v>76</v>
      </c>
      <c r="K1490" s="1" t="s">
        <v>3883</v>
      </c>
      <c r="L1490" s="1"/>
      <c r="M1490" s="6" t="str">
        <f>IF(Table2[[#This Row],[Corrected Form '#
 (If Duplicated)]]="",Table2[[#This Row],[Form '#]],Table2[[#This Row],[Corrected Form '#
 (If Duplicated)]])</f>
        <v>7818-14847</v>
      </c>
      <c r="N1490" s="1" t="s">
        <v>49</v>
      </c>
      <c r="O1490" s="6" t="str">
        <f>IF(Table2[[#This Row],[POG CONFIRMATION RECEIPT OF ORDER
(DATE &amp; TIME)]]="","No Confirmation","Received Confirmation")</f>
        <v>Received Confirmation</v>
      </c>
      <c r="P1490" s="6">
        <f ca="1">TODAY()-Table2[[#This Row],[DATE SENT TO POG]]</f>
        <v>162</v>
      </c>
      <c r="Q1490" s="6" t="s">
        <v>5803</v>
      </c>
      <c r="R14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0" s="2" t="str">
        <f>_xlfn.XLOOKUP(Table2[[#This Row],[Adjusted Form '#]],'[2]IN PROGRESS'!$D:$D,'[2]IN PROGRESS'!$M:$M,"Not Found")</f>
        <v>Not Found</v>
      </c>
      <c r="U1490" s="2" t="str">
        <f>_xlfn.XLOOKUP(Table2[[#This Row],[Adjusted Form '#]],[1]COMPLETED!$D:$D,[2]COMPLETED!$M:$M,"Not Found")</f>
        <v>Not Found</v>
      </c>
      <c r="V1490" s="17" t="str">
        <f>_xlfn.XLOOKUP(Table2[[#This Row],[Adjusted Form '#]],[2]COMPLETED!$D:$D,[2]COMPLETED!$O:$O,"Not Found")</f>
        <v>Not Found</v>
      </c>
      <c r="W1490" s="2" t="str">
        <f>_xlfn.XLOOKUP(Table2[[#This Row],[Adjusted Form '#]],[2]BILLED!$D:$D,[2]BILLED!$M:$M,"Not Found")</f>
        <v>9400 1112 0620 9459 2135 19</v>
      </c>
      <c r="X1490" s="17" t="e">
        <f>_xlfn.XLOOKUP(Table2[[#This Row],[Adjusted Form '#]],[2]BILLED!$D:$D,[1]BILLED!$O:$O,"Not Found")</f>
        <v>#REF!</v>
      </c>
      <c r="Y1490" s="17" t="e">
        <f>_xlfn.XLOOKUP(Table2[[#This Row],[Adjusted Form '#]],'[2]REJECTED ORDERS'!$D:$D,'[2]REJECTED ORDERS'!$E:$E)</f>
        <v>#N/A</v>
      </c>
      <c r="Z1490" s="1"/>
      <c r="AA1490" s="1"/>
    </row>
    <row r="1491" spans="1:27" ht="15" customHeight="1" x14ac:dyDescent="0.35">
      <c r="A1491" s="4" t="s">
        <v>2210</v>
      </c>
      <c r="B1491" s="1" t="s">
        <v>3615</v>
      </c>
      <c r="C1491" s="11">
        <v>45141</v>
      </c>
      <c r="D1491" s="11" t="s">
        <v>6569</v>
      </c>
      <c r="E1491" s="1" t="s">
        <v>21</v>
      </c>
      <c r="F1491" s="1" t="s">
        <v>6563</v>
      </c>
      <c r="G1491" s="6">
        <f>COUNTIF(F:F,Table2[[#This Row],[Form '#]])</f>
        <v>1</v>
      </c>
      <c r="H1491" s="1" t="s">
        <v>3287</v>
      </c>
      <c r="I1491" s="1" t="s">
        <v>127</v>
      </c>
      <c r="J1491" s="1" t="s">
        <v>76</v>
      </c>
      <c r="K1491" s="1" t="s">
        <v>3883</v>
      </c>
      <c r="L1491" s="1"/>
      <c r="M1491" s="6" t="str">
        <f>IF(Table2[[#This Row],[Corrected Form '#
 (If Duplicated)]]="",Table2[[#This Row],[Form '#]],Table2[[#This Row],[Corrected Form '#
 (If Duplicated)]])</f>
        <v>7818-23363</v>
      </c>
      <c r="N1491" s="1" t="s">
        <v>49</v>
      </c>
      <c r="O1491" s="6" t="str">
        <f>IF(Table2[[#This Row],[POG CONFIRMATION RECEIPT OF ORDER
(DATE &amp; TIME)]]="","No Confirmation","Received Confirmation")</f>
        <v>Received Confirmation</v>
      </c>
      <c r="P1491" s="6">
        <f ca="1">TODAY()-Table2[[#This Row],[DATE SENT TO POG]]</f>
        <v>162</v>
      </c>
      <c r="Q1491" s="6" t="s">
        <v>5803</v>
      </c>
      <c r="R14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1" s="2" t="str">
        <f>_xlfn.XLOOKUP(Table2[[#This Row],[Adjusted Form '#]],'[2]IN PROGRESS'!$D:$D,'[2]IN PROGRESS'!$M:$M,"Not Found")</f>
        <v>Not Found</v>
      </c>
      <c r="U1491" s="2" t="str">
        <f>_xlfn.XLOOKUP(Table2[[#This Row],[Adjusted Form '#]],[1]COMPLETED!$D:$D,[2]COMPLETED!$M:$M,"Not Found")</f>
        <v>Not Found</v>
      </c>
      <c r="V1491" s="17" t="str">
        <f>_xlfn.XLOOKUP(Table2[[#This Row],[Adjusted Form '#]],[2]COMPLETED!$D:$D,[2]COMPLETED!$O:$O,"Not Found")</f>
        <v>Not Found</v>
      </c>
      <c r="W1491" s="2" t="str">
        <f>_xlfn.XLOOKUP(Table2[[#This Row],[Adjusted Form '#]],[2]BILLED!$D:$D,[2]BILLED!$M:$M,"Not Found")</f>
        <v>9400 1112 0620 9461 8450 74</v>
      </c>
      <c r="X1491" s="17" t="e">
        <f>_xlfn.XLOOKUP(Table2[[#This Row],[Adjusted Form '#]],[2]BILLED!$D:$D,[1]BILLED!$O:$O,"Not Found")</f>
        <v>#REF!</v>
      </c>
      <c r="Y1491" s="17" t="e">
        <f>_xlfn.XLOOKUP(Table2[[#This Row],[Adjusted Form '#]],'[2]REJECTED ORDERS'!$D:$D,'[2]REJECTED ORDERS'!$E:$E)</f>
        <v>#N/A</v>
      </c>
      <c r="Z1491" s="1"/>
      <c r="AA1491" s="1"/>
    </row>
    <row r="1492" spans="1:27" ht="15" customHeight="1" x14ac:dyDescent="0.35">
      <c r="A1492" s="4" t="s">
        <v>2211</v>
      </c>
      <c r="B1492" s="1" t="s">
        <v>3615</v>
      </c>
      <c r="C1492" s="11">
        <v>45141</v>
      </c>
      <c r="D1492" s="11" t="s">
        <v>6569</v>
      </c>
      <c r="E1492" s="1" t="s">
        <v>21</v>
      </c>
      <c r="F1492" s="1" t="s">
        <v>6564</v>
      </c>
      <c r="G1492" s="6">
        <f>COUNTIF(F:F,Table2[[#This Row],[Form '#]])</f>
        <v>1</v>
      </c>
      <c r="H1492" s="1" t="s">
        <v>2253</v>
      </c>
      <c r="I1492" s="1" t="s">
        <v>177</v>
      </c>
      <c r="J1492" s="1" t="s">
        <v>75</v>
      </c>
      <c r="K1492" s="1" t="s">
        <v>3853</v>
      </c>
      <c r="L1492" s="1"/>
      <c r="M1492" s="6" t="str">
        <f>IF(Table2[[#This Row],[Corrected Form '#
 (If Duplicated)]]="",Table2[[#This Row],[Form '#]],Table2[[#This Row],[Corrected Form '#
 (If Duplicated)]])</f>
        <v>7818-32139</v>
      </c>
      <c r="N1492" s="1" t="s">
        <v>49</v>
      </c>
      <c r="O1492" s="6" t="str">
        <f>IF(Table2[[#This Row],[POG CONFIRMATION RECEIPT OF ORDER
(DATE &amp; TIME)]]="","No Confirmation","Received Confirmation")</f>
        <v>Received Confirmation</v>
      </c>
      <c r="P1492" s="6">
        <f ca="1">TODAY()-Table2[[#This Row],[DATE SENT TO POG]]</f>
        <v>162</v>
      </c>
      <c r="Q1492" s="6" t="s">
        <v>5803</v>
      </c>
      <c r="R14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2" s="2" t="str">
        <f>_xlfn.XLOOKUP(Table2[[#This Row],[Adjusted Form '#]],'[2]IN PROGRESS'!$D:$D,'[2]IN PROGRESS'!$M:$M,"Not Found")</f>
        <v>Not Found</v>
      </c>
      <c r="U1492" s="2" t="str">
        <f>_xlfn.XLOOKUP(Table2[[#This Row],[Adjusted Form '#]],[1]COMPLETED!$D:$D,[2]COMPLETED!$M:$M,"Not Found")</f>
        <v>Not Found</v>
      </c>
      <c r="V1492" s="17" t="str">
        <f>_xlfn.XLOOKUP(Table2[[#This Row],[Adjusted Form '#]],[2]COMPLETED!$D:$D,[2]COMPLETED!$O:$O,"Not Found")</f>
        <v>Not Found</v>
      </c>
      <c r="W1492" s="2" t="str">
        <f>_xlfn.XLOOKUP(Table2[[#This Row],[Adjusted Form '#]],[2]BILLED!$D:$D,[2]BILLED!$M:$M,"Not Found")</f>
        <v>9400 1112 0620 9481 0400 53</v>
      </c>
      <c r="X1492" s="17" t="e">
        <f>_xlfn.XLOOKUP(Table2[[#This Row],[Adjusted Form '#]],[2]BILLED!$D:$D,[1]BILLED!$O:$O,"Not Found")</f>
        <v>#REF!</v>
      </c>
      <c r="Y1492" s="17" t="e">
        <f>_xlfn.XLOOKUP(Table2[[#This Row],[Adjusted Form '#]],'[2]REJECTED ORDERS'!$D:$D,'[2]REJECTED ORDERS'!$E:$E)</f>
        <v>#N/A</v>
      </c>
      <c r="Z1492" s="1"/>
      <c r="AA1492" s="1"/>
    </row>
    <row r="1493" spans="1:27" ht="15" customHeight="1" x14ac:dyDescent="0.35">
      <c r="A1493" s="4" t="s">
        <v>2212</v>
      </c>
      <c r="B1493" s="1" t="s">
        <v>3615</v>
      </c>
      <c r="C1493" s="11">
        <v>45141</v>
      </c>
      <c r="D1493" s="11" t="s">
        <v>6569</v>
      </c>
      <c r="E1493" s="1" t="s">
        <v>21</v>
      </c>
      <c r="F1493" s="1" t="s">
        <v>6565</v>
      </c>
      <c r="G1493" s="6">
        <f>COUNTIF(F:F,Table2[[#This Row],[Form '#]])</f>
        <v>1</v>
      </c>
      <c r="H1493" s="1" t="s">
        <v>3734</v>
      </c>
      <c r="I1493" s="1" t="s">
        <v>177</v>
      </c>
      <c r="J1493" s="1" t="s">
        <v>75</v>
      </c>
      <c r="K1493" s="1" t="s">
        <v>3853</v>
      </c>
      <c r="L1493" s="1"/>
      <c r="M1493" s="6" t="str">
        <f>IF(Table2[[#This Row],[Corrected Form '#
 (If Duplicated)]]="",Table2[[#This Row],[Form '#]],Table2[[#This Row],[Corrected Form '#
 (If Duplicated)]])</f>
        <v>7818-23386</v>
      </c>
      <c r="N1493" s="1" t="s">
        <v>49</v>
      </c>
      <c r="O1493" s="6" t="str">
        <f>IF(Table2[[#This Row],[POG CONFIRMATION RECEIPT OF ORDER
(DATE &amp; TIME)]]="","No Confirmation","Received Confirmation")</f>
        <v>Received Confirmation</v>
      </c>
      <c r="P1493" s="6">
        <f ca="1">TODAY()-Table2[[#This Row],[DATE SENT TO POG]]</f>
        <v>162</v>
      </c>
      <c r="Q1493" s="6" t="s">
        <v>5802</v>
      </c>
      <c r="R14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49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493" s="2" t="str">
        <f>_xlfn.XLOOKUP(Table2[[#This Row],[Adjusted Form '#]],'[2]IN PROGRESS'!$D:$D,'[2]IN PROGRESS'!$M:$M,"Not Found")</f>
        <v>Not Found</v>
      </c>
      <c r="U1493" s="2" t="str">
        <f>_xlfn.XLOOKUP(Table2[[#This Row],[Adjusted Form '#]],[1]COMPLETED!$D:$D,[2]COMPLETED!$M:$M,"Not Found")</f>
        <v>Not Found</v>
      </c>
      <c r="V1493" s="17" t="str">
        <f>_xlfn.XLOOKUP(Table2[[#This Row],[Adjusted Form '#]],[2]COMPLETED!$D:$D,[2]COMPLETED!$O:$O,"Not Found")</f>
        <v>Not Found</v>
      </c>
      <c r="W1493" s="2" t="str">
        <f>_xlfn.XLOOKUP(Table2[[#This Row],[Adjusted Form '#]],[2]BILLED!$D:$D,[2]BILLED!$M:$M,"Not Found")</f>
        <v>Not Found</v>
      </c>
      <c r="X1493" s="17" t="str">
        <f>_xlfn.XLOOKUP(Table2[[#This Row],[Adjusted Form '#]],[2]BILLED!$D:$D,[1]BILLED!$O:$O,"Not Found")</f>
        <v>Not Found</v>
      </c>
      <c r="Y1493" s="17" t="e">
        <f>_xlfn.XLOOKUP(Table2[[#This Row],[Adjusted Form '#]],'[2]REJECTED ORDERS'!$D:$D,'[2]REJECTED ORDERS'!$E:$E)</f>
        <v>#N/A</v>
      </c>
      <c r="Z1493" s="1"/>
      <c r="AA1493" s="1"/>
    </row>
    <row r="1494" spans="1:27" ht="15" customHeight="1" x14ac:dyDescent="0.35">
      <c r="A1494" s="4" t="s">
        <v>2213</v>
      </c>
      <c r="B1494" s="1" t="s">
        <v>6566</v>
      </c>
      <c r="C1494" s="11">
        <v>45142</v>
      </c>
      <c r="D1494" s="11" t="s">
        <v>6570</v>
      </c>
      <c r="E1494" s="1" t="s">
        <v>14</v>
      </c>
      <c r="F1494" s="1" t="s">
        <v>6567</v>
      </c>
      <c r="G1494" s="6">
        <f>COUNTIF(F:F,Table2[[#This Row],[Form '#]])</f>
        <v>1</v>
      </c>
      <c r="H1494" s="1" t="s">
        <v>2410</v>
      </c>
      <c r="I1494" s="1" t="s">
        <v>758</v>
      </c>
      <c r="J1494" s="1" t="s">
        <v>78</v>
      </c>
      <c r="K1494" s="1" t="s">
        <v>3853</v>
      </c>
      <c r="L1494" s="1"/>
      <c r="M1494" s="6" t="str">
        <f>IF(Table2[[#This Row],[Corrected Form '#
 (If Duplicated)]]="",Table2[[#This Row],[Form '#]],Table2[[#This Row],[Corrected Form '#
 (If Duplicated)]])</f>
        <v>7810-01792</v>
      </c>
      <c r="N1494" s="1" t="s">
        <v>49</v>
      </c>
      <c r="O1494" s="6" t="str">
        <f>IF(Table2[[#This Row],[POG CONFIRMATION RECEIPT OF ORDER
(DATE &amp; TIME)]]="","No Confirmation","Received Confirmation")</f>
        <v>Received Confirmation</v>
      </c>
      <c r="P1494" s="6">
        <f ca="1">TODAY()-Table2[[#This Row],[DATE SENT TO POG]]</f>
        <v>161</v>
      </c>
      <c r="Q1494" s="6" t="s">
        <v>5803</v>
      </c>
      <c r="R14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4" s="2" t="str">
        <f>_xlfn.XLOOKUP(Table2[[#This Row],[Adjusted Form '#]],'[2]IN PROGRESS'!$D:$D,'[2]IN PROGRESS'!$M:$M,"Not Found")</f>
        <v>Not Found</v>
      </c>
      <c r="U1494" s="2" t="str">
        <f>_xlfn.XLOOKUP(Table2[[#This Row],[Adjusted Form '#]],[1]COMPLETED!$D:$D,[2]COMPLETED!$M:$M,"Not Found")</f>
        <v>Not Found</v>
      </c>
      <c r="V1494" s="17" t="str">
        <f>_xlfn.XLOOKUP(Table2[[#This Row],[Adjusted Form '#]],[2]COMPLETED!$D:$D,[2]COMPLETED!$O:$O,"Not Found")</f>
        <v>Not Found</v>
      </c>
      <c r="W1494" s="2" t="str">
        <f>_xlfn.XLOOKUP(Table2[[#This Row],[Adjusted Form '#]],[2]BILLED!$D:$D,[2]BILLED!$M:$M,"Not Found")</f>
        <v>9400 1112 0620 9481 8006 71</v>
      </c>
      <c r="X1494" s="17" t="e">
        <f>_xlfn.XLOOKUP(Table2[[#This Row],[Adjusted Form '#]],[2]BILLED!$D:$D,[1]BILLED!$O:$O,"Not Found")</f>
        <v>#REF!</v>
      </c>
      <c r="Y1494" s="17" t="e">
        <f>_xlfn.XLOOKUP(Table2[[#This Row],[Adjusted Form '#]],'[2]REJECTED ORDERS'!$D:$D,'[2]REJECTED ORDERS'!$E:$E)</f>
        <v>#N/A</v>
      </c>
      <c r="Z1494" s="1"/>
      <c r="AA1494" s="1"/>
    </row>
    <row r="1495" spans="1:27" ht="15" customHeight="1" x14ac:dyDescent="0.35">
      <c r="A1495" s="4" t="s">
        <v>2214</v>
      </c>
      <c r="B1495" s="1" t="s">
        <v>6566</v>
      </c>
      <c r="C1495" s="11">
        <v>45142</v>
      </c>
      <c r="D1495" s="11" t="s">
        <v>6570</v>
      </c>
      <c r="E1495" s="1" t="s">
        <v>14</v>
      </c>
      <c r="F1495" s="1" t="s">
        <v>6568</v>
      </c>
      <c r="G1495" s="6">
        <f>COUNTIF(F:F,Table2[[#This Row],[Form '#]])</f>
        <v>1</v>
      </c>
      <c r="H1495" s="1" t="s">
        <v>2895</v>
      </c>
      <c r="I1495" s="1" t="s">
        <v>127</v>
      </c>
      <c r="J1495" s="1" t="s">
        <v>74</v>
      </c>
      <c r="K1495" s="1" t="s">
        <v>4011</v>
      </c>
      <c r="L1495" s="1"/>
      <c r="M1495" s="6" t="str">
        <f>IF(Table2[[#This Row],[Corrected Form '#
 (If Duplicated)]]="",Table2[[#This Row],[Form '#]],Table2[[#This Row],[Corrected Form '#
 (If Duplicated)]])</f>
        <v>7810-01119</v>
      </c>
      <c r="N1495" s="1" t="s">
        <v>49</v>
      </c>
      <c r="O1495" s="6" t="str">
        <f>IF(Table2[[#This Row],[POG CONFIRMATION RECEIPT OF ORDER
(DATE &amp; TIME)]]="","No Confirmation","Received Confirmation")</f>
        <v>Received Confirmation</v>
      </c>
      <c r="P1495" s="6">
        <f ca="1">TODAY()-Table2[[#This Row],[DATE SENT TO POG]]</f>
        <v>161</v>
      </c>
      <c r="Q1495" s="6" t="s">
        <v>5803</v>
      </c>
      <c r="R14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5" s="2" t="str">
        <f>_xlfn.XLOOKUP(Table2[[#This Row],[Adjusted Form '#]],'[2]IN PROGRESS'!$D:$D,'[2]IN PROGRESS'!$M:$M,"Not Found")</f>
        <v>Not Found</v>
      </c>
      <c r="U1495" s="2" t="str">
        <f>_xlfn.XLOOKUP(Table2[[#This Row],[Adjusted Form '#]],[1]COMPLETED!$D:$D,[2]COMPLETED!$M:$M,"Not Found")</f>
        <v>Not Found</v>
      </c>
      <c r="V1495" s="17" t="str">
        <f>_xlfn.XLOOKUP(Table2[[#This Row],[Adjusted Form '#]],[2]COMPLETED!$D:$D,[2]COMPLETED!$O:$O,"Not Found")</f>
        <v>Not Found</v>
      </c>
      <c r="W1495" s="2" t="str">
        <f>_xlfn.XLOOKUP(Table2[[#This Row],[Adjusted Form '#]],[2]BILLED!$D:$D,[2]BILLED!$M:$M,"Not Found")</f>
        <v>9400 1112 0620 9461 0805 36</v>
      </c>
      <c r="X1495" s="17" t="e">
        <f>_xlfn.XLOOKUP(Table2[[#This Row],[Adjusted Form '#]],[2]BILLED!$D:$D,[1]BILLED!$O:$O,"Not Found")</f>
        <v>#REF!</v>
      </c>
      <c r="Y1495" s="17" t="e">
        <f>_xlfn.XLOOKUP(Table2[[#This Row],[Adjusted Form '#]],'[2]REJECTED ORDERS'!$D:$D,'[2]REJECTED ORDERS'!$E:$E)</f>
        <v>#N/A</v>
      </c>
      <c r="Z1495" s="1"/>
      <c r="AA1495" s="1"/>
    </row>
    <row r="1496" spans="1:27" ht="15" customHeight="1" x14ac:dyDescent="0.35">
      <c r="A1496" s="4" t="s">
        <v>2215</v>
      </c>
      <c r="B1496" s="1" t="s">
        <v>182</v>
      </c>
      <c r="C1496" s="11">
        <v>45142</v>
      </c>
      <c r="D1496" s="11" t="s">
        <v>6573</v>
      </c>
      <c r="E1496" s="1" t="s">
        <v>21</v>
      </c>
      <c r="F1496" s="1" t="s">
        <v>6571</v>
      </c>
      <c r="G1496" s="6">
        <f>COUNTIF(F:F,Table2[[#This Row],[Form '#]])</f>
        <v>1</v>
      </c>
      <c r="H1496" s="1" t="s">
        <v>6572</v>
      </c>
      <c r="I1496" s="1" t="s">
        <v>28</v>
      </c>
      <c r="J1496" s="1" t="s">
        <v>69</v>
      </c>
      <c r="K1496" s="1" t="s">
        <v>4631</v>
      </c>
      <c r="L1496" s="1"/>
      <c r="M1496" s="6" t="str">
        <f>IF(Table2[[#This Row],[Corrected Form '#
 (If Duplicated)]]="",Table2[[#This Row],[Form '#]],Table2[[#This Row],[Corrected Form '#
 (If Duplicated)]])</f>
        <v>7818-28214</v>
      </c>
      <c r="N1496" s="1" t="s">
        <v>49</v>
      </c>
      <c r="O1496" s="6" t="str">
        <f>IF(Table2[[#This Row],[POG CONFIRMATION RECEIPT OF ORDER
(DATE &amp; TIME)]]="","No Confirmation","Received Confirmation")</f>
        <v>Received Confirmation</v>
      </c>
      <c r="P1496" s="6">
        <f ca="1">TODAY()-Table2[[#This Row],[DATE SENT TO POG]]</f>
        <v>161</v>
      </c>
      <c r="Q1496" s="6" t="s">
        <v>5803</v>
      </c>
      <c r="R14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6" s="2" t="str">
        <f>_xlfn.XLOOKUP(Table2[[#This Row],[Adjusted Form '#]],'[2]IN PROGRESS'!$D:$D,'[2]IN PROGRESS'!$M:$M,"Not Found")</f>
        <v>Not Found</v>
      </c>
      <c r="U1496" s="2" t="str">
        <f>_xlfn.XLOOKUP(Table2[[#This Row],[Adjusted Form '#]],[1]COMPLETED!$D:$D,[2]COMPLETED!$M:$M,"Not Found")</f>
        <v>Not Found</v>
      </c>
      <c r="V1496" s="17" t="str">
        <f>_xlfn.XLOOKUP(Table2[[#This Row],[Adjusted Form '#]],[2]COMPLETED!$D:$D,[2]COMPLETED!$O:$O,"Not Found")</f>
        <v>Not Found</v>
      </c>
      <c r="W1496" s="2" t="str">
        <f>_xlfn.XLOOKUP(Table2[[#This Row],[Adjusted Form '#]],[2]BILLED!$D:$D,[2]BILLED!$M:$M,"Not Found")</f>
        <v>9400 1112 0620 9457 7496 52</v>
      </c>
      <c r="X1496" s="17" t="e">
        <f>_xlfn.XLOOKUP(Table2[[#This Row],[Adjusted Form '#]],[2]BILLED!$D:$D,[1]BILLED!$O:$O,"Not Found")</f>
        <v>#REF!</v>
      </c>
      <c r="Y1496" s="17" t="e">
        <f>_xlfn.XLOOKUP(Table2[[#This Row],[Adjusted Form '#]],'[2]REJECTED ORDERS'!$D:$D,'[2]REJECTED ORDERS'!$E:$E)</f>
        <v>#N/A</v>
      </c>
      <c r="Z1496" s="1"/>
      <c r="AA1496" s="1"/>
    </row>
    <row r="1497" spans="1:27" ht="15" customHeight="1" x14ac:dyDescent="0.35">
      <c r="A1497" s="4" t="s">
        <v>2216</v>
      </c>
      <c r="B1497" s="1" t="s">
        <v>1278</v>
      </c>
      <c r="C1497" s="11">
        <v>45142</v>
      </c>
      <c r="D1497" s="11" t="s">
        <v>6578</v>
      </c>
      <c r="E1497" s="1" t="s">
        <v>64</v>
      </c>
      <c r="F1497" s="1" t="s">
        <v>6574</v>
      </c>
      <c r="G1497" s="6">
        <f>COUNTIF(F:F,Table2[[#This Row],[Form '#]])</f>
        <v>1</v>
      </c>
      <c r="H1497" s="1" t="s">
        <v>1133</v>
      </c>
      <c r="I1497" s="1" t="s">
        <v>3864</v>
      </c>
      <c r="J1497" s="1" t="s">
        <v>78</v>
      </c>
      <c r="K1497" s="1" t="s">
        <v>3879</v>
      </c>
      <c r="L1497" s="1"/>
      <c r="M1497" s="6" t="str">
        <f>IF(Table2[[#This Row],[Corrected Form '#
 (If Duplicated)]]="",Table2[[#This Row],[Form '#]],Table2[[#This Row],[Corrected Form '#
 (If Duplicated)]])</f>
        <v>7824-00452</v>
      </c>
      <c r="N1497" s="1" t="s">
        <v>49</v>
      </c>
      <c r="O1497" s="6" t="str">
        <f>IF(Table2[[#This Row],[POG CONFIRMATION RECEIPT OF ORDER
(DATE &amp; TIME)]]="","No Confirmation","Received Confirmation")</f>
        <v>Received Confirmation</v>
      </c>
      <c r="P1497" s="6">
        <f ca="1">TODAY()-Table2[[#This Row],[DATE SENT TO POG]]</f>
        <v>161</v>
      </c>
      <c r="Q1497" s="6" t="s">
        <v>5803</v>
      </c>
      <c r="R14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7" s="2" t="str">
        <f>_xlfn.XLOOKUP(Table2[[#This Row],[Adjusted Form '#]],'[2]IN PROGRESS'!$D:$D,'[2]IN PROGRESS'!$M:$M,"Not Found")</f>
        <v>Not Found</v>
      </c>
      <c r="U1497" s="2" t="str">
        <f>_xlfn.XLOOKUP(Table2[[#This Row],[Adjusted Form '#]],[1]COMPLETED!$D:$D,[2]COMPLETED!$M:$M,"Not Found")</f>
        <v>Not Found</v>
      </c>
      <c r="V1497" s="17" t="str">
        <f>_xlfn.XLOOKUP(Table2[[#This Row],[Adjusted Form '#]],[2]COMPLETED!$D:$D,[2]COMPLETED!$O:$O,"Not Found")</f>
        <v>Not Found</v>
      </c>
      <c r="W1497" s="2" t="str">
        <f>_xlfn.XLOOKUP(Table2[[#This Row],[Adjusted Form '#]],[2]BILLED!$D:$D,[2]BILLED!$M:$M,"Not Found")</f>
        <v>9400 1112 0620 9952 5525 66</v>
      </c>
      <c r="X1497" s="17" t="e">
        <f>_xlfn.XLOOKUP(Table2[[#This Row],[Adjusted Form '#]],[2]BILLED!$D:$D,[1]BILLED!$O:$O,"Not Found")</f>
        <v>#REF!</v>
      </c>
      <c r="Y1497" s="17" t="str">
        <f>_xlfn.XLOOKUP(Table2[[#This Row],[Adjusted Form '#]],'[2]REJECTED ORDERS'!$D:$D,'[2]REJECTED ORDERS'!$E:$E)</f>
        <v>FORM NOT SIGNED</v>
      </c>
      <c r="Z1497" s="1"/>
      <c r="AA1497" s="1"/>
    </row>
    <row r="1498" spans="1:27" ht="15" customHeight="1" x14ac:dyDescent="0.35">
      <c r="A1498" s="4" t="s">
        <v>2217</v>
      </c>
      <c r="B1498" s="1" t="s">
        <v>1278</v>
      </c>
      <c r="C1498" s="11">
        <v>45142</v>
      </c>
      <c r="D1498" s="11" t="s">
        <v>6578</v>
      </c>
      <c r="E1498" s="1" t="s">
        <v>64</v>
      </c>
      <c r="F1498" s="1" t="s">
        <v>6575</v>
      </c>
      <c r="G1498" s="6">
        <f>COUNTIF(F:F,Table2[[#This Row],[Form '#]])</f>
        <v>1</v>
      </c>
      <c r="H1498" s="1" t="s">
        <v>6576</v>
      </c>
      <c r="I1498" s="1" t="s">
        <v>3864</v>
      </c>
      <c r="J1498" s="1" t="s">
        <v>78</v>
      </c>
      <c r="K1498" s="1" t="s">
        <v>3879</v>
      </c>
      <c r="L1498" s="1"/>
      <c r="M1498" s="6" t="str">
        <f>IF(Table2[[#This Row],[Corrected Form '#
 (If Duplicated)]]="",Table2[[#This Row],[Form '#]],Table2[[#This Row],[Corrected Form '#
 (If Duplicated)]])</f>
        <v>7824-00444</v>
      </c>
      <c r="N1498" s="1" t="s">
        <v>49</v>
      </c>
      <c r="O1498" s="6" t="str">
        <f>IF(Table2[[#This Row],[POG CONFIRMATION RECEIPT OF ORDER
(DATE &amp; TIME)]]="","No Confirmation","Received Confirmation")</f>
        <v>Received Confirmation</v>
      </c>
      <c r="P1498" s="6">
        <f ca="1">TODAY()-Table2[[#This Row],[DATE SENT TO POG]]</f>
        <v>161</v>
      </c>
      <c r="Q1498" s="6" t="s">
        <v>5803</v>
      </c>
      <c r="R14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8" s="2" t="str">
        <f>_xlfn.XLOOKUP(Table2[[#This Row],[Adjusted Form '#]],'[2]IN PROGRESS'!$D:$D,'[2]IN PROGRESS'!$M:$M,"Not Found")</f>
        <v>Not Found</v>
      </c>
      <c r="U1498" s="2" t="str">
        <f>_xlfn.XLOOKUP(Table2[[#This Row],[Adjusted Form '#]],[1]COMPLETED!$D:$D,[2]COMPLETED!$M:$M,"Not Found")</f>
        <v>Not Found</v>
      </c>
      <c r="V1498" s="17" t="str">
        <f>_xlfn.XLOOKUP(Table2[[#This Row],[Adjusted Form '#]],[2]COMPLETED!$D:$D,[2]COMPLETED!$O:$O,"Not Found")</f>
        <v>Not Found</v>
      </c>
      <c r="W1498" s="2" t="str">
        <f>_xlfn.XLOOKUP(Table2[[#This Row],[Adjusted Form '#]],[2]BILLED!$D:$D,[2]BILLED!$M:$M,"Not Found")</f>
        <v>9400 1112 0620 9952 5768 69</v>
      </c>
      <c r="X1498" s="17" t="e">
        <f>_xlfn.XLOOKUP(Table2[[#This Row],[Adjusted Form '#]],[2]BILLED!$D:$D,[1]BILLED!$O:$O,"Not Found")</f>
        <v>#REF!</v>
      </c>
      <c r="Y1498" s="17" t="str">
        <f>_xlfn.XLOOKUP(Table2[[#This Row],[Adjusted Form '#]],'[2]REJECTED ORDERS'!$D:$D,'[2]REJECTED ORDERS'!$E:$E)</f>
        <v>FORM NOT SIGNED</v>
      </c>
      <c r="Z1498" s="1"/>
      <c r="AA1498" s="1"/>
    </row>
    <row r="1499" spans="1:27" ht="15" customHeight="1" x14ac:dyDescent="0.35">
      <c r="A1499" s="4" t="s">
        <v>2218</v>
      </c>
      <c r="B1499" s="1" t="s">
        <v>1378</v>
      </c>
      <c r="C1499" s="11">
        <v>45145</v>
      </c>
      <c r="D1499" s="11" t="s">
        <v>6578</v>
      </c>
      <c r="E1499" s="1" t="s">
        <v>14</v>
      </c>
      <c r="F1499" s="1" t="s">
        <v>6577</v>
      </c>
      <c r="G1499" s="6">
        <f>COUNTIF(F:F,Table2[[#This Row],[Form '#]])</f>
        <v>1</v>
      </c>
      <c r="H1499" s="1" t="s">
        <v>3513</v>
      </c>
      <c r="I1499" s="1" t="s">
        <v>3852</v>
      </c>
      <c r="J1499" s="1" t="s">
        <v>80</v>
      </c>
      <c r="K1499" s="1" t="s">
        <v>4430</v>
      </c>
      <c r="L1499" s="1"/>
      <c r="M1499" s="6" t="str">
        <f>IF(Table2[[#This Row],[Corrected Form '#
 (If Duplicated)]]="",Table2[[#This Row],[Form '#]],Table2[[#This Row],[Corrected Form '#
 (If Duplicated)]])</f>
        <v>7810-02284</v>
      </c>
      <c r="N1499" s="1" t="s">
        <v>49</v>
      </c>
      <c r="O1499" s="6" t="str">
        <f>IF(Table2[[#This Row],[POG CONFIRMATION RECEIPT OF ORDER
(DATE &amp; TIME)]]="","No Confirmation","Received Confirmation")</f>
        <v>Received Confirmation</v>
      </c>
      <c r="P1499" s="6">
        <f ca="1">TODAY()-Table2[[#This Row],[DATE SENT TO POG]]</f>
        <v>158</v>
      </c>
      <c r="Q1499" s="6" t="s">
        <v>5803</v>
      </c>
      <c r="R14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4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499" s="2" t="str">
        <f>_xlfn.XLOOKUP(Table2[[#This Row],[Adjusted Form '#]],'[2]IN PROGRESS'!$D:$D,'[2]IN PROGRESS'!$M:$M,"Not Found")</f>
        <v>Not Found</v>
      </c>
      <c r="U1499" s="2" t="str">
        <f>_xlfn.XLOOKUP(Table2[[#This Row],[Adjusted Form '#]],[1]COMPLETED!$D:$D,[2]COMPLETED!$M:$M,"Not Found")</f>
        <v>Not Found</v>
      </c>
      <c r="V1499" s="17" t="str">
        <f>_xlfn.XLOOKUP(Table2[[#This Row],[Adjusted Form '#]],[2]COMPLETED!$D:$D,[2]COMPLETED!$O:$O,"Not Found")</f>
        <v>Not Found</v>
      </c>
      <c r="W1499" s="2" t="str">
        <f>_xlfn.XLOOKUP(Table2[[#This Row],[Adjusted Form '#]],[2]BILLED!$D:$D,[2]BILLED!$M:$M,"Not Found")</f>
        <v>9400 1112 0620 9486 9091 26</v>
      </c>
      <c r="X1499" s="17" t="e">
        <f>_xlfn.XLOOKUP(Table2[[#This Row],[Adjusted Form '#]],[2]BILLED!$D:$D,[1]BILLED!$O:$O,"Not Found")</f>
        <v>#REF!</v>
      </c>
      <c r="Y1499" s="17" t="e">
        <f>_xlfn.XLOOKUP(Table2[[#This Row],[Adjusted Form '#]],'[2]REJECTED ORDERS'!$D:$D,'[2]REJECTED ORDERS'!$E:$E)</f>
        <v>#N/A</v>
      </c>
      <c r="Z1499" s="1"/>
      <c r="AA1499" s="1"/>
    </row>
    <row r="1500" spans="1:27" ht="15" customHeight="1" x14ac:dyDescent="0.35">
      <c r="A1500" s="4" t="s">
        <v>2220</v>
      </c>
      <c r="B1500" s="1" t="s">
        <v>409</v>
      </c>
      <c r="C1500" s="11">
        <v>45145</v>
      </c>
      <c r="D1500" s="11" t="s">
        <v>6597</v>
      </c>
      <c r="E1500" s="1" t="s">
        <v>191</v>
      </c>
      <c r="F1500" s="1" t="s">
        <v>6579</v>
      </c>
      <c r="G1500" s="6">
        <f>COUNTIF(F:F,Table2[[#This Row],[Form '#]])</f>
        <v>1</v>
      </c>
      <c r="H1500" s="1" t="s">
        <v>3605</v>
      </c>
      <c r="I1500" s="1" t="s">
        <v>127</v>
      </c>
      <c r="J1500" s="1" t="s">
        <v>74</v>
      </c>
      <c r="K1500" s="1" t="s">
        <v>3883</v>
      </c>
      <c r="L1500" s="1"/>
      <c r="M1500" s="6" t="str">
        <f>IF(Table2[[#This Row],[Corrected Form '#
 (If Duplicated)]]="",Table2[[#This Row],[Form '#]],Table2[[#This Row],[Corrected Form '#
 (If Duplicated)]])</f>
        <v>7812-3709</v>
      </c>
      <c r="N1500" s="1" t="s">
        <v>49</v>
      </c>
      <c r="O1500" s="6" t="str">
        <f>IF(Table2[[#This Row],[POG CONFIRMATION RECEIPT OF ORDER
(DATE &amp; TIME)]]="","No Confirmation","Received Confirmation")</f>
        <v>Received Confirmation</v>
      </c>
      <c r="P1500" s="6">
        <f ca="1">TODAY()-Table2[[#This Row],[DATE SENT TO POG]]</f>
        <v>158</v>
      </c>
      <c r="Q1500" s="6" t="s">
        <v>5803</v>
      </c>
      <c r="R15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0" s="2" t="str">
        <f>_xlfn.XLOOKUP(Table2[[#This Row],[Adjusted Form '#]],'[2]IN PROGRESS'!$D:$D,'[2]IN PROGRESS'!$M:$M,"Not Found")</f>
        <v>Not Found</v>
      </c>
      <c r="U1500" s="2" t="str">
        <f>_xlfn.XLOOKUP(Table2[[#This Row],[Adjusted Form '#]],[1]COMPLETED!$D:$D,[2]COMPLETED!$M:$M,"Not Found")</f>
        <v>Not Found</v>
      </c>
      <c r="V1500" s="17" t="str">
        <f>_xlfn.XLOOKUP(Table2[[#This Row],[Adjusted Form '#]],[2]COMPLETED!$D:$D,[2]COMPLETED!$O:$O,"Not Found")</f>
        <v>Not Found</v>
      </c>
      <c r="W1500" s="2" t="str">
        <f>_xlfn.XLOOKUP(Table2[[#This Row],[Adjusted Form '#]],[2]BILLED!$D:$D,[2]BILLED!$M:$M,"Not Found")</f>
        <v>9400 1112 0620 9486 9699 77</v>
      </c>
      <c r="X1500" s="17" t="e">
        <f>_xlfn.XLOOKUP(Table2[[#This Row],[Adjusted Form '#]],[2]BILLED!$D:$D,[1]BILLED!$O:$O,"Not Found")</f>
        <v>#REF!</v>
      </c>
      <c r="Y1500" s="17" t="e">
        <f>_xlfn.XLOOKUP(Table2[[#This Row],[Adjusted Form '#]],'[2]REJECTED ORDERS'!$D:$D,'[2]REJECTED ORDERS'!$E:$E)</f>
        <v>#N/A</v>
      </c>
      <c r="Z1500" s="1"/>
      <c r="AA1500" s="1"/>
    </row>
    <row r="1501" spans="1:27" ht="15" customHeight="1" x14ac:dyDescent="0.35">
      <c r="A1501" s="4" t="s">
        <v>2221</v>
      </c>
      <c r="B1501" s="1" t="s">
        <v>409</v>
      </c>
      <c r="C1501" s="11">
        <v>45145</v>
      </c>
      <c r="D1501" s="11" t="s">
        <v>6597</v>
      </c>
      <c r="E1501" s="1" t="s">
        <v>191</v>
      </c>
      <c r="F1501" s="1" t="s">
        <v>6580</v>
      </c>
      <c r="G1501" s="6">
        <f>COUNTIF(F:F,Table2[[#This Row],[Form '#]])</f>
        <v>1</v>
      </c>
      <c r="H1501" s="1" t="s">
        <v>3584</v>
      </c>
      <c r="I1501" s="1" t="s">
        <v>3852</v>
      </c>
      <c r="J1501" s="1" t="s">
        <v>80</v>
      </c>
      <c r="K1501" s="1" t="s">
        <v>3853</v>
      </c>
      <c r="L1501" s="1"/>
      <c r="M1501" s="6" t="str">
        <f>IF(Table2[[#This Row],[Corrected Form '#
 (If Duplicated)]]="",Table2[[#This Row],[Form '#]],Table2[[#This Row],[Corrected Form '#
 (If Duplicated)]])</f>
        <v>7812-03314</v>
      </c>
      <c r="N1501" s="1" t="s">
        <v>49</v>
      </c>
      <c r="O1501" s="6" t="str">
        <f>IF(Table2[[#This Row],[POG CONFIRMATION RECEIPT OF ORDER
(DATE &amp; TIME)]]="","No Confirmation","Received Confirmation")</f>
        <v>Received Confirmation</v>
      </c>
      <c r="P1501" s="6">
        <f ca="1">TODAY()-Table2[[#This Row],[DATE SENT TO POG]]</f>
        <v>158</v>
      </c>
      <c r="Q1501" s="6" t="s">
        <v>5803</v>
      </c>
      <c r="R15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1" s="2" t="str">
        <f>_xlfn.XLOOKUP(Table2[[#This Row],[Adjusted Form '#]],'[2]IN PROGRESS'!$D:$D,'[2]IN PROGRESS'!$M:$M,"Not Found")</f>
        <v>Not Found</v>
      </c>
      <c r="U1501" s="2" t="str">
        <f>_xlfn.XLOOKUP(Table2[[#This Row],[Adjusted Form '#]],[1]COMPLETED!$D:$D,[2]COMPLETED!$M:$M,"Not Found")</f>
        <v>Not Found</v>
      </c>
      <c r="V1501" s="17" t="str">
        <f>_xlfn.XLOOKUP(Table2[[#This Row],[Adjusted Form '#]],[2]COMPLETED!$D:$D,[2]COMPLETED!$O:$O,"Not Found")</f>
        <v>Not Found</v>
      </c>
      <c r="W1501" s="2" t="str">
        <f>_xlfn.XLOOKUP(Table2[[#This Row],[Adjusted Form '#]],[2]BILLED!$D:$D,[2]BILLED!$M:$M,"Not Found")</f>
        <v>9400 1112 0620 9459 3060 99</v>
      </c>
      <c r="X1501" s="17" t="e">
        <f>_xlfn.XLOOKUP(Table2[[#This Row],[Adjusted Form '#]],[2]BILLED!$D:$D,[1]BILLED!$O:$O,"Not Found")</f>
        <v>#REF!</v>
      </c>
      <c r="Y1501" s="17" t="e">
        <f>_xlfn.XLOOKUP(Table2[[#This Row],[Adjusted Form '#]],'[2]REJECTED ORDERS'!$D:$D,'[2]REJECTED ORDERS'!$E:$E)</f>
        <v>#N/A</v>
      </c>
      <c r="Z1501" s="1"/>
      <c r="AA1501" s="1"/>
    </row>
    <row r="1502" spans="1:27" ht="15" customHeight="1" x14ac:dyDescent="0.35">
      <c r="A1502" s="4" t="s">
        <v>2223</v>
      </c>
      <c r="B1502" s="1" t="s">
        <v>409</v>
      </c>
      <c r="C1502" s="11">
        <v>45145</v>
      </c>
      <c r="D1502" s="11" t="s">
        <v>6597</v>
      </c>
      <c r="E1502" s="1" t="s">
        <v>191</v>
      </c>
      <c r="F1502" s="1" t="s">
        <v>6581</v>
      </c>
      <c r="G1502" s="6">
        <f>COUNTIF(F:F,Table2[[#This Row],[Form '#]])</f>
        <v>2</v>
      </c>
      <c r="H1502" s="1" t="s">
        <v>6582</v>
      </c>
      <c r="I1502" s="1" t="s">
        <v>3852</v>
      </c>
      <c r="J1502" s="1" t="s">
        <v>80</v>
      </c>
      <c r="K1502" s="1" t="s">
        <v>3853</v>
      </c>
      <c r="L1502" s="1"/>
      <c r="M1502" s="6" t="str">
        <f>IF(Table2[[#This Row],[Corrected Form '#
 (If Duplicated)]]="",Table2[[#This Row],[Form '#]],Table2[[#This Row],[Corrected Form '#
 (If Duplicated)]])</f>
        <v>7812-02285</v>
      </c>
      <c r="N1502" s="1" t="s">
        <v>49</v>
      </c>
      <c r="O1502" s="6" t="str">
        <f>IF(Table2[[#This Row],[POG CONFIRMATION RECEIPT OF ORDER
(DATE &amp; TIME)]]="","No Confirmation","Received Confirmation")</f>
        <v>Received Confirmation</v>
      </c>
      <c r="P1502" s="6">
        <f ca="1">TODAY()-Table2[[#This Row],[DATE SENT TO POG]]</f>
        <v>158</v>
      </c>
      <c r="Q1502" s="6" t="s">
        <v>5802</v>
      </c>
      <c r="R15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50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502" s="2" t="str">
        <f>_xlfn.XLOOKUP(Table2[[#This Row],[Adjusted Form '#]],'[2]IN PROGRESS'!$D:$D,'[2]IN PROGRESS'!$M:$M,"Not Found")</f>
        <v>Not Found</v>
      </c>
      <c r="U1502" s="2" t="str">
        <f>_xlfn.XLOOKUP(Table2[[#This Row],[Adjusted Form '#]],[1]COMPLETED!$D:$D,[2]COMPLETED!$M:$M,"Not Found")</f>
        <v>Not Found</v>
      </c>
      <c r="V1502" s="17" t="str">
        <f>_xlfn.XLOOKUP(Table2[[#This Row],[Adjusted Form '#]],[2]COMPLETED!$D:$D,[2]COMPLETED!$O:$O,"Not Found")</f>
        <v>Not Found</v>
      </c>
      <c r="W1502" s="2" t="str">
        <f>_xlfn.XLOOKUP(Table2[[#This Row],[Adjusted Form '#]],[2]BILLED!$D:$D,[2]BILLED!$M:$M,"Not Found")</f>
        <v>Not Found</v>
      </c>
      <c r="X1502" s="17" t="str">
        <f>_xlfn.XLOOKUP(Table2[[#This Row],[Adjusted Form '#]],[2]BILLED!$D:$D,[1]BILLED!$O:$O,"Not Found")</f>
        <v>Not Found</v>
      </c>
      <c r="Y1502" s="17" t="e">
        <f>_xlfn.XLOOKUP(Table2[[#This Row],[Adjusted Form '#]],'[2]REJECTED ORDERS'!$D:$D,'[2]REJECTED ORDERS'!$E:$E)</f>
        <v>#N/A</v>
      </c>
      <c r="Z1502" s="1"/>
      <c r="AA1502" s="1"/>
    </row>
    <row r="1503" spans="1:27" ht="15" customHeight="1" x14ac:dyDescent="0.35">
      <c r="A1503" s="4" t="s">
        <v>2224</v>
      </c>
      <c r="B1503" s="1" t="s">
        <v>6566</v>
      </c>
      <c r="C1503" s="11">
        <v>45145</v>
      </c>
      <c r="D1503" s="11" t="s">
        <v>6598</v>
      </c>
      <c r="E1503" s="1" t="s">
        <v>21</v>
      </c>
      <c r="F1503" s="1" t="s">
        <v>6583</v>
      </c>
      <c r="G1503" s="6">
        <f>COUNTIF(F:F,Table2[[#This Row],[Form '#]])</f>
        <v>1</v>
      </c>
      <c r="H1503" s="1" t="s">
        <v>6584</v>
      </c>
      <c r="I1503" s="1" t="s">
        <v>3852</v>
      </c>
      <c r="J1503" s="1" t="s">
        <v>75</v>
      </c>
      <c r="K1503" s="1" t="s">
        <v>3853</v>
      </c>
      <c r="L1503" s="1"/>
      <c r="M1503" s="6" t="str">
        <f>IF(Table2[[#This Row],[Corrected Form '#
 (If Duplicated)]]="",Table2[[#This Row],[Form '#]],Table2[[#This Row],[Corrected Form '#
 (If Duplicated)]])</f>
        <v>7818-30933</v>
      </c>
      <c r="N1503" s="1" t="s">
        <v>49</v>
      </c>
      <c r="O1503" s="6" t="str">
        <f>IF(Table2[[#This Row],[POG CONFIRMATION RECEIPT OF ORDER
(DATE &amp; TIME)]]="","No Confirmation","Received Confirmation")</f>
        <v>Received Confirmation</v>
      </c>
      <c r="P1503" s="6">
        <f ca="1">TODAY()-Table2[[#This Row],[DATE SENT TO POG]]</f>
        <v>158</v>
      </c>
      <c r="Q1503" s="6" t="s">
        <v>5803</v>
      </c>
      <c r="R15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3" s="2" t="str">
        <f>_xlfn.XLOOKUP(Table2[[#This Row],[Adjusted Form '#]],'[2]IN PROGRESS'!$D:$D,'[2]IN PROGRESS'!$M:$M,"Not Found")</f>
        <v>Not Found</v>
      </c>
      <c r="U1503" s="2" t="str">
        <f>_xlfn.XLOOKUP(Table2[[#This Row],[Adjusted Form '#]],[1]COMPLETED!$D:$D,[2]COMPLETED!$M:$M,"Not Found")</f>
        <v>Not Found</v>
      </c>
      <c r="V1503" s="17" t="str">
        <f>_xlfn.XLOOKUP(Table2[[#This Row],[Adjusted Form '#]],[2]COMPLETED!$D:$D,[2]COMPLETED!$O:$O,"Not Found")</f>
        <v>Not Found</v>
      </c>
      <c r="W1503" s="2" t="str">
        <f>_xlfn.XLOOKUP(Table2[[#This Row],[Adjusted Form '#]],[2]BILLED!$D:$D,[2]BILLED!$M:$M,"Not Found")</f>
        <v>9400 1112 0620 9481 3024 96</v>
      </c>
      <c r="X1503" s="17" t="e">
        <f>_xlfn.XLOOKUP(Table2[[#This Row],[Adjusted Form '#]],[2]BILLED!$D:$D,[1]BILLED!$O:$O,"Not Found")</f>
        <v>#REF!</v>
      </c>
      <c r="Y1503" s="17" t="e">
        <f>_xlfn.XLOOKUP(Table2[[#This Row],[Adjusted Form '#]],'[2]REJECTED ORDERS'!$D:$D,'[2]REJECTED ORDERS'!$E:$E)</f>
        <v>#N/A</v>
      </c>
      <c r="Z1503" s="1"/>
      <c r="AA1503" s="1"/>
    </row>
    <row r="1504" spans="1:27" ht="15" customHeight="1" x14ac:dyDescent="0.35">
      <c r="A1504" s="4" t="s">
        <v>2225</v>
      </c>
      <c r="B1504" s="1" t="s">
        <v>6566</v>
      </c>
      <c r="C1504" s="11">
        <v>45145</v>
      </c>
      <c r="D1504" s="11" t="s">
        <v>6598</v>
      </c>
      <c r="E1504" s="1" t="s">
        <v>21</v>
      </c>
      <c r="F1504" s="1" t="s">
        <v>6585</v>
      </c>
      <c r="G1504" s="6">
        <f>COUNTIF(F:F,Table2[[#This Row],[Form '#]])</f>
        <v>1</v>
      </c>
      <c r="H1504" s="1" t="s">
        <v>2160</v>
      </c>
      <c r="I1504" s="1" t="s">
        <v>3852</v>
      </c>
      <c r="J1504" s="1" t="s">
        <v>75</v>
      </c>
      <c r="K1504" s="1" t="s">
        <v>3853</v>
      </c>
      <c r="L1504" s="1"/>
      <c r="M1504" s="6" t="str">
        <f>IF(Table2[[#This Row],[Corrected Form '#
 (If Duplicated)]]="",Table2[[#This Row],[Form '#]],Table2[[#This Row],[Corrected Form '#
 (If Duplicated)]])</f>
        <v>7818-32146</v>
      </c>
      <c r="N1504" s="1" t="s">
        <v>49</v>
      </c>
      <c r="O1504" s="6" t="str">
        <f>IF(Table2[[#This Row],[POG CONFIRMATION RECEIPT OF ORDER
(DATE &amp; TIME)]]="","No Confirmation","Received Confirmation")</f>
        <v>Received Confirmation</v>
      </c>
      <c r="P1504" s="6">
        <f ca="1">TODAY()-Table2[[#This Row],[DATE SENT TO POG]]</f>
        <v>158</v>
      </c>
      <c r="Q1504" s="6" t="s">
        <v>5803</v>
      </c>
      <c r="R15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4" s="2" t="str">
        <f>_xlfn.XLOOKUP(Table2[[#This Row],[Adjusted Form '#]],'[2]IN PROGRESS'!$D:$D,'[2]IN PROGRESS'!$M:$M,"Not Found")</f>
        <v>Not Found</v>
      </c>
      <c r="U1504" s="2" t="str">
        <f>_xlfn.XLOOKUP(Table2[[#This Row],[Adjusted Form '#]],[1]COMPLETED!$D:$D,[2]COMPLETED!$M:$M,"Not Found")</f>
        <v>Not Found</v>
      </c>
      <c r="V1504" s="17" t="str">
        <f>_xlfn.XLOOKUP(Table2[[#This Row],[Adjusted Form '#]],[2]COMPLETED!$D:$D,[2]COMPLETED!$O:$O,"Not Found")</f>
        <v>Not Found</v>
      </c>
      <c r="W1504" s="2" t="str">
        <f>_xlfn.XLOOKUP(Table2[[#This Row],[Adjusted Form '#]],[2]BILLED!$D:$D,[2]BILLED!$M:$M,"Not Found")</f>
        <v>9400 1112 0620 9481 0520 56</v>
      </c>
      <c r="X1504" s="17" t="e">
        <f>_xlfn.XLOOKUP(Table2[[#This Row],[Adjusted Form '#]],[2]BILLED!$D:$D,[1]BILLED!$O:$O,"Not Found")</f>
        <v>#REF!</v>
      </c>
      <c r="Y1504" s="17" t="e">
        <f>_xlfn.XLOOKUP(Table2[[#This Row],[Adjusted Form '#]],'[2]REJECTED ORDERS'!$D:$D,'[2]REJECTED ORDERS'!$E:$E)</f>
        <v>#N/A</v>
      </c>
      <c r="Z1504" s="1"/>
      <c r="AA1504" s="1"/>
    </row>
    <row r="1505" spans="1:27" ht="15" customHeight="1" x14ac:dyDescent="0.35">
      <c r="A1505" s="4" t="s">
        <v>2227</v>
      </c>
      <c r="B1505" s="1" t="s">
        <v>6566</v>
      </c>
      <c r="C1505" s="11">
        <v>45145</v>
      </c>
      <c r="D1505" s="11" t="s">
        <v>6598</v>
      </c>
      <c r="E1505" s="1" t="s">
        <v>21</v>
      </c>
      <c r="F1505" s="1" t="s">
        <v>6586</v>
      </c>
      <c r="G1505" s="6">
        <f>COUNTIF(F:F,Table2[[#This Row],[Form '#]])</f>
        <v>1</v>
      </c>
      <c r="H1505" s="1" t="s">
        <v>1236</v>
      </c>
      <c r="I1505" s="1" t="s">
        <v>758</v>
      </c>
      <c r="J1505" s="1" t="s">
        <v>78</v>
      </c>
      <c r="K1505" s="1" t="s">
        <v>3853</v>
      </c>
      <c r="L1505" s="1"/>
      <c r="M1505" s="6" t="str">
        <f>IF(Table2[[#This Row],[Corrected Form '#
 (If Duplicated)]]="",Table2[[#This Row],[Form '#]],Table2[[#This Row],[Corrected Form '#
 (If Duplicated)]])</f>
        <v>7818-32145</v>
      </c>
      <c r="N1505" s="1" t="s">
        <v>49</v>
      </c>
      <c r="O1505" s="6" t="str">
        <f>IF(Table2[[#This Row],[POG CONFIRMATION RECEIPT OF ORDER
(DATE &amp; TIME)]]="","No Confirmation","Received Confirmation")</f>
        <v>Received Confirmation</v>
      </c>
      <c r="P1505" s="6">
        <f ca="1">TODAY()-Table2[[#This Row],[DATE SENT TO POG]]</f>
        <v>158</v>
      </c>
      <c r="Q1505" s="6" t="s">
        <v>5803</v>
      </c>
      <c r="R15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5" s="2" t="str">
        <f>_xlfn.XLOOKUP(Table2[[#This Row],[Adjusted Form '#]],'[2]IN PROGRESS'!$D:$D,'[2]IN PROGRESS'!$M:$M,"Not Found")</f>
        <v>Not Found</v>
      </c>
      <c r="U1505" s="2" t="str">
        <f>_xlfn.XLOOKUP(Table2[[#This Row],[Adjusted Form '#]],[1]COMPLETED!$D:$D,[2]COMPLETED!$M:$M,"Not Found")</f>
        <v>Not Found</v>
      </c>
      <c r="V1505" s="17" t="str">
        <f>_xlfn.XLOOKUP(Table2[[#This Row],[Adjusted Form '#]],[2]COMPLETED!$D:$D,[2]COMPLETED!$O:$O,"Not Found")</f>
        <v>Not Found</v>
      </c>
      <c r="W1505" s="2" t="str">
        <f>_xlfn.XLOOKUP(Table2[[#This Row],[Adjusted Form '#]],[2]BILLED!$D:$D,[2]BILLED!$M:$M,"Not Found")</f>
        <v>9400 1112 0620 9461 4847 85</v>
      </c>
      <c r="X1505" s="17" t="e">
        <f>_xlfn.XLOOKUP(Table2[[#This Row],[Adjusted Form '#]],[2]BILLED!$D:$D,[1]BILLED!$O:$O,"Not Found")</f>
        <v>#REF!</v>
      </c>
      <c r="Y1505" s="17" t="e">
        <f>_xlfn.XLOOKUP(Table2[[#This Row],[Adjusted Form '#]],'[2]REJECTED ORDERS'!$D:$D,'[2]REJECTED ORDERS'!$E:$E)</f>
        <v>#N/A</v>
      </c>
      <c r="Z1505" s="1"/>
      <c r="AA1505" s="1"/>
    </row>
    <row r="1506" spans="1:27" ht="15" customHeight="1" x14ac:dyDescent="0.35">
      <c r="A1506" s="4" t="s">
        <v>2228</v>
      </c>
      <c r="B1506" s="1" t="s">
        <v>6566</v>
      </c>
      <c r="C1506" s="11">
        <v>45145</v>
      </c>
      <c r="D1506" s="11" t="s">
        <v>6598</v>
      </c>
      <c r="E1506" s="1" t="s">
        <v>21</v>
      </c>
      <c r="F1506" s="1" t="s">
        <v>6587</v>
      </c>
      <c r="G1506" s="6">
        <f>COUNTIF(F:F,Table2[[#This Row],[Form '#]])</f>
        <v>1</v>
      </c>
      <c r="H1506" s="1" t="s">
        <v>6588</v>
      </c>
      <c r="I1506" s="1" t="s">
        <v>127</v>
      </c>
      <c r="J1506" s="1" t="s">
        <v>76</v>
      </c>
      <c r="K1506" s="1" t="s">
        <v>4011</v>
      </c>
      <c r="L1506" s="1"/>
      <c r="M1506" s="6" t="str">
        <f>IF(Table2[[#This Row],[Corrected Form '#
 (If Duplicated)]]="",Table2[[#This Row],[Form '#]],Table2[[#This Row],[Corrected Form '#
 (If Duplicated)]])</f>
        <v>7818-16946</v>
      </c>
      <c r="N1506" s="1" t="s">
        <v>49</v>
      </c>
      <c r="O1506" s="6" t="str">
        <f>IF(Table2[[#This Row],[POG CONFIRMATION RECEIPT OF ORDER
(DATE &amp; TIME)]]="","No Confirmation","Received Confirmation")</f>
        <v>Received Confirmation</v>
      </c>
      <c r="P1506" s="6">
        <f ca="1">TODAY()-Table2[[#This Row],[DATE SENT TO POG]]</f>
        <v>158</v>
      </c>
      <c r="Q1506" s="6" t="s">
        <v>5803</v>
      </c>
      <c r="R15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6" s="2" t="str">
        <f>_xlfn.XLOOKUP(Table2[[#This Row],[Adjusted Form '#]],'[2]IN PROGRESS'!$D:$D,'[2]IN PROGRESS'!$M:$M,"Not Found")</f>
        <v>Not Found</v>
      </c>
      <c r="U1506" s="2" t="str">
        <f>_xlfn.XLOOKUP(Table2[[#This Row],[Adjusted Form '#]],[1]COMPLETED!$D:$D,[2]COMPLETED!$M:$M,"Not Found")</f>
        <v>Not Found</v>
      </c>
      <c r="V1506" s="17" t="str">
        <f>_xlfn.XLOOKUP(Table2[[#This Row],[Adjusted Form '#]],[2]COMPLETED!$D:$D,[2]COMPLETED!$O:$O,"Not Found")</f>
        <v>Not Found</v>
      </c>
      <c r="W1506" s="2" t="str">
        <f>_xlfn.XLOOKUP(Table2[[#This Row],[Adjusted Form '#]],[2]BILLED!$D:$D,[2]BILLED!$M:$M,"Not Found")</f>
        <v>9400 1112 0620 9481 0367 59</v>
      </c>
      <c r="X1506" s="17" t="e">
        <f>_xlfn.XLOOKUP(Table2[[#This Row],[Adjusted Form '#]],[2]BILLED!$D:$D,[1]BILLED!$O:$O,"Not Found")</f>
        <v>#REF!</v>
      </c>
      <c r="Y1506" s="17" t="e">
        <f>_xlfn.XLOOKUP(Table2[[#This Row],[Adjusted Form '#]],'[2]REJECTED ORDERS'!$D:$D,'[2]REJECTED ORDERS'!$E:$E)</f>
        <v>#N/A</v>
      </c>
      <c r="Z1506" s="1"/>
      <c r="AA1506" s="1"/>
    </row>
    <row r="1507" spans="1:27" ht="15" customHeight="1" x14ac:dyDescent="0.35">
      <c r="A1507" s="4" t="s">
        <v>2230</v>
      </c>
      <c r="B1507" s="1" t="s">
        <v>6566</v>
      </c>
      <c r="C1507" s="11">
        <v>45145</v>
      </c>
      <c r="D1507" s="11" t="s">
        <v>6598</v>
      </c>
      <c r="E1507" s="1" t="s">
        <v>21</v>
      </c>
      <c r="F1507" s="1" t="s">
        <v>6589</v>
      </c>
      <c r="G1507" s="6">
        <f>COUNTIF(F:F,Table2[[#This Row],[Form '#]])</f>
        <v>1</v>
      </c>
      <c r="H1507" s="1" t="s">
        <v>6590</v>
      </c>
      <c r="I1507" s="1" t="s">
        <v>127</v>
      </c>
      <c r="J1507" s="1" t="s">
        <v>71</v>
      </c>
      <c r="K1507" s="1" t="s">
        <v>3883</v>
      </c>
      <c r="L1507" s="1"/>
      <c r="M1507" s="6" t="str">
        <f>IF(Table2[[#This Row],[Corrected Form '#
 (If Duplicated)]]="",Table2[[#This Row],[Form '#]],Table2[[#This Row],[Corrected Form '#
 (If Duplicated)]])</f>
        <v>7818-14009</v>
      </c>
      <c r="N1507" s="1" t="s">
        <v>49</v>
      </c>
      <c r="O1507" s="6" t="str">
        <f>IF(Table2[[#This Row],[POG CONFIRMATION RECEIPT OF ORDER
(DATE &amp; TIME)]]="","No Confirmation","Received Confirmation")</f>
        <v>Received Confirmation</v>
      </c>
      <c r="P1507" s="6">
        <f ca="1">TODAY()-Table2[[#This Row],[DATE SENT TO POG]]</f>
        <v>158</v>
      </c>
      <c r="Q1507" s="6" t="s">
        <v>5803</v>
      </c>
      <c r="R15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7" s="2" t="str">
        <f>_xlfn.XLOOKUP(Table2[[#This Row],[Adjusted Form '#]],'[2]IN PROGRESS'!$D:$D,'[2]IN PROGRESS'!$M:$M,"Not Found")</f>
        <v>Not Found</v>
      </c>
      <c r="U1507" s="2" t="str">
        <f>_xlfn.XLOOKUP(Table2[[#This Row],[Adjusted Form '#]],[1]COMPLETED!$D:$D,[2]COMPLETED!$M:$M,"Not Found")</f>
        <v>Not Found</v>
      </c>
      <c r="V1507" s="17" t="str">
        <f>_xlfn.XLOOKUP(Table2[[#This Row],[Adjusted Form '#]],[2]COMPLETED!$D:$D,[2]COMPLETED!$O:$O,"Not Found")</f>
        <v>Not Found</v>
      </c>
      <c r="W1507" s="2" t="str">
        <f>_xlfn.XLOOKUP(Table2[[#This Row],[Adjusted Form '#]],[2]BILLED!$D:$D,[2]BILLED!$M:$M,"Not Found")</f>
        <v>9400 1112 0620 9481 2132 59</v>
      </c>
      <c r="X1507" s="17" t="e">
        <f>_xlfn.XLOOKUP(Table2[[#This Row],[Adjusted Form '#]],[2]BILLED!$D:$D,[1]BILLED!$O:$O,"Not Found")</f>
        <v>#REF!</v>
      </c>
      <c r="Y1507" s="17" t="e">
        <f>_xlfn.XLOOKUP(Table2[[#This Row],[Adjusted Form '#]],'[2]REJECTED ORDERS'!$D:$D,'[2]REJECTED ORDERS'!$E:$E)</f>
        <v>#N/A</v>
      </c>
      <c r="Z1507" s="1"/>
      <c r="AA1507" s="1"/>
    </row>
    <row r="1508" spans="1:27" ht="15" customHeight="1" x14ac:dyDescent="0.35">
      <c r="A1508" s="4" t="s">
        <v>2231</v>
      </c>
      <c r="B1508" s="1" t="s">
        <v>6566</v>
      </c>
      <c r="C1508" s="11">
        <v>45145</v>
      </c>
      <c r="D1508" s="11" t="s">
        <v>6598</v>
      </c>
      <c r="E1508" s="1" t="s">
        <v>21</v>
      </c>
      <c r="F1508" s="1" t="s">
        <v>3737</v>
      </c>
      <c r="G1508" s="6">
        <f>COUNTIF(F:F,Table2[[#This Row],[Form '#]])</f>
        <v>1</v>
      </c>
      <c r="H1508" s="1" t="s">
        <v>6591</v>
      </c>
      <c r="I1508" s="1" t="s">
        <v>3864</v>
      </c>
      <c r="J1508" s="1" t="s">
        <v>78</v>
      </c>
      <c r="K1508" s="1" t="s">
        <v>3879</v>
      </c>
      <c r="L1508" s="1"/>
      <c r="M1508" s="6" t="str">
        <f>IF(Table2[[#This Row],[Corrected Form '#
 (If Duplicated)]]="",Table2[[#This Row],[Form '#]],Table2[[#This Row],[Corrected Form '#
 (If Duplicated)]])</f>
        <v>7818-23990</v>
      </c>
      <c r="N1508" s="1" t="s">
        <v>49</v>
      </c>
      <c r="O1508" s="6" t="str">
        <f>IF(Table2[[#This Row],[POG CONFIRMATION RECEIPT OF ORDER
(DATE &amp; TIME)]]="","No Confirmation","Received Confirmation")</f>
        <v>Received Confirmation</v>
      </c>
      <c r="P1508" s="6">
        <f ca="1">TODAY()-Table2[[#This Row],[DATE SENT TO POG]]</f>
        <v>158</v>
      </c>
      <c r="Q1508" s="6" t="s">
        <v>5803</v>
      </c>
      <c r="R15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8" s="2" t="str">
        <f>_xlfn.XLOOKUP(Table2[[#This Row],[Adjusted Form '#]],'[2]IN PROGRESS'!$D:$D,'[2]IN PROGRESS'!$M:$M,"Not Found")</f>
        <v>Not Found</v>
      </c>
      <c r="U1508" s="2" t="str">
        <f>_xlfn.XLOOKUP(Table2[[#This Row],[Adjusted Form '#]],[1]COMPLETED!$D:$D,[2]COMPLETED!$M:$M,"Not Found")</f>
        <v>Not Found</v>
      </c>
      <c r="V1508" s="17" t="str">
        <f>_xlfn.XLOOKUP(Table2[[#This Row],[Adjusted Form '#]],[2]COMPLETED!$D:$D,[2]COMPLETED!$O:$O,"Not Found")</f>
        <v>Not Found</v>
      </c>
      <c r="W1508" s="2" t="str">
        <f>_xlfn.XLOOKUP(Table2[[#This Row],[Adjusted Form '#]],[2]BILLED!$D:$D,[2]BILLED!$M:$M,"Not Found")</f>
        <v>9400 1112 0620 9444 6503 43</v>
      </c>
      <c r="X1508" s="17" t="e">
        <f>_xlfn.XLOOKUP(Table2[[#This Row],[Adjusted Form '#]],[2]BILLED!$D:$D,[1]BILLED!$O:$O,"Not Found")</f>
        <v>#REF!</v>
      </c>
      <c r="Y1508" s="17" t="e">
        <f>_xlfn.XLOOKUP(Table2[[#This Row],[Adjusted Form '#]],'[2]REJECTED ORDERS'!$D:$D,'[2]REJECTED ORDERS'!$E:$E)</f>
        <v>#N/A</v>
      </c>
      <c r="Z1508" s="1"/>
      <c r="AA1508" s="1"/>
    </row>
    <row r="1509" spans="1:27" ht="15" customHeight="1" x14ac:dyDescent="0.35">
      <c r="A1509" s="4" t="s">
        <v>2232</v>
      </c>
      <c r="B1509" s="1" t="s">
        <v>6566</v>
      </c>
      <c r="C1509" s="11">
        <v>45145</v>
      </c>
      <c r="D1509" s="11" t="s">
        <v>6598</v>
      </c>
      <c r="E1509" s="1" t="s">
        <v>21</v>
      </c>
      <c r="F1509" s="1" t="s">
        <v>6592</v>
      </c>
      <c r="G1509" s="6">
        <f>COUNTIF(F:F,Table2[[#This Row],[Form '#]])</f>
        <v>1</v>
      </c>
      <c r="H1509" s="1" t="s">
        <v>6593</v>
      </c>
      <c r="I1509" s="1" t="s">
        <v>3852</v>
      </c>
      <c r="J1509" s="1" t="s">
        <v>80</v>
      </c>
      <c r="K1509" s="1" t="s">
        <v>3853</v>
      </c>
      <c r="L1509" s="1"/>
      <c r="M1509" s="6" t="str">
        <f>IF(Table2[[#This Row],[Corrected Form '#
 (If Duplicated)]]="",Table2[[#This Row],[Form '#]],Table2[[#This Row],[Corrected Form '#
 (If Duplicated)]])</f>
        <v>7818-15946</v>
      </c>
      <c r="N1509" s="1" t="s">
        <v>49</v>
      </c>
      <c r="O1509" s="6" t="str">
        <f>IF(Table2[[#This Row],[POG CONFIRMATION RECEIPT OF ORDER
(DATE &amp; TIME)]]="","No Confirmation","Received Confirmation")</f>
        <v>Received Confirmation</v>
      </c>
      <c r="P1509" s="6">
        <f ca="1">TODAY()-Table2[[#This Row],[DATE SENT TO POG]]</f>
        <v>158</v>
      </c>
      <c r="Q1509" s="6" t="s">
        <v>5803</v>
      </c>
      <c r="R15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09" s="2" t="str">
        <f>_xlfn.XLOOKUP(Table2[[#This Row],[Adjusted Form '#]],'[2]IN PROGRESS'!$D:$D,'[2]IN PROGRESS'!$M:$M,"Not Found")</f>
        <v>Not Found</v>
      </c>
      <c r="U1509" s="2" t="str">
        <f>_xlfn.XLOOKUP(Table2[[#This Row],[Adjusted Form '#]],[1]COMPLETED!$D:$D,[2]COMPLETED!$M:$M,"Not Found")</f>
        <v>Not Found</v>
      </c>
      <c r="V1509" s="17" t="str">
        <f>_xlfn.XLOOKUP(Table2[[#This Row],[Adjusted Form '#]],[2]COMPLETED!$D:$D,[2]COMPLETED!$O:$O,"Not Found")</f>
        <v>Not Found</v>
      </c>
      <c r="W1509" s="2" t="str">
        <f>_xlfn.XLOOKUP(Table2[[#This Row],[Adjusted Form '#]],[2]BILLED!$D:$D,[2]BILLED!$M:$M,"Not Found")</f>
        <v>9400 1112 0620 9481 3629 19</v>
      </c>
      <c r="X1509" s="17" t="e">
        <f>_xlfn.XLOOKUP(Table2[[#This Row],[Adjusted Form '#]],[2]BILLED!$D:$D,[1]BILLED!$O:$O,"Not Found")</f>
        <v>#REF!</v>
      </c>
      <c r="Y1509" s="17" t="e">
        <f>_xlfn.XLOOKUP(Table2[[#This Row],[Adjusted Form '#]],'[2]REJECTED ORDERS'!$D:$D,'[2]REJECTED ORDERS'!$E:$E)</f>
        <v>#N/A</v>
      </c>
      <c r="Z1509" s="1"/>
      <c r="AA1509" s="1"/>
    </row>
    <row r="1510" spans="1:27" ht="15" customHeight="1" x14ac:dyDescent="0.35">
      <c r="A1510" s="4" t="s">
        <v>2233</v>
      </c>
      <c r="B1510" s="1" t="s">
        <v>3637</v>
      </c>
      <c r="C1510" s="11">
        <v>45146</v>
      </c>
      <c r="D1510" s="11" t="s">
        <v>6599</v>
      </c>
      <c r="E1510" s="1" t="s">
        <v>14</v>
      </c>
      <c r="F1510" s="1" t="s">
        <v>6594</v>
      </c>
      <c r="G1510" s="6">
        <f>COUNTIF(F:F,Table2[[#This Row],[Form '#]])</f>
        <v>1</v>
      </c>
      <c r="H1510" s="1" t="s">
        <v>6595</v>
      </c>
      <c r="I1510" s="1" t="s">
        <v>3864</v>
      </c>
      <c r="J1510" s="1" t="s">
        <v>78</v>
      </c>
      <c r="K1510" s="1" t="s">
        <v>3879</v>
      </c>
      <c r="L1510" s="1"/>
      <c r="M1510" s="6" t="str">
        <f>IF(Table2[[#This Row],[Corrected Form '#
 (If Duplicated)]]="",Table2[[#This Row],[Form '#]],Table2[[#This Row],[Corrected Form '#
 (If Duplicated)]])</f>
        <v>7810-02264</v>
      </c>
      <c r="N1510" s="1" t="s">
        <v>49</v>
      </c>
      <c r="O1510" s="6" t="str">
        <f>IF(Table2[[#This Row],[POG CONFIRMATION RECEIPT OF ORDER
(DATE &amp; TIME)]]="","No Confirmation","Received Confirmation")</f>
        <v>Received Confirmation</v>
      </c>
      <c r="P1510" s="6">
        <f ca="1">TODAY()-Table2[[#This Row],[DATE SENT TO POG]]</f>
        <v>157</v>
      </c>
      <c r="Q1510" s="6" t="s">
        <v>5803</v>
      </c>
      <c r="R15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0" s="2" t="str">
        <f>_xlfn.XLOOKUP(Table2[[#This Row],[Adjusted Form '#]],'[2]IN PROGRESS'!$D:$D,'[2]IN PROGRESS'!$M:$M,"Not Found")</f>
        <v>Not Found</v>
      </c>
      <c r="U1510" s="2" t="str">
        <f>_xlfn.XLOOKUP(Table2[[#This Row],[Adjusted Form '#]],[1]COMPLETED!$D:$D,[2]COMPLETED!$M:$M,"Not Found")</f>
        <v>Not Found</v>
      </c>
      <c r="V1510" s="17" t="str">
        <f>_xlfn.XLOOKUP(Table2[[#This Row],[Adjusted Form '#]],[2]COMPLETED!$D:$D,[2]COMPLETED!$O:$O,"Not Found")</f>
        <v>Not Found</v>
      </c>
      <c r="W1510" s="2" t="str">
        <f>_xlfn.XLOOKUP(Table2[[#This Row],[Adjusted Form '#]],[2]BILLED!$D:$D,[2]BILLED!$M:$M,"Not Found")</f>
        <v>9400 1112 0620 9481 8648 33</v>
      </c>
      <c r="X1510" s="17" t="e">
        <f>_xlfn.XLOOKUP(Table2[[#This Row],[Adjusted Form '#]],[2]BILLED!$D:$D,[1]BILLED!$O:$O,"Not Found")</f>
        <v>#REF!</v>
      </c>
      <c r="Y1510" s="17" t="e">
        <f>_xlfn.XLOOKUP(Table2[[#This Row],[Adjusted Form '#]],'[2]REJECTED ORDERS'!$D:$D,'[2]REJECTED ORDERS'!$E:$E)</f>
        <v>#N/A</v>
      </c>
      <c r="Z1510" s="1"/>
      <c r="AA1510" s="1"/>
    </row>
    <row r="1511" spans="1:27" ht="15" customHeight="1" x14ac:dyDescent="0.35">
      <c r="A1511" s="4" t="s">
        <v>2235</v>
      </c>
      <c r="B1511" s="1" t="s">
        <v>246</v>
      </c>
      <c r="C1511" s="11">
        <v>45146</v>
      </c>
      <c r="E1511" s="1" t="s">
        <v>73</v>
      </c>
      <c r="F1511" s="1" t="s">
        <v>6596</v>
      </c>
      <c r="G1511" s="6">
        <f>COUNTIF(F:F,Table2[[#This Row],[Form '#]])</f>
        <v>1</v>
      </c>
      <c r="H1511" s="1" t="s">
        <v>1353</v>
      </c>
      <c r="I1511" s="1" t="s">
        <v>106</v>
      </c>
      <c r="J1511" s="1" t="s">
        <v>72</v>
      </c>
      <c r="K1511" s="1" t="s">
        <v>3891</v>
      </c>
      <c r="L1511" s="1"/>
      <c r="M1511" s="6" t="str">
        <f>IF(Table2[[#This Row],[Corrected Form '#
 (If Duplicated)]]="",Table2[[#This Row],[Form '#]],Table2[[#This Row],[Corrected Form '#
 (If Duplicated)]])</f>
        <v>7823-03061</v>
      </c>
      <c r="N1511" s="1" t="s">
        <v>49</v>
      </c>
      <c r="O1511" s="6" t="str">
        <f>IF(Table2[[#This Row],[POG CONFIRMATION RECEIPT OF ORDER
(DATE &amp; TIME)]]="","No Confirmation","Received Confirmation")</f>
        <v>No Confirmation</v>
      </c>
      <c r="P1511" s="6">
        <f ca="1">TODAY()-Table2[[#This Row],[DATE SENT TO POG]]</f>
        <v>157</v>
      </c>
      <c r="Q1511" s="6" t="s">
        <v>5803</v>
      </c>
      <c r="R15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1" s="2" t="str">
        <f>_xlfn.XLOOKUP(Table2[[#This Row],[Adjusted Form '#]],'[2]IN PROGRESS'!$D:$D,'[2]IN PROGRESS'!$M:$M,"Not Found")</f>
        <v>Not Found</v>
      </c>
      <c r="U1511" s="2" t="str">
        <f>_xlfn.XLOOKUP(Table2[[#This Row],[Adjusted Form '#]],[1]COMPLETED!$D:$D,[2]COMPLETED!$M:$M,"Not Found")</f>
        <v>Not Found</v>
      </c>
      <c r="V1511" s="17" t="str">
        <f>_xlfn.XLOOKUP(Table2[[#This Row],[Adjusted Form '#]],[2]COMPLETED!$D:$D,[2]COMPLETED!$O:$O,"Not Found")</f>
        <v>Not Found</v>
      </c>
      <c r="W1511" s="2" t="str">
        <f>_xlfn.XLOOKUP(Table2[[#This Row],[Adjusted Form '#]],[2]BILLED!$D:$D,[2]BILLED!$M:$M,"Not Found")</f>
        <v>9400 1112 0620 9498 6150 84</v>
      </c>
      <c r="X1511" s="17" t="e">
        <f>_xlfn.XLOOKUP(Table2[[#This Row],[Adjusted Form '#]],[2]BILLED!$D:$D,[1]BILLED!$O:$O,"Not Found")</f>
        <v>#REF!</v>
      </c>
      <c r="Y1511" s="17" t="e">
        <f>_xlfn.XLOOKUP(Table2[[#This Row],[Adjusted Form '#]],'[2]REJECTED ORDERS'!$D:$D,'[2]REJECTED ORDERS'!$E:$E)</f>
        <v>#N/A</v>
      </c>
      <c r="Z1511" s="1"/>
      <c r="AA1511" s="1"/>
    </row>
    <row r="1512" spans="1:27" ht="15" customHeight="1" x14ac:dyDescent="0.35">
      <c r="A1512" s="4" t="s">
        <v>2236</v>
      </c>
      <c r="B1512" s="1" t="s">
        <v>1484</v>
      </c>
      <c r="C1512" s="11">
        <v>45146</v>
      </c>
      <c r="D1512" s="11" t="s">
        <v>6620</v>
      </c>
      <c r="E1512" s="1" t="s">
        <v>21</v>
      </c>
      <c r="F1512" s="1" t="s">
        <v>6600</v>
      </c>
      <c r="G1512" s="6">
        <f>COUNTIF(F:F,Table2[[#This Row],[Form '#]])</f>
        <v>1</v>
      </c>
      <c r="H1512" s="1" t="s">
        <v>1250</v>
      </c>
      <c r="I1512" s="1" t="s">
        <v>127</v>
      </c>
      <c r="J1512" s="1" t="s">
        <v>76</v>
      </c>
      <c r="K1512" s="1" t="s">
        <v>3883</v>
      </c>
      <c r="L1512" s="1"/>
      <c r="M1512" s="6" t="str">
        <f>IF(Table2[[#This Row],[Corrected Form '#
 (If Duplicated)]]="",Table2[[#This Row],[Form '#]],Table2[[#This Row],[Corrected Form '#
 (If Duplicated)]])</f>
        <v>7818-20820</v>
      </c>
      <c r="N1512" s="1" t="s">
        <v>49</v>
      </c>
      <c r="O1512" s="6" t="str">
        <f>IF(Table2[[#This Row],[POG CONFIRMATION RECEIPT OF ORDER
(DATE &amp; TIME)]]="","No Confirmation","Received Confirmation")</f>
        <v>Received Confirmation</v>
      </c>
      <c r="P1512" s="6">
        <f ca="1">TODAY()-Table2[[#This Row],[DATE SENT TO POG]]</f>
        <v>157</v>
      </c>
      <c r="Q1512" s="6" t="s">
        <v>5803</v>
      </c>
      <c r="R15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2" s="2" t="str">
        <f>_xlfn.XLOOKUP(Table2[[#This Row],[Adjusted Form '#]],'[2]IN PROGRESS'!$D:$D,'[2]IN PROGRESS'!$M:$M,"Not Found")</f>
        <v>Not Found</v>
      </c>
      <c r="U1512" s="2" t="str">
        <f>_xlfn.XLOOKUP(Table2[[#This Row],[Adjusted Form '#]],[1]COMPLETED!$D:$D,[2]COMPLETED!$M:$M,"Not Found")</f>
        <v>Not Found</v>
      </c>
      <c r="V1512" s="17" t="str">
        <f>_xlfn.XLOOKUP(Table2[[#This Row],[Adjusted Form '#]],[2]COMPLETED!$D:$D,[2]COMPLETED!$O:$O,"Not Found")</f>
        <v>Not Found</v>
      </c>
      <c r="W1512" s="2" t="str">
        <f>_xlfn.XLOOKUP(Table2[[#This Row],[Adjusted Form '#]],[2]BILLED!$D:$D,[2]BILLED!$M:$M,"Not Found")</f>
        <v>9400 1112 0620 94618158 62</v>
      </c>
      <c r="X1512" s="17" t="e">
        <f>_xlfn.XLOOKUP(Table2[[#This Row],[Adjusted Form '#]],[2]BILLED!$D:$D,[1]BILLED!$O:$O,"Not Found")</f>
        <v>#REF!</v>
      </c>
      <c r="Y1512" s="17" t="e">
        <f>_xlfn.XLOOKUP(Table2[[#This Row],[Adjusted Form '#]],'[2]REJECTED ORDERS'!$D:$D,'[2]REJECTED ORDERS'!$E:$E)</f>
        <v>#N/A</v>
      </c>
      <c r="Z1512" s="1"/>
      <c r="AA1512" s="1"/>
    </row>
    <row r="1513" spans="1:27" ht="15" customHeight="1" x14ac:dyDescent="0.35">
      <c r="A1513" s="4" t="s">
        <v>2238</v>
      </c>
      <c r="B1513" s="1" t="s">
        <v>1484</v>
      </c>
      <c r="C1513" s="11">
        <v>45146</v>
      </c>
      <c r="D1513" s="11" t="s">
        <v>6620</v>
      </c>
      <c r="E1513" s="1" t="s">
        <v>21</v>
      </c>
      <c r="F1513" s="1" t="s">
        <v>6601</v>
      </c>
      <c r="G1513" s="6">
        <f>COUNTIF(F:F,Table2[[#This Row],[Form '#]])</f>
        <v>1</v>
      </c>
      <c r="H1513" s="1" t="s">
        <v>6602</v>
      </c>
      <c r="I1513" s="1" t="s">
        <v>3852</v>
      </c>
      <c r="J1513" s="1" t="s">
        <v>80</v>
      </c>
      <c r="K1513" s="1" t="s">
        <v>3853</v>
      </c>
      <c r="L1513" s="1"/>
      <c r="M1513" s="6" t="str">
        <f>IF(Table2[[#This Row],[Corrected Form '#
 (If Duplicated)]]="",Table2[[#This Row],[Form '#]],Table2[[#This Row],[Corrected Form '#
 (If Duplicated)]])</f>
        <v>7818-28228</v>
      </c>
      <c r="N1513" s="1" t="s">
        <v>49</v>
      </c>
      <c r="O1513" s="6" t="str">
        <f>IF(Table2[[#This Row],[POG CONFIRMATION RECEIPT OF ORDER
(DATE &amp; TIME)]]="","No Confirmation","Received Confirmation")</f>
        <v>Received Confirmation</v>
      </c>
      <c r="P1513" s="6">
        <f ca="1">TODAY()-Table2[[#This Row],[DATE SENT TO POG]]</f>
        <v>157</v>
      </c>
      <c r="Q1513" s="6" t="s">
        <v>5803</v>
      </c>
      <c r="R15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3" s="2" t="str">
        <f>_xlfn.XLOOKUP(Table2[[#This Row],[Adjusted Form '#]],'[2]IN PROGRESS'!$D:$D,'[2]IN PROGRESS'!$M:$M,"Not Found")</f>
        <v>Not Found</v>
      </c>
      <c r="U1513" s="2" t="str">
        <f>_xlfn.XLOOKUP(Table2[[#This Row],[Adjusted Form '#]],[1]COMPLETED!$D:$D,[2]COMPLETED!$M:$M,"Not Found")</f>
        <v>Not Found</v>
      </c>
      <c r="V1513" s="17" t="str">
        <f>_xlfn.XLOOKUP(Table2[[#This Row],[Adjusted Form '#]],[2]COMPLETED!$D:$D,[2]COMPLETED!$O:$O,"Not Found")</f>
        <v>Not Found</v>
      </c>
      <c r="W1513" s="2" t="str">
        <f>_xlfn.XLOOKUP(Table2[[#This Row],[Adjusted Form '#]],[2]BILLED!$D:$D,[2]BILLED!$M:$M,"Not Found")</f>
        <v>9400 1112 0620 9481 8359 32</v>
      </c>
      <c r="X1513" s="17" t="e">
        <f>_xlfn.XLOOKUP(Table2[[#This Row],[Adjusted Form '#]],[2]BILLED!$D:$D,[1]BILLED!$O:$O,"Not Found")</f>
        <v>#REF!</v>
      </c>
      <c r="Y1513" s="17" t="e">
        <f>_xlfn.XLOOKUP(Table2[[#This Row],[Adjusted Form '#]],'[2]REJECTED ORDERS'!$D:$D,'[2]REJECTED ORDERS'!$E:$E)</f>
        <v>#N/A</v>
      </c>
      <c r="Z1513" s="1"/>
      <c r="AA1513" s="1"/>
    </row>
    <row r="1514" spans="1:27" ht="15" customHeight="1" x14ac:dyDescent="0.35">
      <c r="A1514" s="4" t="s">
        <v>2239</v>
      </c>
      <c r="B1514" s="1" t="s">
        <v>1484</v>
      </c>
      <c r="C1514" s="11">
        <v>45146</v>
      </c>
      <c r="D1514" s="11" t="s">
        <v>6620</v>
      </c>
      <c r="E1514" s="1" t="s">
        <v>21</v>
      </c>
      <c r="F1514" s="1" t="s">
        <v>6603</v>
      </c>
      <c r="G1514" s="6">
        <f>COUNTIF(F:F,Table2[[#This Row],[Form '#]])</f>
        <v>1</v>
      </c>
      <c r="H1514" s="1" t="s">
        <v>6604</v>
      </c>
      <c r="I1514" s="1" t="s">
        <v>6605</v>
      </c>
      <c r="J1514" s="1" t="s">
        <v>80</v>
      </c>
      <c r="K1514" s="1" t="s">
        <v>3853</v>
      </c>
      <c r="L1514" s="1"/>
      <c r="M1514" s="6" t="str">
        <f>IF(Table2[[#This Row],[Corrected Form '#
 (If Duplicated)]]="",Table2[[#This Row],[Form '#]],Table2[[#This Row],[Corrected Form '#
 (If Duplicated)]])</f>
        <v>7818-28271</v>
      </c>
      <c r="N1514" s="1" t="s">
        <v>49</v>
      </c>
      <c r="O1514" s="6" t="str">
        <f>IF(Table2[[#This Row],[POG CONFIRMATION RECEIPT OF ORDER
(DATE &amp; TIME)]]="","No Confirmation","Received Confirmation")</f>
        <v>Received Confirmation</v>
      </c>
      <c r="P1514" s="6">
        <f ca="1">TODAY()-Table2[[#This Row],[DATE SENT TO POG]]</f>
        <v>157</v>
      </c>
      <c r="Q1514" s="6" t="s">
        <v>5803</v>
      </c>
      <c r="R15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4" s="2" t="str">
        <f>_xlfn.XLOOKUP(Table2[[#This Row],[Adjusted Form '#]],'[2]IN PROGRESS'!$D:$D,'[2]IN PROGRESS'!$M:$M,"Not Found")</f>
        <v>Not Found</v>
      </c>
      <c r="U1514" s="2" t="str">
        <f>_xlfn.XLOOKUP(Table2[[#This Row],[Adjusted Form '#]],[1]COMPLETED!$D:$D,[2]COMPLETED!$M:$M,"Not Found")</f>
        <v>Not Found</v>
      </c>
      <c r="V1514" s="17" t="str">
        <f>_xlfn.XLOOKUP(Table2[[#This Row],[Adjusted Form '#]],[2]COMPLETED!$D:$D,[2]COMPLETED!$O:$O,"Not Found")</f>
        <v>Not Found</v>
      </c>
      <c r="W1514" s="2" t="str">
        <f>_xlfn.XLOOKUP(Table2[[#This Row],[Adjusted Form '#]],[2]BILLED!$D:$D,[2]BILLED!$M:$M,"Not Found")</f>
        <v>9400 1112 0620 9481 0923 59</v>
      </c>
      <c r="X1514" s="17" t="e">
        <f>_xlfn.XLOOKUP(Table2[[#This Row],[Adjusted Form '#]],[2]BILLED!$D:$D,[1]BILLED!$O:$O,"Not Found")</f>
        <v>#REF!</v>
      </c>
      <c r="Y1514" s="17" t="e">
        <f>_xlfn.XLOOKUP(Table2[[#This Row],[Adjusted Form '#]],'[2]REJECTED ORDERS'!$D:$D,'[2]REJECTED ORDERS'!$E:$E)</f>
        <v>#N/A</v>
      </c>
      <c r="Z1514" s="1"/>
      <c r="AA1514" s="1"/>
    </row>
    <row r="1515" spans="1:27" ht="15" customHeight="1" x14ac:dyDescent="0.35">
      <c r="A1515" s="4" t="s">
        <v>2241</v>
      </c>
      <c r="B1515" s="1" t="s">
        <v>1484</v>
      </c>
      <c r="C1515" s="11">
        <v>45146</v>
      </c>
      <c r="D1515" s="11" t="s">
        <v>6620</v>
      </c>
      <c r="E1515" s="1" t="s">
        <v>21</v>
      </c>
      <c r="F1515" s="1" t="s">
        <v>6606</v>
      </c>
      <c r="G1515" s="6">
        <f>COUNTIF(F:F,Table2[[#This Row],[Form '#]])</f>
        <v>1</v>
      </c>
      <c r="H1515" s="1" t="s">
        <v>6607</v>
      </c>
      <c r="I1515" s="1" t="s">
        <v>127</v>
      </c>
      <c r="J1515" s="1" t="s">
        <v>76</v>
      </c>
      <c r="K1515" s="1" t="s">
        <v>3883</v>
      </c>
      <c r="L1515" s="1"/>
      <c r="M1515" s="6" t="str">
        <f>IF(Table2[[#This Row],[Corrected Form '#
 (If Duplicated)]]="",Table2[[#This Row],[Form '#]],Table2[[#This Row],[Corrected Form '#
 (If Duplicated)]])</f>
        <v>7818-14911</v>
      </c>
      <c r="N1515" s="1" t="s">
        <v>49</v>
      </c>
      <c r="O1515" s="6" t="str">
        <f>IF(Table2[[#This Row],[POG CONFIRMATION RECEIPT OF ORDER
(DATE &amp; TIME)]]="","No Confirmation","Received Confirmation")</f>
        <v>Received Confirmation</v>
      </c>
      <c r="P1515" s="6">
        <f ca="1">TODAY()-Table2[[#This Row],[DATE SENT TO POG]]</f>
        <v>157</v>
      </c>
      <c r="Q1515" s="6" t="s">
        <v>5803</v>
      </c>
      <c r="R15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5" s="2" t="str">
        <f>_xlfn.XLOOKUP(Table2[[#This Row],[Adjusted Form '#]],'[2]IN PROGRESS'!$D:$D,'[2]IN PROGRESS'!$M:$M,"Not Found")</f>
        <v>Not Found</v>
      </c>
      <c r="U1515" s="2" t="str">
        <f>_xlfn.XLOOKUP(Table2[[#This Row],[Adjusted Form '#]],[1]COMPLETED!$D:$D,[2]COMPLETED!$M:$M,"Not Found")</f>
        <v>Not Found</v>
      </c>
      <c r="V1515" s="17" t="str">
        <f>_xlfn.XLOOKUP(Table2[[#This Row],[Adjusted Form '#]],[2]COMPLETED!$D:$D,[2]COMPLETED!$O:$O,"Not Found")</f>
        <v>Not Found</v>
      </c>
      <c r="W1515" s="2" t="str">
        <f>_xlfn.XLOOKUP(Table2[[#This Row],[Adjusted Form '#]],[2]BILLED!$D:$D,[2]BILLED!$M:$M,"Not Found")</f>
        <v>9400 1112 0620 9461 8725 20</v>
      </c>
      <c r="X1515" s="17" t="e">
        <f>_xlfn.XLOOKUP(Table2[[#This Row],[Adjusted Form '#]],[2]BILLED!$D:$D,[1]BILLED!$O:$O,"Not Found")</f>
        <v>#REF!</v>
      </c>
      <c r="Y1515" s="17" t="e">
        <f>_xlfn.XLOOKUP(Table2[[#This Row],[Adjusted Form '#]],'[2]REJECTED ORDERS'!$D:$D,'[2]REJECTED ORDERS'!$E:$E)</f>
        <v>#N/A</v>
      </c>
      <c r="Z1515" s="1"/>
      <c r="AA1515" s="1"/>
    </row>
    <row r="1516" spans="1:27" ht="15" customHeight="1" x14ac:dyDescent="0.35">
      <c r="A1516" s="4" t="s">
        <v>2243</v>
      </c>
      <c r="B1516" s="1" t="s">
        <v>1484</v>
      </c>
      <c r="C1516" s="11">
        <v>45146</v>
      </c>
      <c r="D1516" s="11" t="s">
        <v>6620</v>
      </c>
      <c r="E1516" s="1" t="s">
        <v>21</v>
      </c>
      <c r="F1516" s="1" t="s">
        <v>6608</v>
      </c>
      <c r="G1516" s="6">
        <f>COUNTIF(F:F,Table2[[#This Row],[Form '#]])</f>
        <v>1</v>
      </c>
      <c r="H1516" s="1" t="s">
        <v>6609</v>
      </c>
      <c r="I1516" s="1" t="s">
        <v>3852</v>
      </c>
      <c r="J1516" s="1" t="s">
        <v>80</v>
      </c>
      <c r="K1516" s="1" t="s">
        <v>3853</v>
      </c>
      <c r="L1516" s="1"/>
      <c r="M1516" s="6" t="str">
        <f>IF(Table2[[#This Row],[Corrected Form '#
 (If Duplicated)]]="",Table2[[#This Row],[Form '#]],Table2[[#This Row],[Corrected Form '#
 (If Duplicated)]])</f>
        <v>7818-24638</v>
      </c>
      <c r="N1516" s="1" t="s">
        <v>49</v>
      </c>
      <c r="O1516" s="6" t="str">
        <f>IF(Table2[[#This Row],[POG CONFIRMATION RECEIPT OF ORDER
(DATE &amp; TIME)]]="","No Confirmation","Received Confirmation")</f>
        <v>Received Confirmation</v>
      </c>
      <c r="P1516" s="6">
        <f ca="1">TODAY()-Table2[[#This Row],[DATE SENT TO POG]]</f>
        <v>157</v>
      </c>
      <c r="Q1516" s="6" t="s">
        <v>5803</v>
      </c>
      <c r="R15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6" s="2" t="str">
        <f>_xlfn.XLOOKUP(Table2[[#This Row],[Adjusted Form '#]],'[2]IN PROGRESS'!$D:$D,'[2]IN PROGRESS'!$M:$M,"Not Found")</f>
        <v>Not Found</v>
      </c>
      <c r="U1516" s="2" t="str">
        <f>_xlfn.XLOOKUP(Table2[[#This Row],[Adjusted Form '#]],[1]COMPLETED!$D:$D,[2]COMPLETED!$M:$M,"Not Found")</f>
        <v>Not Found</v>
      </c>
      <c r="V1516" s="17" t="str">
        <f>_xlfn.XLOOKUP(Table2[[#This Row],[Adjusted Form '#]],[2]COMPLETED!$D:$D,[2]COMPLETED!$O:$O,"Not Found")</f>
        <v>Not Found</v>
      </c>
      <c r="W1516" s="2" t="str">
        <f>_xlfn.XLOOKUP(Table2[[#This Row],[Adjusted Form '#]],[2]BILLED!$D:$D,[2]BILLED!$M:$M,"Not Found")</f>
        <v>9400 1112 0620 9486 6675 69</v>
      </c>
      <c r="X1516" s="17" t="e">
        <f>_xlfn.XLOOKUP(Table2[[#This Row],[Adjusted Form '#]],[2]BILLED!$D:$D,[1]BILLED!$O:$O,"Not Found")</f>
        <v>#REF!</v>
      </c>
      <c r="Y1516" s="17" t="e">
        <f>_xlfn.XLOOKUP(Table2[[#This Row],[Adjusted Form '#]],'[2]REJECTED ORDERS'!$D:$D,'[2]REJECTED ORDERS'!$E:$E)</f>
        <v>#N/A</v>
      </c>
      <c r="Z1516" s="1"/>
      <c r="AA1516" s="1"/>
    </row>
    <row r="1517" spans="1:27" ht="15" customHeight="1" x14ac:dyDescent="0.35">
      <c r="A1517" s="4" t="s">
        <v>2244</v>
      </c>
      <c r="B1517" s="1" t="s">
        <v>1484</v>
      </c>
      <c r="C1517" s="11">
        <v>45146</v>
      </c>
      <c r="D1517" s="11" t="s">
        <v>6620</v>
      </c>
      <c r="E1517" s="1" t="s">
        <v>21</v>
      </c>
      <c r="F1517" s="1" t="s">
        <v>6610</v>
      </c>
      <c r="G1517" s="6">
        <f>COUNTIF(F:F,Table2[[#This Row],[Form '#]])</f>
        <v>1</v>
      </c>
      <c r="H1517" s="1" t="s">
        <v>925</v>
      </c>
      <c r="I1517" s="1" t="s">
        <v>3852</v>
      </c>
      <c r="J1517" s="1" t="s">
        <v>80</v>
      </c>
      <c r="K1517" s="1" t="s">
        <v>3853</v>
      </c>
      <c r="L1517" s="1"/>
      <c r="M1517" s="6" t="str">
        <f>IF(Table2[[#This Row],[Corrected Form '#
 (If Duplicated)]]="",Table2[[#This Row],[Form '#]],Table2[[#This Row],[Corrected Form '#
 (If Duplicated)]])</f>
        <v>7818-32103</v>
      </c>
      <c r="N1517" s="1" t="s">
        <v>49</v>
      </c>
      <c r="O1517" s="6" t="str">
        <f>IF(Table2[[#This Row],[POG CONFIRMATION RECEIPT OF ORDER
(DATE &amp; TIME)]]="","No Confirmation","Received Confirmation")</f>
        <v>Received Confirmation</v>
      </c>
      <c r="P1517" s="6">
        <f ca="1">TODAY()-Table2[[#This Row],[DATE SENT TO POG]]</f>
        <v>157</v>
      </c>
      <c r="Q1517" s="6" t="s">
        <v>5802</v>
      </c>
      <c r="R15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51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517" s="2" t="str">
        <f>_xlfn.XLOOKUP(Table2[[#This Row],[Adjusted Form '#]],'[2]IN PROGRESS'!$D:$D,'[2]IN PROGRESS'!$M:$M,"Not Found")</f>
        <v>Not Found</v>
      </c>
      <c r="U1517" s="2" t="str">
        <f>_xlfn.XLOOKUP(Table2[[#This Row],[Adjusted Form '#]],[1]COMPLETED!$D:$D,[2]COMPLETED!$M:$M,"Not Found")</f>
        <v>Not Found</v>
      </c>
      <c r="V1517" s="17" t="str">
        <f>_xlfn.XLOOKUP(Table2[[#This Row],[Adjusted Form '#]],[2]COMPLETED!$D:$D,[2]COMPLETED!$O:$O,"Not Found")</f>
        <v>Not Found</v>
      </c>
      <c r="W1517" s="2" t="str">
        <f>_xlfn.XLOOKUP(Table2[[#This Row],[Adjusted Form '#]],[2]BILLED!$D:$D,[2]BILLED!$M:$M,"Not Found")</f>
        <v>Not Found</v>
      </c>
      <c r="X1517" s="17" t="str">
        <f>_xlfn.XLOOKUP(Table2[[#This Row],[Adjusted Form '#]],[2]BILLED!$D:$D,[1]BILLED!$O:$O,"Not Found")</f>
        <v>Not Found</v>
      </c>
      <c r="Y1517" s="17" t="e">
        <f>_xlfn.XLOOKUP(Table2[[#This Row],[Adjusted Form '#]],'[2]REJECTED ORDERS'!$D:$D,'[2]REJECTED ORDERS'!$E:$E)</f>
        <v>#N/A</v>
      </c>
      <c r="Z1517" s="1"/>
      <c r="AA1517" s="1"/>
    </row>
    <row r="1518" spans="1:27" ht="15" customHeight="1" x14ac:dyDescent="0.35">
      <c r="A1518" s="4" t="s">
        <v>2245</v>
      </c>
      <c r="B1518" s="1" t="s">
        <v>3574</v>
      </c>
      <c r="C1518" s="11">
        <v>45147</v>
      </c>
      <c r="D1518" s="11" t="s">
        <v>6621</v>
      </c>
      <c r="E1518" s="1" t="s">
        <v>1592</v>
      </c>
      <c r="F1518" s="1" t="s">
        <v>6611</v>
      </c>
      <c r="G1518" s="6">
        <f>COUNTIF(F:F,Table2[[#This Row],[Form '#]])</f>
        <v>2</v>
      </c>
      <c r="H1518" s="1" t="s">
        <v>6612</v>
      </c>
      <c r="I1518" s="1" t="s">
        <v>177</v>
      </c>
      <c r="J1518" s="1" t="s">
        <v>75</v>
      </c>
      <c r="K1518" s="1" t="s">
        <v>3853</v>
      </c>
      <c r="L1518" s="1"/>
      <c r="M1518" s="6" t="str">
        <f>IF(Table2[[#This Row],[Corrected Form '#
 (If Duplicated)]]="",Table2[[#This Row],[Form '#]],Table2[[#This Row],[Corrected Form '#
 (If Duplicated)]])</f>
        <v>7811-00317</v>
      </c>
      <c r="N1518" s="1" t="s">
        <v>49</v>
      </c>
      <c r="O1518" s="6" t="str">
        <f>IF(Table2[[#This Row],[POG CONFIRMATION RECEIPT OF ORDER
(DATE &amp; TIME)]]="","No Confirmation","Received Confirmation")</f>
        <v>Received Confirmation</v>
      </c>
      <c r="P1518" s="6">
        <f ca="1">TODAY()-Table2[[#This Row],[DATE SENT TO POG]]</f>
        <v>156</v>
      </c>
      <c r="Q1518" s="6" t="s">
        <v>5803</v>
      </c>
      <c r="R15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8" s="2" t="str">
        <f>_xlfn.XLOOKUP(Table2[[#This Row],[Adjusted Form '#]],'[2]IN PROGRESS'!$D:$D,'[2]IN PROGRESS'!$M:$M,"Not Found")</f>
        <v>Not Found</v>
      </c>
      <c r="U1518" s="2" t="str">
        <f>_xlfn.XLOOKUP(Table2[[#This Row],[Adjusted Form '#]],[1]COMPLETED!$D:$D,[2]COMPLETED!$M:$M,"Not Found")</f>
        <v>Not Found</v>
      </c>
      <c r="V1518" s="17" t="str">
        <f>_xlfn.XLOOKUP(Table2[[#This Row],[Adjusted Form '#]],[2]COMPLETED!$D:$D,[2]COMPLETED!$O:$O,"Not Found")</f>
        <v>Not Found</v>
      </c>
      <c r="W1518" s="2" t="str">
        <f>_xlfn.XLOOKUP(Table2[[#This Row],[Adjusted Form '#]],[2]BILLED!$D:$D,[2]BILLED!$M:$M,"Not Found")</f>
        <v>9400 1112 0620 9481 3767 49</v>
      </c>
      <c r="X1518" s="17" t="e">
        <f>_xlfn.XLOOKUP(Table2[[#This Row],[Adjusted Form '#]],[2]BILLED!$D:$D,[1]BILLED!$O:$O,"Not Found")</f>
        <v>#REF!</v>
      </c>
      <c r="Y1518" s="17" t="e">
        <f>_xlfn.XLOOKUP(Table2[[#This Row],[Adjusted Form '#]],'[2]REJECTED ORDERS'!$D:$D,'[2]REJECTED ORDERS'!$E:$E)</f>
        <v>#N/A</v>
      </c>
      <c r="Z1518" s="1"/>
      <c r="AA1518" s="1"/>
    </row>
    <row r="1519" spans="1:27" ht="15" customHeight="1" x14ac:dyDescent="0.35">
      <c r="A1519" s="4" t="s">
        <v>2246</v>
      </c>
      <c r="B1519" s="1" t="s">
        <v>1344</v>
      </c>
      <c r="C1519" s="11">
        <v>45147</v>
      </c>
      <c r="D1519" s="11" t="s">
        <v>6621</v>
      </c>
      <c r="E1519" s="1" t="s">
        <v>14</v>
      </c>
      <c r="F1519" s="1" t="s">
        <v>6613</v>
      </c>
      <c r="G1519" s="6">
        <f>COUNTIF(F:F,Table2[[#This Row],[Form '#]])</f>
        <v>1</v>
      </c>
      <c r="H1519" s="1" t="s">
        <v>6616</v>
      </c>
      <c r="I1519" s="1" t="s">
        <v>3864</v>
      </c>
      <c r="J1519" s="1" t="s">
        <v>78</v>
      </c>
      <c r="K1519" s="1" t="s">
        <v>3879</v>
      </c>
      <c r="L1519" s="1"/>
      <c r="M1519" s="6" t="str">
        <f>IF(Table2[[#This Row],[Corrected Form '#
 (If Duplicated)]]="",Table2[[#This Row],[Form '#]],Table2[[#This Row],[Corrected Form '#
 (If Duplicated)]])</f>
        <v>7810-01499</v>
      </c>
      <c r="N1519" s="1" t="s">
        <v>49</v>
      </c>
      <c r="O1519" s="6" t="str">
        <f>IF(Table2[[#This Row],[POG CONFIRMATION RECEIPT OF ORDER
(DATE &amp; TIME)]]="","No Confirmation","Received Confirmation")</f>
        <v>Received Confirmation</v>
      </c>
      <c r="P1519" s="6">
        <f ca="1">TODAY()-Table2[[#This Row],[DATE SENT TO POG]]</f>
        <v>156</v>
      </c>
      <c r="Q1519" s="6" t="s">
        <v>5803</v>
      </c>
      <c r="R15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19" s="2" t="str">
        <f>_xlfn.XLOOKUP(Table2[[#This Row],[Adjusted Form '#]],'[2]IN PROGRESS'!$D:$D,'[2]IN PROGRESS'!$M:$M,"Not Found")</f>
        <v>Not Found</v>
      </c>
      <c r="U1519" s="2" t="str">
        <f>_xlfn.XLOOKUP(Table2[[#This Row],[Adjusted Form '#]],[1]COMPLETED!$D:$D,[2]COMPLETED!$M:$M,"Not Found")</f>
        <v>Not Found</v>
      </c>
      <c r="V1519" s="17" t="str">
        <f>_xlfn.XLOOKUP(Table2[[#This Row],[Adjusted Form '#]],[2]COMPLETED!$D:$D,[2]COMPLETED!$O:$O,"Not Found")</f>
        <v>Not Found</v>
      </c>
      <c r="W1519" s="2" t="str">
        <f>_xlfn.XLOOKUP(Table2[[#This Row],[Adjusted Form '#]],[2]BILLED!$D:$D,[2]BILLED!$M:$M,"Not Found")</f>
        <v>9400 1112 0620 9461 8922 21</v>
      </c>
      <c r="X1519" s="17" t="e">
        <f>_xlfn.XLOOKUP(Table2[[#This Row],[Adjusted Form '#]],[2]BILLED!$D:$D,[1]BILLED!$O:$O,"Not Found")</f>
        <v>#REF!</v>
      </c>
      <c r="Y1519" s="17" t="e">
        <f>_xlfn.XLOOKUP(Table2[[#This Row],[Adjusted Form '#]],'[2]REJECTED ORDERS'!$D:$D,'[2]REJECTED ORDERS'!$E:$E)</f>
        <v>#N/A</v>
      </c>
      <c r="Z1519" s="1"/>
      <c r="AA1519" s="1"/>
    </row>
    <row r="1520" spans="1:27" ht="15" customHeight="1" x14ac:dyDescent="0.35">
      <c r="A1520" s="4" t="s">
        <v>2247</v>
      </c>
      <c r="B1520" s="1" t="s">
        <v>993</v>
      </c>
      <c r="C1520" s="11">
        <v>45147</v>
      </c>
      <c r="D1520" s="11" t="s">
        <v>6622</v>
      </c>
      <c r="E1520" s="1" t="s">
        <v>73</v>
      </c>
      <c r="F1520" s="1" t="s">
        <v>6614</v>
      </c>
      <c r="G1520" s="6">
        <f>COUNTIF(F:F,Table2[[#This Row],[Form '#]])</f>
        <v>1</v>
      </c>
      <c r="H1520" s="1" t="s">
        <v>6615</v>
      </c>
      <c r="I1520" s="1" t="s">
        <v>177</v>
      </c>
      <c r="J1520" s="1" t="s">
        <v>75</v>
      </c>
      <c r="K1520" s="1" t="s">
        <v>3853</v>
      </c>
      <c r="L1520" s="1"/>
      <c r="M1520" s="6" t="str">
        <f>IF(Table2[[#This Row],[Corrected Form '#
 (If Duplicated)]]="",Table2[[#This Row],[Form '#]],Table2[[#This Row],[Corrected Form '#
 (If Duplicated)]])</f>
        <v>7823-02992</v>
      </c>
      <c r="N1520" s="1" t="s">
        <v>49</v>
      </c>
      <c r="O1520" s="6" t="str">
        <f>IF(Table2[[#This Row],[POG CONFIRMATION RECEIPT OF ORDER
(DATE &amp; TIME)]]="","No Confirmation","Received Confirmation")</f>
        <v>Received Confirmation</v>
      </c>
      <c r="P1520" s="6">
        <f ca="1">TODAY()-Table2[[#This Row],[DATE SENT TO POG]]</f>
        <v>156</v>
      </c>
      <c r="Q1520" s="6" t="s">
        <v>5803</v>
      </c>
      <c r="R15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0" s="2" t="str">
        <f>_xlfn.XLOOKUP(Table2[[#This Row],[Adjusted Form '#]],'[2]IN PROGRESS'!$D:$D,'[2]IN PROGRESS'!$M:$M,"Not Found")</f>
        <v>Not Found</v>
      </c>
      <c r="U1520" s="2" t="str">
        <f>_xlfn.XLOOKUP(Table2[[#This Row],[Adjusted Form '#]],[1]COMPLETED!$D:$D,[2]COMPLETED!$M:$M,"Not Found")</f>
        <v>Not Found</v>
      </c>
      <c r="V1520" s="17" t="str">
        <f>_xlfn.XLOOKUP(Table2[[#This Row],[Adjusted Form '#]],[2]COMPLETED!$D:$D,[2]COMPLETED!$O:$O,"Not Found")</f>
        <v>Not Found</v>
      </c>
      <c r="W1520" s="2" t="str">
        <f>_xlfn.XLOOKUP(Table2[[#This Row],[Adjusted Form '#]],[2]BILLED!$D:$D,[2]BILLED!$M:$M,"Not Found")</f>
        <v>9400 1112 0620 9481 3275 81</v>
      </c>
      <c r="X1520" s="17" t="e">
        <f>_xlfn.XLOOKUP(Table2[[#This Row],[Adjusted Form '#]],[2]BILLED!$D:$D,[1]BILLED!$O:$O,"Not Found")</f>
        <v>#REF!</v>
      </c>
      <c r="Y1520" s="17" t="e">
        <f>_xlfn.XLOOKUP(Table2[[#This Row],[Adjusted Form '#]],'[2]REJECTED ORDERS'!$D:$D,'[2]REJECTED ORDERS'!$E:$E)</f>
        <v>#N/A</v>
      </c>
      <c r="Z1520" s="1"/>
      <c r="AA1520" s="1"/>
    </row>
    <row r="1521" spans="1:27" ht="15" customHeight="1" x14ac:dyDescent="0.35">
      <c r="A1521" s="4" t="s">
        <v>2248</v>
      </c>
      <c r="B1521" s="1" t="s">
        <v>2679</v>
      </c>
      <c r="C1521" s="11">
        <v>45147</v>
      </c>
      <c r="D1521" s="11" t="s">
        <v>6623</v>
      </c>
      <c r="E1521" s="1" t="s">
        <v>21</v>
      </c>
      <c r="F1521" s="1" t="s">
        <v>6617</v>
      </c>
      <c r="G1521" s="6">
        <f>COUNTIF(F:F,Table2[[#This Row],[Form '#]])</f>
        <v>1</v>
      </c>
      <c r="H1521" s="1" t="s">
        <v>2344</v>
      </c>
      <c r="I1521" s="1" t="s">
        <v>3864</v>
      </c>
      <c r="J1521" s="1" t="s">
        <v>78</v>
      </c>
      <c r="K1521" s="1" t="s">
        <v>3879</v>
      </c>
      <c r="L1521" s="1"/>
      <c r="M1521" s="6" t="str">
        <f>IF(Table2[[#This Row],[Corrected Form '#
 (If Duplicated)]]="",Table2[[#This Row],[Form '#]],Table2[[#This Row],[Corrected Form '#
 (If Duplicated)]])</f>
        <v>7818-30796</v>
      </c>
      <c r="N1521" s="1" t="s">
        <v>49</v>
      </c>
      <c r="O1521" s="6" t="str">
        <f>IF(Table2[[#This Row],[POG CONFIRMATION RECEIPT OF ORDER
(DATE &amp; TIME)]]="","No Confirmation","Received Confirmation")</f>
        <v>Received Confirmation</v>
      </c>
      <c r="P1521" s="6">
        <f ca="1">TODAY()-Table2[[#This Row],[DATE SENT TO POG]]</f>
        <v>156</v>
      </c>
      <c r="Q1521" s="6" t="s">
        <v>5803</v>
      </c>
      <c r="R15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1" s="2" t="str">
        <f>_xlfn.XLOOKUP(Table2[[#This Row],[Adjusted Form '#]],'[2]IN PROGRESS'!$D:$D,'[2]IN PROGRESS'!$M:$M,"Not Found")</f>
        <v>Not Found</v>
      </c>
      <c r="U1521" s="2" t="str">
        <f>_xlfn.XLOOKUP(Table2[[#This Row],[Adjusted Form '#]],[1]COMPLETED!$D:$D,[2]COMPLETED!$M:$M,"Not Found")</f>
        <v>Not Found</v>
      </c>
      <c r="V1521" s="17" t="str">
        <f>_xlfn.XLOOKUP(Table2[[#This Row],[Adjusted Form '#]],[2]COMPLETED!$D:$D,[2]COMPLETED!$O:$O,"Not Found")</f>
        <v>Not Found</v>
      </c>
      <c r="W1521" s="2" t="str">
        <f>_xlfn.XLOOKUP(Table2[[#This Row],[Adjusted Form '#]],[2]BILLED!$D:$D,[2]BILLED!$M:$M,"Not Found")</f>
        <v>9400 1112 0620 9457 7935 94</v>
      </c>
      <c r="X1521" s="17" t="e">
        <f>_xlfn.XLOOKUP(Table2[[#This Row],[Adjusted Form '#]],[2]BILLED!$D:$D,[1]BILLED!$O:$O,"Not Found")</f>
        <v>#REF!</v>
      </c>
      <c r="Y1521" s="17" t="e">
        <f>_xlfn.XLOOKUP(Table2[[#This Row],[Adjusted Form '#]],'[2]REJECTED ORDERS'!$D:$D,'[2]REJECTED ORDERS'!$E:$E)</f>
        <v>#N/A</v>
      </c>
      <c r="Z1521" s="1"/>
      <c r="AA1521" s="1"/>
    </row>
    <row r="1522" spans="1:27" ht="15" customHeight="1" x14ac:dyDescent="0.35">
      <c r="A1522" s="4" t="s">
        <v>2250</v>
      </c>
      <c r="B1522" s="1" t="s">
        <v>759</v>
      </c>
      <c r="C1522" s="11">
        <v>45148</v>
      </c>
      <c r="D1522" s="11" t="s">
        <v>6624</v>
      </c>
      <c r="E1522" s="1" t="s">
        <v>1592</v>
      </c>
      <c r="F1522" s="1" t="s">
        <v>6618</v>
      </c>
      <c r="G1522" s="6">
        <f>COUNTIF(F:F,Table2[[#This Row],[Form '#]])</f>
        <v>2</v>
      </c>
      <c r="H1522" s="1" t="s">
        <v>6619</v>
      </c>
      <c r="I1522" s="1" t="s">
        <v>177</v>
      </c>
      <c r="J1522" s="1" t="s">
        <v>75</v>
      </c>
      <c r="K1522" s="1" t="s">
        <v>3853</v>
      </c>
      <c r="L1522" s="1"/>
      <c r="M1522" s="6" t="str">
        <f>IF(Table2[[#This Row],[Corrected Form '#
 (If Duplicated)]]="",Table2[[#This Row],[Form '#]],Table2[[#This Row],[Corrected Form '#
 (If Duplicated)]])</f>
        <v>7811-00198</v>
      </c>
      <c r="N1522" s="1" t="s">
        <v>49</v>
      </c>
      <c r="O1522" s="6" t="str">
        <f>IF(Table2[[#This Row],[POG CONFIRMATION RECEIPT OF ORDER
(DATE &amp; TIME)]]="","No Confirmation","Received Confirmation")</f>
        <v>Received Confirmation</v>
      </c>
      <c r="P1522" s="6">
        <f ca="1">TODAY()-Table2[[#This Row],[DATE SENT TO POG]]</f>
        <v>155</v>
      </c>
      <c r="Q1522" s="6" t="s">
        <v>5803</v>
      </c>
      <c r="R15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2" s="2" t="str">
        <f>_xlfn.XLOOKUP(Table2[[#This Row],[Adjusted Form '#]],'[2]IN PROGRESS'!$D:$D,'[2]IN PROGRESS'!$M:$M,"Not Found")</f>
        <v>Not Found</v>
      </c>
      <c r="U1522" s="2" t="str">
        <f>_xlfn.XLOOKUP(Table2[[#This Row],[Adjusted Form '#]],[1]COMPLETED!$D:$D,[2]COMPLETED!$M:$M,"Not Found")</f>
        <v>Not Found</v>
      </c>
      <c r="V1522" s="17" t="str">
        <f>_xlfn.XLOOKUP(Table2[[#This Row],[Adjusted Form '#]],[2]COMPLETED!$D:$D,[2]COMPLETED!$O:$O,"Not Found")</f>
        <v>Not Found</v>
      </c>
      <c r="W1522" s="2" t="str">
        <f>_xlfn.XLOOKUP(Table2[[#This Row],[Adjusted Form '#]],[2]BILLED!$D:$D,[2]BILLED!$M:$M,"Not Found")</f>
        <v>9400 1112 0620 9457 7757 50</v>
      </c>
      <c r="X1522" s="17" t="e">
        <f>_xlfn.XLOOKUP(Table2[[#This Row],[Adjusted Form '#]],[2]BILLED!$D:$D,[1]BILLED!$O:$O,"Not Found")</f>
        <v>#REF!</v>
      </c>
      <c r="Y1522" s="17" t="e">
        <f>_xlfn.XLOOKUP(Table2[[#This Row],[Adjusted Form '#]],'[2]REJECTED ORDERS'!$D:$D,'[2]REJECTED ORDERS'!$E:$E)</f>
        <v>#N/A</v>
      </c>
      <c r="Z1522" s="1"/>
      <c r="AA1522" s="1"/>
    </row>
    <row r="1523" spans="1:27" ht="15" customHeight="1" x14ac:dyDescent="0.35">
      <c r="A1523" s="4" t="s">
        <v>2252</v>
      </c>
      <c r="B1523" s="1" t="s">
        <v>2567</v>
      </c>
      <c r="C1523" s="11">
        <v>45148</v>
      </c>
      <c r="D1523" s="11" t="s">
        <v>6630</v>
      </c>
      <c r="E1523" s="1" t="s">
        <v>73</v>
      </c>
      <c r="F1523" s="1" t="s">
        <v>6625</v>
      </c>
      <c r="G1523" s="6">
        <f>COUNTIF(F:F,Table2[[#This Row],[Form '#]])</f>
        <v>1</v>
      </c>
      <c r="H1523" s="1" t="s">
        <v>2240</v>
      </c>
      <c r="I1523" s="1" t="s">
        <v>3852</v>
      </c>
      <c r="J1523" s="1" t="s">
        <v>80</v>
      </c>
      <c r="K1523" s="1" t="s">
        <v>3853</v>
      </c>
      <c r="L1523" s="1"/>
      <c r="M1523" s="6" t="str">
        <f>IF(Table2[[#This Row],[Corrected Form '#
 (If Duplicated)]]="",Table2[[#This Row],[Form '#]],Table2[[#This Row],[Corrected Form '#
 (If Duplicated)]])</f>
        <v>7823-02444</v>
      </c>
      <c r="N1523" s="1" t="s">
        <v>49</v>
      </c>
      <c r="O1523" s="6" t="str">
        <f>IF(Table2[[#This Row],[POG CONFIRMATION RECEIPT OF ORDER
(DATE &amp; TIME)]]="","No Confirmation","Received Confirmation")</f>
        <v>Received Confirmation</v>
      </c>
      <c r="P1523" s="6">
        <f ca="1">TODAY()-Table2[[#This Row],[DATE SENT TO POG]]</f>
        <v>155</v>
      </c>
      <c r="Q1523" s="6" t="s">
        <v>5803</v>
      </c>
      <c r="R15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3" s="2" t="str">
        <f>_xlfn.XLOOKUP(Table2[[#This Row],[Adjusted Form '#]],'[2]IN PROGRESS'!$D:$D,'[2]IN PROGRESS'!$M:$M,"Not Found")</f>
        <v>Not Found</v>
      </c>
      <c r="U1523" s="2" t="str">
        <f>_xlfn.XLOOKUP(Table2[[#This Row],[Adjusted Form '#]],[1]COMPLETED!$D:$D,[2]COMPLETED!$M:$M,"Not Found")</f>
        <v>Not Found</v>
      </c>
      <c r="V1523" s="17" t="str">
        <f>_xlfn.XLOOKUP(Table2[[#This Row],[Adjusted Form '#]],[2]COMPLETED!$D:$D,[2]COMPLETED!$O:$O,"Not Found")</f>
        <v>Not Found</v>
      </c>
      <c r="W1523" s="2" t="str">
        <f>_xlfn.XLOOKUP(Table2[[#This Row],[Adjusted Form '#]],[2]BILLED!$D:$D,[2]BILLED!$M:$M,"Not Found")</f>
        <v>9400 1112 0620 9444 6419 83</v>
      </c>
      <c r="X1523" s="17" t="e">
        <f>_xlfn.XLOOKUP(Table2[[#This Row],[Adjusted Form '#]],[2]BILLED!$D:$D,[1]BILLED!$O:$O,"Not Found")</f>
        <v>#REF!</v>
      </c>
      <c r="Y1523" s="17" t="e">
        <f>_xlfn.XLOOKUP(Table2[[#This Row],[Adjusted Form '#]],'[2]REJECTED ORDERS'!$D:$D,'[2]REJECTED ORDERS'!$E:$E)</f>
        <v>#N/A</v>
      </c>
      <c r="Z1523" s="1"/>
      <c r="AA1523" s="1"/>
    </row>
    <row r="1524" spans="1:27" ht="15" customHeight="1" x14ac:dyDescent="0.35">
      <c r="A1524" s="4" t="s">
        <v>2254</v>
      </c>
      <c r="B1524" s="1" t="s">
        <v>1412</v>
      </c>
      <c r="C1524" s="11">
        <v>45149</v>
      </c>
      <c r="D1524" s="11" t="s">
        <v>6631</v>
      </c>
      <c r="E1524" s="1" t="s">
        <v>21</v>
      </c>
      <c r="F1524" s="1" t="s">
        <v>6627</v>
      </c>
      <c r="G1524" s="6">
        <f>COUNTIF(F:F,Table2[[#This Row],[Form '#]])</f>
        <v>1</v>
      </c>
      <c r="H1524" s="1" t="s">
        <v>6628</v>
      </c>
      <c r="I1524" s="1" t="s">
        <v>3852</v>
      </c>
      <c r="J1524" s="1" t="s">
        <v>80</v>
      </c>
      <c r="K1524" s="1" t="s">
        <v>3853</v>
      </c>
      <c r="L1524" s="1"/>
      <c r="M1524" s="6" t="str">
        <f>IF(Table2[[#This Row],[Corrected Form '#
 (If Duplicated)]]="",Table2[[#This Row],[Form '#]],Table2[[#This Row],[Corrected Form '#
 (If Duplicated)]])</f>
        <v>7818-26813</v>
      </c>
      <c r="N1524" s="1" t="s">
        <v>49</v>
      </c>
      <c r="O1524" s="6" t="str">
        <f>IF(Table2[[#This Row],[POG CONFIRMATION RECEIPT OF ORDER
(DATE &amp; TIME)]]="","No Confirmation","Received Confirmation")</f>
        <v>Received Confirmation</v>
      </c>
      <c r="P1524" s="6">
        <f ca="1">TODAY()-Table2[[#This Row],[DATE SENT TO POG]]</f>
        <v>154</v>
      </c>
      <c r="Q1524" s="6" t="s">
        <v>5803</v>
      </c>
      <c r="R15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4" s="2" t="str">
        <f>_xlfn.XLOOKUP(Table2[[#This Row],[Adjusted Form '#]],'[2]IN PROGRESS'!$D:$D,'[2]IN PROGRESS'!$M:$M,"Not Found")</f>
        <v>Not Found</v>
      </c>
      <c r="U1524" s="2" t="str">
        <f>_xlfn.XLOOKUP(Table2[[#This Row],[Adjusted Form '#]],[1]COMPLETED!$D:$D,[2]COMPLETED!$M:$M,"Not Found")</f>
        <v>Not Found</v>
      </c>
      <c r="V1524" s="17" t="str">
        <f>_xlfn.XLOOKUP(Table2[[#This Row],[Adjusted Form '#]],[2]COMPLETED!$D:$D,[2]COMPLETED!$O:$O,"Not Found")</f>
        <v>Not Found</v>
      </c>
      <c r="W1524" s="2" t="str">
        <f>_xlfn.XLOOKUP(Table2[[#This Row],[Adjusted Form '#]],[2]BILLED!$D:$D,[2]BILLED!$M:$M,"Not Found")</f>
        <v>9400 1112 0620 9481 8710 77</v>
      </c>
      <c r="X1524" s="17" t="e">
        <f>_xlfn.XLOOKUP(Table2[[#This Row],[Adjusted Form '#]],[2]BILLED!$D:$D,[1]BILLED!$O:$O,"Not Found")</f>
        <v>#REF!</v>
      </c>
      <c r="Y1524" s="17" t="e">
        <f>_xlfn.XLOOKUP(Table2[[#This Row],[Adjusted Form '#]],'[2]REJECTED ORDERS'!$D:$D,'[2]REJECTED ORDERS'!$E:$E)</f>
        <v>#N/A</v>
      </c>
      <c r="Z1524" s="1"/>
      <c r="AA1524" s="1"/>
    </row>
    <row r="1525" spans="1:27" ht="15" customHeight="1" x14ac:dyDescent="0.35">
      <c r="A1525" s="4" t="s">
        <v>2256</v>
      </c>
      <c r="B1525" s="1" t="s">
        <v>1412</v>
      </c>
      <c r="C1525" s="11">
        <v>45149</v>
      </c>
      <c r="D1525" s="11" t="s">
        <v>6631</v>
      </c>
      <c r="E1525" s="1" t="s">
        <v>21</v>
      </c>
      <c r="F1525" s="1" t="s">
        <v>6629</v>
      </c>
      <c r="G1525" s="6">
        <f>COUNTIF(F:F,Table2[[#This Row],[Form '#]])</f>
        <v>1</v>
      </c>
      <c r="H1525" s="1" t="s">
        <v>315</v>
      </c>
      <c r="I1525" s="1" t="s">
        <v>3852</v>
      </c>
      <c r="J1525" s="1" t="s">
        <v>80</v>
      </c>
      <c r="K1525" s="1" t="s">
        <v>3853</v>
      </c>
      <c r="L1525" s="1"/>
      <c r="M1525" s="6" t="str">
        <f>IF(Table2[[#This Row],[Corrected Form '#
 (If Duplicated)]]="",Table2[[#This Row],[Form '#]],Table2[[#This Row],[Corrected Form '#
 (If Duplicated)]])</f>
        <v>7818-14710</v>
      </c>
      <c r="N1525" s="1" t="s">
        <v>49</v>
      </c>
      <c r="O1525" s="6" t="str">
        <f>IF(Table2[[#This Row],[POG CONFIRMATION RECEIPT OF ORDER
(DATE &amp; TIME)]]="","No Confirmation","Received Confirmation")</f>
        <v>Received Confirmation</v>
      </c>
      <c r="P1525" s="6">
        <f ca="1">TODAY()-Table2[[#This Row],[DATE SENT TO POG]]</f>
        <v>154</v>
      </c>
      <c r="Q1525" s="6" t="s">
        <v>5803</v>
      </c>
      <c r="R15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5" s="2" t="str">
        <f>_xlfn.XLOOKUP(Table2[[#This Row],[Adjusted Form '#]],'[2]IN PROGRESS'!$D:$D,'[2]IN PROGRESS'!$M:$M,"Not Found")</f>
        <v>Not Found</v>
      </c>
      <c r="U1525" s="2" t="str">
        <f>_xlfn.XLOOKUP(Table2[[#This Row],[Adjusted Form '#]],[1]COMPLETED!$D:$D,[2]COMPLETED!$M:$M,"Not Found")</f>
        <v>Not Found</v>
      </c>
      <c r="V1525" s="17" t="str">
        <f>_xlfn.XLOOKUP(Table2[[#This Row],[Adjusted Form '#]],[2]COMPLETED!$D:$D,[2]COMPLETED!$O:$O,"Not Found")</f>
        <v>Not Found</v>
      </c>
      <c r="W1525" s="2" t="str">
        <f>_xlfn.XLOOKUP(Table2[[#This Row],[Adjusted Form '#]],[2]BILLED!$D:$D,[2]BILLED!$M:$M,"Not Found")</f>
        <v>9400 1112 0620 9481 0810 56</v>
      </c>
      <c r="X1525" s="17" t="e">
        <f>_xlfn.XLOOKUP(Table2[[#This Row],[Adjusted Form '#]],[2]BILLED!$D:$D,[1]BILLED!$O:$O,"Not Found")</f>
        <v>#REF!</v>
      </c>
      <c r="Y1525" s="17" t="e">
        <f>_xlfn.XLOOKUP(Table2[[#This Row],[Adjusted Form '#]],'[2]REJECTED ORDERS'!$D:$D,'[2]REJECTED ORDERS'!$E:$E)</f>
        <v>#N/A</v>
      </c>
      <c r="Z1525" s="1"/>
      <c r="AA1525" s="1"/>
    </row>
    <row r="1526" spans="1:27" ht="15" customHeight="1" x14ac:dyDescent="0.35">
      <c r="A1526" s="4" t="s">
        <v>2258</v>
      </c>
      <c r="B1526" s="1" t="s">
        <v>1412</v>
      </c>
      <c r="C1526" s="11">
        <v>45149</v>
      </c>
      <c r="D1526" s="11" t="s">
        <v>6631</v>
      </c>
      <c r="E1526" s="1" t="s">
        <v>21</v>
      </c>
      <c r="F1526" s="1" t="s">
        <v>6626</v>
      </c>
      <c r="G1526" s="6">
        <f>COUNTIF(F:F,Table2[[#This Row],[Form '#]])</f>
        <v>1</v>
      </c>
      <c r="H1526" s="1" t="s">
        <v>3471</v>
      </c>
      <c r="I1526" s="1" t="s">
        <v>127</v>
      </c>
      <c r="J1526" s="1" t="s">
        <v>74</v>
      </c>
      <c r="K1526" s="1" t="s">
        <v>3883</v>
      </c>
      <c r="L1526" s="1"/>
      <c r="M1526" s="6" t="str">
        <f>IF(Table2[[#This Row],[Corrected Form '#
 (If Duplicated)]]="",Table2[[#This Row],[Form '#]],Table2[[#This Row],[Corrected Form '#
 (If Duplicated)]])</f>
        <v>7818-26551</v>
      </c>
      <c r="N1526" s="1" t="s">
        <v>49</v>
      </c>
      <c r="O1526" s="6" t="str">
        <f>IF(Table2[[#This Row],[POG CONFIRMATION RECEIPT OF ORDER
(DATE &amp; TIME)]]="","No Confirmation","Received Confirmation")</f>
        <v>Received Confirmation</v>
      </c>
      <c r="P1526" s="6">
        <f ca="1">TODAY()-Table2[[#This Row],[DATE SENT TO POG]]</f>
        <v>154</v>
      </c>
      <c r="Q1526" s="6" t="s">
        <v>5803</v>
      </c>
      <c r="R15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6" s="2" t="str">
        <f>_xlfn.XLOOKUP(Table2[[#This Row],[Adjusted Form '#]],'[2]IN PROGRESS'!$D:$D,'[2]IN PROGRESS'!$M:$M,"Not Found")</f>
        <v>Not Found</v>
      </c>
      <c r="U1526" s="2" t="str">
        <f>_xlfn.XLOOKUP(Table2[[#This Row],[Adjusted Form '#]],[1]COMPLETED!$D:$D,[2]COMPLETED!$M:$M,"Not Found")</f>
        <v>Not Found</v>
      </c>
      <c r="V1526" s="17" t="str">
        <f>_xlfn.XLOOKUP(Table2[[#This Row],[Adjusted Form '#]],[2]COMPLETED!$D:$D,[2]COMPLETED!$O:$O,"Not Found")</f>
        <v>Not Found</v>
      </c>
      <c r="W1526" s="2" t="str">
        <f>_xlfn.XLOOKUP(Table2[[#This Row],[Adjusted Form '#]],[2]BILLED!$D:$D,[2]BILLED!$M:$M,"Not Found")</f>
        <v>9400 1112 0620 9459 3899 00</v>
      </c>
      <c r="X1526" s="17" t="e">
        <f>_xlfn.XLOOKUP(Table2[[#This Row],[Adjusted Form '#]],[2]BILLED!$D:$D,[1]BILLED!$O:$O,"Not Found")</f>
        <v>#REF!</v>
      </c>
      <c r="Y1526" s="17" t="e">
        <f>_xlfn.XLOOKUP(Table2[[#This Row],[Adjusted Form '#]],'[2]REJECTED ORDERS'!$D:$D,'[2]REJECTED ORDERS'!$E:$E)</f>
        <v>#N/A</v>
      </c>
      <c r="Z1526" s="1"/>
      <c r="AA1526" s="1"/>
    </row>
    <row r="1527" spans="1:27" ht="15" customHeight="1" x14ac:dyDescent="0.35">
      <c r="A1527" s="4" t="s">
        <v>2259</v>
      </c>
      <c r="B1527" s="1" t="s">
        <v>3510</v>
      </c>
      <c r="C1527" s="11">
        <v>45149</v>
      </c>
      <c r="D1527" s="11" t="s">
        <v>6637</v>
      </c>
      <c r="E1527" s="1" t="s">
        <v>21</v>
      </c>
      <c r="F1527" s="1" t="s">
        <v>6632</v>
      </c>
      <c r="G1527" s="6">
        <f>COUNTIF(F:F,Table2[[#This Row],[Form '#]])</f>
        <v>1</v>
      </c>
      <c r="H1527" s="1" t="s">
        <v>6633</v>
      </c>
      <c r="I1527" s="1" t="s">
        <v>28</v>
      </c>
      <c r="J1527" s="1" t="s">
        <v>69</v>
      </c>
      <c r="K1527" s="1" t="s">
        <v>4631</v>
      </c>
      <c r="L1527" s="1"/>
      <c r="M1527" s="6" t="str">
        <f>IF(Table2[[#This Row],[Corrected Form '#
 (If Duplicated)]]="",Table2[[#This Row],[Form '#]],Table2[[#This Row],[Corrected Form '#
 (If Duplicated)]])</f>
        <v>7818-24994</v>
      </c>
      <c r="N1527" s="1" t="s">
        <v>49</v>
      </c>
      <c r="O1527" s="6" t="str">
        <f>IF(Table2[[#This Row],[POG CONFIRMATION RECEIPT OF ORDER
(DATE &amp; TIME)]]="","No Confirmation","Received Confirmation")</f>
        <v>Received Confirmation</v>
      </c>
      <c r="P1527" s="6">
        <f ca="1">TODAY()-Table2[[#This Row],[DATE SENT TO POG]]</f>
        <v>154</v>
      </c>
      <c r="Q1527" s="6" t="s">
        <v>5803</v>
      </c>
      <c r="R15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7" s="2" t="str">
        <f>_xlfn.XLOOKUP(Table2[[#This Row],[Adjusted Form '#]],'[2]IN PROGRESS'!$D:$D,'[2]IN PROGRESS'!$M:$M,"Not Found")</f>
        <v>Not Found</v>
      </c>
      <c r="U1527" s="2" t="str">
        <f>_xlfn.XLOOKUP(Table2[[#This Row],[Adjusted Form '#]],[1]COMPLETED!$D:$D,[2]COMPLETED!$M:$M,"Not Found")</f>
        <v>Not Found</v>
      </c>
      <c r="V1527" s="17" t="str">
        <f>_xlfn.XLOOKUP(Table2[[#This Row],[Adjusted Form '#]],[2]COMPLETED!$D:$D,[2]COMPLETED!$O:$O,"Not Found")</f>
        <v>Not Found</v>
      </c>
      <c r="W1527" s="2" t="str">
        <f>_xlfn.XLOOKUP(Table2[[#This Row],[Adjusted Form '#]],[2]BILLED!$D:$D,[2]BILLED!$M:$M,"Not Found")</f>
        <v>9400 1112 0620 9470 0752 95</v>
      </c>
      <c r="X1527" s="17" t="e">
        <f>_xlfn.XLOOKUP(Table2[[#This Row],[Adjusted Form '#]],[2]BILLED!$D:$D,[1]BILLED!$O:$O,"Not Found")</f>
        <v>#REF!</v>
      </c>
      <c r="Y1527" s="17" t="e">
        <f>_xlfn.XLOOKUP(Table2[[#This Row],[Adjusted Form '#]],'[2]REJECTED ORDERS'!$D:$D,'[2]REJECTED ORDERS'!$E:$E)</f>
        <v>#N/A</v>
      </c>
      <c r="Z1527" s="1"/>
      <c r="AA1527" s="1"/>
    </row>
    <row r="1528" spans="1:27" ht="15" customHeight="1" x14ac:dyDescent="0.35">
      <c r="A1528" s="4" t="s">
        <v>2261</v>
      </c>
      <c r="B1528" s="1" t="s">
        <v>3510</v>
      </c>
      <c r="C1528" s="11">
        <v>45149</v>
      </c>
      <c r="D1528" s="11" t="s">
        <v>6637</v>
      </c>
      <c r="E1528" s="1" t="s">
        <v>21</v>
      </c>
      <c r="F1528" s="1" t="s">
        <v>6634</v>
      </c>
      <c r="G1528" s="6">
        <f>COUNTIF(F:F,Table2[[#This Row],[Form '#]])</f>
        <v>1</v>
      </c>
      <c r="H1528" s="1" t="s">
        <v>6635</v>
      </c>
      <c r="I1528" s="1" t="s">
        <v>177</v>
      </c>
      <c r="J1528" s="1" t="s">
        <v>75</v>
      </c>
      <c r="K1528" s="1" t="s">
        <v>4011</v>
      </c>
      <c r="L1528" s="1"/>
      <c r="M1528" s="6" t="str">
        <f>IF(Table2[[#This Row],[Corrected Form '#
 (If Duplicated)]]="",Table2[[#This Row],[Form '#]],Table2[[#This Row],[Corrected Form '#
 (If Duplicated)]])</f>
        <v>7818-29826</v>
      </c>
      <c r="N1528" s="1" t="s">
        <v>49</v>
      </c>
      <c r="O1528" s="6" t="str">
        <f>IF(Table2[[#This Row],[POG CONFIRMATION RECEIPT OF ORDER
(DATE &amp; TIME)]]="","No Confirmation","Received Confirmation")</f>
        <v>Received Confirmation</v>
      </c>
      <c r="P1528" s="6">
        <f ca="1">TODAY()-Table2[[#This Row],[DATE SENT TO POG]]</f>
        <v>154</v>
      </c>
      <c r="Q1528" s="6" t="s">
        <v>5803</v>
      </c>
      <c r="R15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8" s="2" t="str">
        <f>_xlfn.XLOOKUP(Table2[[#This Row],[Adjusted Form '#]],'[2]IN PROGRESS'!$D:$D,'[2]IN PROGRESS'!$M:$M,"Not Found")</f>
        <v>Not Found</v>
      </c>
      <c r="U1528" s="2" t="str">
        <f>_xlfn.XLOOKUP(Table2[[#This Row],[Adjusted Form '#]],[1]COMPLETED!$D:$D,[2]COMPLETED!$M:$M,"Not Found")</f>
        <v>Not Found</v>
      </c>
      <c r="V1528" s="17" t="str">
        <f>_xlfn.XLOOKUP(Table2[[#This Row],[Adjusted Form '#]],[2]COMPLETED!$D:$D,[2]COMPLETED!$O:$O,"Not Found")</f>
        <v>Not Found</v>
      </c>
      <c r="W1528" s="2" t="str">
        <f>_xlfn.XLOOKUP(Table2[[#This Row],[Adjusted Form '#]],[2]BILLED!$D:$D,[2]BILLED!$M:$M,"Not Found")</f>
        <v>9400 1112 0620 9457 7304 83</v>
      </c>
      <c r="X1528" s="17" t="e">
        <f>_xlfn.XLOOKUP(Table2[[#This Row],[Adjusted Form '#]],[2]BILLED!$D:$D,[1]BILLED!$O:$O,"Not Found")</f>
        <v>#REF!</v>
      </c>
      <c r="Y1528" s="17" t="e">
        <f>_xlfn.XLOOKUP(Table2[[#This Row],[Adjusted Form '#]],'[2]REJECTED ORDERS'!$D:$D,'[2]REJECTED ORDERS'!$E:$E)</f>
        <v>#N/A</v>
      </c>
      <c r="Z1528" s="1"/>
      <c r="AA1528" s="1"/>
    </row>
    <row r="1529" spans="1:27" ht="15" customHeight="1" x14ac:dyDescent="0.35">
      <c r="A1529" s="4" t="s">
        <v>2262</v>
      </c>
      <c r="B1529" s="1" t="s">
        <v>1998</v>
      </c>
      <c r="C1529" s="11">
        <v>45152</v>
      </c>
      <c r="D1529" s="11" t="s">
        <v>6650</v>
      </c>
      <c r="E1529" s="1" t="s">
        <v>14</v>
      </c>
      <c r="F1529" s="1" t="s">
        <v>6636</v>
      </c>
      <c r="G1529" s="6">
        <f>COUNTIF(F:F,Table2[[#This Row],[Form '#]])</f>
        <v>1</v>
      </c>
      <c r="H1529" s="1" t="s">
        <v>1433</v>
      </c>
      <c r="I1529" s="1" t="s">
        <v>127</v>
      </c>
      <c r="J1529" s="1" t="s">
        <v>71</v>
      </c>
      <c r="K1529" s="1" t="s">
        <v>3883</v>
      </c>
      <c r="L1529" s="1"/>
      <c r="M1529" s="6" t="str">
        <f>IF(Table2[[#This Row],[Corrected Form '#
 (If Duplicated)]]="",Table2[[#This Row],[Form '#]],Table2[[#This Row],[Corrected Form '#
 (If Duplicated)]])</f>
        <v>7810-02216</v>
      </c>
      <c r="N1529" s="1" t="s">
        <v>49</v>
      </c>
      <c r="O1529" s="6" t="str">
        <f>IF(Table2[[#This Row],[POG CONFIRMATION RECEIPT OF ORDER
(DATE &amp; TIME)]]="","No Confirmation","Received Confirmation")</f>
        <v>Received Confirmation</v>
      </c>
      <c r="P1529" s="6">
        <f ca="1">TODAY()-Table2[[#This Row],[DATE SENT TO POG]]</f>
        <v>151</v>
      </c>
      <c r="Q1529" s="6" t="s">
        <v>5803</v>
      </c>
      <c r="R15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29" s="2" t="str">
        <f>_xlfn.XLOOKUP(Table2[[#This Row],[Adjusted Form '#]],'[2]IN PROGRESS'!$D:$D,'[2]IN PROGRESS'!$M:$M,"Not Found")</f>
        <v>Not Found</v>
      </c>
      <c r="U1529" s="2" t="str">
        <f>_xlfn.XLOOKUP(Table2[[#This Row],[Adjusted Form '#]],[1]COMPLETED!$D:$D,[2]COMPLETED!$M:$M,"Not Found")</f>
        <v>Not Found</v>
      </c>
      <c r="V1529" s="17" t="str">
        <f>_xlfn.XLOOKUP(Table2[[#This Row],[Adjusted Form '#]],[2]COMPLETED!$D:$D,[2]COMPLETED!$O:$O,"Not Found")</f>
        <v>Not Found</v>
      </c>
      <c r="W1529" s="2" t="str">
        <f>_xlfn.XLOOKUP(Table2[[#This Row],[Adjusted Form '#]],[2]BILLED!$D:$D,[2]BILLED!$M:$M,"Not Found")</f>
        <v>9400 1112 0620 9470 0998 33</v>
      </c>
      <c r="X1529" s="17" t="e">
        <f>_xlfn.XLOOKUP(Table2[[#This Row],[Adjusted Form '#]],[2]BILLED!$D:$D,[1]BILLED!$O:$O,"Not Found")</f>
        <v>#REF!</v>
      </c>
      <c r="Y1529" s="17" t="e">
        <f>_xlfn.XLOOKUP(Table2[[#This Row],[Adjusted Form '#]],'[2]REJECTED ORDERS'!$D:$D,'[2]REJECTED ORDERS'!$E:$E)</f>
        <v>#N/A</v>
      </c>
      <c r="Z1529" s="1"/>
      <c r="AA1529" s="1"/>
    </row>
    <row r="1530" spans="1:27" ht="15" customHeight="1" x14ac:dyDescent="0.35">
      <c r="A1530" s="4" t="s">
        <v>2264</v>
      </c>
      <c r="B1530" s="1" t="s">
        <v>2875</v>
      </c>
      <c r="C1530" s="11">
        <v>45152</v>
      </c>
      <c r="D1530" s="11" t="s">
        <v>6640</v>
      </c>
      <c r="E1530" s="1" t="s">
        <v>21</v>
      </c>
      <c r="F1530" s="1" t="s">
        <v>6638</v>
      </c>
      <c r="G1530" s="6">
        <f>COUNTIF(F:F,Table2[[#This Row],[Form '#]])</f>
        <v>1</v>
      </c>
      <c r="H1530" s="1" t="s">
        <v>6639</v>
      </c>
      <c r="I1530" s="1" t="s">
        <v>127</v>
      </c>
      <c r="J1530" s="1" t="s">
        <v>71</v>
      </c>
      <c r="K1530" s="1" t="s">
        <v>4011</v>
      </c>
      <c r="L1530" s="1"/>
      <c r="M1530" s="6" t="str">
        <f>IF(Table2[[#This Row],[Corrected Form '#
 (If Duplicated)]]="",Table2[[#This Row],[Form '#]],Table2[[#This Row],[Corrected Form '#
 (If Duplicated)]])</f>
        <v>7818-28215</v>
      </c>
      <c r="N1530" s="1" t="s">
        <v>49</v>
      </c>
      <c r="O1530" s="6" t="str">
        <f>IF(Table2[[#This Row],[POG CONFIRMATION RECEIPT OF ORDER
(DATE &amp; TIME)]]="","No Confirmation","Received Confirmation")</f>
        <v>Received Confirmation</v>
      </c>
      <c r="P1530" s="6">
        <f ca="1">TODAY()-Table2[[#This Row],[DATE SENT TO POG]]</f>
        <v>151</v>
      </c>
      <c r="Q1530" s="6" t="s">
        <v>5803</v>
      </c>
      <c r="R15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0" s="2" t="str">
        <f>_xlfn.XLOOKUP(Table2[[#This Row],[Adjusted Form '#]],'[2]IN PROGRESS'!$D:$D,'[2]IN PROGRESS'!$M:$M,"Not Found")</f>
        <v>Not Found</v>
      </c>
      <c r="U1530" s="2" t="str">
        <f>_xlfn.XLOOKUP(Table2[[#This Row],[Adjusted Form '#]],[1]COMPLETED!$D:$D,[2]COMPLETED!$M:$M,"Not Found")</f>
        <v>Not Found</v>
      </c>
      <c r="V1530" s="17" t="str">
        <f>_xlfn.XLOOKUP(Table2[[#This Row],[Adjusted Form '#]],[2]COMPLETED!$D:$D,[2]COMPLETED!$O:$O,"Not Found")</f>
        <v>Not Found</v>
      </c>
      <c r="W1530" s="2" t="str">
        <f>_xlfn.XLOOKUP(Table2[[#This Row],[Adjusted Form '#]],[2]BILLED!$D:$D,[2]BILLED!$M:$M,"Not Found")</f>
        <v>9400 1112 0620 9439 6029 68</v>
      </c>
      <c r="X1530" s="17" t="e">
        <f>_xlfn.XLOOKUP(Table2[[#This Row],[Adjusted Form '#]],[2]BILLED!$D:$D,[1]BILLED!$O:$O,"Not Found")</f>
        <v>#REF!</v>
      </c>
      <c r="Y1530" s="17" t="e">
        <f>_xlfn.XLOOKUP(Table2[[#This Row],[Adjusted Form '#]],'[2]REJECTED ORDERS'!$D:$D,'[2]REJECTED ORDERS'!$E:$E)</f>
        <v>#N/A</v>
      </c>
      <c r="Z1530" s="1"/>
      <c r="AA1530" s="1"/>
    </row>
    <row r="1531" spans="1:27" ht="15" customHeight="1" x14ac:dyDescent="0.35">
      <c r="A1531" s="4" t="s">
        <v>2265</v>
      </c>
      <c r="B1531" s="1" t="s">
        <v>637</v>
      </c>
      <c r="C1531" s="11">
        <v>45152</v>
      </c>
      <c r="D1531" s="11" t="s">
        <v>6649</v>
      </c>
      <c r="E1531" s="1" t="s">
        <v>191</v>
      </c>
      <c r="F1531" s="1" t="s">
        <v>6641</v>
      </c>
      <c r="G1531" s="6">
        <f>COUNTIF(F:F,Table2[[#This Row],[Form '#]])</f>
        <v>1</v>
      </c>
      <c r="H1531" s="1" t="s">
        <v>6642</v>
      </c>
      <c r="I1531" s="1" t="s">
        <v>3852</v>
      </c>
      <c r="J1531" s="1" t="s">
        <v>3891</v>
      </c>
      <c r="K1531" s="1" t="s">
        <v>3853</v>
      </c>
      <c r="L1531" s="1"/>
      <c r="M1531" s="6" t="str">
        <f>IF(Table2[[#This Row],[Corrected Form '#
 (If Duplicated)]]="",Table2[[#This Row],[Form '#]],Table2[[#This Row],[Corrected Form '#
 (If Duplicated)]])</f>
        <v>7812-04601</v>
      </c>
      <c r="N1531" s="1" t="s">
        <v>49</v>
      </c>
      <c r="O1531" s="6" t="str">
        <f>IF(Table2[[#This Row],[POG CONFIRMATION RECEIPT OF ORDER
(DATE &amp; TIME)]]="","No Confirmation","Received Confirmation")</f>
        <v>Received Confirmation</v>
      </c>
      <c r="P1531" s="6">
        <f ca="1">TODAY()-Table2[[#This Row],[DATE SENT TO POG]]</f>
        <v>151</v>
      </c>
      <c r="Q1531" s="6" t="s">
        <v>5803</v>
      </c>
      <c r="R15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1" s="2" t="str">
        <f>_xlfn.XLOOKUP(Table2[[#This Row],[Adjusted Form '#]],'[2]IN PROGRESS'!$D:$D,'[2]IN PROGRESS'!$M:$M,"Not Found")</f>
        <v>Not Found</v>
      </c>
      <c r="U1531" s="2" t="str">
        <f>_xlfn.XLOOKUP(Table2[[#This Row],[Adjusted Form '#]],[1]COMPLETED!$D:$D,[2]COMPLETED!$M:$M,"Not Found")</f>
        <v>Not Found</v>
      </c>
      <c r="V1531" s="17" t="str">
        <f>_xlfn.XLOOKUP(Table2[[#This Row],[Adjusted Form '#]],[2]COMPLETED!$D:$D,[2]COMPLETED!$O:$O,"Not Found")</f>
        <v>Not Found</v>
      </c>
      <c r="W1531" s="2" t="str">
        <f>_xlfn.XLOOKUP(Table2[[#This Row],[Adjusted Form '#]],[2]BILLED!$D:$D,[2]BILLED!$M:$M,"Not Found")</f>
        <v>9400 1112 0620 9439 9769 60</v>
      </c>
      <c r="X1531" s="17" t="e">
        <f>_xlfn.XLOOKUP(Table2[[#This Row],[Adjusted Form '#]],[2]BILLED!$D:$D,[1]BILLED!$O:$O,"Not Found")</f>
        <v>#REF!</v>
      </c>
      <c r="Y1531" s="17" t="e">
        <f>_xlfn.XLOOKUP(Table2[[#This Row],[Adjusted Form '#]],'[2]REJECTED ORDERS'!$D:$D,'[2]REJECTED ORDERS'!$E:$E)</f>
        <v>#N/A</v>
      </c>
      <c r="Z1531" s="1"/>
      <c r="AA1531" s="1"/>
    </row>
    <row r="1532" spans="1:27" ht="15" customHeight="1" x14ac:dyDescent="0.35">
      <c r="A1532" s="4" t="s">
        <v>2266</v>
      </c>
      <c r="B1532" s="1" t="s">
        <v>2764</v>
      </c>
      <c r="C1532" s="11">
        <v>45152</v>
      </c>
      <c r="D1532" s="11" t="s">
        <v>6645</v>
      </c>
      <c r="E1532" s="1" t="s">
        <v>21</v>
      </c>
      <c r="F1532" s="1" t="s">
        <v>6643</v>
      </c>
      <c r="G1532" s="6">
        <f>COUNTIF(F:F,Table2[[#This Row],[Form '#]])</f>
        <v>1</v>
      </c>
      <c r="H1532" s="1" t="s">
        <v>3054</v>
      </c>
      <c r="I1532" s="1" t="s">
        <v>3852</v>
      </c>
      <c r="J1532" s="1" t="s">
        <v>80</v>
      </c>
      <c r="K1532" s="1" t="s">
        <v>4011</v>
      </c>
      <c r="L1532" s="1"/>
      <c r="M1532" s="6" t="str">
        <f>IF(Table2[[#This Row],[Corrected Form '#
 (If Duplicated)]]="",Table2[[#This Row],[Form '#]],Table2[[#This Row],[Corrected Form '#
 (If Duplicated)]])</f>
        <v>7818-18305</v>
      </c>
      <c r="N1532" s="1" t="s">
        <v>49</v>
      </c>
      <c r="O1532" s="6" t="str">
        <f>IF(Table2[[#This Row],[POG CONFIRMATION RECEIPT OF ORDER
(DATE &amp; TIME)]]="","No Confirmation","Received Confirmation")</f>
        <v>Received Confirmation</v>
      </c>
      <c r="P1532" s="6">
        <f ca="1">TODAY()-Table2[[#This Row],[DATE SENT TO POG]]</f>
        <v>151</v>
      </c>
      <c r="Q1532" s="6" t="s">
        <v>5803</v>
      </c>
      <c r="R15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2" s="2" t="str">
        <f>_xlfn.XLOOKUP(Table2[[#This Row],[Adjusted Form '#]],'[2]IN PROGRESS'!$D:$D,'[2]IN PROGRESS'!$M:$M,"Not Found")</f>
        <v>Not Found</v>
      </c>
      <c r="U1532" s="2" t="str">
        <f>_xlfn.XLOOKUP(Table2[[#This Row],[Adjusted Form '#]],[1]COMPLETED!$D:$D,[2]COMPLETED!$M:$M,"Not Found")</f>
        <v>Not Found</v>
      </c>
      <c r="V1532" s="17" t="str">
        <f>_xlfn.XLOOKUP(Table2[[#This Row],[Adjusted Form '#]],[2]COMPLETED!$D:$D,[2]COMPLETED!$O:$O,"Not Found")</f>
        <v>Not Found</v>
      </c>
      <c r="W1532" s="2" t="str">
        <f>_xlfn.XLOOKUP(Table2[[#This Row],[Adjusted Form '#]],[2]BILLED!$D:$D,[2]BILLED!$M:$M,"Not Found")</f>
        <v>9400 1361 0605 3278 6413 98</v>
      </c>
      <c r="X1532" s="17" t="e">
        <f>_xlfn.XLOOKUP(Table2[[#This Row],[Adjusted Form '#]],[2]BILLED!$D:$D,[1]BILLED!$O:$O,"Not Found")</f>
        <v>#REF!</v>
      </c>
      <c r="Y1532" s="17" t="e">
        <f>_xlfn.XLOOKUP(Table2[[#This Row],[Adjusted Form '#]],'[2]REJECTED ORDERS'!$D:$D,'[2]REJECTED ORDERS'!$E:$E)</f>
        <v>#N/A</v>
      </c>
      <c r="Z1532" s="1"/>
      <c r="AA1532" s="1"/>
    </row>
    <row r="1533" spans="1:27" ht="15" customHeight="1" x14ac:dyDescent="0.35">
      <c r="A1533" s="4" t="s">
        <v>2268</v>
      </c>
      <c r="B1533" s="1" t="s">
        <v>2764</v>
      </c>
      <c r="C1533" s="11">
        <v>45152</v>
      </c>
      <c r="D1533" s="11" t="s">
        <v>6645</v>
      </c>
      <c r="E1533" s="1" t="s">
        <v>21</v>
      </c>
      <c r="F1533" s="1" t="s">
        <v>6644</v>
      </c>
      <c r="G1533" s="6">
        <f>COUNTIF(F:F,Table2[[#This Row],[Form '#]])</f>
        <v>1</v>
      </c>
      <c r="H1533" s="1" t="s">
        <v>2660</v>
      </c>
      <c r="I1533" s="1" t="s">
        <v>3852</v>
      </c>
      <c r="J1533" s="1" t="s">
        <v>75</v>
      </c>
      <c r="K1533" s="1" t="s">
        <v>4011</v>
      </c>
      <c r="L1533" s="1"/>
      <c r="M1533" s="6" t="str">
        <f>IF(Table2[[#This Row],[Corrected Form '#
 (If Duplicated)]]="",Table2[[#This Row],[Form '#]],Table2[[#This Row],[Corrected Form '#
 (If Duplicated)]])</f>
        <v>7818-27323</v>
      </c>
      <c r="N1533" s="1" t="s">
        <v>49</v>
      </c>
      <c r="O1533" s="6" t="str">
        <f>IF(Table2[[#This Row],[POG CONFIRMATION RECEIPT OF ORDER
(DATE &amp; TIME)]]="","No Confirmation","Received Confirmation")</f>
        <v>Received Confirmation</v>
      </c>
      <c r="P1533" s="6">
        <f ca="1">TODAY()-Table2[[#This Row],[DATE SENT TO POG]]</f>
        <v>151</v>
      </c>
      <c r="Q1533" s="6" t="s">
        <v>5803</v>
      </c>
      <c r="R15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3" s="2" t="str">
        <f>_xlfn.XLOOKUP(Table2[[#This Row],[Adjusted Form '#]],'[2]IN PROGRESS'!$D:$D,'[2]IN PROGRESS'!$M:$M,"Not Found")</f>
        <v>Not Found</v>
      </c>
      <c r="U1533" s="2" t="str">
        <f>_xlfn.XLOOKUP(Table2[[#This Row],[Adjusted Form '#]],[1]COMPLETED!$D:$D,[2]COMPLETED!$M:$M,"Not Found")</f>
        <v>Not Found</v>
      </c>
      <c r="V1533" s="17" t="str">
        <f>_xlfn.XLOOKUP(Table2[[#This Row],[Adjusted Form '#]],[2]COMPLETED!$D:$D,[2]COMPLETED!$O:$O,"Not Found")</f>
        <v>Not Found</v>
      </c>
      <c r="W1533" s="2" t="str">
        <f>_xlfn.XLOOKUP(Table2[[#This Row],[Adjusted Form '#]],[2]BILLED!$D:$D,[2]BILLED!$M:$M,"Not Found")</f>
        <v>9400 1112 0620 9459 3730 91</v>
      </c>
      <c r="X1533" s="17" t="e">
        <f>_xlfn.XLOOKUP(Table2[[#This Row],[Adjusted Form '#]],[2]BILLED!$D:$D,[1]BILLED!$O:$O,"Not Found")</f>
        <v>#REF!</v>
      </c>
      <c r="Y1533" s="17" t="e">
        <f>_xlfn.XLOOKUP(Table2[[#This Row],[Adjusted Form '#]],'[2]REJECTED ORDERS'!$D:$D,'[2]REJECTED ORDERS'!$E:$E)</f>
        <v>#N/A</v>
      </c>
      <c r="Z1533" s="1"/>
      <c r="AA1533" s="1"/>
    </row>
    <row r="1534" spans="1:27" ht="15" customHeight="1" x14ac:dyDescent="0.35">
      <c r="A1534" s="4" t="s">
        <v>2269</v>
      </c>
      <c r="B1534" s="1" t="s">
        <v>571</v>
      </c>
      <c r="C1534" s="11">
        <v>45152</v>
      </c>
      <c r="D1534" s="11" t="s">
        <v>6648</v>
      </c>
      <c r="E1534" s="1" t="s">
        <v>21</v>
      </c>
      <c r="F1534" s="1" t="s">
        <v>6646</v>
      </c>
      <c r="G1534" s="6">
        <f>COUNTIF(F:F,Table2[[#This Row],[Form '#]])</f>
        <v>1</v>
      </c>
      <c r="H1534" s="1" t="s">
        <v>6647</v>
      </c>
      <c r="I1534" s="1" t="s">
        <v>3864</v>
      </c>
      <c r="J1534" s="1" t="s">
        <v>78</v>
      </c>
      <c r="K1534" s="1" t="s">
        <v>3879</v>
      </c>
      <c r="L1534" s="1"/>
      <c r="M1534" s="6" t="str">
        <f>IF(Table2[[#This Row],[Corrected Form '#
 (If Duplicated)]]="",Table2[[#This Row],[Form '#]],Table2[[#This Row],[Corrected Form '#
 (If Duplicated)]])</f>
        <v>7818-16866</v>
      </c>
      <c r="N1534" s="1" t="s">
        <v>49</v>
      </c>
      <c r="O1534" s="6" t="str">
        <f>IF(Table2[[#This Row],[POG CONFIRMATION RECEIPT OF ORDER
(DATE &amp; TIME)]]="","No Confirmation","Received Confirmation")</f>
        <v>Received Confirmation</v>
      </c>
      <c r="P1534" s="6">
        <f ca="1">TODAY()-Table2[[#This Row],[DATE SENT TO POG]]</f>
        <v>151</v>
      </c>
      <c r="Q1534" s="6" t="s">
        <v>5803</v>
      </c>
      <c r="R15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4" s="2" t="str">
        <f>_xlfn.XLOOKUP(Table2[[#This Row],[Adjusted Form '#]],'[2]IN PROGRESS'!$D:$D,'[2]IN PROGRESS'!$M:$M,"Not Found")</f>
        <v>Not Found</v>
      </c>
      <c r="U1534" s="2" t="str">
        <f>_xlfn.XLOOKUP(Table2[[#This Row],[Adjusted Form '#]],[1]COMPLETED!$D:$D,[2]COMPLETED!$M:$M,"Not Found")</f>
        <v>Not Found</v>
      </c>
      <c r="V1534" s="17" t="str">
        <f>_xlfn.XLOOKUP(Table2[[#This Row],[Adjusted Form '#]],[2]COMPLETED!$D:$D,[2]COMPLETED!$O:$O,"Not Found")</f>
        <v>Not Found</v>
      </c>
      <c r="W1534" s="2" t="str">
        <f>_xlfn.XLOOKUP(Table2[[#This Row],[Adjusted Form '#]],[2]BILLED!$D:$D,[2]BILLED!$M:$M,"Not Found")</f>
        <v>9400 1112 0620 9439 9795 34</v>
      </c>
      <c r="X1534" s="17" t="e">
        <f>_xlfn.XLOOKUP(Table2[[#This Row],[Adjusted Form '#]],[2]BILLED!$D:$D,[1]BILLED!$O:$O,"Not Found")</f>
        <v>#REF!</v>
      </c>
      <c r="Y1534" s="17" t="e">
        <f>_xlfn.XLOOKUP(Table2[[#This Row],[Adjusted Form '#]],'[2]REJECTED ORDERS'!$D:$D,'[2]REJECTED ORDERS'!$E:$E)</f>
        <v>#N/A</v>
      </c>
      <c r="Z1534" s="1"/>
      <c r="AA1534" s="1"/>
    </row>
    <row r="1535" spans="1:27" ht="15" customHeight="1" x14ac:dyDescent="0.35">
      <c r="A1535" s="4" t="s">
        <v>2270</v>
      </c>
      <c r="B1535" s="1" t="s">
        <v>653</v>
      </c>
      <c r="C1535" s="11">
        <v>45153</v>
      </c>
      <c r="D1535" s="11" t="s">
        <v>6653</v>
      </c>
      <c r="E1535" s="1" t="s">
        <v>21</v>
      </c>
      <c r="F1535" s="1" t="s">
        <v>6651</v>
      </c>
      <c r="G1535" s="6">
        <f>COUNTIF(F:F,Table2[[#This Row],[Form '#]])</f>
        <v>1</v>
      </c>
      <c r="H1535" s="1" t="s">
        <v>6652</v>
      </c>
      <c r="I1535" s="1" t="s">
        <v>127</v>
      </c>
      <c r="J1535" s="1" t="s">
        <v>76</v>
      </c>
      <c r="K1535" s="1" t="s">
        <v>3883</v>
      </c>
      <c r="L1535" s="1"/>
      <c r="M1535" s="6" t="str">
        <f>IF(Table2[[#This Row],[Corrected Form '#
 (If Duplicated)]]="",Table2[[#This Row],[Form '#]],Table2[[#This Row],[Corrected Form '#
 (If Duplicated)]])</f>
        <v>7818-05438</v>
      </c>
      <c r="N1535" s="1" t="s">
        <v>49</v>
      </c>
      <c r="O1535" s="6" t="str">
        <f>IF(Table2[[#This Row],[POG CONFIRMATION RECEIPT OF ORDER
(DATE &amp; TIME)]]="","No Confirmation","Received Confirmation")</f>
        <v>Received Confirmation</v>
      </c>
      <c r="P1535" s="6">
        <f ca="1">TODAY()-Table2[[#This Row],[DATE SENT TO POG]]</f>
        <v>150</v>
      </c>
      <c r="Q1535" s="6" t="s">
        <v>5803</v>
      </c>
      <c r="R15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5" s="2" t="str">
        <f>_xlfn.XLOOKUP(Table2[[#This Row],[Adjusted Form '#]],'[2]IN PROGRESS'!$D:$D,'[2]IN PROGRESS'!$M:$M,"Not Found")</f>
        <v>Not Found</v>
      </c>
      <c r="U1535" s="2" t="str">
        <f>_xlfn.XLOOKUP(Table2[[#This Row],[Adjusted Form '#]],[1]COMPLETED!$D:$D,[2]COMPLETED!$M:$M,"Not Found")</f>
        <v>Not Found</v>
      </c>
      <c r="V1535" s="17" t="str">
        <f>_xlfn.XLOOKUP(Table2[[#This Row],[Adjusted Form '#]],[2]COMPLETED!$D:$D,[2]COMPLETED!$O:$O,"Not Found")</f>
        <v>Not Found</v>
      </c>
      <c r="W1535" s="2" t="str">
        <f>_xlfn.XLOOKUP(Table2[[#This Row],[Adjusted Form '#]],[2]BILLED!$D:$D,[2]BILLED!$M:$M,"Not Found")</f>
        <v>9400 1112 0620 9459 3869 61</v>
      </c>
      <c r="X1535" s="17" t="e">
        <f>_xlfn.XLOOKUP(Table2[[#This Row],[Adjusted Form '#]],[2]BILLED!$D:$D,[1]BILLED!$O:$O,"Not Found")</f>
        <v>#REF!</v>
      </c>
      <c r="Y1535" s="17" t="e">
        <f>_xlfn.XLOOKUP(Table2[[#This Row],[Adjusted Form '#]],'[2]REJECTED ORDERS'!$D:$D,'[2]REJECTED ORDERS'!$E:$E)</f>
        <v>#N/A</v>
      </c>
      <c r="Z1535" s="1"/>
      <c r="AA1535" s="1"/>
    </row>
    <row r="1536" spans="1:27" ht="15" customHeight="1" x14ac:dyDescent="0.35">
      <c r="A1536" s="4" t="s">
        <v>2271</v>
      </c>
      <c r="B1536" s="1" t="s">
        <v>6654</v>
      </c>
      <c r="C1536" s="11">
        <v>45154</v>
      </c>
      <c r="D1536" s="11" t="s">
        <v>6671</v>
      </c>
      <c r="E1536" s="1" t="s">
        <v>73</v>
      </c>
      <c r="F1536" s="1" t="s">
        <v>6655</v>
      </c>
      <c r="G1536" s="6">
        <f>COUNTIF(F:F,Table2[[#This Row],[Form '#]])</f>
        <v>1</v>
      </c>
      <c r="H1536" s="1" t="s">
        <v>1273</v>
      </c>
      <c r="I1536" s="1" t="s">
        <v>127</v>
      </c>
      <c r="J1536" s="1" t="s">
        <v>71</v>
      </c>
      <c r="K1536" s="1" t="s">
        <v>3883</v>
      </c>
      <c r="L1536" s="1"/>
      <c r="M1536" s="6" t="str">
        <f>IF(Table2[[#This Row],[Corrected Form '#
 (If Duplicated)]]="",Table2[[#This Row],[Form '#]],Table2[[#This Row],[Corrected Form '#
 (If Duplicated)]])</f>
        <v>7823-02815</v>
      </c>
      <c r="N1536" s="1" t="s">
        <v>49</v>
      </c>
      <c r="O1536" s="6" t="str">
        <f>IF(Table2[[#This Row],[POG CONFIRMATION RECEIPT OF ORDER
(DATE &amp; TIME)]]="","No Confirmation","Received Confirmation")</f>
        <v>Received Confirmation</v>
      </c>
      <c r="P1536" s="6">
        <f ca="1">TODAY()-Table2[[#This Row],[DATE SENT TO POG]]</f>
        <v>149</v>
      </c>
      <c r="Q1536" s="6" t="s">
        <v>5803</v>
      </c>
      <c r="R15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6" s="2" t="str">
        <f>_xlfn.XLOOKUP(Table2[[#This Row],[Adjusted Form '#]],'[2]IN PROGRESS'!$D:$D,'[2]IN PROGRESS'!$M:$M,"Not Found")</f>
        <v>Not Found</v>
      </c>
      <c r="U1536" s="2" t="str">
        <f>_xlfn.XLOOKUP(Table2[[#This Row],[Adjusted Form '#]],[1]COMPLETED!$D:$D,[2]COMPLETED!$M:$M,"Not Found")</f>
        <v>Not Found</v>
      </c>
      <c r="V1536" s="17" t="str">
        <f>_xlfn.XLOOKUP(Table2[[#This Row],[Adjusted Form '#]],[2]COMPLETED!$D:$D,[2]COMPLETED!$O:$O,"Not Found")</f>
        <v>Not Found</v>
      </c>
      <c r="W1536" s="2" t="str">
        <f>_xlfn.XLOOKUP(Table2[[#This Row],[Adjusted Form '#]],[2]BILLED!$D:$D,[2]BILLED!$M:$M,"Not Found")</f>
        <v>9400 1112 0620 9417 6256 99</v>
      </c>
      <c r="X1536" s="17" t="e">
        <f>_xlfn.XLOOKUP(Table2[[#This Row],[Adjusted Form '#]],[2]BILLED!$D:$D,[1]BILLED!$O:$O,"Not Found")</f>
        <v>#REF!</v>
      </c>
      <c r="Y1536" s="17" t="e">
        <f>_xlfn.XLOOKUP(Table2[[#This Row],[Adjusted Form '#]],'[2]REJECTED ORDERS'!$D:$D,'[2]REJECTED ORDERS'!$E:$E)</f>
        <v>#N/A</v>
      </c>
      <c r="Z1536" s="1"/>
      <c r="AA1536" s="1"/>
    </row>
    <row r="1537" spans="1:27" ht="15" customHeight="1" x14ac:dyDescent="0.35">
      <c r="A1537" s="4" t="s">
        <v>2272</v>
      </c>
      <c r="B1537" s="1" t="s">
        <v>1299</v>
      </c>
      <c r="C1537" s="11">
        <v>45154</v>
      </c>
      <c r="D1537" s="11" t="s">
        <v>6671</v>
      </c>
      <c r="E1537" s="1" t="s">
        <v>21</v>
      </c>
      <c r="F1537" s="1" t="s">
        <v>6656</v>
      </c>
      <c r="G1537" s="6">
        <f>COUNTIF(F:F,Table2[[#This Row],[Form '#]])</f>
        <v>1</v>
      </c>
      <c r="H1537" s="1" t="s">
        <v>516</v>
      </c>
      <c r="I1537" s="1" t="s">
        <v>106</v>
      </c>
      <c r="J1537" s="1" t="s">
        <v>72</v>
      </c>
      <c r="K1537" s="1" t="s">
        <v>4530</v>
      </c>
      <c r="L1537" s="1"/>
      <c r="M1537" s="6" t="str">
        <f>IF(Table2[[#This Row],[Corrected Form '#
 (If Duplicated)]]="",Table2[[#This Row],[Form '#]],Table2[[#This Row],[Corrected Form '#
 (If Duplicated)]])</f>
        <v>7818-20822</v>
      </c>
      <c r="N1537" s="1" t="s">
        <v>49</v>
      </c>
      <c r="O1537" s="6" t="str">
        <f>IF(Table2[[#This Row],[POG CONFIRMATION RECEIPT OF ORDER
(DATE &amp; TIME)]]="","No Confirmation","Received Confirmation")</f>
        <v>Received Confirmation</v>
      </c>
      <c r="P1537" s="6">
        <f ca="1">TODAY()-Table2[[#This Row],[DATE SENT TO POG]]</f>
        <v>149</v>
      </c>
      <c r="Q1537" s="6" t="s">
        <v>5803</v>
      </c>
      <c r="R15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7" s="2" t="str">
        <f>_xlfn.XLOOKUP(Table2[[#This Row],[Adjusted Form '#]],'[2]IN PROGRESS'!$D:$D,'[2]IN PROGRESS'!$M:$M,"Not Found")</f>
        <v>Not Found</v>
      </c>
      <c r="U1537" s="2" t="str">
        <f>_xlfn.XLOOKUP(Table2[[#This Row],[Adjusted Form '#]],[1]COMPLETED!$D:$D,[2]COMPLETED!$M:$M,"Not Found")</f>
        <v>Not Found</v>
      </c>
      <c r="V1537" s="17" t="str">
        <f>_xlfn.XLOOKUP(Table2[[#This Row],[Adjusted Form '#]],[2]COMPLETED!$D:$D,[2]COMPLETED!$O:$O,"Not Found")</f>
        <v>Not Found</v>
      </c>
      <c r="W1537" s="2" t="str">
        <f>_xlfn.XLOOKUP(Table2[[#This Row],[Adjusted Form '#]],[2]BILLED!$D:$D,[2]BILLED!$M:$M,"Not Found")</f>
        <v>9400 1112 0620 9417 6396 10</v>
      </c>
      <c r="X1537" s="17" t="e">
        <f>_xlfn.XLOOKUP(Table2[[#This Row],[Adjusted Form '#]],[2]BILLED!$D:$D,[1]BILLED!$O:$O,"Not Found")</f>
        <v>#REF!</v>
      </c>
      <c r="Y1537" s="17" t="e">
        <f>_xlfn.XLOOKUP(Table2[[#This Row],[Adjusted Form '#]],'[2]REJECTED ORDERS'!$D:$D,'[2]REJECTED ORDERS'!$E:$E)</f>
        <v>#N/A</v>
      </c>
      <c r="Z1537" s="1"/>
      <c r="AA1537" s="1"/>
    </row>
    <row r="1538" spans="1:27" ht="15" customHeight="1" x14ac:dyDescent="0.35">
      <c r="A1538" s="4" t="s">
        <v>2273</v>
      </c>
      <c r="B1538" s="1" t="s">
        <v>1299</v>
      </c>
      <c r="C1538" s="11">
        <v>45154</v>
      </c>
      <c r="D1538" s="11" t="s">
        <v>6671</v>
      </c>
      <c r="E1538" s="1" t="s">
        <v>21</v>
      </c>
      <c r="F1538" s="1" t="s">
        <v>6657</v>
      </c>
      <c r="G1538" s="6">
        <f>COUNTIF(F:F,Table2[[#This Row],[Form '#]])</f>
        <v>1</v>
      </c>
      <c r="H1538" s="1" t="s">
        <v>6658</v>
      </c>
      <c r="I1538" s="1" t="s">
        <v>28</v>
      </c>
      <c r="J1538" s="1" t="s">
        <v>69</v>
      </c>
      <c r="K1538" s="1" t="s">
        <v>3891</v>
      </c>
      <c r="L1538" s="1"/>
      <c r="M1538" s="6" t="str">
        <f>IF(Table2[[#This Row],[Corrected Form '#
 (If Duplicated)]]="",Table2[[#This Row],[Form '#]],Table2[[#This Row],[Corrected Form '#
 (If Duplicated)]])</f>
        <v>7818-28009</v>
      </c>
      <c r="N1538" s="1" t="s">
        <v>49</v>
      </c>
      <c r="O1538" s="6" t="str">
        <f>IF(Table2[[#This Row],[POG CONFIRMATION RECEIPT OF ORDER
(DATE &amp; TIME)]]="","No Confirmation","Received Confirmation")</f>
        <v>Received Confirmation</v>
      </c>
      <c r="P1538" s="6">
        <f ca="1">TODAY()-Table2[[#This Row],[DATE SENT TO POG]]</f>
        <v>149</v>
      </c>
      <c r="Q1538" s="6" t="s">
        <v>5803</v>
      </c>
      <c r="R15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8" s="2" t="str">
        <f>_xlfn.XLOOKUP(Table2[[#This Row],[Adjusted Form '#]],'[2]IN PROGRESS'!$D:$D,'[2]IN PROGRESS'!$M:$M,"Not Found")</f>
        <v>Not Found</v>
      </c>
      <c r="U1538" s="2" t="str">
        <f>_xlfn.XLOOKUP(Table2[[#This Row],[Adjusted Form '#]],[1]COMPLETED!$D:$D,[2]COMPLETED!$M:$M,"Not Found")</f>
        <v>Not Found</v>
      </c>
      <c r="V1538" s="17" t="str">
        <f>_xlfn.XLOOKUP(Table2[[#This Row],[Adjusted Form '#]],[2]COMPLETED!$D:$D,[2]COMPLETED!$O:$O,"Not Found")</f>
        <v>Not Found</v>
      </c>
      <c r="W1538" s="2" t="str">
        <f>_xlfn.XLOOKUP(Table2[[#This Row],[Adjusted Form '#]],[2]BILLED!$D:$D,[2]BILLED!$M:$M,"Not Found")</f>
        <v>9400 1112 0620 9444 6160 35</v>
      </c>
      <c r="X1538" s="17" t="e">
        <f>_xlfn.XLOOKUP(Table2[[#This Row],[Adjusted Form '#]],[2]BILLED!$D:$D,[1]BILLED!$O:$O,"Not Found")</f>
        <v>#REF!</v>
      </c>
      <c r="Y1538" s="17" t="e">
        <f>_xlfn.XLOOKUP(Table2[[#This Row],[Adjusted Form '#]],'[2]REJECTED ORDERS'!$D:$D,'[2]REJECTED ORDERS'!$E:$E)</f>
        <v>#N/A</v>
      </c>
      <c r="Z1538" s="1"/>
      <c r="AA1538" s="1"/>
    </row>
    <row r="1539" spans="1:27" ht="15" customHeight="1" x14ac:dyDescent="0.35">
      <c r="A1539" s="4" t="s">
        <v>2275</v>
      </c>
      <c r="B1539" s="1" t="s">
        <v>1299</v>
      </c>
      <c r="C1539" s="11">
        <v>45154</v>
      </c>
      <c r="D1539" s="11" t="s">
        <v>6671</v>
      </c>
      <c r="E1539" s="1" t="s">
        <v>21</v>
      </c>
      <c r="F1539" s="1" t="s">
        <v>6659</v>
      </c>
      <c r="G1539" s="6">
        <f>COUNTIF(F:F,Table2[[#This Row],[Form '#]])</f>
        <v>1</v>
      </c>
      <c r="H1539" s="1" t="s">
        <v>36</v>
      </c>
      <c r="I1539" s="1" t="s">
        <v>106</v>
      </c>
      <c r="J1539" s="1" t="s">
        <v>70</v>
      </c>
      <c r="K1539" s="1" t="s">
        <v>4530</v>
      </c>
      <c r="L1539" s="1"/>
      <c r="M1539" s="6" t="str">
        <f>IF(Table2[[#This Row],[Corrected Form '#
 (If Duplicated)]]="",Table2[[#This Row],[Form '#]],Table2[[#This Row],[Corrected Form '#
 (If Duplicated)]])</f>
        <v>7818-16917</v>
      </c>
      <c r="N1539" s="1" t="s">
        <v>49</v>
      </c>
      <c r="O1539" s="6" t="str">
        <f>IF(Table2[[#This Row],[POG CONFIRMATION RECEIPT OF ORDER
(DATE &amp; TIME)]]="","No Confirmation","Received Confirmation")</f>
        <v>Received Confirmation</v>
      </c>
      <c r="P1539" s="6">
        <f ca="1">TODAY()-Table2[[#This Row],[DATE SENT TO POG]]</f>
        <v>149</v>
      </c>
      <c r="Q1539" s="6" t="s">
        <v>5803</v>
      </c>
      <c r="R15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39" s="2" t="str">
        <f>_xlfn.XLOOKUP(Table2[[#This Row],[Adjusted Form '#]],'[2]IN PROGRESS'!$D:$D,'[2]IN PROGRESS'!$M:$M,"Not Found")</f>
        <v>Not Found</v>
      </c>
      <c r="U1539" s="2" t="str">
        <f>_xlfn.XLOOKUP(Table2[[#This Row],[Adjusted Form '#]],[1]COMPLETED!$D:$D,[2]COMPLETED!$M:$M,"Not Found")</f>
        <v>Not Found</v>
      </c>
      <c r="V1539" s="17" t="str">
        <f>_xlfn.XLOOKUP(Table2[[#This Row],[Adjusted Form '#]],[2]COMPLETED!$D:$D,[2]COMPLETED!$O:$O,"Not Found")</f>
        <v>Not Found</v>
      </c>
      <c r="W1539" s="2" t="str">
        <f>_xlfn.XLOOKUP(Table2[[#This Row],[Adjusted Form '#]],[2]BILLED!$D:$D,[2]BILLED!$M:$M,"Not Found")</f>
        <v>9400 1112 0620 9417 6798 45</v>
      </c>
      <c r="X1539" s="17" t="e">
        <f>_xlfn.XLOOKUP(Table2[[#This Row],[Adjusted Form '#]],[2]BILLED!$D:$D,[1]BILLED!$O:$O,"Not Found")</f>
        <v>#REF!</v>
      </c>
      <c r="Y1539" s="17" t="e">
        <f>_xlfn.XLOOKUP(Table2[[#This Row],[Adjusted Form '#]],'[2]REJECTED ORDERS'!$D:$D,'[2]REJECTED ORDERS'!$E:$E)</f>
        <v>#N/A</v>
      </c>
      <c r="Z1539" s="1"/>
      <c r="AA1539" s="1"/>
    </row>
    <row r="1540" spans="1:27" ht="15" customHeight="1" x14ac:dyDescent="0.35">
      <c r="A1540" s="4" t="s">
        <v>2277</v>
      </c>
      <c r="B1540" s="1" t="s">
        <v>1687</v>
      </c>
      <c r="C1540" s="11">
        <v>45154</v>
      </c>
      <c r="D1540" s="11" t="s">
        <v>6672</v>
      </c>
      <c r="E1540" s="1" t="s">
        <v>21</v>
      </c>
      <c r="F1540" s="1" t="s">
        <v>6660</v>
      </c>
      <c r="G1540" s="6">
        <f>COUNTIF(F:F,Table2[[#This Row],[Form '#]])</f>
        <v>1</v>
      </c>
      <c r="H1540" s="1" t="s">
        <v>6661</v>
      </c>
      <c r="I1540" s="1" t="s">
        <v>3852</v>
      </c>
      <c r="J1540" s="1" t="s">
        <v>80</v>
      </c>
      <c r="K1540" s="1" t="s">
        <v>3853</v>
      </c>
      <c r="L1540" s="1"/>
      <c r="M1540" s="6" t="str">
        <f>IF(Table2[[#This Row],[Corrected Form '#
 (If Duplicated)]]="",Table2[[#This Row],[Form '#]],Table2[[#This Row],[Corrected Form '#
 (If Duplicated)]])</f>
        <v>7818-28255</v>
      </c>
      <c r="N1540" s="1" t="s">
        <v>49</v>
      </c>
      <c r="O1540" s="6" t="str">
        <f>IF(Table2[[#This Row],[POG CONFIRMATION RECEIPT OF ORDER
(DATE &amp; TIME)]]="","No Confirmation","Received Confirmation")</f>
        <v>Received Confirmation</v>
      </c>
      <c r="P1540" s="6">
        <f ca="1">TODAY()-Table2[[#This Row],[DATE SENT TO POG]]</f>
        <v>149</v>
      </c>
      <c r="Q1540" s="6" t="s">
        <v>5803</v>
      </c>
      <c r="R15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0" s="2" t="str">
        <f>_xlfn.XLOOKUP(Table2[[#This Row],[Adjusted Form '#]],'[2]IN PROGRESS'!$D:$D,'[2]IN PROGRESS'!$M:$M,"Not Found")</f>
        <v>Not Found</v>
      </c>
      <c r="U1540" s="2" t="str">
        <f>_xlfn.XLOOKUP(Table2[[#This Row],[Adjusted Form '#]],[1]COMPLETED!$D:$D,[2]COMPLETED!$M:$M,"Not Found")</f>
        <v>Not Found</v>
      </c>
      <c r="V1540" s="17" t="str">
        <f>_xlfn.XLOOKUP(Table2[[#This Row],[Adjusted Form '#]],[2]COMPLETED!$D:$D,[2]COMPLETED!$O:$O,"Not Found")</f>
        <v>Not Found</v>
      </c>
      <c r="W1540" s="2" t="str">
        <f>_xlfn.XLOOKUP(Table2[[#This Row],[Adjusted Form '#]],[2]BILLED!$D:$D,[2]BILLED!$M:$M,"Not Found")</f>
        <v>9400 1112 0620 9459 3115 50</v>
      </c>
      <c r="X1540" s="17" t="e">
        <f>_xlfn.XLOOKUP(Table2[[#This Row],[Adjusted Form '#]],[2]BILLED!$D:$D,[1]BILLED!$O:$O,"Not Found")</f>
        <v>#REF!</v>
      </c>
      <c r="Y1540" s="17" t="e">
        <f>_xlfn.XLOOKUP(Table2[[#This Row],[Adjusted Form '#]],'[2]REJECTED ORDERS'!$D:$D,'[2]REJECTED ORDERS'!$E:$E)</f>
        <v>#N/A</v>
      </c>
      <c r="Z1540" s="1"/>
      <c r="AA1540" s="1"/>
    </row>
    <row r="1541" spans="1:27" ht="15" customHeight="1" x14ac:dyDescent="0.35">
      <c r="A1541" s="4" t="s">
        <v>2278</v>
      </c>
      <c r="B1541" s="1" t="s">
        <v>1687</v>
      </c>
      <c r="C1541" s="11">
        <v>45154</v>
      </c>
      <c r="D1541" s="11" t="s">
        <v>6672</v>
      </c>
      <c r="E1541" s="1" t="s">
        <v>21</v>
      </c>
      <c r="F1541" s="1" t="s">
        <v>6662</v>
      </c>
      <c r="G1541" s="6">
        <f>COUNTIF(F:F,Table2[[#This Row],[Form '#]])</f>
        <v>1</v>
      </c>
      <c r="H1541" s="1" t="s">
        <v>3397</v>
      </c>
      <c r="I1541" s="1" t="s">
        <v>758</v>
      </c>
      <c r="J1541" s="1" t="s">
        <v>78</v>
      </c>
      <c r="K1541" s="1" t="s">
        <v>3853</v>
      </c>
      <c r="L1541" s="1"/>
      <c r="M1541" s="6" t="str">
        <f>IF(Table2[[#This Row],[Corrected Form '#
 (If Duplicated)]]="",Table2[[#This Row],[Form '#]],Table2[[#This Row],[Corrected Form '#
 (If Duplicated)]])</f>
        <v>7818-29532</v>
      </c>
      <c r="N1541" s="1" t="s">
        <v>49</v>
      </c>
      <c r="O1541" s="6" t="str">
        <f>IF(Table2[[#This Row],[POG CONFIRMATION RECEIPT OF ORDER
(DATE &amp; TIME)]]="","No Confirmation","Received Confirmation")</f>
        <v>Received Confirmation</v>
      </c>
      <c r="P1541" s="6">
        <f ca="1">TODAY()-Table2[[#This Row],[DATE SENT TO POG]]</f>
        <v>149</v>
      </c>
      <c r="Q1541" s="6" t="s">
        <v>5803</v>
      </c>
      <c r="R15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1" s="2" t="str">
        <f>_xlfn.XLOOKUP(Table2[[#This Row],[Adjusted Form '#]],'[2]IN PROGRESS'!$D:$D,'[2]IN PROGRESS'!$M:$M,"Not Found")</f>
        <v>Not Found</v>
      </c>
      <c r="U1541" s="2" t="str">
        <f>_xlfn.XLOOKUP(Table2[[#This Row],[Adjusted Form '#]],[1]COMPLETED!$D:$D,[2]COMPLETED!$M:$M,"Not Found")</f>
        <v>Not Found</v>
      </c>
      <c r="V1541" s="17" t="str">
        <f>_xlfn.XLOOKUP(Table2[[#This Row],[Adjusted Form '#]],[2]COMPLETED!$D:$D,[2]COMPLETED!$O:$O,"Not Found")</f>
        <v>Not Found</v>
      </c>
      <c r="W1541" s="2" t="str">
        <f>_xlfn.XLOOKUP(Table2[[#This Row],[Adjusted Form '#]],[2]BILLED!$D:$D,[2]BILLED!$M:$M,"Not Found")</f>
        <v>9400 1112 0620 9450 6837 17</v>
      </c>
      <c r="X1541" s="17" t="e">
        <f>_xlfn.XLOOKUP(Table2[[#This Row],[Adjusted Form '#]],[2]BILLED!$D:$D,[1]BILLED!$O:$O,"Not Found")</f>
        <v>#REF!</v>
      </c>
      <c r="Y1541" s="17" t="e">
        <f>_xlfn.XLOOKUP(Table2[[#This Row],[Adjusted Form '#]],'[2]REJECTED ORDERS'!$D:$D,'[2]REJECTED ORDERS'!$E:$E)</f>
        <v>#N/A</v>
      </c>
      <c r="Z1541" s="1"/>
      <c r="AA1541" s="1"/>
    </row>
    <row r="1542" spans="1:27" ht="15" customHeight="1" x14ac:dyDescent="0.35">
      <c r="A1542" s="4" t="s">
        <v>2280</v>
      </c>
      <c r="B1542" s="1" t="s">
        <v>1687</v>
      </c>
      <c r="C1542" s="11">
        <v>45154</v>
      </c>
      <c r="D1542" s="11" t="s">
        <v>6672</v>
      </c>
      <c r="E1542" s="1" t="s">
        <v>21</v>
      </c>
      <c r="F1542" s="1" t="s">
        <v>6663</v>
      </c>
      <c r="G1542" s="6">
        <f>COUNTIF(F:F,Table2[[#This Row],[Form '#]])</f>
        <v>1</v>
      </c>
      <c r="H1542" s="1" t="s">
        <v>6664</v>
      </c>
      <c r="I1542" s="1" t="s">
        <v>3852</v>
      </c>
      <c r="J1542" s="1" t="s">
        <v>80</v>
      </c>
      <c r="K1542" s="1" t="s">
        <v>3853</v>
      </c>
      <c r="L1542" s="1"/>
      <c r="M1542" s="6" t="str">
        <f>IF(Table2[[#This Row],[Corrected Form '#
 (If Duplicated)]]="",Table2[[#This Row],[Form '#]],Table2[[#This Row],[Corrected Form '#
 (If Duplicated)]])</f>
        <v>7818-31226</v>
      </c>
      <c r="N1542" s="1" t="s">
        <v>49</v>
      </c>
      <c r="O1542" s="6" t="str">
        <f>IF(Table2[[#This Row],[POG CONFIRMATION RECEIPT OF ORDER
(DATE &amp; TIME)]]="","No Confirmation","Received Confirmation")</f>
        <v>Received Confirmation</v>
      </c>
      <c r="P1542" s="6">
        <f ca="1">TODAY()-Table2[[#This Row],[DATE SENT TO POG]]</f>
        <v>149</v>
      </c>
      <c r="Q1542" s="6" t="s">
        <v>5803</v>
      </c>
      <c r="R15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2" s="2" t="str">
        <f>_xlfn.XLOOKUP(Table2[[#This Row],[Adjusted Form '#]],'[2]IN PROGRESS'!$D:$D,'[2]IN PROGRESS'!$M:$M,"Not Found")</f>
        <v>Not Found</v>
      </c>
      <c r="U1542" s="2" t="str">
        <f>_xlfn.XLOOKUP(Table2[[#This Row],[Adjusted Form '#]],[1]COMPLETED!$D:$D,[2]COMPLETED!$M:$M,"Not Found")</f>
        <v>Not Found</v>
      </c>
      <c r="V1542" s="17" t="str">
        <f>_xlfn.XLOOKUP(Table2[[#This Row],[Adjusted Form '#]],[2]COMPLETED!$D:$D,[2]COMPLETED!$O:$O,"Not Found")</f>
        <v>Not Found</v>
      </c>
      <c r="W1542" s="2" t="str">
        <f>_xlfn.XLOOKUP(Table2[[#This Row],[Adjusted Form '#]],[2]BILLED!$D:$D,[2]BILLED!$M:$M,"Not Found")</f>
        <v>9400 1112 0620 9439 9187 55</v>
      </c>
      <c r="X1542" s="17" t="e">
        <f>_xlfn.XLOOKUP(Table2[[#This Row],[Adjusted Form '#]],[2]BILLED!$D:$D,[1]BILLED!$O:$O,"Not Found")</f>
        <v>#REF!</v>
      </c>
      <c r="Y1542" s="17" t="e">
        <f>_xlfn.XLOOKUP(Table2[[#This Row],[Adjusted Form '#]],'[2]REJECTED ORDERS'!$D:$D,'[2]REJECTED ORDERS'!$E:$E)</f>
        <v>#N/A</v>
      </c>
      <c r="Z1542" s="1"/>
      <c r="AA1542" s="1"/>
    </row>
    <row r="1543" spans="1:27" ht="15" customHeight="1" x14ac:dyDescent="0.35">
      <c r="A1543" s="4" t="s">
        <v>2282</v>
      </c>
      <c r="B1543" s="1" t="s">
        <v>1687</v>
      </c>
      <c r="C1543" s="11">
        <v>45154</v>
      </c>
      <c r="D1543" s="11" t="s">
        <v>6672</v>
      </c>
      <c r="E1543" s="1" t="s">
        <v>21</v>
      </c>
      <c r="F1543" s="1" t="s">
        <v>6665</v>
      </c>
      <c r="G1543" s="6">
        <f>COUNTIF(F:F,Table2[[#This Row],[Form '#]])</f>
        <v>1</v>
      </c>
      <c r="H1543" s="1" t="s">
        <v>3026</v>
      </c>
      <c r="I1543" s="1" t="s">
        <v>758</v>
      </c>
      <c r="J1543" s="1" t="s">
        <v>78</v>
      </c>
      <c r="K1543" s="1" t="s">
        <v>3853</v>
      </c>
      <c r="L1543" s="1"/>
      <c r="M1543" s="6" t="str">
        <f>IF(Table2[[#This Row],[Corrected Form '#
 (If Duplicated)]]="",Table2[[#This Row],[Form '#]],Table2[[#This Row],[Corrected Form '#
 (If Duplicated)]])</f>
        <v>7818-09258</v>
      </c>
      <c r="N1543" s="1" t="s">
        <v>49</v>
      </c>
      <c r="O1543" s="6" t="str">
        <f>IF(Table2[[#This Row],[POG CONFIRMATION RECEIPT OF ORDER
(DATE &amp; TIME)]]="","No Confirmation","Received Confirmation")</f>
        <v>Received Confirmation</v>
      </c>
      <c r="P1543" s="6">
        <f ca="1">TODAY()-Table2[[#This Row],[DATE SENT TO POG]]</f>
        <v>149</v>
      </c>
      <c r="Q1543" s="6" t="s">
        <v>5803</v>
      </c>
      <c r="R15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3" s="2" t="str">
        <f>_xlfn.XLOOKUP(Table2[[#This Row],[Adjusted Form '#]],'[2]IN PROGRESS'!$D:$D,'[2]IN PROGRESS'!$M:$M,"Not Found")</f>
        <v>Not Found</v>
      </c>
      <c r="U1543" s="2" t="str">
        <f>_xlfn.XLOOKUP(Table2[[#This Row],[Adjusted Form '#]],[1]COMPLETED!$D:$D,[2]COMPLETED!$M:$M,"Not Found")</f>
        <v>Not Found</v>
      </c>
      <c r="V1543" s="17" t="str">
        <f>_xlfn.XLOOKUP(Table2[[#This Row],[Adjusted Form '#]],[2]COMPLETED!$D:$D,[2]COMPLETED!$O:$O,"Not Found")</f>
        <v>Not Found</v>
      </c>
      <c r="W1543" s="2" t="str">
        <f>_xlfn.XLOOKUP(Table2[[#This Row],[Adjusted Form '#]],[2]BILLED!$D:$D,[2]BILLED!$M:$M,"Not Found")</f>
        <v>9400 1112 0620 9444 6235 21</v>
      </c>
      <c r="X1543" s="17" t="e">
        <f>_xlfn.XLOOKUP(Table2[[#This Row],[Adjusted Form '#]],[2]BILLED!$D:$D,[1]BILLED!$O:$O,"Not Found")</f>
        <v>#REF!</v>
      </c>
      <c r="Y1543" s="17" t="e">
        <f>_xlfn.XLOOKUP(Table2[[#This Row],[Adjusted Form '#]],'[2]REJECTED ORDERS'!$D:$D,'[2]REJECTED ORDERS'!$E:$E)</f>
        <v>#N/A</v>
      </c>
      <c r="Z1543" s="1"/>
      <c r="AA1543" s="1"/>
    </row>
    <row r="1544" spans="1:27" ht="15" customHeight="1" x14ac:dyDescent="0.35">
      <c r="A1544" s="4" t="s">
        <v>2284</v>
      </c>
      <c r="B1544" s="1" t="s">
        <v>1687</v>
      </c>
      <c r="C1544" s="11">
        <v>45154</v>
      </c>
      <c r="D1544" s="11" t="s">
        <v>6672</v>
      </c>
      <c r="E1544" s="1" t="s">
        <v>21</v>
      </c>
      <c r="F1544" s="1" t="s">
        <v>6666</v>
      </c>
      <c r="G1544" s="6">
        <f>COUNTIF(F:F,Table2[[#This Row],[Form '#]])</f>
        <v>1</v>
      </c>
      <c r="H1544" s="1" t="s">
        <v>6667</v>
      </c>
      <c r="I1544" s="1" t="s">
        <v>127</v>
      </c>
      <c r="J1544" s="1" t="s">
        <v>76</v>
      </c>
      <c r="K1544" s="1" t="s">
        <v>3883</v>
      </c>
      <c r="L1544" s="1"/>
      <c r="M1544" s="6" t="str">
        <f>IF(Table2[[#This Row],[Corrected Form '#
 (If Duplicated)]]="",Table2[[#This Row],[Form '#]],Table2[[#This Row],[Corrected Form '#
 (If Duplicated)]])</f>
        <v>7818-26839</v>
      </c>
      <c r="N1544" s="1" t="s">
        <v>49</v>
      </c>
      <c r="O1544" s="6" t="str">
        <f>IF(Table2[[#This Row],[POG CONFIRMATION RECEIPT OF ORDER
(DATE &amp; TIME)]]="","No Confirmation","Received Confirmation")</f>
        <v>Received Confirmation</v>
      </c>
      <c r="P1544" s="6">
        <f ca="1">TODAY()-Table2[[#This Row],[DATE SENT TO POG]]</f>
        <v>149</v>
      </c>
      <c r="Q1544" s="6" t="s">
        <v>5803</v>
      </c>
      <c r="R15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4" s="2" t="str">
        <f>_xlfn.XLOOKUP(Table2[[#This Row],[Adjusted Form '#]],'[2]IN PROGRESS'!$D:$D,'[2]IN PROGRESS'!$M:$M,"Not Found")</f>
        <v>Not Found</v>
      </c>
      <c r="U1544" s="2" t="str">
        <f>_xlfn.XLOOKUP(Table2[[#This Row],[Adjusted Form '#]],[1]COMPLETED!$D:$D,[2]COMPLETED!$M:$M,"Not Found")</f>
        <v>Not Found</v>
      </c>
      <c r="V1544" s="17" t="str">
        <f>_xlfn.XLOOKUP(Table2[[#This Row],[Adjusted Form '#]],[2]COMPLETED!$D:$D,[2]COMPLETED!$O:$O,"Not Found")</f>
        <v>Not Found</v>
      </c>
      <c r="W1544" s="2" t="str">
        <f>_xlfn.XLOOKUP(Table2[[#This Row],[Adjusted Form '#]],[2]BILLED!$D:$D,[2]BILLED!$M:$M,"Not Found")</f>
        <v>9400 1112 0620 9434 0805 25</v>
      </c>
      <c r="X1544" s="17" t="e">
        <f>_xlfn.XLOOKUP(Table2[[#This Row],[Adjusted Form '#]],[2]BILLED!$D:$D,[1]BILLED!$O:$O,"Not Found")</f>
        <v>#REF!</v>
      </c>
      <c r="Y1544" s="17" t="e">
        <f>_xlfn.XLOOKUP(Table2[[#This Row],[Adjusted Form '#]],'[2]REJECTED ORDERS'!$D:$D,'[2]REJECTED ORDERS'!$E:$E)</f>
        <v>#N/A</v>
      </c>
      <c r="Z1544" s="1"/>
      <c r="AA1544" s="1"/>
    </row>
    <row r="1545" spans="1:27" ht="15" customHeight="1" x14ac:dyDescent="0.35">
      <c r="A1545" s="4" t="s">
        <v>2285</v>
      </c>
      <c r="B1545" s="1" t="s">
        <v>3131</v>
      </c>
      <c r="C1545" s="11">
        <v>45154</v>
      </c>
      <c r="D1545" s="11" t="s">
        <v>6673</v>
      </c>
      <c r="E1545" s="1" t="s">
        <v>64</v>
      </c>
      <c r="F1545" s="1" t="s">
        <v>6668</v>
      </c>
      <c r="G1545" s="6">
        <f>COUNTIF(F:F,Table2[[#This Row],[Form '#]])</f>
        <v>1</v>
      </c>
      <c r="H1545" s="1" t="s">
        <v>6669</v>
      </c>
      <c r="I1545" s="1" t="s">
        <v>3864</v>
      </c>
      <c r="J1545" s="1" t="s">
        <v>78</v>
      </c>
      <c r="K1545" s="1" t="s">
        <v>3879</v>
      </c>
      <c r="L1545" s="1"/>
      <c r="M1545" s="6" t="str">
        <f>IF(Table2[[#This Row],[Corrected Form '#
 (If Duplicated)]]="",Table2[[#This Row],[Form '#]],Table2[[#This Row],[Corrected Form '#
 (If Duplicated)]])</f>
        <v>7824-00458</v>
      </c>
      <c r="N1545" s="1" t="s">
        <v>49</v>
      </c>
      <c r="O1545" s="6" t="str">
        <f>IF(Table2[[#This Row],[POG CONFIRMATION RECEIPT OF ORDER
(DATE &amp; TIME)]]="","No Confirmation","Received Confirmation")</f>
        <v>Received Confirmation</v>
      </c>
      <c r="P1545" s="6">
        <f ca="1">TODAY()-Table2[[#This Row],[DATE SENT TO POG]]</f>
        <v>149</v>
      </c>
      <c r="Q1545" s="6" t="s">
        <v>5803</v>
      </c>
      <c r="R15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5" s="2" t="str">
        <f>_xlfn.XLOOKUP(Table2[[#This Row],[Adjusted Form '#]],'[2]IN PROGRESS'!$D:$D,'[2]IN PROGRESS'!$M:$M,"Not Found")</f>
        <v>Not Found</v>
      </c>
      <c r="U1545" s="2" t="str">
        <f>_xlfn.XLOOKUP(Table2[[#This Row],[Adjusted Form '#]],[1]COMPLETED!$D:$D,[2]COMPLETED!$M:$M,"Not Found")</f>
        <v>Not Found</v>
      </c>
      <c r="V1545" s="17" t="str">
        <f>_xlfn.XLOOKUP(Table2[[#This Row],[Adjusted Form '#]],[2]COMPLETED!$D:$D,[2]COMPLETED!$O:$O,"Not Found")</f>
        <v>Not Found</v>
      </c>
      <c r="W1545" s="2" t="str">
        <f>_xlfn.XLOOKUP(Table2[[#This Row],[Adjusted Form '#]],[2]BILLED!$D:$D,[2]BILLED!$M:$M,"Not Found")</f>
        <v>9400 1112 0620 9459 3152 20</v>
      </c>
      <c r="X1545" s="17" t="e">
        <f>_xlfn.XLOOKUP(Table2[[#This Row],[Adjusted Form '#]],[2]BILLED!$D:$D,[1]BILLED!$O:$O,"Not Found")</f>
        <v>#REF!</v>
      </c>
      <c r="Y1545" s="17" t="e">
        <f>_xlfn.XLOOKUP(Table2[[#This Row],[Adjusted Form '#]],'[2]REJECTED ORDERS'!$D:$D,'[2]REJECTED ORDERS'!$E:$E)</f>
        <v>#N/A</v>
      </c>
      <c r="Z1545" s="1"/>
      <c r="AA1545" s="1"/>
    </row>
    <row r="1546" spans="1:27" ht="15" customHeight="1" x14ac:dyDescent="0.35">
      <c r="A1546" s="4" t="s">
        <v>2287</v>
      </c>
      <c r="B1546" s="1" t="s">
        <v>2601</v>
      </c>
      <c r="C1546" s="11">
        <v>45154</v>
      </c>
      <c r="D1546" s="11" t="s">
        <v>6674</v>
      </c>
      <c r="E1546" s="1" t="s">
        <v>21</v>
      </c>
      <c r="F1546" s="1" t="s">
        <v>6670</v>
      </c>
      <c r="G1546" s="6">
        <f>COUNTIF(F:F,Table2[[#This Row],[Form '#]])</f>
        <v>1</v>
      </c>
      <c r="H1546" s="1" t="s">
        <v>983</v>
      </c>
      <c r="I1546" s="1" t="s">
        <v>3864</v>
      </c>
      <c r="J1546" s="1" t="s">
        <v>78</v>
      </c>
      <c r="K1546" s="1" t="s">
        <v>3879</v>
      </c>
      <c r="L1546" s="1"/>
      <c r="M1546" s="6" t="str">
        <f>IF(Table2[[#This Row],[Corrected Form '#
 (If Duplicated)]]="",Table2[[#This Row],[Form '#]],Table2[[#This Row],[Corrected Form '#
 (If Duplicated)]])</f>
        <v>7818-20255</v>
      </c>
      <c r="N1546" s="1" t="s">
        <v>49</v>
      </c>
      <c r="O1546" s="6" t="str">
        <f>IF(Table2[[#This Row],[POG CONFIRMATION RECEIPT OF ORDER
(DATE &amp; TIME)]]="","No Confirmation","Received Confirmation")</f>
        <v>Received Confirmation</v>
      </c>
      <c r="P1546" s="6">
        <f ca="1">TODAY()-Table2[[#This Row],[DATE SENT TO POG]]</f>
        <v>149</v>
      </c>
      <c r="Q1546" s="6" t="s">
        <v>5803</v>
      </c>
      <c r="R15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6" s="2" t="str">
        <f>_xlfn.XLOOKUP(Table2[[#This Row],[Adjusted Form '#]],'[2]IN PROGRESS'!$D:$D,'[2]IN PROGRESS'!$M:$M,"Not Found")</f>
        <v>Not Found</v>
      </c>
      <c r="U1546" s="2" t="str">
        <f>_xlfn.XLOOKUP(Table2[[#This Row],[Adjusted Form '#]],[1]COMPLETED!$D:$D,[2]COMPLETED!$M:$M,"Not Found")</f>
        <v>Not Found</v>
      </c>
      <c r="V1546" s="17" t="str">
        <f>_xlfn.XLOOKUP(Table2[[#This Row],[Adjusted Form '#]],[2]COMPLETED!$D:$D,[2]COMPLETED!$O:$O,"Not Found")</f>
        <v>Not Found</v>
      </c>
      <c r="W1546" s="2" t="str">
        <f>_xlfn.XLOOKUP(Table2[[#This Row],[Adjusted Form '#]],[2]BILLED!$D:$D,[2]BILLED!$M:$M,"Not Found")</f>
        <v>9400 1112 0620 9470 0487 32</v>
      </c>
      <c r="X1546" s="17" t="e">
        <f>_xlfn.XLOOKUP(Table2[[#This Row],[Adjusted Form '#]],[2]BILLED!$D:$D,[1]BILLED!$O:$O,"Not Found")</f>
        <v>#REF!</v>
      </c>
      <c r="Y1546" s="17" t="e">
        <f>_xlfn.XLOOKUP(Table2[[#This Row],[Adjusted Form '#]],'[2]REJECTED ORDERS'!$D:$D,'[2]REJECTED ORDERS'!$E:$E)</f>
        <v>#N/A</v>
      </c>
      <c r="Z1546" s="1"/>
      <c r="AA1546" s="1"/>
    </row>
    <row r="1547" spans="1:27" ht="15" customHeight="1" x14ac:dyDescent="0.35">
      <c r="A1547" s="4" t="s">
        <v>2289</v>
      </c>
      <c r="B1547" s="1" t="s">
        <v>1001</v>
      </c>
      <c r="C1547" s="11">
        <v>45155</v>
      </c>
      <c r="D1547" s="11" t="s">
        <v>6680</v>
      </c>
      <c r="E1547" s="1" t="s">
        <v>21</v>
      </c>
      <c r="F1547" s="1" t="s">
        <v>6676</v>
      </c>
      <c r="G1547" s="6">
        <f>COUNTIF(F:F,Table2[[#This Row],[Form '#]])</f>
        <v>1</v>
      </c>
      <c r="H1547" s="1" t="s">
        <v>6677</v>
      </c>
      <c r="I1547" s="1" t="s">
        <v>127</v>
      </c>
      <c r="J1547" s="1" t="s">
        <v>74</v>
      </c>
      <c r="K1547" s="1" t="s">
        <v>3879</v>
      </c>
      <c r="L1547" s="1"/>
      <c r="M1547" s="6" t="str">
        <f>IF(Table2[[#This Row],[Corrected Form '#
 (If Duplicated)]]="",Table2[[#This Row],[Form '#]],Table2[[#This Row],[Corrected Form '#
 (If Duplicated)]])</f>
        <v>7818-28238</v>
      </c>
      <c r="N1547" s="1" t="s">
        <v>49</v>
      </c>
      <c r="O1547" s="6" t="str">
        <f>IF(Table2[[#This Row],[POG CONFIRMATION RECEIPT OF ORDER
(DATE &amp; TIME)]]="","No Confirmation","Received Confirmation")</f>
        <v>Received Confirmation</v>
      </c>
      <c r="P1547" s="6">
        <f ca="1">TODAY()-Table2[[#This Row],[DATE SENT TO POG]]</f>
        <v>148</v>
      </c>
      <c r="Q1547" s="6" t="s">
        <v>5803</v>
      </c>
      <c r="R15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7" s="2" t="str">
        <f>_xlfn.XLOOKUP(Table2[[#This Row],[Adjusted Form '#]],'[2]IN PROGRESS'!$D:$D,'[2]IN PROGRESS'!$M:$M,"Not Found")</f>
        <v>Not Found</v>
      </c>
      <c r="U1547" s="2" t="str">
        <f>_xlfn.XLOOKUP(Table2[[#This Row],[Adjusted Form '#]],[1]COMPLETED!$D:$D,[2]COMPLETED!$M:$M,"Not Found")</f>
        <v>Not Found</v>
      </c>
      <c r="V1547" s="17" t="str">
        <f>_xlfn.XLOOKUP(Table2[[#This Row],[Adjusted Form '#]],[2]COMPLETED!$D:$D,[2]COMPLETED!$O:$O,"Not Found")</f>
        <v>Not Found</v>
      </c>
      <c r="W1547" s="2" t="str">
        <f>_xlfn.XLOOKUP(Table2[[#This Row],[Adjusted Form '#]],[2]BILLED!$D:$D,[2]BILLED!$M:$M,"Not Found")</f>
        <v>9400 1361 0605 3292 7660 22</v>
      </c>
      <c r="X1547" s="17" t="e">
        <f>_xlfn.XLOOKUP(Table2[[#This Row],[Adjusted Form '#]],[2]BILLED!$D:$D,[1]BILLED!$O:$O,"Not Found")</f>
        <v>#REF!</v>
      </c>
      <c r="Y1547" s="17" t="e">
        <f>_xlfn.XLOOKUP(Table2[[#This Row],[Adjusted Form '#]],'[2]REJECTED ORDERS'!$D:$D,'[2]REJECTED ORDERS'!$E:$E)</f>
        <v>#N/A</v>
      </c>
      <c r="Z1547" s="1"/>
      <c r="AA1547" s="1"/>
    </row>
    <row r="1548" spans="1:27" ht="15" customHeight="1" x14ac:dyDescent="0.35">
      <c r="A1548" s="4" t="s">
        <v>2290</v>
      </c>
      <c r="B1548" s="1" t="s">
        <v>1001</v>
      </c>
      <c r="C1548" s="11">
        <v>45155</v>
      </c>
      <c r="D1548" s="11" t="s">
        <v>6680</v>
      </c>
      <c r="E1548" s="1" t="s">
        <v>21</v>
      </c>
      <c r="F1548" s="1" t="s">
        <v>6678</v>
      </c>
      <c r="G1548" s="6">
        <f>COUNTIF(F:F,Table2[[#This Row],[Form '#]])</f>
        <v>1</v>
      </c>
      <c r="H1548" s="1" t="s">
        <v>6679</v>
      </c>
      <c r="I1548" s="1" t="s">
        <v>127</v>
      </c>
      <c r="J1548" s="1" t="s">
        <v>74</v>
      </c>
      <c r="K1548" s="1" t="s">
        <v>3883</v>
      </c>
      <c r="L1548" s="1"/>
      <c r="M1548" s="6" t="str">
        <f>IF(Table2[[#This Row],[Corrected Form '#
 (If Duplicated)]]="",Table2[[#This Row],[Form '#]],Table2[[#This Row],[Corrected Form '#
 (If Duplicated)]])</f>
        <v>7818-26198</v>
      </c>
      <c r="N1548" s="1" t="s">
        <v>49</v>
      </c>
      <c r="O1548" s="6" t="str">
        <f>IF(Table2[[#This Row],[POG CONFIRMATION RECEIPT OF ORDER
(DATE &amp; TIME)]]="","No Confirmation","Received Confirmation")</f>
        <v>Received Confirmation</v>
      </c>
      <c r="P1548" s="6">
        <f ca="1">TODAY()-Table2[[#This Row],[DATE SENT TO POG]]</f>
        <v>148</v>
      </c>
      <c r="Q1548" s="6" t="s">
        <v>5803</v>
      </c>
      <c r="R15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8" s="2" t="str">
        <f>_xlfn.XLOOKUP(Table2[[#This Row],[Adjusted Form '#]],'[2]IN PROGRESS'!$D:$D,'[2]IN PROGRESS'!$M:$M,"Not Found")</f>
        <v>Not Found</v>
      </c>
      <c r="U1548" s="2" t="str">
        <f>_xlfn.XLOOKUP(Table2[[#This Row],[Adjusted Form '#]],[1]COMPLETED!$D:$D,[2]COMPLETED!$M:$M,"Not Found")</f>
        <v>Not Found</v>
      </c>
      <c r="V1548" s="17" t="str">
        <f>_xlfn.XLOOKUP(Table2[[#This Row],[Adjusted Form '#]],[2]COMPLETED!$D:$D,[2]COMPLETED!$O:$O,"Not Found")</f>
        <v>Not Found</v>
      </c>
      <c r="W1548" s="2" t="str">
        <f>_xlfn.XLOOKUP(Table2[[#This Row],[Adjusted Form '#]],[2]BILLED!$D:$D,[2]BILLED!$M:$M,"Not Found")</f>
        <v>9400 1361 0605 3293 9608 25</v>
      </c>
      <c r="X1548" s="17" t="e">
        <f>_xlfn.XLOOKUP(Table2[[#This Row],[Adjusted Form '#]],[2]BILLED!$D:$D,[1]BILLED!$O:$O,"Not Found")</f>
        <v>#REF!</v>
      </c>
      <c r="Y1548" s="17" t="e">
        <f>_xlfn.XLOOKUP(Table2[[#This Row],[Adjusted Form '#]],'[2]REJECTED ORDERS'!$D:$D,'[2]REJECTED ORDERS'!$E:$E)</f>
        <v>#N/A</v>
      </c>
      <c r="Z1548" s="1"/>
      <c r="AA1548" s="1"/>
    </row>
    <row r="1549" spans="1:27" ht="15" customHeight="1" x14ac:dyDescent="0.35">
      <c r="A1549" s="4" t="s">
        <v>2293</v>
      </c>
      <c r="B1549" s="1" t="s">
        <v>1001</v>
      </c>
      <c r="C1549" s="11">
        <v>45155</v>
      </c>
      <c r="D1549" s="11" t="s">
        <v>6680</v>
      </c>
      <c r="E1549" s="1" t="s">
        <v>21</v>
      </c>
      <c r="F1549" s="1" t="s">
        <v>6675</v>
      </c>
      <c r="G1549" s="6">
        <f>COUNTIF(F:F,Table2[[#This Row],[Form '#]])</f>
        <v>1</v>
      </c>
      <c r="H1549" s="1" t="s">
        <v>3308</v>
      </c>
      <c r="I1549" s="1" t="s">
        <v>3864</v>
      </c>
      <c r="J1549" s="1" t="s">
        <v>78</v>
      </c>
      <c r="K1549" s="1" t="s">
        <v>3879</v>
      </c>
      <c r="L1549" s="1"/>
      <c r="M1549" s="6" t="str">
        <f>IF(Table2[[#This Row],[Corrected Form '#
 (If Duplicated)]]="",Table2[[#This Row],[Form '#]],Table2[[#This Row],[Corrected Form '#
 (If Duplicated)]])</f>
        <v>7818-25498</v>
      </c>
      <c r="N1549" s="1" t="s">
        <v>49</v>
      </c>
      <c r="O1549" s="6" t="str">
        <f>IF(Table2[[#This Row],[POG CONFIRMATION RECEIPT OF ORDER
(DATE &amp; TIME)]]="","No Confirmation","Received Confirmation")</f>
        <v>Received Confirmation</v>
      </c>
      <c r="P1549" s="6">
        <f ca="1">TODAY()-Table2[[#This Row],[DATE SENT TO POG]]</f>
        <v>148</v>
      </c>
      <c r="Q1549" s="6" t="s">
        <v>5803</v>
      </c>
      <c r="R15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49" s="2" t="str">
        <f>_xlfn.XLOOKUP(Table2[[#This Row],[Adjusted Form '#]],'[2]IN PROGRESS'!$D:$D,'[2]IN PROGRESS'!$M:$M,"Not Found")</f>
        <v>Not Found</v>
      </c>
      <c r="U1549" s="2" t="str">
        <f>_xlfn.XLOOKUP(Table2[[#This Row],[Adjusted Form '#]],[1]COMPLETED!$D:$D,[2]COMPLETED!$M:$M,"Not Found")</f>
        <v>Not Found</v>
      </c>
      <c r="V1549" s="17" t="str">
        <f>_xlfn.XLOOKUP(Table2[[#This Row],[Adjusted Form '#]],[2]COMPLETED!$D:$D,[2]COMPLETED!$O:$O,"Not Found")</f>
        <v>Not Found</v>
      </c>
      <c r="W1549" s="2" t="str">
        <f>_xlfn.XLOOKUP(Table2[[#This Row],[Adjusted Form '#]],[2]BILLED!$D:$D,[2]BILLED!$M:$M,"Not Found")</f>
        <v>9400 1361 0605 3285 8241 80</v>
      </c>
      <c r="X1549" s="17" t="e">
        <f>_xlfn.XLOOKUP(Table2[[#This Row],[Adjusted Form '#]],[2]BILLED!$D:$D,[1]BILLED!$O:$O,"Not Found")</f>
        <v>#REF!</v>
      </c>
      <c r="Y1549" s="17" t="e">
        <f>_xlfn.XLOOKUP(Table2[[#This Row],[Adjusted Form '#]],'[2]REJECTED ORDERS'!$D:$D,'[2]REJECTED ORDERS'!$E:$E)</f>
        <v>#N/A</v>
      </c>
      <c r="Z1549" s="1"/>
      <c r="AA1549" s="1"/>
    </row>
    <row r="1550" spans="1:27" ht="15" customHeight="1" x14ac:dyDescent="0.35">
      <c r="A1550" s="4" t="s">
        <v>2295</v>
      </c>
      <c r="B1550" s="1" t="s">
        <v>3491</v>
      </c>
      <c r="C1550" s="11">
        <v>45156</v>
      </c>
      <c r="E1550" s="1" t="s">
        <v>191</v>
      </c>
      <c r="F1550" s="1" t="s">
        <v>6681</v>
      </c>
      <c r="G1550" s="6">
        <f>COUNTIF(F:F,Table2[[#This Row],[Form '#]])</f>
        <v>1</v>
      </c>
      <c r="H1550" s="1" t="s">
        <v>3492</v>
      </c>
      <c r="I1550" s="1" t="s">
        <v>127</v>
      </c>
      <c r="J1550" s="1" t="s">
        <v>74</v>
      </c>
      <c r="K1550" s="1" t="s">
        <v>3891</v>
      </c>
      <c r="L1550" s="1"/>
      <c r="M1550" s="6" t="str">
        <f>IF(Table2[[#This Row],[Corrected Form '#
 (If Duplicated)]]="",Table2[[#This Row],[Form '#]],Table2[[#This Row],[Corrected Form '#
 (If Duplicated)]])</f>
        <v>7812-02131</v>
      </c>
      <c r="N1550" s="1" t="s">
        <v>49</v>
      </c>
      <c r="O1550" s="6" t="str">
        <f>IF(Table2[[#This Row],[POG CONFIRMATION RECEIPT OF ORDER
(DATE &amp; TIME)]]="","No Confirmation","Received Confirmation")</f>
        <v>No Confirmation</v>
      </c>
      <c r="P1550" s="6">
        <f ca="1">TODAY()-Table2[[#This Row],[DATE SENT TO POG]]</f>
        <v>147</v>
      </c>
      <c r="Q1550" s="6" t="s">
        <v>5802</v>
      </c>
      <c r="R15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55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550" s="2" t="str">
        <f>_xlfn.XLOOKUP(Table2[[#This Row],[Adjusted Form '#]],'[2]IN PROGRESS'!$D:$D,'[2]IN PROGRESS'!$M:$M,"Not Found")</f>
        <v>Not Found</v>
      </c>
      <c r="U1550" s="2" t="str">
        <f>_xlfn.XLOOKUP(Table2[[#This Row],[Adjusted Form '#]],[1]COMPLETED!$D:$D,[2]COMPLETED!$M:$M,"Not Found")</f>
        <v>Not Found</v>
      </c>
      <c r="V1550" s="17" t="str">
        <f>_xlfn.XLOOKUP(Table2[[#This Row],[Adjusted Form '#]],[2]COMPLETED!$D:$D,[2]COMPLETED!$O:$O,"Not Found")</f>
        <v>Not Found</v>
      </c>
      <c r="W1550" s="2" t="str">
        <f>_xlfn.XLOOKUP(Table2[[#This Row],[Adjusted Form '#]],[2]BILLED!$D:$D,[2]BILLED!$M:$M,"Not Found")</f>
        <v>Not Found</v>
      </c>
      <c r="X1550" s="17" t="str">
        <f>_xlfn.XLOOKUP(Table2[[#This Row],[Adjusted Form '#]],[2]BILLED!$D:$D,[1]BILLED!$O:$O,"Not Found")</f>
        <v>Not Found</v>
      </c>
      <c r="Y1550" s="17" t="e">
        <f>_xlfn.XLOOKUP(Table2[[#This Row],[Adjusted Form '#]],'[2]REJECTED ORDERS'!$D:$D,'[2]REJECTED ORDERS'!$E:$E)</f>
        <v>#N/A</v>
      </c>
      <c r="Z1550" s="1"/>
      <c r="AA1550" s="1"/>
    </row>
    <row r="1551" spans="1:27" ht="15" customHeight="1" x14ac:dyDescent="0.35">
      <c r="A1551" s="4" t="s">
        <v>2296</v>
      </c>
      <c r="B1551" s="1" t="s">
        <v>3491</v>
      </c>
      <c r="C1551" s="11">
        <v>45156</v>
      </c>
      <c r="E1551" s="1" t="s">
        <v>191</v>
      </c>
      <c r="F1551" s="1" t="s">
        <v>6682</v>
      </c>
      <c r="G1551" s="6">
        <f>COUNTIF(F:F,Table2[[#This Row],[Form '#]])</f>
        <v>1</v>
      </c>
      <c r="H1551" s="1" t="s">
        <v>6683</v>
      </c>
      <c r="I1551" s="1" t="s">
        <v>3852</v>
      </c>
      <c r="J1551" s="1" t="s">
        <v>80</v>
      </c>
      <c r="K1551" s="1" t="s">
        <v>3853</v>
      </c>
      <c r="L1551" s="1"/>
      <c r="M1551" s="6" t="str">
        <f>IF(Table2[[#This Row],[Corrected Form '#
 (If Duplicated)]]="",Table2[[#This Row],[Form '#]],Table2[[#This Row],[Corrected Form '#
 (If Duplicated)]])</f>
        <v>7812-02132</v>
      </c>
      <c r="N1551" s="1" t="s">
        <v>49</v>
      </c>
      <c r="O1551" s="6" t="str">
        <f>IF(Table2[[#This Row],[POG CONFIRMATION RECEIPT OF ORDER
(DATE &amp; TIME)]]="","No Confirmation","Received Confirmation")</f>
        <v>No Confirmation</v>
      </c>
      <c r="P1551" s="6">
        <f ca="1">TODAY()-Table2[[#This Row],[DATE SENT TO POG]]</f>
        <v>147</v>
      </c>
      <c r="Q1551" s="6" t="s">
        <v>5802</v>
      </c>
      <c r="R15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55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551" s="2" t="str">
        <f>_xlfn.XLOOKUP(Table2[[#This Row],[Adjusted Form '#]],'[2]IN PROGRESS'!$D:$D,'[2]IN PROGRESS'!$M:$M,"Not Found")</f>
        <v>Not Found</v>
      </c>
      <c r="U1551" s="2" t="str">
        <f>_xlfn.XLOOKUP(Table2[[#This Row],[Adjusted Form '#]],[1]COMPLETED!$D:$D,[2]COMPLETED!$M:$M,"Not Found")</f>
        <v>Not Found</v>
      </c>
      <c r="V1551" s="17" t="str">
        <f>_xlfn.XLOOKUP(Table2[[#This Row],[Adjusted Form '#]],[2]COMPLETED!$D:$D,[2]COMPLETED!$O:$O,"Not Found")</f>
        <v>Not Found</v>
      </c>
      <c r="W1551" s="2" t="str">
        <f>_xlfn.XLOOKUP(Table2[[#This Row],[Adjusted Form '#]],[2]BILLED!$D:$D,[2]BILLED!$M:$M,"Not Found")</f>
        <v>Not Found</v>
      </c>
      <c r="X1551" s="17" t="str">
        <f>_xlfn.XLOOKUP(Table2[[#This Row],[Adjusted Form '#]],[2]BILLED!$D:$D,[1]BILLED!$O:$O,"Not Found")</f>
        <v>Not Found</v>
      </c>
      <c r="Y1551" s="17" t="e">
        <f>_xlfn.XLOOKUP(Table2[[#This Row],[Adjusted Form '#]],'[2]REJECTED ORDERS'!$D:$D,'[2]REJECTED ORDERS'!$E:$E)</f>
        <v>#N/A</v>
      </c>
      <c r="Z1551" s="1"/>
      <c r="AA1551" s="1"/>
    </row>
    <row r="1552" spans="1:27" ht="15" customHeight="1" x14ac:dyDescent="0.35">
      <c r="A1552" s="4" t="s">
        <v>2297</v>
      </c>
      <c r="B1552" s="1" t="s">
        <v>1208</v>
      </c>
      <c r="C1552" s="11">
        <v>45156</v>
      </c>
      <c r="D1552" s="11" t="s">
        <v>6685</v>
      </c>
      <c r="E1552" s="1" t="s">
        <v>21</v>
      </c>
      <c r="F1552" s="1" t="s">
        <v>6684</v>
      </c>
      <c r="G1552" s="6">
        <f>COUNTIF(F:F,Table2[[#This Row],[Form '#]])</f>
        <v>1</v>
      </c>
      <c r="H1552" s="1" t="s">
        <v>3657</v>
      </c>
      <c r="I1552" s="1" t="s">
        <v>127</v>
      </c>
      <c r="J1552" s="1" t="s">
        <v>76</v>
      </c>
      <c r="K1552" s="1" t="s">
        <v>3883</v>
      </c>
      <c r="L1552" s="1"/>
      <c r="M1552" s="6" t="str">
        <f>IF(Table2[[#This Row],[Corrected Form '#
 (If Duplicated)]]="",Table2[[#This Row],[Form '#]],Table2[[#This Row],[Corrected Form '#
 (If Duplicated)]])</f>
        <v>7818-23903</v>
      </c>
      <c r="N1552" s="1" t="s">
        <v>49</v>
      </c>
      <c r="O1552" s="6" t="str">
        <f>IF(Table2[[#This Row],[POG CONFIRMATION RECEIPT OF ORDER
(DATE &amp; TIME)]]="","No Confirmation","Received Confirmation")</f>
        <v>Received Confirmation</v>
      </c>
      <c r="P1552" s="6">
        <f ca="1">TODAY()-Table2[[#This Row],[DATE SENT TO POG]]</f>
        <v>147</v>
      </c>
      <c r="Q1552" s="6" t="s">
        <v>5803</v>
      </c>
      <c r="R15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52" s="2" t="str">
        <f>_xlfn.XLOOKUP(Table2[[#This Row],[Adjusted Form '#]],'[2]IN PROGRESS'!$D:$D,'[2]IN PROGRESS'!$M:$M,"Not Found")</f>
        <v>Not Found</v>
      </c>
      <c r="U1552" s="2" t="str">
        <f>_xlfn.XLOOKUP(Table2[[#This Row],[Adjusted Form '#]],[1]COMPLETED!$D:$D,[2]COMPLETED!$M:$M,"Not Found")</f>
        <v>Not Found</v>
      </c>
      <c r="V1552" s="17" t="str">
        <f>_xlfn.XLOOKUP(Table2[[#This Row],[Adjusted Form '#]],[2]COMPLETED!$D:$D,[2]COMPLETED!$O:$O,"Not Found")</f>
        <v>Not Found</v>
      </c>
      <c r="W1552" s="2" t="str">
        <f>_xlfn.XLOOKUP(Table2[[#This Row],[Adjusted Form '#]],[2]BILLED!$D:$D,[2]BILLED!$M:$M,"Not Found")</f>
        <v>9400 1361 0605 3278 6206 83</v>
      </c>
      <c r="X1552" s="17" t="e">
        <f>_xlfn.XLOOKUP(Table2[[#This Row],[Adjusted Form '#]],[2]BILLED!$D:$D,[1]BILLED!$O:$O,"Not Found")</f>
        <v>#REF!</v>
      </c>
      <c r="Y1552" s="17" t="e">
        <f>_xlfn.XLOOKUP(Table2[[#This Row],[Adjusted Form '#]],'[2]REJECTED ORDERS'!$D:$D,'[2]REJECTED ORDERS'!$E:$E)</f>
        <v>#N/A</v>
      </c>
      <c r="Z1552" s="1"/>
      <c r="AA1552" s="1"/>
    </row>
    <row r="1553" spans="1:27" ht="15" customHeight="1" x14ac:dyDescent="0.35">
      <c r="A1553" s="4" t="s">
        <v>2299</v>
      </c>
      <c r="B1553" s="1" t="s">
        <v>1224</v>
      </c>
      <c r="C1553" s="11">
        <v>45156</v>
      </c>
      <c r="D1553" s="11" t="s">
        <v>6694</v>
      </c>
      <c r="E1553" s="1" t="s">
        <v>21</v>
      </c>
      <c r="F1553" s="1" t="s">
        <v>6686</v>
      </c>
      <c r="G1553" s="6">
        <f>COUNTIF(F:F,Table2[[#This Row],[Form '#]])</f>
        <v>1</v>
      </c>
      <c r="H1553" s="1" t="s">
        <v>6687</v>
      </c>
      <c r="I1553" s="1" t="s">
        <v>127</v>
      </c>
      <c r="J1553" s="1" t="s">
        <v>76</v>
      </c>
      <c r="K1553" s="1" t="s">
        <v>3883</v>
      </c>
      <c r="L1553" s="1"/>
      <c r="M1553" s="6" t="str">
        <f>IF(Table2[[#This Row],[Corrected Form '#
 (If Duplicated)]]="",Table2[[#This Row],[Form '#]],Table2[[#This Row],[Corrected Form '#
 (If Duplicated)]])</f>
        <v>7818-30926</v>
      </c>
      <c r="N1553" s="1" t="s">
        <v>49</v>
      </c>
      <c r="O1553" s="6" t="str">
        <f>IF(Table2[[#This Row],[POG CONFIRMATION RECEIPT OF ORDER
(DATE &amp; TIME)]]="","No Confirmation","Received Confirmation")</f>
        <v>Received Confirmation</v>
      </c>
      <c r="P1553" s="6">
        <f ca="1">TODAY()-Table2[[#This Row],[DATE SENT TO POG]]</f>
        <v>147</v>
      </c>
      <c r="Q1553" s="6" t="s">
        <v>5803</v>
      </c>
      <c r="R15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53" s="2" t="str">
        <f>_xlfn.XLOOKUP(Table2[[#This Row],[Adjusted Form '#]],'[2]IN PROGRESS'!$D:$D,'[2]IN PROGRESS'!$M:$M,"Not Found")</f>
        <v>Not Found</v>
      </c>
      <c r="U1553" s="2" t="str">
        <f>_xlfn.XLOOKUP(Table2[[#This Row],[Adjusted Form '#]],[1]COMPLETED!$D:$D,[2]COMPLETED!$M:$M,"Not Found")</f>
        <v>Not Found</v>
      </c>
      <c r="V1553" s="17" t="str">
        <f>_xlfn.XLOOKUP(Table2[[#This Row],[Adjusted Form '#]],[2]COMPLETED!$D:$D,[2]COMPLETED!$O:$O,"Not Found")</f>
        <v>Not Found</v>
      </c>
      <c r="W1553" s="2" t="str">
        <f>_xlfn.XLOOKUP(Table2[[#This Row],[Adjusted Form '#]],[2]BILLED!$D:$D,[2]BILLED!$M:$M,"Not Found")</f>
        <v>9400 1361 0605 3321 8734 55</v>
      </c>
      <c r="X1553" s="17" t="e">
        <f>_xlfn.XLOOKUP(Table2[[#This Row],[Adjusted Form '#]],[2]BILLED!$D:$D,[1]BILLED!$O:$O,"Not Found")</f>
        <v>#REF!</v>
      </c>
      <c r="Y1553" s="17" t="e">
        <f>_xlfn.XLOOKUP(Table2[[#This Row],[Adjusted Form '#]],'[2]REJECTED ORDERS'!$D:$D,'[2]REJECTED ORDERS'!$E:$E)</f>
        <v>#N/A</v>
      </c>
      <c r="Z1553" s="1"/>
      <c r="AA1553" s="1"/>
    </row>
    <row r="1554" spans="1:27" ht="15" customHeight="1" x14ac:dyDescent="0.35">
      <c r="A1554" s="4" t="s">
        <v>2302</v>
      </c>
      <c r="B1554" s="1" t="s">
        <v>1224</v>
      </c>
      <c r="C1554" s="11">
        <v>45156</v>
      </c>
      <c r="D1554" s="11" t="s">
        <v>6694</v>
      </c>
      <c r="E1554" s="1" t="s">
        <v>21</v>
      </c>
      <c r="F1554" s="1" t="s">
        <v>6688</v>
      </c>
      <c r="G1554" s="6">
        <f>COUNTIF(F:F,Table2[[#This Row],[Form '#]])</f>
        <v>1</v>
      </c>
      <c r="H1554" s="1" t="s">
        <v>2017</v>
      </c>
      <c r="I1554" s="1" t="s">
        <v>28</v>
      </c>
      <c r="J1554" s="1" t="s">
        <v>69</v>
      </c>
      <c r="K1554" s="1" t="s">
        <v>4011</v>
      </c>
      <c r="L1554" s="1"/>
      <c r="M1554" s="6" t="str">
        <f>IF(Table2[[#This Row],[Corrected Form '#
 (If Duplicated)]]="",Table2[[#This Row],[Form '#]],Table2[[#This Row],[Corrected Form '#
 (If Duplicated)]])</f>
        <v>7818-29497</v>
      </c>
      <c r="N1554" s="1" t="s">
        <v>49</v>
      </c>
      <c r="O1554" s="6" t="str">
        <f>IF(Table2[[#This Row],[POG CONFIRMATION RECEIPT OF ORDER
(DATE &amp; TIME)]]="","No Confirmation","Received Confirmation")</f>
        <v>Received Confirmation</v>
      </c>
      <c r="P1554" s="6">
        <f ca="1">TODAY()-Table2[[#This Row],[DATE SENT TO POG]]</f>
        <v>147</v>
      </c>
      <c r="Q1554" s="6" t="s">
        <v>5803</v>
      </c>
      <c r="R15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54" s="2" t="str">
        <f>_xlfn.XLOOKUP(Table2[[#This Row],[Adjusted Form '#]],'[2]IN PROGRESS'!$D:$D,'[2]IN PROGRESS'!$M:$M,"Not Found")</f>
        <v>Not Found</v>
      </c>
      <c r="U1554" s="2" t="str">
        <f>_xlfn.XLOOKUP(Table2[[#This Row],[Adjusted Form '#]],[1]COMPLETED!$D:$D,[2]COMPLETED!$M:$M,"Not Found")</f>
        <v>Not Found</v>
      </c>
      <c r="V1554" s="17" t="str">
        <f>_xlfn.XLOOKUP(Table2[[#This Row],[Adjusted Form '#]],[2]COMPLETED!$D:$D,[2]COMPLETED!$O:$O,"Not Found")</f>
        <v>Not Found</v>
      </c>
      <c r="W1554" s="2" t="str">
        <f>_xlfn.XLOOKUP(Table2[[#This Row],[Adjusted Form '#]],[2]BILLED!$D:$D,[2]BILLED!$M:$M,"Not Found")</f>
        <v>9400 1361 0605 3286 9295 70</v>
      </c>
      <c r="X1554" s="17" t="e">
        <f>_xlfn.XLOOKUP(Table2[[#This Row],[Adjusted Form '#]],[2]BILLED!$D:$D,[1]BILLED!$O:$O,"Not Found")</f>
        <v>#REF!</v>
      </c>
      <c r="Y1554" s="17" t="e">
        <f>_xlfn.XLOOKUP(Table2[[#This Row],[Adjusted Form '#]],'[2]REJECTED ORDERS'!$D:$D,'[2]REJECTED ORDERS'!$E:$E)</f>
        <v>#N/A</v>
      </c>
      <c r="Z1554" s="1"/>
      <c r="AA1554" s="1"/>
    </row>
    <row r="1555" spans="1:27" ht="15" customHeight="1" x14ac:dyDescent="0.35">
      <c r="A1555" s="4" t="s">
        <v>2303</v>
      </c>
      <c r="B1555" s="1" t="s">
        <v>1224</v>
      </c>
      <c r="C1555" s="11">
        <v>45156</v>
      </c>
      <c r="D1555" s="11" t="s">
        <v>6694</v>
      </c>
      <c r="E1555" s="1" t="s">
        <v>21</v>
      </c>
      <c r="F1555" s="1" t="s">
        <v>6689</v>
      </c>
      <c r="G1555" s="6">
        <f>COUNTIF(F:F,Table2[[#This Row],[Form '#]])</f>
        <v>1</v>
      </c>
      <c r="H1555" s="1" t="s">
        <v>6690</v>
      </c>
      <c r="I1555" s="1" t="s">
        <v>3864</v>
      </c>
      <c r="J1555" s="1" t="s">
        <v>78</v>
      </c>
      <c r="K1555" s="1" t="s">
        <v>3879</v>
      </c>
      <c r="L1555" s="1"/>
      <c r="M1555" s="6" t="str">
        <f>IF(Table2[[#This Row],[Corrected Form '#
 (If Duplicated)]]="",Table2[[#This Row],[Form '#]],Table2[[#This Row],[Corrected Form '#
 (If Duplicated)]])</f>
        <v>7818-26891</v>
      </c>
      <c r="N1555" s="1" t="s">
        <v>49</v>
      </c>
      <c r="O1555" s="6" t="str">
        <f>IF(Table2[[#This Row],[POG CONFIRMATION RECEIPT OF ORDER
(DATE &amp; TIME)]]="","No Confirmation","Received Confirmation")</f>
        <v>Received Confirmation</v>
      </c>
      <c r="P1555" s="6">
        <f ca="1">TODAY()-Table2[[#This Row],[DATE SENT TO POG]]</f>
        <v>147</v>
      </c>
      <c r="Q1555" s="6" t="s">
        <v>5803</v>
      </c>
      <c r="R15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55" s="2" t="str">
        <f>_xlfn.XLOOKUP(Table2[[#This Row],[Adjusted Form '#]],'[2]IN PROGRESS'!$D:$D,'[2]IN PROGRESS'!$M:$M,"Not Found")</f>
        <v>Not Found</v>
      </c>
      <c r="U1555" s="2" t="str">
        <f>_xlfn.XLOOKUP(Table2[[#This Row],[Adjusted Form '#]],[1]COMPLETED!$D:$D,[2]COMPLETED!$M:$M,"Not Found")</f>
        <v>Not Found</v>
      </c>
      <c r="V1555" s="17" t="str">
        <f>_xlfn.XLOOKUP(Table2[[#This Row],[Adjusted Form '#]],[2]COMPLETED!$D:$D,[2]COMPLETED!$O:$O,"Not Found")</f>
        <v>Not Found</v>
      </c>
      <c r="W1555" s="2" t="str">
        <f>_xlfn.XLOOKUP(Table2[[#This Row],[Adjusted Form '#]],[2]BILLED!$D:$D,[2]BILLED!$M:$M,"Not Found")</f>
        <v>9400 1361 0605 3285 8029 66</v>
      </c>
      <c r="X1555" s="17" t="e">
        <f>_xlfn.XLOOKUP(Table2[[#This Row],[Adjusted Form '#]],[2]BILLED!$D:$D,[1]BILLED!$O:$O,"Not Found")</f>
        <v>#REF!</v>
      </c>
      <c r="Y1555" s="17" t="e">
        <f>_xlfn.XLOOKUP(Table2[[#This Row],[Adjusted Form '#]],'[2]REJECTED ORDERS'!$D:$D,'[2]REJECTED ORDERS'!$E:$E)</f>
        <v>#N/A</v>
      </c>
      <c r="Z1555" s="1"/>
      <c r="AA1555" s="1"/>
    </row>
    <row r="1556" spans="1:27" ht="15" customHeight="1" x14ac:dyDescent="0.35">
      <c r="A1556" s="4" t="s">
        <v>2306</v>
      </c>
      <c r="B1556" s="1" t="s">
        <v>498</v>
      </c>
      <c r="C1556" s="11">
        <v>45156</v>
      </c>
      <c r="D1556" s="11" t="s">
        <v>6694</v>
      </c>
      <c r="E1556" s="1" t="s">
        <v>73</v>
      </c>
      <c r="F1556" s="1" t="s">
        <v>6691</v>
      </c>
      <c r="G1556" s="6">
        <f>COUNTIF(F:F,Table2[[#This Row],[Form '#]])</f>
        <v>1</v>
      </c>
      <c r="H1556" s="1" t="s">
        <v>4583</v>
      </c>
      <c r="I1556" s="1" t="s">
        <v>3852</v>
      </c>
      <c r="J1556" s="1" t="s">
        <v>80</v>
      </c>
      <c r="K1556" s="1" t="s">
        <v>3853</v>
      </c>
      <c r="L1556" s="1"/>
      <c r="M1556" s="6" t="str">
        <f>IF(Table2[[#This Row],[Corrected Form '#
 (If Duplicated)]]="",Table2[[#This Row],[Form '#]],Table2[[#This Row],[Corrected Form '#
 (If Duplicated)]])</f>
        <v>7823-0266</v>
      </c>
      <c r="N1556" s="1" t="s">
        <v>49</v>
      </c>
      <c r="O1556" s="6" t="str">
        <f>IF(Table2[[#This Row],[POG CONFIRMATION RECEIPT OF ORDER
(DATE &amp; TIME)]]="","No Confirmation","Received Confirmation")</f>
        <v>Received Confirmation</v>
      </c>
      <c r="P1556" s="6">
        <f ca="1">TODAY()-Table2[[#This Row],[DATE SENT TO POG]]</f>
        <v>147</v>
      </c>
      <c r="Q1556" s="6" t="s">
        <v>5802</v>
      </c>
      <c r="R15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55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556" s="2" t="str">
        <f>_xlfn.XLOOKUP(Table2[[#This Row],[Adjusted Form '#]],'[2]IN PROGRESS'!$D:$D,'[2]IN PROGRESS'!$M:$M,"Not Found")</f>
        <v>Not Found</v>
      </c>
      <c r="U1556" s="2" t="str">
        <f>_xlfn.XLOOKUP(Table2[[#This Row],[Adjusted Form '#]],[1]COMPLETED!$D:$D,[2]COMPLETED!$M:$M,"Not Found")</f>
        <v>Not Found</v>
      </c>
      <c r="V1556" s="17" t="str">
        <f>_xlfn.XLOOKUP(Table2[[#This Row],[Adjusted Form '#]],[2]COMPLETED!$D:$D,[2]COMPLETED!$O:$O,"Not Found")</f>
        <v>Not Found</v>
      </c>
      <c r="W1556" s="2" t="str">
        <f>_xlfn.XLOOKUP(Table2[[#This Row],[Adjusted Form '#]],[2]BILLED!$D:$D,[2]BILLED!$M:$M,"Not Found")</f>
        <v>Not Found</v>
      </c>
      <c r="X1556" s="17" t="str">
        <f>_xlfn.XLOOKUP(Table2[[#This Row],[Adjusted Form '#]],[2]BILLED!$D:$D,[1]BILLED!$O:$O,"Not Found")</f>
        <v>Not Found</v>
      </c>
      <c r="Y1556" s="17" t="e">
        <f>_xlfn.XLOOKUP(Table2[[#This Row],[Adjusted Form '#]],'[2]REJECTED ORDERS'!$D:$D,'[2]REJECTED ORDERS'!$E:$E)</f>
        <v>#N/A</v>
      </c>
      <c r="Z1556" s="1"/>
      <c r="AA1556" s="1"/>
    </row>
    <row r="1557" spans="1:27" ht="15" customHeight="1" x14ac:dyDescent="0.35">
      <c r="A1557" s="4" t="s">
        <v>2308</v>
      </c>
      <c r="B1557" s="1" t="s">
        <v>4599</v>
      </c>
      <c r="C1557" s="11">
        <v>45156</v>
      </c>
      <c r="D1557" s="11" t="s">
        <v>6695</v>
      </c>
      <c r="E1557" s="1" t="s">
        <v>21</v>
      </c>
      <c r="F1557" s="1" t="s">
        <v>6692</v>
      </c>
      <c r="G1557" s="6">
        <f>COUNTIF(F:F,Table2[[#This Row],[Form '#]])</f>
        <v>1</v>
      </c>
      <c r="H1557" s="1" t="s">
        <v>6693</v>
      </c>
      <c r="I1557" s="1" t="s">
        <v>28</v>
      </c>
      <c r="J1557" s="1" t="s">
        <v>69</v>
      </c>
      <c r="K1557" s="1" t="s">
        <v>4631</v>
      </c>
      <c r="L1557" s="1"/>
      <c r="M1557" s="6" t="str">
        <f>IF(Table2[[#This Row],[Corrected Form '#
 (If Duplicated)]]="",Table2[[#This Row],[Form '#]],Table2[[#This Row],[Corrected Form '#
 (If Duplicated)]])</f>
        <v>7818-15377</v>
      </c>
      <c r="N1557" s="1" t="s">
        <v>49</v>
      </c>
      <c r="O1557" s="6" t="str">
        <f>IF(Table2[[#This Row],[POG CONFIRMATION RECEIPT OF ORDER
(DATE &amp; TIME)]]="","No Confirmation","Received Confirmation")</f>
        <v>Received Confirmation</v>
      </c>
      <c r="P1557" s="6">
        <f ca="1">TODAY()-Table2[[#This Row],[DATE SENT TO POG]]</f>
        <v>147</v>
      </c>
      <c r="Q1557" s="6" t="s">
        <v>5803</v>
      </c>
      <c r="R15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57" s="2" t="str">
        <f>_xlfn.XLOOKUP(Table2[[#This Row],[Adjusted Form '#]],'[2]IN PROGRESS'!$D:$D,'[2]IN PROGRESS'!$M:$M,"Not Found")</f>
        <v>Not Found</v>
      </c>
      <c r="U1557" s="2" t="str">
        <f>_xlfn.XLOOKUP(Table2[[#This Row],[Adjusted Form '#]],[1]COMPLETED!$D:$D,[2]COMPLETED!$M:$M,"Not Found")</f>
        <v>Not Found</v>
      </c>
      <c r="V1557" s="17" t="str">
        <f>_xlfn.XLOOKUP(Table2[[#This Row],[Adjusted Form '#]],[2]COMPLETED!$D:$D,[2]COMPLETED!$O:$O,"Not Found")</f>
        <v>Not Found</v>
      </c>
      <c r="W1557" s="2" t="str">
        <f>_xlfn.XLOOKUP(Table2[[#This Row],[Adjusted Form '#]],[2]BILLED!$D:$D,[2]BILLED!$M:$M,"Not Found")</f>
        <v>9400 1112 0620 9417 6949 85</v>
      </c>
      <c r="X1557" s="17" t="e">
        <f>_xlfn.XLOOKUP(Table2[[#This Row],[Adjusted Form '#]],[2]BILLED!$D:$D,[1]BILLED!$O:$O,"Not Found")</f>
        <v>#REF!</v>
      </c>
      <c r="Y1557" s="17" t="e">
        <f>_xlfn.XLOOKUP(Table2[[#This Row],[Adjusted Form '#]],'[2]REJECTED ORDERS'!$D:$D,'[2]REJECTED ORDERS'!$E:$E)</f>
        <v>#N/A</v>
      </c>
      <c r="Z1557" s="1"/>
      <c r="AA1557" s="1"/>
    </row>
    <row r="1558" spans="1:27" ht="15" customHeight="1" x14ac:dyDescent="0.35">
      <c r="A1558" s="4" t="s">
        <v>2310</v>
      </c>
      <c r="B1558" s="1" t="s">
        <v>2595</v>
      </c>
      <c r="C1558" s="11">
        <v>45157</v>
      </c>
      <c r="D1558" s="11" t="s">
        <v>6711</v>
      </c>
      <c r="E1558" s="1" t="s">
        <v>1592</v>
      </c>
      <c r="F1558" s="1" t="s">
        <v>6611</v>
      </c>
      <c r="G1558" s="6">
        <f>COUNTIF(F:F,Table2[[#This Row],[Form '#]])</f>
        <v>2</v>
      </c>
      <c r="H1558" s="1" t="s">
        <v>6612</v>
      </c>
      <c r="I1558" s="1" t="s">
        <v>177</v>
      </c>
      <c r="J1558" s="1" t="s">
        <v>75</v>
      </c>
      <c r="K1558" s="1" t="s">
        <v>3853</v>
      </c>
      <c r="L1558" s="1"/>
      <c r="M1558" s="6" t="str">
        <f>IF(Table2[[#This Row],[Corrected Form '#
 (If Duplicated)]]="",Table2[[#This Row],[Form '#]],Table2[[#This Row],[Corrected Form '#
 (If Duplicated)]])</f>
        <v>7811-00317</v>
      </c>
      <c r="N1558" s="1" t="s">
        <v>49</v>
      </c>
      <c r="O1558" s="6" t="str">
        <f>IF(Table2[[#This Row],[POG CONFIRMATION RECEIPT OF ORDER
(DATE &amp; TIME)]]="","No Confirmation","Received Confirmation")</f>
        <v>Received Confirmation</v>
      </c>
      <c r="P1558" s="6">
        <f ca="1">TODAY()-Table2[[#This Row],[DATE SENT TO POG]]</f>
        <v>146</v>
      </c>
      <c r="Q1558" s="6" t="s">
        <v>5803</v>
      </c>
      <c r="R15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58" s="2" t="str">
        <f>_xlfn.XLOOKUP(Table2[[#This Row],[Adjusted Form '#]],'[2]IN PROGRESS'!$D:$D,'[2]IN PROGRESS'!$M:$M,"Not Found")</f>
        <v>Not Found</v>
      </c>
      <c r="U1558" s="2" t="str">
        <f>_xlfn.XLOOKUP(Table2[[#This Row],[Adjusted Form '#]],[1]COMPLETED!$D:$D,[2]COMPLETED!$M:$M,"Not Found")</f>
        <v>Not Found</v>
      </c>
      <c r="V1558" s="17" t="str">
        <f>_xlfn.XLOOKUP(Table2[[#This Row],[Adjusted Form '#]],[2]COMPLETED!$D:$D,[2]COMPLETED!$O:$O,"Not Found")</f>
        <v>Not Found</v>
      </c>
      <c r="W1558" s="2" t="str">
        <f>_xlfn.XLOOKUP(Table2[[#This Row],[Adjusted Form '#]],[2]BILLED!$D:$D,[2]BILLED!$M:$M,"Not Found")</f>
        <v>9400 1112 0620 9481 3767 49</v>
      </c>
      <c r="X1558" s="17" t="e">
        <f>_xlfn.XLOOKUP(Table2[[#This Row],[Adjusted Form '#]],[2]BILLED!$D:$D,[1]BILLED!$O:$O,"Not Found")</f>
        <v>#REF!</v>
      </c>
      <c r="Y1558" s="17" t="e">
        <f>_xlfn.XLOOKUP(Table2[[#This Row],[Adjusted Form '#]],'[2]REJECTED ORDERS'!$D:$D,'[2]REJECTED ORDERS'!$E:$E)</f>
        <v>#N/A</v>
      </c>
      <c r="Z1558" s="1"/>
      <c r="AA1558" s="1"/>
    </row>
    <row r="1559" spans="1:27" ht="15" customHeight="1" x14ac:dyDescent="0.35">
      <c r="A1559" s="4" t="s">
        <v>2312</v>
      </c>
      <c r="B1559" s="1" t="s">
        <v>2764</v>
      </c>
      <c r="C1559" s="11">
        <v>45159</v>
      </c>
      <c r="D1559" s="11" t="s">
        <v>6712</v>
      </c>
      <c r="E1559" s="1" t="s">
        <v>21</v>
      </c>
      <c r="F1559" s="1" t="s">
        <v>6696</v>
      </c>
      <c r="G1559" s="6">
        <f>COUNTIF(F:F,Table2[[#This Row],[Form '#]])</f>
        <v>1</v>
      </c>
      <c r="H1559" s="1" t="s">
        <v>3365</v>
      </c>
      <c r="I1559" s="1" t="s">
        <v>3852</v>
      </c>
      <c r="J1559" s="1" t="s">
        <v>75</v>
      </c>
      <c r="K1559" s="1" t="s">
        <v>4011</v>
      </c>
      <c r="L1559" s="1"/>
      <c r="M1559" s="6" t="str">
        <f>IF(Table2[[#This Row],[Corrected Form '#
 (If Duplicated)]]="",Table2[[#This Row],[Form '#]],Table2[[#This Row],[Corrected Form '#
 (If Duplicated)]])</f>
        <v>7818-28448</v>
      </c>
      <c r="N1559" s="1" t="s">
        <v>49</v>
      </c>
      <c r="O1559" s="6" t="str">
        <f>IF(Table2[[#This Row],[POG CONFIRMATION RECEIPT OF ORDER
(DATE &amp; TIME)]]="","No Confirmation","Received Confirmation")</f>
        <v>Received Confirmation</v>
      </c>
      <c r="P1559" s="6">
        <f ca="1">TODAY()-Table2[[#This Row],[DATE SENT TO POG]]</f>
        <v>144</v>
      </c>
      <c r="Q1559" s="6" t="s">
        <v>5803</v>
      </c>
      <c r="R15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59" s="2" t="str">
        <f>_xlfn.XLOOKUP(Table2[[#This Row],[Adjusted Form '#]],'[2]IN PROGRESS'!$D:$D,'[2]IN PROGRESS'!$M:$M,"Not Found")</f>
        <v>Not Found</v>
      </c>
      <c r="U1559" s="2" t="str">
        <f>_xlfn.XLOOKUP(Table2[[#This Row],[Adjusted Form '#]],[1]COMPLETED!$D:$D,[2]COMPLETED!$M:$M,"Not Found")</f>
        <v>Not Found</v>
      </c>
      <c r="V1559" s="17" t="str">
        <f>_xlfn.XLOOKUP(Table2[[#This Row],[Adjusted Form '#]],[2]COMPLETED!$D:$D,[2]COMPLETED!$O:$O,"Not Found")</f>
        <v>Not Found</v>
      </c>
      <c r="W1559" s="2" t="str">
        <f>_xlfn.XLOOKUP(Table2[[#This Row],[Adjusted Form '#]],[2]BILLED!$D:$D,[2]BILLED!$M:$M,"Not Found")</f>
        <v>9400 1361 0605 3299 2506 61</v>
      </c>
      <c r="X1559" s="17" t="e">
        <f>_xlfn.XLOOKUP(Table2[[#This Row],[Adjusted Form '#]],[2]BILLED!$D:$D,[1]BILLED!$O:$O,"Not Found")</f>
        <v>#REF!</v>
      </c>
      <c r="Y1559" s="17" t="e">
        <f>_xlfn.XLOOKUP(Table2[[#This Row],[Adjusted Form '#]],'[2]REJECTED ORDERS'!$D:$D,'[2]REJECTED ORDERS'!$E:$E)</f>
        <v>#N/A</v>
      </c>
      <c r="Z1559" s="1"/>
      <c r="AA1559" s="1"/>
    </row>
    <row r="1560" spans="1:27" ht="15" customHeight="1" x14ac:dyDescent="0.35">
      <c r="A1560" s="4" t="s">
        <v>2313</v>
      </c>
      <c r="B1560" s="1" t="s">
        <v>2764</v>
      </c>
      <c r="C1560" s="11">
        <v>45159</v>
      </c>
      <c r="D1560" s="11" t="s">
        <v>6712</v>
      </c>
      <c r="E1560" s="1" t="s">
        <v>21</v>
      </c>
      <c r="F1560" s="1" t="s">
        <v>6697</v>
      </c>
      <c r="G1560" s="6">
        <f>COUNTIF(F:F,Table2[[#This Row],[Form '#]])</f>
        <v>1</v>
      </c>
      <c r="H1560" s="1" t="s">
        <v>370</v>
      </c>
      <c r="I1560" s="1" t="s">
        <v>3864</v>
      </c>
      <c r="J1560" s="1" t="s">
        <v>78</v>
      </c>
      <c r="K1560" s="1" t="s">
        <v>3879</v>
      </c>
      <c r="L1560" s="1"/>
      <c r="M1560" s="6" t="str">
        <f>IF(Table2[[#This Row],[Corrected Form '#
 (If Duplicated)]]="",Table2[[#This Row],[Form '#]],Table2[[#This Row],[Corrected Form '#
 (If Duplicated)]])</f>
        <v>7818-19325</v>
      </c>
      <c r="N1560" s="1" t="s">
        <v>49</v>
      </c>
      <c r="O1560" s="6" t="str">
        <f>IF(Table2[[#This Row],[POG CONFIRMATION RECEIPT OF ORDER
(DATE &amp; TIME)]]="","No Confirmation","Received Confirmation")</f>
        <v>Received Confirmation</v>
      </c>
      <c r="P1560" s="6">
        <f ca="1">TODAY()-Table2[[#This Row],[DATE SENT TO POG]]</f>
        <v>144</v>
      </c>
      <c r="Q1560" s="6" t="s">
        <v>5803</v>
      </c>
      <c r="R15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0" s="2" t="str">
        <f>_xlfn.XLOOKUP(Table2[[#This Row],[Adjusted Form '#]],'[2]IN PROGRESS'!$D:$D,'[2]IN PROGRESS'!$M:$M,"Not Found")</f>
        <v>Not Found</v>
      </c>
      <c r="U1560" s="2" t="str">
        <f>_xlfn.XLOOKUP(Table2[[#This Row],[Adjusted Form '#]],[1]COMPLETED!$D:$D,[2]COMPLETED!$M:$M,"Not Found")</f>
        <v>Not Found</v>
      </c>
      <c r="V1560" s="17" t="str">
        <f>_xlfn.XLOOKUP(Table2[[#This Row],[Adjusted Form '#]],[2]COMPLETED!$D:$D,[2]COMPLETED!$O:$O,"Not Found")</f>
        <v>Not Found</v>
      </c>
      <c r="W1560" s="2" t="str">
        <f>_xlfn.XLOOKUP(Table2[[#This Row],[Adjusted Form '#]],[2]BILLED!$D:$D,[2]BILLED!$M:$M,"Not Found")</f>
        <v>9400 1361 0605 3278 8702 55</v>
      </c>
      <c r="X1560" s="17" t="e">
        <f>_xlfn.XLOOKUP(Table2[[#This Row],[Adjusted Form '#]],[2]BILLED!$D:$D,[1]BILLED!$O:$O,"Not Found")</f>
        <v>#REF!</v>
      </c>
      <c r="Y1560" s="17" t="e">
        <f>_xlfn.XLOOKUP(Table2[[#This Row],[Adjusted Form '#]],'[2]REJECTED ORDERS'!$D:$D,'[2]REJECTED ORDERS'!$E:$E)</f>
        <v>#N/A</v>
      </c>
      <c r="Z1560" s="1"/>
      <c r="AA1560" s="1"/>
    </row>
    <row r="1561" spans="1:27" ht="15" customHeight="1" x14ac:dyDescent="0.35">
      <c r="A1561" s="4" t="s">
        <v>2314</v>
      </c>
      <c r="B1561" s="1" t="s">
        <v>2764</v>
      </c>
      <c r="C1561" s="11">
        <v>45159</v>
      </c>
      <c r="D1561" s="11" t="s">
        <v>6712</v>
      </c>
      <c r="E1561" s="1" t="s">
        <v>21</v>
      </c>
      <c r="F1561" s="1" t="s">
        <v>6698</v>
      </c>
      <c r="G1561" s="6">
        <f>COUNTIF(F:F,Table2[[#This Row],[Form '#]])</f>
        <v>1</v>
      </c>
      <c r="H1561" s="1" t="s">
        <v>6699</v>
      </c>
      <c r="I1561" s="1" t="s">
        <v>177</v>
      </c>
      <c r="J1561" s="1" t="s">
        <v>75</v>
      </c>
      <c r="K1561" s="1" t="s">
        <v>4430</v>
      </c>
      <c r="L1561" s="1"/>
      <c r="M1561" s="6" t="str">
        <f>IF(Table2[[#This Row],[Corrected Form '#
 (If Duplicated)]]="",Table2[[#This Row],[Form '#]],Table2[[#This Row],[Corrected Form '#
 (If Duplicated)]])</f>
        <v>7818-22382</v>
      </c>
      <c r="N1561" s="1" t="s">
        <v>49</v>
      </c>
      <c r="O1561" s="6" t="str">
        <f>IF(Table2[[#This Row],[POG CONFIRMATION RECEIPT OF ORDER
(DATE &amp; TIME)]]="","No Confirmation","Received Confirmation")</f>
        <v>Received Confirmation</v>
      </c>
      <c r="P1561" s="6">
        <f ca="1">TODAY()-Table2[[#This Row],[DATE SENT TO POG]]</f>
        <v>144</v>
      </c>
      <c r="Q1561" s="6" t="s">
        <v>5803</v>
      </c>
      <c r="R15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1" s="2" t="str">
        <f>_xlfn.XLOOKUP(Table2[[#This Row],[Adjusted Form '#]],'[2]IN PROGRESS'!$D:$D,'[2]IN PROGRESS'!$M:$M,"Not Found")</f>
        <v>Not Found</v>
      </c>
      <c r="U1561" s="2" t="str">
        <f>_xlfn.XLOOKUP(Table2[[#This Row],[Adjusted Form '#]],[1]COMPLETED!$D:$D,[2]COMPLETED!$M:$M,"Not Found")</f>
        <v>Not Found</v>
      </c>
      <c r="V1561" s="17" t="str">
        <f>_xlfn.XLOOKUP(Table2[[#This Row],[Adjusted Form '#]],[2]COMPLETED!$D:$D,[2]COMPLETED!$O:$O,"Not Found")</f>
        <v>Not Found</v>
      </c>
      <c r="W1561" s="2" t="str">
        <f>_xlfn.XLOOKUP(Table2[[#This Row],[Adjusted Form '#]],[2]BILLED!$D:$D,[2]BILLED!$M:$M,"Not Found")</f>
        <v>9400 1361 0605 3279 5630 19</v>
      </c>
      <c r="X1561" s="17" t="e">
        <f>_xlfn.XLOOKUP(Table2[[#This Row],[Adjusted Form '#]],[2]BILLED!$D:$D,[1]BILLED!$O:$O,"Not Found")</f>
        <v>#REF!</v>
      </c>
      <c r="Y1561" s="17" t="e">
        <f>_xlfn.XLOOKUP(Table2[[#This Row],[Adjusted Form '#]],'[2]REJECTED ORDERS'!$D:$D,'[2]REJECTED ORDERS'!$E:$E)</f>
        <v>#N/A</v>
      </c>
      <c r="Z1561" s="1"/>
      <c r="AA1561" s="1"/>
    </row>
    <row r="1562" spans="1:27" ht="15" customHeight="1" x14ac:dyDescent="0.35">
      <c r="A1562" s="4" t="s">
        <v>2315</v>
      </c>
      <c r="B1562" s="1" t="s">
        <v>2764</v>
      </c>
      <c r="C1562" s="11">
        <v>45159</v>
      </c>
      <c r="D1562" s="11" t="s">
        <v>6712</v>
      </c>
      <c r="E1562" s="1" t="s">
        <v>21</v>
      </c>
      <c r="F1562" s="1" t="s">
        <v>6700</v>
      </c>
      <c r="G1562" s="6">
        <f>COUNTIF(F:F,Table2[[#This Row],[Form '#]])</f>
        <v>1</v>
      </c>
      <c r="H1562" s="1" t="s">
        <v>6701</v>
      </c>
      <c r="I1562" s="1" t="s">
        <v>3864</v>
      </c>
      <c r="J1562" s="1" t="s">
        <v>78</v>
      </c>
      <c r="K1562" s="1" t="s">
        <v>3879</v>
      </c>
      <c r="L1562" s="1"/>
      <c r="M1562" s="6" t="str">
        <f>IF(Table2[[#This Row],[Corrected Form '#
 (If Duplicated)]]="",Table2[[#This Row],[Form '#]],Table2[[#This Row],[Corrected Form '#
 (If Duplicated)]])</f>
        <v>7818-12890</v>
      </c>
      <c r="N1562" s="1" t="s">
        <v>49</v>
      </c>
      <c r="O1562" s="6" t="str">
        <f>IF(Table2[[#This Row],[POG CONFIRMATION RECEIPT OF ORDER
(DATE &amp; TIME)]]="","No Confirmation","Received Confirmation")</f>
        <v>Received Confirmation</v>
      </c>
      <c r="P1562" s="6">
        <f ca="1">TODAY()-Table2[[#This Row],[DATE SENT TO POG]]</f>
        <v>144</v>
      </c>
      <c r="Q1562" s="6" t="s">
        <v>5803</v>
      </c>
      <c r="R15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2" s="2" t="str">
        <f>_xlfn.XLOOKUP(Table2[[#This Row],[Adjusted Form '#]],'[2]IN PROGRESS'!$D:$D,'[2]IN PROGRESS'!$M:$M,"Not Found")</f>
        <v>Not Found</v>
      </c>
      <c r="U1562" s="2" t="str">
        <f>_xlfn.XLOOKUP(Table2[[#This Row],[Adjusted Form '#]],[1]COMPLETED!$D:$D,[2]COMPLETED!$M:$M,"Not Found")</f>
        <v>Not Found</v>
      </c>
      <c r="V1562" s="17" t="str">
        <f>_xlfn.XLOOKUP(Table2[[#This Row],[Adjusted Form '#]],[2]COMPLETED!$D:$D,[2]COMPLETED!$O:$O,"Not Found")</f>
        <v>Not Found</v>
      </c>
      <c r="W1562" s="2" t="str">
        <f>_xlfn.XLOOKUP(Table2[[#This Row],[Adjusted Form '#]],[2]BILLED!$D:$D,[2]BILLED!$M:$M,"Not Found")</f>
        <v>9400 1361 0605 3278 8932 61</v>
      </c>
      <c r="X1562" s="17" t="e">
        <f>_xlfn.XLOOKUP(Table2[[#This Row],[Adjusted Form '#]],[2]BILLED!$D:$D,[1]BILLED!$O:$O,"Not Found")</f>
        <v>#REF!</v>
      </c>
      <c r="Y1562" s="17" t="e">
        <f>_xlfn.XLOOKUP(Table2[[#This Row],[Adjusted Form '#]],'[2]REJECTED ORDERS'!$D:$D,'[2]REJECTED ORDERS'!$E:$E)</f>
        <v>#N/A</v>
      </c>
      <c r="Z1562" s="1"/>
      <c r="AA1562" s="1"/>
    </row>
    <row r="1563" spans="1:27" ht="15" customHeight="1" x14ac:dyDescent="0.35">
      <c r="A1563" s="4" t="s">
        <v>2317</v>
      </c>
      <c r="B1563" s="1" t="s">
        <v>2764</v>
      </c>
      <c r="C1563" s="11">
        <v>45159</v>
      </c>
      <c r="D1563" s="11" t="s">
        <v>6712</v>
      </c>
      <c r="E1563" s="1" t="s">
        <v>21</v>
      </c>
      <c r="F1563" s="1" t="s">
        <v>6702</v>
      </c>
      <c r="G1563" s="6">
        <f>COUNTIF(F:F,Table2[[#This Row],[Form '#]])</f>
        <v>1</v>
      </c>
      <c r="H1563" s="1" t="s">
        <v>6703</v>
      </c>
      <c r="I1563" s="1" t="s">
        <v>3852</v>
      </c>
      <c r="J1563" s="1" t="s">
        <v>80</v>
      </c>
      <c r="K1563" s="1" t="s">
        <v>4430</v>
      </c>
      <c r="L1563" s="1"/>
      <c r="M1563" s="6" t="str">
        <f>IF(Table2[[#This Row],[Corrected Form '#
 (If Duplicated)]]="",Table2[[#This Row],[Form '#]],Table2[[#This Row],[Corrected Form '#
 (If Duplicated)]])</f>
        <v>7818-13272</v>
      </c>
      <c r="N1563" s="1" t="s">
        <v>49</v>
      </c>
      <c r="O1563" s="6" t="str">
        <f>IF(Table2[[#This Row],[POG CONFIRMATION RECEIPT OF ORDER
(DATE &amp; TIME)]]="","No Confirmation","Received Confirmation")</f>
        <v>Received Confirmation</v>
      </c>
      <c r="P1563" s="6">
        <f ca="1">TODAY()-Table2[[#This Row],[DATE SENT TO POG]]</f>
        <v>144</v>
      </c>
      <c r="Q1563" s="6" t="s">
        <v>5803</v>
      </c>
      <c r="R15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3" s="2" t="str">
        <f>_xlfn.XLOOKUP(Table2[[#This Row],[Adjusted Form '#]],'[2]IN PROGRESS'!$D:$D,'[2]IN PROGRESS'!$M:$M,"Not Found")</f>
        <v>Not Found</v>
      </c>
      <c r="U1563" s="2" t="str">
        <f>_xlfn.XLOOKUP(Table2[[#This Row],[Adjusted Form '#]],[1]COMPLETED!$D:$D,[2]COMPLETED!$M:$M,"Not Found")</f>
        <v>Not Found</v>
      </c>
      <c r="V1563" s="17" t="str">
        <f>_xlfn.XLOOKUP(Table2[[#This Row],[Adjusted Form '#]],[2]COMPLETED!$D:$D,[2]COMPLETED!$O:$O,"Not Found")</f>
        <v>Not Found</v>
      </c>
      <c r="W1563" s="2" t="str">
        <f>_xlfn.XLOOKUP(Table2[[#This Row],[Adjusted Form '#]],[2]BILLED!$D:$D,[2]BILLED!$M:$M,"Not Found")</f>
        <v>9400 1361 0605 3278 6819 81</v>
      </c>
      <c r="X1563" s="17" t="e">
        <f>_xlfn.XLOOKUP(Table2[[#This Row],[Adjusted Form '#]],[2]BILLED!$D:$D,[1]BILLED!$O:$O,"Not Found")</f>
        <v>#REF!</v>
      </c>
      <c r="Y1563" s="17" t="e">
        <f>_xlfn.XLOOKUP(Table2[[#This Row],[Adjusted Form '#]],'[2]REJECTED ORDERS'!$D:$D,'[2]REJECTED ORDERS'!$E:$E)</f>
        <v>#N/A</v>
      </c>
      <c r="Z1563" s="1"/>
      <c r="AA1563" s="1"/>
    </row>
    <row r="1564" spans="1:27" ht="15" customHeight="1" x14ac:dyDescent="0.35">
      <c r="A1564" s="4" t="s">
        <v>2318</v>
      </c>
      <c r="B1564" s="1" t="s">
        <v>2764</v>
      </c>
      <c r="C1564" s="11">
        <v>45159</v>
      </c>
      <c r="D1564" s="11" t="s">
        <v>6712</v>
      </c>
      <c r="E1564" s="1" t="s">
        <v>21</v>
      </c>
      <c r="F1564" s="1" t="s">
        <v>6704</v>
      </c>
      <c r="G1564" s="6">
        <f>COUNTIF(F:F,Table2[[#This Row],[Form '#]])</f>
        <v>1</v>
      </c>
      <c r="H1564" s="1" t="s">
        <v>226</v>
      </c>
      <c r="I1564" s="1" t="s">
        <v>3852</v>
      </c>
      <c r="J1564" s="1" t="s">
        <v>80</v>
      </c>
      <c r="K1564" s="1" t="s">
        <v>4430</v>
      </c>
      <c r="L1564" s="1"/>
      <c r="M1564" s="6" t="str">
        <f>IF(Table2[[#This Row],[Corrected Form '#
 (If Duplicated)]]="",Table2[[#This Row],[Form '#]],Table2[[#This Row],[Corrected Form '#
 (If Duplicated)]])</f>
        <v>7818-29950</v>
      </c>
      <c r="N1564" s="1" t="s">
        <v>49</v>
      </c>
      <c r="O1564" s="6" t="str">
        <f>IF(Table2[[#This Row],[POG CONFIRMATION RECEIPT OF ORDER
(DATE &amp; TIME)]]="","No Confirmation","Received Confirmation")</f>
        <v>Received Confirmation</v>
      </c>
      <c r="P1564" s="6">
        <f ca="1">TODAY()-Table2[[#This Row],[DATE SENT TO POG]]</f>
        <v>144</v>
      </c>
      <c r="Q1564" s="6" t="s">
        <v>5803</v>
      </c>
      <c r="R15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4" s="2" t="str">
        <f>_xlfn.XLOOKUP(Table2[[#This Row],[Adjusted Form '#]],'[2]IN PROGRESS'!$D:$D,'[2]IN PROGRESS'!$M:$M,"Not Found")</f>
        <v>Not Found</v>
      </c>
      <c r="U1564" s="2" t="str">
        <f>_xlfn.XLOOKUP(Table2[[#This Row],[Adjusted Form '#]],[1]COMPLETED!$D:$D,[2]COMPLETED!$M:$M,"Not Found")</f>
        <v>Not Found</v>
      </c>
      <c r="V1564" s="17" t="str">
        <f>_xlfn.XLOOKUP(Table2[[#This Row],[Adjusted Form '#]],[2]COMPLETED!$D:$D,[2]COMPLETED!$O:$O,"Not Found")</f>
        <v>Not Found</v>
      </c>
      <c r="W1564" s="2" t="str">
        <f>_xlfn.XLOOKUP(Table2[[#This Row],[Adjusted Form '#]],[2]BILLED!$D:$D,[2]BILLED!$M:$M,"Not Found")</f>
        <v>9400 1361 0605 3278 9267 92</v>
      </c>
      <c r="X1564" s="17" t="e">
        <f>_xlfn.XLOOKUP(Table2[[#This Row],[Adjusted Form '#]],[2]BILLED!$D:$D,[1]BILLED!$O:$O,"Not Found")</f>
        <v>#REF!</v>
      </c>
      <c r="Y1564" s="17" t="e">
        <f>_xlfn.XLOOKUP(Table2[[#This Row],[Adjusted Form '#]],'[2]REJECTED ORDERS'!$D:$D,'[2]REJECTED ORDERS'!$E:$E)</f>
        <v>#N/A</v>
      </c>
      <c r="Z1564" s="1"/>
      <c r="AA1564" s="1"/>
    </row>
    <row r="1565" spans="1:27" ht="15" customHeight="1" x14ac:dyDescent="0.35">
      <c r="A1565" s="4" t="s">
        <v>2319</v>
      </c>
      <c r="B1565" s="1" t="s">
        <v>2764</v>
      </c>
      <c r="C1565" s="11">
        <v>45159</v>
      </c>
      <c r="D1565" s="11" t="s">
        <v>6712</v>
      </c>
      <c r="E1565" s="1" t="s">
        <v>21</v>
      </c>
      <c r="F1565" s="1" t="s">
        <v>6705</v>
      </c>
      <c r="G1565" s="6">
        <f>COUNTIF(F:F,Table2[[#This Row],[Form '#]])</f>
        <v>1</v>
      </c>
      <c r="H1565" s="1" t="s">
        <v>555</v>
      </c>
      <c r="I1565" s="1" t="s">
        <v>758</v>
      </c>
      <c r="J1565" s="1" t="s">
        <v>78</v>
      </c>
      <c r="K1565" s="1" t="s">
        <v>4430</v>
      </c>
      <c r="L1565" s="1"/>
      <c r="M1565" s="6" t="str">
        <f>IF(Table2[[#This Row],[Corrected Form '#
 (If Duplicated)]]="",Table2[[#This Row],[Form '#]],Table2[[#This Row],[Corrected Form '#
 (If Duplicated)]])</f>
        <v>7818-20177</v>
      </c>
      <c r="N1565" s="1" t="s">
        <v>49</v>
      </c>
      <c r="O1565" s="6" t="str">
        <f>IF(Table2[[#This Row],[POG CONFIRMATION RECEIPT OF ORDER
(DATE &amp; TIME)]]="","No Confirmation","Received Confirmation")</f>
        <v>Received Confirmation</v>
      </c>
      <c r="P1565" s="6">
        <f ca="1">TODAY()-Table2[[#This Row],[DATE SENT TO POG]]</f>
        <v>144</v>
      </c>
      <c r="Q1565" s="6" t="s">
        <v>5803</v>
      </c>
      <c r="R15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5" s="2" t="str">
        <f>_xlfn.XLOOKUP(Table2[[#This Row],[Adjusted Form '#]],'[2]IN PROGRESS'!$D:$D,'[2]IN PROGRESS'!$M:$M,"Not Found")</f>
        <v>Not Found</v>
      </c>
      <c r="U1565" s="2" t="str">
        <f>_xlfn.XLOOKUP(Table2[[#This Row],[Adjusted Form '#]],[1]COMPLETED!$D:$D,[2]COMPLETED!$M:$M,"Not Found")</f>
        <v>Not Found</v>
      </c>
      <c r="V1565" s="17" t="str">
        <f>_xlfn.XLOOKUP(Table2[[#This Row],[Adjusted Form '#]],[2]COMPLETED!$D:$D,[2]COMPLETED!$O:$O,"Not Found")</f>
        <v>Not Found</v>
      </c>
      <c r="W1565" s="2" t="str">
        <f>_xlfn.XLOOKUP(Table2[[#This Row],[Adjusted Form '#]],[2]BILLED!$D:$D,[2]BILLED!$M:$M,"Not Found")</f>
        <v>9400 1112 0620 9441 2913 65</v>
      </c>
      <c r="X1565" s="17" t="e">
        <f>_xlfn.XLOOKUP(Table2[[#This Row],[Adjusted Form '#]],[2]BILLED!$D:$D,[1]BILLED!$O:$O,"Not Found")</f>
        <v>#REF!</v>
      </c>
      <c r="Y1565" s="17" t="e">
        <f>_xlfn.XLOOKUP(Table2[[#This Row],[Adjusted Form '#]],'[2]REJECTED ORDERS'!$D:$D,'[2]REJECTED ORDERS'!$E:$E)</f>
        <v>#N/A</v>
      </c>
      <c r="Z1565" s="1"/>
      <c r="AA1565" s="1"/>
    </row>
    <row r="1566" spans="1:27" ht="15" customHeight="1" x14ac:dyDescent="0.35">
      <c r="A1566" s="4" t="s">
        <v>2321</v>
      </c>
      <c r="B1566" s="1" t="s">
        <v>2772</v>
      </c>
      <c r="C1566" s="11">
        <v>45159</v>
      </c>
      <c r="D1566" s="11" t="s">
        <v>6710</v>
      </c>
      <c r="E1566" s="1" t="s">
        <v>21</v>
      </c>
      <c r="F1566" s="1" t="s">
        <v>6706</v>
      </c>
      <c r="G1566" s="6">
        <f>COUNTIF(F:F,Table2[[#This Row],[Form '#]])</f>
        <v>1</v>
      </c>
      <c r="H1566" s="1" t="s">
        <v>6707</v>
      </c>
      <c r="I1566" s="1" t="s">
        <v>3852</v>
      </c>
      <c r="J1566" s="1" t="s">
        <v>80</v>
      </c>
      <c r="K1566" s="1" t="s">
        <v>4430</v>
      </c>
      <c r="L1566" s="1"/>
      <c r="M1566" s="6" t="str">
        <f>IF(Table2[[#This Row],[Corrected Form '#
 (If Duplicated)]]="",Table2[[#This Row],[Form '#]],Table2[[#This Row],[Corrected Form '#
 (If Duplicated)]])</f>
        <v>7818-15086</v>
      </c>
      <c r="N1566" s="1" t="s">
        <v>49</v>
      </c>
      <c r="O1566" s="6" t="str">
        <f>IF(Table2[[#This Row],[POG CONFIRMATION RECEIPT OF ORDER
(DATE &amp; TIME)]]="","No Confirmation","Received Confirmation")</f>
        <v>Received Confirmation</v>
      </c>
      <c r="P1566" s="6">
        <f ca="1">TODAY()-Table2[[#This Row],[DATE SENT TO POG]]</f>
        <v>144</v>
      </c>
      <c r="Q1566" s="6" t="s">
        <v>5803</v>
      </c>
      <c r="R15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6" s="2" t="str">
        <f>_xlfn.XLOOKUP(Table2[[#This Row],[Adjusted Form '#]],'[2]IN PROGRESS'!$D:$D,'[2]IN PROGRESS'!$M:$M,"Not Found")</f>
        <v>Not Found</v>
      </c>
      <c r="U1566" s="2" t="str">
        <f>_xlfn.XLOOKUP(Table2[[#This Row],[Adjusted Form '#]],[1]COMPLETED!$D:$D,[2]COMPLETED!$M:$M,"Not Found")</f>
        <v>Not Found</v>
      </c>
      <c r="V1566" s="17" t="str">
        <f>_xlfn.XLOOKUP(Table2[[#This Row],[Adjusted Form '#]],[2]COMPLETED!$D:$D,[2]COMPLETED!$O:$O,"Not Found")</f>
        <v>Not Found</v>
      </c>
      <c r="W1566" s="2" t="str">
        <f>_xlfn.XLOOKUP(Table2[[#This Row],[Adjusted Form '#]],[2]BILLED!$D:$D,[2]BILLED!$M:$M,"Not Found")</f>
        <v>9400 1361 0605 3278 5978 62</v>
      </c>
      <c r="X1566" s="17" t="e">
        <f>_xlfn.XLOOKUP(Table2[[#This Row],[Adjusted Form '#]],[2]BILLED!$D:$D,[1]BILLED!$O:$O,"Not Found")</f>
        <v>#REF!</v>
      </c>
      <c r="Y1566" s="17" t="e">
        <f>_xlfn.XLOOKUP(Table2[[#This Row],[Adjusted Form '#]],'[2]REJECTED ORDERS'!$D:$D,'[2]REJECTED ORDERS'!$E:$E)</f>
        <v>#N/A</v>
      </c>
      <c r="Z1566" s="1"/>
      <c r="AA1566" s="1"/>
    </row>
    <row r="1567" spans="1:27" ht="15" customHeight="1" x14ac:dyDescent="0.35">
      <c r="A1567" s="4" t="s">
        <v>2323</v>
      </c>
      <c r="B1567" s="1" t="s">
        <v>1305</v>
      </c>
      <c r="C1567" s="11">
        <v>45159</v>
      </c>
      <c r="D1567" s="11" t="s">
        <v>6710</v>
      </c>
      <c r="E1567" s="1" t="s">
        <v>14</v>
      </c>
      <c r="F1567" s="1" t="s">
        <v>6708</v>
      </c>
      <c r="G1567" s="6">
        <f>COUNTIF(F:F,Table2[[#This Row],[Form '#]])</f>
        <v>1</v>
      </c>
      <c r="H1567" s="1" t="s">
        <v>6709</v>
      </c>
      <c r="I1567" s="1" t="s">
        <v>3864</v>
      </c>
      <c r="J1567" s="1" t="s">
        <v>78</v>
      </c>
      <c r="K1567" s="1" t="s">
        <v>3879</v>
      </c>
      <c r="L1567" s="1"/>
      <c r="M1567" s="6" t="str">
        <f>IF(Table2[[#This Row],[Corrected Form '#
 (If Duplicated)]]="",Table2[[#This Row],[Form '#]],Table2[[#This Row],[Corrected Form '#
 (If Duplicated)]])</f>
        <v>7810-01594</v>
      </c>
      <c r="N1567" s="1" t="s">
        <v>49</v>
      </c>
      <c r="O1567" s="6" t="str">
        <f>IF(Table2[[#This Row],[POG CONFIRMATION RECEIPT OF ORDER
(DATE &amp; TIME)]]="","No Confirmation","Received Confirmation")</f>
        <v>Received Confirmation</v>
      </c>
      <c r="P1567" s="6">
        <f ca="1">TODAY()-Table2[[#This Row],[DATE SENT TO POG]]</f>
        <v>144</v>
      </c>
      <c r="Q1567" s="6" t="s">
        <v>5803</v>
      </c>
      <c r="R15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7" s="2" t="str">
        <f>_xlfn.XLOOKUP(Table2[[#This Row],[Adjusted Form '#]],'[2]IN PROGRESS'!$D:$D,'[2]IN PROGRESS'!$M:$M,"Not Found")</f>
        <v>Not Found</v>
      </c>
      <c r="U1567" s="2" t="str">
        <f>_xlfn.XLOOKUP(Table2[[#This Row],[Adjusted Form '#]],[1]COMPLETED!$D:$D,[2]COMPLETED!$M:$M,"Not Found")</f>
        <v>Not Found</v>
      </c>
      <c r="V1567" s="17" t="str">
        <f>_xlfn.XLOOKUP(Table2[[#This Row],[Adjusted Form '#]],[2]COMPLETED!$D:$D,[2]COMPLETED!$O:$O,"Not Found")</f>
        <v>Not Found</v>
      </c>
      <c r="W1567" s="2" t="str">
        <f>_xlfn.XLOOKUP(Table2[[#This Row],[Adjusted Form '#]],[2]BILLED!$D:$D,[2]BILLED!$M:$M,"Not Found")</f>
        <v>9400 1112 0620 9441 2946 94</v>
      </c>
      <c r="X1567" s="17" t="e">
        <f>_xlfn.XLOOKUP(Table2[[#This Row],[Adjusted Form '#]],[2]BILLED!$D:$D,[1]BILLED!$O:$O,"Not Found")</f>
        <v>#REF!</v>
      </c>
      <c r="Y1567" s="17" t="e">
        <f>_xlfn.XLOOKUP(Table2[[#This Row],[Adjusted Form '#]],'[2]REJECTED ORDERS'!$D:$D,'[2]REJECTED ORDERS'!$E:$E)</f>
        <v>#N/A</v>
      </c>
      <c r="Z1567" s="1"/>
      <c r="AA1567" s="1"/>
    </row>
    <row r="1568" spans="1:27" ht="15" customHeight="1" x14ac:dyDescent="0.35">
      <c r="A1568" s="4" t="s">
        <v>2324</v>
      </c>
      <c r="B1568" s="1" t="s">
        <v>3603</v>
      </c>
      <c r="C1568" s="11">
        <v>45160</v>
      </c>
      <c r="D1568" s="11" t="s">
        <v>6713</v>
      </c>
      <c r="E1568" s="1" t="s">
        <v>21</v>
      </c>
      <c r="F1568" s="1" t="s">
        <v>6718</v>
      </c>
      <c r="G1568" s="6">
        <f>COUNTIF(F:F,Table2[[#This Row],[Form '#]])</f>
        <v>1</v>
      </c>
      <c r="H1568" s="1" t="s">
        <v>6714</v>
      </c>
      <c r="I1568" s="1" t="s">
        <v>3852</v>
      </c>
      <c r="J1568" s="1" t="s">
        <v>80</v>
      </c>
      <c r="K1568" s="1" t="s">
        <v>4430</v>
      </c>
      <c r="L1568" s="1"/>
      <c r="M1568" s="6" t="str">
        <f>IF(Table2[[#This Row],[Corrected Form '#
 (If Duplicated)]]="",Table2[[#This Row],[Form '#]],Table2[[#This Row],[Corrected Form '#
 (If Duplicated)]])</f>
        <v>7818-28377</v>
      </c>
      <c r="N1568" s="1" t="s">
        <v>49</v>
      </c>
      <c r="O1568" s="6" t="str">
        <f>IF(Table2[[#This Row],[POG CONFIRMATION RECEIPT OF ORDER
(DATE &amp; TIME)]]="","No Confirmation","Received Confirmation")</f>
        <v>Received Confirmation</v>
      </c>
      <c r="P1568" s="6">
        <f ca="1">TODAY()-Table2[[#This Row],[DATE SENT TO POG]]</f>
        <v>143</v>
      </c>
      <c r="Q1568" s="6" t="s">
        <v>5803</v>
      </c>
      <c r="R15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8" s="2" t="str">
        <f>_xlfn.XLOOKUP(Table2[[#This Row],[Adjusted Form '#]],'[2]IN PROGRESS'!$D:$D,'[2]IN PROGRESS'!$M:$M,"Not Found")</f>
        <v>Not Found</v>
      </c>
      <c r="U1568" s="2" t="str">
        <f>_xlfn.XLOOKUP(Table2[[#This Row],[Adjusted Form '#]],[1]COMPLETED!$D:$D,[2]COMPLETED!$M:$M,"Not Found")</f>
        <v>Not Found</v>
      </c>
      <c r="V1568" s="17" t="str">
        <f>_xlfn.XLOOKUP(Table2[[#This Row],[Adjusted Form '#]],[2]COMPLETED!$D:$D,[2]COMPLETED!$O:$O,"Not Found")</f>
        <v>Not Found</v>
      </c>
      <c r="W1568" s="2" t="str">
        <f>_xlfn.XLOOKUP(Table2[[#This Row],[Adjusted Form '#]],[2]BILLED!$D:$D,[2]BILLED!$M:$M,"Not Found")</f>
        <v>9400 1361 0605 3360 5721 42</v>
      </c>
      <c r="X1568" s="17" t="e">
        <f>_xlfn.XLOOKUP(Table2[[#This Row],[Adjusted Form '#]],[2]BILLED!$D:$D,[1]BILLED!$O:$O,"Not Found")</f>
        <v>#REF!</v>
      </c>
      <c r="Y1568" s="17" t="e">
        <f>_xlfn.XLOOKUP(Table2[[#This Row],[Adjusted Form '#]],'[2]REJECTED ORDERS'!$D:$D,'[2]REJECTED ORDERS'!$E:$E)</f>
        <v>#N/A</v>
      </c>
      <c r="Z1568" s="1"/>
      <c r="AA1568" s="1"/>
    </row>
    <row r="1569" spans="1:27" ht="15" customHeight="1" x14ac:dyDescent="0.35">
      <c r="A1569" s="4" t="s">
        <v>2326</v>
      </c>
      <c r="B1569" s="1" t="s">
        <v>1771</v>
      </c>
      <c r="C1569" s="11">
        <v>45160</v>
      </c>
      <c r="D1569" s="11" t="s">
        <v>6715</v>
      </c>
      <c r="E1569" s="1" t="s">
        <v>21</v>
      </c>
      <c r="F1569" s="1" t="s">
        <v>6719</v>
      </c>
      <c r="G1569" s="6">
        <f>COUNTIF(F:F,Table2[[#This Row],[Form '#]])</f>
        <v>1</v>
      </c>
      <c r="H1569" s="1" t="s">
        <v>6716</v>
      </c>
      <c r="I1569" s="1" t="s">
        <v>3864</v>
      </c>
      <c r="J1569" s="1" t="s">
        <v>78</v>
      </c>
      <c r="K1569" s="1" t="s">
        <v>3879</v>
      </c>
      <c r="L1569" s="1"/>
      <c r="M1569" s="6" t="str">
        <f>IF(Table2[[#This Row],[Corrected Form '#
 (If Duplicated)]]="",Table2[[#This Row],[Form '#]],Table2[[#This Row],[Corrected Form '#
 (If Duplicated)]])</f>
        <v>7818-20430</v>
      </c>
      <c r="N1569" s="1" t="s">
        <v>49</v>
      </c>
      <c r="O1569" s="6" t="str">
        <f>IF(Table2[[#This Row],[POG CONFIRMATION RECEIPT OF ORDER
(DATE &amp; TIME)]]="","No Confirmation","Received Confirmation")</f>
        <v>Received Confirmation</v>
      </c>
      <c r="P1569" s="6">
        <f ca="1">TODAY()-Table2[[#This Row],[DATE SENT TO POG]]</f>
        <v>143</v>
      </c>
      <c r="Q1569" s="6" t="s">
        <v>5803</v>
      </c>
      <c r="R15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69" s="2" t="str">
        <f>_xlfn.XLOOKUP(Table2[[#This Row],[Adjusted Form '#]],'[2]IN PROGRESS'!$D:$D,'[2]IN PROGRESS'!$M:$M,"Not Found")</f>
        <v>Not Found</v>
      </c>
      <c r="U1569" s="2" t="str">
        <f>_xlfn.XLOOKUP(Table2[[#This Row],[Adjusted Form '#]],[1]COMPLETED!$D:$D,[2]COMPLETED!$M:$M,"Not Found")</f>
        <v>Not Found</v>
      </c>
      <c r="V1569" s="17" t="str">
        <f>_xlfn.XLOOKUP(Table2[[#This Row],[Adjusted Form '#]],[2]COMPLETED!$D:$D,[2]COMPLETED!$O:$O,"Not Found")</f>
        <v>Not Found</v>
      </c>
      <c r="W1569" s="2" t="str">
        <f>_xlfn.XLOOKUP(Table2[[#This Row],[Adjusted Form '#]],[2]BILLED!$D:$D,[2]BILLED!$M:$M,"Not Found")</f>
        <v>9400 1112 0620 9565 2970 83</v>
      </c>
      <c r="X1569" s="17" t="e">
        <f>_xlfn.XLOOKUP(Table2[[#This Row],[Adjusted Form '#]],[2]BILLED!$D:$D,[1]BILLED!$O:$O,"Not Found")</f>
        <v>#REF!</v>
      </c>
      <c r="Y1569" s="17" t="e">
        <f>_xlfn.XLOOKUP(Table2[[#This Row],[Adjusted Form '#]],'[2]REJECTED ORDERS'!$D:$D,'[2]REJECTED ORDERS'!$E:$E)</f>
        <v>#N/A</v>
      </c>
      <c r="Z1569" s="1"/>
      <c r="AA1569" s="1"/>
    </row>
    <row r="1570" spans="1:27" ht="15" customHeight="1" x14ac:dyDescent="0.35">
      <c r="A1570" s="4" t="s">
        <v>2328</v>
      </c>
      <c r="B1570" s="1" t="s">
        <v>2535</v>
      </c>
      <c r="C1570" s="11">
        <v>45160</v>
      </c>
      <c r="D1570" s="11" t="s">
        <v>6715</v>
      </c>
      <c r="E1570" s="1" t="s">
        <v>21</v>
      </c>
      <c r="F1570" s="1" t="s">
        <v>6720</v>
      </c>
      <c r="G1570" s="6">
        <f>COUNTIF(F:F,Table2[[#This Row],[Form '#]])</f>
        <v>1</v>
      </c>
      <c r="H1570" s="1" t="s">
        <v>6717</v>
      </c>
      <c r="I1570" s="1" t="s">
        <v>3864</v>
      </c>
      <c r="J1570" s="1" t="s">
        <v>78</v>
      </c>
      <c r="K1570" s="1" t="s">
        <v>3879</v>
      </c>
      <c r="L1570" s="1"/>
      <c r="M1570" s="6" t="str">
        <f>IF(Table2[[#This Row],[Corrected Form '#
 (If Duplicated)]]="",Table2[[#This Row],[Form '#]],Table2[[#This Row],[Corrected Form '#
 (If Duplicated)]])</f>
        <v>7818-28013</v>
      </c>
      <c r="N1570" s="1" t="s">
        <v>49</v>
      </c>
      <c r="O1570" s="6" t="str">
        <f>IF(Table2[[#This Row],[POG CONFIRMATION RECEIPT OF ORDER
(DATE &amp; TIME)]]="","No Confirmation","Received Confirmation")</f>
        <v>Received Confirmation</v>
      </c>
      <c r="P1570" s="6">
        <f ca="1">TODAY()-Table2[[#This Row],[DATE SENT TO POG]]</f>
        <v>143</v>
      </c>
      <c r="Q1570" s="6" t="s">
        <v>5803</v>
      </c>
      <c r="R15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0" s="2" t="str">
        <f>_xlfn.XLOOKUP(Table2[[#This Row],[Adjusted Form '#]],'[2]IN PROGRESS'!$D:$D,'[2]IN PROGRESS'!$M:$M,"Not Found")</f>
        <v>Not Found</v>
      </c>
      <c r="U1570" s="2" t="str">
        <f>_xlfn.XLOOKUP(Table2[[#This Row],[Adjusted Form '#]],[1]COMPLETED!$D:$D,[2]COMPLETED!$M:$M,"Not Found")</f>
        <v>Not Found</v>
      </c>
      <c r="V1570" s="17" t="str">
        <f>_xlfn.XLOOKUP(Table2[[#This Row],[Adjusted Form '#]],[2]COMPLETED!$D:$D,[2]COMPLETED!$O:$O,"Not Found")</f>
        <v>Not Found</v>
      </c>
      <c r="W1570" s="2" t="str">
        <f>_xlfn.XLOOKUP(Table2[[#This Row],[Adjusted Form '#]],[2]BILLED!$D:$D,[2]BILLED!$M:$M,"Not Found")</f>
        <v>9400 1361 0605 3314 7023 97</v>
      </c>
      <c r="X1570" s="17" t="e">
        <f>_xlfn.XLOOKUP(Table2[[#This Row],[Adjusted Form '#]],[2]BILLED!$D:$D,[1]BILLED!$O:$O,"Not Found")</f>
        <v>#REF!</v>
      </c>
      <c r="Y1570" s="17" t="e">
        <f>_xlfn.XLOOKUP(Table2[[#This Row],[Adjusted Form '#]],'[2]REJECTED ORDERS'!$D:$D,'[2]REJECTED ORDERS'!$E:$E)</f>
        <v>#N/A</v>
      </c>
      <c r="Z1570" s="1"/>
      <c r="AA1570" s="1"/>
    </row>
    <row r="1571" spans="1:27" ht="15" customHeight="1" x14ac:dyDescent="0.35">
      <c r="A1571" s="4" t="s">
        <v>2330</v>
      </c>
      <c r="B1571" s="1" t="s">
        <v>854</v>
      </c>
      <c r="C1571" s="11">
        <v>45160</v>
      </c>
      <c r="D1571" s="11" t="s">
        <v>6725</v>
      </c>
      <c r="E1571" s="1" t="s">
        <v>3625</v>
      </c>
      <c r="F1571" s="1" t="s">
        <v>6721</v>
      </c>
      <c r="G1571" s="6">
        <f>COUNTIF(F:F,Table2[[#This Row],[Form '#]])</f>
        <v>1</v>
      </c>
      <c r="H1571" s="1" t="s">
        <v>6722</v>
      </c>
      <c r="I1571" s="1" t="s">
        <v>127</v>
      </c>
      <c r="J1571" s="1" t="s">
        <v>74</v>
      </c>
      <c r="K1571" s="1" t="s">
        <v>4011</v>
      </c>
      <c r="L1571" s="1"/>
      <c r="M1571" s="6" t="str">
        <f>IF(Table2[[#This Row],[Corrected Form '#
 (If Duplicated)]]="",Table2[[#This Row],[Form '#]],Table2[[#This Row],[Corrected Form '#
 (If Duplicated)]])</f>
        <v>7815-00123</v>
      </c>
      <c r="N1571" s="1" t="s">
        <v>49</v>
      </c>
      <c r="O1571" s="6" t="str">
        <f>IF(Table2[[#This Row],[POG CONFIRMATION RECEIPT OF ORDER
(DATE &amp; TIME)]]="","No Confirmation","Received Confirmation")</f>
        <v>Received Confirmation</v>
      </c>
      <c r="P1571" s="6">
        <f ca="1">TODAY()-Table2[[#This Row],[DATE SENT TO POG]]</f>
        <v>143</v>
      </c>
      <c r="Q1571" s="6" t="s">
        <v>5803</v>
      </c>
      <c r="R15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1" s="2" t="str">
        <f>_xlfn.XLOOKUP(Table2[[#This Row],[Adjusted Form '#]],'[2]IN PROGRESS'!$D:$D,'[2]IN PROGRESS'!$M:$M,"Not Found")</f>
        <v>Not Found</v>
      </c>
      <c r="U1571" s="2" t="str">
        <f>_xlfn.XLOOKUP(Table2[[#This Row],[Adjusted Form '#]],[1]COMPLETED!$D:$D,[2]COMPLETED!$M:$M,"Not Found")</f>
        <v>Not Found</v>
      </c>
      <c r="V1571" s="17" t="str">
        <f>_xlfn.XLOOKUP(Table2[[#This Row],[Adjusted Form '#]],[2]COMPLETED!$D:$D,[2]COMPLETED!$O:$O,"Not Found")</f>
        <v>Not Found</v>
      </c>
      <c r="W1571" s="2" t="str">
        <f>_xlfn.XLOOKUP(Table2[[#This Row],[Adjusted Form '#]],[2]BILLED!$D:$D,[2]BILLED!$M:$M,"Not Found")</f>
        <v>9400 1361 0605 3314 4912 53</v>
      </c>
      <c r="X1571" s="17" t="e">
        <f>_xlfn.XLOOKUP(Table2[[#This Row],[Adjusted Form '#]],[2]BILLED!$D:$D,[1]BILLED!$O:$O,"Not Found")</f>
        <v>#REF!</v>
      </c>
      <c r="Y1571" s="17" t="e">
        <f>_xlfn.XLOOKUP(Table2[[#This Row],[Adjusted Form '#]],'[2]REJECTED ORDERS'!$D:$D,'[2]REJECTED ORDERS'!$E:$E)</f>
        <v>#N/A</v>
      </c>
      <c r="Z1571" s="1"/>
      <c r="AA1571" s="1"/>
    </row>
    <row r="1572" spans="1:27" ht="15" customHeight="1" x14ac:dyDescent="0.35">
      <c r="A1572" s="4" t="s">
        <v>2332</v>
      </c>
      <c r="B1572" s="1" t="s">
        <v>854</v>
      </c>
      <c r="C1572" s="11">
        <v>45160</v>
      </c>
      <c r="D1572" s="11" t="s">
        <v>6725</v>
      </c>
      <c r="E1572" s="1" t="s">
        <v>3625</v>
      </c>
      <c r="F1572" s="1" t="s">
        <v>6723</v>
      </c>
      <c r="G1572" s="6">
        <f>COUNTIF(F:F,Table2[[#This Row],[Form '#]])</f>
        <v>1</v>
      </c>
      <c r="H1572" s="1" t="s">
        <v>6724</v>
      </c>
      <c r="I1572" s="1" t="s">
        <v>3852</v>
      </c>
      <c r="J1572" s="1" t="s">
        <v>80</v>
      </c>
      <c r="K1572" s="1" t="s">
        <v>4430</v>
      </c>
      <c r="L1572" s="1"/>
      <c r="M1572" s="6" t="str">
        <f>IF(Table2[[#This Row],[Corrected Form '#
 (If Duplicated)]]="",Table2[[#This Row],[Form '#]],Table2[[#This Row],[Corrected Form '#
 (If Duplicated)]])</f>
        <v>7815-00120</v>
      </c>
      <c r="N1572" s="1" t="s">
        <v>49</v>
      </c>
      <c r="O1572" s="6" t="str">
        <f>IF(Table2[[#This Row],[POG CONFIRMATION RECEIPT OF ORDER
(DATE &amp; TIME)]]="","No Confirmation","Received Confirmation")</f>
        <v>Received Confirmation</v>
      </c>
      <c r="P1572" s="6">
        <f ca="1">TODAY()-Table2[[#This Row],[DATE SENT TO POG]]</f>
        <v>143</v>
      </c>
      <c r="Q1572" s="6" t="s">
        <v>5803</v>
      </c>
      <c r="R15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2" s="2" t="str">
        <f>_xlfn.XLOOKUP(Table2[[#This Row],[Adjusted Form '#]],'[2]IN PROGRESS'!$D:$D,'[2]IN PROGRESS'!$M:$M,"Not Found")</f>
        <v>Not Found</v>
      </c>
      <c r="U1572" s="2" t="str">
        <f>_xlfn.XLOOKUP(Table2[[#This Row],[Adjusted Form '#]],[1]COMPLETED!$D:$D,[2]COMPLETED!$M:$M,"Not Found")</f>
        <v>Not Found</v>
      </c>
      <c r="V1572" s="17" t="str">
        <f>_xlfn.XLOOKUP(Table2[[#This Row],[Adjusted Form '#]],[2]COMPLETED!$D:$D,[2]COMPLETED!$O:$O,"Not Found")</f>
        <v>Not Found</v>
      </c>
      <c r="W1572" s="2" t="str">
        <f>_xlfn.XLOOKUP(Table2[[#This Row],[Adjusted Form '#]],[2]BILLED!$D:$D,[2]BILLED!$M:$M,"Not Found")</f>
        <v>9400 1361 0605 3316 2142 01</v>
      </c>
      <c r="X1572" s="17" t="e">
        <f>_xlfn.XLOOKUP(Table2[[#This Row],[Adjusted Form '#]],[2]BILLED!$D:$D,[1]BILLED!$O:$O,"Not Found")</f>
        <v>#REF!</v>
      </c>
      <c r="Y1572" s="17" t="e">
        <f>_xlfn.XLOOKUP(Table2[[#This Row],[Adjusted Form '#]],'[2]REJECTED ORDERS'!$D:$D,'[2]REJECTED ORDERS'!$E:$E)</f>
        <v>#N/A</v>
      </c>
      <c r="Z1572" s="1"/>
      <c r="AA1572" s="1"/>
    </row>
    <row r="1573" spans="1:27" ht="15" customHeight="1" x14ac:dyDescent="0.35">
      <c r="A1573" s="4" t="s">
        <v>2333</v>
      </c>
      <c r="B1573" s="1" t="s">
        <v>337</v>
      </c>
      <c r="C1573" s="11">
        <v>45161</v>
      </c>
      <c r="D1573" s="11" t="s">
        <v>6729</v>
      </c>
      <c r="E1573" s="1" t="s">
        <v>14</v>
      </c>
      <c r="F1573" s="1" t="s">
        <v>3393</v>
      </c>
      <c r="G1573" s="6">
        <f>COUNTIF(F:F,Table2[[#This Row],[Form '#]])</f>
        <v>1</v>
      </c>
      <c r="H1573" s="1" t="s">
        <v>3492</v>
      </c>
      <c r="I1573" s="1" t="s">
        <v>127</v>
      </c>
      <c r="J1573" s="1" t="s">
        <v>74</v>
      </c>
      <c r="K1573" s="1" t="s">
        <v>3891</v>
      </c>
      <c r="L1573" s="1"/>
      <c r="M1573" s="6" t="str">
        <f>IF(Table2[[#This Row],[Corrected Form '#
 (If Duplicated)]]="",Table2[[#This Row],[Form '#]],Table2[[#This Row],[Corrected Form '#
 (If Duplicated)]])</f>
        <v>7810-02131</v>
      </c>
      <c r="N1573" s="1" t="s">
        <v>49</v>
      </c>
      <c r="O1573" s="6" t="str">
        <f>IF(Table2[[#This Row],[POG CONFIRMATION RECEIPT OF ORDER
(DATE &amp; TIME)]]="","No Confirmation","Received Confirmation")</f>
        <v>Received Confirmation</v>
      </c>
      <c r="P1573" s="6">
        <f ca="1">TODAY()-Table2[[#This Row],[DATE SENT TO POG]]</f>
        <v>142</v>
      </c>
      <c r="Q1573" s="6" t="s">
        <v>5803</v>
      </c>
      <c r="R15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3" s="2" t="str">
        <f>_xlfn.XLOOKUP(Table2[[#This Row],[Adjusted Form '#]],'[2]IN PROGRESS'!$D:$D,'[2]IN PROGRESS'!$M:$M,"Not Found")</f>
        <v>Not Found</v>
      </c>
      <c r="U1573" s="2" t="str">
        <f>_xlfn.XLOOKUP(Table2[[#This Row],[Adjusted Form '#]],[1]COMPLETED!$D:$D,[2]COMPLETED!$M:$M,"Not Found")</f>
        <v>Not Found</v>
      </c>
      <c r="V1573" s="17" t="str">
        <f>_xlfn.XLOOKUP(Table2[[#This Row],[Adjusted Form '#]],[2]COMPLETED!$D:$D,[2]COMPLETED!$O:$O,"Not Found")</f>
        <v>Not Found</v>
      </c>
      <c r="W1573" s="2" t="str">
        <f>_xlfn.XLOOKUP(Table2[[#This Row],[Adjusted Form '#]],[2]BILLED!$D:$D,[2]BILLED!$M:$M,"Not Found")</f>
        <v>9400 1361 0605 3292 7457 68</v>
      </c>
      <c r="X1573" s="17" t="e">
        <f>_xlfn.XLOOKUP(Table2[[#This Row],[Adjusted Form '#]],[2]BILLED!$D:$D,[1]BILLED!$O:$O,"Not Found")</f>
        <v>#REF!</v>
      </c>
      <c r="Y1573" s="17" t="e">
        <f>_xlfn.XLOOKUP(Table2[[#This Row],[Adjusted Form '#]],'[2]REJECTED ORDERS'!$D:$D,'[2]REJECTED ORDERS'!$E:$E)</f>
        <v>#N/A</v>
      </c>
      <c r="Z1573" s="1"/>
      <c r="AA1573" s="1"/>
    </row>
    <row r="1574" spans="1:27" ht="15" customHeight="1" x14ac:dyDescent="0.35">
      <c r="A1574" s="4" t="s">
        <v>2334</v>
      </c>
      <c r="B1574" s="1" t="s">
        <v>337</v>
      </c>
      <c r="C1574" s="11">
        <v>45161</v>
      </c>
      <c r="D1574" s="11" t="s">
        <v>6729</v>
      </c>
      <c r="E1574" s="1" t="s">
        <v>14</v>
      </c>
      <c r="F1574" s="1" t="s">
        <v>6728</v>
      </c>
      <c r="G1574" s="6">
        <f>COUNTIF(F:F,Table2[[#This Row],[Form '#]])</f>
        <v>1</v>
      </c>
      <c r="H1574" s="1" t="s">
        <v>6683</v>
      </c>
      <c r="I1574" s="1" t="s">
        <v>3852</v>
      </c>
      <c r="J1574" s="1" t="s">
        <v>80</v>
      </c>
      <c r="K1574" s="1" t="s">
        <v>3853</v>
      </c>
      <c r="L1574" s="1"/>
      <c r="M1574" s="6" t="str">
        <f>IF(Table2[[#This Row],[Corrected Form '#
 (If Duplicated)]]="",Table2[[#This Row],[Form '#]],Table2[[#This Row],[Corrected Form '#
 (If Duplicated)]])</f>
        <v>7810-02132</v>
      </c>
      <c r="N1574" s="1" t="s">
        <v>49</v>
      </c>
      <c r="O1574" s="6" t="str">
        <f>IF(Table2[[#This Row],[POG CONFIRMATION RECEIPT OF ORDER
(DATE &amp; TIME)]]="","No Confirmation","Received Confirmation")</f>
        <v>Received Confirmation</v>
      </c>
      <c r="P1574" s="6">
        <f ca="1">TODAY()-Table2[[#This Row],[DATE SENT TO POG]]</f>
        <v>142</v>
      </c>
      <c r="Q1574" s="6" t="s">
        <v>5803</v>
      </c>
      <c r="R15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4" s="2" t="str">
        <f>_xlfn.XLOOKUP(Table2[[#This Row],[Adjusted Form '#]],'[2]IN PROGRESS'!$D:$D,'[2]IN PROGRESS'!$M:$M,"Not Found")</f>
        <v>Not Found</v>
      </c>
      <c r="U1574" s="2" t="str">
        <f>_xlfn.XLOOKUP(Table2[[#This Row],[Adjusted Form '#]],[1]COMPLETED!$D:$D,[2]COMPLETED!$M:$M,"Not Found")</f>
        <v>Not Found</v>
      </c>
      <c r="V1574" s="17" t="str">
        <f>_xlfn.XLOOKUP(Table2[[#This Row],[Adjusted Form '#]],[2]COMPLETED!$D:$D,[2]COMPLETED!$O:$O,"Not Found")</f>
        <v>Not Found</v>
      </c>
      <c r="W1574" s="2" t="str">
        <f>_xlfn.XLOOKUP(Table2[[#This Row],[Adjusted Form '#]],[2]BILLED!$D:$D,[2]BILLED!$M:$M,"Not Found")</f>
        <v>9400 1361 0605 3294 4944 11</v>
      </c>
      <c r="X1574" s="17" t="e">
        <f>_xlfn.XLOOKUP(Table2[[#This Row],[Adjusted Form '#]],[2]BILLED!$D:$D,[1]BILLED!$O:$O,"Not Found")</f>
        <v>#REF!</v>
      </c>
      <c r="Y1574" s="17" t="e">
        <f>_xlfn.XLOOKUP(Table2[[#This Row],[Adjusted Form '#]],'[2]REJECTED ORDERS'!$D:$D,'[2]REJECTED ORDERS'!$E:$E)</f>
        <v>#N/A</v>
      </c>
      <c r="Z1574" s="1"/>
      <c r="AA1574" s="1"/>
    </row>
    <row r="1575" spans="1:27" ht="15" customHeight="1" x14ac:dyDescent="0.35">
      <c r="A1575" s="4" t="s">
        <v>2336</v>
      </c>
      <c r="B1575" s="1" t="s">
        <v>689</v>
      </c>
      <c r="C1575" s="11">
        <v>45161</v>
      </c>
      <c r="D1575" s="11" t="s">
        <v>6742</v>
      </c>
      <c r="E1575" s="1" t="s">
        <v>14</v>
      </c>
      <c r="F1575" s="1" t="s">
        <v>6726</v>
      </c>
      <c r="G1575" s="6">
        <f>COUNTIF(F:F,Table2[[#This Row],[Form '#]])</f>
        <v>1</v>
      </c>
      <c r="H1575" s="1" t="s">
        <v>1485</v>
      </c>
      <c r="I1575" s="1" t="s">
        <v>127</v>
      </c>
      <c r="J1575" s="1" t="s">
        <v>71</v>
      </c>
      <c r="K1575" s="1" t="s">
        <v>3883</v>
      </c>
      <c r="L1575" s="1"/>
      <c r="M1575" s="6" t="str">
        <f>IF(Table2[[#This Row],[Corrected Form '#
 (If Duplicated)]]="",Table2[[#This Row],[Form '#]],Table2[[#This Row],[Corrected Form '#
 (If Duplicated)]])</f>
        <v>7810-01199</v>
      </c>
      <c r="N1575" s="1" t="s">
        <v>49</v>
      </c>
      <c r="O1575" s="6" t="str">
        <f>IF(Table2[[#This Row],[POG CONFIRMATION RECEIPT OF ORDER
(DATE &amp; TIME)]]="","No Confirmation","Received Confirmation")</f>
        <v>Received Confirmation</v>
      </c>
      <c r="P1575" s="6">
        <f ca="1">TODAY()-Table2[[#This Row],[DATE SENT TO POG]]</f>
        <v>142</v>
      </c>
      <c r="Q1575" s="6" t="s">
        <v>5803</v>
      </c>
      <c r="R15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5" s="2" t="str">
        <f>_xlfn.XLOOKUP(Table2[[#This Row],[Adjusted Form '#]],'[2]IN PROGRESS'!$D:$D,'[2]IN PROGRESS'!$M:$M,"Not Found")</f>
        <v>Not Found</v>
      </c>
      <c r="U1575" s="2" t="str">
        <f>_xlfn.XLOOKUP(Table2[[#This Row],[Adjusted Form '#]],[1]COMPLETED!$D:$D,[2]COMPLETED!$M:$M,"Not Found")</f>
        <v>Not Found</v>
      </c>
      <c r="V1575" s="17" t="str">
        <f>_xlfn.XLOOKUP(Table2[[#This Row],[Adjusted Form '#]],[2]COMPLETED!$D:$D,[2]COMPLETED!$O:$O,"Not Found")</f>
        <v>Not Found</v>
      </c>
      <c r="W1575" s="2" t="str">
        <f>_xlfn.XLOOKUP(Table2[[#This Row],[Adjusted Form '#]],[2]BILLED!$D:$D,[2]BILLED!$M:$M,"Not Found")</f>
        <v>9400 1361 0605 3351 4682 63</v>
      </c>
      <c r="X1575" s="17" t="e">
        <f>_xlfn.XLOOKUP(Table2[[#This Row],[Adjusted Form '#]],[2]BILLED!$D:$D,[1]BILLED!$O:$O,"Not Found")</f>
        <v>#REF!</v>
      </c>
      <c r="Y1575" s="17" t="e">
        <f>_xlfn.XLOOKUP(Table2[[#This Row],[Adjusted Form '#]],'[2]REJECTED ORDERS'!$D:$D,'[2]REJECTED ORDERS'!$E:$E)</f>
        <v>#N/A</v>
      </c>
      <c r="Z1575" s="1"/>
      <c r="AA1575" s="1"/>
    </row>
    <row r="1576" spans="1:27" ht="15" customHeight="1" x14ac:dyDescent="0.35">
      <c r="A1576" s="4" t="s">
        <v>2337</v>
      </c>
      <c r="B1576" s="1" t="s">
        <v>689</v>
      </c>
      <c r="C1576" s="11">
        <v>45161</v>
      </c>
      <c r="D1576" s="11" t="s">
        <v>6742</v>
      </c>
      <c r="E1576" s="1" t="s">
        <v>14</v>
      </c>
      <c r="F1576" s="1" t="s">
        <v>6727</v>
      </c>
      <c r="G1576" s="6">
        <f>COUNTIF(F:F,Table2[[#This Row],[Form '#]])</f>
        <v>1</v>
      </c>
      <c r="H1576" s="1" t="s">
        <v>1217</v>
      </c>
      <c r="I1576" s="1" t="s">
        <v>3852</v>
      </c>
      <c r="J1576" s="1" t="s">
        <v>80</v>
      </c>
      <c r="K1576" s="1" t="s">
        <v>3853</v>
      </c>
      <c r="L1576" s="1"/>
      <c r="M1576" s="6" t="str">
        <f>IF(Table2[[#This Row],[Corrected Form '#
 (If Duplicated)]]="",Table2[[#This Row],[Form '#]],Table2[[#This Row],[Corrected Form '#
 (If Duplicated)]])</f>
        <v>7810-01664</v>
      </c>
      <c r="N1576" s="1" t="s">
        <v>49</v>
      </c>
      <c r="O1576" s="6" t="str">
        <f>IF(Table2[[#This Row],[POG CONFIRMATION RECEIPT OF ORDER
(DATE &amp; TIME)]]="","No Confirmation","Received Confirmation")</f>
        <v>Received Confirmation</v>
      </c>
      <c r="P1576" s="6">
        <f ca="1">TODAY()-Table2[[#This Row],[DATE SENT TO POG]]</f>
        <v>142</v>
      </c>
      <c r="Q1576" s="6" t="s">
        <v>5803</v>
      </c>
      <c r="R15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6" s="2" t="str">
        <f>_xlfn.XLOOKUP(Table2[[#This Row],[Adjusted Form '#]],'[2]IN PROGRESS'!$D:$D,'[2]IN PROGRESS'!$M:$M,"Not Found")</f>
        <v>Not Found</v>
      </c>
      <c r="U1576" s="2" t="str">
        <f>_xlfn.XLOOKUP(Table2[[#This Row],[Adjusted Form '#]],[1]COMPLETED!$D:$D,[2]COMPLETED!$M:$M,"Not Found")</f>
        <v>Not Found</v>
      </c>
      <c r="V1576" s="17" t="str">
        <f>_xlfn.XLOOKUP(Table2[[#This Row],[Adjusted Form '#]],[2]COMPLETED!$D:$D,[2]COMPLETED!$O:$O,"Not Found")</f>
        <v>Not Found</v>
      </c>
      <c r="W1576" s="2" t="str">
        <f>_xlfn.XLOOKUP(Table2[[#This Row],[Adjusted Form '#]],[2]BILLED!$D:$D,[2]BILLED!$M:$M,"Not Found")</f>
        <v>9400 1112 0620 9507 1841 36</v>
      </c>
      <c r="X1576" s="17" t="e">
        <f>_xlfn.XLOOKUP(Table2[[#This Row],[Adjusted Form '#]],[2]BILLED!$D:$D,[1]BILLED!$O:$O,"Not Found")</f>
        <v>#REF!</v>
      </c>
      <c r="Y1576" s="17" t="e">
        <f>_xlfn.XLOOKUP(Table2[[#This Row],[Adjusted Form '#]],'[2]REJECTED ORDERS'!$D:$D,'[2]REJECTED ORDERS'!$E:$E)</f>
        <v>#N/A</v>
      </c>
      <c r="Z1576" s="1"/>
      <c r="AA1576" s="1"/>
    </row>
    <row r="1577" spans="1:27" ht="15" customHeight="1" x14ac:dyDescent="0.35">
      <c r="A1577" s="4" t="s">
        <v>2338</v>
      </c>
      <c r="B1577" s="1" t="s">
        <v>3474</v>
      </c>
      <c r="C1577" s="11">
        <v>45161</v>
      </c>
      <c r="D1577" s="11" t="s">
        <v>6734</v>
      </c>
      <c r="E1577" s="1" t="s">
        <v>21</v>
      </c>
      <c r="F1577" s="1" t="s">
        <v>6730</v>
      </c>
      <c r="G1577" s="6">
        <f>COUNTIF(F:F,Table2[[#This Row],[Form '#]])</f>
        <v>1</v>
      </c>
      <c r="H1577" s="1" t="s">
        <v>6731</v>
      </c>
      <c r="I1577" s="1" t="s">
        <v>3852</v>
      </c>
      <c r="J1577" s="1" t="s">
        <v>75</v>
      </c>
      <c r="K1577" s="1" t="s">
        <v>3853</v>
      </c>
      <c r="L1577" s="1"/>
      <c r="M1577" s="6" t="str">
        <f>IF(Table2[[#This Row],[Corrected Form '#
 (If Duplicated)]]="",Table2[[#This Row],[Form '#]],Table2[[#This Row],[Corrected Form '#
 (If Duplicated)]])</f>
        <v>7818-23604</v>
      </c>
      <c r="N1577" s="1" t="s">
        <v>49</v>
      </c>
      <c r="O1577" s="6" t="str">
        <f>IF(Table2[[#This Row],[POG CONFIRMATION RECEIPT OF ORDER
(DATE &amp; TIME)]]="","No Confirmation","Received Confirmation")</f>
        <v>Received Confirmation</v>
      </c>
      <c r="P1577" s="6">
        <f ca="1">TODAY()-Table2[[#This Row],[DATE SENT TO POG]]</f>
        <v>142</v>
      </c>
      <c r="Q1577" s="6" t="s">
        <v>5803</v>
      </c>
      <c r="R15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7" s="2" t="str">
        <f>_xlfn.XLOOKUP(Table2[[#This Row],[Adjusted Form '#]],'[2]IN PROGRESS'!$D:$D,'[2]IN PROGRESS'!$M:$M,"Not Found")</f>
        <v>Not Found</v>
      </c>
      <c r="U1577" s="2" t="str">
        <f>_xlfn.XLOOKUP(Table2[[#This Row],[Adjusted Form '#]],[1]COMPLETED!$D:$D,[2]COMPLETED!$M:$M,"Not Found")</f>
        <v>Not Found</v>
      </c>
      <c r="V1577" s="17" t="str">
        <f>_xlfn.XLOOKUP(Table2[[#This Row],[Adjusted Form '#]],[2]COMPLETED!$D:$D,[2]COMPLETED!$O:$O,"Not Found")</f>
        <v>Not Found</v>
      </c>
      <c r="W1577" s="2" t="str">
        <f>_xlfn.XLOOKUP(Table2[[#This Row],[Adjusted Form '#]],[2]BILLED!$D:$D,[2]BILLED!$M:$M,"Not Found")</f>
        <v>9400 1361 0605 3330 6349 48</v>
      </c>
      <c r="X1577" s="17" t="e">
        <f>_xlfn.XLOOKUP(Table2[[#This Row],[Adjusted Form '#]],[2]BILLED!$D:$D,[1]BILLED!$O:$O,"Not Found")</f>
        <v>#REF!</v>
      </c>
      <c r="Y1577" s="17" t="e">
        <f>_xlfn.XLOOKUP(Table2[[#This Row],[Adjusted Form '#]],'[2]REJECTED ORDERS'!$D:$D,'[2]REJECTED ORDERS'!$E:$E)</f>
        <v>#N/A</v>
      </c>
      <c r="Z1577" s="1"/>
      <c r="AA1577" s="1"/>
    </row>
    <row r="1578" spans="1:27" ht="15" customHeight="1" x14ac:dyDescent="0.35">
      <c r="A1578" s="4" t="s">
        <v>2339</v>
      </c>
      <c r="B1578" s="1" t="s">
        <v>1591</v>
      </c>
      <c r="C1578" s="11">
        <v>45161</v>
      </c>
      <c r="D1578" s="11" t="s">
        <v>6735</v>
      </c>
      <c r="E1578" s="1" t="s">
        <v>21</v>
      </c>
      <c r="F1578" s="1" t="s">
        <v>6732</v>
      </c>
      <c r="G1578" s="6">
        <f>COUNTIF(F:F,Table2[[#This Row],[Form '#]])</f>
        <v>1</v>
      </c>
      <c r="H1578" s="1" t="s">
        <v>927</v>
      </c>
      <c r="I1578" s="1" t="s">
        <v>127</v>
      </c>
      <c r="J1578" s="1" t="s">
        <v>74</v>
      </c>
      <c r="K1578" s="1" t="s">
        <v>3883</v>
      </c>
      <c r="L1578" s="1"/>
      <c r="M1578" s="6" t="str">
        <f>IF(Table2[[#This Row],[Corrected Form '#
 (If Duplicated)]]="",Table2[[#This Row],[Form '#]],Table2[[#This Row],[Corrected Form '#
 (If Duplicated)]])</f>
        <v>7818-26553</v>
      </c>
      <c r="N1578" s="1" t="s">
        <v>49</v>
      </c>
      <c r="O1578" s="6" t="str">
        <f>IF(Table2[[#This Row],[POG CONFIRMATION RECEIPT OF ORDER
(DATE &amp; TIME)]]="","No Confirmation","Received Confirmation")</f>
        <v>Received Confirmation</v>
      </c>
      <c r="P1578" s="6">
        <f ca="1">TODAY()-Table2[[#This Row],[DATE SENT TO POG]]</f>
        <v>142</v>
      </c>
      <c r="Q1578" s="6" t="s">
        <v>5803</v>
      </c>
      <c r="R15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8" s="2" t="str">
        <f>_xlfn.XLOOKUP(Table2[[#This Row],[Adjusted Form '#]],'[2]IN PROGRESS'!$D:$D,'[2]IN PROGRESS'!$M:$M,"Not Found")</f>
        <v>Not Found</v>
      </c>
      <c r="U1578" s="2" t="str">
        <f>_xlfn.XLOOKUP(Table2[[#This Row],[Adjusted Form '#]],[1]COMPLETED!$D:$D,[2]COMPLETED!$M:$M,"Not Found")</f>
        <v>Not Found</v>
      </c>
      <c r="V1578" s="17" t="str">
        <f>_xlfn.XLOOKUP(Table2[[#This Row],[Adjusted Form '#]],[2]COMPLETED!$D:$D,[2]COMPLETED!$O:$O,"Not Found")</f>
        <v>Not Found</v>
      </c>
      <c r="W1578" s="2" t="str">
        <f>_xlfn.XLOOKUP(Table2[[#This Row],[Adjusted Form '#]],[2]BILLED!$D:$D,[2]BILLED!$M:$M,"Not Found")</f>
        <v>9400 1361 0605 3314 7630 46</v>
      </c>
      <c r="X1578" s="17" t="e">
        <f>_xlfn.XLOOKUP(Table2[[#This Row],[Adjusted Form '#]],[2]BILLED!$D:$D,[1]BILLED!$O:$O,"Not Found")</f>
        <v>#REF!</v>
      </c>
      <c r="Y1578" s="17" t="e">
        <f>_xlfn.XLOOKUP(Table2[[#This Row],[Adjusted Form '#]],'[2]REJECTED ORDERS'!$D:$D,'[2]REJECTED ORDERS'!$E:$E)</f>
        <v>#N/A</v>
      </c>
      <c r="Z1578" s="1"/>
      <c r="AA1578" s="1"/>
    </row>
    <row r="1579" spans="1:27" ht="15" customHeight="1" x14ac:dyDescent="0.35">
      <c r="A1579" s="4" t="s">
        <v>2340</v>
      </c>
      <c r="B1579" s="1" t="s">
        <v>2766</v>
      </c>
      <c r="C1579" s="11">
        <v>45161</v>
      </c>
      <c r="D1579" s="11" t="s">
        <v>6735</v>
      </c>
      <c r="E1579" s="1" t="s">
        <v>21</v>
      </c>
      <c r="F1579" s="1" t="s">
        <v>6733</v>
      </c>
      <c r="G1579" s="6">
        <f>COUNTIF(F:F,Table2[[#This Row],[Form '#]])</f>
        <v>1</v>
      </c>
      <c r="H1579" s="1" t="s">
        <v>1059</v>
      </c>
      <c r="I1579" s="1" t="s">
        <v>127</v>
      </c>
      <c r="J1579" s="1" t="s">
        <v>75</v>
      </c>
      <c r="K1579" s="1" t="s">
        <v>3891</v>
      </c>
      <c r="L1579" s="1"/>
      <c r="M1579" s="6" t="str">
        <f>IF(Table2[[#This Row],[Corrected Form '#
 (If Duplicated)]]="",Table2[[#This Row],[Form '#]],Table2[[#This Row],[Corrected Form '#
 (If Duplicated)]])</f>
        <v>7818-18232</v>
      </c>
      <c r="N1579" s="1" t="s">
        <v>49</v>
      </c>
      <c r="O1579" s="6" t="str">
        <f>IF(Table2[[#This Row],[POG CONFIRMATION RECEIPT OF ORDER
(DATE &amp; TIME)]]="","No Confirmation","Received Confirmation")</f>
        <v>Received Confirmation</v>
      </c>
      <c r="P1579" s="6">
        <f ca="1">TODAY()-Table2[[#This Row],[DATE SENT TO POG]]</f>
        <v>142</v>
      </c>
      <c r="Q1579" s="6" t="s">
        <v>5803</v>
      </c>
      <c r="R15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79" s="2" t="str">
        <f>_xlfn.XLOOKUP(Table2[[#This Row],[Adjusted Form '#]],'[2]IN PROGRESS'!$D:$D,'[2]IN PROGRESS'!$M:$M,"Not Found")</f>
        <v>Not Found</v>
      </c>
      <c r="U1579" s="2" t="str">
        <f>_xlfn.XLOOKUP(Table2[[#This Row],[Adjusted Form '#]],[1]COMPLETED!$D:$D,[2]COMPLETED!$M:$M,"Not Found")</f>
        <v>Not Found</v>
      </c>
      <c r="V1579" s="17" t="str">
        <f>_xlfn.XLOOKUP(Table2[[#This Row],[Adjusted Form '#]],[2]COMPLETED!$D:$D,[2]COMPLETED!$O:$O,"Not Found")</f>
        <v>Not Found</v>
      </c>
      <c r="W1579" s="2" t="str">
        <f>_xlfn.XLOOKUP(Table2[[#This Row],[Adjusted Form '#]],[2]BILLED!$D:$D,[2]BILLED!$M:$M,"Not Found")</f>
        <v>9400 1361 0605 3294 4952 58</v>
      </c>
      <c r="X1579" s="17" t="e">
        <f>_xlfn.XLOOKUP(Table2[[#This Row],[Adjusted Form '#]],[2]BILLED!$D:$D,[1]BILLED!$O:$O,"Not Found")</f>
        <v>#REF!</v>
      </c>
      <c r="Y1579" s="17" t="e">
        <f>_xlfn.XLOOKUP(Table2[[#This Row],[Adjusted Form '#]],'[2]REJECTED ORDERS'!$D:$D,'[2]REJECTED ORDERS'!$E:$E)</f>
        <v>#N/A</v>
      </c>
      <c r="Z1579" s="1"/>
      <c r="AA1579" s="1"/>
    </row>
    <row r="1580" spans="1:27" ht="15" customHeight="1" x14ac:dyDescent="0.35">
      <c r="A1580" s="4" t="s">
        <v>2341</v>
      </c>
      <c r="B1580" s="1" t="s">
        <v>2424</v>
      </c>
      <c r="C1580" s="11">
        <v>45162</v>
      </c>
      <c r="D1580" s="11" t="s">
        <v>6741</v>
      </c>
      <c r="E1580" s="1" t="s">
        <v>21</v>
      </c>
      <c r="F1580" s="1" t="s">
        <v>6736</v>
      </c>
      <c r="G1580" s="6">
        <f>COUNTIF(F:F,Table2[[#This Row],[Form '#]])</f>
        <v>1</v>
      </c>
      <c r="H1580" s="1" t="s">
        <v>155</v>
      </c>
      <c r="I1580" s="1" t="s">
        <v>3864</v>
      </c>
      <c r="J1580" s="1" t="s">
        <v>78</v>
      </c>
      <c r="K1580" s="1" t="s">
        <v>3879</v>
      </c>
      <c r="L1580" s="1"/>
      <c r="M1580" s="6" t="str">
        <f>IF(Table2[[#This Row],[Corrected Form '#
 (If Duplicated)]]="",Table2[[#This Row],[Form '#]],Table2[[#This Row],[Corrected Form '#
 (If Duplicated)]])</f>
        <v>7818-22423</v>
      </c>
      <c r="N1580" s="1" t="s">
        <v>49</v>
      </c>
      <c r="O1580" s="6" t="str">
        <f>IF(Table2[[#This Row],[POG CONFIRMATION RECEIPT OF ORDER
(DATE &amp; TIME)]]="","No Confirmation","Received Confirmation")</f>
        <v>Received Confirmation</v>
      </c>
      <c r="P1580" s="6">
        <f ca="1">TODAY()-Table2[[#This Row],[DATE SENT TO POG]]</f>
        <v>141</v>
      </c>
      <c r="Q1580" s="6" t="s">
        <v>5803</v>
      </c>
      <c r="R15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0" s="2" t="str">
        <f>_xlfn.XLOOKUP(Table2[[#This Row],[Adjusted Form '#]],'[2]IN PROGRESS'!$D:$D,'[2]IN PROGRESS'!$M:$M,"Not Found")</f>
        <v>Not Found</v>
      </c>
      <c r="U1580" s="2" t="str">
        <f>_xlfn.XLOOKUP(Table2[[#This Row],[Adjusted Form '#]],[1]COMPLETED!$D:$D,[2]COMPLETED!$M:$M,"Not Found")</f>
        <v>Not Found</v>
      </c>
      <c r="V1580" s="17" t="str">
        <f>_xlfn.XLOOKUP(Table2[[#This Row],[Adjusted Form '#]],[2]COMPLETED!$D:$D,[2]COMPLETED!$O:$O,"Not Found")</f>
        <v>Not Found</v>
      </c>
      <c r="W1580" s="2" t="str">
        <f>_xlfn.XLOOKUP(Table2[[#This Row],[Adjusted Form '#]],[2]BILLED!$D:$D,[2]BILLED!$M:$M,"Not Found")</f>
        <v>9400 1361 0605 3312 5308 00</v>
      </c>
      <c r="X1580" s="17" t="e">
        <f>_xlfn.XLOOKUP(Table2[[#This Row],[Adjusted Form '#]],[2]BILLED!$D:$D,[1]BILLED!$O:$O,"Not Found")</f>
        <v>#REF!</v>
      </c>
      <c r="Y1580" s="17" t="e">
        <f>_xlfn.XLOOKUP(Table2[[#This Row],[Adjusted Form '#]],'[2]REJECTED ORDERS'!$D:$D,'[2]REJECTED ORDERS'!$E:$E)</f>
        <v>#N/A</v>
      </c>
      <c r="Z1580" s="1"/>
      <c r="AA1580" s="1"/>
    </row>
    <row r="1581" spans="1:27" ht="15" customHeight="1" x14ac:dyDescent="0.35">
      <c r="A1581" s="4" t="s">
        <v>2342</v>
      </c>
      <c r="B1581" s="1" t="s">
        <v>2424</v>
      </c>
      <c r="C1581" s="11">
        <v>45162</v>
      </c>
      <c r="D1581" s="11" t="s">
        <v>6741</v>
      </c>
      <c r="E1581" s="1" t="s">
        <v>21</v>
      </c>
      <c r="F1581" s="1" t="s">
        <v>6737</v>
      </c>
      <c r="G1581" s="6">
        <f>COUNTIF(F:F,Table2[[#This Row],[Form '#]])</f>
        <v>1</v>
      </c>
      <c r="H1581" s="1" t="s">
        <v>6738</v>
      </c>
      <c r="I1581" s="1" t="s">
        <v>127</v>
      </c>
      <c r="J1581" s="1" t="s">
        <v>71</v>
      </c>
      <c r="K1581" s="1" t="s">
        <v>3883</v>
      </c>
      <c r="L1581" s="1"/>
      <c r="M1581" s="6" t="str">
        <f>IF(Table2[[#This Row],[Corrected Form '#
 (If Duplicated)]]="",Table2[[#This Row],[Form '#]],Table2[[#This Row],[Corrected Form '#
 (If Duplicated)]])</f>
        <v>7818-28420</v>
      </c>
      <c r="N1581" s="1" t="s">
        <v>49</v>
      </c>
      <c r="O1581" s="6" t="str">
        <f>IF(Table2[[#This Row],[POG CONFIRMATION RECEIPT OF ORDER
(DATE &amp; TIME)]]="","No Confirmation","Received Confirmation")</f>
        <v>Received Confirmation</v>
      </c>
      <c r="P1581" s="6">
        <f ca="1">TODAY()-Table2[[#This Row],[DATE SENT TO POG]]</f>
        <v>141</v>
      </c>
      <c r="Q1581" s="6" t="s">
        <v>5803</v>
      </c>
      <c r="R15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1" s="2" t="str">
        <f>_xlfn.XLOOKUP(Table2[[#This Row],[Adjusted Form '#]],'[2]IN PROGRESS'!$D:$D,'[2]IN PROGRESS'!$M:$M,"Not Found")</f>
        <v>Not Found</v>
      </c>
      <c r="U1581" s="2" t="str">
        <f>_xlfn.XLOOKUP(Table2[[#This Row],[Adjusted Form '#]],[1]COMPLETED!$D:$D,[2]COMPLETED!$M:$M,"Not Found")</f>
        <v>Not Found</v>
      </c>
      <c r="V1581" s="17" t="str">
        <f>_xlfn.XLOOKUP(Table2[[#This Row],[Adjusted Form '#]],[2]COMPLETED!$D:$D,[2]COMPLETED!$O:$O,"Not Found")</f>
        <v>Not Found</v>
      </c>
      <c r="W1581" s="2" t="str">
        <f>_xlfn.XLOOKUP(Table2[[#This Row],[Adjusted Form '#]],[2]BILLED!$D:$D,[2]BILLED!$M:$M,"Not Found")</f>
        <v>9400 1361 0605 3314 6295 40</v>
      </c>
      <c r="X1581" s="17" t="e">
        <f>_xlfn.XLOOKUP(Table2[[#This Row],[Adjusted Form '#]],[2]BILLED!$D:$D,[1]BILLED!$O:$O,"Not Found")</f>
        <v>#REF!</v>
      </c>
      <c r="Y1581" s="17" t="e">
        <f>_xlfn.XLOOKUP(Table2[[#This Row],[Adjusted Form '#]],'[2]REJECTED ORDERS'!$D:$D,'[2]REJECTED ORDERS'!$E:$E)</f>
        <v>#N/A</v>
      </c>
      <c r="Z1581" s="1"/>
      <c r="AA1581" s="1"/>
    </row>
    <row r="1582" spans="1:27" ht="15" customHeight="1" x14ac:dyDescent="0.35">
      <c r="A1582" s="4" t="s">
        <v>2343</v>
      </c>
      <c r="B1582" s="1" t="s">
        <v>3582</v>
      </c>
      <c r="C1582" s="11">
        <v>45162</v>
      </c>
      <c r="D1582" s="11" t="s">
        <v>6743</v>
      </c>
      <c r="E1582" s="1" t="s">
        <v>14</v>
      </c>
      <c r="F1582" s="1" t="s">
        <v>6739</v>
      </c>
      <c r="G1582" s="6">
        <f>COUNTIF(F:F,Table2[[#This Row],[Form '#]])</f>
        <v>1</v>
      </c>
      <c r="H1582" s="1" t="s">
        <v>6740</v>
      </c>
      <c r="I1582" s="1" t="s">
        <v>127</v>
      </c>
      <c r="J1582" s="1" t="s">
        <v>76</v>
      </c>
      <c r="K1582" s="1" t="s">
        <v>3883</v>
      </c>
      <c r="L1582" s="1"/>
      <c r="M1582" s="6" t="str">
        <f>IF(Table2[[#This Row],[Corrected Form '#
 (If Duplicated)]]="",Table2[[#This Row],[Form '#]],Table2[[#This Row],[Corrected Form '#
 (If Duplicated)]])</f>
        <v>7810-02119</v>
      </c>
      <c r="N1582" s="1" t="s">
        <v>49</v>
      </c>
      <c r="O1582" s="6" t="str">
        <f>IF(Table2[[#This Row],[POG CONFIRMATION RECEIPT OF ORDER
(DATE &amp; TIME)]]="","No Confirmation","Received Confirmation")</f>
        <v>Received Confirmation</v>
      </c>
      <c r="P1582" s="6">
        <f ca="1">TODAY()-Table2[[#This Row],[DATE SENT TO POG]]</f>
        <v>141</v>
      </c>
      <c r="Q1582" s="6" t="s">
        <v>5803</v>
      </c>
      <c r="R15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2" s="2" t="str">
        <f>_xlfn.XLOOKUP(Table2[[#This Row],[Adjusted Form '#]],'[2]IN PROGRESS'!$D:$D,'[2]IN PROGRESS'!$M:$M,"Not Found")</f>
        <v>Not Found</v>
      </c>
      <c r="U1582" s="2" t="str">
        <f>_xlfn.XLOOKUP(Table2[[#This Row],[Adjusted Form '#]],[1]COMPLETED!$D:$D,[2]COMPLETED!$M:$M,"Not Found")</f>
        <v>Not Found</v>
      </c>
      <c r="V1582" s="17" t="str">
        <f>_xlfn.XLOOKUP(Table2[[#This Row],[Adjusted Form '#]],[2]COMPLETED!$D:$D,[2]COMPLETED!$O:$O,"Not Found")</f>
        <v>Not Found</v>
      </c>
      <c r="W1582" s="2" t="str">
        <f>_xlfn.XLOOKUP(Table2[[#This Row],[Adjusted Form '#]],[2]BILLED!$D:$D,[2]BILLED!$M:$M,"Not Found")</f>
        <v>9400 1112 0620 9434 0096 63</v>
      </c>
      <c r="X1582" s="17" t="e">
        <f>_xlfn.XLOOKUP(Table2[[#This Row],[Adjusted Form '#]],[2]BILLED!$D:$D,[1]BILLED!$O:$O,"Not Found")</f>
        <v>#REF!</v>
      </c>
      <c r="Y1582" s="17" t="e">
        <f>_xlfn.XLOOKUP(Table2[[#This Row],[Adjusted Form '#]],'[2]REJECTED ORDERS'!$D:$D,'[2]REJECTED ORDERS'!$E:$E)</f>
        <v>#N/A</v>
      </c>
      <c r="Z1582" s="1"/>
      <c r="AA1582" s="1"/>
    </row>
    <row r="1583" spans="1:27" ht="15" customHeight="1" x14ac:dyDescent="0.35">
      <c r="A1583" s="4" t="s">
        <v>2345</v>
      </c>
      <c r="B1583" s="1" t="s">
        <v>1951</v>
      </c>
      <c r="C1583" s="11">
        <v>45162</v>
      </c>
      <c r="D1583" s="11" t="s">
        <v>6752</v>
      </c>
      <c r="E1583" s="1" t="s">
        <v>21</v>
      </c>
      <c r="F1583" s="1" t="s">
        <v>6744</v>
      </c>
      <c r="G1583" s="6">
        <f>COUNTIF(F:F,Table2[[#This Row],[Form '#]])</f>
        <v>1</v>
      </c>
      <c r="H1583" s="1" t="s">
        <v>3587</v>
      </c>
      <c r="I1583" s="1" t="s">
        <v>758</v>
      </c>
      <c r="J1583" s="1" t="s">
        <v>78</v>
      </c>
      <c r="K1583" s="1" t="s">
        <v>3853</v>
      </c>
      <c r="L1583" s="1"/>
      <c r="M1583" s="6" t="str">
        <f>IF(Table2[[#This Row],[Corrected Form '#
 (If Duplicated)]]="",Table2[[#This Row],[Form '#]],Table2[[#This Row],[Corrected Form '#
 (If Duplicated)]])</f>
        <v>7818-25641</v>
      </c>
      <c r="N1583" s="1" t="s">
        <v>49</v>
      </c>
      <c r="O1583" s="6" t="str">
        <f>IF(Table2[[#This Row],[POG CONFIRMATION RECEIPT OF ORDER
(DATE &amp; TIME)]]="","No Confirmation","Received Confirmation")</f>
        <v>Received Confirmation</v>
      </c>
      <c r="P1583" s="6">
        <f ca="1">TODAY()-Table2[[#This Row],[DATE SENT TO POG]]</f>
        <v>141</v>
      </c>
      <c r="Q1583" s="6" t="s">
        <v>5803</v>
      </c>
      <c r="R15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3" s="2" t="str">
        <f>_xlfn.XLOOKUP(Table2[[#This Row],[Adjusted Form '#]],'[2]IN PROGRESS'!$D:$D,'[2]IN PROGRESS'!$M:$M,"Not Found")</f>
        <v>Not Found</v>
      </c>
      <c r="U1583" s="2" t="str">
        <f>_xlfn.XLOOKUP(Table2[[#This Row],[Adjusted Form '#]],[1]COMPLETED!$D:$D,[2]COMPLETED!$M:$M,"Not Found")</f>
        <v>Not Found</v>
      </c>
      <c r="V1583" s="17" t="str">
        <f>_xlfn.XLOOKUP(Table2[[#This Row],[Adjusted Form '#]],[2]COMPLETED!$D:$D,[2]COMPLETED!$O:$O,"Not Found")</f>
        <v>Not Found</v>
      </c>
      <c r="W1583" s="2" t="str">
        <f>_xlfn.XLOOKUP(Table2[[#This Row],[Adjusted Form '#]],[2]BILLED!$D:$D,[2]BILLED!$M:$M,"Not Found")</f>
        <v>9400 1112 0620 9417 6119 99</v>
      </c>
      <c r="X1583" s="17" t="e">
        <f>_xlfn.XLOOKUP(Table2[[#This Row],[Adjusted Form '#]],[2]BILLED!$D:$D,[1]BILLED!$O:$O,"Not Found")</f>
        <v>#REF!</v>
      </c>
      <c r="Y1583" s="17" t="e">
        <f>_xlfn.XLOOKUP(Table2[[#This Row],[Adjusted Form '#]],'[2]REJECTED ORDERS'!$D:$D,'[2]REJECTED ORDERS'!$E:$E)</f>
        <v>#N/A</v>
      </c>
      <c r="Z1583" s="1"/>
      <c r="AA1583" s="1"/>
    </row>
    <row r="1584" spans="1:27" ht="15" customHeight="1" x14ac:dyDescent="0.35">
      <c r="A1584" s="4" t="s">
        <v>2346</v>
      </c>
      <c r="B1584" s="1" t="s">
        <v>1951</v>
      </c>
      <c r="C1584" s="11">
        <v>45162</v>
      </c>
      <c r="D1584" s="11" t="s">
        <v>6752</v>
      </c>
      <c r="E1584" s="1" t="s">
        <v>21</v>
      </c>
      <c r="F1584" s="1" t="s">
        <v>6745</v>
      </c>
      <c r="G1584" s="6">
        <f>COUNTIF(F:F,Table2[[#This Row],[Form '#]])</f>
        <v>1</v>
      </c>
      <c r="H1584" s="1" t="s">
        <v>6746</v>
      </c>
      <c r="I1584" s="1" t="s">
        <v>3852</v>
      </c>
      <c r="J1584" s="1" t="s">
        <v>80</v>
      </c>
      <c r="K1584" s="1" t="s">
        <v>3853</v>
      </c>
      <c r="L1584" s="1"/>
      <c r="M1584" s="6" t="str">
        <f>IF(Table2[[#This Row],[Corrected Form '#
 (If Duplicated)]]="",Table2[[#This Row],[Form '#]],Table2[[#This Row],[Corrected Form '#
 (If Duplicated)]])</f>
        <v>7818-17754</v>
      </c>
      <c r="N1584" s="1" t="s">
        <v>49</v>
      </c>
      <c r="O1584" s="6" t="str">
        <f>IF(Table2[[#This Row],[POG CONFIRMATION RECEIPT OF ORDER
(DATE &amp; TIME)]]="","No Confirmation","Received Confirmation")</f>
        <v>Received Confirmation</v>
      </c>
      <c r="P1584" s="6">
        <f ca="1">TODAY()-Table2[[#This Row],[DATE SENT TO POG]]</f>
        <v>141</v>
      </c>
      <c r="Q1584" s="6" t="s">
        <v>5803</v>
      </c>
      <c r="R15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4" s="2" t="str">
        <f>_xlfn.XLOOKUP(Table2[[#This Row],[Adjusted Form '#]],'[2]IN PROGRESS'!$D:$D,'[2]IN PROGRESS'!$M:$M,"Not Found")</f>
        <v>Not Found</v>
      </c>
      <c r="U1584" s="2" t="str">
        <f>_xlfn.XLOOKUP(Table2[[#This Row],[Adjusted Form '#]],[1]COMPLETED!$D:$D,[2]COMPLETED!$M:$M,"Not Found")</f>
        <v>Not Found</v>
      </c>
      <c r="V1584" s="17" t="str">
        <f>_xlfn.XLOOKUP(Table2[[#This Row],[Adjusted Form '#]],[2]COMPLETED!$D:$D,[2]COMPLETED!$O:$O,"Not Found")</f>
        <v>Not Found</v>
      </c>
      <c r="W1584" s="2" t="str">
        <f>_xlfn.XLOOKUP(Table2[[#This Row],[Adjusted Form '#]],[2]BILLED!$D:$D,[2]BILLED!$M:$M,"Not Found")</f>
        <v>9400 1361 0605 3342 1777 78</v>
      </c>
      <c r="X1584" s="17" t="e">
        <f>_xlfn.XLOOKUP(Table2[[#This Row],[Adjusted Form '#]],[2]BILLED!$D:$D,[1]BILLED!$O:$O,"Not Found")</f>
        <v>#REF!</v>
      </c>
      <c r="Y1584" s="17" t="e">
        <f>_xlfn.XLOOKUP(Table2[[#This Row],[Adjusted Form '#]],'[2]REJECTED ORDERS'!$D:$D,'[2]REJECTED ORDERS'!$E:$E)</f>
        <v>#N/A</v>
      </c>
      <c r="Z1584" s="1"/>
      <c r="AA1584" s="1"/>
    </row>
    <row r="1585" spans="1:27" ht="15" customHeight="1" x14ac:dyDescent="0.35">
      <c r="A1585" s="4" t="s">
        <v>2347</v>
      </c>
      <c r="B1585" s="1" t="s">
        <v>1951</v>
      </c>
      <c r="C1585" s="11">
        <v>45162</v>
      </c>
      <c r="D1585" s="11" t="s">
        <v>6752</v>
      </c>
      <c r="E1585" s="1" t="s">
        <v>21</v>
      </c>
      <c r="F1585" s="1" t="s">
        <v>6747</v>
      </c>
      <c r="G1585" s="6">
        <f>COUNTIF(F:F,Table2[[#This Row],[Form '#]])</f>
        <v>1</v>
      </c>
      <c r="H1585" s="1" t="s">
        <v>6748</v>
      </c>
      <c r="I1585" s="1" t="s">
        <v>3852</v>
      </c>
      <c r="J1585" s="1" t="s">
        <v>75</v>
      </c>
      <c r="K1585" s="1" t="s">
        <v>4011</v>
      </c>
      <c r="L1585" s="1"/>
      <c r="M1585" s="6" t="str">
        <f>IF(Table2[[#This Row],[Corrected Form '#
 (If Duplicated)]]="",Table2[[#This Row],[Form '#]],Table2[[#This Row],[Corrected Form '#
 (If Duplicated)]])</f>
        <v>7818-11660</v>
      </c>
      <c r="N1585" s="1" t="s">
        <v>49</v>
      </c>
      <c r="O1585" s="6" t="str">
        <f>IF(Table2[[#This Row],[POG CONFIRMATION RECEIPT OF ORDER
(DATE &amp; TIME)]]="","No Confirmation","Received Confirmation")</f>
        <v>Received Confirmation</v>
      </c>
      <c r="P1585" s="6">
        <f ca="1">TODAY()-Table2[[#This Row],[DATE SENT TO POG]]</f>
        <v>141</v>
      </c>
      <c r="Q1585" s="6" t="s">
        <v>5803</v>
      </c>
      <c r="R15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5" s="2" t="str">
        <f>_xlfn.XLOOKUP(Table2[[#This Row],[Adjusted Form '#]],'[2]IN PROGRESS'!$D:$D,'[2]IN PROGRESS'!$M:$M,"Not Found")</f>
        <v>Not Found</v>
      </c>
      <c r="U1585" s="2" t="str">
        <f>_xlfn.XLOOKUP(Table2[[#This Row],[Adjusted Form '#]],[1]COMPLETED!$D:$D,[2]COMPLETED!$M:$M,"Not Found")</f>
        <v>Not Found</v>
      </c>
      <c r="V1585" s="17" t="str">
        <f>_xlfn.XLOOKUP(Table2[[#This Row],[Adjusted Form '#]],[2]COMPLETED!$D:$D,[2]COMPLETED!$O:$O,"Not Found")</f>
        <v>Not Found</v>
      </c>
      <c r="W1585" s="2" t="str">
        <f>_xlfn.XLOOKUP(Table2[[#This Row],[Adjusted Form '#]],[2]BILLED!$D:$D,[2]BILLED!$M:$M,"Not Found")</f>
        <v>9400 1361 0605 3299 2524 36</v>
      </c>
      <c r="X1585" s="17" t="e">
        <f>_xlfn.XLOOKUP(Table2[[#This Row],[Adjusted Form '#]],[2]BILLED!$D:$D,[1]BILLED!$O:$O,"Not Found")</f>
        <v>#REF!</v>
      </c>
      <c r="Y1585" s="17" t="e">
        <f>_xlfn.XLOOKUP(Table2[[#This Row],[Adjusted Form '#]],'[2]REJECTED ORDERS'!$D:$D,'[2]REJECTED ORDERS'!$E:$E)</f>
        <v>#N/A</v>
      </c>
      <c r="Z1585" s="1"/>
      <c r="AA1585" s="1"/>
    </row>
    <row r="1586" spans="1:27" ht="15" customHeight="1" x14ac:dyDescent="0.35">
      <c r="A1586" s="4" t="s">
        <v>2349</v>
      </c>
      <c r="B1586" s="1" t="s">
        <v>1951</v>
      </c>
      <c r="C1586" s="11">
        <v>45162</v>
      </c>
      <c r="D1586" s="11" t="s">
        <v>6752</v>
      </c>
      <c r="E1586" s="1" t="s">
        <v>21</v>
      </c>
      <c r="F1586" s="1" t="s">
        <v>6749</v>
      </c>
      <c r="G1586" s="6">
        <f>COUNTIF(F:F,Table2[[#This Row],[Form '#]])</f>
        <v>1</v>
      </c>
      <c r="H1586" s="1" t="s">
        <v>3530</v>
      </c>
      <c r="I1586" s="1" t="s">
        <v>3864</v>
      </c>
      <c r="J1586" s="1" t="s">
        <v>78</v>
      </c>
      <c r="K1586" s="1" t="s">
        <v>3879</v>
      </c>
      <c r="L1586" s="1"/>
      <c r="M1586" s="6" t="str">
        <f>IF(Table2[[#This Row],[Corrected Form '#
 (If Duplicated)]]="",Table2[[#This Row],[Form '#]],Table2[[#This Row],[Corrected Form '#
 (If Duplicated)]])</f>
        <v>7818-31618</v>
      </c>
      <c r="N1586" s="1" t="s">
        <v>49</v>
      </c>
      <c r="O1586" s="6" t="str">
        <f>IF(Table2[[#This Row],[POG CONFIRMATION RECEIPT OF ORDER
(DATE &amp; TIME)]]="","No Confirmation","Received Confirmation")</f>
        <v>Received Confirmation</v>
      </c>
      <c r="P1586" s="6">
        <f ca="1">TODAY()-Table2[[#This Row],[DATE SENT TO POG]]</f>
        <v>141</v>
      </c>
      <c r="Q1586" s="6" t="s">
        <v>5803</v>
      </c>
      <c r="R15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6" s="2" t="str">
        <f>_xlfn.XLOOKUP(Table2[[#This Row],[Adjusted Form '#]],'[2]IN PROGRESS'!$D:$D,'[2]IN PROGRESS'!$M:$M,"Not Found")</f>
        <v>Not Found</v>
      </c>
      <c r="U1586" s="2" t="str">
        <f>_xlfn.XLOOKUP(Table2[[#This Row],[Adjusted Form '#]],[1]COMPLETED!$D:$D,[2]COMPLETED!$M:$M,"Not Found")</f>
        <v>Not Found</v>
      </c>
      <c r="V1586" s="17" t="str">
        <f>_xlfn.XLOOKUP(Table2[[#This Row],[Adjusted Form '#]],[2]COMPLETED!$D:$D,[2]COMPLETED!$O:$O,"Not Found")</f>
        <v>Not Found</v>
      </c>
      <c r="W1586" s="2" t="str">
        <f>_xlfn.XLOOKUP(Table2[[#This Row],[Adjusted Form '#]],[2]BILLED!$D:$D,[2]BILLED!$M:$M,"Not Found")</f>
        <v>9400 1361 0605 3314 6002 59</v>
      </c>
      <c r="X1586" s="17" t="e">
        <f>_xlfn.XLOOKUP(Table2[[#This Row],[Adjusted Form '#]],[2]BILLED!$D:$D,[1]BILLED!$O:$O,"Not Found")</f>
        <v>#REF!</v>
      </c>
      <c r="Y1586" s="17" t="e">
        <f>_xlfn.XLOOKUP(Table2[[#This Row],[Adjusted Form '#]],'[2]REJECTED ORDERS'!$D:$D,'[2]REJECTED ORDERS'!$E:$E)</f>
        <v>#N/A</v>
      </c>
      <c r="Z1586" s="1"/>
      <c r="AA1586" s="1"/>
    </row>
    <row r="1587" spans="1:27" ht="15" customHeight="1" x14ac:dyDescent="0.35">
      <c r="A1587" s="4" t="s">
        <v>2351</v>
      </c>
      <c r="B1587" s="1" t="s">
        <v>1951</v>
      </c>
      <c r="C1587" s="11">
        <v>45162</v>
      </c>
      <c r="D1587" s="11" t="s">
        <v>6752</v>
      </c>
      <c r="E1587" s="1" t="s">
        <v>21</v>
      </c>
      <c r="F1587" s="1" t="s">
        <v>6750</v>
      </c>
      <c r="G1587" s="6">
        <f>COUNTIF(F:F,Table2[[#This Row],[Form '#]])</f>
        <v>1</v>
      </c>
      <c r="H1587" s="1" t="s">
        <v>6751</v>
      </c>
      <c r="I1587" s="1" t="s">
        <v>3864</v>
      </c>
      <c r="J1587" s="1" t="s">
        <v>78</v>
      </c>
      <c r="K1587" s="1" t="s">
        <v>3879</v>
      </c>
      <c r="L1587" s="1"/>
      <c r="M1587" s="6" t="str">
        <f>IF(Table2[[#This Row],[Corrected Form '#
 (If Duplicated)]]="",Table2[[#This Row],[Form '#]],Table2[[#This Row],[Corrected Form '#
 (If Duplicated)]])</f>
        <v>7818-28236</v>
      </c>
      <c r="N1587" s="1" t="s">
        <v>49</v>
      </c>
      <c r="O1587" s="6" t="str">
        <f>IF(Table2[[#This Row],[POG CONFIRMATION RECEIPT OF ORDER
(DATE &amp; TIME)]]="","No Confirmation","Received Confirmation")</f>
        <v>Received Confirmation</v>
      </c>
      <c r="P1587" s="6">
        <f ca="1">TODAY()-Table2[[#This Row],[DATE SENT TO POG]]</f>
        <v>141</v>
      </c>
      <c r="Q1587" s="6" t="s">
        <v>5803</v>
      </c>
      <c r="R15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7" s="2" t="str">
        <f>_xlfn.XLOOKUP(Table2[[#This Row],[Adjusted Form '#]],'[2]IN PROGRESS'!$D:$D,'[2]IN PROGRESS'!$M:$M,"Not Found")</f>
        <v>Not Found</v>
      </c>
      <c r="U1587" s="2" t="str">
        <f>_xlfn.XLOOKUP(Table2[[#This Row],[Adjusted Form '#]],[1]COMPLETED!$D:$D,[2]COMPLETED!$M:$M,"Not Found")</f>
        <v>Not Found</v>
      </c>
      <c r="V1587" s="17" t="str">
        <f>_xlfn.XLOOKUP(Table2[[#This Row],[Adjusted Form '#]],[2]COMPLETED!$D:$D,[2]COMPLETED!$O:$O,"Not Found")</f>
        <v>Not Found</v>
      </c>
      <c r="W1587" s="2" t="str">
        <f>_xlfn.XLOOKUP(Table2[[#This Row],[Adjusted Form '#]],[2]BILLED!$D:$D,[2]BILLED!$M:$M,"Not Found")</f>
        <v>9400 1361 0605 3314 6767 35</v>
      </c>
      <c r="X1587" s="17" t="e">
        <f>_xlfn.XLOOKUP(Table2[[#This Row],[Adjusted Form '#]],[2]BILLED!$D:$D,[1]BILLED!$O:$O,"Not Found")</f>
        <v>#REF!</v>
      </c>
      <c r="Y1587" s="17" t="e">
        <f>_xlfn.XLOOKUP(Table2[[#This Row],[Adjusted Form '#]],'[2]REJECTED ORDERS'!$D:$D,'[2]REJECTED ORDERS'!$E:$E)</f>
        <v>#N/A</v>
      </c>
      <c r="Z1587" s="1"/>
      <c r="AA1587" s="1"/>
    </row>
    <row r="1588" spans="1:27" ht="15" customHeight="1" x14ac:dyDescent="0.35">
      <c r="A1588" s="4" t="s">
        <v>2352</v>
      </c>
      <c r="B1588" s="1" t="s">
        <v>2424</v>
      </c>
      <c r="C1588" s="11">
        <v>45163</v>
      </c>
      <c r="D1588" s="11" t="s">
        <v>6754</v>
      </c>
      <c r="E1588" s="1" t="s">
        <v>21</v>
      </c>
      <c r="F1588" s="1" t="s">
        <v>6753</v>
      </c>
      <c r="G1588" s="6">
        <f>COUNTIF(F:F,Table2[[#This Row],[Form '#]])</f>
        <v>1</v>
      </c>
      <c r="H1588" s="1" t="s">
        <v>1190</v>
      </c>
      <c r="I1588" s="1" t="s">
        <v>758</v>
      </c>
      <c r="J1588" s="1" t="s">
        <v>78</v>
      </c>
      <c r="K1588" s="1" t="s">
        <v>3853</v>
      </c>
      <c r="L1588" s="1"/>
      <c r="M1588" s="6" t="str">
        <f>IF(Table2[[#This Row],[Corrected Form '#
 (If Duplicated)]]="",Table2[[#This Row],[Form '#]],Table2[[#This Row],[Corrected Form '#
 (If Duplicated)]])</f>
        <v>7818-31167</v>
      </c>
      <c r="N1588" s="1" t="s">
        <v>49</v>
      </c>
      <c r="O1588" s="6" t="str">
        <f>IF(Table2[[#This Row],[POG CONFIRMATION RECEIPT OF ORDER
(DATE &amp; TIME)]]="","No Confirmation","Received Confirmation")</f>
        <v>Received Confirmation</v>
      </c>
      <c r="P1588" s="6">
        <f ca="1">TODAY()-Table2[[#This Row],[DATE SENT TO POG]]</f>
        <v>140</v>
      </c>
      <c r="Q1588" s="6" t="s">
        <v>5803</v>
      </c>
      <c r="R15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8" s="2" t="str">
        <f>_xlfn.XLOOKUP(Table2[[#This Row],[Adjusted Form '#]],'[2]IN PROGRESS'!$D:$D,'[2]IN PROGRESS'!$M:$M,"Not Found")</f>
        <v>Not Found</v>
      </c>
      <c r="U1588" s="2" t="str">
        <f>_xlfn.XLOOKUP(Table2[[#This Row],[Adjusted Form '#]],[1]COMPLETED!$D:$D,[2]COMPLETED!$M:$M,"Not Found")</f>
        <v>Not Found</v>
      </c>
      <c r="V1588" s="17" t="str">
        <f>_xlfn.XLOOKUP(Table2[[#This Row],[Adjusted Form '#]],[2]COMPLETED!$D:$D,[2]COMPLETED!$O:$O,"Not Found")</f>
        <v>Not Found</v>
      </c>
      <c r="W1588" s="2" t="str">
        <f>_xlfn.XLOOKUP(Table2[[#This Row],[Adjusted Form '#]],[2]BILLED!$D:$D,[2]BILLED!$M:$M,"Not Found")</f>
        <v>9400 1112 0620 9417 6966 99</v>
      </c>
      <c r="X1588" s="17" t="e">
        <f>_xlfn.XLOOKUP(Table2[[#This Row],[Adjusted Form '#]],[2]BILLED!$D:$D,[1]BILLED!$O:$O,"Not Found")</f>
        <v>#REF!</v>
      </c>
      <c r="Y1588" s="17" t="e">
        <f>_xlfn.XLOOKUP(Table2[[#This Row],[Adjusted Form '#]],'[2]REJECTED ORDERS'!$D:$D,'[2]REJECTED ORDERS'!$E:$E)</f>
        <v>#N/A</v>
      </c>
      <c r="Z1588" s="1"/>
      <c r="AA1588" s="1"/>
    </row>
    <row r="1589" spans="1:27" ht="15" customHeight="1" x14ac:dyDescent="0.35">
      <c r="A1589" s="4" t="s">
        <v>2354</v>
      </c>
      <c r="B1589" s="1" t="s">
        <v>579</v>
      </c>
      <c r="C1589" s="11">
        <v>45163</v>
      </c>
      <c r="D1589" s="11" t="s">
        <v>6757</v>
      </c>
      <c r="E1589" s="1" t="s">
        <v>14</v>
      </c>
      <c r="F1589" s="1" t="s">
        <v>6755</v>
      </c>
      <c r="G1589" s="6">
        <f>COUNTIF(F:F,Table2[[#This Row],[Form '#]])</f>
        <v>1</v>
      </c>
      <c r="H1589" s="1" t="s">
        <v>6756</v>
      </c>
      <c r="I1589" s="1" t="s">
        <v>3852</v>
      </c>
      <c r="J1589" s="1" t="s">
        <v>80</v>
      </c>
      <c r="K1589" s="1" t="s">
        <v>3853</v>
      </c>
      <c r="L1589" s="1"/>
      <c r="M1589" s="6" t="str">
        <f>IF(Table2[[#This Row],[Corrected Form '#
 (If Duplicated)]]="",Table2[[#This Row],[Form '#]],Table2[[#This Row],[Corrected Form '#
 (If Duplicated)]])</f>
        <v>7810-02135</v>
      </c>
      <c r="N1589" s="1" t="s">
        <v>49</v>
      </c>
      <c r="O1589" s="6" t="str">
        <f>IF(Table2[[#This Row],[POG CONFIRMATION RECEIPT OF ORDER
(DATE &amp; TIME)]]="","No Confirmation","Received Confirmation")</f>
        <v>Received Confirmation</v>
      </c>
      <c r="P1589" s="6">
        <f ca="1">TODAY()-Table2[[#This Row],[DATE SENT TO POG]]</f>
        <v>140</v>
      </c>
      <c r="Q1589" s="6" t="s">
        <v>5803</v>
      </c>
      <c r="R15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89" s="2" t="str">
        <f>_xlfn.XLOOKUP(Table2[[#This Row],[Adjusted Form '#]],'[2]IN PROGRESS'!$D:$D,'[2]IN PROGRESS'!$M:$M,"Not Found")</f>
        <v>Not Found</v>
      </c>
      <c r="U1589" s="2" t="str">
        <f>_xlfn.XLOOKUP(Table2[[#This Row],[Adjusted Form '#]],[1]COMPLETED!$D:$D,[2]COMPLETED!$M:$M,"Not Found")</f>
        <v>Not Found</v>
      </c>
      <c r="V1589" s="17" t="str">
        <f>_xlfn.XLOOKUP(Table2[[#This Row],[Adjusted Form '#]],[2]COMPLETED!$D:$D,[2]COMPLETED!$O:$O,"Not Found")</f>
        <v>Not Found</v>
      </c>
      <c r="W1589" s="2" t="str">
        <f>_xlfn.XLOOKUP(Table2[[#This Row],[Adjusted Form '#]],[2]BILLED!$D:$D,[2]BILLED!$M:$M,"Not Found")</f>
        <v>9400 1361 0605 3344 9048 77</v>
      </c>
      <c r="X1589" s="17" t="e">
        <f>_xlfn.XLOOKUP(Table2[[#This Row],[Adjusted Form '#]],[2]BILLED!$D:$D,[1]BILLED!$O:$O,"Not Found")</f>
        <v>#REF!</v>
      </c>
      <c r="Y1589" s="17" t="e">
        <f>_xlfn.XLOOKUP(Table2[[#This Row],[Adjusted Form '#]],'[2]REJECTED ORDERS'!$D:$D,'[2]REJECTED ORDERS'!$E:$E)</f>
        <v>#N/A</v>
      </c>
      <c r="Z1589" s="1"/>
      <c r="AA1589" s="1"/>
    </row>
    <row r="1590" spans="1:27" ht="15" customHeight="1" x14ac:dyDescent="0.35">
      <c r="A1590" s="4" t="s">
        <v>2355</v>
      </c>
      <c r="B1590" s="1" t="s">
        <v>2542</v>
      </c>
      <c r="C1590" s="11">
        <v>45163</v>
      </c>
      <c r="D1590" s="11" t="s">
        <v>6759</v>
      </c>
      <c r="E1590" s="1" t="s">
        <v>191</v>
      </c>
      <c r="F1590" s="1" t="s">
        <v>6758</v>
      </c>
      <c r="G1590" s="6">
        <f>COUNTIF(F:F,Table2[[#This Row],[Form '#]])</f>
        <v>1</v>
      </c>
      <c r="H1590" s="1" t="s">
        <v>2134</v>
      </c>
      <c r="I1590" s="1" t="s">
        <v>127</v>
      </c>
      <c r="J1590" s="1" t="s">
        <v>74</v>
      </c>
      <c r="K1590" s="1" t="s">
        <v>3883</v>
      </c>
      <c r="L1590" s="1"/>
      <c r="M1590" s="6" t="str">
        <f>IF(Table2[[#This Row],[Corrected Form '#
 (If Duplicated)]]="",Table2[[#This Row],[Form '#]],Table2[[#This Row],[Corrected Form '#
 (If Duplicated)]])</f>
        <v>7812-4018</v>
      </c>
      <c r="N1590" s="1" t="s">
        <v>49</v>
      </c>
      <c r="O1590" s="6" t="str">
        <f>IF(Table2[[#This Row],[POG CONFIRMATION RECEIPT OF ORDER
(DATE &amp; TIME)]]="","No Confirmation","Received Confirmation")</f>
        <v>Received Confirmation</v>
      </c>
      <c r="P1590" s="6">
        <f ca="1">TODAY()-Table2[[#This Row],[DATE SENT TO POG]]</f>
        <v>140</v>
      </c>
      <c r="Q1590" s="6" t="s">
        <v>5803</v>
      </c>
      <c r="R15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0" s="2" t="str">
        <f>_xlfn.XLOOKUP(Table2[[#This Row],[Adjusted Form '#]],'[2]IN PROGRESS'!$D:$D,'[2]IN PROGRESS'!$M:$M,"Not Found")</f>
        <v>Not Found</v>
      </c>
      <c r="U1590" s="2" t="str">
        <f>_xlfn.XLOOKUP(Table2[[#This Row],[Adjusted Form '#]],[1]COMPLETED!$D:$D,[2]COMPLETED!$M:$M,"Not Found")</f>
        <v>Not Found</v>
      </c>
      <c r="V1590" s="17" t="str">
        <f>_xlfn.XLOOKUP(Table2[[#This Row],[Adjusted Form '#]],[2]COMPLETED!$D:$D,[2]COMPLETED!$O:$O,"Not Found")</f>
        <v>Not Found</v>
      </c>
      <c r="W1590" s="2" t="str">
        <f>_xlfn.XLOOKUP(Table2[[#This Row],[Adjusted Form '#]],[2]BILLED!$D:$D,[2]BILLED!$M:$M,"Not Found")</f>
        <v>9400 1361 0605 3351 5825 32</v>
      </c>
      <c r="X1590" s="17" t="e">
        <f>_xlfn.XLOOKUP(Table2[[#This Row],[Adjusted Form '#]],[2]BILLED!$D:$D,[1]BILLED!$O:$O,"Not Found")</f>
        <v>#REF!</v>
      </c>
      <c r="Y1590" s="17" t="e">
        <f>_xlfn.XLOOKUP(Table2[[#This Row],[Adjusted Form '#]],'[2]REJECTED ORDERS'!$D:$D,'[2]REJECTED ORDERS'!$E:$E)</f>
        <v>#N/A</v>
      </c>
      <c r="Z1590" s="1"/>
      <c r="AA1590" s="1"/>
    </row>
    <row r="1591" spans="1:27" ht="15" customHeight="1" x14ac:dyDescent="0.35">
      <c r="A1591" s="4" t="s">
        <v>2358</v>
      </c>
      <c r="B1591" s="1" t="s">
        <v>2542</v>
      </c>
      <c r="C1591" s="11">
        <v>45163</v>
      </c>
      <c r="D1591" s="11" t="s">
        <v>6759</v>
      </c>
      <c r="E1591" s="1" t="s">
        <v>191</v>
      </c>
      <c r="F1591" s="1" t="s">
        <v>1859</v>
      </c>
      <c r="G1591" s="6">
        <f>COUNTIF(F:F,Table2[[#This Row],[Form '#]])</f>
        <v>1</v>
      </c>
      <c r="H1591" s="1" t="s">
        <v>2316</v>
      </c>
      <c r="I1591" s="1" t="s">
        <v>3852</v>
      </c>
      <c r="J1591" s="1" t="s">
        <v>80</v>
      </c>
      <c r="K1591" s="1" t="s">
        <v>3853</v>
      </c>
      <c r="L1591" s="1"/>
      <c r="M1591" s="6" t="str">
        <f>IF(Table2[[#This Row],[Corrected Form '#
 (If Duplicated)]]="",Table2[[#This Row],[Form '#]],Table2[[#This Row],[Corrected Form '#
 (If Duplicated)]])</f>
        <v>7812-02299</v>
      </c>
      <c r="N1591" s="1" t="s">
        <v>49</v>
      </c>
      <c r="O1591" s="6" t="str">
        <f>IF(Table2[[#This Row],[POG CONFIRMATION RECEIPT OF ORDER
(DATE &amp; TIME)]]="","No Confirmation","Received Confirmation")</f>
        <v>Received Confirmation</v>
      </c>
      <c r="P1591" s="6">
        <f ca="1">TODAY()-Table2[[#This Row],[DATE SENT TO POG]]</f>
        <v>140</v>
      </c>
      <c r="Q1591" s="6" t="s">
        <v>5802</v>
      </c>
      <c r="R15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59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591" s="2" t="str">
        <f>_xlfn.XLOOKUP(Table2[[#This Row],[Adjusted Form '#]],'[2]IN PROGRESS'!$D:$D,'[2]IN PROGRESS'!$M:$M,"Not Found")</f>
        <v>Not Found</v>
      </c>
      <c r="U1591" s="2" t="str">
        <f>_xlfn.XLOOKUP(Table2[[#This Row],[Adjusted Form '#]],[1]COMPLETED!$D:$D,[2]COMPLETED!$M:$M,"Not Found")</f>
        <v>Not Found</v>
      </c>
      <c r="V1591" s="17" t="str">
        <f>_xlfn.XLOOKUP(Table2[[#This Row],[Adjusted Form '#]],[2]COMPLETED!$D:$D,[2]COMPLETED!$O:$O,"Not Found")</f>
        <v>Not Found</v>
      </c>
      <c r="W1591" s="2" t="str">
        <f>_xlfn.XLOOKUP(Table2[[#This Row],[Adjusted Form '#]],[2]BILLED!$D:$D,[2]BILLED!$M:$M,"Not Found")</f>
        <v>Not Found</v>
      </c>
      <c r="X1591" s="17" t="str">
        <f>_xlfn.XLOOKUP(Table2[[#This Row],[Adjusted Form '#]],[2]BILLED!$D:$D,[1]BILLED!$O:$O,"Not Found")</f>
        <v>Not Found</v>
      </c>
      <c r="Y1591" s="17" t="e">
        <f>_xlfn.XLOOKUP(Table2[[#This Row],[Adjusted Form '#]],'[2]REJECTED ORDERS'!$D:$D,'[2]REJECTED ORDERS'!$E:$E)</f>
        <v>#N/A</v>
      </c>
      <c r="Z1591" s="1"/>
      <c r="AA1591" s="1"/>
    </row>
    <row r="1592" spans="1:27" ht="15" customHeight="1" x14ac:dyDescent="0.35">
      <c r="A1592" s="4" t="s">
        <v>2359</v>
      </c>
      <c r="B1592" s="1" t="s">
        <v>2542</v>
      </c>
      <c r="C1592" s="11">
        <v>45163</v>
      </c>
      <c r="D1592" s="11" t="s">
        <v>6759</v>
      </c>
      <c r="E1592" s="1" t="s">
        <v>191</v>
      </c>
      <c r="F1592" s="1" t="s">
        <v>6581</v>
      </c>
      <c r="G1592" s="6">
        <f>COUNTIF(F:F,Table2[[#This Row],[Form '#]])</f>
        <v>2</v>
      </c>
      <c r="H1592" s="1" t="s">
        <v>6582</v>
      </c>
      <c r="I1592" s="1" t="s">
        <v>3852</v>
      </c>
      <c r="J1592" s="1" t="s">
        <v>80</v>
      </c>
      <c r="K1592" s="1" t="s">
        <v>3853</v>
      </c>
      <c r="L1592" s="1"/>
      <c r="M1592" s="6" t="str">
        <f>IF(Table2[[#This Row],[Corrected Form '#
 (If Duplicated)]]="",Table2[[#This Row],[Form '#]],Table2[[#This Row],[Corrected Form '#
 (If Duplicated)]])</f>
        <v>7812-02285</v>
      </c>
      <c r="N1592" s="1" t="s">
        <v>49</v>
      </c>
      <c r="O1592" s="6" t="str">
        <f>IF(Table2[[#This Row],[POG CONFIRMATION RECEIPT OF ORDER
(DATE &amp; TIME)]]="","No Confirmation","Received Confirmation")</f>
        <v>Received Confirmation</v>
      </c>
      <c r="P1592" s="6">
        <f ca="1">TODAY()-Table2[[#This Row],[DATE SENT TO POG]]</f>
        <v>140</v>
      </c>
      <c r="Q1592" s="6" t="s">
        <v>5802</v>
      </c>
      <c r="R15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59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592" s="2" t="str">
        <f>_xlfn.XLOOKUP(Table2[[#This Row],[Adjusted Form '#]],'[2]IN PROGRESS'!$D:$D,'[2]IN PROGRESS'!$M:$M,"Not Found")</f>
        <v>Not Found</v>
      </c>
      <c r="U1592" s="2" t="str">
        <f>_xlfn.XLOOKUP(Table2[[#This Row],[Adjusted Form '#]],[1]COMPLETED!$D:$D,[2]COMPLETED!$M:$M,"Not Found")</f>
        <v>Not Found</v>
      </c>
      <c r="V1592" s="17" t="str">
        <f>_xlfn.XLOOKUP(Table2[[#This Row],[Adjusted Form '#]],[2]COMPLETED!$D:$D,[2]COMPLETED!$O:$O,"Not Found")</f>
        <v>Not Found</v>
      </c>
      <c r="W1592" s="2" t="str">
        <f>_xlfn.XLOOKUP(Table2[[#This Row],[Adjusted Form '#]],[2]BILLED!$D:$D,[2]BILLED!$M:$M,"Not Found")</f>
        <v>Not Found</v>
      </c>
      <c r="X1592" s="17" t="str">
        <f>_xlfn.XLOOKUP(Table2[[#This Row],[Adjusted Form '#]],[2]BILLED!$D:$D,[1]BILLED!$O:$O,"Not Found")</f>
        <v>Not Found</v>
      </c>
      <c r="Y1592" s="17" t="e">
        <f>_xlfn.XLOOKUP(Table2[[#This Row],[Adjusted Form '#]],'[2]REJECTED ORDERS'!$D:$D,'[2]REJECTED ORDERS'!$E:$E)</f>
        <v>#N/A</v>
      </c>
      <c r="Z1592" s="1"/>
      <c r="AA1592" s="1"/>
    </row>
    <row r="1593" spans="1:27" ht="15" customHeight="1" x14ac:dyDescent="0.35">
      <c r="A1593" s="4" t="s">
        <v>2360</v>
      </c>
      <c r="B1593" s="1" t="s">
        <v>6760</v>
      </c>
      <c r="C1593" s="11">
        <v>45163</v>
      </c>
      <c r="D1593" s="11" t="s">
        <v>6848</v>
      </c>
      <c r="E1593" s="1" t="s">
        <v>64</v>
      </c>
      <c r="F1593" s="1" t="s">
        <v>6761</v>
      </c>
      <c r="G1593" s="6">
        <f>COUNTIF(F:F,Table2[[#This Row],[Form '#]])</f>
        <v>1</v>
      </c>
      <c r="H1593" s="1" t="s">
        <v>6762</v>
      </c>
      <c r="I1593" s="1" t="s">
        <v>3852</v>
      </c>
      <c r="J1593" s="1" t="s">
        <v>80</v>
      </c>
      <c r="K1593" s="1" t="s">
        <v>4011</v>
      </c>
      <c r="L1593" s="1"/>
      <c r="M1593" s="6" t="str">
        <f>IF(Table2[[#This Row],[Corrected Form '#
 (If Duplicated)]]="",Table2[[#This Row],[Form '#]],Table2[[#This Row],[Corrected Form '#
 (If Duplicated)]])</f>
        <v>7824-00291</v>
      </c>
      <c r="N1593" s="1" t="s">
        <v>49</v>
      </c>
      <c r="O1593" s="6" t="str">
        <f>IF(Table2[[#This Row],[POG CONFIRMATION RECEIPT OF ORDER
(DATE &amp; TIME)]]="","No Confirmation","Received Confirmation")</f>
        <v>Received Confirmation</v>
      </c>
      <c r="P1593" s="6">
        <f ca="1">TODAY()-Table2[[#This Row],[DATE SENT TO POG]]</f>
        <v>140</v>
      </c>
      <c r="Q1593" s="6" t="s">
        <v>5803</v>
      </c>
      <c r="R15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3" s="2" t="str">
        <f>_xlfn.XLOOKUP(Table2[[#This Row],[Adjusted Form '#]],'[2]IN PROGRESS'!$D:$D,'[2]IN PROGRESS'!$M:$M,"Not Found")</f>
        <v>Not Found</v>
      </c>
      <c r="U1593" s="2" t="str">
        <f>_xlfn.XLOOKUP(Table2[[#This Row],[Adjusted Form '#]],[1]COMPLETED!$D:$D,[2]COMPLETED!$M:$M,"Not Found")</f>
        <v>Not Found</v>
      </c>
      <c r="V1593" s="17" t="str">
        <f>_xlfn.XLOOKUP(Table2[[#This Row],[Adjusted Form '#]],[2]COMPLETED!$D:$D,[2]COMPLETED!$O:$O,"Not Found")</f>
        <v>Not Found</v>
      </c>
      <c r="W1593" s="2" t="str">
        <f>_xlfn.XLOOKUP(Table2[[#This Row],[Adjusted Form '#]],[2]BILLED!$D:$D,[2]BILLED!$M:$M,"Not Found")</f>
        <v>9400 1361 0605 3356 4867 29</v>
      </c>
      <c r="X1593" s="17" t="e">
        <f>_xlfn.XLOOKUP(Table2[[#This Row],[Adjusted Form '#]],[2]BILLED!$D:$D,[1]BILLED!$O:$O,"Not Found")</f>
        <v>#REF!</v>
      </c>
      <c r="Y1593" s="17" t="e">
        <f>_xlfn.XLOOKUP(Table2[[#This Row],[Adjusted Form '#]],'[2]REJECTED ORDERS'!$D:$D,'[2]REJECTED ORDERS'!$E:$E)</f>
        <v>#N/A</v>
      </c>
      <c r="Z1593" s="1"/>
      <c r="AA1593" s="1"/>
    </row>
    <row r="1594" spans="1:27" ht="15" customHeight="1" x14ac:dyDescent="0.35">
      <c r="A1594" s="4" t="s">
        <v>2361</v>
      </c>
      <c r="B1594" s="1" t="s">
        <v>6760</v>
      </c>
      <c r="C1594" s="11">
        <v>45163</v>
      </c>
      <c r="D1594" s="11" t="s">
        <v>6765</v>
      </c>
      <c r="E1594" s="1" t="s">
        <v>64</v>
      </c>
      <c r="F1594" s="1" t="s">
        <v>6763</v>
      </c>
      <c r="G1594" s="6">
        <f>COUNTIF(F:F,Table2[[#This Row],[Form '#]])</f>
        <v>1</v>
      </c>
      <c r="H1594" s="1" t="s">
        <v>6764</v>
      </c>
      <c r="I1594" s="1" t="s">
        <v>3852</v>
      </c>
      <c r="J1594" s="1" t="s">
        <v>80</v>
      </c>
      <c r="K1594" s="1" t="s">
        <v>3853</v>
      </c>
      <c r="L1594" s="1"/>
      <c r="M1594" s="6" t="str">
        <f>IF(Table2[[#This Row],[Corrected Form '#
 (If Duplicated)]]="",Table2[[#This Row],[Form '#]],Table2[[#This Row],[Corrected Form '#
 (If Duplicated)]])</f>
        <v>7824-00268</v>
      </c>
      <c r="N1594" s="1" t="s">
        <v>49</v>
      </c>
      <c r="O1594" s="6" t="str">
        <f>IF(Table2[[#This Row],[POG CONFIRMATION RECEIPT OF ORDER
(DATE &amp; TIME)]]="","No Confirmation","Received Confirmation")</f>
        <v>Received Confirmation</v>
      </c>
      <c r="P1594" s="6">
        <f ca="1">TODAY()-Table2[[#This Row],[DATE SENT TO POG]]</f>
        <v>140</v>
      </c>
      <c r="Q1594" s="6" t="s">
        <v>5803</v>
      </c>
      <c r="R15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4" s="2" t="str">
        <f>_xlfn.XLOOKUP(Table2[[#This Row],[Adjusted Form '#]],'[2]IN PROGRESS'!$D:$D,'[2]IN PROGRESS'!$M:$M,"Not Found")</f>
        <v>Not Found</v>
      </c>
      <c r="U1594" s="2" t="str">
        <f>_xlfn.XLOOKUP(Table2[[#This Row],[Adjusted Form '#]],[1]COMPLETED!$D:$D,[2]COMPLETED!$M:$M,"Not Found")</f>
        <v>Not Found</v>
      </c>
      <c r="V1594" s="17" t="str">
        <f>_xlfn.XLOOKUP(Table2[[#This Row],[Adjusted Form '#]],[2]COMPLETED!$D:$D,[2]COMPLETED!$O:$O,"Not Found")</f>
        <v>Not Found</v>
      </c>
      <c r="W1594" s="2" t="str">
        <f>_xlfn.XLOOKUP(Table2[[#This Row],[Adjusted Form '#]],[2]BILLED!$D:$D,[2]BILLED!$M:$M,"Not Found")</f>
        <v>9400 1361 0605 3351 4854 68</v>
      </c>
      <c r="X1594" s="17" t="e">
        <f>_xlfn.XLOOKUP(Table2[[#This Row],[Adjusted Form '#]],[2]BILLED!$D:$D,[1]BILLED!$O:$O,"Not Found")</f>
        <v>#REF!</v>
      </c>
      <c r="Y1594" s="17" t="e">
        <f>_xlfn.XLOOKUP(Table2[[#This Row],[Adjusted Form '#]],'[2]REJECTED ORDERS'!$D:$D,'[2]REJECTED ORDERS'!$E:$E)</f>
        <v>#N/A</v>
      </c>
      <c r="Z1594" s="1"/>
      <c r="AA1594" s="1"/>
    </row>
    <row r="1595" spans="1:27" ht="15" customHeight="1" x14ac:dyDescent="0.35">
      <c r="A1595" s="4" t="s">
        <v>2363</v>
      </c>
      <c r="B1595" s="1" t="s">
        <v>1428</v>
      </c>
      <c r="C1595" s="11">
        <v>45166</v>
      </c>
      <c r="D1595" s="11" t="s">
        <v>6768</v>
      </c>
      <c r="E1595" s="1" t="s">
        <v>21</v>
      </c>
      <c r="F1595" s="1" t="s">
        <v>6766</v>
      </c>
      <c r="G1595" s="6">
        <f>COUNTIF(F:F,Table2[[#This Row],[Form '#]])</f>
        <v>1</v>
      </c>
      <c r="H1595" s="1" t="s">
        <v>3475</v>
      </c>
      <c r="I1595" s="1" t="s">
        <v>3864</v>
      </c>
      <c r="J1595" s="1" t="s">
        <v>78</v>
      </c>
      <c r="K1595" s="1" t="s">
        <v>3879</v>
      </c>
      <c r="L1595" s="1"/>
      <c r="M1595" s="6" t="str">
        <f>IF(Table2[[#This Row],[Corrected Form '#
 (If Duplicated)]]="",Table2[[#This Row],[Form '#]],Table2[[#This Row],[Corrected Form '#
 (If Duplicated)]])</f>
        <v>7818-31101</v>
      </c>
      <c r="N1595" s="1" t="s">
        <v>49</v>
      </c>
      <c r="O1595" s="6" t="str">
        <f>IF(Table2[[#This Row],[POG CONFIRMATION RECEIPT OF ORDER
(DATE &amp; TIME)]]="","No Confirmation","Received Confirmation")</f>
        <v>Received Confirmation</v>
      </c>
      <c r="P1595" s="6">
        <f ca="1">TODAY()-Table2[[#This Row],[DATE SENT TO POG]]</f>
        <v>137</v>
      </c>
      <c r="Q1595" s="6" t="s">
        <v>5803</v>
      </c>
      <c r="R15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5" s="2" t="str">
        <f>_xlfn.XLOOKUP(Table2[[#This Row],[Adjusted Form '#]],'[2]IN PROGRESS'!$D:$D,'[2]IN PROGRESS'!$M:$M,"Not Found")</f>
        <v>Not Found</v>
      </c>
      <c r="U1595" s="2" t="str">
        <f>_xlfn.XLOOKUP(Table2[[#This Row],[Adjusted Form '#]],[1]COMPLETED!$D:$D,[2]COMPLETED!$M:$M,"Not Found")</f>
        <v>Not Found</v>
      </c>
      <c r="V1595" s="17" t="str">
        <f>_xlfn.XLOOKUP(Table2[[#This Row],[Adjusted Form '#]],[2]COMPLETED!$D:$D,[2]COMPLETED!$O:$O,"Not Found")</f>
        <v>Not Found</v>
      </c>
      <c r="W1595" s="2" t="str">
        <f>_xlfn.XLOOKUP(Table2[[#This Row],[Adjusted Form '#]],[2]BILLED!$D:$D,[2]BILLED!$M:$M,"Not Found")</f>
        <v>9400 1361 0605 3351 5331 69</v>
      </c>
      <c r="X1595" s="17" t="e">
        <f>_xlfn.XLOOKUP(Table2[[#This Row],[Adjusted Form '#]],[2]BILLED!$D:$D,[1]BILLED!$O:$O,"Not Found")</f>
        <v>#REF!</v>
      </c>
      <c r="Y1595" s="17" t="e">
        <f>_xlfn.XLOOKUP(Table2[[#This Row],[Adjusted Form '#]],'[2]REJECTED ORDERS'!$D:$D,'[2]REJECTED ORDERS'!$E:$E)</f>
        <v>#N/A</v>
      </c>
      <c r="Z1595" s="1"/>
      <c r="AA1595" s="1"/>
    </row>
    <row r="1596" spans="1:27" ht="15" customHeight="1" x14ac:dyDescent="0.35">
      <c r="A1596" s="4" t="s">
        <v>2364</v>
      </c>
      <c r="B1596" s="1" t="s">
        <v>1428</v>
      </c>
      <c r="C1596" s="11">
        <v>45166</v>
      </c>
      <c r="D1596" s="11" t="s">
        <v>6768</v>
      </c>
      <c r="E1596" s="1" t="s">
        <v>21</v>
      </c>
      <c r="F1596" s="1" t="s">
        <v>6767</v>
      </c>
      <c r="G1596" s="6">
        <f>COUNTIF(F:F,Table2[[#This Row],[Form '#]])</f>
        <v>1</v>
      </c>
      <c r="H1596" s="1" t="s">
        <v>1696</v>
      </c>
      <c r="I1596" s="1" t="s">
        <v>3864</v>
      </c>
      <c r="J1596" s="1" t="s">
        <v>78</v>
      </c>
      <c r="K1596" s="1" t="s">
        <v>3879</v>
      </c>
      <c r="L1596" s="1"/>
      <c r="M1596" s="6" t="str">
        <f>IF(Table2[[#This Row],[Corrected Form '#
 (If Duplicated)]]="",Table2[[#This Row],[Form '#]],Table2[[#This Row],[Corrected Form '#
 (If Duplicated)]])</f>
        <v>7818-29937</v>
      </c>
      <c r="N1596" s="1" t="s">
        <v>49</v>
      </c>
      <c r="O1596" s="6" t="str">
        <f>IF(Table2[[#This Row],[POG CONFIRMATION RECEIPT OF ORDER
(DATE &amp; TIME)]]="","No Confirmation","Received Confirmation")</f>
        <v>Received Confirmation</v>
      </c>
      <c r="P1596" s="6">
        <f ca="1">TODAY()-Table2[[#This Row],[DATE SENT TO POG]]</f>
        <v>137</v>
      </c>
      <c r="Q1596" s="6" t="s">
        <v>5803</v>
      </c>
      <c r="R15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6" s="2" t="str">
        <f>_xlfn.XLOOKUP(Table2[[#This Row],[Adjusted Form '#]],'[2]IN PROGRESS'!$D:$D,'[2]IN PROGRESS'!$M:$M,"Not Found")</f>
        <v>Not Found</v>
      </c>
      <c r="U1596" s="2" t="str">
        <f>_xlfn.XLOOKUP(Table2[[#This Row],[Adjusted Form '#]],[1]COMPLETED!$D:$D,[2]COMPLETED!$M:$M,"Not Found")</f>
        <v>Not Found</v>
      </c>
      <c r="V1596" s="17" t="str">
        <f>_xlfn.XLOOKUP(Table2[[#This Row],[Adjusted Form '#]],[2]COMPLETED!$D:$D,[2]COMPLETED!$O:$O,"Not Found")</f>
        <v>Not Found</v>
      </c>
      <c r="W1596" s="2" t="str">
        <f>_xlfn.XLOOKUP(Table2[[#This Row],[Adjusted Form '#]],[2]BILLED!$D:$D,[2]BILLED!$M:$M,"Not Found")</f>
        <v>9400 1361 0605 3344 9546 67</v>
      </c>
      <c r="X1596" s="17" t="e">
        <f>_xlfn.XLOOKUP(Table2[[#This Row],[Adjusted Form '#]],[2]BILLED!$D:$D,[1]BILLED!$O:$O,"Not Found")</f>
        <v>#REF!</v>
      </c>
      <c r="Y1596" s="17" t="e">
        <f>_xlfn.XLOOKUP(Table2[[#This Row],[Adjusted Form '#]],'[2]REJECTED ORDERS'!$D:$D,'[2]REJECTED ORDERS'!$E:$E)</f>
        <v>#N/A</v>
      </c>
      <c r="Z1596" s="1"/>
      <c r="AA1596" s="1"/>
    </row>
    <row r="1597" spans="1:27" ht="15" customHeight="1" x14ac:dyDescent="0.35">
      <c r="A1597" s="4" t="s">
        <v>2366</v>
      </c>
      <c r="B1597" s="1" t="s">
        <v>4473</v>
      </c>
      <c r="C1597" s="11">
        <v>45166</v>
      </c>
      <c r="D1597" s="11" t="s">
        <v>6773</v>
      </c>
      <c r="E1597" s="1" t="s">
        <v>21</v>
      </c>
      <c r="F1597" s="1" t="s">
        <v>6769</v>
      </c>
      <c r="G1597" s="6">
        <f>COUNTIF(F:F,Table2[[#This Row],[Form '#]])</f>
        <v>1</v>
      </c>
      <c r="H1597" s="1" t="s">
        <v>2281</v>
      </c>
      <c r="I1597" s="1" t="s">
        <v>3852</v>
      </c>
      <c r="J1597" s="1" t="s">
        <v>80</v>
      </c>
      <c r="K1597" s="1" t="s">
        <v>4430</v>
      </c>
      <c r="L1597" s="1"/>
      <c r="M1597" s="6" t="str">
        <f>IF(Table2[[#This Row],[Corrected Form '#
 (If Duplicated)]]="",Table2[[#This Row],[Form '#]],Table2[[#This Row],[Corrected Form '#
 (If Duplicated)]])</f>
        <v>7818-24952</v>
      </c>
      <c r="N1597" s="1" t="s">
        <v>49</v>
      </c>
      <c r="O1597" s="6" t="str">
        <f>IF(Table2[[#This Row],[POG CONFIRMATION RECEIPT OF ORDER
(DATE &amp; TIME)]]="","No Confirmation","Received Confirmation")</f>
        <v>Received Confirmation</v>
      </c>
      <c r="P1597" s="6">
        <f ca="1">TODAY()-Table2[[#This Row],[DATE SENT TO POG]]</f>
        <v>137</v>
      </c>
      <c r="Q1597" s="6" t="s">
        <v>5803</v>
      </c>
      <c r="R15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7" s="2" t="str">
        <f>_xlfn.XLOOKUP(Table2[[#This Row],[Adjusted Form '#]],'[2]IN PROGRESS'!$D:$D,'[2]IN PROGRESS'!$M:$M,"Not Found")</f>
        <v>Not Found</v>
      </c>
      <c r="U1597" s="2" t="str">
        <f>_xlfn.XLOOKUP(Table2[[#This Row],[Adjusted Form '#]],[1]COMPLETED!$D:$D,[2]COMPLETED!$M:$M,"Not Found")</f>
        <v>Not Found</v>
      </c>
      <c r="V1597" s="17" t="str">
        <f>_xlfn.XLOOKUP(Table2[[#This Row],[Adjusted Form '#]],[2]COMPLETED!$D:$D,[2]COMPLETED!$O:$O,"Not Found")</f>
        <v>Not Found</v>
      </c>
      <c r="W1597" s="2" t="str">
        <f>_xlfn.XLOOKUP(Table2[[#This Row],[Adjusted Form '#]],[2]BILLED!$D:$D,[2]BILLED!$M:$M,"Not Found")</f>
        <v>9400 1361 0605 3344 9947 79</v>
      </c>
      <c r="X1597" s="17" t="e">
        <f>_xlfn.XLOOKUP(Table2[[#This Row],[Adjusted Form '#]],[2]BILLED!$D:$D,[1]BILLED!$O:$O,"Not Found")</f>
        <v>#REF!</v>
      </c>
      <c r="Y1597" s="17" t="str">
        <f>_xlfn.XLOOKUP(Table2[[#This Row],[Adjusted Form '#]],'[2]REJECTED ORDERS'!$D:$D,'[2]REJECTED ORDERS'!$E:$E)</f>
        <v>FORM NUMBER ALREADY USED</v>
      </c>
      <c r="Z1597" s="1"/>
      <c r="AA1597" s="1"/>
    </row>
    <row r="1598" spans="1:27" ht="15" customHeight="1" x14ac:dyDescent="0.35">
      <c r="A1598" s="4" t="s">
        <v>2367</v>
      </c>
      <c r="B1598" s="1" t="s">
        <v>4473</v>
      </c>
      <c r="C1598" s="11">
        <v>45166</v>
      </c>
      <c r="D1598" s="11" t="s">
        <v>6773</v>
      </c>
      <c r="E1598" s="1" t="s">
        <v>21</v>
      </c>
      <c r="F1598" s="1" t="s">
        <v>6770</v>
      </c>
      <c r="G1598" s="6">
        <f>COUNTIF(F:F,Table2[[#This Row],[Form '#]])</f>
        <v>1</v>
      </c>
      <c r="H1598" s="1" t="s">
        <v>1887</v>
      </c>
      <c r="I1598" s="1" t="s">
        <v>127</v>
      </c>
      <c r="J1598" s="1" t="s">
        <v>76</v>
      </c>
      <c r="K1598" s="1" t="s">
        <v>3883</v>
      </c>
      <c r="L1598" s="1"/>
      <c r="M1598" s="6" t="str">
        <f>IF(Table2[[#This Row],[Corrected Form '#
 (If Duplicated)]]="",Table2[[#This Row],[Form '#]],Table2[[#This Row],[Corrected Form '#
 (If Duplicated)]])</f>
        <v>7818-16944</v>
      </c>
      <c r="N1598" s="1" t="s">
        <v>49</v>
      </c>
      <c r="O1598" s="6" t="str">
        <f>IF(Table2[[#This Row],[POG CONFIRMATION RECEIPT OF ORDER
(DATE &amp; TIME)]]="","No Confirmation","Received Confirmation")</f>
        <v>Received Confirmation</v>
      </c>
      <c r="P1598" s="6">
        <f ca="1">TODAY()-Table2[[#This Row],[DATE SENT TO POG]]</f>
        <v>137</v>
      </c>
      <c r="Q1598" s="6" t="s">
        <v>5803</v>
      </c>
      <c r="R15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8" s="2" t="str">
        <f>_xlfn.XLOOKUP(Table2[[#This Row],[Adjusted Form '#]],'[2]IN PROGRESS'!$D:$D,'[2]IN PROGRESS'!$M:$M,"Not Found")</f>
        <v>Not Found</v>
      </c>
      <c r="U1598" s="2" t="str">
        <f>_xlfn.XLOOKUP(Table2[[#This Row],[Adjusted Form '#]],[1]COMPLETED!$D:$D,[2]COMPLETED!$M:$M,"Not Found")</f>
        <v>Not Found</v>
      </c>
      <c r="V1598" s="17" t="str">
        <f>_xlfn.XLOOKUP(Table2[[#This Row],[Adjusted Form '#]],[2]COMPLETED!$D:$D,[2]COMPLETED!$O:$O,"Not Found")</f>
        <v>Not Found</v>
      </c>
      <c r="W1598" s="2" t="str">
        <f>_xlfn.XLOOKUP(Table2[[#This Row],[Adjusted Form '#]],[2]BILLED!$D:$D,[2]BILLED!$M:$M,"Not Found")</f>
        <v>9400 1112 0620 9507 1992 60</v>
      </c>
      <c r="X1598" s="17" t="e">
        <f>_xlfn.XLOOKUP(Table2[[#This Row],[Adjusted Form '#]],[2]BILLED!$D:$D,[1]BILLED!$O:$O,"Not Found")</f>
        <v>#REF!</v>
      </c>
      <c r="Y1598" s="17" t="str">
        <f>_xlfn.XLOOKUP(Table2[[#This Row],[Adjusted Form '#]],'[2]REJECTED ORDERS'!$D:$D,'[2]REJECTED ORDERS'!$E:$E)</f>
        <v>FORM NUMBER ALREADY USED</v>
      </c>
      <c r="Z1598" s="1"/>
      <c r="AA1598" s="1"/>
    </row>
    <row r="1599" spans="1:27" ht="15" customHeight="1" x14ac:dyDescent="0.35">
      <c r="A1599" s="4" t="s">
        <v>2369</v>
      </c>
      <c r="B1599" s="1" t="s">
        <v>4473</v>
      </c>
      <c r="C1599" s="11">
        <v>45166</v>
      </c>
      <c r="D1599" s="11" t="s">
        <v>6773</v>
      </c>
      <c r="E1599" s="1" t="s">
        <v>21</v>
      </c>
      <c r="F1599" s="1" t="s">
        <v>6771</v>
      </c>
      <c r="G1599" s="6">
        <f>COUNTIF(F:F,Table2[[#This Row],[Form '#]])</f>
        <v>1</v>
      </c>
      <c r="H1599" s="1" t="s">
        <v>1228</v>
      </c>
      <c r="I1599" s="1" t="s">
        <v>3852</v>
      </c>
      <c r="J1599" s="1" t="s">
        <v>80</v>
      </c>
      <c r="K1599" s="1" t="s">
        <v>4430</v>
      </c>
      <c r="L1599" s="1"/>
      <c r="M1599" s="6" t="str">
        <f>IF(Table2[[#This Row],[Corrected Form '#
 (If Duplicated)]]="",Table2[[#This Row],[Form '#]],Table2[[#This Row],[Corrected Form '#
 (If Duplicated)]])</f>
        <v>7818-24821</v>
      </c>
      <c r="N1599" s="1" t="s">
        <v>49</v>
      </c>
      <c r="O1599" s="6" t="str">
        <f>IF(Table2[[#This Row],[POG CONFIRMATION RECEIPT OF ORDER
(DATE &amp; TIME)]]="","No Confirmation","Received Confirmation")</f>
        <v>Received Confirmation</v>
      </c>
      <c r="P1599" s="6">
        <f ca="1">TODAY()-Table2[[#This Row],[DATE SENT TO POG]]</f>
        <v>137</v>
      </c>
      <c r="Q1599" s="6" t="s">
        <v>5803</v>
      </c>
      <c r="R15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5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599" s="2" t="str">
        <f>_xlfn.XLOOKUP(Table2[[#This Row],[Adjusted Form '#]],'[2]IN PROGRESS'!$D:$D,'[2]IN PROGRESS'!$M:$M,"Not Found")</f>
        <v>Not Found</v>
      </c>
      <c r="U1599" s="2" t="str">
        <f>_xlfn.XLOOKUP(Table2[[#This Row],[Adjusted Form '#]],[1]COMPLETED!$D:$D,[2]COMPLETED!$M:$M,"Not Found")</f>
        <v>Not Found</v>
      </c>
      <c r="V1599" s="17" t="str">
        <f>_xlfn.XLOOKUP(Table2[[#This Row],[Adjusted Form '#]],[2]COMPLETED!$D:$D,[2]COMPLETED!$O:$O,"Not Found")</f>
        <v>Not Found</v>
      </c>
      <c r="W1599" s="2" t="str">
        <f>_xlfn.XLOOKUP(Table2[[#This Row],[Adjusted Form '#]],[2]BILLED!$D:$D,[2]BILLED!$M:$M,"Not Found")</f>
        <v>9400 1112 0620 9549 1762 98</v>
      </c>
      <c r="X1599" s="17" t="e">
        <f>_xlfn.XLOOKUP(Table2[[#This Row],[Adjusted Form '#]],[2]BILLED!$D:$D,[1]BILLED!$O:$O,"Not Found")</f>
        <v>#REF!</v>
      </c>
      <c r="Y1599" s="17" t="str">
        <f>_xlfn.XLOOKUP(Table2[[#This Row],[Adjusted Form '#]],'[2]REJECTED ORDERS'!$D:$D,'[2]REJECTED ORDERS'!$E:$E)</f>
        <v>FORM NUMBER ALREADY USED</v>
      </c>
      <c r="Z1599" s="1"/>
      <c r="AA1599" s="1"/>
    </row>
    <row r="1600" spans="1:27" ht="15" customHeight="1" x14ac:dyDescent="0.35">
      <c r="A1600" s="4" t="s">
        <v>2371</v>
      </c>
      <c r="B1600" s="1" t="s">
        <v>4473</v>
      </c>
      <c r="C1600" s="11">
        <v>45166</v>
      </c>
      <c r="D1600" s="11" t="s">
        <v>6773</v>
      </c>
      <c r="E1600" s="1" t="s">
        <v>21</v>
      </c>
      <c r="F1600" s="1" t="s">
        <v>6772</v>
      </c>
      <c r="G1600" s="6">
        <f>COUNTIF(F:F,Table2[[#This Row],[Form '#]])</f>
        <v>1</v>
      </c>
      <c r="H1600" s="1" t="s">
        <v>3028</v>
      </c>
      <c r="I1600" s="1" t="s">
        <v>758</v>
      </c>
      <c r="J1600" s="1" t="s">
        <v>78</v>
      </c>
      <c r="K1600" s="1" t="s">
        <v>4430</v>
      </c>
      <c r="L1600" s="1"/>
      <c r="M1600" s="6" t="str">
        <f>IF(Table2[[#This Row],[Corrected Form '#
 (If Duplicated)]]="",Table2[[#This Row],[Form '#]],Table2[[#This Row],[Corrected Form '#
 (If Duplicated)]])</f>
        <v>7818-23925</v>
      </c>
      <c r="N1600" s="1" t="s">
        <v>49</v>
      </c>
      <c r="O1600" s="6" t="str">
        <f>IF(Table2[[#This Row],[POG CONFIRMATION RECEIPT OF ORDER
(DATE &amp; TIME)]]="","No Confirmation","Received Confirmation")</f>
        <v>Received Confirmation</v>
      </c>
      <c r="P1600" s="6">
        <f ca="1">TODAY()-Table2[[#This Row],[DATE SENT TO POG]]</f>
        <v>137</v>
      </c>
      <c r="Q1600" s="6" t="s">
        <v>5803</v>
      </c>
      <c r="R16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00" s="2" t="str">
        <f>_xlfn.XLOOKUP(Table2[[#This Row],[Adjusted Form '#]],'[2]IN PROGRESS'!$D:$D,'[2]IN PROGRESS'!$M:$M,"Not Found")</f>
        <v>Not Found</v>
      </c>
      <c r="U1600" s="2" t="str">
        <f>_xlfn.XLOOKUP(Table2[[#This Row],[Adjusted Form '#]],[1]COMPLETED!$D:$D,[2]COMPLETED!$M:$M,"Not Found")</f>
        <v>Not Found</v>
      </c>
      <c r="V1600" s="17" t="str">
        <f>_xlfn.XLOOKUP(Table2[[#This Row],[Adjusted Form '#]],[2]COMPLETED!$D:$D,[2]COMPLETED!$O:$O,"Not Found")</f>
        <v>Not Found</v>
      </c>
      <c r="W1600" s="2" t="str">
        <f>_xlfn.XLOOKUP(Table2[[#This Row],[Adjusted Form '#]],[2]BILLED!$D:$D,[2]BILLED!$M:$M,"Not Found")</f>
        <v>9400 1361 0605 3346 8621 51</v>
      </c>
      <c r="X1600" s="17" t="e">
        <f>_xlfn.XLOOKUP(Table2[[#This Row],[Adjusted Form '#]],[2]BILLED!$D:$D,[1]BILLED!$O:$O,"Not Found")</f>
        <v>#REF!</v>
      </c>
      <c r="Y1600" s="17" t="str">
        <f>_xlfn.XLOOKUP(Table2[[#This Row],[Adjusted Form '#]],'[2]REJECTED ORDERS'!$D:$D,'[2]REJECTED ORDERS'!$E:$E)</f>
        <v>FORM NUMBER ALREADY USED</v>
      </c>
      <c r="Z1600" s="1"/>
      <c r="AA1600" s="1"/>
    </row>
    <row r="1601" spans="1:27" ht="15" customHeight="1" x14ac:dyDescent="0.35">
      <c r="A1601" s="4" t="s">
        <v>2372</v>
      </c>
      <c r="B1601" s="1" t="s">
        <v>888</v>
      </c>
      <c r="C1601" s="11">
        <v>45167</v>
      </c>
      <c r="D1601" s="11" t="s">
        <v>6791</v>
      </c>
      <c r="E1601" s="1" t="s">
        <v>21</v>
      </c>
      <c r="F1601" s="1" t="s">
        <v>6774</v>
      </c>
      <c r="G1601" s="6">
        <f>COUNTIF(F:F,Table2[[#This Row],[Form '#]])</f>
        <v>1</v>
      </c>
      <c r="H1601" s="1" t="s">
        <v>6775</v>
      </c>
      <c r="I1601" s="1" t="s">
        <v>3852</v>
      </c>
      <c r="J1601" s="1" t="s">
        <v>80</v>
      </c>
      <c r="K1601" s="1" t="s">
        <v>3853</v>
      </c>
      <c r="L1601" s="1"/>
      <c r="M1601" s="6" t="str">
        <f>IF(Table2[[#This Row],[Corrected Form '#
 (If Duplicated)]]="",Table2[[#This Row],[Form '#]],Table2[[#This Row],[Corrected Form '#
 (If Duplicated)]])</f>
        <v>7818-28237</v>
      </c>
      <c r="N1601" s="1" t="s">
        <v>49</v>
      </c>
      <c r="O1601" s="6" t="str">
        <f>IF(Table2[[#This Row],[POG CONFIRMATION RECEIPT OF ORDER
(DATE &amp; TIME)]]="","No Confirmation","Received Confirmation")</f>
        <v>Received Confirmation</v>
      </c>
      <c r="P1601" s="6">
        <f ca="1">TODAY()-Table2[[#This Row],[DATE SENT TO POG]]</f>
        <v>136</v>
      </c>
      <c r="Q1601" s="6" t="s">
        <v>5803</v>
      </c>
      <c r="R16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01" s="2" t="str">
        <f>_xlfn.XLOOKUP(Table2[[#This Row],[Adjusted Form '#]],'[2]IN PROGRESS'!$D:$D,'[2]IN PROGRESS'!$M:$M,"Not Found")</f>
        <v>Not Found</v>
      </c>
      <c r="U1601" s="2" t="str">
        <f>_xlfn.XLOOKUP(Table2[[#This Row],[Adjusted Form '#]],[1]COMPLETED!$D:$D,[2]COMPLETED!$M:$M,"Not Found")</f>
        <v>Not Found</v>
      </c>
      <c r="V1601" s="17" t="str">
        <f>_xlfn.XLOOKUP(Table2[[#This Row],[Adjusted Form '#]],[2]COMPLETED!$D:$D,[2]COMPLETED!$O:$O,"Not Found")</f>
        <v>Not Found</v>
      </c>
      <c r="W1601" s="2" t="str">
        <f>_xlfn.XLOOKUP(Table2[[#This Row],[Adjusted Form '#]],[2]BILLED!$D:$D,[2]BILLED!$M:$M,"Not Found")</f>
        <v>9400 1361 0605 3344 9378 82</v>
      </c>
      <c r="X1601" s="17" t="e">
        <f>_xlfn.XLOOKUP(Table2[[#This Row],[Adjusted Form '#]],[2]BILLED!$D:$D,[1]BILLED!$O:$O,"Not Found")</f>
        <v>#REF!</v>
      </c>
      <c r="Y1601" s="17" t="str">
        <f>_xlfn.XLOOKUP(Table2[[#This Row],[Adjusted Form '#]],'[2]REJECTED ORDERS'!$D:$D,'[2]REJECTED ORDERS'!$E:$E)</f>
        <v>FORM NUMBER ALREADY USED</v>
      </c>
      <c r="Z1601" s="1"/>
      <c r="AA1601" s="1"/>
    </row>
    <row r="1602" spans="1:27" ht="15" customHeight="1" x14ac:dyDescent="0.35">
      <c r="A1602" s="4" t="s">
        <v>2375</v>
      </c>
      <c r="B1602" s="1" t="s">
        <v>3623</v>
      </c>
      <c r="C1602" s="11">
        <v>45167</v>
      </c>
      <c r="D1602" s="11" t="s">
        <v>6791</v>
      </c>
      <c r="E1602" s="1" t="s">
        <v>21</v>
      </c>
      <c r="F1602" s="1" t="s">
        <v>6776</v>
      </c>
      <c r="G1602" s="6">
        <f>COUNTIF(F:F,Table2[[#This Row],[Form '#]])</f>
        <v>1</v>
      </c>
      <c r="H1602" s="1" t="s">
        <v>6777</v>
      </c>
      <c r="I1602" s="1" t="s">
        <v>127</v>
      </c>
      <c r="J1602" s="1" t="s">
        <v>76</v>
      </c>
      <c r="K1602" s="1" t="s">
        <v>3883</v>
      </c>
      <c r="L1602" s="1"/>
      <c r="M1602" s="6" t="str">
        <f>IF(Table2[[#This Row],[Corrected Form '#
 (If Duplicated)]]="",Table2[[#This Row],[Form '#]],Table2[[#This Row],[Corrected Form '#
 (If Duplicated)]])</f>
        <v>7818-18233</v>
      </c>
      <c r="N1602" s="1" t="s">
        <v>49</v>
      </c>
      <c r="O1602" s="6" t="str">
        <f>IF(Table2[[#This Row],[POG CONFIRMATION RECEIPT OF ORDER
(DATE &amp; TIME)]]="","No Confirmation","Received Confirmation")</f>
        <v>Received Confirmation</v>
      </c>
      <c r="P1602" s="6">
        <f ca="1">TODAY()-Table2[[#This Row],[DATE SENT TO POG]]</f>
        <v>136</v>
      </c>
      <c r="Q1602" s="6" t="s">
        <v>5803</v>
      </c>
      <c r="R16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02" s="2" t="str">
        <f>_xlfn.XLOOKUP(Table2[[#This Row],[Adjusted Form '#]],'[2]IN PROGRESS'!$D:$D,'[2]IN PROGRESS'!$M:$M,"Not Found")</f>
        <v>Not Found</v>
      </c>
      <c r="U1602" s="2" t="str">
        <f>_xlfn.XLOOKUP(Table2[[#This Row],[Adjusted Form '#]],[1]COMPLETED!$D:$D,[2]COMPLETED!$M:$M,"Not Found")</f>
        <v>Not Found</v>
      </c>
      <c r="V1602" s="17" t="str">
        <f>_xlfn.XLOOKUP(Table2[[#This Row],[Adjusted Form '#]],[2]COMPLETED!$D:$D,[2]COMPLETED!$O:$O,"Not Found")</f>
        <v>Not Found</v>
      </c>
      <c r="W1602" s="2" t="str">
        <f>_xlfn.XLOOKUP(Table2[[#This Row],[Adjusted Form '#]],[2]BILLED!$D:$D,[2]BILLED!$M:$M,"Not Found")</f>
        <v>9400 1361 0605 3346 2176 16</v>
      </c>
      <c r="X1602" s="17" t="e">
        <f>_xlfn.XLOOKUP(Table2[[#This Row],[Adjusted Form '#]],[2]BILLED!$D:$D,[1]BILLED!$O:$O,"Not Found")</f>
        <v>#REF!</v>
      </c>
      <c r="Y1602" s="17" t="str">
        <f>_xlfn.XLOOKUP(Table2[[#This Row],[Adjusted Form '#]],'[2]REJECTED ORDERS'!$D:$D,'[2]REJECTED ORDERS'!$E:$E)</f>
        <v>FORM NUMBER ALREADY USED</v>
      </c>
      <c r="Z1602" s="1"/>
      <c r="AA1602" s="1"/>
    </row>
    <row r="1603" spans="1:27" ht="15" customHeight="1" x14ac:dyDescent="0.35">
      <c r="A1603" s="4" t="s">
        <v>2376</v>
      </c>
      <c r="B1603" s="1" t="s">
        <v>1372</v>
      </c>
      <c r="C1603" s="11">
        <v>45167</v>
      </c>
      <c r="D1603" s="11" t="s">
        <v>6792</v>
      </c>
      <c r="E1603" s="1" t="s">
        <v>21</v>
      </c>
      <c r="F1603" s="1" t="s">
        <v>6778</v>
      </c>
      <c r="G1603" s="6">
        <f>COUNTIF(F:F,Table2[[#This Row],[Form '#]])</f>
        <v>1</v>
      </c>
      <c r="H1603" s="1" t="s">
        <v>6779</v>
      </c>
      <c r="I1603" s="1" t="s">
        <v>3864</v>
      </c>
      <c r="J1603" s="1" t="s">
        <v>78</v>
      </c>
      <c r="K1603" s="1" t="s">
        <v>3879</v>
      </c>
      <c r="L1603" s="1"/>
      <c r="M1603" s="6" t="str">
        <f>IF(Table2[[#This Row],[Corrected Form '#
 (If Duplicated)]]="",Table2[[#This Row],[Form '#]],Table2[[#This Row],[Corrected Form '#
 (If Duplicated)]])</f>
        <v>7818-03016</v>
      </c>
      <c r="N1603" s="1" t="s">
        <v>49</v>
      </c>
      <c r="O1603" s="6" t="str">
        <f>IF(Table2[[#This Row],[POG CONFIRMATION RECEIPT OF ORDER
(DATE &amp; TIME)]]="","No Confirmation","Received Confirmation")</f>
        <v>Received Confirmation</v>
      </c>
      <c r="P1603" s="6">
        <f ca="1">TODAY()-Table2[[#This Row],[DATE SENT TO POG]]</f>
        <v>136</v>
      </c>
      <c r="Q1603" s="6" t="s">
        <v>5802</v>
      </c>
      <c r="R16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60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603" s="2" t="str">
        <f>_xlfn.XLOOKUP(Table2[[#This Row],[Adjusted Form '#]],'[2]IN PROGRESS'!$D:$D,'[2]IN PROGRESS'!$M:$M,"Not Found")</f>
        <v>Not Found</v>
      </c>
      <c r="U1603" s="2" t="str">
        <f>_xlfn.XLOOKUP(Table2[[#This Row],[Adjusted Form '#]],[1]COMPLETED!$D:$D,[2]COMPLETED!$M:$M,"Not Found")</f>
        <v>Not Found</v>
      </c>
      <c r="V1603" s="17" t="str">
        <f>_xlfn.XLOOKUP(Table2[[#This Row],[Adjusted Form '#]],[2]COMPLETED!$D:$D,[2]COMPLETED!$O:$O,"Not Found")</f>
        <v>Not Found</v>
      </c>
      <c r="W1603" s="2" t="str">
        <f>_xlfn.XLOOKUP(Table2[[#This Row],[Adjusted Form '#]],[2]BILLED!$D:$D,[2]BILLED!$M:$M,"Not Found")</f>
        <v>Not Found</v>
      </c>
      <c r="X1603" s="17" t="str">
        <f>_xlfn.XLOOKUP(Table2[[#This Row],[Adjusted Form '#]],[2]BILLED!$D:$D,[1]BILLED!$O:$O,"Not Found")</f>
        <v>Not Found</v>
      </c>
      <c r="Y1603" s="17" t="e">
        <f>_xlfn.XLOOKUP(Table2[[#This Row],[Adjusted Form '#]],'[2]REJECTED ORDERS'!$D:$D,'[2]REJECTED ORDERS'!$E:$E)</f>
        <v>#N/A</v>
      </c>
      <c r="Z1603" s="1"/>
      <c r="AA1603" s="1"/>
    </row>
    <row r="1604" spans="1:27" ht="15" customHeight="1" x14ac:dyDescent="0.35">
      <c r="A1604" s="4" t="s">
        <v>2377</v>
      </c>
      <c r="B1604" s="1" t="s">
        <v>1372</v>
      </c>
      <c r="C1604" s="11">
        <v>45167</v>
      </c>
      <c r="D1604" s="11" t="s">
        <v>6792</v>
      </c>
      <c r="E1604" s="1" t="s">
        <v>21</v>
      </c>
      <c r="F1604" s="1" t="s">
        <v>6780</v>
      </c>
      <c r="G1604" s="6">
        <f>COUNTIF(F:F,Table2[[#This Row],[Form '#]])</f>
        <v>1</v>
      </c>
      <c r="H1604" s="1" t="s">
        <v>3752</v>
      </c>
      <c r="I1604" s="1" t="s">
        <v>6781</v>
      </c>
      <c r="J1604" s="1" t="s">
        <v>80</v>
      </c>
      <c r="K1604" s="1" t="s">
        <v>3853</v>
      </c>
      <c r="L1604" s="1"/>
      <c r="M1604" s="6" t="str">
        <f>IF(Table2[[#This Row],[Corrected Form '#
 (If Duplicated)]]="",Table2[[#This Row],[Form '#]],Table2[[#This Row],[Corrected Form '#
 (If Duplicated)]])</f>
        <v>7818-3837</v>
      </c>
      <c r="N1604" s="1" t="s">
        <v>49</v>
      </c>
      <c r="O1604" s="6" t="str">
        <f>IF(Table2[[#This Row],[POG CONFIRMATION RECEIPT OF ORDER
(DATE &amp; TIME)]]="","No Confirmation","Received Confirmation")</f>
        <v>Received Confirmation</v>
      </c>
      <c r="P1604" s="6">
        <f ca="1">TODAY()-Table2[[#This Row],[DATE SENT TO POG]]</f>
        <v>136</v>
      </c>
      <c r="Q1604" s="6" t="s">
        <v>5802</v>
      </c>
      <c r="R16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60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604" s="2" t="str">
        <f>_xlfn.XLOOKUP(Table2[[#This Row],[Adjusted Form '#]],'[2]IN PROGRESS'!$D:$D,'[2]IN PROGRESS'!$M:$M,"Not Found")</f>
        <v>Not Found</v>
      </c>
      <c r="U1604" s="2" t="str">
        <f>_xlfn.XLOOKUP(Table2[[#This Row],[Adjusted Form '#]],[1]COMPLETED!$D:$D,[2]COMPLETED!$M:$M,"Not Found")</f>
        <v>Not Found</v>
      </c>
      <c r="V1604" s="17" t="str">
        <f>_xlfn.XLOOKUP(Table2[[#This Row],[Adjusted Form '#]],[2]COMPLETED!$D:$D,[2]COMPLETED!$O:$O,"Not Found")</f>
        <v>Not Found</v>
      </c>
      <c r="W1604" s="2" t="str">
        <f>_xlfn.XLOOKUP(Table2[[#This Row],[Adjusted Form '#]],[2]BILLED!$D:$D,[2]BILLED!$M:$M,"Not Found")</f>
        <v>Not Found</v>
      </c>
      <c r="X1604" s="17" t="str">
        <f>_xlfn.XLOOKUP(Table2[[#This Row],[Adjusted Form '#]],[2]BILLED!$D:$D,[1]BILLED!$O:$O,"Not Found")</f>
        <v>Not Found</v>
      </c>
      <c r="Y1604" s="17" t="e">
        <f>_xlfn.XLOOKUP(Table2[[#This Row],[Adjusted Form '#]],'[2]REJECTED ORDERS'!$D:$D,'[2]REJECTED ORDERS'!$E:$E)</f>
        <v>#N/A</v>
      </c>
      <c r="Z1604" s="1"/>
      <c r="AA1604" s="1"/>
    </row>
    <row r="1605" spans="1:27" ht="15" customHeight="1" x14ac:dyDescent="0.35">
      <c r="A1605" s="4" t="s">
        <v>2379</v>
      </c>
      <c r="B1605" s="1" t="s">
        <v>1372</v>
      </c>
      <c r="C1605" s="11">
        <v>45167</v>
      </c>
      <c r="D1605" s="11" t="s">
        <v>6792</v>
      </c>
      <c r="E1605" s="1" t="s">
        <v>21</v>
      </c>
      <c r="F1605" s="1" t="s">
        <v>6782</v>
      </c>
      <c r="G1605" s="6">
        <f>COUNTIF(F:F,Table2[[#This Row],[Form '#]])</f>
        <v>1</v>
      </c>
      <c r="H1605" s="1" t="s">
        <v>3628</v>
      </c>
      <c r="I1605" s="1" t="s">
        <v>3864</v>
      </c>
      <c r="J1605" s="1" t="s">
        <v>78</v>
      </c>
      <c r="K1605" s="1" t="s">
        <v>3879</v>
      </c>
      <c r="L1605" s="1"/>
      <c r="M1605" s="6" t="str">
        <f>IF(Table2[[#This Row],[Corrected Form '#
 (If Duplicated)]]="",Table2[[#This Row],[Form '#]],Table2[[#This Row],[Corrected Form '#
 (If Duplicated)]])</f>
        <v>7818-02294</v>
      </c>
      <c r="N1605" s="1" t="s">
        <v>49</v>
      </c>
      <c r="O1605" s="6" t="str">
        <f>IF(Table2[[#This Row],[POG CONFIRMATION RECEIPT OF ORDER
(DATE &amp; TIME)]]="","No Confirmation","Received Confirmation")</f>
        <v>Received Confirmation</v>
      </c>
      <c r="P1605" s="6">
        <f ca="1">TODAY()-Table2[[#This Row],[DATE SENT TO POG]]</f>
        <v>136</v>
      </c>
      <c r="Q1605" s="6" t="s">
        <v>5802</v>
      </c>
      <c r="R16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60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605" s="2" t="str">
        <f>_xlfn.XLOOKUP(Table2[[#This Row],[Adjusted Form '#]],'[2]IN PROGRESS'!$D:$D,'[2]IN PROGRESS'!$M:$M,"Not Found")</f>
        <v>Not Found</v>
      </c>
      <c r="U1605" s="2" t="str">
        <f>_xlfn.XLOOKUP(Table2[[#This Row],[Adjusted Form '#]],[1]COMPLETED!$D:$D,[2]COMPLETED!$M:$M,"Not Found")</f>
        <v>Not Found</v>
      </c>
      <c r="V1605" s="17" t="str">
        <f>_xlfn.XLOOKUP(Table2[[#This Row],[Adjusted Form '#]],[2]COMPLETED!$D:$D,[2]COMPLETED!$O:$O,"Not Found")</f>
        <v>Not Found</v>
      </c>
      <c r="W1605" s="2" t="str">
        <f>_xlfn.XLOOKUP(Table2[[#This Row],[Adjusted Form '#]],[2]BILLED!$D:$D,[2]BILLED!$M:$M,"Not Found")</f>
        <v>Not Found</v>
      </c>
      <c r="X1605" s="17" t="str">
        <f>_xlfn.XLOOKUP(Table2[[#This Row],[Adjusted Form '#]],[2]BILLED!$D:$D,[1]BILLED!$O:$O,"Not Found")</f>
        <v>Not Found</v>
      </c>
      <c r="Y1605" s="17" t="e">
        <f>_xlfn.XLOOKUP(Table2[[#This Row],[Adjusted Form '#]],'[2]REJECTED ORDERS'!$D:$D,'[2]REJECTED ORDERS'!$E:$E)</f>
        <v>#N/A</v>
      </c>
      <c r="Z1605" s="1"/>
      <c r="AA1605" s="1"/>
    </row>
    <row r="1606" spans="1:27" ht="15" customHeight="1" x14ac:dyDescent="0.35">
      <c r="A1606" s="4" t="s">
        <v>2381</v>
      </c>
      <c r="B1606" s="1" t="s">
        <v>1372</v>
      </c>
      <c r="C1606" s="11">
        <v>45167</v>
      </c>
      <c r="D1606" s="11" t="s">
        <v>6792</v>
      </c>
      <c r="E1606" s="1" t="s">
        <v>21</v>
      </c>
      <c r="F1606" s="1" t="s">
        <v>1497</v>
      </c>
      <c r="G1606" s="6">
        <f>COUNTIF(F:F,Table2[[#This Row],[Form '#]])</f>
        <v>1</v>
      </c>
      <c r="H1606" s="1" t="s">
        <v>3302</v>
      </c>
      <c r="I1606" s="1" t="s">
        <v>3864</v>
      </c>
      <c r="J1606" s="1" t="s">
        <v>78</v>
      </c>
      <c r="K1606" s="1" t="s">
        <v>3879</v>
      </c>
      <c r="L1606" s="1"/>
      <c r="M1606" s="6" t="str">
        <f>IF(Table2[[#This Row],[Corrected Form '#
 (If Duplicated)]]="",Table2[[#This Row],[Form '#]],Table2[[#This Row],[Corrected Form '#
 (If Duplicated)]])</f>
        <v>7818-01561</v>
      </c>
      <c r="N1606" s="1" t="s">
        <v>49</v>
      </c>
      <c r="O1606" s="6" t="str">
        <f>IF(Table2[[#This Row],[POG CONFIRMATION RECEIPT OF ORDER
(DATE &amp; TIME)]]="","No Confirmation","Received Confirmation")</f>
        <v>Received Confirmation</v>
      </c>
      <c r="P1606" s="6">
        <f ca="1">TODAY()-Table2[[#This Row],[DATE SENT TO POG]]</f>
        <v>136</v>
      </c>
      <c r="Q1606" s="6" t="s">
        <v>5802</v>
      </c>
      <c r="R16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60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606" s="2" t="str">
        <f>_xlfn.XLOOKUP(Table2[[#This Row],[Adjusted Form '#]],'[2]IN PROGRESS'!$D:$D,'[2]IN PROGRESS'!$M:$M,"Not Found")</f>
        <v>Not Found</v>
      </c>
      <c r="U1606" s="2" t="str">
        <f>_xlfn.XLOOKUP(Table2[[#This Row],[Adjusted Form '#]],[1]COMPLETED!$D:$D,[2]COMPLETED!$M:$M,"Not Found")</f>
        <v>Not Found</v>
      </c>
      <c r="V1606" s="17" t="str">
        <f>_xlfn.XLOOKUP(Table2[[#This Row],[Adjusted Form '#]],[2]COMPLETED!$D:$D,[2]COMPLETED!$O:$O,"Not Found")</f>
        <v>Not Found</v>
      </c>
      <c r="W1606" s="2" t="str">
        <f>_xlfn.XLOOKUP(Table2[[#This Row],[Adjusted Form '#]],[2]BILLED!$D:$D,[2]BILLED!$M:$M,"Not Found")</f>
        <v>Not Found</v>
      </c>
      <c r="X1606" s="17" t="str">
        <f>_xlfn.XLOOKUP(Table2[[#This Row],[Adjusted Form '#]],[2]BILLED!$D:$D,[1]BILLED!$O:$O,"Not Found")</f>
        <v>Not Found</v>
      </c>
      <c r="Y1606" s="17" t="e">
        <f>_xlfn.XLOOKUP(Table2[[#This Row],[Adjusted Form '#]],'[2]REJECTED ORDERS'!$D:$D,'[2]REJECTED ORDERS'!$E:$E)</f>
        <v>#N/A</v>
      </c>
      <c r="Z1606" s="1"/>
      <c r="AA1606" s="1"/>
    </row>
    <row r="1607" spans="1:27" ht="15" customHeight="1" x14ac:dyDescent="0.35">
      <c r="A1607" s="4" t="s">
        <v>2382</v>
      </c>
      <c r="B1607" s="1" t="s">
        <v>2242</v>
      </c>
      <c r="C1607" s="11">
        <v>45167</v>
      </c>
      <c r="D1607" s="11" t="s">
        <v>6792</v>
      </c>
      <c r="E1607" s="1" t="s">
        <v>21</v>
      </c>
      <c r="F1607" s="1" t="s">
        <v>6783</v>
      </c>
      <c r="G1607" s="6">
        <f>COUNTIF(F:F,Table2[[#This Row],[Form '#]])</f>
        <v>1</v>
      </c>
      <c r="H1607" s="1" t="s">
        <v>907</v>
      </c>
      <c r="I1607" s="1" t="s">
        <v>127</v>
      </c>
      <c r="J1607" s="1" t="s">
        <v>74</v>
      </c>
      <c r="K1607" s="1" t="s">
        <v>4011</v>
      </c>
      <c r="L1607" s="1"/>
      <c r="M1607" s="6" t="str">
        <f>IF(Table2[[#This Row],[Corrected Form '#
 (If Duplicated)]]="",Table2[[#This Row],[Form '#]],Table2[[#This Row],[Corrected Form '#
 (If Duplicated)]])</f>
        <v>7818-22697</v>
      </c>
      <c r="N1607" s="1" t="s">
        <v>49</v>
      </c>
      <c r="O1607" s="6" t="str">
        <f>IF(Table2[[#This Row],[POG CONFIRMATION RECEIPT OF ORDER
(DATE &amp; TIME)]]="","No Confirmation","Received Confirmation")</f>
        <v>Received Confirmation</v>
      </c>
      <c r="P1607" s="6">
        <f ca="1">TODAY()-Table2[[#This Row],[DATE SENT TO POG]]</f>
        <v>136</v>
      </c>
      <c r="Q1607" s="6" t="s">
        <v>5803</v>
      </c>
      <c r="R16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07" s="2" t="str">
        <f>_xlfn.XLOOKUP(Table2[[#This Row],[Adjusted Form '#]],'[2]IN PROGRESS'!$D:$D,'[2]IN PROGRESS'!$M:$M,"Not Found")</f>
        <v>Not Found</v>
      </c>
      <c r="U1607" s="2" t="str">
        <f>_xlfn.XLOOKUP(Table2[[#This Row],[Adjusted Form '#]],[1]COMPLETED!$D:$D,[2]COMPLETED!$M:$M,"Not Found")</f>
        <v>Not Found</v>
      </c>
      <c r="V1607" s="17" t="str">
        <f>_xlfn.XLOOKUP(Table2[[#This Row],[Adjusted Form '#]],[2]COMPLETED!$D:$D,[2]COMPLETED!$O:$O,"Not Found")</f>
        <v>Not Found</v>
      </c>
      <c r="W1607" s="2" t="str">
        <f>_xlfn.XLOOKUP(Table2[[#This Row],[Adjusted Form '#]],[2]BILLED!$D:$D,[2]BILLED!$M:$M,"Not Found")</f>
        <v>9400 1361 0605 3346 8854 64</v>
      </c>
      <c r="X1607" s="17" t="e">
        <f>_xlfn.XLOOKUP(Table2[[#This Row],[Adjusted Form '#]],[2]BILLED!$D:$D,[1]BILLED!$O:$O,"Not Found")</f>
        <v>#REF!</v>
      </c>
      <c r="Y1607" s="17" t="e">
        <f>_xlfn.XLOOKUP(Table2[[#This Row],[Adjusted Form '#]],'[2]REJECTED ORDERS'!$D:$D,'[2]REJECTED ORDERS'!$E:$E)</f>
        <v>#N/A</v>
      </c>
      <c r="Z1607" s="1"/>
      <c r="AA1607" s="1"/>
    </row>
    <row r="1608" spans="1:27" ht="15" customHeight="1" x14ac:dyDescent="0.35">
      <c r="A1608" s="4" t="s">
        <v>2385</v>
      </c>
      <c r="B1608" s="1" t="s">
        <v>2906</v>
      </c>
      <c r="C1608" s="11">
        <v>45167</v>
      </c>
      <c r="E1608" s="1" t="s">
        <v>21</v>
      </c>
      <c r="F1608" s="1" t="s">
        <v>6784</v>
      </c>
      <c r="G1608" s="6">
        <f>COUNTIF(F:F,Table2[[#This Row],[Form '#]])</f>
        <v>1</v>
      </c>
      <c r="H1608" s="1" t="s">
        <v>6125</v>
      </c>
      <c r="I1608" s="1" t="s">
        <v>3864</v>
      </c>
      <c r="J1608" s="1" t="s">
        <v>78</v>
      </c>
      <c r="K1608" s="1" t="s">
        <v>3879</v>
      </c>
      <c r="L1608" s="1"/>
      <c r="M1608" s="6" t="str">
        <f>IF(Table2[[#This Row],[Corrected Form '#
 (If Duplicated)]]="",Table2[[#This Row],[Form '#]],Table2[[#This Row],[Corrected Form '#
 (If Duplicated)]])</f>
        <v>7818-29032</v>
      </c>
      <c r="N1608" s="1" t="s">
        <v>49</v>
      </c>
      <c r="O1608" s="6" t="str">
        <f>IF(Table2[[#This Row],[POG CONFIRMATION RECEIPT OF ORDER
(DATE &amp; TIME)]]="","No Confirmation","Received Confirmation")</f>
        <v>No Confirmation</v>
      </c>
      <c r="P1608" s="6">
        <f ca="1">TODAY()-Table2[[#This Row],[DATE SENT TO POG]]</f>
        <v>136</v>
      </c>
      <c r="Q1608" s="6" t="s">
        <v>5803</v>
      </c>
      <c r="R16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08" s="2" t="str">
        <f>_xlfn.XLOOKUP(Table2[[#This Row],[Adjusted Form '#]],'[2]IN PROGRESS'!$D:$D,'[2]IN PROGRESS'!$M:$M,"Not Found")</f>
        <v>Not Found</v>
      </c>
      <c r="U1608" s="2" t="str">
        <f>_xlfn.XLOOKUP(Table2[[#This Row],[Adjusted Form '#]],[1]COMPLETED!$D:$D,[2]COMPLETED!$M:$M,"Not Found")</f>
        <v>Not Found</v>
      </c>
      <c r="V1608" s="17" t="str">
        <f>_xlfn.XLOOKUP(Table2[[#This Row],[Adjusted Form '#]],[2]COMPLETED!$D:$D,[2]COMPLETED!$O:$O,"Not Found")</f>
        <v>Not Found</v>
      </c>
      <c r="W1608" s="2" t="str">
        <f>_xlfn.XLOOKUP(Table2[[#This Row],[Adjusted Form '#]],[2]BILLED!$D:$D,[2]BILLED!$M:$M,"Not Found")</f>
        <v>9400 1112 0620 9434 0893 06</v>
      </c>
      <c r="X1608" s="17" t="e">
        <f>_xlfn.XLOOKUP(Table2[[#This Row],[Adjusted Form '#]],[2]BILLED!$D:$D,[1]BILLED!$O:$O,"Not Found")</f>
        <v>#REF!</v>
      </c>
      <c r="Y1608" s="17" t="e">
        <f>_xlfn.XLOOKUP(Table2[[#This Row],[Adjusted Form '#]],'[2]REJECTED ORDERS'!$D:$D,'[2]REJECTED ORDERS'!$E:$E)</f>
        <v>#N/A</v>
      </c>
      <c r="Z1608" s="1"/>
      <c r="AA1608" s="1"/>
    </row>
    <row r="1609" spans="1:27" ht="15" customHeight="1" x14ac:dyDescent="0.35">
      <c r="A1609" s="4" t="s">
        <v>2387</v>
      </c>
      <c r="B1609" s="1" t="s">
        <v>429</v>
      </c>
      <c r="C1609" s="11">
        <v>45167</v>
      </c>
      <c r="D1609" s="11" t="s">
        <v>6793</v>
      </c>
      <c r="E1609" s="1" t="s">
        <v>21</v>
      </c>
      <c r="F1609" s="1" t="s">
        <v>6785</v>
      </c>
      <c r="G1609" s="6">
        <f>COUNTIF(F:F,Table2[[#This Row],[Form '#]])</f>
        <v>1</v>
      </c>
      <c r="H1609" s="1" t="s">
        <v>6786</v>
      </c>
      <c r="I1609" s="1" t="s">
        <v>28</v>
      </c>
      <c r="J1609" s="1" t="s">
        <v>69</v>
      </c>
      <c r="K1609" s="1" t="s">
        <v>4011</v>
      </c>
      <c r="L1609" s="1"/>
      <c r="M1609" s="6" t="str">
        <f>IF(Table2[[#This Row],[Corrected Form '#
 (If Duplicated)]]="",Table2[[#This Row],[Form '#]],Table2[[#This Row],[Corrected Form '#
 (If Duplicated)]])</f>
        <v>7818-19418</v>
      </c>
      <c r="N1609" s="1" t="s">
        <v>49</v>
      </c>
      <c r="O1609" s="6" t="str">
        <f>IF(Table2[[#This Row],[POG CONFIRMATION RECEIPT OF ORDER
(DATE &amp; TIME)]]="","No Confirmation","Received Confirmation")</f>
        <v>Received Confirmation</v>
      </c>
      <c r="P1609" s="6">
        <f ca="1">TODAY()-Table2[[#This Row],[DATE SENT TO POG]]</f>
        <v>136</v>
      </c>
      <c r="Q1609" s="6" t="s">
        <v>5803</v>
      </c>
      <c r="R16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09" s="2" t="str">
        <f>_xlfn.XLOOKUP(Table2[[#This Row],[Adjusted Form '#]],'[2]IN PROGRESS'!$D:$D,'[2]IN PROGRESS'!$M:$M,"Not Found")</f>
        <v>Not Found</v>
      </c>
      <c r="U1609" s="2" t="str">
        <f>_xlfn.XLOOKUP(Table2[[#This Row],[Adjusted Form '#]],[1]COMPLETED!$D:$D,[2]COMPLETED!$M:$M,"Not Found")</f>
        <v>Not Found</v>
      </c>
      <c r="V1609" s="17" t="str">
        <f>_xlfn.XLOOKUP(Table2[[#This Row],[Adjusted Form '#]],[2]COMPLETED!$D:$D,[2]COMPLETED!$O:$O,"Not Found")</f>
        <v>Not Found</v>
      </c>
      <c r="W1609" s="2" t="str">
        <f>_xlfn.XLOOKUP(Table2[[#This Row],[Adjusted Form '#]],[2]BILLED!$D:$D,[2]BILLED!$M:$M,"Not Found")</f>
        <v>9400 1361 0605 3329 3386 59</v>
      </c>
      <c r="X1609" s="17" t="e">
        <f>_xlfn.XLOOKUP(Table2[[#This Row],[Adjusted Form '#]],[2]BILLED!$D:$D,[1]BILLED!$O:$O,"Not Found")</f>
        <v>#REF!</v>
      </c>
      <c r="Y1609" s="17" t="e">
        <f>_xlfn.XLOOKUP(Table2[[#This Row],[Adjusted Form '#]],'[2]REJECTED ORDERS'!$D:$D,'[2]REJECTED ORDERS'!$E:$E)</f>
        <v>#N/A</v>
      </c>
      <c r="Z1609" s="1"/>
      <c r="AA1609" s="1"/>
    </row>
    <row r="1610" spans="1:27" ht="15" customHeight="1" x14ac:dyDescent="0.35">
      <c r="A1610" s="4" t="s">
        <v>2388</v>
      </c>
      <c r="B1610" s="1" t="s">
        <v>1245</v>
      </c>
      <c r="C1610" s="11">
        <v>45167</v>
      </c>
      <c r="D1610" s="11" t="s">
        <v>6793</v>
      </c>
      <c r="E1610" s="1" t="s">
        <v>21</v>
      </c>
      <c r="F1610" s="1" t="s">
        <v>6787</v>
      </c>
      <c r="G1610" s="6">
        <f>COUNTIF(F:F,Table2[[#This Row],[Form '#]])</f>
        <v>1</v>
      </c>
      <c r="H1610" s="1" t="s">
        <v>6788</v>
      </c>
      <c r="I1610" s="1" t="s">
        <v>28</v>
      </c>
      <c r="J1610" s="1" t="s">
        <v>69</v>
      </c>
      <c r="K1610" s="1" t="s">
        <v>4011</v>
      </c>
      <c r="L1610" s="1"/>
      <c r="M1610" s="6" t="str">
        <f>IF(Table2[[#This Row],[Corrected Form '#
 (If Duplicated)]]="",Table2[[#This Row],[Form '#]],Table2[[#This Row],[Corrected Form '#
 (If Duplicated)]])</f>
        <v>7818-26812</v>
      </c>
      <c r="N1610" s="1" t="s">
        <v>49</v>
      </c>
      <c r="O1610" s="6" t="str">
        <f>IF(Table2[[#This Row],[POG CONFIRMATION RECEIPT OF ORDER
(DATE &amp; TIME)]]="","No Confirmation","Received Confirmation")</f>
        <v>Received Confirmation</v>
      </c>
      <c r="P1610" s="6">
        <f ca="1">TODAY()-Table2[[#This Row],[DATE SENT TO POG]]</f>
        <v>136</v>
      </c>
      <c r="Q1610" s="6" t="s">
        <v>5803</v>
      </c>
      <c r="R16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0" s="2" t="str">
        <f>_xlfn.XLOOKUP(Table2[[#This Row],[Adjusted Form '#]],'[2]IN PROGRESS'!$D:$D,'[2]IN PROGRESS'!$M:$M,"Not Found")</f>
        <v>Not Found</v>
      </c>
      <c r="U1610" s="2" t="str">
        <f>_xlfn.XLOOKUP(Table2[[#This Row],[Adjusted Form '#]],[1]COMPLETED!$D:$D,[2]COMPLETED!$M:$M,"Not Found")</f>
        <v>Not Found</v>
      </c>
      <c r="V1610" s="17" t="str">
        <f>_xlfn.XLOOKUP(Table2[[#This Row],[Adjusted Form '#]],[2]COMPLETED!$D:$D,[2]COMPLETED!$O:$O,"Not Found")</f>
        <v>Not Found</v>
      </c>
      <c r="W1610" s="2" t="str">
        <f>_xlfn.XLOOKUP(Table2[[#This Row],[Adjusted Form '#]],[2]BILLED!$D:$D,[2]BILLED!$M:$M,"Not Found")</f>
        <v>9400 1361 0605 3344 9802 84</v>
      </c>
      <c r="X1610" s="17" t="e">
        <f>_xlfn.XLOOKUP(Table2[[#This Row],[Adjusted Form '#]],[2]BILLED!$D:$D,[1]BILLED!$O:$O,"Not Found")</f>
        <v>#REF!</v>
      </c>
      <c r="Y1610" s="17" t="e">
        <f>_xlfn.XLOOKUP(Table2[[#This Row],[Adjusted Form '#]],'[2]REJECTED ORDERS'!$D:$D,'[2]REJECTED ORDERS'!$E:$E)</f>
        <v>#N/A</v>
      </c>
      <c r="Z1610" s="1"/>
      <c r="AA1610" s="1"/>
    </row>
    <row r="1611" spans="1:27" ht="15" customHeight="1" x14ac:dyDescent="0.35">
      <c r="A1611" s="4" t="s">
        <v>2390</v>
      </c>
      <c r="B1611" s="1" t="s">
        <v>2535</v>
      </c>
      <c r="C1611" s="11">
        <v>45167</v>
      </c>
      <c r="D1611" s="11" t="s">
        <v>6793</v>
      </c>
      <c r="E1611" s="1" t="s">
        <v>21</v>
      </c>
      <c r="F1611" s="1" t="s">
        <v>6789</v>
      </c>
      <c r="G1611" s="6">
        <f>COUNTIF(F:F,Table2[[#This Row],[Form '#]])</f>
        <v>1</v>
      </c>
      <c r="H1611" s="1" t="s">
        <v>1333</v>
      </c>
      <c r="I1611" s="1" t="s">
        <v>758</v>
      </c>
      <c r="J1611" s="1" t="s">
        <v>78</v>
      </c>
      <c r="K1611" s="1" t="s">
        <v>4430</v>
      </c>
      <c r="L1611" s="1"/>
      <c r="M1611" s="6" t="str">
        <f>IF(Table2[[#This Row],[Corrected Form '#
 (If Duplicated)]]="",Table2[[#This Row],[Form '#]],Table2[[#This Row],[Corrected Form '#
 (If Duplicated)]])</f>
        <v>7818-31168</v>
      </c>
      <c r="N1611" s="1" t="s">
        <v>49</v>
      </c>
      <c r="O1611" s="6" t="str">
        <f>IF(Table2[[#This Row],[POG CONFIRMATION RECEIPT OF ORDER
(DATE &amp; TIME)]]="","No Confirmation","Received Confirmation")</f>
        <v>Received Confirmation</v>
      </c>
      <c r="P1611" s="6">
        <f ca="1">TODAY()-Table2[[#This Row],[DATE SENT TO POG]]</f>
        <v>136</v>
      </c>
      <c r="Q1611" s="6" t="s">
        <v>5803</v>
      </c>
      <c r="R16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1" s="2" t="str">
        <f>_xlfn.XLOOKUP(Table2[[#This Row],[Adjusted Form '#]],'[2]IN PROGRESS'!$D:$D,'[2]IN PROGRESS'!$M:$M,"Not Found")</f>
        <v>Not Found</v>
      </c>
      <c r="U1611" s="2" t="str">
        <f>_xlfn.XLOOKUP(Table2[[#This Row],[Adjusted Form '#]],[1]COMPLETED!$D:$D,[2]COMPLETED!$M:$M,"Not Found")</f>
        <v>Not Found</v>
      </c>
      <c r="V1611" s="17" t="str">
        <f>_xlfn.XLOOKUP(Table2[[#This Row],[Adjusted Form '#]],[2]COMPLETED!$D:$D,[2]COMPLETED!$O:$O,"Not Found")</f>
        <v>Not Found</v>
      </c>
      <c r="W1611" s="2" t="str">
        <f>_xlfn.XLOOKUP(Table2[[#This Row],[Adjusted Form '#]],[2]BILLED!$D:$D,[2]BILLED!$M:$M,"Not Found")</f>
        <v>9400 1361 0605 3356 3699 85</v>
      </c>
      <c r="X1611" s="17" t="e">
        <f>_xlfn.XLOOKUP(Table2[[#This Row],[Adjusted Form '#]],[2]BILLED!$D:$D,[1]BILLED!$O:$O,"Not Found")</f>
        <v>#REF!</v>
      </c>
      <c r="Y1611" s="17" t="e">
        <f>_xlfn.XLOOKUP(Table2[[#This Row],[Adjusted Form '#]],'[2]REJECTED ORDERS'!$D:$D,'[2]REJECTED ORDERS'!$E:$E)</f>
        <v>#N/A</v>
      </c>
      <c r="Z1611" s="1"/>
      <c r="AA1611" s="1"/>
    </row>
    <row r="1612" spans="1:27" ht="15" customHeight="1" x14ac:dyDescent="0.35">
      <c r="A1612" s="4" t="s">
        <v>2392</v>
      </c>
      <c r="B1612" s="1" t="s">
        <v>2535</v>
      </c>
      <c r="C1612" s="11">
        <v>45167</v>
      </c>
      <c r="D1612" s="11" t="s">
        <v>6793</v>
      </c>
      <c r="E1612" s="1" t="s">
        <v>21</v>
      </c>
      <c r="F1612" s="1" t="s">
        <v>6790</v>
      </c>
      <c r="G1612" s="6">
        <f>COUNTIF(F:F,Table2[[#This Row],[Form '#]])</f>
        <v>1</v>
      </c>
      <c r="H1612" s="1" t="s">
        <v>1958</v>
      </c>
      <c r="I1612" s="1" t="s">
        <v>28</v>
      </c>
      <c r="J1612" s="1" t="s">
        <v>69</v>
      </c>
      <c r="K1612" s="1" t="s">
        <v>4011</v>
      </c>
      <c r="L1612" s="1"/>
      <c r="M1612" s="6" t="str">
        <f>IF(Table2[[#This Row],[Corrected Form '#
 (If Duplicated)]]="",Table2[[#This Row],[Form '#]],Table2[[#This Row],[Corrected Form '#
 (If Duplicated)]])</f>
        <v>7818-31169</v>
      </c>
      <c r="N1612" s="1" t="s">
        <v>49</v>
      </c>
      <c r="O1612" s="6" t="str">
        <f>IF(Table2[[#This Row],[POG CONFIRMATION RECEIPT OF ORDER
(DATE &amp; TIME)]]="","No Confirmation","Received Confirmation")</f>
        <v>Received Confirmation</v>
      </c>
      <c r="P1612" s="6">
        <f ca="1">TODAY()-Table2[[#This Row],[DATE SENT TO POG]]</f>
        <v>136</v>
      </c>
      <c r="Q1612" s="6" t="s">
        <v>5803</v>
      </c>
      <c r="R16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2" s="2" t="str">
        <f>_xlfn.XLOOKUP(Table2[[#This Row],[Adjusted Form '#]],'[2]IN PROGRESS'!$D:$D,'[2]IN PROGRESS'!$M:$M,"Not Found")</f>
        <v>Not Found</v>
      </c>
      <c r="U1612" s="2" t="str">
        <f>_xlfn.XLOOKUP(Table2[[#This Row],[Adjusted Form '#]],[1]COMPLETED!$D:$D,[2]COMPLETED!$M:$M,"Not Found")</f>
        <v>Not Found</v>
      </c>
      <c r="V1612" s="17" t="str">
        <f>_xlfn.XLOOKUP(Table2[[#This Row],[Adjusted Form '#]],[2]COMPLETED!$D:$D,[2]COMPLETED!$O:$O,"Not Found")</f>
        <v>Not Found</v>
      </c>
      <c r="W1612" s="2" t="str">
        <f>_xlfn.XLOOKUP(Table2[[#This Row],[Adjusted Form '#]],[2]BILLED!$D:$D,[2]BILLED!$M:$M,"Not Found")</f>
        <v>9400 1361 0605 3346 8741 16</v>
      </c>
      <c r="X1612" s="17" t="e">
        <f>_xlfn.XLOOKUP(Table2[[#This Row],[Adjusted Form '#]],[2]BILLED!$D:$D,[1]BILLED!$O:$O,"Not Found")</f>
        <v>#REF!</v>
      </c>
      <c r="Y1612" s="17" t="e">
        <f>_xlfn.XLOOKUP(Table2[[#This Row],[Adjusted Form '#]],'[2]REJECTED ORDERS'!$D:$D,'[2]REJECTED ORDERS'!$E:$E)</f>
        <v>#N/A</v>
      </c>
      <c r="Z1612" s="1"/>
      <c r="AA1612" s="1"/>
    </row>
    <row r="1613" spans="1:27" ht="15" customHeight="1" x14ac:dyDescent="0.35">
      <c r="A1613" s="4" t="s">
        <v>2393</v>
      </c>
      <c r="B1613" s="1" t="s">
        <v>1006</v>
      </c>
      <c r="C1613" s="11">
        <v>45168</v>
      </c>
      <c r="D1613" s="11" t="s">
        <v>6797</v>
      </c>
      <c r="E1613" s="1" t="s">
        <v>21</v>
      </c>
      <c r="F1613" s="1" t="s">
        <v>6794</v>
      </c>
      <c r="G1613" s="6">
        <f>COUNTIF(F:F,Table2[[#This Row],[Form '#]])</f>
        <v>1</v>
      </c>
      <c r="H1613" s="1" t="s">
        <v>6795</v>
      </c>
      <c r="I1613" s="1" t="s">
        <v>3852</v>
      </c>
      <c r="J1613" s="1" t="s">
        <v>75</v>
      </c>
      <c r="K1613" s="1" t="s">
        <v>3853</v>
      </c>
      <c r="L1613" s="1"/>
      <c r="M1613" s="6" t="str">
        <f>IF(Table2[[#This Row],[Corrected Form '#
 (If Duplicated)]]="",Table2[[#This Row],[Form '#]],Table2[[#This Row],[Corrected Form '#
 (If Duplicated)]])</f>
        <v>7818-26065</v>
      </c>
      <c r="N1613" s="1" t="s">
        <v>49</v>
      </c>
      <c r="O1613" s="6" t="str">
        <f>IF(Table2[[#This Row],[POG CONFIRMATION RECEIPT OF ORDER
(DATE &amp; TIME)]]="","No Confirmation","Received Confirmation")</f>
        <v>Received Confirmation</v>
      </c>
      <c r="P1613" s="6">
        <f ca="1">TODAY()-Table2[[#This Row],[DATE SENT TO POG]]</f>
        <v>135</v>
      </c>
      <c r="Q1613" s="6" t="s">
        <v>5803</v>
      </c>
      <c r="R16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3" s="2" t="str">
        <f>_xlfn.XLOOKUP(Table2[[#This Row],[Adjusted Form '#]],'[2]IN PROGRESS'!$D:$D,'[2]IN PROGRESS'!$M:$M,"Not Found")</f>
        <v>Not Found</v>
      </c>
      <c r="U1613" s="2" t="str">
        <f>_xlfn.XLOOKUP(Table2[[#This Row],[Adjusted Form '#]],[1]COMPLETED!$D:$D,[2]COMPLETED!$M:$M,"Not Found")</f>
        <v>Not Found</v>
      </c>
      <c r="V1613" s="17" t="str">
        <f>_xlfn.XLOOKUP(Table2[[#This Row],[Adjusted Form '#]],[2]COMPLETED!$D:$D,[2]COMPLETED!$O:$O,"Not Found")</f>
        <v>Not Found</v>
      </c>
      <c r="W1613" s="2" t="str">
        <f>_xlfn.XLOOKUP(Table2[[#This Row],[Adjusted Form '#]],[2]BILLED!$D:$D,[2]BILLED!$M:$M,"Not Found")</f>
        <v>9400 1112 0620 9565 2568 82</v>
      </c>
      <c r="X1613" s="17" t="e">
        <f>_xlfn.XLOOKUP(Table2[[#This Row],[Adjusted Form '#]],[2]BILLED!$D:$D,[1]BILLED!$O:$O,"Not Found")</f>
        <v>#REF!</v>
      </c>
      <c r="Y1613" s="17" t="e">
        <f>_xlfn.XLOOKUP(Table2[[#This Row],[Adjusted Form '#]],'[2]REJECTED ORDERS'!$D:$D,'[2]REJECTED ORDERS'!$E:$E)</f>
        <v>#N/A</v>
      </c>
      <c r="Z1613" s="1"/>
      <c r="AA1613" s="1"/>
    </row>
    <row r="1614" spans="1:27" ht="15" customHeight="1" x14ac:dyDescent="0.35">
      <c r="A1614" s="4" t="s">
        <v>2394</v>
      </c>
      <c r="B1614" s="1" t="s">
        <v>2383</v>
      </c>
      <c r="C1614" s="11">
        <v>45168</v>
      </c>
      <c r="D1614" s="11" t="s">
        <v>6796</v>
      </c>
      <c r="E1614" s="1" t="s">
        <v>14</v>
      </c>
      <c r="F1614" s="1" t="s">
        <v>6321</v>
      </c>
      <c r="G1614" s="6">
        <f>COUNTIF(F:F,Table2[[#This Row],[Form '#]])</f>
        <v>2</v>
      </c>
      <c r="H1614" s="1" t="s">
        <v>1108</v>
      </c>
      <c r="I1614" s="1" t="s">
        <v>127</v>
      </c>
      <c r="J1614" s="1" t="s">
        <v>3891</v>
      </c>
      <c r="K1614" s="1" t="s">
        <v>4011</v>
      </c>
      <c r="L1614" s="1"/>
      <c r="M1614" s="6" t="str">
        <f>IF(Table2[[#This Row],[Corrected Form '#
 (If Duplicated)]]="",Table2[[#This Row],[Form '#]],Table2[[#This Row],[Corrected Form '#
 (If Duplicated)]])</f>
        <v>7810-02111</v>
      </c>
      <c r="N1614" s="1" t="s">
        <v>49</v>
      </c>
      <c r="O1614" s="6" t="str">
        <f>IF(Table2[[#This Row],[POG CONFIRMATION RECEIPT OF ORDER
(DATE &amp; TIME)]]="","No Confirmation","Received Confirmation")</f>
        <v>Received Confirmation</v>
      </c>
      <c r="P1614" s="6">
        <f ca="1">TODAY()-Table2[[#This Row],[DATE SENT TO POG]]</f>
        <v>135</v>
      </c>
      <c r="Q1614" s="6" t="s">
        <v>5803</v>
      </c>
      <c r="R16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4" s="2" t="str">
        <f>_xlfn.XLOOKUP(Table2[[#This Row],[Adjusted Form '#]],'[2]IN PROGRESS'!$D:$D,'[2]IN PROGRESS'!$M:$M,"Not Found")</f>
        <v>Not Found</v>
      </c>
      <c r="U1614" s="2" t="str">
        <f>_xlfn.XLOOKUP(Table2[[#This Row],[Adjusted Form '#]],[1]COMPLETED!$D:$D,[2]COMPLETED!$M:$M,"Not Found")</f>
        <v>Not Found</v>
      </c>
      <c r="V1614" s="17" t="str">
        <f>_xlfn.XLOOKUP(Table2[[#This Row],[Adjusted Form '#]],[2]COMPLETED!$D:$D,[2]COMPLETED!$O:$O,"Not Found")</f>
        <v>Not Found</v>
      </c>
      <c r="W1614" s="2" t="str">
        <f>_xlfn.XLOOKUP(Table2[[#This Row],[Adjusted Form '#]],[2]BILLED!$D:$D,[2]BILLED!$M:$M,"Not Found")</f>
        <v>9400 1361 0605 3123 9420 69</v>
      </c>
      <c r="X1614" s="17" t="e">
        <f>_xlfn.XLOOKUP(Table2[[#This Row],[Adjusted Form '#]],[2]BILLED!$D:$D,[1]BILLED!$O:$O,"Not Found")</f>
        <v>#REF!</v>
      </c>
      <c r="Y1614" s="17" t="str">
        <f>_xlfn.XLOOKUP(Table2[[#This Row],[Adjusted Form '#]],'[2]REJECTED ORDERS'!$D:$D,'[2]REJECTED ORDERS'!$E:$E)</f>
        <v>FORM NUMBER ALREADY USED</v>
      </c>
      <c r="Z1614" s="1"/>
      <c r="AA1614" s="1"/>
    </row>
    <row r="1615" spans="1:27" ht="15" customHeight="1" x14ac:dyDescent="0.35">
      <c r="A1615" s="4" t="s">
        <v>2396</v>
      </c>
      <c r="B1615" s="1" t="s">
        <v>660</v>
      </c>
      <c r="C1615" s="11">
        <v>45168</v>
      </c>
      <c r="D1615" s="11" t="s">
        <v>6800</v>
      </c>
      <c r="E1615" s="1" t="s">
        <v>73</v>
      </c>
      <c r="F1615" s="1" t="s">
        <v>6798</v>
      </c>
      <c r="G1615" s="6">
        <f>COUNTIF(F:F,Table2[[#This Row],[Form '#]])</f>
        <v>1</v>
      </c>
      <c r="H1615" s="1" t="s">
        <v>6799</v>
      </c>
      <c r="I1615" s="1" t="s">
        <v>177</v>
      </c>
      <c r="J1615" s="1" t="s">
        <v>75</v>
      </c>
      <c r="K1615" s="1" t="s">
        <v>3853</v>
      </c>
      <c r="L1615" s="1"/>
      <c r="M1615" s="6" t="str">
        <f>IF(Table2[[#This Row],[Corrected Form '#
 (If Duplicated)]]="",Table2[[#This Row],[Form '#]],Table2[[#This Row],[Corrected Form '#
 (If Duplicated)]])</f>
        <v>7823-03036</v>
      </c>
      <c r="N1615" s="1" t="s">
        <v>49</v>
      </c>
      <c r="O1615" s="6" t="str">
        <f>IF(Table2[[#This Row],[POG CONFIRMATION RECEIPT OF ORDER
(DATE &amp; TIME)]]="","No Confirmation","Received Confirmation")</f>
        <v>Received Confirmation</v>
      </c>
      <c r="P1615" s="6">
        <f ca="1">TODAY()-Table2[[#This Row],[DATE SENT TO POG]]</f>
        <v>135</v>
      </c>
      <c r="Q1615" s="6" t="s">
        <v>5803</v>
      </c>
      <c r="R16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5" s="2" t="str">
        <f>_xlfn.XLOOKUP(Table2[[#This Row],[Adjusted Form '#]],'[2]IN PROGRESS'!$D:$D,'[2]IN PROGRESS'!$M:$M,"Not Found")</f>
        <v>Not Found</v>
      </c>
      <c r="U1615" s="2" t="str">
        <f>_xlfn.XLOOKUP(Table2[[#This Row],[Adjusted Form '#]],[1]COMPLETED!$D:$D,[2]COMPLETED!$M:$M,"Not Found")</f>
        <v>Not Found</v>
      </c>
      <c r="V1615" s="17" t="str">
        <f>_xlfn.XLOOKUP(Table2[[#This Row],[Adjusted Form '#]],[2]COMPLETED!$D:$D,[2]COMPLETED!$O:$O,"Not Found")</f>
        <v>Not Found</v>
      </c>
      <c r="W1615" s="2" t="str">
        <f>_xlfn.XLOOKUP(Table2[[#This Row],[Adjusted Form '#]],[2]BILLED!$D:$D,[2]BILLED!$M:$M,"Not Found")</f>
        <v>9400 1361 0605 3336 4201 01</v>
      </c>
      <c r="X1615" s="17" t="e">
        <f>_xlfn.XLOOKUP(Table2[[#This Row],[Adjusted Form '#]],[2]BILLED!$D:$D,[1]BILLED!$O:$O,"Not Found")</f>
        <v>#REF!</v>
      </c>
      <c r="Y1615" s="17" t="e">
        <f>_xlfn.XLOOKUP(Table2[[#This Row],[Adjusted Form '#]],'[2]REJECTED ORDERS'!$D:$D,'[2]REJECTED ORDERS'!$E:$E)</f>
        <v>#N/A</v>
      </c>
      <c r="Z1615" s="1"/>
      <c r="AA1615" s="1"/>
    </row>
    <row r="1616" spans="1:27" ht="15" customHeight="1" x14ac:dyDescent="0.35">
      <c r="A1616" s="4" t="s">
        <v>2398</v>
      </c>
      <c r="B1616" s="1" t="s">
        <v>2065</v>
      </c>
      <c r="C1616" s="11">
        <v>45169</v>
      </c>
      <c r="D1616" s="11" t="s">
        <v>6827</v>
      </c>
      <c r="E1616" s="1" t="s">
        <v>21</v>
      </c>
      <c r="F1616" s="1" t="s">
        <v>6801</v>
      </c>
      <c r="G1616" s="6">
        <f>COUNTIF(F:F,Table2[[#This Row],[Form '#]])</f>
        <v>1</v>
      </c>
      <c r="H1616" s="1" t="s">
        <v>112</v>
      </c>
      <c r="I1616" s="1" t="s">
        <v>177</v>
      </c>
      <c r="J1616" s="1" t="s">
        <v>75</v>
      </c>
      <c r="K1616" s="1" t="s">
        <v>3853</v>
      </c>
      <c r="L1616" s="1"/>
      <c r="M1616" s="6" t="str">
        <f>IF(Table2[[#This Row],[Corrected Form '#
 (If Duplicated)]]="",Table2[[#This Row],[Form '#]],Table2[[#This Row],[Corrected Form '#
 (If Duplicated)]])</f>
        <v>7818-22424</v>
      </c>
      <c r="N1616" s="1" t="s">
        <v>49</v>
      </c>
      <c r="O1616" s="6" t="str">
        <f>IF(Table2[[#This Row],[POG CONFIRMATION RECEIPT OF ORDER
(DATE &amp; TIME)]]="","No Confirmation","Received Confirmation")</f>
        <v>Received Confirmation</v>
      </c>
      <c r="P1616" s="6">
        <f ca="1">TODAY()-Table2[[#This Row],[DATE SENT TO POG]]</f>
        <v>134</v>
      </c>
      <c r="Q1616" s="6" t="s">
        <v>5803</v>
      </c>
      <c r="R16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6" s="2" t="str">
        <f>_xlfn.XLOOKUP(Table2[[#This Row],[Adjusted Form '#]],'[2]IN PROGRESS'!$D:$D,'[2]IN PROGRESS'!$M:$M,"Not Found")</f>
        <v>Not Found</v>
      </c>
      <c r="U1616" s="2" t="str">
        <f>_xlfn.XLOOKUP(Table2[[#This Row],[Adjusted Form '#]],[1]COMPLETED!$D:$D,[2]COMPLETED!$M:$M,"Not Found")</f>
        <v>Not Found</v>
      </c>
      <c r="V1616" s="17" t="str">
        <f>_xlfn.XLOOKUP(Table2[[#This Row],[Adjusted Form '#]],[2]COMPLETED!$D:$D,[2]COMPLETED!$O:$O,"Not Found")</f>
        <v>Not Found</v>
      </c>
      <c r="W1616" s="2" t="str">
        <f>_xlfn.XLOOKUP(Table2[[#This Row],[Adjusted Form '#]],[2]BILLED!$D:$D,[2]BILLED!$M:$M,"Not Found")</f>
        <v>9400 1361 0605 3356 0224 91</v>
      </c>
      <c r="X1616" s="17" t="e">
        <f>_xlfn.XLOOKUP(Table2[[#This Row],[Adjusted Form '#]],[2]BILLED!$D:$D,[1]BILLED!$O:$O,"Not Found")</f>
        <v>#REF!</v>
      </c>
      <c r="Y1616" s="17" t="e">
        <f>_xlfn.XLOOKUP(Table2[[#This Row],[Adjusted Form '#]],'[2]REJECTED ORDERS'!$D:$D,'[2]REJECTED ORDERS'!$E:$E)</f>
        <v>#N/A</v>
      </c>
      <c r="Z1616" s="1"/>
      <c r="AA1616" s="1"/>
    </row>
    <row r="1617" spans="1:27" ht="15" customHeight="1" x14ac:dyDescent="0.35">
      <c r="A1617" s="4" t="s">
        <v>2399</v>
      </c>
      <c r="B1617" s="1" t="s">
        <v>2065</v>
      </c>
      <c r="C1617" s="11">
        <v>45169</v>
      </c>
      <c r="D1617" s="11" t="s">
        <v>6827</v>
      </c>
      <c r="E1617" s="1" t="s">
        <v>21</v>
      </c>
      <c r="F1617" s="1" t="s">
        <v>6802</v>
      </c>
      <c r="G1617" s="6">
        <f>COUNTIF(F:F,Table2[[#This Row],[Form '#]])</f>
        <v>1</v>
      </c>
      <c r="H1617" s="1" t="s">
        <v>6803</v>
      </c>
      <c r="I1617" s="1" t="s">
        <v>177</v>
      </c>
      <c r="J1617" s="1" t="s">
        <v>75</v>
      </c>
      <c r="K1617" s="1" t="s">
        <v>3853</v>
      </c>
      <c r="L1617" s="1"/>
      <c r="M1617" s="6" t="str">
        <f>IF(Table2[[#This Row],[Corrected Form '#
 (If Duplicated)]]="",Table2[[#This Row],[Form '#]],Table2[[#This Row],[Corrected Form '#
 (If Duplicated)]])</f>
        <v>7818-31067</v>
      </c>
      <c r="N1617" s="1" t="s">
        <v>49</v>
      </c>
      <c r="O1617" s="6" t="str">
        <f>IF(Table2[[#This Row],[POG CONFIRMATION RECEIPT OF ORDER
(DATE &amp; TIME)]]="","No Confirmation","Received Confirmation")</f>
        <v>Received Confirmation</v>
      </c>
      <c r="P1617" s="6">
        <f ca="1">TODAY()-Table2[[#This Row],[DATE SENT TO POG]]</f>
        <v>134</v>
      </c>
      <c r="Q1617" s="6" t="s">
        <v>5803</v>
      </c>
      <c r="R16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7" s="2" t="str">
        <f>_xlfn.XLOOKUP(Table2[[#This Row],[Adjusted Form '#]],'[2]IN PROGRESS'!$D:$D,'[2]IN PROGRESS'!$M:$M,"Not Found")</f>
        <v>Not Found</v>
      </c>
      <c r="U1617" s="2" t="str">
        <f>_xlfn.XLOOKUP(Table2[[#This Row],[Adjusted Form '#]],[1]COMPLETED!$D:$D,[2]COMPLETED!$M:$M,"Not Found")</f>
        <v>Not Found</v>
      </c>
      <c r="V1617" s="17" t="str">
        <f>_xlfn.XLOOKUP(Table2[[#This Row],[Adjusted Form '#]],[2]COMPLETED!$D:$D,[2]COMPLETED!$O:$O,"Not Found")</f>
        <v>Not Found</v>
      </c>
      <c r="W1617" s="2" t="str">
        <f>_xlfn.XLOOKUP(Table2[[#This Row],[Adjusted Form '#]],[2]BILLED!$D:$D,[2]BILLED!$M:$M,"Not Found")</f>
        <v>9400 1361 0605 3329 3369 07</v>
      </c>
      <c r="X1617" s="17" t="e">
        <f>_xlfn.XLOOKUP(Table2[[#This Row],[Adjusted Form '#]],[2]BILLED!$D:$D,[1]BILLED!$O:$O,"Not Found")</f>
        <v>#REF!</v>
      </c>
      <c r="Y1617" s="17" t="e">
        <f>_xlfn.XLOOKUP(Table2[[#This Row],[Adjusted Form '#]],'[2]REJECTED ORDERS'!$D:$D,'[2]REJECTED ORDERS'!$E:$E)</f>
        <v>#N/A</v>
      </c>
      <c r="Z1617" s="1"/>
      <c r="AA1617" s="1"/>
    </row>
    <row r="1618" spans="1:27" ht="15" customHeight="1" x14ac:dyDescent="0.35">
      <c r="A1618" s="4" t="s">
        <v>2400</v>
      </c>
      <c r="B1618" s="1" t="s">
        <v>2065</v>
      </c>
      <c r="C1618" s="11">
        <v>45169</v>
      </c>
      <c r="D1618" s="11" t="s">
        <v>6827</v>
      </c>
      <c r="E1618" s="1" t="s">
        <v>21</v>
      </c>
      <c r="F1618" s="1" t="s">
        <v>6804</v>
      </c>
      <c r="G1618" s="6">
        <f>COUNTIF(F:F,Table2[[#This Row],[Form '#]])</f>
        <v>1</v>
      </c>
      <c r="H1618" s="1" t="s">
        <v>2827</v>
      </c>
      <c r="I1618" s="1" t="s">
        <v>3852</v>
      </c>
      <c r="J1618" s="1" t="s">
        <v>80</v>
      </c>
      <c r="K1618" s="1" t="s">
        <v>3853</v>
      </c>
      <c r="L1618" s="1"/>
      <c r="M1618" s="6" t="str">
        <f>IF(Table2[[#This Row],[Corrected Form '#
 (If Duplicated)]]="",Table2[[#This Row],[Form '#]],Table2[[#This Row],[Corrected Form '#
 (If Duplicated)]])</f>
        <v>7818-31633</v>
      </c>
      <c r="N1618" s="1" t="s">
        <v>49</v>
      </c>
      <c r="O1618" s="6" t="str">
        <f>IF(Table2[[#This Row],[POG CONFIRMATION RECEIPT OF ORDER
(DATE &amp; TIME)]]="","No Confirmation","Received Confirmation")</f>
        <v>Received Confirmation</v>
      </c>
      <c r="P1618" s="6">
        <f ca="1">TODAY()-Table2[[#This Row],[DATE SENT TO POG]]</f>
        <v>134</v>
      </c>
      <c r="Q1618" s="6" t="s">
        <v>5803</v>
      </c>
      <c r="R16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8" s="2" t="str">
        <f>_xlfn.XLOOKUP(Table2[[#This Row],[Adjusted Form '#]],'[2]IN PROGRESS'!$D:$D,'[2]IN PROGRESS'!$M:$M,"Not Found")</f>
        <v>Not Found</v>
      </c>
      <c r="U1618" s="2" t="str">
        <f>_xlfn.XLOOKUP(Table2[[#This Row],[Adjusted Form '#]],[1]COMPLETED!$D:$D,[2]COMPLETED!$M:$M,"Not Found")</f>
        <v>Not Found</v>
      </c>
      <c r="V1618" s="17" t="str">
        <f>_xlfn.XLOOKUP(Table2[[#This Row],[Adjusted Form '#]],[2]COMPLETED!$D:$D,[2]COMPLETED!$O:$O,"Not Found")</f>
        <v>Not Found</v>
      </c>
      <c r="W1618" s="2" t="str">
        <f>_xlfn.XLOOKUP(Table2[[#This Row],[Adjusted Form '#]],[2]BILLED!$D:$D,[2]BILLED!$M:$M,"Not Found")</f>
        <v>9400 1361 0605 3351 5011 75</v>
      </c>
      <c r="X1618" s="17" t="e">
        <f>_xlfn.XLOOKUP(Table2[[#This Row],[Adjusted Form '#]],[2]BILLED!$D:$D,[1]BILLED!$O:$O,"Not Found")</f>
        <v>#REF!</v>
      </c>
      <c r="Y1618" s="17" t="e">
        <f>_xlfn.XLOOKUP(Table2[[#This Row],[Adjusted Form '#]],'[2]REJECTED ORDERS'!$D:$D,'[2]REJECTED ORDERS'!$E:$E)</f>
        <v>#N/A</v>
      </c>
      <c r="Z1618" s="1"/>
      <c r="AA1618" s="1"/>
    </row>
    <row r="1619" spans="1:27" ht="15" customHeight="1" x14ac:dyDescent="0.35">
      <c r="A1619" s="4" t="s">
        <v>2402</v>
      </c>
      <c r="B1619" s="1" t="s">
        <v>2065</v>
      </c>
      <c r="C1619" s="11">
        <v>45169</v>
      </c>
      <c r="D1619" s="11" t="s">
        <v>6827</v>
      </c>
      <c r="E1619" s="1" t="s">
        <v>21</v>
      </c>
      <c r="F1619" s="1" t="s">
        <v>6805</v>
      </c>
      <c r="G1619" s="6">
        <f>COUNTIF(F:F,Table2[[#This Row],[Form '#]])</f>
        <v>1</v>
      </c>
      <c r="H1619" s="1" t="s">
        <v>6806</v>
      </c>
      <c r="I1619" s="1" t="s">
        <v>3864</v>
      </c>
      <c r="J1619" s="1" t="s">
        <v>78</v>
      </c>
      <c r="K1619" s="1" t="s">
        <v>3879</v>
      </c>
      <c r="L1619" s="1"/>
      <c r="M1619" s="6" t="str">
        <f>IF(Table2[[#This Row],[Corrected Form '#
 (If Duplicated)]]="",Table2[[#This Row],[Form '#]],Table2[[#This Row],[Corrected Form '#
 (If Duplicated)]])</f>
        <v>7818-17333</v>
      </c>
      <c r="N1619" s="1" t="s">
        <v>49</v>
      </c>
      <c r="O1619" s="6" t="str">
        <f>IF(Table2[[#This Row],[POG CONFIRMATION RECEIPT OF ORDER
(DATE &amp; TIME)]]="","No Confirmation","Received Confirmation")</f>
        <v>Received Confirmation</v>
      </c>
      <c r="P1619" s="6">
        <f ca="1">TODAY()-Table2[[#This Row],[DATE SENT TO POG]]</f>
        <v>134</v>
      </c>
      <c r="Q1619" s="6" t="s">
        <v>5803</v>
      </c>
      <c r="R16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19" s="2" t="str">
        <f>_xlfn.XLOOKUP(Table2[[#This Row],[Adjusted Form '#]],'[2]IN PROGRESS'!$D:$D,'[2]IN PROGRESS'!$M:$M,"Not Found")</f>
        <v>Not Found</v>
      </c>
      <c r="U1619" s="2" t="str">
        <f>_xlfn.XLOOKUP(Table2[[#This Row],[Adjusted Form '#]],[1]COMPLETED!$D:$D,[2]COMPLETED!$M:$M,"Not Found")</f>
        <v>Not Found</v>
      </c>
      <c r="V1619" s="17" t="str">
        <f>_xlfn.XLOOKUP(Table2[[#This Row],[Adjusted Form '#]],[2]COMPLETED!$D:$D,[2]COMPLETED!$O:$O,"Not Found")</f>
        <v>Not Found</v>
      </c>
      <c r="W1619" s="2" t="str">
        <f>_xlfn.XLOOKUP(Table2[[#This Row],[Adjusted Form '#]],[2]BILLED!$D:$D,[2]BILLED!$M:$M,"Not Found")</f>
        <v>9400 1361 0605 3355 9607 56</v>
      </c>
      <c r="X1619" s="17" t="e">
        <f>_xlfn.XLOOKUP(Table2[[#This Row],[Adjusted Form '#]],[2]BILLED!$D:$D,[1]BILLED!$O:$O,"Not Found")</f>
        <v>#REF!</v>
      </c>
      <c r="Y1619" s="17" t="e">
        <f>_xlfn.XLOOKUP(Table2[[#This Row],[Adjusted Form '#]],'[2]REJECTED ORDERS'!$D:$D,'[2]REJECTED ORDERS'!$E:$E)</f>
        <v>#N/A</v>
      </c>
      <c r="Z1619" s="1"/>
      <c r="AA1619" s="1"/>
    </row>
    <row r="1620" spans="1:27" ht="15" customHeight="1" x14ac:dyDescent="0.35">
      <c r="A1620" s="4" t="s">
        <v>2403</v>
      </c>
      <c r="B1620" s="1" t="s">
        <v>2065</v>
      </c>
      <c r="C1620" s="11">
        <v>45169</v>
      </c>
      <c r="D1620" s="11" t="s">
        <v>6827</v>
      </c>
      <c r="E1620" s="1" t="s">
        <v>21</v>
      </c>
      <c r="F1620" s="1" t="s">
        <v>6807</v>
      </c>
      <c r="G1620" s="6">
        <f>COUNTIF(F:F,Table2[[#This Row],[Form '#]])</f>
        <v>1</v>
      </c>
      <c r="H1620" s="1" t="s">
        <v>6808</v>
      </c>
      <c r="I1620" s="1" t="s">
        <v>3852</v>
      </c>
      <c r="J1620" s="1" t="s">
        <v>80</v>
      </c>
      <c r="K1620" s="1" t="s">
        <v>3853</v>
      </c>
      <c r="L1620" s="1"/>
      <c r="M1620" s="6" t="str">
        <f>IF(Table2[[#This Row],[Corrected Form '#
 (If Duplicated)]]="",Table2[[#This Row],[Form '#]],Table2[[#This Row],[Corrected Form '#
 (If Duplicated)]])</f>
        <v>7818-09263</v>
      </c>
      <c r="N1620" s="1" t="s">
        <v>49</v>
      </c>
      <c r="O1620" s="6" t="str">
        <f>IF(Table2[[#This Row],[POG CONFIRMATION RECEIPT OF ORDER
(DATE &amp; TIME)]]="","No Confirmation","Received Confirmation")</f>
        <v>Received Confirmation</v>
      </c>
      <c r="P1620" s="6">
        <f ca="1">TODAY()-Table2[[#This Row],[DATE SENT TO POG]]</f>
        <v>134</v>
      </c>
      <c r="Q1620" s="6" t="s">
        <v>5803</v>
      </c>
      <c r="R16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0" s="2" t="str">
        <f>_xlfn.XLOOKUP(Table2[[#This Row],[Adjusted Form '#]],'[2]IN PROGRESS'!$D:$D,'[2]IN PROGRESS'!$M:$M,"Not Found")</f>
        <v>Not Found</v>
      </c>
      <c r="U1620" s="2" t="str">
        <f>_xlfn.XLOOKUP(Table2[[#This Row],[Adjusted Form '#]],[1]COMPLETED!$D:$D,[2]COMPLETED!$M:$M,"Not Found")</f>
        <v>Not Found</v>
      </c>
      <c r="V1620" s="17" t="str">
        <f>_xlfn.XLOOKUP(Table2[[#This Row],[Adjusted Form '#]],[2]COMPLETED!$D:$D,[2]COMPLETED!$O:$O,"Not Found")</f>
        <v>Not Found</v>
      </c>
      <c r="W1620" s="2" t="str">
        <f>_xlfn.XLOOKUP(Table2[[#This Row],[Adjusted Form '#]],[2]BILLED!$D:$D,[2]BILLED!$M:$M,"Not Found")</f>
        <v>9400 1361 0605 3352 2944 34</v>
      </c>
      <c r="X1620" s="17" t="e">
        <f>_xlfn.XLOOKUP(Table2[[#This Row],[Adjusted Form '#]],[2]BILLED!$D:$D,[1]BILLED!$O:$O,"Not Found")</f>
        <v>#REF!</v>
      </c>
      <c r="Y1620" s="17" t="e">
        <f>_xlfn.XLOOKUP(Table2[[#This Row],[Adjusted Form '#]],'[2]REJECTED ORDERS'!$D:$D,'[2]REJECTED ORDERS'!$E:$E)</f>
        <v>#N/A</v>
      </c>
      <c r="Z1620" s="1"/>
      <c r="AA1620" s="1"/>
    </row>
    <row r="1621" spans="1:27" ht="15" customHeight="1" x14ac:dyDescent="0.35">
      <c r="A1621" s="4" t="s">
        <v>2404</v>
      </c>
      <c r="B1621" s="1" t="s">
        <v>2065</v>
      </c>
      <c r="C1621" s="11">
        <v>45169</v>
      </c>
      <c r="D1621" s="11" t="s">
        <v>6827</v>
      </c>
      <c r="E1621" s="1" t="s">
        <v>21</v>
      </c>
      <c r="F1621" s="1" t="s">
        <v>6809</v>
      </c>
      <c r="G1621" s="6">
        <f>COUNTIF(F:F,Table2[[#This Row],[Form '#]])</f>
        <v>1</v>
      </c>
      <c r="H1621" s="1" t="s">
        <v>6810</v>
      </c>
      <c r="I1621" s="1" t="s">
        <v>127</v>
      </c>
      <c r="J1621" s="1" t="s">
        <v>74</v>
      </c>
      <c r="K1621" s="1" t="s">
        <v>4011</v>
      </c>
      <c r="L1621" s="1"/>
      <c r="M1621" s="6" t="str">
        <f>IF(Table2[[#This Row],[Corrected Form '#
 (If Duplicated)]]="",Table2[[#This Row],[Form '#]],Table2[[#This Row],[Corrected Form '#
 (If Duplicated)]])</f>
        <v>7818-30939</v>
      </c>
      <c r="N1621" s="1" t="s">
        <v>49</v>
      </c>
      <c r="O1621" s="6" t="str">
        <f>IF(Table2[[#This Row],[POG CONFIRMATION RECEIPT OF ORDER
(DATE &amp; TIME)]]="","No Confirmation","Received Confirmation")</f>
        <v>Received Confirmation</v>
      </c>
      <c r="P1621" s="6">
        <f ca="1">TODAY()-Table2[[#This Row],[DATE SENT TO POG]]</f>
        <v>134</v>
      </c>
      <c r="Q1621" s="6" t="s">
        <v>5803</v>
      </c>
      <c r="R16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1" s="2" t="str">
        <f>_xlfn.XLOOKUP(Table2[[#This Row],[Adjusted Form '#]],'[2]IN PROGRESS'!$D:$D,'[2]IN PROGRESS'!$M:$M,"Not Found")</f>
        <v>Not Found</v>
      </c>
      <c r="U1621" s="2" t="str">
        <f>_xlfn.XLOOKUP(Table2[[#This Row],[Adjusted Form '#]],[1]COMPLETED!$D:$D,[2]COMPLETED!$M:$M,"Not Found")</f>
        <v>Not Found</v>
      </c>
      <c r="V1621" s="17" t="str">
        <f>_xlfn.XLOOKUP(Table2[[#This Row],[Adjusted Form '#]],[2]COMPLETED!$D:$D,[2]COMPLETED!$O:$O,"Not Found")</f>
        <v>Not Found</v>
      </c>
      <c r="W1621" s="2" t="str">
        <f>_xlfn.XLOOKUP(Table2[[#This Row],[Adjusted Form '#]],[2]BILLED!$D:$D,[2]BILLED!$M:$M,"Not Found")</f>
        <v>9400 1361 0605 3345 0103 55</v>
      </c>
      <c r="X1621" s="17" t="e">
        <f>_xlfn.XLOOKUP(Table2[[#This Row],[Adjusted Form '#]],[2]BILLED!$D:$D,[1]BILLED!$O:$O,"Not Found")</f>
        <v>#REF!</v>
      </c>
      <c r="Y1621" s="17" t="e">
        <f>_xlfn.XLOOKUP(Table2[[#This Row],[Adjusted Form '#]],'[2]REJECTED ORDERS'!$D:$D,'[2]REJECTED ORDERS'!$E:$E)</f>
        <v>#N/A</v>
      </c>
      <c r="Z1621" s="1"/>
      <c r="AA1621" s="1"/>
    </row>
    <row r="1622" spans="1:27" ht="15" customHeight="1" x14ac:dyDescent="0.35">
      <c r="A1622" s="4" t="s">
        <v>2406</v>
      </c>
      <c r="B1622" s="1" t="s">
        <v>2065</v>
      </c>
      <c r="C1622" s="11">
        <v>45169</v>
      </c>
      <c r="D1622" s="11" t="s">
        <v>6827</v>
      </c>
      <c r="E1622" s="1" t="s">
        <v>21</v>
      </c>
      <c r="F1622" s="1" t="s">
        <v>6811</v>
      </c>
      <c r="G1622" s="6">
        <f>COUNTIF(F:F,Table2[[#This Row],[Form '#]])</f>
        <v>1</v>
      </c>
      <c r="H1622" s="1" t="s">
        <v>6812</v>
      </c>
      <c r="I1622" s="1" t="s">
        <v>3852</v>
      </c>
      <c r="J1622" s="1" t="s">
        <v>80</v>
      </c>
      <c r="K1622" s="1" t="s">
        <v>3853</v>
      </c>
      <c r="L1622" s="1"/>
      <c r="M1622" s="6" t="str">
        <f>IF(Table2[[#This Row],[Corrected Form '#
 (If Duplicated)]]="",Table2[[#This Row],[Form '#]],Table2[[#This Row],[Corrected Form '#
 (If Duplicated)]])</f>
        <v>7818-29930</v>
      </c>
      <c r="N1622" s="1" t="s">
        <v>49</v>
      </c>
      <c r="O1622" s="6" t="str">
        <f>IF(Table2[[#This Row],[POG CONFIRMATION RECEIPT OF ORDER
(DATE &amp; TIME)]]="","No Confirmation","Received Confirmation")</f>
        <v>Received Confirmation</v>
      </c>
      <c r="P1622" s="6">
        <f ca="1">TODAY()-Table2[[#This Row],[DATE SENT TO POG]]</f>
        <v>134</v>
      </c>
      <c r="Q1622" s="6" t="s">
        <v>5803</v>
      </c>
      <c r="R16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2" s="2" t="str">
        <f>_xlfn.XLOOKUP(Table2[[#This Row],[Adjusted Form '#]],'[2]IN PROGRESS'!$D:$D,'[2]IN PROGRESS'!$M:$M,"Not Found")</f>
        <v>Not Found</v>
      </c>
      <c r="U1622" s="2" t="str">
        <f>_xlfn.XLOOKUP(Table2[[#This Row],[Adjusted Form '#]],[1]COMPLETED!$D:$D,[2]COMPLETED!$M:$M,"Not Found")</f>
        <v>Not Found</v>
      </c>
      <c r="V1622" s="17" t="str">
        <f>_xlfn.XLOOKUP(Table2[[#This Row],[Adjusted Form '#]],[2]COMPLETED!$D:$D,[2]COMPLETED!$O:$O,"Not Found")</f>
        <v>Not Found</v>
      </c>
      <c r="W1622" s="2" t="str">
        <f>_xlfn.XLOOKUP(Table2[[#This Row],[Adjusted Form '#]],[2]BILLED!$D:$D,[2]BILLED!$M:$M,"Not Found")</f>
        <v>9400 1361 0605 3355 9414 72</v>
      </c>
      <c r="X1622" s="17" t="e">
        <f>_xlfn.XLOOKUP(Table2[[#This Row],[Adjusted Form '#]],[2]BILLED!$D:$D,[1]BILLED!$O:$O,"Not Found")</f>
        <v>#REF!</v>
      </c>
      <c r="Y1622" s="17" t="e">
        <f>_xlfn.XLOOKUP(Table2[[#This Row],[Adjusted Form '#]],'[2]REJECTED ORDERS'!$D:$D,'[2]REJECTED ORDERS'!$E:$E)</f>
        <v>#N/A</v>
      </c>
      <c r="Z1622" s="1"/>
      <c r="AA1622" s="1"/>
    </row>
    <row r="1623" spans="1:27" ht="15" customHeight="1" x14ac:dyDescent="0.35">
      <c r="A1623" s="4" t="s">
        <v>2408</v>
      </c>
      <c r="B1623" s="1" t="s">
        <v>2065</v>
      </c>
      <c r="C1623" s="11">
        <v>45169</v>
      </c>
      <c r="D1623" s="11" t="s">
        <v>6827</v>
      </c>
      <c r="E1623" s="1" t="s">
        <v>21</v>
      </c>
      <c r="F1623" s="1" t="s">
        <v>6813</v>
      </c>
      <c r="G1623" s="6">
        <f>COUNTIF(F:F,Table2[[#This Row],[Form '#]])</f>
        <v>1</v>
      </c>
      <c r="H1623" s="1" t="s">
        <v>6814</v>
      </c>
      <c r="I1623" s="1" t="s">
        <v>127</v>
      </c>
      <c r="J1623" s="1" t="s">
        <v>76</v>
      </c>
      <c r="K1623" s="1" t="s">
        <v>5856</v>
      </c>
      <c r="L1623" s="1"/>
      <c r="M1623" s="6" t="str">
        <f>IF(Table2[[#This Row],[Corrected Form '#
 (If Duplicated)]]="",Table2[[#This Row],[Form '#]],Table2[[#This Row],[Corrected Form '#
 (If Duplicated)]])</f>
        <v>7818-09740</v>
      </c>
      <c r="N1623" s="1" t="s">
        <v>49</v>
      </c>
      <c r="O1623" s="6" t="str">
        <f>IF(Table2[[#This Row],[POG CONFIRMATION RECEIPT OF ORDER
(DATE &amp; TIME)]]="","No Confirmation","Received Confirmation")</f>
        <v>Received Confirmation</v>
      </c>
      <c r="P1623" s="6">
        <f ca="1">TODAY()-Table2[[#This Row],[DATE SENT TO POG]]</f>
        <v>134</v>
      </c>
      <c r="Q1623" s="6" t="s">
        <v>5803</v>
      </c>
      <c r="R16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3" s="2" t="str">
        <f>_xlfn.XLOOKUP(Table2[[#This Row],[Adjusted Form '#]],'[2]IN PROGRESS'!$D:$D,'[2]IN PROGRESS'!$M:$M,"Not Found")</f>
        <v>Not Found</v>
      </c>
      <c r="U1623" s="2" t="str">
        <f>_xlfn.XLOOKUP(Table2[[#This Row],[Adjusted Form '#]],[1]COMPLETED!$D:$D,[2]COMPLETED!$M:$M,"Not Found")</f>
        <v>Not Found</v>
      </c>
      <c r="V1623" s="17" t="str">
        <f>_xlfn.XLOOKUP(Table2[[#This Row],[Adjusted Form '#]],[2]COMPLETED!$D:$D,[2]COMPLETED!$O:$O,"Not Found")</f>
        <v>Not Found</v>
      </c>
      <c r="W1623" s="2" t="str">
        <f>_xlfn.XLOOKUP(Table2[[#This Row],[Adjusted Form '#]],[2]BILLED!$D:$D,[2]BILLED!$M:$M,"Not Found")</f>
        <v>9400 1361 0605 3355 9963 66</v>
      </c>
      <c r="X1623" s="17" t="e">
        <f>_xlfn.XLOOKUP(Table2[[#This Row],[Adjusted Form '#]],[2]BILLED!$D:$D,[1]BILLED!$O:$O,"Not Found")</f>
        <v>#REF!</v>
      </c>
      <c r="Y1623" s="17" t="e">
        <f>_xlfn.XLOOKUP(Table2[[#This Row],[Adjusted Form '#]],'[2]REJECTED ORDERS'!$D:$D,'[2]REJECTED ORDERS'!$E:$E)</f>
        <v>#N/A</v>
      </c>
      <c r="Z1623" s="1"/>
      <c r="AA1623" s="1"/>
    </row>
    <row r="1624" spans="1:27" ht="15" customHeight="1" x14ac:dyDescent="0.35">
      <c r="A1624" s="4" t="s">
        <v>2409</v>
      </c>
      <c r="B1624" s="1" t="s">
        <v>2065</v>
      </c>
      <c r="C1624" s="11">
        <v>45169</v>
      </c>
      <c r="D1624" s="11" t="s">
        <v>6827</v>
      </c>
      <c r="E1624" s="1" t="s">
        <v>21</v>
      </c>
      <c r="F1624" s="1" t="s">
        <v>6815</v>
      </c>
      <c r="G1624" s="6">
        <f>COUNTIF(F:F,Table2[[#This Row],[Form '#]])</f>
        <v>1</v>
      </c>
      <c r="H1624" s="1" t="s">
        <v>6816</v>
      </c>
      <c r="I1624" s="1" t="s">
        <v>177</v>
      </c>
      <c r="J1624" s="1" t="s">
        <v>75</v>
      </c>
      <c r="K1624" s="1" t="s">
        <v>3853</v>
      </c>
      <c r="L1624" s="1"/>
      <c r="M1624" s="6" t="str">
        <f>IF(Table2[[#This Row],[Corrected Form '#
 (If Duplicated)]]="",Table2[[#This Row],[Form '#]],Table2[[#This Row],[Corrected Form '#
 (If Duplicated)]])</f>
        <v>7818-26857</v>
      </c>
      <c r="N1624" s="1" t="s">
        <v>49</v>
      </c>
      <c r="O1624" s="6" t="str">
        <f>IF(Table2[[#This Row],[POG CONFIRMATION RECEIPT OF ORDER
(DATE &amp; TIME)]]="","No Confirmation","Received Confirmation")</f>
        <v>Received Confirmation</v>
      </c>
      <c r="P1624" s="6">
        <f ca="1">TODAY()-Table2[[#This Row],[DATE SENT TO POG]]</f>
        <v>134</v>
      </c>
      <c r="Q1624" s="6" t="s">
        <v>5803</v>
      </c>
      <c r="R16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4" s="2" t="str">
        <f>_xlfn.XLOOKUP(Table2[[#This Row],[Adjusted Form '#]],'[2]IN PROGRESS'!$D:$D,'[2]IN PROGRESS'!$M:$M,"Not Found")</f>
        <v>Not Found</v>
      </c>
      <c r="U1624" s="2" t="str">
        <f>_xlfn.XLOOKUP(Table2[[#This Row],[Adjusted Form '#]],[1]COMPLETED!$D:$D,[2]COMPLETED!$M:$M,"Not Found")</f>
        <v>Not Found</v>
      </c>
      <c r="V1624" s="17" t="str">
        <f>_xlfn.XLOOKUP(Table2[[#This Row],[Adjusted Form '#]],[2]COMPLETED!$D:$D,[2]COMPLETED!$O:$O,"Not Found")</f>
        <v>Not Found</v>
      </c>
      <c r="W1624" s="2" t="str">
        <f>_xlfn.XLOOKUP(Table2[[#This Row],[Adjusted Form '#]],[2]BILLED!$D:$D,[2]BILLED!$M:$M,"Not Found")</f>
        <v>9400 1112 0620 9507 1003 72</v>
      </c>
      <c r="X1624" s="17" t="e">
        <f>_xlfn.XLOOKUP(Table2[[#This Row],[Adjusted Form '#]],[2]BILLED!$D:$D,[1]BILLED!$O:$O,"Not Found")</f>
        <v>#REF!</v>
      </c>
      <c r="Y1624" s="17" t="e">
        <f>_xlfn.XLOOKUP(Table2[[#This Row],[Adjusted Form '#]],'[2]REJECTED ORDERS'!$D:$D,'[2]REJECTED ORDERS'!$E:$E)</f>
        <v>#N/A</v>
      </c>
      <c r="Z1624" s="1"/>
      <c r="AA1624" s="1"/>
    </row>
    <row r="1625" spans="1:27" ht="15" customHeight="1" x14ac:dyDescent="0.35">
      <c r="A1625" s="4" t="s">
        <v>2411</v>
      </c>
      <c r="B1625" s="1" t="s">
        <v>2065</v>
      </c>
      <c r="C1625" s="11">
        <v>45169</v>
      </c>
      <c r="D1625" s="11" t="s">
        <v>6827</v>
      </c>
      <c r="E1625" s="1" t="s">
        <v>21</v>
      </c>
      <c r="F1625" s="1" t="s">
        <v>6817</v>
      </c>
      <c r="G1625" s="6">
        <f>COUNTIF(F:F,Table2[[#This Row],[Form '#]])</f>
        <v>1</v>
      </c>
      <c r="H1625" s="1" t="s">
        <v>6818</v>
      </c>
      <c r="I1625" s="1" t="s">
        <v>127</v>
      </c>
      <c r="J1625" s="1" t="s">
        <v>71</v>
      </c>
      <c r="K1625" s="1" t="s">
        <v>3883</v>
      </c>
      <c r="L1625" s="1"/>
      <c r="M1625" s="6" t="str">
        <f>IF(Table2[[#This Row],[Corrected Form '#
 (If Duplicated)]]="",Table2[[#This Row],[Form '#]],Table2[[#This Row],[Corrected Form '#
 (If Duplicated)]])</f>
        <v>7818-28147</v>
      </c>
      <c r="N1625" s="1" t="s">
        <v>49</v>
      </c>
      <c r="O1625" s="6" t="str">
        <f>IF(Table2[[#This Row],[POG CONFIRMATION RECEIPT OF ORDER
(DATE &amp; TIME)]]="","No Confirmation","Received Confirmation")</f>
        <v>Received Confirmation</v>
      </c>
      <c r="P1625" s="6">
        <f ca="1">TODAY()-Table2[[#This Row],[DATE SENT TO POG]]</f>
        <v>134</v>
      </c>
      <c r="Q1625" s="6" t="s">
        <v>5803</v>
      </c>
      <c r="R16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5" s="2" t="str">
        <f>_xlfn.XLOOKUP(Table2[[#This Row],[Adjusted Form '#]],'[2]IN PROGRESS'!$D:$D,'[2]IN PROGRESS'!$M:$M,"Not Found")</f>
        <v>Not Found</v>
      </c>
      <c r="U1625" s="2" t="str">
        <f>_xlfn.XLOOKUP(Table2[[#This Row],[Adjusted Form '#]],[1]COMPLETED!$D:$D,[2]COMPLETED!$M:$M,"Not Found")</f>
        <v>Not Found</v>
      </c>
      <c r="V1625" s="17" t="str">
        <f>_xlfn.XLOOKUP(Table2[[#This Row],[Adjusted Form '#]],[2]COMPLETED!$D:$D,[2]COMPLETED!$O:$O,"Not Found")</f>
        <v>Not Found</v>
      </c>
      <c r="W1625" s="2" t="str">
        <f>_xlfn.XLOOKUP(Table2[[#This Row],[Adjusted Form '#]],[2]BILLED!$D:$D,[2]BILLED!$M:$M,"Not Found")</f>
        <v>9400 1361 0605 3336 3672 77</v>
      </c>
      <c r="X1625" s="17" t="e">
        <f>_xlfn.XLOOKUP(Table2[[#This Row],[Adjusted Form '#]],[2]BILLED!$D:$D,[1]BILLED!$O:$O,"Not Found")</f>
        <v>#REF!</v>
      </c>
      <c r="Y1625" s="17" t="e">
        <f>_xlfn.XLOOKUP(Table2[[#This Row],[Adjusted Form '#]],'[2]REJECTED ORDERS'!$D:$D,'[2]REJECTED ORDERS'!$E:$E)</f>
        <v>#N/A</v>
      </c>
      <c r="Z1625" s="1"/>
      <c r="AA1625" s="1"/>
    </row>
    <row r="1626" spans="1:27" ht="15" customHeight="1" x14ac:dyDescent="0.35">
      <c r="A1626" s="4" t="s">
        <v>2412</v>
      </c>
      <c r="B1626" s="1" t="s">
        <v>2065</v>
      </c>
      <c r="C1626" s="11">
        <v>45169</v>
      </c>
      <c r="D1626" s="11" t="s">
        <v>6827</v>
      </c>
      <c r="E1626" s="1" t="s">
        <v>21</v>
      </c>
      <c r="F1626" s="1" t="s">
        <v>6819</v>
      </c>
      <c r="G1626" s="6">
        <f>COUNTIF(F:F,Table2[[#This Row],[Form '#]])</f>
        <v>1</v>
      </c>
      <c r="H1626" s="1" t="s">
        <v>118</v>
      </c>
      <c r="I1626" s="1" t="s">
        <v>127</v>
      </c>
      <c r="J1626" s="1" t="s">
        <v>76</v>
      </c>
      <c r="K1626" s="1" t="s">
        <v>3883</v>
      </c>
      <c r="L1626" s="1"/>
      <c r="M1626" s="6" t="str">
        <f>IF(Table2[[#This Row],[Corrected Form '#
 (If Duplicated)]]="",Table2[[#This Row],[Form '#]],Table2[[#This Row],[Corrected Form '#
 (If Duplicated)]])</f>
        <v>7818-21751</v>
      </c>
      <c r="N1626" s="1" t="s">
        <v>49</v>
      </c>
      <c r="O1626" s="6" t="str">
        <f>IF(Table2[[#This Row],[POG CONFIRMATION RECEIPT OF ORDER
(DATE &amp; TIME)]]="","No Confirmation","Received Confirmation")</f>
        <v>Received Confirmation</v>
      </c>
      <c r="P1626" s="6">
        <f ca="1">TODAY()-Table2[[#This Row],[DATE SENT TO POG]]</f>
        <v>134</v>
      </c>
      <c r="Q1626" s="6" t="s">
        <v>5803</v>
      </c>
      <c r="R16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6" s="2" t="str">
        <f>_xlfn.XLOOKUP(Table2[[#This Row],[Adjusted Form '#]],'[2]IN PROGRESS'!$D:$D,'[2]IN PROGRESS'!$M:$M,"Not Found")</f>
        <v>Not Found</v>
      </c>
      <c r="U1626" s="2" t="str">
        <f>_xlfn.XLOOKUP(Table2[[#This Row],[Adjusted Form '#]],[1]COMPLETED!$D:$D,[2]COMPLETED!$M:$M,"Not Found")</f>
        <v>Not Found</v>
      </c>
      <c r="V1626" s="17" t="str">
        <f>_xlfn.XLOOKUP(Table2[[#This Row],[Adjusted Form '#]],[2]COMPLETED!$D:$D,[2]COMPLETED!$O:$O,"Not Found")</f>
        <v>Not Found</v>
      </c>
      <c r="W1626" s="2" t="str">
        <f>_xlfn.XLOOKUP(Table2[[#This Row],[Adjusted Form '#]],[2]BILLED!$D:$D,[2]BILLED!$M:$M,"Not Found")</f>
        <v>9400 1361 0605 3352 4346 70</v>
      </c>
      <c r="X1626" s="17" t="e">
        <f>_xlfn.XLOOKUP(Table2[[#This Row],[Adjusted Form '#]],[2]BILLED!$D:$D,[1]BILLED!$O:$O,"Not Found")</f>
        <v>#REF!</v>
      </c>
      <c r="Y1626" s="17" t="e">
        <f>_xlfn.XLOOKUP(Table2[[#This Row],[Adjusted Form '#]],'[2]REJECTED ORDERS'!$D:$D,'[2]REJECTED ORDERS'!$E:$E)</f>
        <v>#N/A</v>
      </c>
      <c r="Z1626" s="1"/>
      <c r="AA1626" s="1"/>
    </row>
    <row r="1627" spans="1:27" ht="15" customHeight="1" x14ac:dyDescent="0.35">
      <c r="A1627" s="4" t="s">
        <v>2413</v>
      </c>
      <c r="B1627" s="1" t="s">
        <v>2065</v>
      </c>
      <c r="C1627" s="11">
        <v>45169</v>
      </c>
      <c r="D1627" s="11" t="s">
        <v>6827</v>
      </c>
      <c r="E1627" s="1" t="s">
        <v>21</v>
      </c>
      <c r="F1627" s="1" t="s">
        <v>6820</v>
      </c>
      <c r="G1627" s="6">
        <f>COUNTIF(F:F,Table2[[#This Row],[Form '#]])</f>
        <v>1</v>
      </c>
      <c r="H1627" s="1" t="s">
        <v>6821</v>
      </c>
      <c r="I1627" s="1" t="s">
        <v>3852</v>
      </c>
      <c r="J1627" s="1" t="s">
        <v>80</v>
      </c>
      <c r="K1627" s="1" t="s">
        <v>3853</v>
      </c>
      <c r="L1627" s="1"/>
      <c r="M1627" s="6" t="str">
        <f>IF(Table2[[#This Row],[Corrected Form '#
 (If Duplicated)]]="",Table2[[#This Row],[Form '#]],Table2[[#This Row],[Corrected Form '#
 (If Duplicated)]])</f>
        <v>7818-10556</v>
      </c>
      <c r="N1627" s="1" t="s">
        <v>49</v>
      </c>
      <c r="O1627" s="6" t="str">
        <f>IF(Table2[[#This Row],[POG CONFIRMATION RECEIPT OF ORDER
(DATE &amp; TIME)]]="","No Confirmation","Received Confirmation")</f>
        <v>Received Confirmation</v>
      </c>
      <c r="P1627" s="6">
        <f ca="1">TODAY()-Table2[[#This Row],[DATE SENT TO POG]]</f>
        <v>134</v>
      </c>
      <c r="Q1627" s="6" t="s">
        <v>5803</v>
      </c>
      <c r="R16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7" s="2" t="str">
        <f>_xlfn.XLOOKUP(Table2[[#This Row],[Adjusted Form '#]],'[2]IN PROGRESS'!$D:$D,'[2]IN PROGRESS'!$M:$M,"Not Found")</f>
        <v>Not Found</v>
      </c>
      <c r="U1627" s="2" t="str">
        <f>_xlfn.XLOOKUP(Table2[[#This Row],[Adjusted Form '#]],[1]COMPLETED!$D:$D,[2]COMPLETED!$M:$M,"Not Found")</f>
        <v>Not Found</v>
      </c>
      <c r="V1627" s="17" t="str">
        <f>_xlfn.XLOOKUP(Table2[[#This Row],[Adjusted Form '#]],[2]COMPLETED!$D:$D,[2]COMPLETED!$O:$O,"Not Found")</f>
        <v>Not Found</v>
      </c>
      <c r="W1627" s="2" t="str">
        <f>_xlfn.XLOOKUP(Table2[[#This Row],[Adjusted Form '#]],[2]BILLED!$D:$D,[2]BILLED!$M:$M,"Not Found")</f>
        <v>9400 1361 0605 3351 5681 92</v>
      </c>
      <c r="X1627" s="17" t="e">
        <f>_xlfn.XLOOKUP(Table2[[#This Row],[Adjusted Form '#]],[2]BILLED!$D:$D,[1]BILLED!$O:$O,"Not Found")</f>
        <v>#REF!</v>
      </c>
      <c r="Y1627" s="17" t="e">
        <f>_xlfn.XLOOKUP(Table2[[#This Row],[Adjusted Form '#]],'[2]REJECTED ORDERS'!$D:$D,'[2]REJECTED ORDERS'!$E:$E)</f>
        <v>#N/A</v>
      </c>
      <c r="Z1627" s="1"/>
      <c r="AA1627" s="1"/>
    </row>
    <row r="1628" spans="1:27" ht="15" customHeight="1" x14ac:dyDescent="0.35">
      <c r="A1628" s="4" t="s">
        <v>2415</v>
      </c>
      <c r="B1628" s="1" t="s">
        <v>2065</v>
      </c>
      <c r="C1628" s="11">
        <v>45169</v>
      </c>
      <c r="D1628" s="11" t="s">
        <v>6827</v>
      </c>
      <c r="E1628" s="1" t="s">
        <v>21</v>
      </c>
      <c r="F1628" s="1" t="s">
        <v>6822</v>
      </c>
      <c r="G1628" s="6">
        <f>COUNTIF(F:F,Table2[[#This Row],[Form '#]])</f>
        <v>1</v>
      </c>
      <c r="H1628" s="1" t="s">
        <v>6823</v>
      </c>
      <c r="I1628" s="1" t="s">
        <v>127</v>
      </c>
      <c r="J1628" s="1" t="s">
        <v>74</v>
      </c>
      <c r="K1628" s="1" t="s">
        <v>4011</v>
      </c>
      <c r="L1628" s="1"/>
      <c r="M1628" s="6" t="str">
        <f>IF(Table2[[#This Row],[Corrected Form '#
 (If Duplicated)]]="",Table2[[#This Row],[Form '#]],Table2[[#This Row],[Corrected Form '#
 (If Duplicated)]])</f>
        <v>7818-21223</v>
      </c>
      <c r="N1628" s="1" t="s">
        <v>49</v>
      </c>
      <c r="O1628" s="6" t="str">
        <f>IF(Table2[[#This Row],[POG CONFIRMATION RECEIPT OF ORDER
(DATE &amp; TIME)]]="","No Confirmation","Received Confirmation")</f>
        <v>Received Confirmation</v>
      </c>
      <c r="P1628" s="6">
        <f ca="1">TODAY()-Table2[[#This Row],[DATE SENT TO POG]]</f>
        <v>134</v>
      </c>
      <c r="Q1628" s="6" t="s">
        <v>5803</v>
      </c>
      <c r="R16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8" s="2" t="str">
        <f>_xlfn.XLOOKUP(Table2[[#This Row],[Adjusted Form '#]],'[2]IN PROGRESS'!$D:$D,'[2]IN PROGRESS'!$M:$M,"Not Found")</f>
        <v>Not Found</v>
      </c>
      <c r="U1628" s="2" t="str">
        <f>_xlfn.XLOOKUP(Table2[[#This Row],[Adjusted Form '#]],[1]COMPLETED!$D:$D,[2]COMPLETED!$M:$M,"Not Found")</f>
        <v>Not Found</v>
      </c>
      <c r="V1628" s="17" t="str">
        <f>_xlfn.XLOOKUP(Table2[[#This Row],[Adjusted Form '#]],[2]COMPLETED!$D:$D,[2]COMPLETED!$O:$O,"Not Found")</f>
        <v>Not Found</v>
      </c>
      <c r="W1628" s="2" t="str">
        <f>_xlfn.XLOOKUP(Table2[[#This Row],[Adjusted Form '#]],[2]BILLED!$D:$D,[2]BILLED!$M:$M,"Not Found")</f>
        <v>9400 1361 0605 3351 5143 35</v>
      </c>
      <c r="X1628" s="17" t="e">
        <f>_xlfn.XLOOKUP(Table2[[#This Row],[Adjusted Form '#]],[2]BILLED!$D:$D,[1]BILLED!$O:$O,"Not Found")</f>
        <v>#REF!</v>
      </c>
      <c r="Y1628" s="17" t="e">
        <f>_xlfn.XLOOKUP(Table2[[#This Row],[Adjusted Form '#]],'[2]REJECTED ORDERS'!$D:$D,'[2]REJECTED ORDERS'!$E:$E)</f>
        <v>#N/A</v>
      </c>
      <c r="Z1628" s="1"/>
      <c r="AA1628" s="1"/>
    </row>
    <row r="1629" spans="1:27" ht="15" customHeight="1" x14ac:dyDescent="0.35">
      <c r="A1629" s="4" t="s">
        <v>2417</v>
      </c>
      <c r="B1629" s="1" t="s">
        <v>2065</v>
      </c>
      <c r="C1629" s="11">
        <v>45169</v>
      </c>
      <c r="D1629" s="11" t="s">
        <v>6827</v>
      </c>
      <c r="E1629" s="1" t="s">
        <v>21</v>
      </c>
      <c r="F1629" s="1" t="s">
        <v>6824</v>
      </c>
      <c r="G1629" s="6">
        <f>COUNTIF(F:F,Table2[[#This Row],[Form '#]])</f>
        <v>1</v>
      </c>
      <c r="H1629" s="1" t="s">
        <v>3532</v>
      </c>
      <c r="I1629" s="1" t="s">
        <v>127</v>
      </c>
      <c r="J1629" s="1" t="s">
        <v>76</v>
      </c>
      <c r="K1629" s="1" t="s">
        <v>3883</v>
      </c>
      <c r="L1629" s="1"/>
      <c r="M1629" s="6" t="str">
        <f>IF(Table2[[#This Row],[Corrected Form '#
 (If Duplicated)]]="",Table2[[#This Row],[Form '#]],Table2[[#This Row],[Corrected Form '#
 (If Duplicated)]])</f>
        <v>7818-28457</v>
      </c>
      <c r="N1629" s="1" t="s">
        <v>49</v>
      </c>
      <c r="O1629" s="6" t="str">
        <f>IF(Table2[[#This Row],[POG CONFIRMATION RECEIPT OF ORDER
(DATE &amp; TIME)]]="","No Confirmation","Received Confirmation")</f>
        <v>Received Confirmation</v>
      </c>
      <c r="P1629" s="6">
        <f ca="1">TODAY()-Table2[[#This Row],[DATE SENT TO POG]]</f>
        <v>134</v>
      </c>
      <c r="Q1629" s="6" t="s">
        <v>5803</v>
      </c>
      <c r="R16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29" s="2" t="str">
        <f>_xlfn.XLOOKUP(Table2[[#This Row],[Adjusted Form '#]],'[2]IN PROGRESS'!$D:$D,'[2]IN PROGRESS'!$M:$M,"Not Found")</f>
        <v>Not Found</v>
      </c>
      <c r="U1629" s="2" t="str">
        <f>_xlfn.XLOOKUP(Table2[[#This Row],[Adjusted Form '#]],[1]COMPLETED!$D:$D,[2]COMPLETED!$M:$M,"Not Found")</f>
        <v>Not Found</v>
      </c>
      <c r="V1629" s="17" t="str">
        <f>_xlfn.XLOOKUP(Table2[[#This Row],[Adjusted Form '#]],[2]COMPLETED!$D:$D,[2]COMPLETED!$O:$O,"Not Found")</f>
        <v>Not Found</v>
      </c>
      <c r="W1629" s="2" t="str">
        <f>_xlfn.XLOOKUP(Table2[[#This Row],[Adjusted Form '#]],[2]BILLED!$D:$D,[2]BILLED!$M:$M,"Not Found")</f>
        <v>9400 1361 0605 3336 4065 01</v>
      </c>
      <c r="X1629" s="17" t="e">
        <f>_xlfn.XLOOKUP(Table2[[#This Row],[Adjusted Form '#]],[2]BILLED!$D:$D,[1]BILLED!$O:$O,"Not Found")</f>
        <v>#REF!</v>
      </c>
      <c r="Y1629" s="17" t="e">
        <f>_xlfn.XLOOKUP(Table2[[#This Row],[Adjusted Form '#]],'[2]REJECTED ORDERS'!$D:$D,'[2]REJECTED ORDERS'!$E:$E)</f>
        <v>#N/A</v>
      </c>
      <c r="Z1629" s="1"/>
      <c r="AA1629" s="1"/>
    </row>
    <row r="1630" spans="1:27" ht="15" customHeight="1" x14ac:dyDescent="0.35">
      <c r="A1630" s="4" t="s">
        <v>2418</v>
      </c>
      <c r="B1630" s="1" t="s">
        <v>2286</v>
      </c>
      <c r="C1630" s="11">
        <v>45169</v>
      </c>
      <c r="D1630" s="11" t="s">
        <v>6826</v>
      </c>
      <c r="E1630" s="1" t="s">
        <v>73</v>
      </c>
      <c r="F1630" s="1" t="s">
        <v>6825</v>
      </c>
      <c r="G1630" s="6">
        <f>COUNTIF(F:F,Table2[[#This Row],[Form '#]])</f>
        <v>1</v>
      </c>
      <c r="H1630" s="1" t="s">
        <v>1049</v>
      </c>
      <c r="I1630" s="1" t="s">
        <v>3864</v>
      </c>
      <c r="J1630" s="1" t="s">
        <v>78</v>
      </c>
      <c r="K1630" s="1" t="s">
        <v>3879</v>
      </c>
      <c r="L1630" s="1"/>
      <c r="M1630" s="6" t="str">
        <f>IF(Table2[[#This Row],[Corrected Form '#
 (If Duplicated)]]="",Table2[[#This Row],[Form '#]],Table2[[#This Row],[Corrected Form '#
 (If Duplicated)]])</f>
        <v>7823-02781</v>
      </c>
      <c r="N1630" s="1" t="s">
        <v>49</v>
      </c>
      <c r="O1630" s="6" t="str">
        <f>IF(Table2[[#This Row],[POG CONFIRMATION RECEIPT OF ORDER
(DATE &amp; TIME)]]="","No Confirmation","Received Confirmation")</f>
        <v>Received Confirmation</v>
      </c>
      <c r="P1630" s="6">
        <f ca="1">TODAY()-Table2[[#This Row],[DATE SENT TO POG]]</f>
        <v>134</v>
      </c>
      <c r="Q1630" s="6" t="s">
        <v>5803</v>
      </c>
      <c r="R16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0" s="2" t="str">
        <f>_xlfn.XLOOKUP(Table2[[#This Row],[Adjusted Form '#]],'[2]IN PROGRESS'!$D:$D,'[2]IN PROGRESS'!$M:$M,"Not Found")</f>
        <v>Not Found</v>
      </c>
      <c r="U1630" s="2" t="str">
        <f>_xlfn.XLOOKUP(Table2[[#This Row],[Adjusted Form '#]],[1]COMPLETED!$D:$D,[2]COMPLETED!$M:$M,"Not Found")</f>
        <v>Not Found</v>
      </c>
      <c r="V1630" s="17" t="str">
        <f>_xlfn.XLOOKUP(Table2[[#This Row],[Adjusted Form '#]],[2]COMPLETED!$D:$D,[2]COMPLETED!$O:$O,"Not Found")</f>
        <v>Not Found</v>
      </c>
      <c r="W1630" s="2" t="str">
        <f>_xlfn.XLOOKUP(Table2[[#This Row],[Adjusted Form '#]],[2]BILLED!$D:$D,[2]BILLED!$M:$M,"Not Found")</f>
        <v>9400 1112 0620 9565 2889 51</v>
      </c>
      <c r="X1630" s="17" t="e">
        <f>_xlfn.XLOOKUP(Table2[[#This Row],[Adjusted Form '#]],[2]BILLED!$D:$D,[1]BILLED!$O:$O,"Not Found")</f>
        <v>#REF!</v>
      </c>
      <c r="Y1630" s="17" t="e">
        <f>_xlfn.XLOOKUP(Table2[[#This Row],[Adjusted Form '#]],'[2]REJECTED ORDERS'!$D:$D,'[2]REJECTED ORDERS'!$E:$E)</f>
        <v>#N/A</v>
      </c>
      <c r="Z1630" s="1"/>
      <c r="AA1630" s="1"/>
    </row>
    <row r="1631" spans="1:27" ht="15" customHeight="1" x14ac:dyDescent="0.35">
      <c r="A1631" s="4" t="s">
        <v>2420</v>
      </c>
      <c r="B1631" s="1" t="s">
        <v>507</v>
      </c>
      <c r="C1631" s="11">
        <v>45169</v>
      </c>
      <c r="D1631" s="11" t="s">
        <v>6830</v>
      </c>
      <c r="E1631" s="1" t="s">
        <v>21</v>
      </c>
      <c r="F1631" s="1" t="s">
        <v>6828</v>
      </c>
      <c r="G1631" s="6">
        <f>COUNTIF(F:F,Table2[[#This Row],[Form '#]])</f>
        <v>1</v>
      </c>
      <c r="H1631" s="1" t="s">
        <v>6829</v>
      </c>
      <c r="I1631" s="1" t="s">
        <v>3852</v>
      </c>
      <c r="J1631" s="1" t="s">
        <v>3891</v>
      </c>
      <c r="K1631" s="1" t="s">
        <v>3853</v>
      </c>
      <c r="L1631" s="1"/>
      <c r="M1631" s="6" t="str">
        <f>IF(Table2[[#This Row],[Corrected Form '#
 (If Duplicated)]]="",Table2[[#This Row],[Form '#]],Table2[[#This Row],[Corrected Form '#
 (If Duplicated)]])</f>
        <v>7818-31617</v>
      </c>
      <c r="N1631" s="1" t="s">
        <v>49</v>
      </c>
      <c r="O1631" s="6" t="str">
        <f>IF(Table2[[#This Row],[POG CONFIRMATION RECEIPT OF ORDER
(DATE &amp; TIME)]]="","No Confirmation","Received Confirmation")</f>
        <v>Received Confirmation</v>
      </c>
      <c r="P1631" s="6">
        <f ca="1">TODAY()-Table2[[#This Row],[DATE SENT TO POG]]</f>
        <v>134</v>
      </c>
      <c r="Q1631" s="6" t="s">
        <v>5803</v>
      </c>
      <c r="R16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1" s="2" t="str">
        <f>_xlfn.XLOOKUP(Table2[[#This Row],[Adjusted Form '#]],'[2]IN PROGRESS'!$D:$D,'[2]IN PROGRESS'!$M:$M,"Not Found")</f>
        <v>Not Found</v>
      </c>
      <c r="U1631" s="2" t="str">
        <f>_xlfn.XLOOKUP(Table2[[#This Row],[Adjusted Form '#]],[1]COMPLETED!$D:$D,[2]COMPLETED!$M:$M,"Not Found")</f>
        <v>Not Found</v>
      </c>
      <c r="V1631" s="17" t="str">
        <f>_xlfn.XLOOKUP(Table2[[#This Row],[Adjusted Form '#]],[2]COMPLETED!$D:$D,[2]COMPLETED!$O:$O,"Not Found")</f>
        <v>Not Found</v>
      </c>
      <c r="W1631" s="2" t="str">
        <f>_xlfn.XLOOKUP(Table2[[#This Row],[Adjusted Form '#]],[2]BILLED!$D:$D,[2]BILLED!$M:$M,"Not Found")</f>
        <v>9400 1361 0605 3351 5495 11</v>
      </c>
      <c r="X1631" s="17" t="e">
        <f>_xlfn.XLOOKUP(Table2[[#This Row],[Adjusted Form '#]],[2]BILLED!$D:$D,[1]BILLED!$O:$O,"Not Found")</f>
        <v>#REF!</v>
      </c>
      <c r="Y1631" s="17" t="e">
        <f>_xlfn.XLOOKUP(Table2[[#This Row],[Adjusted Form '#]],'[2]REJECTED ORDERS'!$D:$D,'[2]REJECTED ORDERS'!$E:$E)</f>
        <v>#N/A</v>
      </c>
      <c r="Z1631" s="1"/>
      <c r="AA1631" s="1"/>
    </row>
    <row r="1632" spans="1:27" ht="15" customHeight="1" x14ac:dyDescent="0.35">
      <c r="A1632" s="4" t="s">
        <v>2421</v>
      </c>
      <c r="B1632" s="1" t="s">
        <v>6831</v>
      </c>
      <c r="C1632" s="11">
        <v>45169</v>
      </c>
      <c r="D1632" s="11" t="s">
        <v>6837</v>
      </c>
      <c r="E1632" s="1" t="s">
        <v>21</v>
      </c>
      <c r="F1632" s="1" t="s">
        <v>6832</v>
      </c>
      <c r="G1632" s="6">
        <f>COUNTIF(F:F,Table2[[#This Row],[Form '#]])</f>
        <v>1</v>
      </c>
      <c r="H1632" s="1" t="s">
        <v>3505</v>
      </c>
      <c r="I1632" s="1" t="s">
        <v>177</v>
      </c>
      <c r="J1632" s="1" t="s">
        <v>75</v>
      </c>
      <c r="K1632" s="1" t="s">
        <v>3853</v>
      </c>
      <c r="L1632" s="1"/>
      <c r="M1632" s="6" t="str">
        <f>IF(Table2[[#This Row],[Corrected Form '#
 (If Duplicated)]]="",Table2[[#This Row],[Form '#]],Table2[[#This Row],[Corrected Form '#
 (If Duplicated)]])</f>
        <v>7818-31634</v>
      </c>
      <c r="N1632" s="1" t="s">
        <v>49</v>
      </c>
      <c r="O1632" s="6" t="str">
        <f>IF(Table2[[#This Row],[POG CONFIRMATION RECEIPT OF ORDER
(DATE &amp; TIME)]]="","No Confirmation","Received Confirmation")</f>
        <v>Received Confirmation</v>
      </c>
      <c r="P1632" s="6">
        <f ca="1">TODAY()-Table2[[#This Row],[DATE SENT TO POG]]</f>
        <v>134</v>
      </c>
      <c r="Q1632" s="6" t="s">
        <v>5803</v>
      </c>
      <c r="R16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2" s="2" t="str">
        <f>_xlfn.XLOOKUP(Table2[[#This Row],[Adjusted Form '#]],'[2]IN PROGRESS'!$D:$D,'[2]IN PROGRESS'!$M:$M,"Not Found")</f>
        <v>Not Found</v>
      </c>
      <c r="U1632" s="2" t="str">
        <f>_xlfn.XLOOKUP(Table2[[#This Row],[Adjusted Form '#]],[1]COMPLETED!$D:$D,[2]COMPLETED!$M:$M,"Not Found")</f>
        <v>Not Found</v>
      </c>
      <c r="V1632" s="17" t="str">
        <f>_xlfn.XLOOKUP(Table2[[#This Row],[Adjusted Form '#]],[2]COMPLETED!$D:$D,[2]COMPLETED!$O:$O,"Not Found")</f>
        <v>Not Found</v>
      </c>
      <c r="W1632" s="2" t="str">
        <f>_xlfn.XLOOKUP(Table2[[#This Row],[Adjusted Form '#]],[2]BILLED!$D:$D,[2]BILLED!$M:$M,"Not Found")</f>
        <v>9400 1112 0620 9549 1089 78</v>
      </c>
      <c r="X1632" s="17" t="e">
        <f>_xlfn.XLOOKUP(Table2[[#This Row],[Adjusted Form '#]],[2]BILLED!$D:$D,[1]BILLED!$O:$O,"Not Found")</f>
        <v>#REF!</v>
      </c>
      <c r="Y1632" s="17" t="e">
        <f>_xlfn.XLOOKUP(Table2[[#This Row],[Adjusted Form '#]],'[2]REJECTED ORDERS'!$D:$D,'[2]REJECTED ORDERS'!$E:$E)</f>
        <v>#N/A</v>
      </c>
      <c r="Z1632" s="1"/>
      <c r="AA1632" s="1"/>
    </row>
    <row r="1633" spans="1:27" ht="15" customHeight="1" x14ac:dyDescent="0.35">
      <c r="A1633" s="4" t="s">
        <v>2423</v>
      </c>
      <c r="B1633" s="1" t="s">
        <v>6831</v>
      </c>
      <c r="C1633" s="11">
        <v>45169</v>
      </c>
      <c r="D1633" s="11" t="s">
        <v>6837</v>
      </c>
      <c r="E1633" s="1" t="s">
        <v>21</v>
      </c>
      <c r="F1633" s="1" t="s">
        <v>6833</v>
      </c>
      <c r="G1633" s="6">
        <f>COUNTIF(F:F,Table2[[#This Row],[Form '#]])</f>
        <v>1</v>
      </c>
      <c r="H1633" s="1" t="s">
        <v>3727</v>
      </c>
      <c r="I1633" s="1" t="s">
        <v>3864</v>
      </c>
      <c r="J1633" s="1" t="s">
        <v>78</v>
      </c>
      <c r="K1633" s="1" t="s">
        <v>3879</v>
      </c>
      <c r="L1633" s="1"/>
      <c r="M1633" s="6" t="str">
        <f>IF(Table2[[#This Row],[Corrected Form '#
 (If Duplicated)]]="",Table2[[#This Row],[Form '#]],Table2[[#This Row],[Corrected Form '#
 (If Duplicated)]])</f>
        <v>7818-17335</v>
      </c>
      <c r="N1633" s="1" t="s">
        <v>49</v>
      </c>
      <c r="O1633" s="6" t="str">
        <f>IF(Table2[[#This Row],[POG CONFIRMATION RECEIPT OF ORDER
(DATE &amp; TIME)]]="","No Confirmation","Received Confirmation")</f>
        <v>Received Confirmation</v>
      </c>
      <c r="P1633" s="6">
        <f ca="1">TODAY()-Table2[[#This Row],[DATE SENT TO POG]]</f>
        <v>134</v>
      </c>
      <c r="Q1633" s="6" t="s">
        <v>5803</v>
      </c>
      <c r="R16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3" s="2" t="str">
        <f>_xlfn.XLOOKUP(Table2[[#This Row],[Adjusted Form '#]],'[2]IN PROGRESS'!$D:$D,'[2]IN PROGRESS'!$M:$M,"Not Found")</f>
        <v>Not Found</v>
      </c>
      <c r="U1633" s="2" t="str">
        <f>_xlfn.XLOOKUP(Table2[[#This Row],[Adjusted Form '#]],[1]COMPLETED!$D:$D,[2]COMPLETED!$M:$M,"Not Found")</f>
        <v>Not Found</v>
      </c>
      <c r="V1633" s="17" t="str">
        <f>_xlfn.XLOOKUP(Table2[[#This Row],[Adjusted Form '#]],[2]COMPLETED!$D:$D,[2]COMPLETED!$O:$O,"Not Found")</f>
        <v>Not Found</v>
      </c>
      <c r="W1633" s="2" t="str">
        <f>_xlfn.XLOOKUP(Table2[[#This Row],[Adjusted Form '#]],[2]BILLED!$D:$D,[2]BILLED!$M:$M,"Not Found")</f>
        <v>9400 1112 0620 9568 5874 88</v>
      </c>
      <c r="X1633" s="17" t="e">
        <f>_xlfn.XLOOKUP(Table2[[#This Row],[Adjusted Form '#]],[2]BILLED!$D:$D,[1]BILLED!$O:$O,"Not Found")</f>
        <v>#REF!</v>
      </c>
      <c r="Y1633" s="17" t="e">
        <f>_xlfn.XLOOKUP(Table2[[#This Row],[Adjusted Form '#]],'[2]REJECTED ORDERS'!$D:$D,'[2]REJECTED ORDERS'!$E:$E)</f>
        <v>#N/A</v>
      </c>
      <c r="Z1633" s="1"/>
      <c r="AA1633" s="1"/>
    </row>
    <row r="1634" spans="1:27" ht="15" customHeight="1" x14ac:dyDescent="0.35">
      <c r="A1634" s="4" t="s">
        <v>2425</v>
      </c>
      <c r="B1634" s="1" t="s">
        <v>6831</v>
      </c>
      <c r="C1634" s="11">
        <v>45169</v>
      </c>
      <c r="D1634" s="11" t="s">
        <v>6837</v>
      </c>
      <c r="E1634" s="1" t="s">
        <v>21</v>
      </c>
      <c r="F1634" s="1" t="s">
        <v>6834</v>
      </c>
      <c r="G1634" s="6">
        <f>COUNTIF(F:F,Table2[[#This Row],[Form '#]])</f>
        <v>1</v>
      </c>
      <c r="H1634" s="1" t="s">
        <v>972</v>
      </c>
      <c r="I1634" s="1" t="s">
        <v>758</v>
      </c>
      <c r="J1634" s="1" t="s">
        <v>78</v>
      </c>
      <c r="K1634" s="1" t="s">
        <v>3853</v>
      </c>
      <c r="L1634" s="1"/>
      <c r="M1634" s="6" t="str">
        <f>IF(Table2[[#This Row],[Corrected Form '#
 (If Duplicated)]]="",Table2[[#This Row],[Form '#]],Table2[[#This Row],[Corrected Form '#
 (If Duplicated)]])</f>
        <v>7818-19835</v>
      </c>
      <c r="N1634" s="1" t="s">
        <v>49</v>
      </c>
      <c r="O1634" s="6" t="str">
        <f>IF(Table2[[#This Row],[POG CONFIRMATION RECEIPT OF ORDER
(DATE &amp; TIME)]]="","No Confirmation","Received Confirmation")</f>
        <v>Received Confirmation</v>
      </c>
      <c r="P1634" s="6">
        <f ca="1">TODAY()-Table2[[#This Row],[DATE SENT TO POG]]</f>
        <v>134</v>
      </c>
      <c r="Q1634" s="6" t="s">
        <v>5803</v>
      </c>
      <c r="R16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4" s="2" t="str">
        <f>_xlfn.XLOOKUP(Table2[[#This Row],[Adjusted Form '#]],'[2]IN PROGRESS'!$D:$D,'[2]IN PROGRESS'!$M:$M,"Not Found")</f>
        <v>Not Found</v>
      </c>
      <c r="U1634" s="2" t="str">
        <f>_xlfn.XLOOKUP(Table2[[#This Row],[Adjusted Form '#]],[1]COMPLETED!$D:$D,[2]COMPLETED!$M:$M,"Not Found")</f>
        <v>Not Found</v>
      </c>
      <c r="V1634" s="17" t="str">
        <f>_xlfn.XLOOKUP(Table2[[#This Row],[Adjusted Form '#]],[2]COMPLETED!$D:$D,[2]COMPLETED!$O:$O,"Not Found")</f>
        <v>Not Found</v>
      </c>
      <c r="W1634" s="2" t="str">
        <f>_xlfn.XLOOKUP(Table2[[#This Row],[Adjusted Form '#]],[2]BILLED!$D:$D,[2]BILLED!$M:$M,"Not Found")</f>
        <v>9400 1112 0620 9568 5060 45</v>
      </c>
      <c r="X1634" s="17" t="e">
        <f>_xlfn.XLOOKUP(Table2[[#This Row],[Adjusted Form '#]],[2]BILLED!$D:$D,[1]BILLED!$O:$O,"Not Found")</f>
        <v>#REF!</v>
      </c>
      <c r="Y1634" s="17" t="e">
        <f>_xlfn.XLOOKUP(Table2[[#This Row],[Adjusted Form '#]],'[2]REJECTED ORDERS'!$D:$D,'[2]REJECTED ORDERS'!$E:$E)</f>
        <v>#N/A</v>
      </c>
      <c r="Z1634" s="1"/>
      <c r="AA1634" s="1"/>
    </row>
    <row r="1635" spans="1:27" ht="15" customHeight="1" x14ac:dyDescent="0.35">
      <c r="A1635" s="4" t="s">
        <v>2426</v>
      </c>
      <c r="B1635" s="1" t="s">
        <v>6835</v>
      </c>
      <c r="C1635" s="11">
        <v>45169</v>
      </c>
      <c r="D1635" s="11" t="s">
        <v>6837</v>
      </c>
      <c r="E1635" s="1" t="s">
        <v>21</v>
      </c>
      <c r="F1635" s="1" t="s">
        <v>6836</v>
      </c>
      <c r="G1635" s="6">
        <f>COUNTIF(F:F,Table2[[#This Row],[Form '#]])</f>
        <v>1</v>
      </c>
      <c r="H1635" s="1" t="s">
        <v>6604</v>
      </c>
      <c r="I1635" s="1" t="s">
        <v>3852</v>
      </c>
      <c r="J1635" s="1" t="s">
        <v>80</v>
      </c>
      <c r="K1635" s="1" t="s">
        <v>3853</v>
      </c>
      <c r="L1635" s="1"/>
      <c r="M1635" s="6" t="str">
        <f>IF(Table2[[#This Row],[Corrected Form '#
 (If Duplicated)]]="",Table2[[#This Row],[Form '#]],Table2[[#This Row],[Corrected Form '#
 (If Duplicated)]])</f>
        <v>7818-31635</v>
      </c>
      <c r="N1635" s="1" t="s">
        <v>104</v>
      </c>
      <c r="O1635" s="6" t="str">
        <f>IF(Table2[[#This Row],[POG CONFIRMATION RECEIPT OF ORDER
(DATE &amp; TIME)]]="","No Confirmation","Received Confirmation")</f>
        <v>Received Confirmation</v>
      </c>
      <c r="P1635" s="6">
        <f ca="1">TODAY()-Table2[[#This Row],[DATE SENT TO POG]]</f>
        <v>134</v>
      </c>
      <c r="Q1635" s="6" t="s">
        <v>5803</v>
      </c>
      <c r="R16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5" s="2" t="str">
        <f>_xlfn.XLOOKUP(Table2[[#This Row],[Adjusted Form '#]],'[2]IN PROGRESS'!$D:$D,'[2]IN PROGRESS'!$M:$M,"Not Found")</f>
        <v>Not Found</v>
      </c>
      <c r="U1635" s="2" t="str">
        <f>_xlfn.XLOOKUP(Table2[[#This Row],[Adjusted Form '#]],[1]COMPLETED!$D:$D,[2]COMPLETED!$M:$M,"Not Found")</f>
        <v>Not Found</v>
      </c>
      <c r="V1635" s="17" t="str">
        <f>_xlfn.XLOOKUP(Table2[[#This Row],[Adjusted Form '#]],[2]COMPLETED!$D:$D,[2]COMPLETED!$O:$O,"Not Found")</f>
        <v>Not Found</v>
      </c>
      <c r="W1635" s="2" t="str">
        <f>_xlfn.XLOOKUP(Table2[[#This Row],[Adjusted Form '#]],[2]BILLED!$D:$D,[2]BILLED!$M:$M,"Not Found")</f>
        <v>9400 1112 0620 9507 1274 47</v>
      </c>
      <c r="X1635" s="17" t="e">
        <f>_xlfn.XLOOKUP(Table2[[#This Row],[Adjusted Form '#]],[2]BILLED!$D:$D,[1]BILLED!$O:$O,"Not Found")</f>
        <v>#REF!</v>
      </c>
      <c r="Y1635" s="17" t="e">
        <f>_xlfn.XLOOKUP(Table2[[#This Row],[Adjusted Form '#]],'[2]REJECTED ORDERS'!$D:$D,'[2]REJECTED ORDERS'!$E:$E)</f>
        <v>#N/A</v>
      </c>
      <c r="Z1635" s="1"/>
      <c r="AA1635" s="1"/>
    </row>
    <row r="1636" spans="1:27" ht="15" customHeight="1" x14ac:dyDescent="0.35">
      <c r="A1636" s="4" t="s">
        <v>2428</v>
      </c>
      <c r="B1636" s="1" t="s">
        <v>709</v>
      </c>
      <c r="C1636" s="11">
        <v>45170</v>
      </c>
      <c r="D1636" s="11" t="s">
        <v>6840</v>
      </c>
      <c r="E1636" s="1" t="s">
        <v>21</v>
      </c>
      <c r="F1636" s="1" t="s">
        <v>6838</v>
      </c>
      <c r="G1636" s="6">
        <f>COUNTIF(F:F,Table2[[#This Row],[Form '#]])</f>
        <v>1</v>
      </c>
      <c r="H1636" s="1" t="s">
        <v>6839</v>
      </c>
      <c r="I1636" s="1" t="s">
        <v>3864</v>
      </c>
      <c r="J1636" s="1" t="s">
        <v>78</v>
      </c>
      <c r="K1636" s="1" t="s">
        <v>3879</v>
      </c>
      <c r="L1636" s="1"/>
      <c r="M1636" s="6" t="str">
        <f>IF(Table2[[#This Row],[Corrected Form '#
 (If Duplicated)]]="",Table2[[#This Row],[Form '#]],Table2[[#This Row],[Corrected Form '#
 (If Duplicated)]])</f>
        <v>7818-21208</v>
      </c>
      <c r="N1636" s="1" t="s">
        <v>49</v>
      </c>
      <c r="O1636" s="6" t="str">
        <f>IF(Table2[[#This Row],[POG CONFIRMATION RECEIPT OF ORDER
(DATE &amp; TIME)]]="","No Confirmation","Received Confirmation")</f>
        <v>Received Confirmation</v>
      </c>
      <c r="P1636" s="6">
        <f ca="1">TODAY()-Table2[[#This Row],[DATE SENT TO POG]]</f>
        <v>133</v>
      </c>
      <c r="Q1636" s="6" t="s">
        <v>5803</v>
      </c>
      <c r="R16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6" s="2" t="str">
        <f>_xlfn.XLOOKUP(Table2[[#This Row],[Adjusted Form '#]],'[2]IN PROGRESS'!$D:$D,'[2]IN PROGRESS'!$M:$M,"Not Found")</f>
        <v>Not Found</v>
      </c>
      <c r="U1636" s="2" t="str">
        <f>_xlfn.XLOOKUP(Table2[[#This Row],[Adjusted Form '#]],[1]COMPLETED!$D:$D,[2]COMPLETED!$M:$M,"Not Found")</f>
        <v>Not Found</v>
      </c>
      <c r="V1636" s="17" t="str">
        <f>_xlfn.XLOOKUP(Table2[[#This Row],[Adjusted Form '#]],[2]COMPLETED!$D:$D,[2]COMPLETED!$O:$O,"Not Found")</f>
        <v>Not Found</v>
      </c>
      <c r="W1636" s="2" t="str">
        <f>_xlfn.XLOOKUP(Table2[[#This Row],[Adjusted Form '#]],[2]BILLED!$D:$D,[2]BILLED!$M:$M,"Not Found")</f>
        <v>9400 1112 0620 9549 1671 35</v>
      </c>
      <c r="X1636" s="17" t="e">
        <f>_xlfn.XLOOKUP(Table2[[#This Row],[Adjusted Form '#]],[2]BILLED!$D:$D,[1]BILLED!$O:$O,"Not Found")</f>
        <v>#REF!</v>
      </c>
      <c r="Y1636" s="17" t="e">
        <f>_xlfn.XLOOKUP(Table2[[#This Row],[Adjusted Form '#]],'[2]REJECTED ORDERS'!$D:$D,'[2]REJECTED ORDERS'!$E:$E)</f>
        <v>#N/A</v>
      </c>
      <c r="Z1636" s="1"/>
      <c r="AA1636" s="1"/>
    </row>
    <row r="1637" spans="1:27" ht="15" customHeight="1" x14ac:dyDescent="0.35">
      <c r="A1637" s="4" t="s">
        <v>2430</v>
      </c>
      <c r="B1637" s="1" t="s">
        <v>3225</v>
      </c>
      <c r="C1637" s="11">
        <v>45170</v>
      </c>
      <c r="D1637" s="11" t="s">
        <v>6843</v>
      </c>
      <c r="E1637" s="1" t="s">
        <v>191</v>
      </c>
      <c r="F1637" s="1" t="s">
        <v>6841</v>
      </c>
      <c r="G1637" s="6">
        <f>COUNTIF(F:F,Table2[[#This Row],[Form '#]])</f>
        <v>1</v>
      </c>
      <c r="H1637" s="1" t="s">
        <v>6842</v>
      </c>
      <c r="I1637" s="1" t="s">
        <v>127</v>
      </c>
      <c r="J1637" s="1" t="s">
        <v>76</v>
      </c>
      <c r="K1637" s="1" t="s">
        <v>4011</v>
      </c>
      <c r="L1637" s="1"/>
      <c r="M1637" s="6" t="str">
        <f>IF(Table2[[#This Row],[Corrected Form '#
 (If Duplicated)]]="",Table2[[#This Row],[Form '#]],Table2[[#This Row],[Corrected Form '#
 (If Duplicated)]])</f>
        <v>7812-02764</v>
      </c>
      <c r="N1637" s="1" t="s">
        <v>49</v>
      </c>
      <c r="O1637" s="6" t="str">
        <f>IF(Table2[[#This Row],[POG CONFIRMATION RECEIPT OF ORDER
(DATE &amp; TIME)]]="","No Confirmation","Received Confirmation")</f>
        <v>Received Confirmation</v>
      </c>
      <c r="P1637" s="6">
        <f ca="1">TODAY()-Table2[[#This Row],[DATE SENT TO POG]]</f>
        <v>133</v>
      </c>
      <c r="Q1637" s="6" t="s">
        <v>5803</v>
      </c>
      <c r="R16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7" s="2" t="str">
        <f>_xlfn.XLOOKUP(Table2[[#This Row],[Adjusted Form '#]],'[2]IN PROGRESS'!$D:$D,'[2]IN PROGRESS'!$M:$M,"Not Found")</f>
        <v>Not Found</v>
      </c>
      <c r="U1637" s="2" t="str">
        <f>_xlfn.XLOOKUP(Table2[[#This Row],[Adjusted Form '#]],[1]COMPLETED!$D:$D,[2]COMPLETED!$M:$M,"Not Found")</f>
        <v>Not Found</v>
      </c>
      <c r="V1637" s="17" t="str">
        <f>_xlfn.XLOOKUP(Table2[[#This Row],[Adjusted Form '#]],[2]COMPLETED!$D:$D,[2]COMPLETED!$O:$O,"Not Found")</f>
        <v>Not Found</v>
      </c>
      <c r="W1637" s="2" t="str">
        <f>_xlfn.XLOOKUP(Table2[[#This Row],[Adjusted Form '#]],[2]BILLED!$D:$D,[2]BILLED!$M:$M,"Not Found")</f>
        <v>9400 1112 0620 9568 5573 37</v>
      </c>
      <c r="X1637" s="17" t="e">
        <f>_xlfn.XLOOKUP(Table2[[#This Row],[Adjusted Form '#]],[2]BILLED!$D:$D,[1]BILLED!$O:$O,"Not Found")</f>
        <v>#REF!</v>
      </c>
      <c r="Y1637" s="17" t="e">
        <f>_xlfn.XLOOKUP(Table2[[#This Row],[Adjusted Form '#]],'[2]REJECTED ORDERS'!$D:$D,'[2]REJECTED ORDERS'!$E:$E)</f>
        <v>#N/A</v>
      </c>
      <c r="Z1637" s="1"/>
      <c r="AA1637" s="1"/>
    </row>
    <row r="1638" spans="1:27" ht="15" customHeight="1" x14ac:dyDescent="0.35">
      <c r="A1638" s="4" t="s">
        <v>2432</v>
      </c>
      <c r="B1638" s="1" t="s">
        <v>1847</v>
      </c>
      <c r="C1638" s="11">
        <v>45170</v>
      </c>
      <c r="D1638" s="11" t="s">
        <v>6845</v>
      </c>
      <c r="E1638" s="1" t="s">
        <v>21</v>
      </c>
      <c r="F1638" s="1" t="s">
        <v>6844</v>
      </c>
      <c r="G1638" s="6">
        <f>COUNTIF(F:F,Table2[[#This Row],[Form '#]])</f>
        <v>1</v>
      </c>
      <c r="H1638" s="1" t="s">
        <v>975</v>
      </c>
      <c r="I1638" s="1" t="s">
        <v>3864</v>
      </c>
      <c r="J1638" s="1" t="s">
        <v>78</v>
      </c>
      <c r="K1638" s="1" t="s">
        <v>3879</v>
      </c>
      <c r="L1638" s="1"/>
      <c r="M1638" s="6" t="str">
        <f>IF(Table2[[#This Row],[Corrected Form '#
 (If Duplicated)]]="",Table2[[#This Row],[Form '#]],Table2[[#This Row],[Corrected Form '#
 (If Duplicated)]])</f>
        <v>7818-25642</v>
      </c>
      <c r="N1638" s="1" t="s">
        <v>49</v>
      </c>
      <c r="O1638" s="6" t="str">
        <f>IF(Table2[[#This Row],[POG CONFIRMATION RECEIPT OF ORDER
(DATE &amp; TIME)]]="","No Confirmation","Received Confirmation")</f>
        <v>Received Confirmation</v>
      </c>
      <c r="P1638" s="6">
        <f ca="1">TODAY()-Table2[[#This Row],[DATE SENT TO POG]]</f>
        <v>133</v>
      </c>
      <c r="Q1638" s="6" t="s">
        <v>5803</v>
      </c>
      <c r="R16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8" s="2" t="str">
        <f>_xlfn.XLOOKUP(Table2[[#This Row],[Adjusted Form '#]],'[2]IN PROGRESS'!$D:$D,'[2]IN PROGRESS'!$M:$M,"Not Found")</f>
        <v>Not Found</v>
      </c>
      <c r="U1638" s="2" t="str">
        <f>_xlfn.XLOOKUP(Table2[[#This Row],[Adjusted Form '#]],[1]COMPLETED!$D:$D,[2]COMPLETED!$M:$M,"Not Found")</f>
        <v>Not Found</v>
      </c>
      <c r="V1638" s="17" t="str">
        <f>_xlfn.XLOOKUP(Table2[[#This Row],[Adjusted Form '#]],[2]COMPLETED!$D:$D,[2]COMPLETED!$O:$O,"Not Found")</f>
        <v>Not Found</v>
      </c>
      <c r="W1638" s="2" t="str">
        <f>_xlfn.XLOOKUP(Table2[[#This Row],[Adjusted Form '#]],[2]BILLED!$D:$D,[2]BILLED!$M:$M,"Not Found")</f>
        <v>9400 1112 0620 9584 5704 88</v>
      </c>
      <c r="X1638" s="17" t="e">
        <f>_xlfn.XLOOKUP(Table2[[#This Row],[Adjusted Form '#]],[2]BILLED!$D:$D,[1]BILLED!$O:$O,"Not Found")</f>
        <v>#REF!</v>
      </c>
      <c r="Y1638" s="17" t="e">
        <f>_xlfn.XLOOKUP(Table2[[#This Row],[Adjusted Form '#]],'[2]REJECTED ORDERS'!$D:$D,'[2]REJECTED ORDERS'!$E:$E)</f>
        <v>#N/A</v>
      </c>
      <c r="Z1638" s="1"/>
      <c r="AA1638" s="1"/>
    </row>
    <row r="1639" spans="1:27" ht="15" customHeight="1" x14ac:dyDescent="0.35">
      <c r="A1639" s="4" t="s">
        <v>2434</v>
      </c>
      <c r="B1639" s="1" t="s">
        <v>5660</v>
      </c>
      <c r="C1639" s="11">
        <v>45171</v>
      </c>
      <c r="D1639" s="11" t="s">
        <v>6847</v>
      </c>
      <c r="E1639" s="1" t="s">
        <v>1592</v>
      </c>
      <c r="F1639" s="1" t="s">
        <v>6846</v>
      </c>
      <c r="G1639" s="6">
        <f>COUNTIF(F:F,Table2[[#This Row],[Form '#]])</f>
        <v>2</v>
      </c>
      <c r="H1639" s="1" t="s">
        <v>3648</v>
      </c>
      <c r="I1639" s="1" t="s">
        <v>177</v>
      </c>
      <c r="J1639" s="1" t="s">
        <v>75</v>
      </c>
      <c r="K1639" s="1" t="s">
        <v>4011</v>
      </c>
      <c r="L1639" s="1"/>
      <c r="M1639" s="6" t="str">
        <f>IF(Table2[[#This Row],[Corrected Form '#
 (If Duplicated)]]="",Table2[[#This Row],[Form '#]],Table2[[#This Row],[Corrected Form '#
 (If Duplicated)]])</f>
        <v>7811-00314</v>
      </c>
      <c r="N1639" s="1" t="s">
        <v>49</v>
      </c>
      <c r="O1639" s="6" t="str">
        <f>IF(Table2[[#This Row],[POG CONFIRMATION RECEIPT OF ORDER
(DATE &amp; TIME)]]="","No Confirmation","Received Confirmation")</f>
        <v>Received Confirmation</v>
      </c>
      <c r="P1639" s="6">
        <f ca="1">TODAY()-Table2[[#This Row],[DATE SENT TO POG]]</f>
        <v>132</v>
      </c>
      <c r="Q1639" s="6" t="s">
        <v>5803</v>
      </c>
      <c r="R16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39" s="2" t="str">
        <f>_xlfn.XLOOKUP(Table2[[#This Row],[Adjusted Form '#]],'[2]IN PROGRESS'!$D:$D,'[2]IN PROGRESS'!$M:$M,"Not Found")</f>
        <v>Not Found</v>
      </c>
      <c r="U1639" s="2" t="str">
        <f>_xlfn.XLOOKUP(Table2[[#This Row],[Adjusted Form '#]],[1]COMPLETED!$D:$D,[2]COMPLETED!$M:$M,"Not Found")</f>
        <v>Not Found</v>
      </c>
      <c r="V1639" s="17" t="str">
        <f>_xlfn.XLOOKUP(Table2[[#This Row],[Adjusted Form '#]],[2]COMPLETED!$D:$D,[2]COMPLETED!$O:$O,"Not Found")</f>
        <v>Not Found</v>
      </c>
      <c r="W1639" s="2" t="str">
        <f>_xlfn.XLOOKUP(Table2[[#This Row],[Adjusted Form '#]],[2]BILLED!$D:$D,[2]BILLED!$M:$M,"Not Found")</f>
        <v>9400 1112 0620 9549 1569 17</v>
      </c>
      <c r="X1639" s="17" t="e">
        <f>_xlfn.XLOOKUP(Table2[[#This Row],[Adjusted Form '#]],[2]BILLED!$D:$D,[1]BILLED!$O:$O,"Not Found")</f>
        <v>#REF!</v>
      </c>
      <c r="Y1639" s="17" t="str">
        <f>_xlfn.XLOOKUP(Table2[[#This Row],[Adjusted Form '#]],'[2]REJECTED ORDERS'!$D:$D,'[2]REJECTED ORDERS'!$E:$E)</f>
        <v>FORM NUMBER ALREADY USED</v>
      </c>
      <c r="Z1639" s="1"/>
      <c r="AA1639" s="1"/>
    </row>
    <row r="1640" spans="1:27" ht="15" customHeight="1" x14ac:dyDescent="0.35">
      <c r="A1640" s="4" t="s">
        <v>2435</v>
      </c>
      <c r="B1640" s="1" t="s">
        <v>1652</v>
      </c>
      <c r="C1640" s="11">
        <v>45174</v>
      </c>
      <c r="D1640" s="11" t="s">
        <v>6851</v>
      </c>
      <c r="E1640" s="1" t="s">
        <v>64</v>
      </c>
      <c r="F1640" s="1" t="s">
        <v>6849</v>
      </c>
      <c r="G1640" s="6">
        <f>COUNTIF(F:F,Table2[[#This Row],[Form '#]])</f>
        <v>1</v>
      </c>
      <c r="H1640" s="1" t="s">
        <v>6850</v>
      </c>
      <c r="I1640" s="1" t="s">
        <v>3864</v>
      </c>
      <c r="J1640" s="1" t="s">
        <v>78</v>
      </c>
      <c r="K1640" s="1" t="s">
        <v>3879</v>
      </c>
      <c r="L1640" s="1"/>
      <c r="M1640" s="6" t="str">
        <f>IF(Table2[[#This Row],[Corrected Form '#
 (If Duplicated)]]="",Table2[[#This Row],[Form '#]],Table2[[#This Row],[Corrected Form '#
 (If Duplicated)]])</f>
        <v>7824-00457</v>
      </c>
      <c r="N1640" s="1" t="s">
        <v>49</v>
      </c>
      <c r="O1640" s="6" t="str">
        <f>IF(Table2[[#This Row],[POG CONFIRMATION RECEIPT OF ORDER
(DATE &amp; TIME)]]="","No Confirmation","Received Confirmation")</f>
        <v>Received Confirmation</v>
      </c>
      <c r="P1640" s="6">
        <f ca="1">TODAY()-Table2[[#This Row],[DATE SENT TO POG]]</f>
        <v>129</v>
      </c>
      <c r="Q1640" s="6" t="s">
        <v>5803</v>
      </c>
      <c r="R16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0" s="2" t="str">
        <f>_xlfn.XLOOKUP(Table2[[#This Row],[Adjusted Form '#]],'[2]IN PROGRESS'!$D:$D,'[2]IN PROGRESS'!$M:$M,"Not Found")</f>
        <v>Not Found</v>
      </c>
      <c r="U1640" s="2" t="str">
        <f>_xlfn.XLOOKUP(Table2[[#This Row],[Adjusted Form '#]],[1]COMPLETED!$D:$D,[2]COMPLETED!$M:$M,"Not Found")</f>
        <v>Not Found</v>
      </c>
      <c r="V1640" s="17" t="str">
        <f>_xlfn.XLOOKUP(Table2[[#This Row],[Adjusted Form '#]],[2]COMPLETED!$D:$D,[2]COMPLETED!$O:$O,"Not Found")</f>
        <v>Not Found</v>
      </c>
      <c r="W1640" s="2" t="str">
        <f>_xlfn.XLOOKUP(Table2[[#This Row],[Adjusted Form '#]],[2]BILLED!$D:$D,[2]BILLED!$M:$M,"Not Found")</f>
        <v>9400 1361 0605 3384 3137 07</v>
      </c>
      <c r="X1640" s="17" t="e">
        <f>_xlfn.XLOOKUP(Table2[[#This Row],[Adjusted Form '#]],[2]BILLED!$D:$D,[1]BILLED!$O:$O,"Not Found")</f>
        <v>#REF!</v>
      </c>
      <c r="Y1640" s="17" t="e">
        <f>_xlfn.XLOOKUP(Table2[[#This Row],[Adjusted Form '#]],'[2]REJECTED ORDERS'!$D:$D,'[2]REJECTED ORDERS'!$E:$E)</f>
        <v>#N/A</v>
      </c>
      <c r="Z1640" s="1"/>
      <c r="AA1640" s="1"/>
    </row>
    <row r="1641" spans="1:27" ht="15" customHeight="1" x14ac:dyDescent="0.35">
      <c r="A1641" s="4" t="s">
        <v>2437</v>
      </c>
      <c r="B1641" s="1" t="s">
        <v>2001</v>
      </c>
      <c r="C1641" s="11">
        <v>45174</v>
      </c>
      <c r="D1641" s="11" t="s">
        <v>6866</v>
      </c>
      <c r="E1641" s="1" t="s">
        <v>64</v>
      </c>
      <c r="F1641" s="1" t="s">
        <v>6852</v>
      </c>
      <c r="G1641" s="6">
        <f>COUNTIF(F:F,Table2[[#This Row],[Form '#]])</f>
        <v>1</v>
      </c>
      <c r="H1641" s="1" t="s">
        <v>651</v>
      </c>
      <c r="I1641" s="1" t="s">
        <v>127</v>
      </c>
      <c r="J1641" s="1" t="s">
        <v>76</v>
      </c>
      <c r="K1641" s="1" t="s">
        <v>3883</v>
      </c>
      <c r="L1641" s="1"/>
      <c r="M1641" s="6" t="str">
        <f>IF(Table2[[#This Row],[Corrected Form '#
 (If Duplicated)]]="",Table2[[#This Row],[Form '#]],Table2[[#This Row],[Corrected Form '#
 (If Duplicated)]])</f>
        <v>7824-00445</v>
      </c>
      <c r="N1641" s="1" t="s">
        <v>49</v>
      </c>
      <c r="O1641" s="6" t="str">
        <f>IF(Table2[[#This Row],[POG CONFIRMATION RECEIPT OF ORDER
(DATE &amp; TIME)]]="","No Confirmation","Received Confirmation")</f>
        <v>Received Confirmation</v>
      </c>
      <c r="P1641" s="6">
        <f ca="1">TODAY()-Table2[[#This Row],[DATE SENT TO POG]]</f>
        <v>129</v>
      </c>
      <c r="Q1641" s="6" t="s">
        <v>5803</v>
      </c>
      <c r="R16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1" s="2" t="str">
        <f>_xlfn.XLOOKUP(Table2[[#This Row],[Adjusted Form '#]],'[2]IN PROGRESS'!$D:$D,'[2]IN PROGRESS'!$M:$M,"Not Found")</f>
        <v>Not Found</v>
      </c>
      <c r="U1641" s="2" t="str">
        <f>_xlfn.XLOOKUP(Table2[[#This Row],[Adjusted Form '#]],[1]COMPLETED!$D:$D,[2]COMPLETED!$M:$M,"Not Found")</f>
        <v>Not Found</v>
      </c>
      <c r="V1641" s="17" t="str">
        <f>_xlfn.XLOOKUP(Table2[[#This Row],[Adjusted Form '#]],[2]COMPLETED!$D:$D,[2]COMPLETED!$O:$O,"Not Found")</f>
        <v>Not Found</v>
      </c>
      <c r="W1641" s="2" t="str">
        <f>_xlfn.XLOOKUP(Table2[[#This Row],[Adjusted Form '#]],[2]BILLED!$D:$D,[2]BILLED!$M:$M,"Not Found")</f>
        <v>9400 1361 0605 3389 0043 72</v>
      </c>
      <c r="X1641" s="17" t="e">
        <f>_xlfn.XLOOKUP(Table2[[#This Row],[Adjusted Form '#]],[2]BILLED!$D:$D,[1]BILLED!$O:$O,"Not Found")</f>
        <v>#REF!</v>
      </c>
      <c r="Y1641" s="17" t="e">
        <f>_xlfn.XLOOKUP(Table2[[#This Row],[Adjusted Form '#]],'[2]REJECTED ORDERS'!$D:$D,'[2]REJECTED ORDERS'!$E:$E)</f>
        <v>#N/A</v>
      </c>
      <c r="Z1641" s="1"/>
      <c r="AA1641" s="1"/>
    </row>
    <row r="1642" spans="1:27" ht="15" customHeight="1" x14ac:dyDescent="0.35">
      <c r="A1642" s="4" t="s">
        <v>2439</v>
      </c>
      <c r="B1642" s="1" t="s">
        <v>2001</v>
      </c>
      <c r="C1642" s="11">
        <v>45174</v>
      </c>
      <c r="D1642" s="11" t="s">
        <v>6866</v>
      </c>
      <c r="E1642" s="1" t="s">
        <v>64</v>
      </c>
      <c r="F1642" s="1" t="s">
        <v>6853</v>
      </c>
      <c r="G1642" s="6">
        <f>COUNTIF(F:F,Table2[[#This Row],[Form '#]])</f>
        <v>1</v>
      </c>
      <c r="H1642" s="1" t="s">
        <v>2422</v>
      </c>
      <c r="I1642" s="1" t="s">
        <v>127</v>
      </c>
      <c r="J1642" s="1" t="s">
        <v>76</v>
      </c>
      <c r="K1642" s="1" t="s">
        <v>3883</v>
      </c>
      <c r="L1642" s="1"/>
      <c r="M1642" s="6" t="str">
        <f>IF(Table2[[#This Row],[Corrected Form '#
 (If Duplicated)]]="",Table2[[#This Row],[Form '#]],Table2[[#This Row],[Corrected Form '#
 (If Duplicated)]])</f>
        <v>7824-00423</v>
      </c>
      <c r="N1642" s="1" t="s">
        <v>49</v>
      </c>
      <c r="O1642" s="6" t="str">
        <f>IF(Table2[[#This Row],[POG CONFIRMATION RECEIPT OF ORDER
(DATE &amp; TIME)]]="","No Confirmation","Received Confirmation")</f>
        <v>Received Confirmation</v>
      </c>
      <c r="P1642" s="6">
        <f ca="1">TODAY()-Table2[[#This Row],[DATE SENT TO POG]]</f>
        <v>129</v>
      </c>
      <c r="Q1642" s="6" t="s">
        <v>5803</v>
      </c>
      <c r="R16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2" s="2" t="str">
        <f>_xlfn.XLOOKUP(Table2[[#This Row],[Adjusted Form '#]],'[2]IN PROGRESS'!$D:$D,'[2]IN PROGRESS'!$M:$M,"Not Found")</f>
        <v>Not Found</v>
      </c>
      <c r="U1642" s="2" t="str">
        <f>_xlfn.XLOOKUP(Table2[[#This Row],[Adjusted Form '#]],[1]COMPLETED!$D:$D,[2]COMPLETED!$M:$M,"Not Found")</f>
        <v>Not Found</v>
      </c>
      <c r="V1642" s="17" t="str">
        <f>_xlfn.XLOOKUP(Table2[[#This Row],[Adjusted Form '#]],[2]COMPLETED!$D:$D,[2]COMPLETED!$O:$O,"Not Found")</f>
        <v>Not Found</v>
      </c>
      <c r="W1642" s="2" t="str">
        <f>_xlfn.XLOOKUP(Table2[[#This Row],[Adjusted Form '#]],[2]BILLED!$D:$D,[2]BILLED!$M:$M,"Not Found")</f>
        <v>9400 1361 0605 3389 0229 01</v>
      </c>
      <c r="X1642" s="17" t="e">
        <f>_xlfn.XLOOKUP(Table2[[#This Row],[Adjusted Form '#]],[2]BILLED!$D:$D,[1]BILLED!$O:$O,"Not Found")</f>
        <v>#REF!</v>
      </c>
      <c r="Y1642" s="17" t="e">
        <f>_xlfn.XLOOKUP(Table2[[#This Row],[Adjusted Form '#]],'[2]REJECTED ORDERS'!$D:$D,'[2]REJECTED ORDERS'!$E:$E)</f>
        <v>#N/A</v>
      </c>
      <c r="Z1642" s="1"/>
      <c r="AA1642" s="1"/>
    </row>
    <row r="1643" spans="1:27" ht="15" customHeight="1" x14ac:dyDescent="0.35">
      <c r="A1643" s="4" t="s">
        <v>2440</v>
      </c>
      <c r="B1643" s="1" t="s">
        <v>2001</v>
      </c>
      <c r="C1643" s="11">
        <v>45174</v>
      </c>
      <c r="D1643" s="11" t="s">
        <v>6866</v>
      </c>
      <c r="E1643" s="1" t="s">
        <v>64</v>
      </c>
      <c r="F1643" s="1" t="s">
        <v>6854</v>
      </c>
      <c r="G1643" s="6">
        <f>COUNTIF(F:F,Table2[[#This Row],[Form '#]])</f>
        <v>1</v>
      </c>
      <c r="H1643" s="1" t="s">
        <v>6855</v>
      </c>
      <c r="I1643" s="1" t="s">
        <v>3852</v>
      </c>
      <c r="J1643" s="1" t="s">
        <v>80</v>
      </c>
      <c r="K1643" s="1" t="s">
        <v>3853</v>
      </c>
      <c r="L1643" s="1"/>
      <c r="M1643" s="6" t="str">
        <f>IF(Table2[[#This Row],[Corrected Form '#
 (If Duplicated)]]="",Table2[[#This Row],[Form '#]],Table2[[#This Row],[Corrected Form '#
 (If Duplicated)]])</f>
        <v>7824-00446</v>
      </c>
      <c r="N1643" s="1" t="s">
        <v>49</v>
      </c>
      <c r="O1643" s="6" t="str">
        <f>IF(Table2[[#This Row],[POG CONFIRMATION RECEIPT OF ORDER
(DATE &amp; TIME)]]="","No Confirmation","Received Confirmation")</f>
        <v>Received Confirmation</v>
      </c>
      <c r="P1643" s="6">
        <f ca="1">TODAY()-Table2[[#This Row],[DATE SENT TO POG]]</f>
        <v>129</v>
      </c>
      <c r="Q1643" s="6" t="s">
        <v>5803</v>
      </c>
      <c r="R16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3" s="2" t="str">
        <f>_xlfn.XLOOKUP(Table2[[#This Row],[Adjusted Form '#]],'[2]IN PROGRESS'!$D:$D,'[2]IN PROGRESS'!$M:$M,"Not Found")</f>
        <v>Not Found</v>
      </c>
      <c r="U1643" s="2" t="str">
        <f>_xlfn.XLOOKUP(Table2[[#This Row],[Adjusted Form '#]],[1]COMPLETED!$D:$D,[2]COMPLETED!$M:$M,"Not Found")</f>
        <v>Not Found</v>
      </c>
      <c r="V1643" s="17" t="str">
        <f>_xlfn.XLOOKUP(Table2[[#This Row],[Adjusted Form '#]],[2]COMPLETED!$D:$D,[2]COMPLETED!$O:$O,"Not Found")</f>
        <v>Not Found</v>
      </c>
      <c r="W1643" s="2" t="str">
        <f>_xlfn.XLOOKUP(Table2[[#This Row],[Adjusted Form '#]],[2]BILLED!$D:$D,[2]BILLED!$M:$M,"Not Found")</f>
        <v>9400 1361 0605 3376 9643 82</v>
      </c>
      <c r="X1643" s="17" t="e">
        <f>_xlfn.XLOOKUP(Table2[[#This Row],[Adjusted Form '#]],[2]BILLED!$D:$D,[1]BILLED!$O:$O,"Not Found")</f>
        <v>#REF!</v>
      </c>
      <c r="Y1643" s="17" t="e">
        <f>_xlfn.XLOOKUP(Table2[[#This Row],[Adjusted Form '#]],'[2]REJECTED ORDERS'!$D:$D,'[2]REJECTED ORDERS'!$E:$E)</f>
        <v>#N/A</v>
      </c>
      <c r="Z1643" s="1"/>
      <c r="AA1643" s="1"/>
    </row>
    <row r="1644" spans="1:27" ht="15" customHeight="1" x14ac:dyDescent="0.35">
      <c r="A1644" s="4" t="s">
        <v>2441</v>
      </c>
      <c r="B1644" s="1" t="s">
        <v>3269</v>
      </c>
      <c r="C1644" s="11">
        <v>45174</v>
      </c>
      <c r="D1644" s="11" t="s">
        <v>6867</v>
      </c>
      <c r="E1644" s="1" t="s">
        <v>191</v>
      </c>
      <c r="F1644" s="1" t="s">
        <v>6856</v>
      </c>
      <c r="G1644" s="6">
        <f>COUNTIF(F:F,Table2[[#This Row],[Form '#]])</f>
        <v>1</v>
      </c>
      <c r="H1644" s="1" t="s">
        <v>6857</v>
      </c>
      <c r="I1644" s="1" t="s">
        <v>3852</v>
      </c>
      <c r="J1644" s="1" t="s">
        <v>75</v>
      </c>
      <c r="K1644" s="1" t="s">
        <v>4011</v>
      </c>
      <c r="L1644" s="1"/>
      <c r="M1644" s="6" t="str">
        <f>IF(Table2[[#This Row],[Corrected Form '#
 (If Duplicated)]]="",Table2[[#This Row],[Form '#]],Table2[[#This Row],[Corrected Form '#
 (If Duplicated)]])</f>
        <v>7812-3718</v>
      </c>
      <c r="N1644" s="1" t="s">
        <v>49</v>
      </c>
      <c r="O1644" s="6" t="str">
        <f>IF(Table2[[#This Row],[POG CONFIRMATION RECEIPT OF ORDER
(DATE &amp; TIME)]]="","No Confirmation","Received Confirmation")</f>
        <v>Received Confirmation</v>
      </c>
      <c r="P1644" s="6">
        <f ca="1">TODAY()-Table2[[#This Row],[DATE SENT TO POG]]</f>
        <v>129</v>
      </c>
      <c r="Q1644" s="6" t="s">
        <v>5803</v>
      </c>
      <c r="R16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4" s="2" t="str">
        <f>_xlfn.XLOOKUP(Table2[[#This Row],[Adjusted Form '#]],'[2]IN PROGRESS'!$D:$D,'[2]IN PROGRESS'!$M:$M,"Not Found")</f>
        <v>Not Found</v>
      </c>
      <c r="U1644" s="2" t="str">
        <f>_xlfn.XLOOKUP(Table2[[#This Row],[Adjusted Form '#]],[1]COMPLETED!$D:$D,[2]COMPLETED!$M:$M,"Not Found")</f>
        <v>Not Found</v>
      </c>
      <c r="V1644" s="17" t="str">
        <f>_xlfn.XLOOKUP(Table2[[#This Row],[Adjusted Form '#]],[2]COMPLETED!$D:$D,[2]COMPLETED!$O:$O,"Not Found")</f>
        <v>Not Found</v>
      </c>
      <c r="W1644" s="2" t="str">
        <f>_xlfn.XLOOKUP(Table2[[#This Row],[Adjusted Form '#]],[2]BILLED!$D:$D,[2]BILLED!$M:$M,"Not Found")</f>
        <v>9400 1361 0605 3384 2989 50</v>
      </c>
      <c r="X1644" s="17" t="e">
        <f>_xlfn.XLOOKUP(Table2[[#This Row],[Adjusted Form '#]],[2]BILLED!$D:$D,[1]BILLED!$O:$O,"Not Found")</f>
        <v>#REF!</v>
      </c>
      <c r="Y1644" s="17" t="e">
        <f>_xlfn.XLOOKUP(Table2[[#This Row],[Adjusted Form '#]],'[2]REJECTED ORDERS'!$D:$D,'[2]REJECTED ORDERS'!$E:$E)</f>
        <v>#N/A</v>
      </c>
      <c r="Z1644" s="1"/>
      <c r="AA1644" s="1"/>
    </row>
    <row r="1645" spans="1:27" ht="15" customHeight="1" x14ac:dyDescent="0.35">
      <c r="A1645" s="4" t="s">
        <v>2442</v>
      </c>
      <c r="B1645" s="1" t="s">
        <v>1242</v>
      </c>
      <c r="C1645" s="11">
        <v>45174</v>
      </c>
      <c r="D1645" s="11" t="s">
        <v>6867</v>
      </c>
      <c r="E1645" s="1" t="s">
        <v>21</v>
      </c>
      <c r="F1645" s="1" t="s">
        <v>6858</v>
      </c>
      <c r="G1645" s="6">
        <f>COUNTIF(F:F,Table2[[#This Row],[Form '#]])</f>
        <v>1</v>
      </c>
      <c r="H1645" s="1" t="s">
        <v>6859</v>
      </c>
      <c r="I1645" s="1" t="s">
        <v>127</v>
      </c>
      <c r="J1645" s="1" t="s">
        <v>76</v>
      </c>
      <c r="K1645" s="1" t="s">
        <v>4011</v>
      </c>
      <c r="L1645" s="1"/>
      <c r="M1645" s="6" t="str">
        <f>IF(Table2[[#This Row],[Corrected Form '#
 (If Duplicated)]]="",Table2[[#This Row],[Form '#]],Table2[[#This Row],[Corrected Form '#
 (If Duplicated)]])</f>
        <v>7818-26982</v>
      </c>
      <c r="N1645" s="1" t="s">
        <v>49</v>
      </c>
      <c r="O1645" s="6" t="str">
        <f>IF(Table2[[#This Row],[POG CONFIRMATION RECEIPT OF ORDER
(DATE &amp; TIME)]]="","No Confirmation","Received Confirmation")</f>
        <v>Received Confirmation</v>
      </c>
      <c r="P1645" s="6">
        <f ca="1">TODAY()-Table2[[#This Row],[DATE SENT TO POG]]</f>
        <v>129</v>
      </c>
      <c r="Q1645" s="6" t="s">
        <v>5803</v>
      </c>
      <c r="R16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5" s="2" t="str">
        <f>_xlfn.XLOOKUP(Table2[[#This Row],[Adjusted Form '#]],'[2]IN PROGRESS'!$D:$D,'[2]IN PROGRESS'!$M:$M,"Not Found")</f>
        <v>Not Found</v>
      </c>
      <c r="U1645" s="2" t="str">
        <f>_xlfn.XLOOKUP(Table2[[#This Row],[Adjusted Form '#]],[1]COMPLETED!$D:$D,[2]COMPLETED!$M:$M,"Not Found")</f>
        <v>Not Found</v>
      </c>
      <c r="V1645" s="17" t="str">
        <f>_xlfn.XLOOKUP(Table2[[#This Row],[Adjusted Form '#]],[2]COMPLETED!$D:$D,[2]COMPLETED!$O:$O,"Not Found")</f>
        <v>Not Found</v>
      </c>
      <c r="W1645" s="2" t="str">
        <f>_xlfn.XLOOKUP(Table2[[#This Row],[Adjusted Form '#]],[2]BILLED!$D:$D,[2]BILLED!$M:$M,"Not Found")</f>
        <v>9400 1361 0605 3383 3482 74</v>
      </c>
      <c r="X1645" s="17" t="e">
        <f>_xlfn.XLOOKUP(Table2[[#This Row],[Adjusted Form '#]],[2]BILLED!$D:$D,[1]BILLED!$O:$O,"Not Found")</f>
        <v>#REF!</v>
      </c>
      <c r="Y1645" s="17" t="e">
        <f>_xlfn.XLOOKUP(Table2[[#This Row],[Adjusted Form '#]],'[2]REJECTED ORDERS'!$D:$D,'[2]REJECTED ORDERS'!$E:$E)</f>
        <v>#N/A</v>
      </c>
      <c r="Z1645" s="1"/>
      <c r="AA1645" s="1"/>
    </row>
    <row r="1646" spans="1:27" ht="15" customHeight="1" x14ac:dyDescent="0.35">
      <c r="A1646" s="4" t="s">
        <v>2443</v>
      </c>
      <c r="B1646" s="1" t="s">
        <v>1242</v>
      </c>
      <c r="C1646" s="11">
        <v>45174</v>
      </c>
      <c r="D1646" s="11" t="s">
        <v>6867</v>
      </c>
      <c r="E1646" s="1" t="s">
        <v>21</v>
      </c>
      <c r="F1646" s="1" t="s">
        <v>6860</v>
      </c>
      <c r="G1646" s="6">
        <f>COUNTIF(F:F,Table2[[#This Row],[Form '#]])</f>
        <v>1</v>
      </c>
      <c r="H1646" s="1" t="s">
        <v>6861</v>
      </c>
      <c r="I1646" s="1" t="s">
        <v>3852</v>
      </c>
      <c r="J1646" s="1" t="s">
        <v>75</v>
      </c>
      <c r="K1646" s="1" t="s">
        <v>3853</v>
      </c>
      <c r="L1646" s="1"/>
      <c r="M1646" s="6" t="str">
        <f>IF(Table2[[#This Row],[Corrected Form '#
 (If Duplicated)]]="",Table2[[#This Row],[Form '#]],Table2[[#This Row],[Corrected Form '#
 (If Duplicated)]])</f>
        <v>7818-28056</v>
      </c>
      <c r="N1646" s="1" t="s">
        <v>49</v>
      </c>
      <c r="O1646" s="6" t="str">
        <f>IF(Table2[[#This Row],[POG CONFIRMATION RECEIPT OF ORDER
(DATE &amp; TIME)]]="","No Confirmation","Received Confirmation")</f>
        <v>Received Confirmation</v>
      </c>
      <c r="P1646" s="6">
        <f ca="1">TODAY()-Table2[[#This Row],[DATE SENT TO POG]]</f>
        <v>129</v>
      </c>
      <c r="Q1646" s="6" t="s">
        <v>5803</v>
      </c>
      <c r="R16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6" s="2" t="str">
        <f>_xlfn.XLOOKUP(Table2[[#This Row],[Adjusted Form '#]],'[2]IN PROGRESS'!$D:$D,'[2]IN PROGRESS'!$M:$M,"Not Found")</f>
        <v>Not Found</v>
      </c>
      <c r="U1646" s="2" t="str">
        <f>_xlfn.XLOOKUP(Table2[[#This Row],[Adjusted Form '#]],[1]COMPLETED!$D:$D,[2]COMPLETED!$M:$M,"Not Found")</f>
        <v>Not Found</v>
      </c>
      <c r="V1646" s="17" t="str">
        <f>_xlfn.XLOOKUP(Table2[[#This Row],[Adjusted Form '#]],[2]COMPLETED!$D:$D,[2]COMPLETED!$O:$O,"Not Found")</f>
        <v>Not Found</v>
      </c>
      <c r="W1646" s="2" t="str">
        <f>_xlfn.XLOOKUP(Table2[[#This Row],[Adjusted Form '#]],[2]BILLED!$D:$D,[2]BILLED!$M:$M,"Not Found")</f>
        <v>9400 1361 0605 3384 3083 52</v>
      </c>
      <c r="X1646" s="17" t="e">
        <f>_xlfn.XLOOKUP(Table2[[#This Row],[Adjusted Form '#]],[2]BILLED!$D:$D,[1]BILLED!$O:$O,"Not Found")</f>
        <v>#REF!</v>
      </c>
      <c r="Y1646" s="17" t="e">
        <f>_xlfn.XLOOKUP(Table2[[#This Row],[Adjusted Form '#]],'[2]REJECTED ORDERS'!$D:$D,'[2]REJECTED ORDERS'!$E:$E)</f>
        <v>#N/A</v>
      </c>
      <c r="Z1646" s="1"/>
      <c r="AA1646" s="1"/>
    </row>
    <row r="1647" spans="1:27" ht="15" customHeight="1" x14ac:dyDescent="0.35">
      <c r="A1647" s="4" t="s">
        <v>2444</v>
      </c>
      <c r="B1647" s="1" t="s">
        <v>1242</v>
      </c>
      <c r="C1647" s="11">
        <v>45174</v>
      </c>
      <c r="D1647" s="11" t="s">
        <v>6867</v>
      </c>
      <c r="E1647" s="1" t="s">
        <v>21</v>
      </c>
      <c r="F1647" s="1" t="s">
        <v>6862</v>
      </c>
      <c r="G1647" s="6">
        <f>COUNTIF(F:F,Table2[[#This Row],[Form '#]])</f>
        <v>1</v>
      </c>
      <c r="H1647" s="1" t="s">
        <v>1409</v>
      </c>
      <c r="I1647" s="1" t="s">
        <v>177</v>
      </c>
      <c r="J1647" s="1" t="s">
        <v>75</v>
      </c>
      <c r="K1647" s="1" t="s">
        <v>4011</v>
      </c>
      <c r="L1647" s="1"/>
      <c r="M1647" s="6" t="str">
        <f>IF(Table2[[#This Row],[Corrected Form '#
 (If Duplicated)]]="",Table2[[#This Row],[Form '#]],Table2[[#This Row],[Corrected Form '#
 (If Duplicated)]])</f>
        <v>7818-18038</v>
      </c>
      <c r="N1647" s="1" t="s">
        <v>49</v>
      </c>
      <c r="O1647" s="6" t="str">
        <f>IF(Table2[[#This Row],[POG CONFIRMATION RECEIPT OF ORDER
(DATE &amp; TIME)]]="","No Confirmation","Received Confirmation")</f>
        <v>Received Confirmation</v>
      </c>
      <c r="P1647" s="6">
        <f ca="1">TODAY()-Table2[[#This Row],[DATE SENT TO POG]]</f>
        <v>129</v>
      </c>
      <c r="Q1647" s="6" t="s">
        <v>5803</v>
      </c>
      <c r="R16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7" s="2" t="str">
        <f>_xlfn.XLOOKUP(Table2[[#This Row],[Adjusted Form '#]],'[2]IN PROGRESS'!$D:$D,'[2]IN PROGRESS'!$M:$M,"Not Found")</f>
        <v>Not Found</v>
      </c>
      <c r="U1647" s="2" t="str">
        <f>_xlfn.XLOOKUP(Table2[[#This Row],[Adjusted Form '#]],[1]COMPLETED!$D:$D,[2]COMPLETED!$M:$M,"Not Found")</f>
        <v>Not Found</v>
      </c>
      <c r="V1647" s="17" t="str">
        <f>_xlfn.XLOOKUP(Table2[[#This Row],[Adjusted Form '#]],[2]COMPLETED!$D:$D,[2]COMPLETED!$O:$O,"Not Found")</f>
        <v>Not Found</v>
      </c>
      <c r="W1647" s="2" t="str">
        <f>_xlfn.XLOOKUP(Table2[[#This Row],[Adjusted Form '#]],[2]BILLED!$D:$D,[2]BILLED!$M:$M,"Not Found")</f>
        <v>9400 1361 0605 3390 5180 04</v>
      </c>
      <c r="X1647" s="17" t="e">
        <f>_xlfn.XLOOKUP(Table2[[#This Row],[Adjusted Form '#]],[2]BILLED!$D:$D,[1]BILLED!$O:$O,"Not Found")</f>
        <v>#REF!</v>
      </c>
      <c r="Y1647" s="17" t="e">
        <f>_xlfn.XLOOKUP(Table2[[#This Row],[Adjusted Form '#]],'[2]REJECTED ORDERS'!$D:$D,'[2]REJECTED ORDERS'!$E:$E)</f>
        <v>#N/A</v>
      </c>
      <c r="Z1647" s="1"/>
      <c r="AA1647" s="1"/>
    </row>
    <row r="1648" spans="1:27" ht="15" customHeight="1" x14ac:dyDescent="0.35">
      <c r="A1648" s="4" t="s">
        <v>2447</v>
      </c>
      <c r="B1648" s="1" t="s">
        <v>1242</v>
      </c>
      <c r="C1648" s="11">
        <v>45174</v>
      </c>
      <c r="D1648" s="11" t="s">
        <v>6867</v>
      </c>
      <c r="E1648" s="1" t="s">
        <v>21</v>
      </c>
      <c r="F1648" s="1" t="s">
        <v>6863</v>
      </c>
      <c r="G1648" s="6">
        <f>COUNTIF(F:F,Table2[[#This Row],[Form '#]])</f>
        <v>1</v>
      </c>
      <c r="H1648" s="1" t="s">
        <v>6864</v>
      </c>
      <c r="I1648" s="1" t="s">
        <v>127</v>
      </c>
      <c r="J1648" s="1" t="s">
        <v>74</v>
      </c>
      <c r="K1648" s="1" t="s">
        <v>4011</v>
      </c>
      <c r="L1648" s="1"/>
      <c r="M1648" s="6" t="str">
        <f>IF(Table2[[#This Row],[Corrected Form '#
 (If Duplicated)]]="",Table2[[#This Row],[Form '#]],Table2[[#This Row],[Corrected Form '#
 (If Duplicated)]])</f>
        <v>7818-31631</v>
      </c>
      <c r="N1648" s="1" t="s">
        <v>49</v>
      </c>
      <c r="O1648" s="6" t="str">
        <f>IF(Table2[[#This Row],[POG CONFIRMATION RECEIPT OF ORDER
(DATE &amp; TIME)]]="","No Confirmation","Received Confirmation")</f>
        <v>Received Confirmation</v>
      </c>
      <c r="P1648" s="6">
        <f ca="1">TODAY()-Table2[[#This Row],[DATE SENT TO POG]]</f>
        <v>129</v>
      </c>
      <c r="Q1648" s="6" t="s">
        <v>5803</v>
      </c>
      <c r="R16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8" s="2" t="str">
        <f>_xlfn.XLOOKUP(Table2[[#This Row],[Adjusted Form '#]],'[2]IN PROGRESS'!$D:$D,'[2]IN PROGRESS'!$M:$M,"Not Found")</f>
        <v>Not Found</v>
      </c>
      <c r="U1648" s="2" t="str">
        <f>_xlfn.XLOOKUP(Table2[[#This Row],[Adjusted Form '#]],[1]COMPLETED!$D:$D,[2]COMPLETED!$M:$M,"Not Found")</f>
        <v>Not Found</v>
      </c>
      <c r="V1648" s="17" t="str">
        <f>_xlfn.XLOOKUP(Table2[[#This Row],[Adjusted Form '#]],[2]COMPLETED!$D:$D,[2]COMPLETED!$O:$O,"Not Found")</f>
        <v>Not Found</v>
      </c>
      <c r="W1648" s="2" t="str">
        <f>_xlfn.XLOOKUP(Table2[[#This Row],[Adjusted Form '#]],[2]BILLED!$D:$D,[2]BILLED!$M:$M,"Not Found")</f>
        <v>9400 1361 0605 3383 3662 54</v>
      </c>
      <c r="X1648" s="17" t="e">
        <f>_xlfn.XLOOKUP(Table2[[#This Row],[Adjusted Form '#]],[2]BILLED!$D:$D,[1]BILLED!$O:$O,"Not Found")</f>
        <v>#REF!</v>
      </c>
      <c r="Y1648" s="17" t="e">
        <f>_xlfn.XLOOKUP(Table2[[#This Row],[Adjusted Form '#]],'[2]REJECTED ORDERS'!$D:$D,'[2]REJECTED ORDERS'!$E:$E)</f>
        <v>#N/A</v>
      </c>
      <c r="Z1648" s="1"/>
      <c r="AA1648" s="1"/>
    </row>
    <row r="1649" spans="1:27" ht="15" customHeight="1" x14ac:dyDescent="0.35">
      <c r="A1649" s="4" t="s">
        <v>2448</v>
      </c>
      <c r="B1649" s="1" t="s">
        <v>1242</v>
      </c>
      <c r="C1649" s="11">
        <v>45174</v>
      </c>
      <c r="D1649" s="11" t="s">
        <v>6867</v>
      </c>
      <c r="E1649" s="1" t="s">
        <v>21</v>
      </c>
      <c r="F1649" s="1" t="s">
        <v>6865</v>
      </c>
      <c r="G1649" s="6">
        <f>COUNTIF(F:F,Table2[[#This Row],[Form '#]])</f>
        <v>1</v>
      </c>
      <c r="H1649" s="1" t="s">
        <v>3609</v>
      </c>
      <c r="I1649" s="1" t="s">
        <v>3852</v>
      </c>
      <c r="J1649" s="1" t="s">
        <v>75</v>
      </c>
      <c r="K1649" s="1" t="s">
        <v>3853</v>
      </c>
      <c r="L1649" s="1"/>
      <c r="M1649" s="6" t="str">
        <f>IF(Table2[[#This Row],[Corrected Form '#
 (If Duplicated)]]="",Table2[[#This Row],[Form '#]],Table2[[#This Row],[Corrected Form '#
 (If Duplicated)]])</f>
        <v>7818-12441</v>
      </c>
      <c r="N1649" s="1" t="s">
        <v>49</v>
      </c>
      <c r="O1649" s="6" t="str">
        <f>IF(Table2[[#This Row],[POG CONFIRMATION RECEIPT OF ORDER
(DATE &amp; TIME)]]="","No Confirmation","Received Confirmation")</f>
        <v>Received Confirmation</v>
      </c>
      <c r="P1649" s="6">
        <f ca="1">TODAY()-Table2[[#This Row],[DATE SENT TO POG]]</f>
        <v>129</v>
      </c>
      <c r="Q1649" s="6" t="s">
        <v>5803</v>
      </c>
      <c r="R16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49" s="2" t="str">
        <f>_xlfn.XLOOKUP(Table2[[#This Row],[Adjusted Form '#]],'[2]IN PROGRESS'!$D:$D,'[2]IN PROGRESS'!$M:$M,"Not Found")</f>
        <v>Not Found</v>
      </c>
      <c r="U1649" s="2" t="str">
        <f>_xlfn.XLOOKUP(Table2[[#This Row],[Adjusted Form '#]],[1]COMPLETED!$D:$D,[2]COMPLETED!$M:$M,"Not Found")</f>
        <v>Not Found</v>
      </c>
      <c r="V1649" s="17" t="str">
        <f>_xlfn.XLOOKUP(Table2[[#This Row],[Adjusted Form '#]],[2]COMPLETED!$D:$D,[2]COMPLETED!$O:$O,"Not Found")</f>
        <v>Not Found</v>
      </c>
      <c r="W1649" s="2" t="str">
        <f>_xlfn.XLOOKUP(Table2[[#This Row],[Adjusted Form '#]],[2]BILLED!$D:$D,[2]BILLED!$M:$M,"Not Found")</f>
        <v>9400 1361 0605 3413 7847 20</v>
      </c>
      <c r="X1649" s="17" t="e">
        <f>_xlfn.XLOOKUP(Table2[[#This Row],[Adjusted Form '#]],[2]BILLED!$D:$D,[1]BILLED!$O:$O,"Not Found")</f>
        <v>#REF!</v>
      </c>
      <c r="Y1649" s="17" t="e">
        <f>_xlfn.XLOOKUP(Table2[[#This Row],[Adjusted Form '#]],'[2]REJECTED ORDERS'!$D:$D,'[2]REJECTED ORDERS'!$E:$E)</f>
        <v>#N/A</v>
      </c>
      <c r="Z1649" s="1"/>
      <c r="AA1649" s="1"/>
    </row>
    <row r="1650" spans="1:27" ht="15" customHeight="1" x14ac:dyDescent="0.35">
      <c r="A1650" s="4" t="s">
        <v>2451</v>
      </c>
      <c r="B1650" s="1" t="s">
        <v>3344</v>
      </c>
      <c r="C1650" s="11">
        <v>45175</v>
      </c>
      <c r="D1650" s="11" t="s">
        <v>6870</v>
      </c>
      <c r="E1650" s="1" t="s">
        <v>21</v>
      </c>
      <c r="F1650" s="1" t="s">
        <v>6868</v>
      </c>
      <c r="G1650" s="6">
        <f>COUNTIF(F:F,Table2[[#This Row],[Form '#]])</f>
        <v>1</v>
      </c>
      <c r="H1650" s="1" t="s">
        <v>6869</v>
      </c>
      <c r="I1650" s="1" t="s">
        <v>3852</v>
      </c>
      <c r="J1650" s="1" t="s">
        <v>80</v>
      </c>
      <c r="K1650" s="1" t="s">
        <v>3853</v>
      </c>
      <c r="L1650" s="1"/>
      <c r="M1650" s="6" t="str">
        <f>IF(Table2[[#This Row],[Corrected Form '#
 (If Duplicated)]]="",Table2[[#This Row],[Form '#]],Table2[[#This Row],[Corrected Form '#
 (If Duplicated)]])</f>
        <v>7818-28479</v>
      </c>
      <c r="N1650" s="1" t="s">
        <v>49</v>
      </c>
      <c r="O1650" s="6" t="str">
        <f>IF(Table2[[#This Row],[POG CONFIRMATION RECEIPT OF ORDER
(DATE &amp; TIME)]]="","No Confirmation","Received Confirmation")</f>
        <v>Received Confirmation</v>
      </c>
      <c r="P1650" s="6">
        <f ca="1">TODAY()-Table2[[#This Row],[DATE SENT TO POG]]</f>
        <v>128</v>
      </c>
      <c r="Q1650" s="6" t="s">
        <v>5803</v>
      </c>
      <c r="R16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0" s="2" t="str">
        <f>_xlfn.XLOOKUP(Table2[[#This Row],[Adjusted Form '#]],'[2]IN PROGRESS'!$D:$D,'[2]IN PROGRESS'!$M:$M,"Not Found")</f>
        <v>Not Found</v>
      </c>
      <c r="U1650" s="2" t="str">
        <f>_xlfn.XLOOKUP(Table2[[#This Row],[Adjusted Form '#]],[1]COMPLETED!$D:$D,[2]COMPLETED!$M:$M,"Not Found")</f>
        <v>Not Found</v>
      </c>
      <c r="V1650" s="17" t="str">
        <f>_xlfn.XLOOKUP(Table2[[#This Row],[Adjusted Form '#]],[2]COMPLETED!$D:$D,[2]COMPLETED!$O:$O,"Not Found")</f>
        <v>Not Found</v>
      </c>
      <c r="W1650" s="2" t="str">
        <f>_xlfn.XLOOKUP(Table2[[#This Row],[Adjusted Form '#]],[2]BILLED!$D:$D,[2]BILLED!$M:$M,"Not Found")</f>
        <v>9400 1112 0620 9549 1538 31</v>
      </c>
      <c r="X1650" s="17" t="e">
        <f>_xlfn.XLOOKUP(Table2[[#This Row],[Adjusted Form '#]],[2]BILLED!$D:$D,[1]BILLED!$O:$O,"Not Found")</f>
        <v>#REF!</v>
      </c>
      <c r="Y1650" s="17" t="e">
        <f>_xlfn.XLOOKUP(Table2[[#This Row],[Adjusted Form '#]],'[2]REJECTED ORDERS'!$D:$D,'[2]REJECTED ORDERS'!$E:$E)</f>
        <v>#N/A</v>
      </c>
      <c r="Z1650" s="1"/>
      <c r="AA1650" s="1"/>
    </row>
    <row r="1651" spans="1:27" ht="15" customHeight="1" x14ac:dyDescent="0.35">
      <c r="A1651" s="4" t="s">
        <v>2452</v>
      </c>
      <c r="B1651" s="1" t="s">
        <v>948</v>
      </c>
      <c r="C1651" s="11">
        <v>45176</v>
      </c>
      <c r="D1651" s="11" t="s">
        <v>6883</v>
      </c>
      <c r="E1651" s="1" t="s">
        <v>21</v>
      </c>
      <c r="F1651" s="1" t="s">
        <v>6871</v>
      </c>
      <c r="G1651" s="6">
        <f>COUNTIF(F:F,Table2[[#This Row],[Form '#]])</f>
        <v>1</v>
      </c>
      <c r="H1651" s="1" t="s">
        <v>6872</v>
      </c>
      <c r="I1651" s="1" t="s">
        <v>3864</v>
      </c>
      <c r="J1651" s="1" t="s">
        <v>78</v>
      </c>
      <c r="K1651" s="1" t="s">
        <v>3879</v>
      </c>
      <c r="L1651" s="1"/>
      <c r="M1651" s="6" t="str">
        <f>IF(Table2[[#This Row],[Corrected Form '#
 (If Duplicated)]]="",Table2[[#This Row],[Form '#]],Table2[[#This Row],[Corrected Form '#
 (If Duplicated)]])</f>
        <v>7818-23044</v>
      </c>
      <c r="N1651" s="1" t="s">
        <v>49</v>
      </c>
      <c r="O1651" s="6" t="str">
        <f>IF(Table2[[#This Row],[POG CONFIRMATION RECEIPT OF ORDER
(DATE &amp; TIME)]]="","No Confirmation","Received Confirmation")</f>
        <v>Received Confirmation</v>
      </c>
      <c r="P1651" s="6">
        <f ca="1">TODAY()-Table2[[#This Row],[DATE SENT TO POG]]</f>
        <v>127</v>
      </c>
      <c r="Q1651" s="6" t="s">
        <v>5803</v>
      </c>
      <c r="R16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1" s="2" t="str">
        <f>_xlfn.XLOOKUP(Table2[[#This Row],[Adjusted Form '#]],'[2]IN PROGRESS'!$D:$D,'[2]IN PROGRESS'!$M:$M,"Not Found")</f>
        <v>Not Found</v>
      </c>
      <c r="U1651" s="2" t="str">
        <f>_xlfn.XLOOKUP(Table2[[#This Row],[Adjusted Form '#]],[1]COMPLETED!$D:$D,[2]COMPLETED!$M:$M,"Not Found")</f>
        <v>Not Found</v>
      </c>
      <c r="V1651" s="17" t="str">
        <f>_xlfn.XLOOKUP(Table2[[#This Row],[Adjusted Form '#]],[2]COMPLETED!$D:$D,[2]COMPLETED!$O:$O,"Not Found")</f>
        <v>Not Found</v>
      </c>
      <c r="W1651" s="2" t="str">
        <f>_xlfn.XLOOKUP(Table2[[#This Row],[Adjusted Form '#]],[2]BILLED!$D:$D,[2]BILLED!$M:$M,"Not Found")</f>
        <v>9400 1361 0605 3360 5867 29</v>
      </c>
      <c r="X1651" s="17" t="e">
        <f>_xlfn.XLOOKUP(Table2[[#This Row],[Adjusted Form '#]],[2]BILLED!$D:$D,[1]BILLED!$O:$O,"Not Found")</f>
        <v>#REF!</v>
      </c>
      <c r="Y1651" s="17" t="e">
        <f>_xlfn.XLOOKUP(Table2[[#This Row],[Adjusted Form '#]],'[2]REJECTED ORDERS'!$D:$D,'[2]REJECTED ORDERS'!$E:$E)</f>
        <v>#N/A</v>
      </c>
      <c r="Z1651" s="1"/>
      <c r="AA1651" s="1"/>
    </row>
    <row r="1652" spans="1:27" ht="15" customHeight="1" x14ac:dyDescent="0.35">
      <c r="A1652" s="4" t="s">
        <v>2454</v>
      </c>
      <c r="B1652" s="1" t="s">
        <v>374</v>
      </c>
      <c r="C1652" s="11">
        <v>45176</v>
      </c>
      <c r="D1652" s="11" t="s">
        <v>6912</v>
      </c>
      <c r="E1652" s="1" t="s">
        <v>14</v>
      </c>
      <c r="F1652" s="1" t="s">
        <v>6873</v>
      </c>
      <c r="G1652" s="6">
        <f>COUNTIF(F:F,Table2[[#This Row],[Form '#]])</f>
        <v>1</v>
      </c>
      <c r="H1652" s="1" t="s">
        <v>6874</v>
      </c>
      <c r="I1652" s="1" t="s">
        <v>758</v>
      </c>
      <c r="J1652" s="1" t="s">
        <v>78</v>
      </c>
      <c r="K1652" s="1" t="s">
        <v>3853</v>
      </c>
      <c r="L1652" s="1"/>
      <c r="M1652" s="6" t="str">
        <f>IF(Table2[[#This Row],[Corrected Form '#
 (If Duplicated)]]="",Table2[[#This Row],[Form '#]],Table2[[#This Row],[Corrected Form '#
 (If Duplicated)]])</f>
        <v>7810-01631</v>
      </c>
      <c r="N1652" s="1" t="s">
        <v>49</v>
      </c>
      <c r="O1652" s="6" t="str">
        <f>IF(Table2[[#This Row],[POG CONFIRMATION RECEIPT OF ORDER
(DATE &amp; TIME)]]="","No Confirmation","Received Confirmation")</f>
        <v>Received Confirmation</v>
      </c>
      <c r="P1652" s="6">
        <f ca="1">TODAY()-Table2[[#This Row],[DATE SENT TO POG]]</f>
        <v>127</v>
      </c>
      <c r="Q1652" s="6" t="s">
        <v>5803</v>
      </c>
      <c r="R16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2" s="2" t="str">
        <f>_xlfn.XLOOKUP(Table2[[#This Row],[Adjusted Form '#]],'[2]IN PROGRESS'!$D:$D,'[2]IN PROGRESS'!$M:$M,"Not Found")</f>
        <v>Not Found</v>
      </c>
      <c r="U1652" s="2" t="str">
        <f>_xlfn.XLOOKUP(Table2[[#This Row],[Adjusted Form '#]],[1]COMPLETED!$D:$D,[2]COMPLETED!$M:$M,"Not Found")</f>
        <v>Not Found</v>
      </c>
      <c r="V1652" s="17" t="str">
        <f>_xlfn.XLOOKUP(Table2[[#This Row],[Adjusted Form '#]],[2]COMPLETED!$D:$D,[2]COMPLETED!$O:$O,"Not Found")</f>
        <v>Not Found</v>
      </c>
      <c r="W1652" s="2" t="str">
        <f>_xlfn.XLOOKUP(Table2[[#This Row],[Adjusted Form '#]],[2]BILLED!$D:$D,[2]BILLED!$M:$M,"Not Found")</f>
        <v>9400 1361 0605 3394 8713 96</v>
      </c>
      <c r="X1652" s="17" t="e">
        <f>_xlfn.XLOOKUP(Table2[[#This Row],[Adjusted Form '#]],[2]BILLED!$D:$D,[1]BILLED!$O:$O,"Not Found")</f>
        <v>#REF!</v>
      </c>
      <c r="Y1652" s="17" t="e">
        <f>_xlfn.XLOOKUP(Table2[[#This Row],[Adjusted Form '#]],'[2]REJECTED ORDERS'!$D:$D,'[2]REJECTED ORDERS'!$E:$E)</f>
        <v>#N/A</v>
      </c>
      <c r="Z1652" s="1"/>
      <c r="AA1652" s="1"/>
    </row>
    <row r="1653" spans="1:27" ht="15" customHeight="1" x14ac:dyDescent="0.35">
      <c r="A1653" s="4" t="s">
        <v>2455</v>
      </c>
      <c r="B1653" s="1" t="s">
        <v>2479</v>
      </c>
      <c r="C1653" s="11">
        <v>45176</v>
      </c>
      <c r="D1653" s="11" t="s">
        <v>6912</v>
      </c>
      <c r="E1653" s="1" t="s">
        <v>21</v>
      </c>
      <c r="F1653" s="1" t="s">
        <v>6875</v>
      </c>
      <c r="G1653" s="6">
        <f>COUNTIF(F:F,Table2[[#This Row],[Form '#]])</f>
        <v>1</v>
      </c>
      <c r="H1653" s="1" t="s">
        <v>3685</v>
      </c>
      <c r="I1653" s="1" t="s">
        <v>3864</v>
      </c>
      <c r="J1653" s="1" t="s">
        <v>78</v>
      </c>
      <c r="K1653" s="1" t="s">
        <v>3879</v>
      </c>
      <c r="L1653" s="1"/>
      <c r="M1653" s="6" t="str">
        <f>IF(Table2[[#This Row],[Corrected Form '#
 (If Duplicated)]]="",Table2[[#This Row],[Form '#]],Table2[[#This Row],[Corrected Form '#
 (If Duplicated)]])</f>
        <v>7818-25817</v>
      </c>
      <c r="N1653" s="1" t="s">
        <v>49</v>
      </c>
      <c r="O1653" s="6" t="str">
        <f>IF(Table2[[#This Row],[POG CONFIRMATION RECEIPT OF ORDER
(DATE &amp; TIME)]]="","No Confirmation","Received Confirmation")</f>
        <v>Received Confirmation</v>
      </c>
      <c r="P1653" s="6">
        <f ca="1">TODAY()-Table2[[#This Row],[DATE SENT TO POG]]</f>
        <v>127</v>
      </c>
      <c r="Q1653" s="6" t="s">
        <v>5803</v>
      </c>
      <c r="R16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3" s="2" t="str">
        <f>_xlfn.XLOOKUP(Table2[[#This Row],[Adjusted Form '#]],'[2]IN PROGRESS'!$D:$D,'[2]IN PROGRESS'!$M:$M,"Not Found")</f>
        <v>Not Found</v>
      </c>
      <c r="U1653" s="2" t="str">
        <f>_xlfn.XLOOKUP(Table2[[#This Row],[Adjusted Form '#]],[1]COMPLETED!$D:$D,[2]COMPLETED!$M:$M,"Not Found")</f>
        <v>Not Found</v>
      </c>
      <c r="V1653" s="17" t="str">
        <f>_xlfn.XLOOKUP(Table2[[#This Row],[Adjusted Form '#]],[2]COMPLETED!$D:$D,[2]COMPLETED!$O:$O,"Not Found")</f>
        <v>Not Found</v>
      </c>
      <c r="W1653" s="2" t="str">
        <f>_xlfn.XLOOKUP(Table2[[#This Row],[Adjusted Form '#]],[2]BILLED!$D:$D,[2]BILLED!$M:$M,"Not Found")</f>
        <v>9400 1361 0605 3398 7354 89</v>
      </c>
      <c r="X1653" s="17" t="e">
        <f>_xlfn.XLOOKUP(Table2[[#This Row],[Adjusted Form '#]],[2]BILLED!$D:$D,[1]BILLED!$O:$O,"Not Found")</f>
        <v>#REF!</v>
      </c>
      <c r="Y1653" s="17" t="e">
        <f>_xlfn.XLOOKUP(Table2[[#This Row],[Adjusted Form '#]],'[2]REJECTED ORDERS'!$D:$D,'[2]REJECTED ORDERS'!$E:$E)</f>
        <v>#N/A</v>
      </c>
      <c r="Z1653" s="1"/>
      <c r="AA1653" s="1"/>
    </row>
    <row r="1654" spans="1:27" ht="15" customHeight="1" x14ac:dyDescent="0.35">
      <c r="A1654" s="4" t="s">
        <v>2458</v>
      </c>
      <c r="B1654" s="1" t="s">
        <v>2479</v>
      </c>
      <c r="C1654" s="11">
        <v>45176</v>
      </c>
      <c r="D1654" s="11" t="s">
        <v>6912</v>
      </c>
      <c r="E1654" s="1" t="s">
        <v>21</v>
      </c>
      <c r="F1654" s="1" t="s">
        <v>6876</v>
      </c>
      <c r="G1654" s="6">
        <f>COUNTIF(F:F,Table2[[#This Row],[Form '#]])</f>
        <v>1</v>
      </c>
      <c r="H1654" s="1" t="s">
        <v>1518</v>
      </c>
      <c r="I1654" s="1" t="s">
        <v>3852</v>
      </c>
      <c r="J1654" s="1" t="s">
        <v>80</v>
      </c>
      <c r="K1654" s="1" t="s">
        <v>3853</v>
      </c>
      <c r="L1654" s="1"/>
      <c r="M1654" s="6" t="str">
        <f>IF(Table2[[#This Row],[Corrected Form '#
 (If Duplicated)]]="",Table2[[#This Row],[Form '#]],Table2[[#This Row],[Corrected Form '#
 (If Duplicated)]])</f>
        <v>7818-27401</v>
      </c>
      <c r="N1654" s="1" t="s">
        <v>49</v>
      </c>
      <c r="O1654" s="6" t="str">
        <f>IF(Table2[[#This Row],[POG CONFIRMATION RECEIPT OF ORDER
(DATE &amp; TIME)]]="","No Confirmation","Received Confirmation")</f>
        <v>Received Confirmation</v>
      </c>
      <c r="P1654" s="6">
        <f ca="1">TODAY()-Table2[[#This Row],[DATE SENT TO POG]]</f>
        <v>127</v>
      </c>
      <c r="Q1654" s="6" t="s">
        <v>5803</v>
      </c>
      <c r="R16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4" s="2" t="str">
        <f>_xlfn.XLOOKUP(Table2[[#This Row],[Adjusted Form '#]],'[2]IN PROGRESS'!$D:$D,'[2]IN PROGRESS'!$M:$M,"Not Found")</f>
        <v>Not Found</v>
      </c>
      <c r="U1654" s="2" t="str">
        <f>_xlfn.XLOOKUP(Table2[[#This Row],[Adjusted Form '#]],[1]COMPLETED!$D:$D,[2]COMPLETED!$M:$M,"Not Found")</f>
        <v>Not Found</v>
      </c>
      <c r="V1654" s="17" t="str">
        <f>_xlfn.XLOOKUP(Table2[[#This Row],[Adjusted Form '#]],[2]COMPLETED!$D:$D,[2]COMPLETED!$O:$O,"Not Found")</f>
        <v>Not Found</v>
      </c>
      <c r="W1654" s="2" t="str">
        <f>_xlfn.XLOOKUP(Table2[[#This Row],[Adjusted Form '#]],[2]BILLED!$D:$D,[2]BILLED!$M:$M,"Not Found")</f>
        <v>9400 1361 0605 3360 5439 06</v>
      </c>
      <c r="X1654" s="17" t="e">
        <f>_xlfn.XLOOKUP(Table2[[#This Row],[Adjusted Form '#]],[2]BILLED!$D:$D,[1]BILLED!$O:$O,"Not Found")</f>
        <v>#REF!</v>
      </c>
      <c r="Y1654" s="17" t="e">
        <f>_xlfn.XLOOKUP(Table2[[#This Row],[Adjusted Form '#]],'[2]REJECTED ORDERS'!$D:$D,'[2]REJECTED ORDERS'!$E:$E)</f>
        <v>#N/A</v>
      </c>
      <c r="Z1654" s="1"/>
      <c r="AA1654" s="1"/>
    </row>
    <row r="1655" spans="1:27" ht="15" customHeight="1" x14ac:dyDescent="0.35">
      <c r="A1655" s="4" t="s">
        <v>2459</v>
      </c>
      <c r="B1655" s="1" t="s">
        <v>2479</v>
      </c>
      <c r="C1655" s="11">
        <v>45176</v>
      </c>
      <c r="D1655" s="11" t="s">
        <v>6912</v>
      </c>
      <c r="E1655" s="1" t="s">
        <v>21</v>
      </c>
      <c r="F1655" s="1" t="s">
        <v>6877</v>
      </c>
      <c r="G1655" s="6">
        <f>COUNTIF(F:F,Table2[[#This Row],[Form '#]])</f>
        <v>1</v>
      </c>
      <c r="H1655" s="1" t="s">
        <v>3112</v>
      </c>
      <c r="I1655" s="1" t="s">
        <v>3852</v>
      </c>
      <c r="J1655" s="1" t="s">
        <v>80</v>
      </c>
      <c r="K1655" s="1" t="s">
        <v>3853</v>
      </c>
      <c r="L1655" s="1"/>
      <c r="M1655" s="6" t="str">
        <f>IF(Table2[[#This Row],[Corrected Form '#
 (If Duplicated)]]="",Table2[[#This Row],[Form '#]],Table2[[#This Row],[Corrected Form '#
 (If Duplicated)]])</f>
        <v>7818-27334</v>
      </c>
      <c r="N1655" s="1" t="s">
        <v>49</v>
      </c>
      <c r="O1655" s="6" t="str">
        <f>IF(Table2[[#This Row],[POG CONFIRMATION RECEIPT OF ORDER
(DATE &amp; TIME)]]="","No Confirmation","Received Confirmation")</f>
        <v>Received Confirmation</v>
      </c>
      <c r="P1655" s="6">
        <f ca="1">TODAY()-Table2[[#This Row],[DATE SENT TO POG]]</f>
        <v>127</v>
      </c>
      <c r="Q1655" s="6" t="s">
        <v>5803</v>
      </c>
      <c r="R16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5" s="2" t="str">
        <f>_xlfn.XLOOKUP(Table2[[#This Row],[Adjusted Form '#]],'[2]IN PROGRESS'!$D:$D,'[2]IN PROGRESS'!$M:$M,"Not Found")</f>
        <v>Not Found</v>
      </c>
      <c r="U1655" s="2" t="str">
        <f>_xlfn.XLOOKUP(Table2[[#This Row],[Adjusted Form '#]],[1]COMPLETED!$D:$D,[2]COMPLETED!$M:$M,"Not Found")</f>
        <v>Not Found</v>
      </c>
      <c r="V1655" s="17" t="str">
        <f>_xlfn.XLOOKUP(Table2[[#This Row],[Adjusted Form '#]],[2]COMPLETED!$D:$D,[2]COMPLETED!$O:$O,"Not Found")</f>
        <v>Not Found</v>
      </c>
      <c r="W1655" s="2" t="str">
        <f>_xlfn.XLOOKUP(Table2[[#This Row],[Adjusted Form '#]],[2]BILLED!$D:$D,[2]BILLED!$M:$M,"Not Found")</f>
        <v>9400 1361 0605 3414 9284 20</v>
      </c>
      <c r="X1655" s="17" t="e">
        <f>_xlfn.XLOOKUP(Table2[[#This Row],[Adjusted Form '#]],[2]BILLED!$D:$D,[1]BILLED!$O:$O,"Not Found")</f>
        <v>#REF!</v>
      </c>
      <c r="Y1655" s="17" t="e">
        <f>_xlfn.XLOOKUP(Table2[[#This Row],[Adjusted Form '#]],'[2]REJECTED ORDERS'!$D:$D,'[2]REJECTED ORDERS'!$E:$E)</f>
        <v>#N/A</v>
      </c>
      <c r="Z1655" s="1"/>
      <c r="AA1655" s="1"/>
    </row>
    <row r="1656" spans="1:27" ht="15" customHeight="1" x14ac:dyDescent="0.35">
      <c r="A1656" s="4" t="s">
        <v>2460</v>
      </c>
      <c r="B1656" s="1" t="s">
        <v>2479</v>
      </c>
      <c r="C1656" s="11">
        <v>45176</v>
      </c>
      <c r="D1656" s="11" t="s">
        <v>6912</v>
      </c>
      <c r="E1656" s="1" t="s">
        <v>21</v>
      </c>
      <c r="F1656" s="1" t="s">
        <v>6878</v>
      </c>
      <c r="G1656" s="6">
        <f>COUNTIF(F:F,Table2[[#This Row],[Form '#]])</f>
        <v>1</v>
      </c>
      <c r="H1656" s="1" t="s">
        <v>6879</v>
      </c>
      <c r="I1656" s="1" t="s">
        <v>3852</v>
      </c>
      <c r="J1656" s="1" t="s">
        <v>80</v>
      </c>
      <c r="K1656" s="1" t="s">
        <v>3853</v>
      </c>
      <c r="L1656" s="1"/>
      <c r="M1656" s="6" t="str">
        <f>IF(Table2[[#This Row],[Corrected Form '#
 (If Duplicated)]]="",Table2[[#This Row],[Form '#]],Table2[[#This Row],[Corrected Form '#
 (If Duplicated)]])</f>
        <v>7818-23707</v>
      </c>
      <c r="N1656" s="1" t="s">
        <v>49</v>
      </c>
      <c r="O1656" s="6" t="str">
        <f>IF(Table2[[#This Row],[POG CONFIRMATION RECEIPT OF ORDER
(DATE &amp; TIME)]]="","No Confirmation","Received Confirmation")</f>
        <v>Received Confirmation</v>
      </c>
      <c r="P1656" s="6">
        <f ca="1">TODAY()-Table2[[#This Row],[DATE SENT TO POG]]</f>
        <v>127</v>
      </c>
      <c r="Q1656" s="6" t="s">
        <v>5803</v>
      </c>
      <c r="R16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6" s="2" t="str">
        <f>_xlfn.XLOOKUP(Table2[[#This Row],[Adjusted Form '#]],'[2]IN PROGRESS'!$D:$D,'[2]IN PROGRESS'!$M:$M,"Not Found")</f>
        <v>Not Found</v>
      </c>
      <c r="U1656" s="2" t="str">
        <f>_xlfn.XLOOKUP(Table2[[#This Row],[Adjusted Form '#]],[1]COMPLETED!$D:$D,[2]COMPLETED!$M:$M,"Not Found")</f>
        <v>Not Found</v>
      </c>
      <c r="V1656" s="17" t="str">
        <f>_xlfn.XLOOKUP(Table2[[#This Row],[Adjusted Form '#]],[2]COMPLETED!$D:$D,[2]COMPLETED!$O:$O,"Not Found")</f>
        <v>Not Found</v>
      </c>
      <c r="W1656" s="2" t="str">
        <f>_xlfn.XLOOKUP(Table2[[#This Row],[Adjusted Form '#]],[2]BILLED!$D:$D,[2]BILLED!$M:$M,"Not Found")</f>
        <v>9400 1361 0605 3384 2942 35</v>
      </c>
      <c r="X1656" s="17" t="e">
        <f>_xlfn.XLOOKUP(Table2[[#This Row],[Adjusted Form '#]],[2]BILLED!$D:$D,[1]BILLED!$O:$O,"Not Found")</f>
        <v>#REF!</v>
      </c>
      <c r="Y1656" s="17" t="e">
        <f>_xlfn.XLOOKUP(Table2[[#This Row],[Adjusted Form '#]],'[2]REJECTED ORDERS'!$D:$D,'[2]REJECTED ORDERS'!$E:$E)</f>
        <v>#N/A</v>
      </c>
      <c r="Z1656" s="1"/>
      <c r="AA1656" s="1"/>
    </row>
    <row r="1657" spans="1:27" ht="15" customHeight="1" x14ac:dyDescent="0.35">
      <c r="A1657" s="4" t="s">
        <v>2461</v>
      </c>
      <c r="B1657" s="1" t="s">
        <v>2479</v>
      </c>
      <c r="C1657" s="11">
        <v>45176</v>
      </c>
      <c r="D1657" s="11" t="s">
        <v>6912</v>
      </c>
      <c r="E1657" s="1" t="s">
        <v>21</v>
      </c>
      <c r="F1657" s="1" t="s">
        <v>6880</v>
      </c>
      <c r="G1657" s="6">
        <f>COUNTIF(F:F,Table2[[#This Row],[Form '#]])</f>
        <v>1</v>
      </c>
      <c r="H1657" s="1" t="s">
        <v>6881</v>
      </c>
      <c r="I1657" s="1" t="s">
        <v>127</v>
      </c>
      <c r="J1657" s="1" t="s">
        <v>76</v>
      </c>
      <c r="K1657" s="1" t="s">
        <v>6882</v>
      </c>
      <c r="L1657" s="1"/>
      <c r="M1657" s="6" t="str">
        <f>IF(Table2[[#This Row],[Corrected Form '#
 (If Duplicated)]]="",Table2[[#This Row],[Form '#]],Table2[[#This Row],[Corrected Form '#
 (If Duplicated)]])</f>
        <v>7818-31219</v>
      </c>
      <c r="N1657" s="1" t="s">
        <v>49</v>
      </c>
      <c r="O1657" s="6" t="str">
        <f>IF(Table2[[#This Row],[POG CONFIRMATION RECEIPT OF ORDER
(DATE &amp; TIME)]]="","No Confirmation","Received Confirmation")</f>
        <v>Received Confirmation</v>
      </c>
      <c r="P1657" s="6">
        <f ca="1">TODAY()-Table2[[#This Row],[DATE SENT TO POG]]</f>
        <v>127</v>
      </c>
      <c r="Q1657" s="6" t="s">
        <v>5803</v>
      </c>
      <c r="R16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7" s="2" t="str">
        <f>_xlfn.XLOOKUP(Table2[[#This Row],[Adjusted Form '#]],'[2]IN PROGRESS'!$D:$D,'[2]IN PROGRESS'!$M:$M,"Not Found")</f>
        <v>Not Found</v>
      </c>
      <c r="U1657" s="2" t="str">
        <f>_xlfn.XLOOKUP(Table2[[#This Row],[Adjusted Form '#]],[1]COMPLETED!$D:$D,[2]COMPLETED!$M:$M,"Not Found")</f>
        <v>Not Found</v>
      </c>
      <c r="V1657" s="17" t="str">
        <f>_xlfn.XLOOKUP(Table2[[#This Row],[Adjusted Form '#]],[2]COMPLETED!$D:$D,[2]COMPLETED!$O:$O,"Not Found")</f>
        <v>Not Found</v>
      </c>
      <c r="W1657" s="2" t="str">
        <f>_xlfn.XLOOKUP(Table2[[#This Row],[Adjusted Form '#]],[2]BILLED!$D:$D,[2]BILLED!$M:$M,"Not Found")</f>
        <v>9400 1361 0605 3357 3496 65</v>
      </c>
      <c r="X1657" s="17" t="e">
        <f>_xlfn.XLOOKUP(Table2[[#This Row],[Adjusted Form '#]],[2]BILLED!$D:$D,[1]BILLED!$O:$O,"Not Found")</f>
        <v>#REF!</v>
      </c>
      <c r="Y1657" s="17" t="e">
        <f>_xlfn.XLOOKUP(Table2[[#This Row],[Adjusted Form '#]],'[2]REJECTED ORDERS'!$D:$D,'[2]REJECTED ORDERS'!$E:$E)</f>
        <v>#N/A</v>
      </c>
      <c r="Z1657" s="1"/>
      <c r="AA1657" s="1"/>
    </row>
    <row r="1658" spans="1:27" ht="15" customHeight="1" x14ac:dyDescent="0.35">
      <c r="A1658" s="4" t="s">
        <v>2462</v>
      </c>
      <c r="B1658" s="1" t="s">
        <v>6884</v>
      </c>
      <c r="C1658" s="11">
        <v>45176</v>
      </c>
      <c r="D1658" s="11" t="s">
        <v>6892</v>
      </c>
      <c r="E1658" s="1" t="s">
        <v>21</v>
      </c>
      <c r="F1658" s="1" t="s">
        <v>6885</v>
      </c>
      <c r="G1658" s="6">
        <f>COUNTIF(F:F,Table2[[#This Row],[Form '#]])</f>
        <v>1</v>
      </c>
      <c r="H1658" s="1" t="s">
        <v>1987</v>
      </c>
      <c r="I1658" s="1" t="s">
        <v>177</v>
      </c>
      <c r="J1658" s="1" t="s">
        <v>75</v>
      </c>
      <c r="K1658" s="1" t="s">
        <v>4430</v>
      </c>
      <c r="L1658" s="1"/>
      <c r="M1658" s="6" t="str">
        <f>IF(Table2[[#This Row],[Corrected Form '#
 (If Duplicated)]]="",Table2[[#This Row],[Form '#]],Table2[[#This Row],[Corrected Form '#
 (If Duplicated)]])</f>
        <v>7818-21337</v>
      </c>
      <c r="N1658" s="1" t="s">
        <v>49</v>
      </c>
      <c r="O1658" s="6" t="str">
        <f>IF(Table2[[#This Row],[POG CONFIRMATION RECEIPT OF ORDER
(DATE &amp; TIME)]]="","No Confirmation","Received Confirmation")</f>
        <v>Received Confirmation</v>
      </c>
      <c r="P1658" s="6">
        <f ca="1">TODAY()-Table2[[#This Row],[DATE SENT TO POG]]</f>
        <v>127</v>
      </c>
      <c r="Q1658" s="6" t="s">
        <v>5803</v>
      </c>
      <c r="R16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8" s="2" t="str">
        <f>_xlfn.XLOOKUP(Table2[[#This Row],[Adjusted Form '#]],'[2]IN PROGRESS'!$D:$D,'[2]IN PROGRESS'!$M:$M,"Not Found")</f>
        <v>Not Found</v>
      </c>
      <c r="U1658" s="2" t="str">
        <f>_xlfn.XLOOKUP(Table2[[#This Row],[Adjusted Form '#]],[1]COMPLETED!$D:$D,[2]COMPLETED!$M:$M,"Not Found")</f>
        <v>Not Found</v>
      </c>
      <c r="V1658" s="17" t="str">
        <f>_xlfn.XLOOKUP(Table2[[#This Row],[Adjusted Form '#]],[2]COMPLETED!$D:$D,[2]COMPLETED!$O:$O,"Not Found")</f>
        <v>Not Found</v>
      </c>
      <c r="W1658" s="2" t="str">
        <f>_xlfn.XLOOKUP(Table2[[#This Row],[Adjusted Form '#]],[2]BILLED!$D:$D,[2]BILLED!$M:$M,"Not Found")</f>
        <v>9400 1361 0605 3390 5295 67</v>
      </c>
      <c r="X1658" s="17" t="e">
        <f>_xlfn.XLOOKUP(Table2[[#This Row],[Adjusted Form '#]],[2]BILLED!$D:$D,[1]BILLED!$O:$O,"Not Found")</f>
        <v>#REF!</v>
      </c>
      <c r="Y1658" s="17" t="e">
        <f>_xlfn.XLOOKUP(Table2[[#This Row],[Adjusted Form '#]],'[2]REJECTED ORDERS'!$D:$D,'[2]REJECTED ORDERS'!$E:$E)</f>
        <v>#N/A</v>
      </c>
      <c r="Z1658" s="1"/>
      <c r="AA1658" s="1"/>
    </row>
    <row r="1659" spans="1:27" ht="15" customHeight="1" x14ac:dyDescent="0.35">
      <c r="A1659" s="4" t="s">
        <v>2463</v>
      </c>
      <c r="B1659" s="1" t="s">
        <v>6884</v>
      </c>
      <c r="C1659" s="11">
        <v>45176</v>
      </c>
      <c r="D1659" s="11" t="s">
        <v>6914</v>
      </c>
      <c r="E1659" s="1" t="s">
        <v>21</v>
      </c>
      <c r="F1659" s="1" t="s">
        <v>6886</v>
      </c>
      <c r="G1659" s="6">
        <f>COUNTIF(F:F,Table2[[#This Row],[Form '#]])</f>
        <v>1</v>
      </c>
      <c r="H1659" s="1" t="s">
        <v>6887</v>
      </c>
      <c r="I1659" s="1" t="s">
        <v>3852</v>
      </c>
      <c r="J1659" s="1" t="s">
        <v>80</v>
      </c>
      <c r="K1659" s="1" t="s">
        <v>4430</v>
      </c>
      <c r="L1659" s="1"/>
      <c r="M1659" s="6" t="str">
        <f>IF(Table2[[#This Row],[Corrected Form '#
 (If Duplicated)]]="",Table2[[#This Row],[Form '#]],Table2[[#This Row],[Corrected Form '#
 (If Duplicated)]])</f>
        <v>7818-25844</v>
      </c>
      <c r="N1659" s="1" t="s">
        <v>49</v>
      </c>
      <c r="O1659" s="6" t="str">
        <f>IF(Table2[[#This Row],[POG CONFIRMATION RECEIPT OF ORDER
(DATE &amp; TIME)]]="","No Confirmation","Received Confirmation")</f>
        <v>Received Confirmation</v>
      </c>
      <c r="P1659" s="6">
        <f ca="1">TODAY()-Table2[[#This Row],[DATE SENT TO POG]]</f>
        <v>127</v>
      </c>
      <c r="Q1659" s="6" t="s">
        <v>5803</v>
      </c>
      <c r="R16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59" s="2" t="str">
        <f>_xlfn.XLOOKUP(Table2[[#This Row],[Adjusted Form '#]],'[2]IN PROGRESS'!$D:$D,'[2]IN PROGRESS'!$M:$M,"Not Found")</f>
        <v>Not Found</v>
      </c>
      <c r="U1659" s="2" t="str">
        <f>_xlfn.XLOOKUP(Table2[[#This Row],[Adjusted Form '#]],[1]COMPLETED!$D:$D,[2]COMPLETED!$M:$M,"Not Found")</f>
        <v>Not Found</v>
      </c>
      <c r="V1659" s="17" t="str">
        <f>_xlfn.XLOOKUP(Table2[[#This Row],[Adjusted Form '#]],[2]COMPLETED!$D:$D,[2]COMPLETED!$O:$O,"Not Found")</f>
        <v>Not Found</v>
      </c>
      <c r="W1659" s="2" t="str">
        <f>_xlfn.XLOOKUP(Table2[[#This Row],[Adjusted Form '#]],[2]BILLED!$D:$D,[2]BILLED!$M:$M,"Not Found")</f>
        <v>9400 1361 0605 3384 3223 58</v>
      </c>
      <c r="X1659" s="17" t="e">
        <f>_xlfn.XLOOKUP(Table2[[#This Row],[Adjusted Form '#]],[2]BILLED!$D:$D,[1]BILLED!$O:$O,"Not Found")</f>
        <v>#REF!</v>
      </c>
      <c r="Y1659" s="17" t="e">
        <f>_xlfn.XLOOKUP(Table2[[#This Row],[Adjusted Form '#]],'[2]REJECTED ORDERS'!$D:$D,'[2]REJECTED ORDERS'!$E:$E)</f>
        <v>#N/A</v>
      </c>
      <c r="Z1659" s="1"/>
      <c r="AA1659" s="1"/>
    </row>
    <row r="1660" spans="1:27" ht="15" customHeight="1" x14ac:dyDescent="0.35">
      <c r="A1660" s="4" t="s">
        <v>2464</v>
      </c>
      <c r="B1660" s="1" t="s">
        <v>6884</v>
      </c>
      <c r="C1660" s="11">
        <v>45176</v>
      </c>
      <c r="E1660" s="1" t="s">
        <v>21</v>
      </c>
      <c r="F1660" s="1" t="s">
        <v>6888</v>
      </c>
      <c r="G1660" s="6">
        <f>COUNTIF(F:F,Table2[[#This Row],[Form '#]])</f>
        <v>1</v>
      </c>
      <c r="H1660" s="1" t="s">
        <v>1057</v>
      </c>
      <c r="I1660" s="1" t="s">
        <v>127</v>
      </c>
      <c r="J1660" s="1" t="s">
        <v>74</v>
      </c>
      <c r="K1660" s="1" t="s">
        <v>3883</v>
      </c>
      <c r="L1660" s="1"/>
      <c r="M1660" s="6" t="str">
        <f>IF(Table2[[#This Row],[Corrected Form '#
 (If Duplicated)]]="",Table2[[#This Row],[Form '#]],Table2[[#This Row],[Corrected Form '#
 (If Duplicated)]])</f>
        <v>7818-18557</v>
      </c>
      <c r="N1660" s="1" t="s">
        <v>49</v>
      </c>
      <c r="O1660" s="6" t="str">
        <f>IF(Table2[[#This Row],[POG CONFIRMATION RECEIPT OF ORDER
(DATE &amp; TIME)]]="","No Confirmation","Received Confirmation")</f>
        <v>No Confirmation</v>
      </c>
      <c r="P1660" s="6">
        <f ca="1">TODAY()-Table2[[#This Row],[DATE SENT TO POG]]</f>
        <v>127</v>
      </c>
      <c r="Q1660" s="6" t="s">
        <v>5803</v>
      </c>
      <c r="R16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0" s="2" t="str">
        <f>_xlfn.XLOOKUP(Table2[[#This Row],[Adjusted Form '#]],'[2]IN PROGRESS'!$D:$D,'[2]IN PROGRESS'!$M:$M,"Not Found")</f>
        <v>Not Found</v>
      </c>
      <c r="U1660" s="2" t="str">
        <f>_xlfn.XLOOKUP(Table2[[#This Row],[Adjusted Form '#]],[1]COMPLETED!$D:$D,[2]COMPLETED!$M:$M,"Not Found")</f>
        <v>Not Found</v>
      </c>
      <c r="V1660" s="17" t="str">
        <f>_xlfn.XLOOKUP(Table2[[#This Row],[Adjusted Form '#]],[2]COMPLETED!$D:$D,[2]COMPLETED!$O:$O,"Not Found")</f>
        <v>Not Found</v>
      </c>
      <c r="W1660" s="2" t="str">
        <f>_xlfn.XLOOKUP(Table2[[#This Row],[Adjusted Form '#]],[2]BILLED!$D:$D,[2]BILLED!$M:$M,"Not Found")</f>
        <v>9400 1361 0605 3384 1180 29</v>
      </c>
      <c r="X1660" s="17" t="e">
        <f>_xlfn.XLOOKUP(Table2[[#This Row],[Adjusted Form '#]],[2]BILLED!$D:$D,[1]BILLED!$O:$O,"Not Found")</f>
        <v>#REF!</v>
      </c>
      <c r="Y1660" s="17" t="e">
        <f>_xlfn.XLOOKUP(Table2[[#This Row],[Adjusted Form '#]],'[2]REJECTED ORDERS'!$D:$D,'[2]REJECTED ORDERS'!$E:$E)</f>
        <v>#N/A</v>
      </c>
      <c r="Z1660" s="1"/>
      <c r="AA1660" s="1"/>
    </row>
    <row r="1661" spans="1:27" ht="15" customHeight="1" x14ac:dyDescent="0.35">
      <c r="A1661" s="4" t="s">
        <v>2466</v>
      </c>
      <c r="B1661" s="1" t="s">
        <v>6884</v>
      </c>
      <c r="C1661" s="11">
        <v>45176</v>
      </c>
      <c r="E1661" s="1" t="s">
        <v>21</v>
      </c>
      <c r="F1661" s="1" t="s">
        <v>6889</v>
      </c>
      <c r="G1661" s="6">
        <f>COUNTIF(F:F,Table2[[#This Row],[Form '#]])</f>
        <v>1</v>
      </c>
      <c r="H1661" s="1" t="s">
        <v>1451</v>
      </c>
      <c r="I1661" s="1" t="s">
        <v>3864</v>
      </c>
      <c r="J1661" s="1" t="s">
        <v>78</v>
      </c>
      <c r="K1661" s="1" t="s">
        <v>3879</v>
      </c>
      <c r="L1661" s="1"/>
      <c r="M1661" s="6" t="str">
        <f>IF(Table2[[#This Row],[Corrected Form '#
 (If Duplicated)]]="",Table2[[#This Row],[Form '#]],Table2[[#This Row],[Corrected Form '#
 (If Duplicated)]])</f>
        <v>7818-14651</v>
      </c>
      <c r="N1661" s="1" t="s">
        <v>49</v>
      </c>
      <c r="O1661" s="6" t="str">
        <f>IF(Table2[[#This Row],[POG CONFIRMATION RECEIPT OF ORDER
(DATE &amp; TIME)]]="","No Confirmation","Received Confirmation")</f>
        <v>No Confirmation</v>
      </c>
      <c r="P1661" s="6">
        <f ca="1">TODAY()-Table2[[#This Row],[DATE SENT TO POG]]</f>
        <v>127</v>
      </c>
      <c r="Q1661" s="6" t="s">
        <v>5803</v>
      </c>
      <c r="R16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1" s="2" t="str">
        <f>_xlfn.XLOOKUP(Table2[[#This Row],[Adjusted Form '#]],'[2]IN PROGRESS'!$D:$D,'[2]IN PROGRESS'!$M:$M,"Not Found")</f>
        <v>Not Found</v>
      </c>
      <c r="U1661" s="2" t="str">
        <f>_xlfn.XLOOKUP(Table2[[#This Row],[Adjusted Form '#]],[1]COMPLETED!$D:$D,[2]COMPLETED!$M:$M,"Not Found")</f>
        <v>Not Found</v>
      </c>
      <c r="V1661" s="17" t="str">
        <f>_xlfn.XLOOKUP(Table2[[#This Row],[Adjusted Form '#]],[2]COMPLETED!$D:$D,[2]COMPLETED!$O:$O,"Not Found")</f>
        <v>Not Found</v>
      </c>
      <c r="W1661" s="2" t="str">
        <f>_xlfn.XLOOKUP(Table2[[#This Row],[Adjusted Form '#]],[2]BILLED!$D:$D,[2]BILLED!$M:$M,"Not Found")</f>
        <v>9400 1361 0605 3395 7758 22</v>
      </c>
      <c r="X1661" s="17" t="e">
        <f>_xlfn.XLOOKUP(Table2[[#This Row],[Adjusted Form '#]],[2]BILLED!$D:$D,[1]BILLED!$O:$O,"Not Found")</f>
        <v>#REF!</v>
      </c>
      <c r="Y1661" s="17" t="e">
        <f>_xlfn.XLOOKUP(Table2[[#This Row],[Adjusted Form '#]],'[2]REJECTED ORDERS'!$D:$D,'[2]REJECTED ORDERS'!$E:$E)</f>
        <v>#N/A</v>
      </c>
      <c r="Z1661" s="1"/>
      <c r="AA1661" s="1"/>
    </row>
    <row r="1662" spans="1:27" ht="15" customHeight="1" x14ac:dyDescent="0.35">
      <c r="A1662" s="4" t="s">
        <v>2468</v>
      </c>
      <c r="B1662" s="1" t="s">
        <v>6884</v>
      </c>
      <c r="C1662" s="11">
        <v>45176</v>
      </c>
      <c r="E1662" s="1" t="s">
        <v>21</v>
      </c>
      <c r="F1662" s="1" t="s">
        <v>6890</v>
      </c>
      <c r="G1662" s="6">
        <f>COUNTIF(F:F,Table2[[#This Row],[Form '#]])</f>
        <v>1</v>
      </c>
      <c r="H1662" s="1" t="s">
        <v>6891</v>
      </c>
      <c r="I1662" s="1" t="s">
        <v>3864</v>
      </c>
      <c r="J1662" s="1" t="s">
        <v>78</v>
      </c>
      <c r="K1662" s="1" t="s">
        <v>3879</v>
      </c>
      <c r="L1662" s="1"/>
      <c r="M1662" s="6" t="str">
        <f>IF(Table2[[#This Row],[Corrected Form '#
 (If Duplicated)]]="",Table2[[#This Row],[Form '#]],Table2[[#This Row],[Corrected Form '#
 (If Duplicated)]])</f>
        <v>7818-21938</v>
      </c>
      <c r="N1662" s="1" t="s">
        <v>49</v>
      </c>
      <c r="O1662" s="6" t="str">
        <f>IF(Table2[[#This Row],[POG CONFIRMATION RECEIPT OF ORDER
(DATE &amp; TIME)]]="","No Confirmation","Received Confirmation")</f>
        <v>No Confirmation</v>
      </c>
      <c r="P1662" s="6">
        <f ca="1">TODAY()-Table2[[#This Row],[DATE SENT TO POG]]</f>
        <v>127</v>
      </c>
      <c r="Q1662" s="6" t="s">
        <v>5803</v>
      </c>
      <c r="R16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2" s="2" t="str">
        <f>_xlfn.XLOOKUP(Table2[[#This Row],[Adjusted Form '#]],'[2]IN PROGRESS'!$D:$D,'[2]IN PROGRESS'!$M:$M,"Not Found")</f>
        <v>Not Found</v>
      </c>
      <c r="U1662" s="2" t="str">
        <f>_xlfn.XLOOKUP(Table2[[#This Row],[Adjusted Form '#]],[1]COMPLETED!$D:$D,[2]COMPLETED!$M:$M,"Not Found")</f>
        <v>Not Found</v>
      </c>
      <c r="V1662" s="17" t="str">
        <f>_xlfn.XLOOKUP(Table2[[#This Row],[Adjusted Form '#]],[2]COMPLETED!$D:$D,[2]COMPLETED!$O:$O,"Not Found")</f>
        <v>Not Found</v>
      </c>
      <c r="W1662" s="2" t="str">
        <f>_xlfn.XLOOKUP(Table2[[#This Row],[Adjusted Form '#]],[2]BILLED!$D:$D,[2]BILLED!$M:$M,"Not Found")</f>
        <v>9400 1361 0605 3384 3201 56</v>
      </c>
      <c r="X1662" s="17" t="e">
        <f>_xlfn.XLOOKUP(Table2[[#This Row],[Adjusted Form '#]],[2]BILLED!$D:$D,[1]BILLED!$O:$O,"Not Found")</f>
        <v>#REF!</v>
      </c>
      <c r="Y1662" s="17" t="e">
        <f>_xlfn.XLOOKUP(Table2[[#This Row],[Adjusted Form '#]],'[2]REJECTED ORDERS'!$D:$D,'[2]REJECTED ORDERS'!$E:$E)</f>
        <v>#N/A</v>
      </c>
      <c r="Z1662" s="1"/>
      <c r="AA1662" s="1"/>
    </row>
    <row r="1663" spans="1:27" ht="15" customHeight="1" x14ac:dyDescent="0.35">
      <c r="A1663" s="4" t="s">
        <v>2469</v>
      </c>
      <c r="B1663" s="1" t="s">
        <v>1767</v>
      </c>
      <c r="C1663" s="11">
        <v>45177</v>
      </c>
      <c r="E1663" s="1" t="s">
        <v>21</v>
      </c>
      <c r="F1663" s="1" t="s">
        <v>6893</v>
      </c>
      <c r="G1663" s="6">
        <f>COUNTIF(F:F,Table2[[#This Row],[Form '#]])</f>
        <v>1</v>
      </c>
      <c r="H1663" s="1" t="s">
        <v>5299</v>
      </c>
      <c r="I1663" s="1" t="s">
        <v>127</v>
      </c>
      <c r="J1663" s="1" t="s">
        <v>76</v>
      </c>
      <c r="K1663" s="1" t="s">
        <v>4011</v>
      </c>
      <c r="L1663" s="1"/>
      <c r="M1663" s="6" t="str">
        <f>IF(Table2[[#This Row],[Corrected Form '#
 (If Duplicated)]]="",Table2[[#This Row],[Form '#]],Table2[[#This Row],[Corrected Form '#
 (If Duplicated)]])</f>
        <v>7818-30902</v>
      </c>
      <c r="N1663" s="1" t="s">
        <v>49</v>
      </c>
      <c r="O1663" s="6" t="str">
        <f>IF(Table2[[#This Row],[POG CONFIRMATION RECEIPT OF ORDER
(DATE &amp; TIME)]]="","No Confirmation","Received Confirmation")</f>
        <v>No Confirmation</v>
      </c>
      <c r="P1663" s="6">
        <f ca="1">TODAY()-Table2[[#This Row],[DATE SENT TO POG]]</f>
        <v>126</v>
      </c>
      <c r="Q1663" s="6" t="s">
        <v>5803</v>
      </c>
      <c r="R16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3" s="2" t="str">
        <f>_xlfn.XLOOKUP(Table2[[#This Row],[Adjusted Form '#]],'[2]IN PROGRESS'!$D:$D,'[2]IN PROGRESS'!$M:$M,"Not Found")</f>
        <v>Not Found</v>
      </c>
      <c r="U1663" s="2" t="str">
        <f>_xlfn.XLOOKUP(Table2[[#This Row],[Adjusted Form '#]],[1]COMPLETED!$D:$D,[2]COMPLETED!$M:$M,"Not Found")</f>
        <v>Not Found</v>
      </c>
      <c r="V1663" s="17" t="str">
        <f>_xlfn.XLOOKUP(Table2[[#This Row],[Adjusted Form '#]],[2]COMPLETED!$D:$D,[2]COMPLETED!$O:$O,"Not Found")</f>
        <v>Not Found</v>
      </c>
      <c r="W1663" s="2" t="str">
        <f>_xlfn.XLOOKUP(Table2[[#This Row],[Adjusted Form '#]],[2]BILLED!$D:$D,[2]BILLED!$M:$M,"Not Found")</f>
        <v>9400 1361 0605 3383 3707 01</v>
      </c>
      <c r="X1663" s="17" t="e">
        <f>_xlfn.XLOOKUP(Table2[[#This Row],[Adjusted Form '#]],[2]BILLED!$D:$D,[1]BILLED!$O:$O,"Not Found")</f>
        <v>#REF!</v>
      </c>
      <c r="Y1663" s="17" t="e">
        <f>_xlfn.XLOOKUP(Table2[[#This Row],[Adjusted Form '#]],'[2]REJECTED ORDERS'!$D:$D,'[2]REJECTED ORDERS'!$E:$E)</f>
        <v>#N/A</v>
      </c>
      <c r="Z1663" s="1"/>
      <c r="AA1663" s="1"/>
    </row>
    <row r="1664" spans="1:27" ht="15" customHeight="1" x14ac:dyDescent="0.35">
      <c r="A1664" s="4" t="s">
        <v>2470</v>
      </c>
      <c r="B1664" s="1" t="s">
        <v>1022</v>
      </c>
      <c r="C1664" s="11">
        <v>45177</v>
      </c>
      <c r="D1664" s="11" t="s">
        <v>6897</v>
      </c>
      <c r="E1664" s="1" t="s">
        <v>14</v>
      </c>
      <c r="F1664" s="1" t="s">
        <v>6894</v>
      </c>
      <c r="G1664" s="6">
        <f>COUNTIF(F:F,Table2[[#This Row],[Form '#]])</f>
        <v>1</v>
      </c>
      <c r="H1664" s="1" t="s">
        <v>6895</v>
      </c>
      <c r="I1664" s="1" t="s">
        <v>3864</v>
      </c>
      <c r="J1664" s="1" t="s">
        <v>78</v>
      </c>
      <c r="K1664" s="1" t="s">
        <v>3879</v>
      </c>
      <c r="L1664" s="1"/>
      <c r="M1664" s="6" t="str">
        <f>IF(Table2[[#This Row],[Corrected Form '#
 (If Duplicated)]]="",Table2[[#This Row],[Form '#]],Table2[[#This Row],[Corrected Form '#
 (If Duplicated)]])</f>
        <v>7810-02245</v>
      </c>
      <c r="N1664" s="1" t="s">
        <v>49</v>
      </c>
      <c r="O1664" s="6" t="str">
        <f>IF(Table2[[#This Row],[POG CONFIRMATION RECEIPT OF ORDER
(DATE &amp; TIME)]]="","No Confirmation","Received Confirmation")</f>
        <v>Received Confirmation</v>
      </c>
      <c r="P1664" s="6">
        <f ca="1">TODAY()-Table2[[#This Row],[DATE SENT TO POG]]</f>
        <v>126</v>
      </c>
      <c r="Q1664" s="6" t="s">
        <v>5803</v>
      </c>
      <c r="R16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4" s="2" t="str">
        <f>_xlfn.XLOOKUP(Table2[[#This Row],[Adjusted Form '#]],'[2]IN PROGRESS'!$D:$D,'[2]IN PROGRESS'!$M:$M,"Not Found")</f>
        <v>Not Found</v>
      </c>
      <c r="U1664" s="2" t="str">
        <f>_xlfn.XLOOKUP(Table2[[#This Row],[Adjusted Form '#]],[1]COMPLETED!$D:$D,[2]COMPLETED!$M:$M,"Not Found")</f>
        <v>Not Found</v>
      </c>
      <c r="V1664" s="17" t="str">
        <f>_xlfn.XLOOKUP(Table2[[#This Row],[Adjusted Form '#]],[2]COMPLETED!$D:$D,[2]COMPLETED!$O:$O,"Not Found")</f>
        <v>Not Found</v>
      </c>
      <c r="W1664" s="2" t="str">
        <f>_xlfn.XLOOKUP(Table2[[#This Row],[Adjusted Form '#]],[2]BILLED!$D:$D,[2]BILLED!$M:$M,"Not Found")</f>
        <v>9400 1361 0605 3384 2826 45</v>
      </c>
      <c r="X1664" s="17" t="e">
        <f>_xlfn.XLOOKUP(Table2[[#This Row],[Adjusted Form '#]],[2]BILLED!$D:$D,[1]BILLED!$O:$O,"Not Found")</f>
        <v>#REF!</v>
      </c>
      <c r="Y1664" s="17" t="e">
        <f>_xlfn.XLOOKUP(Table2[[#This Row],[Adjusted Form '#]],'[2]REJECTED ORDERS'!$D:$D,'[2]REJECTED ORDERS'!$E:$E)</f>
        <v>#N/A</v>
      </c>
      <c r="Z1664" s="1"/>
      <c r="AA1664" s="1"/>
    </row>
    <row r="1665" spans="1:27" ht="15" customHeight="1" x14ac:dyDescent="0.35">
      <c r="A1665" s="4" t="s">
        <v>2471</v>
      </c>
      <c r="B1665" s="1" t="s">
        <v>1022</v>
      </c>
      <c r="C1665" s="11">
        <v>45177</v>
      </c>
      <c r="D1665" s="11" t="s">
        <v>6897</v>
      </c>
      <c r="E1665" s="1" t="s">
        <v>14</v>
      </c>
      <c r="F1665" s="1" t="s">
        <v>6896</v>
      </c>
      <c r="G1665" s="6">
        <f>COUNTIF(F:F,Table2[[#This Row],[Form '#]])</f>
        <v>1</v>
      </c>
      <c r="H1665" s="1" t="s">
        <v>1982</v>
      </c>
      <c r="I1665" s="1" t="s">
        <v>3852</v>
      </c>
      <c r="J1665" s="1" t="s">
        <v>80</v>
      </c>
      <c r="K1665" s="1" t="s">
        <v>4011</v>
      </c>
      <c r="L1665" s="1"/>
      <c r="M1665" s="6" t="str">
        <f>IF(Table2[[#This Row],[Corrected Form '#
 (If Duplicated)]]="",Table2[[#This Row],[Form '#]],Table2[[#This Row],[Corrected Form '#
 (If Duplicated)]])</f>
        <v>7810-02153</v>
      </c>
      <c r="N1665" s="1" t="s">
        <v>49</v>
      </c>
      <c r="O1665" s="6" t="str">
        <f>IF(Table2[[#This Row],[POG CONFIRMATION RECEIPT OF ORDER
(DATE &amp; TIME)]]="","No Confirmation","Received Confirmation")</f>
        <v>Received Confirmation</v>
      </c>
      <c r="P1665" s="6">
        <f ca="1">TODAY()-Table2[[#This Row],[DATE SENT TO POG]]</f>
        <v>126</v>
      </c>
      <c r="Q1665" s="6" t="s">
        <v>5803</v>
      </c>
      <c r="R16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5" s="2" t="str">
        <f>_xlfn.XLOOKUP(Table2[[#This Row],[Adjusted Form '#]],'[2]IN PROGRESS'!$D:$D,'[2]IN PROGRESS'!$M:$M,"Not Found")</f>
        <v>Not Found</v>
      </c>
      <c r="U1665" s="2" t="str">
        <f>_xlfn.XLOOKUP(Table2[[#This Row],[Adjusted Form '#]],[1]COMPLETED!$D:$D,[2]COMPLETED!$M:$M,"Not Found")</f>
        <v>Not Found</v>
      </c>
      <c r="V1665" s="17" t="str">
        <f>_xlfn.XLOOKUP(Table2[[#This Row],[Adjusted Form '#]],[2]COMPLETED!$D:$D,[2]COMPLETED!$O:$O,"Not Found")</f>
        <v>Not Found</v>
      </c>
      <c r="W1665" s="2" t="str">
        <f>_xlfn.XLOOKUP(Table2[[#This Row],[Adjusted Form '#]],[2]BILLED!$D:$D,[2]BILLED!$M:$M,"Not Found")</f>
        <v>9400 1361 0605 3360 5305 00</v>
      </c>
      <c r="X1665" s="17" t="e">
        <f>_xlfn.XLOOKUP(Table2[[#This Row],[Adjusted Form '#]],[2]BILLED!$D:$D,[1]BILLED!$O:$O,"Not Found")</f>
        <v>#REF!</v>
      </c>
      <c r="Y1665" s="17" t="e">
        <f>_xlfn.XLOOKUP(Table2[[#This Row],[Adjusted Form '#]],'[2]REJECTED ORDERS'!$D:$D,'[2]REJECTED ORDERS'!$E:$E)</f>
        <v>#N/A</v>
      </c>
      <c r="Z1665" s="1"/>
      <c r="AA1665" s="1"/>
    </row>
    <row r="1666" spans="1:27" ht="15" customHeight="1" x14ac:dyDescent="0.35">
      <c r="A1666" s="4" t="s">
        <v>2472</v>
      </c>
      <c r="B1666" s="1" t="s">
        <v>2951</v>
      </c>
      <c r="C1666" s="11">
        <v>45177</v>
      </c>
      <c r="E1666" s="1" t="s">
        <v>21</v>
      </c>
      <c r="F1666" s="1" t="s">
        <v>6898</v>
      </c>
      <c r="G1666" s="6">
        <f>COUNTIF(F:F,Table2[[#This Row],[Form '#]])</f>
        <v>1</v>
      </c>
      <c r="H1666" s="1" t="s">
        <v>6414</v>
      </c>
      <c r="I1666" s="1" t="s">
        <v>3852</v>
      </c>
      <c r="J1666" s="1" t="s">
        <v>80</v>
      </c>
      <c r="K1666" s="1" t="s">
        <v>4430</v>
      </c>
      <c r="L1666" s="1"/>
      <c r="M1666" s="6" t="str">
        <f>IF(Table2[[#This Row],[Corrected Form '#
 (If Duplicated)]]="",Table2[[#This Row],[Form '#]],Table2[[#This Row],[Corrected Form '#
 (If Duplicated)]])</f>
        <v>7818-30905</v>
      </c>
      <c r="N1666" s="1" t="s">
        <v>49</v>
      </c>
      <c r="O1666" s="6" t="str">
        <f>IF(Table2[[#This Row],[POG CONFIRMATION RECEIPT OF ORDER
(DATE &amp; TIME)]]="","No Confirmation","Received Confirmation")</f>
        <v>No Confirmation</v>
      </c>
      <c r="P1666" s="6">
        <f ca="1">TODAY()-Table2[[#This Row],[DATE SENT TO POG]]</f>
        <v>126</v>
      </c>
      <c r="Q1666" s="6" t="s">
        <v>5803</v>
      </c>
      <c r="R16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6" s="2" t="str">
        <f>_xlfn.XLOOKUP(Table2[[#This Row],[Adjusted Form '#]],'[2]IN PROGRESS'!$D:$D,'[2]IN PROGRESS'!$M:$M,"Not Found")</f>
        <v>Not Found</v>
      </c>
      <c r="U1666" s="2" t="str">
        <f>_xlfn.XLOOKUP(Table2[[#This Row],[Adjusted Form '#]],[1]COMPLETED!$D:$D,[2]COMPLETED!$M:$M,"Not Found")</f>
        <v>Not Found</v>
      </c>
      <c r="V1666" s="17" t="str">
        <f>_xlfn.XLOOKUP(Table2[[#This Row],[Adjusted Form '#]],[2]COMPLETED!$D:$D,[2]COMPLETED!$O:$O,"Not Found")</f>
        <v>Not Found</v>
      </c>
      <c r="W1666" s="2" t="str">
        <f>_xlfn.XLOOKUP(Table2[[#This Row],[Adjusted Form '#]],[2]BILLED!$D:$D,[2]BILLED!$M:$M,"Not Found")</f>
        <v>9400 1361 0605 3422 9491 10</v>
      </c>
      <c r="X1666" s="17" t="e">
        <f>_xlfn.XLOOKUP(Table2[[#This Row],[Adjusted Form '#]],[2]BILLED!$D:$D,[1]BILLED!$O:$O,"Not Found")</f>
        <v>#REF!</v>
      </c>
      <c r="Y1666" s="17" t="e">
        <f>_xlfn.XLOOKUP(Table2[[#This Row],[Adjusted Form '#]],'[2]REJECTED ORDERS'!$D:$D,'[2]REJECTED ORDERS'!$E:$E)</f>
        <v>#N/A</v>
      </c>
      <c r="Z1666" s="1"/>
      <c r="AA1666" s="1"/>
    </row>
    <row r="1667" spans="1:27" ht="15" customHeight="1" x14ac:dyDescent="0.35">
      <c r="A1667" s="4" t="s">
        <v>2474</v>
      </c>
      <c r="B1667" s="1" t="s">
        <v>1117</v>
      </c>
      <c r="C1667" s="11">
        <v>45177</v>
      </c>
      <c r="D1667" s="11" t="s">
        <v>6905</v>
      </c>
      <c r="E1667" s="1" t="s">
        <v>21</v>
      </c>
      <c r="F1667" s="1" t="s">
        <v>6899</v>
      </c>
      <c r="G1667" s="6">
        <f>COUNTIF(F:F,Table2[[#This Row],[Form '#]])</f>
        <v>1</v>
      </c>
      <c r="H1667" s="1" t="s">
        <v>6900</v>
      </c>
      <c r="I1667" s="1" t="s">
        <v>3852</v>
      </c>
      <c r="J1667" s="1" t="s">
        <v>80</v>
      </c>
      <c r="K1667" s="1" t="s">
        <v>4430</v>
      </c>
      <c r="L1667" s="1"/>
      <c r="M1667" s="6" t="str">
        <f>IF(Table2[[#This Row],[Corrected Form '#
 (If Duplicated)]]="",Table2[[#This Row],[Form '#]],Table2[[#This Row],[Corrected Form '#
 (If Duplicated)]])</f>
        <v>7818-27035</v>
      </c>
      <c r="N1667" s="1" t="s">
        <v>104</v>
      </c>
      <c r="O1667" s="6" t="str">
        <f>IF(Table2[[#This Row],[POG CONFIRMATION RECEIPT OF ORDER
(DATE &amp; TIME)]]="","No Confirmation","Received Confirmation")</f>
        <v>Received Confirmation</v>
      </c>
      <c r="P1667" s="6">
        <f ca="1">TODAY()-Table2[[#This Row],[DATE SENT TO POG]]</f>
        <v>126</v>
      </c>
      <c r="Q1667" s="6" t="s">
        <v>5803</v>
      </c>
      <c r="R16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7" s="2" t="str">
        <f>_xlfn.XLOOKUP(Table2[[#This Row],[Adjusted Form '#]],'[2]IN PROGRESS'!$D:$D,'[2]IN PROGRESS'!$M:$M,"Not Found")</f>
        <v>Not Found</v>
      </c>
      <c r="U1667" s="2" t="str">
        <f>_xlfn.XLOOKUP(Table2[[#This Row],[Adjusted Form '#]],[1]COMPLETED!$D:$D,[2]COMPLETED!$M:$M,"Not Found")</f>
        <v>Not Found</v>
      </c>
      <c r="V1667" s="17" t="str">
        <f>_xlfn.XLOOKUP(Table2[[#This Row],[Adjusted Form '#]],[2]COMPLETED!$D:$D,[2]COMPLETED!$O:$O,"Not Found")</f>
        <v>Not Found</v>
      </c>
      <c r="W1667" s="2" t="str">
        <f>_xlfn.XLOOKUP(Table2[[#This Row],[Adjusted Form '#]],[2]BILLED!$D:$D,[2]BILLED!$M:$M,"Not Found")</f>
        <v>9400 1112 0620 9546 1434 08</v>
      </c>
      <c r="X1667" s="17" t="e">
        <f>_xlfn.XLOOKUP(Table2[[#This Row],[Adjusted Form '#]],[2]BILLED!$D:$D,[1]BILLED!$O:$O,"Not Found")</f>
        <v>#REF!</v>
      </c>
      <c r="Y1667" s="17" t="e">
        <f>_xlfn.XLOOKUP(Table2[[#This Row],[Adjusted Form '#]],'[2]REJECTED ORDERS'!$D:$D,'[2]REJECTED ORDERS'!$E:$E)</f>
        <v>#N/A</v>
      </c>
      <c r="Z1667" s="1"/>
      <c r="AA1667" s="1"/>
    </row>
    <row r="1668" spans="1:27" ht="15" customHeight="1" x14ac:dyDescent="0.35">
      <c r="A1668" s="4" t="s">
        <v>2476</v>
      </c>
      <c r="B1668" s="1" t="s">
        <v>1216</v>
      </c>
      <c r="C1668" s="11">
        <v>45177</v>
      </c>
      <c r="D1668" s="11" t="s">
        <v>6906</v>
      </c>
      <c r="E1668" s="1" t="s">
        <v>21</v>
      </c>
      <c r="F1668" s="1" t="s">
        <v>6901</v>
      </c>
      <c r="G1668" s="6">
        <f>COUNTIF(F:F,Table2[[#This Row],[Form '#]])</f>
        <v>1</v>
      </c>
      <c r="H1668" s="1" t="s">
        <v>1829</v>
      </c>
      <c r="I1668" s="1" t="s">
        <v>3852</v>
      </c>
      <c r="J1668" s="1" t="s">
        <v>75</v>
      </c>
      <c r="K1668" s="1" t="s">
        <v>4011</v>
      </c>
      <c r="L1668" s="1"/>
      <c r="M1668" s="6" t="str">
        <f>IF(Table2[[#This Row],[Corrected Form '#
 (If Duplicated)]]="",Table2[[#This Row],[Form '#]],Table2[[#This Row],[Corrected Form '#
 (If Duplicated)]])</f>
        <v>7818-29551</v>
      </c>
      <c r="N1668" s="1" t="s">
        <v>49</v>
      </c>
      <c r="O1668" s="6" t="str">
        <f>IF(Table2[[#This Row],[POG CONFIRMATION RECEIPT OF ORDER
(DATE &amp; TIME)]]="","No Confirmation","Received Confirmation")</f>
        <v>Received Confirmation</v>
      </c>
      <c r="P1668" s="6">
        <f ca="1">TODAY()-Table2[[#This Row],[DATE SENT TO POG]]</f>
        <v>126</v>
      </c>
      <c r="Q1668" s="6" t="s">
        <v>5803</v>
      </c>
      <c r="R16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8" s="2" t="str">
        <f>_xlfn.XLOOKUP(Table2[[#This Row],[Adjusted Form '#]],'[2]IN PROGRESS'!$D:$D,'[2]IN PROGRESS'!$M:$M,"Not Found")</f>
        <v>Not Found</v>
      </c>
      <c r="U1668" s="2" t="str">
        <f>_xlfn.XLOOKUP(Table2[[#This Row],[Adjusted Form '#]],[1]COMPLETED!$D:$D,[2]COMPLETED!$M:$M,"Not Found")</f>
        <v>Not Found</v>
      </c>
      <c r="V1668" s="17" t="str">
        <f>_xlfn.XLOOKUP(Table2[[#This Row],[Adjusted Form '#]],[2]COMPLETED!$D:$D,[2]COMPLETED!$O:$O,"Not Found")</f>
        <v>Not Found</v>
      </c>
      <c r="W1668" s="2" t="str">
        <f>_xlfn.XLOOKUP(Table2[[#This Row],[Adjusted Form '#]],[2]BILLED!$D:$D,[2]BILLED!$M:$M,"Not Found")</f>
        <v>9400 1361 0605 3384 2900 53</v>
      </c>
      <c r="X1668" s="17" t="e">
        <f>_xlfn.XLOOKUP(Table2[[#This Row],[Adjusted Form '#]],[2]BILLED!$D:$D,[1]BILLED!$O:$O,"Not Found")</f>
        <v>#REF!</v>
      </c>
      <c r="Y1668" s="17" t="e">
        <f>_xlfn.XLOOKUP(Table2[[#This Row],[Adjusted Form '#]],'[2]REJECTED ORDERS'!$D:$D,'[2]REJECTED ORDERS'!$E:$E)</f>
        <v>#N/A</v>
      </c>
      <c r="Z1668" s="1"/>
      <c r="AA1668" s="1"/>
    </row>
    <row r="1669" spans="1:27" ht="15" customHeight="1" x14ac:dyDescent="0.35">
      <c r="A1669" s="4" t="s">
        <v>2477</v>
      </c>
      <c r="B1669" s="1" t="s">
        <v>1216</v>
      </c>
      <c r="C1669" s="11">
        <v>45177</v>
      </c>
      <c r="D1669" s="11" t="s">
        <v>6906</v>
      </c>
      <c r="E1669" s="1" t="s">
        <v>21</v>
      </c>
      <c r="F1669" s="1" t="s">
        <v>6902</v>
      </c>
      <c r="G1669" s="6">
        <f>COUNTIF(F:F,Table2[[#This Row],[Form '#]])</f>
        <v>1</v>
      </c>
      <c r="H1669" s="1" t="s">
        <v>6903</v>
      </c>
      <c r="I1669" s="1" t="s">
        <v>758</v>
      </c>
      <c r="J1669" s="1" t="s">
        <v>78</v>
      </c>
      <c r="K1669" s="1" t="s">
        <v>4430</v>
      </c>
      <c r="L1669" s="1"/>
      <c r="M1669" s="6" t="str">
        <f>IF(Table2[[#This Row],[Corrected Form '#
 (If Duplicated)]]="",Table2[[#This Row],[Form '#]],Table2[[#This Row],[Corrected Form '#
 (If Duplicated)]])</f>
        <v>7818-30991</v>
      </c>
      <c r="N1669" s="1" t="s">
        <v>49</v>
      </c>
      <c r="O1669" s="6" t="str">
        <f>IF(Table2[[#This Row],[POG CONFIRMATION RECEIPT OF ORDER
(DATE &amp; TIME)]]="","No Confirmation","Received Confirmation")</f>
        <v>Received Confirmation</v>
      </c>
      <c r="P1669" s="6">
        <f ca="1">TODAY()-Table2[[#This Row],[DATE SENT TO POG]]</f>
        <v>126</v>
      </c>
      <c r="Q1669" s="6" t="s">
        <v>5803</v>
      </c>
      <c r="R16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69" s="2" t="str">
        <f>_xlfn.XLOOKUP(Table2[[#This Row],[Adjusted Form '#]],'[2]IN PROGRESS'!$D:$D,'[2]IN PROGRESS'!$M:$M,"Not Found")</f>
        <v>Not Found</v>
      </c>
      <c r="U1669" s="2" t="str">
        <f>_xlfn.XLOOKUP(Table2[[#This Row],[Adjusted Form '#]],[1]COMPLETED!$D:$D,[2]COMPLETED!$M:$M,"Not Found")</f>
        <v>Not Found</v>
      </c>
      <c r="V1669" s="17" t="str">
        <f>_xlfn.XLOOKUP(Table2[[#This Row],[Adjusted Form '#]],[2]COMPLETED!$D:$D,[2]COMPLETED!$O:$O,"Not Found")</f>
        <v>Not Found</v>
      </c>
      <c r="W1669" s="2" t="str">
        <f>_xlfn.XLOOKUP(Table2[[#This Row],[Adjusted Form '#]],[2]BILLED!$D:$D,[2]BILLED!$M:$M,"Not Found")</f>
        <v>9400 1361 0605 3361 6341 77</v>
      </c>
      <c r="X1669" s="17" t="e">
        <f>_xlfn.XLOOKUP(Table2[[#This Row],[Adjusted Form '#]],[2]BILLED!$D:$D,[1]BILLED!$O:$O,"Not Found")</f>
        <v>#REF!</v>
      </c>
      <c r="Y1669" s="17" t="e">
        <f>_xlfn.XLOOKUP(Table2[[#This Row],[Adjusted Form '#]],'[2]REJECTED ORDERS'!$D:$D,'[2]REJECTED ORDERS'!$E:$E)</f>
        <v>#N/A</v>
      </c>
      <c r="Z1669" s="1"/>
      <c r="AA1669" s="1"/>
    </row>
    <row r="1670" spans="1:27" ht="15" customHeight="1" x14ac:dyDescent="0.35">
      <c r="A1670" s="4" t="s">
        <v>2478</v>
      </c>
      <c r="B1670" s="1" t="s">
        <v>1216</v>
      </c>
      <c r="C1670" s="11">
        <v>45177</v>
      </c>
      <c r="D1670" s="11" t="s">
        <v>6906</v>
      </c>
      <c r="E1670" s="1" t="s">
        <v>21</v>
      </c>
      <c r="F1670" s="1" t="s">
        <v>6904</v>
      </c>
      <c r="G1670" s="6">
        <f>COUNTIF(F:F,Table2[[#This Row],[Form '#]])</f>
        <v>1</v>
      </c>
      <c r="H1670" s="1" t="s">
        <v>379</v>
      </c>
      <c r="I1670" s="1" t="s">
        <v>3852</v>
      </c>
      <c r="J1670" s="1" t="s">
        <v>3891</v>
      </c>
      <c r="K1670" s="1" t="s">
        <v>4430</v>
      </c>
      <c r="L1670" s="1"/>
      <c r="M1670" s="6" t="str">
        <f>IF(Table2[[#This Row],[Corrected Form '#
 (If Duplicated)]]="",Table2[[#This Row],[Form '#]],Table2[[#This Row],[Corrected Form '#
 (If Duplicated)]])</f>
        <v>7818-30993</v>
      </c>
      <c r="N1670" s="1" t="s">
        <v>49</v>
      </c>
      <c r="O1670" s="6" t="str">
        <f>IF(Table2[[#This Row],[POG CONFIRMATION RECEIPT OF ORDER
(DATE &amp; TIME)]]="","No Confirmation","Received Confirmation")</f>
        <v>Received Confirmation</v>
      </c>
      <c r="P1670" s="6">
        <f ca="1">TODAY()-Table2[[#This Row],[DATE SENT TO POG]]</f>
        <v>126</v>
      </c>
      <c r="Q1670" s="6" t="s">
        <v>5803</v>
      </c>
      <c r="R16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0" s="2" t="str">
        <f>_xlfn.XLOOKUP(Table2[[#This Row],[Adjusted Form '#]],'[2]IN PROGRESS'!$D:$D,'[2]IN PROGRESS'!$M:$M,"Not Found")</f>
        <v>Not Found</v>
      </c>
      <c r="U1670" s="2" t="str">
        <f>_xlfn.XLOOKUP(Table2[[#This Row],[Adjusted Form '#]],[1]COMPLETED!$D:$D,[2]COMPLETED!$M:$M,"Not Found")</f>
        <v>Not Found</v>
      </c>
      <c r="V1670" s="17" t="str">
        <f>_xlfn.XLOOKUP(Table2[[#This Row],[Adjusted Form '#]],[2]COMPLETED!$D:$D,[2]COMPLETED!$O:$O,"Not Found")</f>
        <v>Not Found</v>
      </c>
      <c r="W1670" s="2" t="str">
        <f>_xlfn.XLOOKUP(Table2[[#This Row],[Adjusted Form '#]],[2]BILLED!$D:$D,[2]BILLED!$M:$M,"Not Found")</f>
        <v xml:space="preserve">9400 1112 0620 9568 5688 83 </v>
      </c>
      <c r="X1670" s="17" t="e">
        <f>_xlfn.XLOOKUP(Table2[[#This Row],[Adjusted Form '#]],[2]BILLED!$D:$D,[1]BILLED!$O:$O,"Not Found")</f>
        <v>#REF!</v>
      </c>
      <c r="Y1670" s="17" t="e">
        <f>_xlfn.XLOOKUP(Table2[[#This Row],[Adjusted Form '#]],'[2]REJECTED ORDERS'!$D:$D,'[2]REJECTED ORDERS'!$E:$E)</f>
        <v>#N/A</v>
      </c>
      <c r="Z1670" s="1"/>
      <c r="AA1670" s="1"/>
    </row>
    <row r="1671" spans="1:27" ht="15" customHeight="1" x14ac:dyDescent="0.35">
      <c r="A1671" s="4" t="s">
        <v>2480</v>
      </c>
      <c r="B1671" s="1" t="s">
        <v>3643</v>
      </c>
      <c r="C1671" s="11">
        <v>45180</v>
      </c>
      <c r="D1671" s="11" t="s">
        <v>6934</v>
      </c>
      <c r="E1671" s="1" t="s">
        <v>73</v>
      </c>
      <c r="F1671" s="1" t="s">
        <v>6907</v>
      </c>
      <c r="G1671" s="6">
        <f>COUNTIF(F:F,Table2[[#This Row],[Form '#]])</f>
        <v>1</v>
      </c>
      <c r="H1671" s="1" t="s">
        <v>6908</v>
      </c>
      <c r="I1671" s="1" t="s">
        <v>3852</v>
      </c>
      <c r="J1671" s="1" t="s">
        <v>80</v>
      </c>
      <c r="K1671" s="1" t="s">
        <v>4430</v>
      </c>
      <c r="L1671" s="1"/>
      <c r="M1671" s="6" t="str">
        <f>IF(Table2[[#This Row],[Corrected Form '#
 (If Duplicated)]]="",Table2[[#This Row],[Form '#]],Table2[[#This Row],[Corrected Form '#
 (If Duplicated)]])</f>
        <v>7823-03227</v>
      </c>
      <c r="N1671" s="1" t="s">
        <v>49</v>
      </c>
      <c r="O1671" s="6" t="str">
        <f>IF(Table2[[#This Row],[POG CONFIRMATION RECEIPT OF ORDER
(DATE &amp; TIME)]]="","No Confirmation","Received Confirmation")</f>
        <v>Received Confirmation</v>
      </c>
      <c r="P1671" s="6">
        <f ca="1">TODAY()-Table2[[#This Row],[DATE SENT TO POG]]</f>
        <v>123</v>
      </c>
      <c r="Q1671" s="6" t="s">
        <v>5803</v>
      </c>
      <c r="R16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1" s="2" t="str">
        <f>_xlfn.XLOOKUP(Table2[[#This Row],[Adjusted Form '#]],'[2]IN PROGRESS'!$D:$D,'[2]IN PROGRESS'!$M:$M,"Not Found")</f>
        <v>Not Found</v>
      </c>
      <c r="U1671" s="2" t="str">
        <f>_xlfn.XLOOKUP(Table2[[#This Row],[Adjusted Form '#]],[1]COMPLETED!$D:$D,[2]COMPLETED!$M:$M,"Not Found")</f>
        <v>Not Found</v>
      </c>
      <c r="V1671" s="17" t="str">
        <f>_xlfn.XLOOKUP(Table2[[#This Row],[Adjusted Form '#]],[2]COMPLETED!$D:$D,[2]COMPLETED!$O:$O,"Not Found")</f>
        <v>Not Found</v>
      </c>
      <c r="W1671" s="2" t="str">
        <f>_xlfn.XLOOKUP(Table2[[#This Row],[Adjusted Form '#]],[2]BILLED!$D:$D,[2]BILLED!$M:$M,"Not Found")</f>
        <v>9400 1361 0605 3383 3280 47</v>
      </c>
      <c r="X1671" s="17" t="e">
        <f>_xlfn.XLOOKUP(Table2[[#This Row],[Adjusted Form '#]],[2]BILLED!$D:$D,[1]BILLED!$O:$O,"Not Found")</f>
        <v>#REF!</v>
      </c>
      <c r="Y1671" s="17" t="e">
        <f>_xlfn.XLOOKUP(Table2[[#This Row],[Adjusted Form '#]],'[2]REJECTED ORDERS'!$D:$D,'[2]REJECTED ORDERS'!$E:$E)</f>
        <v>#N/A</v>
      </c>
      <c r="Z1671" s="1"/>
      <c r="AA1671" s="1"/>
    </row>
    <row r="1672" spans="1:27" ht="15" customHeight="1" x14ac:dyDescent="0.35">
      <c r="A1672" s="4" t="s">
        <v>2482</v>
      </c>
      <c r="B1672" s="1" t="s">
        <v>6909</v>
      </c>
      <c r="C1672" s="11">
        <v>45180</v>
      </c>
      <c r="D1672" s="11" t="s">
        <v>6934</v>
      </c>
      <c r="E1672" s="1" t="s">
        <v>73</v>
      </c>
      <c r="F1672" s="1" t="s">
        <v>6910</v>
      </c>
      <c r="G1672" s="6">
        <f>COUNTIF(F:F,Table2[[#This Row],[Form '#]])</f>
        <v>1</v>
      </c>
      <c r="H1672" s="1" t="s">
        <v>6911</v>
      </c>
      <c r="I1672" s="1" t="s">
        <v>3852</v>
      </c>
      <c r="J1672" s="1" t="s">
        <v>80</v>
      </c>
      <c r="K1672" s="1" t="s">
        <v>4430</v>
      </c>
      <c r="L1672" s="1"/>
      <c r="M1672" s="6" t="str">
        <f>IF(Table2[[#This Row],[Corrected Form '#
 (If Duplicated)]]="",Table2[[#This Row],[Form '#]],Table2[[#This Row],[Corrected Form '#
 (If Duplicated)]])</f>
        <v>7823-03226</v>
      </c>
      <c r="N1672" s="1" t="s">
        <v>49</v>
      </c>
      <c r="O1672" s="6" t="str">
        <f>IF(Table2[[#This Row],[POG CONFIRMATION RECEIPT OF ORDER
(DATE &amp; TIME)]]="","No Confirmation","Received Confirmation")</f>
        <v>Received Confirmation</v>
      </c>
      <c r="P1672" s="6">
        <f ca="1">TODAY()-Table2[[#This Row],[DATE SENT TO POG]]</f>
        <v>123</v>
      </c>
      <c r="Q1672" s="6" t="s">
        <v>5803</v>
      </c>
      <c r="R16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2" s="2" t="str">
        <f>_xlfn.XLOOKUP(Table2[[#This Row],[Adjusted Form '#]],'[2]IN PROGRESS'!$D:$D,'[2]IN PROGRESS'!$M:$M,"Not Found")</f>
        <v>Not Found</v>
      </c>
      <c r="U1672" s="2" t="str">
        <f>_xlfn.XLOOKUP(Table2[[#This Row],[Adjusted Form '#]],[1]COMPLETED!$D:$D,[2]COMPLETED!$M:$M,"Not Found")</f>
        <v>Not Found</v>
      </c>
      <c r="V1672" s="17" t="str">
        <f>_xlfn.XLOOKUP(Table2[[#This Row],[Adjusted Form '#]],[2]COMPLETED!$D:$D,[2]COMPLETED!$O:$O,"Not Found")</f>
        <v>Not Found</v>
      </c>
      <c r="W1672" s="2" t="str">
        <f>_xlfn.XLOOKUP(Table2[[#This Row],[Adjusted Form '#]],[2]BILLED!$D:$D,[2]BILLED!$M:$M,"Not Found")</f>
        <v>9400 1361 0605 3383 3442 83</v>
      </c>
      <c r="X1672" s="17" t="e">
        <f>_xlfn.XLOOKUP(Table2[[#This Row],[Adjusted Form '#]],[2]BILLED!$D:$D,[1]BILLED!$O:$O,"Not Found")</f>
        <v>#REF!</v>
      </c>
      <c r="Y1672" s="17" t="e">
        <f>_xlfn.XLOOKUP(Table2[[#This Row],[Adjusted Form '#]],'[2]REJECTED ORDERS'!$D:$D,'[2]REJECTED ORDERS'!$E:$E)</f>
        <v>#N/A</v>
      </c>
      <c r="Z1672" s="1"/>
      <c r="AA1672" s="1"/>
    </row>
    <row r="1673" spans="1:27" ht="15" customHeight="1" x14ac:dyDescent="0.35">
      <c r="A1673" s="4" t="s">
        <v>2483</v>
      </c>
      <c r="B1673" s="1" t="s">
        <v>1663</v>
      </c>
      <c r="C1673" s="11">
        <v>45180</v>
      </c>
      <c r="D1673" s="11" t="s">
        <v>6915</v>
      </c>
      <c r="E1673" s="1" t="s">
        <v>191</v>
      </c>
      <c r="F1673" s="1" t="s">
        <v>6916</v>
      </c>
      <c r="G1673" s="6">
        <f>COUNTIF(F:F,Table2[[#This Row],[Form '#]])</f>
        <v>1</v>
      </c>
      <c r="H1673" s="1" t="s">
        <v>6928</v>
      </c>
      <c r="I1673" s="1" t="s">
        <v>3852</v>
      </c>
      <c r="J1673" s="1" t="s">
        <v>80</v>
      </c>
      <c r="K1673" s="1" t="s">
        <v>4011</v>
      </c>
      <c r="L1673" s="1"/>
      <c r="M1673" s="6" t="str">
        <f>IF(Table2[[#This Row],[Corrected Form '#
 (If Duplicated)]]="",Table2[[#This Row],[Form '#]],Table2[[#This Row],[Corrected Form '#
 (If Duplicated)]])</f>
        <v>7812-05001</v>
      </c>
      <c r="N1673" s="1" t="s">
        <v>49</v>
      </c>
      <c r="O1673" s="6" t="str">
        <f>IF(Table2[[#This Row],[POG CONFIRMATION RECEIPT OF ORDER
(DATE &amp; TIME)]]="","No Confirmation","Received Confirmation")</f>
        <v>Received Confirmation</v>
      </c>
      <c r="P1673" s="6">
        <f ca="1">TODAY()-Table2[[#This Row],[DATE SENT TO POG]]</f>
        <v>123</v>
      </c>
      <c r="Q1673" s="6" t="s">
        <v>5803</v>
      </c>
      <c r="R16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3" s="2" t="str">
        <f>_xlfn.XLOOKUP(Table2[[#This Row],[Adjusted Form '#]],'[2]IN PROGRESS'!$D:$D,'[2]IN PROGRESS'!$M:$M,"Not Found")</f>
        <v>Not Found</v>
      </c>
      <c r="U1673" s="2" t="str">
        <f>_xlfn.XLOOKUP(Table2[[#This Row],[Adjusted Form '#]],[1]COMPLETED!$D:$D,[2]COMPLETED!$M:$M,"Not Found")</f>
        <v>Not Found</v>
      </c>
      <c r="V1673" s="17" t="str">
        <f>_xlfn.XLOOKUP(Table2[[#This Row],[Adjusted Form '#]],[2]COMPLETED!$D:$D,[2]COMPLETED!$O:$O,"Not Found")</f>
        <v>Not Found</v>
      </c>
      <c r="W1673" s="2" t="str">
        <f>_xlfn.XLOOKUP(Table2[[#This Row],[Adjusted Form '#]],[2]BILLED!$D:$D,[2]BILLED!$M:$M,"Not Found")</f>
        <v>9400 1112 0620 9925 8359 55</v>
      </c>
      <c r="X1673" s="17" t="e">
        <f>_xlfn.XLOOKUP(Table2[[#This Row],[Adjusted Form '#]],[2]BILLED!$D:$D,[1]BILLED!$O:$O,"Not Found")</f>
        <v>#REF!</v>
      </c>
      <c r="Y1673" s="17" t="e">
        <f>_xlfn.XLOOKUP(Table2[[#This Row],[Adjusted Form '#]],'[2]REJECTED ORDERS'!$D:$D,'[2]REJECTED ORDERS'!$E:$E)</f>
        <v>#N/A</v>
      </c>
      <c r="Z1673" s="1"/>
      <c r="AA1673" s="1"/>
    </row>
    <row r="1674" spans="1:27" ht="15" customHeight="1" x14ac:dyDescent="0.35">
      <c r="A1674" s="4" t="s">
        <v>2485</v>
      </c>
      <c r="B1674" s="1" t="s">
        <v>1663</v>
      </c>
      <c r="C1674" s="11">
        <v>45180</v>
      </c>
      <c r="D1674" s="11" t="s">
        <v>6915</v>
      </c>
      <c r="E1674" s="1" t="s">
        <v>191</v>
      </c>
      <c r="F1674" s="1" t="s">
        <v>6917</v>
      </c>
      <c r="G1674" s="6">
        <f>COUNTIF(F:F,Table2[[#This Row],[Form '#]])</f>
        <v>1</v>
      </c>
      <c r="H1674" s="1" t="s">
        <v>6929</v>
      </c>
      <c r="I1674" s="1" t="s">
        <v>3852</v>
      </c>
      <c r="J1674" s="1" t="s">
        <v>80</v>
      </c>
      <c r="K1674" s="1" t="s">
        <v>3853</v>
      </c>
      <c r="L1674" s="1"/>
      <c r="M1674" s="6" t="str">
        <f>IF(Table2[[#This Row],[Corrected Form '#
 (If Duplicated)]]="",Table2[[#This Row],[Form '#]],Table2[[#This Row],[Corrected Form '#
 (If Duplicated)]])</f>
        <v>7812-04509</v>
      </c>
      <c r="N1674" s="1" t="s">
        <v>49</v>
      </c>
      <c r="O1674" s="6" t="str">
        <f>IF(Table2[[#This Row],[POG CONFIRMATION RECEIPT OF ORDER
(DATE &amp; TIME)]]="","No Confirmation","Received Confirmation")</f>
        <v>Received Confirmation</v>
      </c>
      <c r="P1674" s="6">
        <f ca="1">TODAY()-Table2[[#This Row],[DATE SENT TO POG]]</f>
        <v>123</v>
      </c>
      <c r="Q1674" s="6" t="s">
        <v>5803</v>
      </c>
      <c r="R16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4" s="2" t="str">
        <f>_xlfn.XLOOKUP(Table2[[#This Row],[Adjusted Form '#]],'[2]IN PROGRESS'!$D:$D,'[2]IN PROGRESS'!$M:$M,"Not Found")</f>
        <v>Not Found</v>
      </c>
      <c r="U1674" s="2" t="str">
        <f>_xlfn.XLOOKUP(Table2[[#This Row],[Adjusted Form '#]],[1]COMPLETED!$D:$D,[2]COMPLETED!$M:$M,"Not Found")</f>
        <v>Not Found</v>
      </c>
      <c r="V1674" s="17" t="str">
        <f>_xlfn.XLOOKUP(Table2[[#This Row],[Adjusted Form '#]],[2]COMPLETED!$D:$D,[2]COMPLETED!$O:$O,"Not Found")</f>
        <v>Not Found</v>
      </c>
      <c r="W1674" s="2" t="str">
        <f>_xlfn.XLOOKUP(Table2[[#This Row],[Adjusted Form '#]],[2]BILLED!$D:$D,[2]BILLED!$M:$M,"Not Found")</f>
        <v>9400 1361 0605 3394 7155 22</v>
      </c>
      <c r="X1674" s="17" t="e">
        <f>_xlfn.XLOOKUP(Table2[[#This Row],[Adjusted Form '#]],[2]BILLED!$D:$D,[1]BILLED!$O:$O,"Not Found")</f>
        <v>#REF!</v>
      </c>
      <c r="Y1674" s="17" t="e">
        <f>_xlfn.XLOOKUP(Table2[[#This Row],[Adjusted Form '#]],'[2]REJECTED ORDERS'!$D:$D,'[2]REJECTED ORDERS'!$E:$E)</f>
        <v>#N/A</v>
      </c>
      <c r="Z1674" s="1"/>
      <c r="AA1674" s="1"/>
    </row>
    <row r="1675" spans="1:27" ht="15" customHeight="1" x14ac:dyDescent="0.35">
      <c r="A1675" s="4" t="s">
        <v>2486</v>
      </c>
      <c r="B1675" s="1" t="s">
        <v>1663</v>
      </c>
      <c r="C1675" s="11">
        <v>45180</v>
      </c>
      <c r="D1675" s="11" t="s">
        <v>6915</v>
      </c>
      <c r="E1675" s="1" t="s">
        <v>191</v>
      </c>
      <c r="F1675" s="1" t="s">
        <v>6918</v>
      </c>
      <c r="G1675" s="6">
        <f>COUNTIF(F:F,Table2[[#This Row],[Form '#]])</f>
        <v>1</v>
      </c>
      <c r="H1675" s="1" t="s">
        <v>6930</v>
      </c>
      <c r="I1675" s="1" t="s">
        <v>3852</v>
      </c>
      <c r="J1675" s="1" t="s">
        <v>80</v>
      </c>
      <c r="K1675" s="1" t="s">
        <v>3853</v>
      </c>
      <c r="L1675" s="1"/>
      <c r="M1675" s="6" t="str">
        <f>IF(Table2[[#This Row],[Corrected Form '#
 (If Duplicated)]]="",Table2[[#This Row],[Form '#]],Table2[[#This Row],[Corrected Form '#
 (If Duplicated)]])</f>
        <v>7812-04511</v>
      </c>
      <c r="N1675" s="1" t="s">
        <v>49</v>
      </c>
      <c r="O1675" s="6" t="str">
        <f>IF(Table2[[#This Row],[POG CONFIRMATION RECEIPT OF ORDER
(DATE &amp; TIME)]]="","No Confirmation","Received Confirmation")</f>
        <v>Received Confirmation</v>
      </c>
      <c r="P1675" s="6">
        <f ca="1">TODAY()-Table2[[#This Row],[DATE SENT TO POG]]</f>
        <v>123</v>
      </c>
      <c r="Q1675" s="6" t="s">
        <v>5803</v>
      </c>
      <c r="R16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5" s="2" t="str">
        <f>_xlfn.XLOOKUP(Table2[[#This Row],[Adjusted Form '#]],'[2]IN PROGRESS'!$D:$D,'[2]IN PROGRESS'!$M:$M,"Not Found")</f>
        <v>Not Found</v>
      </c>
      <c r="U1675" s="2" t="str">
        <f>_xlfn.XLOOKUP(Table2[[#This Row],[Adjusted Form '#]],[1]COMPLETED!$D:$D,[2]COMPLETED!$M:$M,"Not Found")</f>
        <v>Not Found</v>
      </c>
      <c r="V1675" s="17" t="str">
        <f>_xlfn.XLOOKUP(Table2[[#This Row],[Adjusted Form '#]],[2]COMPLETED!$D:$D,[2]COMPLETED!$O:$O,"Not Found")</f>
        <v>Not Found</v>
      </c>
      <c r="W1675" s="2" t="str">
        <f>_xlfn.XLOOKUP(Table2[[#This Row],[Adjusted Form '#]],[2]BILLED!$D:$D,[2]BILLED!$M:$M,"Not Found")</f>
        <v>9400 1361 0605 3384 3178 97</v>
      </c>
      <c r="X1675" s="17" t="e">
        <f>_xlfn.XLOOKUP(Table2[[#This Row],[Adjusted Form '#]],[2]BILLED!$D:$D,[1]BILLED!$O:$O,"Not Found")</f>
        <v>#REF!</v>
      </c>
      <c r="Y1675" s="17" t="e">
        <f>_xlfn.XLOOKUP(Table2[[#This Row],[Adjusted Form '#]],'[2]REJECTED ORDERS'!$D:$D,'[2]REJECTED ORDERS'!$E:$E)</f>
        <v>#N/A</v>
      </c>
      <c r="Z1675" s="1"/>
      <c r="AA1675" s="1"/>
    </row>
    <row r="1676" spans="1:27" ht="15" customHeight="1" x14ac:dyDescent="0.35">
      <c r="A1676" s="4" t="s">
        <v>2488</v>
      </c>
      <c r="B1676" s="1" t="s">
        <v>1737</v>
      </c>
      <c r="C1676" s="11">
        <v>45180</v>
      </c>
      <c r="D1676" s="11" t="s">
        <v>6919</v>
      </c>
      <c r="E1676" s="1" t="s">
        <v>14</v>
      </c>
      <c r="F1676" s="1" t="s">
        <v>6920</v>
      </c>
      <c r="G1676" s="6">
        <f>COUNTIF(F:F,Table2[[#This Row],[Form '#]])</f>
        <v>1</v>
      </c>
      <c r="H1676" s="1" t="s">
        <v>6931</v>
      </c>
      <c r="I1676" s="1" t="s">
        <v>3852</v>
      </c>
      <c r="J1676" s="1" t="s">
        <v>75</v>
      </c>
      <c r="K1676" s="1" t="s">
        <v>3853</v>
      </c>
      <c r="L1676" s="1"/>
      <c r="M1676" s="6" t="str">
        <f>IF(Table2[[#This Row],[Corrected Form '#
 (If Duplicated)]]="",Table2[[#This Row],[Form '#]],Table2[[#This Row],[Corrected Form '#
 (If Duplicated)]])</f>
        <v>7810-02228</v>
      </c>
      <c r="N1676" s="1" t="s">
        <v>49</v>
      </c>
      <c r="O1676" s="6" t="str">
        <f>IF(Table2[[#This Row],[POG CONFIRMATION RECEIPT OF ORDER
(DATE &amp; TIME)]]="","No Confirmation","Received Confirmation")</f>
        <v>Received Confirmation</v>
      </c>
      <c r="P1676" s="6">
        <f ca="1">TODAY()-Table2[[#This Row],[DATE SENT TO POG]]</f>
        <v>123</v>
      </c>
      <c r="Q1676" s="6" t="s">
        <v>5803</v>
      </c>
      <c r="R16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6" s="2" t="str">
        <f>_xlfn.XLOOKUP(Table2[[#This Row],[Adjusted Form '#]],'[2]IN PROGRESS'!$D:$D,'[2]IN PROGRESS'!$M:$M,"Not Found")</f>
        <v>Not Found</v>
      </c>
      <c r="U1676" s="2" t="str">
        <f>_xlfn.XLOOKUP(Table2[[#This Row],[Adjusted Form '#]],[1]COMPLETED!$D:$D,[2]COMPLETED!$M:$M,"Not Found")</f>
        <v>Not Found</v>
      </c>
      <c r="V1676" s="17" t="str">
        <f>_xlfn.XLOOKUP(Table2[[#This Row],[Adjusted Form '#]],[2]COMPLETED!$D:$D,[2]COMPLETED!$O:$O,"Not Found")</f>
        <v>Not Found</v>
      </c>
      <c r="W1676" s="2" t="str">
        <f>_xlfn.XLOOKUP(Table2[[#This Row],[Adjusted Form '#]],[2]BILLED!$D:$D,[2]BILLED!$M:$M,"Not Found")</f>
        <v>9400 1361 0605 3384 3122 36</v>
      </c>
      <c r="X1676" s="17" t="e">
        <f>_xlfn.XLOOKUP(Table2[[#This Row],[Adjusted Form '#]],[2]BILLED!$D:$D,[1]BILLED!$O:$O,"Not Found")</f>
        <v>#REF!</v>
      </c>
      <c r="Y1676" s="17" t="e">
        <f>_xlfn.XLOOKUP(Table2[[#This Row],[Adjusted Form '#]],'[2]REJECTED ORDERS'!$D:$D,'[2]REJECTED ORDERS'!$E:$E)</f>
        <v>#N/A</v>
      </c>
      <c r="Z1676" s="1"/>
      <c r="AA1676" s="1"/>
    </row>
    <row r="1677" spans="1:27" ht="15" customHeight="1" x14ac:dyDescent="0.35">
      <c r="A1677" s="4" t="s">
        <v>2491</v>
      </c>
      <c r="B1677" s="1" t="s">
        <v>2348</v>
      </c>
      <c r="C1677" s="11">
        <v>45180</v>
      </c>
      <c r="D1677" s="11" t="s">
        <v>6919</v>
      </c>
      <c r="E1677" s="1" t="s">
        <v>21</v>
      </c>
      <c r="F1677" s="1" t="s">
        <v>6921</v>
      </c>
      <c r="G1677" s="6">
        <f>COUNTIF(F:F,Table2[[#This Row],[Form '#]])</f>
        <v>1</v>
      </c>
      <c r="H1677" s="1" t="s">
        <v>379</v>
      </c>
      <c r="I1677" s="1" t="s">
        <v>3852</v>
      </c>
      <c r="J1677" s="1" t="s">
        <v>3891</v>
      </c>
      <c r="K1677" s="1" t="s">
        <v>3853</v>
      </c>
      <c r="L1677" s="1"/>
      <c r="M1677" s="6" t="str">
        <f>IF(Table2[[#This Row],[Corrected Form '#
 (If Duplicated)]]="",Table2[[#This Row],[Form '#]],Table2[[#This Row],[Corrected Form '#
 (If Duplicated)]])</f>
        <v>7818-32204</v>
      </c>
      <c r="N1677" s="1" t="s">
        <v>49</v>
      </c>
      <c r="O1677" s="6" t="str">
        <f>IF(Table2[[#This Row],[POG CONFIRMATION RECEIPT OF ORDER
(DATE &amp; TIME)]]="","No Confirmation","Received Confirmation")</f>
        <v>Received Confirmation</v>
      </c>
      <c r="P1677" s="6">
        <f ca="1">TODAY()-Table2[[#This Row],[DATE SENT TO POG]]</f>
        <v>123</v>
      </c>
      <c r="Q1677" s="6" t="s">
        <v>5803</v>
      </c>
      <c r="R16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7" s="2" t="str">
        <f>_xlfn.XLOOKUP(Table2[[#This Row],[Adjusted Form '#]],'[2]IN PROGRESS'!$D:$D,'[2]IN PROGRESS'!$M:$M,"Not Found")</f>
        <v>Not Found</v>
      </c>
      <c r="U1677" s="2" t="str">
        <f>_xlfn.XLOOKUP(Table2[[#This Row],[Adjusted Form '#]],[1]COMPLETED!$D:$D,[2]COMPLETED!$M:$M,"Not Found")</f>
        <v>Not Found</v>
      </c>
      <c r="V1677" s="17" t="str">
        <f>_xlfn.XLOOKUP(Table2[[#This Row],[Adjusted Form '#]],[2]COMPLETED!$D:$D,[2]COMPLETED!$O:$O,"Not Found")</f>
        <v>Not Found</v>
      </c>
      <c r="W1677" s="2" t="str">
        <f>_xlfn.XLOOKUP(Table2[[#This Row],[Adjusted Form '#]],[2]BILLED!$D:$D,[2]BILLED!$M:$M,"Not Found")</f>
        <v>9400 1112 0620 9549 1961 97</v>
      </c>
      <c r="X1677" s="17" t="e">
        <f>_xlfn.XLOOKUP(Table2[[#This Row],[Adjusted Form '#]],[2]BILLED!$D:$D,[1]BILLED!$O:$O,"Not Found")</f>
        <v>#REF!</v>
      </c>
      <c r="Y1677" s="17" t="e">
        <f>_xlfn.XLOOKUP(Table2[[#This Row],[Adjusted Form '#]],'[2]REJECTED ORDERS'!$D:$D,'[2]REJECTED ORDERS'!$E:$E)</f>
        <v>#N/A</v>
      </c>
      <c r="Z1677" s="1"/>
      <c r="AA1677" s="1"/>
    </row>
    <row r="1678" spans="1:27" ht="15" customHeight="1" x14ac:dyDescent="0.35">
      <c r="A1678" s="4" t="s">
        <v>2492</v>
      </c>
      <c r="B1678" s="1" t="s">
        <v>2720</v>
      </c>
      <c r="C1678" s="11">
        <v>45181</v>
      </c>
      <c r="D1678" s="11" t="s">
        <v>6922</v>
      </c>
      <c r="E1678" s="1" t="s">
        <v>21</v>
      </c>
      <c r="F1678" s="1" t="s">
        <v>6923</v>
      </c>
      <c r="G1678" s="6">
        <f>COUNTIF(F:F,Table2[[#This Row],[Form '#]])</f>
        <v>1</v>
      </c>
      <c r="H1678" s="1" t="s">
        <v>877</v>
      </c>
      <c r="I1678" s="1" t="s">
        <v>3864</v>
      </c>
      <c r="J1678" s="1" t="s">
        <v>78</v>
      </c>
      <c r="K1678" s="1" t="s">
        <v>3879</v>
      </c>
      <c r="L1678" s="1"/>
      <c r="M1678" s="6" t="str">
        <f>IF(Table2[[#This Row],[Corrected Form '#
 (If Duplicated)]]="",Table2[[#This Row],[Form '#]],Table2[[#This Row],[Corrected Form '#
 (If Duplicated)]])</f>
        <v>7818-25645</v>
      </c>
      <c r="N1678" s="1" t="s">
        <v>49</v>
      </c>
      <c r="O1678" s="6" t="str">
        <f>IF(Table2[[#This Row],[POG CONFIRMATION RECEIPT OF ORDER
(DATE &amp; TIME)]]="","No Confirmation","Received Confirmation")</f>
        <v>Received Confirmation</v>
      </c>
      <c r="P1678" s="6">
        <f ca="1">TODAY()-Table2[[#This Row],[DATE SENT TO POG]]</f>
        <v>122</v>
      </c>
      <c r="Q1678" s="6" t="s">
        <v>5803</v>
      </c>
      <c r="R16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8" s="2" t="str">
        <f>_xlfn.XLOOKUP(Table2[[#This Row],[Adjusted Form '#]],'[2]IN PROGRESS'!$D:$D,'[2]IN PROGRESS'!$M:$M,"Not Found")</f>
        <v>Not Found</v>
      </c>
      <c r="U1678" s="2" t="str">
        <f>_xlfn.XLOOKUP(Table2[[#This Row],[Adjusted Form '#]],[1]COMPLETED!$D:$D,[2]COMPLETED!$M:$M,"Not Found")</f>
        <v>Not Found</v>
      </c>
      <c r="V1678" s="17" t="str">
        <f>_xlfn.XLOOKUP(Table2[[#This Row],[Adjusted Form '#]],[2]COMPLETED!$D:$D,[2]COMPLETED!$O:$O,"Not Found")</f>
        <v>Not Found</v>
      </c>
      <c r="W1678" s="2" t="str">
        <f>_xlfn.XLOOKUP(Table2[[#This Row],[Adjusted Form '#]],[2]BILLED!$D:$D,[2]BILLED!$M:$M,"Not Found")</f>
        <v>9400 1361 0605 3384 3006 53</v>
      </c>
      <c r="X1678" s="17" t="e">
        <f>_xlfn.XLOOKUP(Table2[[#This Row],[Adjusted Form '#]],[2]BILLED!$D:$D,[1]BILLED!$O:$O,"Not Found")</f>
        <v>#REF!</v>
      </c>
      <c r="Y1678" s="17" t="e">
        <f>_xlfn.XLOOKUP(Table2[[#This Row],[Adjusted Form '#]],'[2]REJECTED ORDERS'!$D:$D,'[2]REJECTED ORDERS'!$E:$E)</f>
        <v>#N/A</v>
      </c>
      <c r="Z1678" s="1"/>
      <c r="AA1678" s="1"/>
    </row>
    <row r="1679" spans="1:27" ht="15" customHeight="1" x14ac:dyDescent="0.35">
      <c r="A1679" s="4" t="s">
        <v>2493</v>
      </c>
      <c r="B1679" s="1" t="s">
        <v>1378</v>
      </c>
      <c r="C1679" s="11">
        <v>45181</v>
      </c>
      <c r="D1679" s="11" t="s">
        <v>6924</v>
      </c>
      <c r="E1679" s="1" t="s">
        <v>191</v>
      </c>
      <c r="F1679" s="1" t="s">
        <v>6925</v>
      </c>
      <c r="G1679" s="6">
        <f>COUNTIF(F:F,Table2[[#This Row],[Form '#]])</f>
        <v>1</v>
      </c>
      <c r="H1679" s="1" t="s">
        <v>6932</v>
      </c>
      <c r="I1679" s="1" t="s">
        <v>177</v>
      </c>
      <c r="J1679" s="1" t="s">
        <v>75</v>
      </c>
      <c r="K1679" s="1" t="s">
        <v>3853</v>
      </c>
      <c r="L1679" s="1"/>
      <c r="M1679" s="6" t="str">
        <f>IF(Table2[[#This Row],[Corrected Form '#
 (If Duplicated)]]="",Table2[[#This Row],[Form '#]],Table2[[#This Row],[Corrected Form '#
 (If Duplicated)]])</f>
        <v>7812-04708</v>
      </c>
      <c r="N1679" s="1" t="s">
        <v>49</v>
      </c>
      <c r="O1679" s="6" t="str">
        <f>IF(Table2[[#This Row],[POG CONFIRMATION RECEIPT OF ORDER
(DATE &amp; TIME)]]="","No Confirmation","Received Confirmation")</f>
        <v>Received Confirmation</v>
      </c>
      <c r="P1679" s="6">
        <f ca="1">TODAY()-Table2[[#This Row],[DATE SENT TO POG]]</f>
        <v>122</v>
      </c>
      <c r="Q1679" s="6" t="s">
        <v>5803</v>
      </c>
      <c r="R16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79" s="2" t="str">
        <f>_xlfn.XLOOKUP(Table2[[#This Row],[Adjusted Form '#]],'[2]IN PROGRESS'!$D:$D,'[2]IN PROGRESS'!$M:$M,"Not Found")</f>
        <v>Not Found</v>
      </c>
      <c r="U1679" s="2" t="str">
        <f>_xlfn.XLOOKUP(Table2[[#This Row],[Adjusted Form '#]],[1]COMPLETED!$D:$D,[2]COMPLETED!$M:$M,"Not Found")</f>
        <v>Not Found</v>
      </c>
      <c r="V1679" s="17" t="str">
        <f>_xlfn.XLOOKUP(Table2[[#This Row],[Adjusted Form '#]],[2]COMPLETED!$D:$D,[2]COMPLETED!$O:$O,"Not Found")</f>
        <v>Not Found</v>
      </c>
      <c r="W1679" s="2" t="str">
        <f>_xlfn.XLOOKUP(Table2[[#This Row],[Adjusted Form '#]],[2]BILLED!$D:$D,[2]BILLED!$M:$M,"Not Found")</f>
        <v>9400 1361 0605 3422 9527 45</v>
      </c>
      <c r="X1679" s="17" t="e">
        <f>_xlfn.XLOOKUP(Table2[[#This Row],[Adjusted Form '#]],[2]BILLED!$D:$D,[1]BILLED!$O:$O,"Not Found")</f>
        <v>#REF!</v>
      </c>
      <c r="Y1679" s="17" t="e">
        <f>_xlfn.XLOOKUP(Table2[[#This Row],[Adjusted Form '#]],'[2]REJECTED ORDERS'!$D:$D,'[2]REJECTED ORDERS'!$E:$E)</f>
        <v>#N/A</v>
      </c>
      <c r="Z1679" s="1"/>
      <c r="AA1679" s="1"/>
    </row>
    <row r="1680" spans="1:27" ht="15" customHeight="1" x14ac:dyDescent="0.35">
      <c r="A1680" s="4" t="s">
        <v>2494</v>
      </c>
      <c r="B1680" s="1" t="s">
        <v>3225</v>
      </c>
      <c r="C1680" s="11">
        <v>45181</v>
      </c>
      <c r="D1680" s="11" t="s">
        <v>6935</v>
      </c>
      <c r="E1680" s="1" t="s">
        <v>73</v>
      </c>
      <c r="F1680" s="1" t="s">
        <v>6926</v>
      </c>
      <c r="G1680" s="6">
        <f>COUNTIF(F:F,Table2[[#This Row],[Form '#]])</f>
        <v>1</v>
      </c>
      <c r="H1680" s="1" t="s">
        <v>6933</v>
      </c>
      <c r="I1680" s="1" t="s">
        <v>3852</v>
      </c>
      <c r="J1680" s="1" t="s">
        <v>80</v>
      </c>
      <c r="K1680" s="1" t="s">
        <v>4011</v>
      </c>
      <c r="L1680" s="1"/>
      <c r="M1680" s="6" t="str">
        <f>IF(Table2[[#This Row],[Corrected Form '#
 (If Duplicated)]]="",Table2[[#This Row],[Form '#]],Table2[[#This Row],[Corrected Form '#
 (If Duplicated)]])</f>
        <v>7823-03230</v>
      </c>
      <c r="N1680" s="1" t="s">
        <v>49</v>
      </c>
      <c r="O1680" s="6" t="str">
        <f>IF(Table2[[#This Row],[POG CONFIRMATION RECEIPT OF ORDER
(DATE &amp; TIME)]]="","No Confirmation","Received Confirmation")</f>
        <v>Received Confirmation</v>
      </c>
      <c r="P1680" s="6">
        <f ca="1">TODAY()-Table2[[#This Row],[DATE SENT TO POG]]</f>
        <v>122</v>
      </c>
      <c r="Q1680" s="6" t="s">
        <v>5803</v>
      </c>
      <c r="R16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0" s="2" t="str">
        <f>_xlfn.XLOOKUP(Table2[[#This Row],[Adjusted Form '#]],'[2]IN PROGRESS'!$D:$D,'[2]IN PROGRESS'!$M:$M,"Not Found")</f>
        <v>Not Found</v>
      </c>
      <c r="U1680" s="2" t="str">
        <f>_xlfn.XLOOKUP(Table2[[#This Row],[Adjusted Form '#]],[1]COMPLETED!$D:$D,[2]COMPLETED!$M:$M,"Not Found")</f>
        <v>Not Found</v>
      </c>
      <c r="V1680" s="17" t="str">
        <f>_xlfn.XLOOKUP(Table2[[#This Row],[Adjusted Form '#]],[2]COMPLETED!$D:$D,[2]COMPLETED!$O:$O,"Not Found")</f>
        <v>Not Found</v>
      </c>
      <c r="W1680" s="2" t="str">
        <f>_xlfn.XLOOKUP(Table2[[#This Row],[Adjusted Form '#]],[2]BILLED!$D:$D,[2]BILLED!$M:$M,"Not Found")</f>
        <v>9400 1361 0605 3383 3324 95</v>
      </c>
      <c r="X1680" s="17" t="e">
        <f>_xlfn.XLOOKUP(Table2[[#This Row],[Adjusted Form '#]],[2]BILLED!$D:$D,[1]BILLED!$O:$O,"Not Found")</f>
        <v>#REF!</v>
      </c>
      <c r="Y1680" s="17" t="e">
        <f>_xlfn.XLOOKUP(Table2[[#This Row],[Adjusted Form '#]],'[2]REJECTED ORDERS'!$D:$D,'[2]REJECTED ORDERS'!$E:$E)</f>
        <v>#N/A</v>
      </c>
      <c r="Z1680" s="1"/>
      <c r="AA1680" s="1"/>
    </row>
    <row r="1681" spans="1:27" ht="15" customHeight="1" x14ac:dyDescent="0.35">
      <c r="A1681" s="4" t="s">
        <v>2495</v>
      </c>
      <c r="B1681" s="1" t="s">
        <v>803</v>
      </c>
      <c r="C1681" s="11">
        <v>45181</v>
      </c>
      <c r="D1681" s="11" t="s">
        <v>6940</v>
      </c>
      <c r="E1681" s="1" t="s">
        <v>21</v>
      </c>
      <c r="F1681" s="1" t="s">
        <v>6927</v>
      </c>
      <c r="G1681" s="6">
        <f>COUNTIF(F:F,Table2[[#This Row],[Form '#]])</f>
        <v>1</v>
      </c>
      <c r="H1681" s="1" t="s">
        <v>2658</v>
      </c>
      <c r="I1681" s="1" t="s">
        <v>3852</v>
      </c>
      <c r="J1681" s="1" t="s">
        <v>80</v>
      </c>
      <c r="K1681" s="1" t="s">
        <v>3853</v>
      </c>
      <c r="L1681" s="1"/>
      <c r="M1681" s="6" t="str">
        <f>IF(Table2[[#This Row],[Corrected Form '#
 (If Duplicated)]]="",Table2[[#This Row],[Form '#]],Table2[[#This Row],[Corrected Form '#
 (If Duplicated)]])</f>
        <v>7818-27422</v>
      </c>
      <c r="N1681" s="1" t="s">
        <v>49</v>
      </c>
      <c r="O1681" s="6" t="str">
        <f>IF(Table2[[#This Row],[POG CONFIRMATION RECEIPT OF ORDER
(DATE &amp; TIME)]]="","No Confirmation","Received Confirmation")</f>
        <v>Received Confirmation</v>
      </c>
      <c r="P1681" s="6">
        <f ca="1">TODAY()-Table2[[#This Row],[DATE SENT TO POG]]</f>
        <v>122</v>
      </c>
      <c r="Q1681" s="6" t="s">
        <v>5803</v>
      </c>
      <c r="R16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1" s="2" t="str">
        <f>_xlfn.XLOOKUP(Table2[[#This Row],[Adjusted Form '#]],'[2]IN PROGRESS'!$D:$D,'[2]IN PROGRESS'!$M:$M,"Not Found")</f>
        <v>Not Found</v>
      </c>
      <c r="U1681" s="2" t="str">
        <f>_xlfn.XLOOKUP(Table2[[#This Row],[Adjusted Form '#]],[1]COMPLETED!$D:$D,[2]COMPLETED!$M:$M,"Not Found")</f>
        <v>Not Found</v>
      </c>
      <c r="V1681" s="17" t="str">
        <f>_xlfn.XLOOKUP(Table2[[#This Row],[Adjusted Form '#]],[2]COMPLETED!$D:$D,[2]COMPLETED!$O:$O,"Not Found")</f>
        <v>Not Found</v>
      </c>
      <c r="W1681" s="2" t="str">
        <f>_xlfn.XLOOKUP(Table2[[#This Row],[Adjusted Form '#]],[2]BILLED!$D:$D,[2]BILLED!$M:$M,"Not Found")</f>
        <v>9400 1112 0620 9549 1258 45</v>
      </c>
      <c r="X1681" s="17" t="e">
        <f>_xlfn.XLOOKUP(Table2[[#This Row],[Adjusted Form '#]],[2]BILLED!$D:$D,[1]BILLED!$O:$O,"Not Found")</f>
        <v>#REF!</v>
      </c>
      <c r="Y1681" s="17" t="e">
        <f>_xlfn.XLOOKUP(Table2[[#This Row],[Adjusted Form '#]],'[2]REJECTED ORDERS'!$D:$D,'[2]REJECTED ORDERS'!$E:$E)</f>
        <v>#N/A</v>
      </c>
      <c r="Z1681" s="1"/>
      <c r="AA1681" s="1"/>
    </row>
    <row r="1682" spans="1:27" ht="15" customHeight="1" x14ac:dyDescent="0.35">
      <c r="A1682" s="4" t="s">
        <v>2497</v>
      </c>
      <c r="B1682" s="1" t="s">
        <v>1302</v>
      </c>
      <c r="C1682" s="11">
        <v>45181</v>
      </c>
      <c r="D1682" s="11" t="s">
        <v>6939</v>
      </c>
      <c r="E1682" s="1" t="s">
        <v>21</v>
      </c>
      <c r="F1682" s="1" t="s">
        <v>6936</v>
      </c>
      <c r="G1682" s="6">
        <f>COUNTIF(F:F,Table2[[#This Row],[Form '#]])</f>
        <v>1</v>
      </c>
      <c r="H1682" s="1" t="s">
        <v>1671</v>
      </c>
      <c r="I1682" s="1" t="s">
        <v>3852</v>
      </c>
      <c r="J1682" s="1" t="s">
        <v>80</v>
      </c>
      <c r="K1682" s="1" t="s">
        <v>3853</v>
      </c>
      <c r="L1682" s="1"/>
      <c r="M1682" s="6" t="str">
        <f>IF(Table2[[#This Row],[Corrected Form '#
 (If Duplicated)]]="",Table2[[#This Row],[Form '#]],Table2[[#This Row],[Corrected Form '#
 (If Duplicated)]])</f>
        <v>7818-32147</v>
      </c>
      <c r="N1682" s="1" t="s">
        <v>49</v>
      </c>
      <c r="O1682" s="6" t="str">
        <f>IF(Table2[[#This Row],[POG CONFIRMATION RECEIPT OF ORDER
(DATE &amp; TIME)]]="","No Confirmation","Received Confirmation")</f>
        <v>Received Confirmation</v>
      </c>
      <c r="P1682" s="6">
        <f ca="1">TODAY()-Table2[[#This Row],[DATE SENT TO POG]]</f>
        <v>122</v>
      </c>
      <c r="Q1682" s="6" t="s">
        <v>5803</v>
      </c>
      <c r="R16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2" s="2" t="str">
        <f>_xlfn.XLOOKUP(Table2[[#This Row],[Adjusted Form '#]],'[2]IN PROGRESS'!$D:$D,'[2]IN PROGRESS'!$M:$M,"Not Found")</f>
        <v>Not Found</v>
      </c>
      <c r="U1682" s="2" t="str">
        <f>_xlfn.XLOOKUP(Table2[[#This Row],[Adjusted Form '#]],[1]COMPLETED!$D:$D,[2]COMPLETED!$M:$M,"Not Found")</f>
        <v>Not Found</v>
      </c>
      <c r="V1682" s="17" t="str">
        <f>_xlfn.XLOOKUP(Table2[[#This Row],[Adjusted Form '#]],[2]COMPLETED!$D:$D,[2]COMPLETED!$O:$O,"Not Found")</f>
        <v>Not Found</v>
      </c>
      <c r="W1682" s="2" t="str">
        <f>_xlfn.XLOOKUP(Table2[[#This Row],[Adjusted Form '#]],[2]BILLED!$D:$D,[2]BILLED!$M:$M,"Not Found")</f>
        <v>9400 1361 0605 3383 3214 99</v>
      </c>
      <c r="X1682" s="17" t="e">
        <f>_xlfn.XLOOKUP(Table2[[#This Row],[Adjusted Form '#]],[2]BILLED!$D:$D,[1]BILLED!$O:$O,"Not Found")</f>
        <v>#REF!</v>
      </c>
      <c r="Y1682" s="17" t="e">
        <f>_xlfn.XLOOKUP(Table2[[#This Row],[Adjusted Form '#]],'[2]REJECTED ORDERS'!$D:$D,'[2]REJECTED ORDERS'!$E:$E)</f>
        <v>#N/A</v>
      </c>
      <c r="Z1682" s="1"/>
      <c r="AA1682" s="1"/>
    </row>
    <row r="1683" spans="1:27" ht="15" customHeight="1" x14ac:dyDescent="0.35">
      <c r="A1683" s="4" t="s">
        <v>2498</v>
      </c>
      <c r="B1683" s="1" t="s">
        <v>1302</v>
      </c>
      <c r="C1683" s="11">
        <v>45181</v>
      </c>
      <c r="D1683" s="11" t="s">
        <v>6939</v>
      </c>
      <c r="E1683" s="1" t="s">
        <v>21</v>
      </c>
      <c r="F1683" s="1" t="s">
        <v>6937</v>
      </c>
      <c r="G1683" s="6">
        <f>COUNTIF(F:F,Table2[[#This Row],[Form '#]])</f>
        <v>1</v>
      </c>
      <c r="H1683" s="1" t="s">
        <v>741</v>
      </c>
      <c r="I1683" s="1" t="s">
        <v>3864</v>
      </c>
      <c r="J1683" s="1" t="s">
        <v>78</v>
      </c>
      <c r="K1683" s="1" t="s">
        <v>3879</v>
      </c>
      <c r="L1683" s="1"/>
      <c r="M1683" s="6" t="str">
        <f>IF(Table2[[#This Row],[Corrected Form '#
 (If Duplicated)]]="",Table2[[#This Row],[Form '#]],Table2[[#This Row],[Corrected Form '#
 (If Duplicated)]])</f>
        <v>7818-07338</v>
      </c>
      <c r="N1683" s="1" t="s">
        <v>49</v>
      </c>
      <c r="O1683" s="6" t="str">
        <f>IF(Table2[[#This Row],[POG CONFIRMATION RECEIPT OF ORDER
(DATE &amp; TIME)]]="","No Confirmation","Received Confirmation")</f>
        <v>Received Confirmation</v>
      </c>
      <c r="P1683" s="6">
        <f ca="1">TODAY()-Table2[[#This Row],[DATE SENT TO POG]]</f>
        <v>122</v>
      </c>
      <c r="Q1683" s="6" t="s">
        <v>5803</v>
      </c>
      <c r="R16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3" s="2" t="str">
        <f>_xlfn.XLOOKUP(Table2[[#This Row],[Adjusted Form '#]],'[2]IN PROGRESS'!$D:$D,'[2]IN PROGRESS'!$M:$M,"Not Found")</f>
        <v>Not Found</v>
      </c>
      <c r="U1683" s="2" t="str">
        <f>_xlfn.XLOOKUP(Table2[[#This Row],[Adjusted Form '#]],[1]COMPLETED!$D:$D,[2]COMPLETED!$M:$M,"Not Found")</f>
        <v>Not Found</v>
      </c>
      <c r="V1683" s="17" t="str">
        <f>_xlfn.XLOOKUP(Table2[[#This Row],[Adjusted Form '#]],[2]COMPLETED!$D:$D,[2]COMPLETED!$O:$O,"Not Found")</f>
        <v>Not Found</v>
      </c>
      <c r="W1683" s="2" t="str">
        <f>_xlfn.XLOOKUP(Table2[[#This Row],[Adjusted Form '#]],[2]BILLED!$D:$D,[2]BILLED!$M:$M,"Not Found")</f>
        <v>9400 1361 0605 3378 4738 51</v>
      </c>
      <c r="X1683" s="17" t="e">
        <f>_xlfn.XLOOKUP(Table2[[#This Row],[Adjusted Form '#]],[2]BILLED!$D:$D,[1]BILLED!$O:$O,"Not Found")</f>
        <v>#REF!</v>
      </c>
      <c r="Y1683" s="17" t="e">
        <f>_xlfn.XLOOKUP(Table2[[#This Row],[Adjusted Form '#]],'[2]REJECTED ORDERS'!$D:$D,'[2]REJECTED ORDERS'!$E:$E)</f>
        <v>#N/A</v>
      </c>
      <c r="Z1683" s="1"/>
      <c r="AA1683" s="1"/>
    </row>
    <row r="1684" spans="1:27" ht="15" customHeight="1" x14ac:dyDescent="0.35">
      <c r="A1684" s="4" t="s">
        <v>2499</v>
      </c>
      <c r="B1684" s="1" t="s">
        <v>1302</v>
      </c>
      <c r="C1684" s="11">
        <v>45181</v>
      </c>
      <c r="D1684" s="11" t="s">
        <v>6939</v>
      </c>
      <c r="E1684" s="1" t="s">
        <v>21</v>
      </c>
      <c r="F1684" s="1" t="s">
        <v>6938</v>
      </c>
      <c r="G1684" s="6">
        <f>COUNTIF(F:F,Table2[[#This Row],[Form '#]])</f>
        <v>1</v>
      </c>
      <c r="H1684" s="1" t="s">
        <v>1023</v>
      </c>
      <c r="I1684" s="1" t="s">
        <v>3864</v>
      </c>
      <c r="J1684" s="1" t="s">
        <v>78</v>
      </c>
      <c r="K1684" s="1" t="s">
        <v>3879</v>
      </c>
      <c r="L1684" s="1"/>
      <c r="M1684" s="6" t="str">
        <f>IF(Table2[[#This Row],[Corrected Form '#
 (If Duplicated)]]="",Table2[[#This Row],[Form '#]],Table2[[#This Row],[Corrected Form '#
 (If Duplicated)]])</f>
        <v>7818-24844</v>
      </c>
      <c r="N1684" s="1" t="s">
        <v>49</v>
      </c>
      <c r="O1684" s="6" t="str">
        <f>IF(Table2[[#This Row],[POG CONFIRMATION RECEIPT OF ORDER
(DATE &amp; TIME)]]="","No Confirmation","Received Confirmation")</f>
        <v>Received Confirmation</v>
      </c>
      <c r="P1684" s="6">
        <f ca="1">TODAY()-Table2[[#This Row],[DATE SENT TO POG]]</f>
        <v>122</v>
      </c>
      <c r="Q1684" s="6" t="s">
        <v>5803</v>
      </c>
      <c r="R16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4" s="2" t="str">
        <f>_xlfn.XLOOKUP(Table2[[#This Row],[Adjusted Form '#]],'[2]IN PROGRESS'!$D:$D,'[2]IN PROGRESS'!$M:$M,"Not Found")</f>
        <v>Not Found</v>
      </c>
      <c r="U1684" s="2" t="str">
        <f>_xlfn.XLOOKUP(Table2[[#This Row],[Adjusted Form '#]],[1]COMPLETED!$D:$D,[2]COMPLETED!$M:$M,"Not Found")</f>
        <v>Not Found</v>
      </c>
      <c r="V1684" s="17" t="str">
        <f>_xlfn.XLOOKUP(Table2[[#This Row],[Adjusted Form '#]],[2]COMPLETED!$D:$D,[2]COMPLETED!$O:$O,"Not Found")</f>
        <v>Not Found</v>
      </c>
      <c r="W1684" s="2" t="str">
        <f>_xlfn.XLOOKUP(Table2[[#This Row],[Adjusted Form '#]],[2]BILLED!$D:$D,[2]BILLED!$M:$M,"Not Found")</f>
        <v>9400 1361 0605 3384 3104 85</v>
      </c>
      <c r="X1684" s="17" t="e">
        <f>_xlfn.XLOOKUP(Table2[[#This Row],[Adjusted Form '#]],[2]BILLED!$D:$D,[1]BILLED!$O:$O,"Not Found")</f>
        <v>#REF!</v>
      </c>
      <c r="Y1684" s="17" t="e">
        <f>_xlfn.XLOOKUP(Table2[[#This Row],[Adjusted Form '#]],'[2]REJECTED ORDERS'!$D:$D,'[2]REJECTED ORDERS'!$E:$E)</f>
        <v>#N/A</v>
      </c>
      <c r="Z1684" s="1"/>
      <c r="AA1684" s="1"/>
    </row>
    <row r="1685" spans="1:27" ht="15" customHeight="1" x14ac:dyDescent="0.35">
      <c r="A1685" s="4" t="s">
        <v>2500</v>
      </c>
      <c r="B1685" s="1" t="s">
        <v>1168</v>
      </c>
      <c r="C1685" s="11">
        <v>45181</v>
      </c>
      <c r="E1685" s="1" t="s">
        <v>73</v>
      </c>
      <c r="F1685" s="1" t="s">
        <v>6941</v>
      </c>
      <c r="G1685" s="6">
        <f>COUNTIF(F:F,Table2[[#This Row],[Form '#]])</f>
        <v>2</v>
      </c>
      <c r="H1685" s="1" t="s">
        <v>6942</v>
      </c>
      <c r="I1685" s="1" t="s">
        <v>3891</v>
      </c>
      <c r="J1685" s="1" t="s">
        <v>3891</v>
      </c>
      <c r="K1685" s="1" t="s">
        <v>3891</v>
      </c>
      <c r="L1685" s="1"/>
      <c r="M1685" s="6" t="str">
        <f>IF(Table2[[#This Row],[Corrected Form '#
 (If Duplicated)]]="",Table2[[#This Row],[Form '#]],Table2[[#This Row],[Corrected Form '#
 (If Duplicated)]])</f>
        <v>7823-02445</v>
      </c>
      <c r="N1685" s="1" t="s">
        <v>49</v>
      </c>
      <c r="O1685" s="6" t="str">
        <f>IF(Table2[[#This Row],[POG CONFIRMATION RECEIPT OF ORDER
(DATE &amp; TIME)]]="","No Confirmation","Received Confirmation")</f>
        <v>No Confirmation</v>
      </c>
      <c r="P1685" s="6">
        <f ca="1">TODAY()-Table2[[#This Row],[DATE SENT TO POG]]</f>
        <v>122</v>
      </c>
      <c r="Q1685" s="6" t="s">
        <v>5803</v>
      </c>
      <c r="R16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5" s="2" t="str">
        <f>_xlfn.XLOOKUP(Table2[[#This Row],[Adjusted Form '#]],'[2]IN PROGRESS'!$D:$D,'[2]IN PROGRESS'!$M:$M,"Not Found")</f>
        <v>Not Found</v>
      </c>
      <c r="U1685" s="2" t="str">
        <f>_xlfn.XLOOKUP(Table2[[#This Row],[Adjusted Form '#]],[1]COMPLETED!$D:$D,[2]COMPLETED!$M:$M,"Not Found")</f>
        <v>Not Found</v>
      </c>
      <c r="V1685" s="17" t="str">
        <f>_xlfn.XLOOKUP(Table2[[#This Row],[Adjusted Form '#]],[2]COMPLETED!$D:$D,[2]COMPLETED!$O:$O,"Not Found")</f>
        <v>Not Found</v>
      </c>
      <c r="W1685" s="2" t="str">
        <f>_xlfn.XLOOKUP(Table2[[#This Row],[Adjusted Form '#]],[2]BILLED!$D:$D,[2]BILLED!$M:$M,"Not Found")</f>
        <v>9400 1361 0605 3477 6741 28</v>
      </c>
      <c r="X1685" s="17" t="e">
        <f>_xlfn.XLOOKUP(Table2[[#This Row],[Adjusted Form '#]],[2]BILLED!$D:$D,[1]BILLED!$O:$O,"Not Found")</f>
        <v>#REF!</v>
      </c>
      <c r="Y1685" s="17" t="str">
        <f>_xlfn.XLOOKUP(Table2[[#This Row],[Adjusted Form '#]],'[2]REJECTED ORDERS'!$D:$D,'[2]REJECTED ORDERS'!$E:$E)</f>
        <v>FORM NOT SIGNED</v>
      </c>
      <c r="Z1685" s="1"/>
      <c r="AA1685" s="1"/>
    </row>
    <row r="1686" spans="1:27" ht="15" customHeight="1" x14ac:dyDescent="0.35">
      <c r="A1686" s="4" t="s">
        <v>2502</v>
      </c>
      <c r="B1686" s="1" t="s">
        <v>896</v>
      </c>
      <c r="C1686" s="11">
        <v>45182</v>
      </c>
      <c r="E1686" s="1" t="s">
        <v>191</v>
      </c>
      <c r="F1686" s="1" t="s">
        <v>6943</v>
      </c>
      <c r="G1686" s="6">
        <f>COUNTIF(F:F,Table2[[#This Row],[Form '#]])</f>
        <v>1</v>
      </c>
      <c r="H1686" s="1" t="s">
        <v>3001</v>
      </c>
      <c r="I1686" s="1" t="s">
        <v>3852</v>
      </c>
      <c r="J1686" s="1" t="s">
        <v>75</v>
      </c>
      <c r="K1686" s="1" t="s">
        <v>4011</v>
      </c>
      <c r="L1686" s="1"/>
      <c r="M1686" s="6" t="str">
        <f>IF(Table2[[#This Row],[Corrected Form '#
 (If Duplicated)]]="",Table2[[#This Row],[Form '#]],Table2[[#This Row],[Corrected Form '#
 (If Duplicated)]])</f>
        <v>7812-04508</v>
      </c>
      <c r="N1686" s="1" t="s">
        <v>49</v>
      </c>
      <c r="O1686" s="6" t="str">
        <f>IF(Table2[[#This Row],[POG CONFIRMATION RECEIPT OF ORDER
(DATE &amp; TIME)]]="","No Confirmation","Received Confirmation")</f>
        <v>No Confirmation</v>
      </c>
      <c r="P1686" s="6">
        <f ca="1">TODAY()-Table2[[#This Row],[DATE SENT TO POG]]</f>
        <v>121</v>
      </c>
      <c r="Q1686" s="6" t="s">
        <v>5803</v>
      </c>
      <c r="R16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6" s="2" t="str">
        <f>_xlfn.XLOOKUP(Table2[[#This Row],[Adjusted Form '#]],'[2]IN PROGRESS'!$D:$D,'[2]IN PROGRESS'!$M:$M,"Not Found")</f>
        <v>Not Found</v>
      </c>
      <c r="U1686" s="2" t="str">
        <f>_xlfn.XLOOKUP(Table2[[#This Row],[Adjusted Form '#]],[1]COMPLETED!$D:$D,[2]COMPLETED!$M:$M,"Not Found")</f>
        <v>Not Found</v>
      </c>
      <c r="V1686" s="17" t="str">
        <f>_xlfn.XLOOKUP(Table2[[#This Row],[Adjusted Form '#]],[2]COMPLETED!$D:$D,[2]COMPLETED!$O:$O,"Not Found")</f>
        <v>Not Found</v>
      </c>
      <c r="W1686" s="2" t="str">
        <f>_xlfn.XLOOKUP(Table2[[#This Row],[Adjusted Form '#]],[2]BILLED!$D:$D,[2]BILLED!$M:$M,"Not Found")</f>
        <v>9400 1361 0605 3384 3054 74</v>
      </c>
      <c r="X1686" s="17" t="e">
        <f>_xlfn.XLOOKUP(Table2[[#This Row],[Adjusted Form '#]],[2]BILLED!$D:$D,[1]BILLED!$O:$O,"Not Found")</f>
        <v>#REF!</v>
      </c>
      <c r="Y1686" s="17" t="e">
        <f>_xlfn.XLOOKUP(Table2[[#This Row],[Adjusted Form '#]],'[2]REJECTED ORDERS'!$D:$D,'[2]REJECTED ORDERS'!$E:$E)</f>
        <v>#N/A</v>
      </c>
      <c r="Z1686" s="1"/>
      <c r="AA1686" s="1"/>
    </row>
    <row r="1687" spans="1:27" ht="15" customHeight="1" x14ac:dyDescent="0.35">
      <c r="A1687" s="4" t="s">
        <v>2504</v>
      </c>
      <c r="B1687" s="1" t="s">
        <v>1031</v>
      </c>
      <c r="C1687" s="11">
        <v>45182</v>
      </c>
      <c r="D1687" s="11" t="s">
        <v>6946</v>
      </c>
      <c r="E1687" s="1" t="s">
        <v>21</v>
      </c>
      <c r="F1687" s="1" t="s">
        <v>6944</v>
      </c>
      <c r="G1687" s="6">
        <f>COUNTIF(F:F,Table2[[#This Row],[Form '#]])</f>
        <v>1</v>
      </c>
      <c r="H1687" s="1" t="s">
        <v>6945</v>
      </c>
      <c r="I1687" s="1" t="s">
        <v>758</v>
      </c>
      <c r="J1687" s="1" t="s">
        <v>78</v>
      </c>
      <c r="K1687" s="1" t="s">
        <v>3853</v>
      </c>
      <c r="L1687" s="1"/>
      <c r="M1687" s="6" t="str">
        <f>IF(Table2[[#This Row],[Corrected Form '#
 (If Duplicated)]]="",Table2[[#This Row],[Form '#]],Table2[[#This Row],[Corrected Form '#
 (If Duplicated)]])</f>
        <v>7818-31269</v>
      </c>
      <c r="N1687" s="1" t="s">
        <v>49</v>
      </c>
      <c r="O1687" s="6" t="str">
        <f>IF(Table2[[#This Row],[POG CONFIRMATION RECEIPT OF ORDER
(DATE &amp; TIME)]]="","No Confirmation","Received Confirmation")</f>
        <v>Received Confirmation</v>
      </c>
      <c r="P1687" s="6">
        <f ca="1">TODAY()-Table2[[#This Row],[DATE SENT TO POG]]</f>
        <v>121</v>
      </c>
      <c r="Q1687" s="6" t="s">
        <v>5803</v>
      </c>
      <c r="R16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7" s="2" t="str">
        <f>_xlfn.XLOOKUP(Table2[[#This Row],[Adjusted Form '#]],'[2]IN PROGRESS'!$D:$D,'[2]IN PROGRESS'!$M:$M,"Not Found")</f>
        <v>Not Found</v>
      </c>
      <c r="U1687" s="2" t="str">
        <f>_xlfn.XLOOKUP(Table2[[#This Row],[Adjusted Form '#]],[1]COMPLETED!$D:$D,[2]COMPLETED!$M:$M,"Not Found")</f>
        <v>Not Found</v>
      </c>
      <c r="V1687" s="17" t="str">
        <f>_xlfn.XLOOKUP(Table2[[#This Row],[Adjusted Form '#]],[2]COMPLETED!$D:$D,[2]COMPLETED!$O:$O,"Not Found")</f>
        <v>Not Found</v>
      </c>
      <c r="W1687" s="2" t="str">
        <f>_xlfn.XLOOKUP(Table2[[#This Row],[Adjusted Form '#]],[2]BILLED!$D:$D,[2]BILLED!$M:$M,"Not Found")</f>
        <v>9400 1361 0605 3390 4406 57</v>
      </c>
      <c r="X1687" s="17" t="e">
        <f>_xlfn.XLOOKUP(Table2[[#This Row],[Adjusted Form '#]],[2]BILLED!$D:$D,[1]BILLED!$O:$O,"Not Found")</f>
        <v>#REF!</v>
      </c>
      <c r="Y1687" s="17" t="e">
        <f>_xlfn.XLOOKUP(Table2[[#This Row],[Adjusted Form '#]],'[2]REJECTED ORDERS'!$D:$D,'[2]REJECTED ORDERS'!$E:$E)</f>
        <v>#N/A</v>
      </c>
      <c r="Z1687" s="1"/>
      <c r="AA1687" s="1"/>
    </row>
    <row r="1688" spans="1:27" ht="15" customHeight="1" x14ac:dyDescent="0.35">
      <c r="A1688" s="4" t="s">
        <v>2505</v>
      </c>
      <c r="B1688" s="1" t="s">
        <v>3177</v>
      </c>
      <c r="C1688" s="11">
        <v>45183</v>
      </c>
      <c r="D1688" s="11" t="s">
        <v>6958</v>
      </c>
      <c r="E1688" s="1" t="s">
        <v>21</v>
      </c>
      <c r="F1688" s="1" t="s">
        <v>6947</v>
      </c>
      <c r="G1688" s="6">
        <f>COUNTIF(F:F,Table2[[#This Row],[Form '#]])</f>
        <v>1</v>
      </c>
      <c r="H1688" s="1" t="s">
        <v>6948</v>
      </c>
      <c r="I1688" s="1" t="s">
        <v>177</v>
      </c>
      <c r="J1688" s="1" t="s">
        <v>75</v>
      </c>
      <c r="K1688" s="1" t="s">
        <v>4011</v>
      </c>
      <c r="L1688" s="1"/>
      <c r="M1688" s="6" t="str">
        <f>IF(Table2[[#This Row],[Corrected Form '#
 (If Duplicated)]]="",Table2[[#This Row],[Form '#]],Table2[[#This Row],[Corrected Form '#
 (If Duplicated)]])</f>
        <v>7818-31647</v>
      </c>
      <c r="N1688" s="1" t="s">
        <v>49</v>
      </c>
      <c r="O1688" s="6" t="str">
        <f>IF(Table2[[#This Row],[POG CONFIRMATION RECEIPT OF ORDER
(DATE &amp; TIME)]]="","No Confirmation","Received Confirmation")</f>
        <v>Received Confirmation</v>
      </c>
      <c r="P1688" s="6">
        <f ca="1">TODAY()-Table2[[#This Row],[DATE SENT TO POG]]</f>
        <v>120</v>
      </c>
      <c r="Q1688" s="6" t="s">
        <v>5803</v>
      </c>
      <c r="R16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8" s="2" t="str">
        <f>_xlfn.XLOOKUP(Table2[[#This Row],[Adjusted Form '#]],'[2]IN PROGRESS'!$D:$D,'[2]IN PROGRESS'!$M:$M,"Not Found")</f>
        <v>Not Found</v>
      </c>
      <c r="U1688" s="2" t="str">
        <f>_xlfn.XLOOKUP(Table2[[#This Row],[Adjusted Form '#]],[1]COMPLETED!$D:$D,[2]COMPLETED!$M:$M,"Not Found")</f>
        <v>Not Found</v>
      </c>
      <c r="V1688" s="17" t="str">
        <f>_xlfn.XLOOKUP(Table2[[#This Row],[Adjusted Form '#]],[2]COMPLETED!$D:$D,[2]COMPLETED!$O:$O,"Not Found")</f>
        <v>Not Found</v>
      </c>
      <c r="W1688" s="2" t="str">
        <f>_xlfn.XLOOKUP(Table2[[#This Row],[Adjusted Form '#]],[2]BILLED!$D:$D,[2]BILLED!$M:$M,"Not Found")</f>
        <v>9400 1361 0605 3409 8115 91</v>
      </c>
      <c r="X1688" s="17" t="e">
        <f>_xlfn.XLOOKUP(Table2[[#This Row],[Adjusted Form '#]],[2]BILLED!$D:$D,[1]BILLED!$O:$O,"Not Found")</f>
        <v>#REF!</v>
      </c>
      <c r="Y1688" s="17" t="e">
        <f>_xlfn.XLOOKUP(Table2[[#This Row],[Adjusted Form '#]],'[2]REJECTED ORDERS'!$D:$D,'[2]REJECTED ORDERS'!$E:$E)</f>
        <v>#N/A</v>
      </c>
      <c r="Z1688" s="1"/>
      <c r="AA1688" s="1"/>
    </row>
    <row r="1689" spans="1:27" ht="15" customHeight="1" x14ac:dyDescent="0.35">
      <c r="A1689" s="4" t="s">
        <v>2507</v>
      </c>
      <c r="B1689" s="1" t="s">
        <v>3177</v>
      </c>
      <c r="C1689" s="11">
        <v>45183</v>
      </c>
      <c r="D1689" s="11" t="s">
        <v>6958</v>
      </c>
      <c r="E1689" s="1" t="s">
        <v>21</v>
      </c>
      <c r="F1689" s="1" t="s">
        <v>6949</v>
      </c>
      <c r="G1689" s="6">
        <f>COUNTIF(F:F,Table2[[#This Row],[Form '#]])</f>
        <v>1</v>
      </c>
      <c r="H1689" s="1" t="s">
        <v>367</v>
      </c>
      <c r="I1689" s="1" t="s">
        <v>127</v>
      </c>
      <c r="J1689" s="1" t="s">
        <v>74</v>
      </c>
      <c r="K1689" s="1" t="s">
        <v>3883</v>
      </c>
      <c r="L1689" s="1"/>
      <c r="M1689" s="6" t="str">
        <f>IF(Table2[[#This Row],[Corrected Form '#
 (If Duplicated)]]="",Table2[[#This Row],[Form '#]],Table2[[#This Row],[Corrected Form '#
 (If Duplicated)]])</f>
        <v>7818-28149</v>
      </c>
      <c r="N1689" s="1" t="s">
        <v>49</v>
      </c>
      <c r="O1689" s="6" t="str">
        <f>IF(Table2[[#This Row],[POG CONFIRMATION RECEIPT OF ORDER
(DATE &amp; TIME)]]="","No Confirmation","Received Confirmation")</f>
        <v>Received Confirmation</v>
      </c>
      <c r="P1689" s="6">
        <f ca="1">TODAY()-Table2[[#This Row],[DATE SENT TO POG]]</f>
        <v>120</v>
      </c>
      <c r="Q1689" s="6" t="s">
        <v>5803</v>
      </c>
      <c r="R16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89" s="2" t="str">
        <f>_xlfn.XLOOKUP(Table2[[#This Row],[Adjusted Form '#]],'[2]IN PROGRESS'!$D:$D,'[2]IN PROGRESS'!$M:$M,"Not Found")</f>
        <v>Not Found</v>
      </c>
      <c r="U1689" s="2" t="str">
        <f>_xlfn.XLOOKUP(Table2[[#This Row],[Adjusted Form '#]],[1]COMPLETED!$D:$D,[2]COMPLETED!$M:$M,"Not Found")</f>
        <v>Not Found</v>
      </c>
      <c r="V1689" s="17" t="str">
        <f>_xlfn.XLOOKUP(Table2[[#This Row],[Adjusted Form '#]],[2]COMPLETED!$D:$D,[2]COMPLETED!$O:$O,"Not Found")</f>
        <v>Not Found</v>
      </c>
      <c r="W1689" s="2" t="str">
        <f>_xlfn.XLOOKUP(Table2[[#This Row],[Adjusted Form '#]],[2]BILLED!$D:$D,[2]BILLED!$M:$M,"Not Found")</f>
        <v>9400 1112 0620 9925 0884 50</v>
      </c>
      <c r="X1689" s="17" t="e">
        <f>_xlfn.XLOOKUP(Table2[[#This Row],[Adjusted Form '#]],[2]BILLED!$D:$D,[1]BILLED!$O:$O,"Not Found")</f>
        <v>#REF!</v>
      </c>
      <c r="Y1689" s="17" t="e">
        <f>_xlfn.XLOOKUP(Table2[[#This Row],[Adjusted Form '#]],'[2]REJECTED ORDERS'!$D:$D,'[2]REJECTED ORDERS'!$E:$E)</f>
        <v>#N/A</v>
      </c>
      <c r="Z1689" s="1"/>
      <c r="AA1689" s="1"/>
    </row>
    <row r="1690" spans="1:27" ht="15" customHeight="1" x14ac:dyDescent="0.35">
      <c r="A1690" s="4" t="s">
        <v>2508</v>
      </c>
      <c r="B1690" s="1" t="s">
        <v>3177</v>
      </c>
      <c r="C1690" s="11">
        <v>45183</v>
      </c>
      <c r="D1690" s="11" t="s">
        <v>6958</v>
      </c>
      <c r="E1690" s="1" t="s">
        <v>21</v>
      </c>
      <c r="F1690" s="1" t="s">
        <v>6950</v>
      </c>
      <c r="G1690" s="6">
        <f>COUNTIF(F:F,Table2[[#This Row],[Form '#]])</f>
        <v>1</v>
      </c>
      <c r="H1690" s="1" t="s">
        <v>6951</v>
      </c>
      <c r="I1690" s="1" t="s">
        <v>177</v>
      </c>
      <c r="J1690" s="1" t="s">
        <v>75</v>
      </c>
      <c r="K1690" s="1" t="s">
        <v>3853</v>
      </c>
      <c r="L1690" s="1"/>
      <c r="M1690" s="6" t="str">
        <f>IF(Table2[[#This Row],[Corrected Form '#
 (If Duplicated)]]="",Table2[[#This Row],[Form '#]],Table2[[#This Row],[Corrected Form '#
 (If Duplicated)]])</f>
        <v>7818-11863</v>
      </c>
      <c r="N1690" s="1" t="s">
        <v>49</v>
      </c>
      <c r="O1690" s="6" t="str">
        <f>IF(Table2[[#This Row],[POG CONFIRMATION RECEIPT OF ORDER
(DATE &amp; TIME)]]="","No Confirmation","Received Confirmation")</f>
        <v>Received Confirmation</v>
      </c>
      <c r="P1690" s="6">
        <f ca="1">TODAY()-Table2[[#This Row],[DATE SENT TO POG]]</f>
        <v>120</v>
      </c>
      <c r="Q1690" s="6" t="s">
        <v>5803</v>
      </c>
      <c r="R16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0" s="2" t="str">
        <f>_xlfn.XLOOKUP(Table2[[#This Row],[Adjusted Form '#]],'[2]IN PROGRESS'!$D:$D,'[2]IN PROGRESS'!$M:$M,"Not Found")</f>
        <v>Not Found</v>
      </c>
      <c r="U1690" s="2" t="str">
        <f>_xlfn.XLOOKUP(Table2[[#This Row],[Adjusted Form '#]],[1]COMPLETED!$D:$D,[2]COMPLETED!$M:$M,"Not Found")</f>
        <v>Not Found</v>
      </c>
      <c r="V1690" s="17" t="str">
        <f>_xlfn.XLOOKUP(Table2[[#This Row],[Adjusted Form '#]],[2]COMPLETED!$D:$D,[2]COMPLETED!$O:$O,"Not Found")</f>
        <v>Not Found</v>
      </c>
      <c r="W1690" s="2" t="str">
        <f>_xlfn.XLOOKUP(Table2[[#This Row],[Adjusted Form '#]],[2]BILLED!$D:$D,[2]BILLED!$M:$M,"Not Found")</f>
        <v>9400 1361 0605 3390 4513 18</v>
      </c>
      <c r="X1690" s="17" t="e">
        <f>_xlfn.XLOOKUP(Table2[[#This Row],[Adjusted Form '#]],[2]BILLED!$D:$D,[1]BILLED!$O:$O,"Not Found")</f>
        <v>#REF!</v>
      </c>
      <c r="Y1690" s="17" t="e">
        <f>_xlfn.XLOOKUP(Table2[[#This Row],[Adjusted Form '#]],'[2]REJECTED ORDERS'!$D:$D,'[2]REJECTED ORDERS'!$E:$E)</f>
        <v>#N/A</v>
      </c>
      <c r="Z1690" s="1"/>
      <c r="AA1690" s="1"/>
    </row>
    <row r="1691" spans="1:27" ht="15" customHeight="1" x14ac:dyDescent="0.35">
      <c r="A1691" s="4" t="s">
        <v>2510</v>
      </c>
      <c r="B1691" s="1" t="s">
        <v>3177</v>
      </c>
      <c r="C1691" s="11">
        <v>45183</v>
      </c>
      <c r="D1691" s="11" t="s">
        <v>6958</v>
      </c>
      <c r="E1691" s="1" t="s">
        <v>21</v>
      </c>
      <c r="F1691" s="1" t="s">
        <v>6952</v>
      </c>
      <c r="G1691" s="6">
        <f>COUNTIF(F:F,Table2[[#This Row],[Form '#]])</f>
        <v>1</v>
      </c>
      <c r="H1691" s="1" t="s">
        <v>6953</v>
      </c>
      <c r="I1691" s="1" t="s">
        <v>3852</v>
      </c>
      <c r="J1691" s="1" t="s">
        <v>75</v>
      </c>
      <c r="K1691" s="1" t="s">
        <v>3853</v>
      </c>
      <c r="L1691" s="1"/>
      <c r="M1691" s="6" t="str">
        <f>IF(Table2[[#This Row],[Corrected Form '#
 (If Duplicated)]]="",Table2[[#This Row],[Form '#]],Table2[[#This Row],[Corrected Form '#
 (If Duplicated)]])</f>
        <v>7818-25896</v>
      </c>
      <c r="N1691" s="1" t="s">
        <v>49</v>
      </c>
      <c r="O1691" s="6" t="str">
        <f>IF(Table2[[#This Row],[POG CONFIRMATION RECEIPT OF ORDER
(DATE &amp; TIME)]]="","No Confirmation","Received Confirmation")</f>
        <v>Received Confirmation</v>
      </c>
      <c r="P1691" s="6">
        <f ca="1">TODAY()-Table2[[#This Row],[DATE SENT TO POG]]</f>
        <v>120</v>
      </c>
      <c r="Q1691" s="6" t="s">
        <v>5803</v>
      </c>
      <c r="R16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1" s="2" t="str">
        <f>_xlfn.XLOOKUP(Table2[[#This Row],[Adjusted Form '#]],'[2]IN PROGRESS'!$D:$D,'[2]IN PROGRESS'!$M:$M,"Not Found")</f>
        <v>Not Found</v>
      </c>
      <c r="U1691" s="2" t="str">
        <f>_xlfn.XLOOKUP(Table2[[#This Row],[Adjusted Form '#]],[1]COMPLETED!$D:$D,[2]COMPLETED!$M:$M,"Not Found")</f>
        <v>Not Found</v>
      </c>
      <c r="V1691" s="17" t="str">
        <f>_xlfn.XLOOKUP(Table2[[#This Row],[Adjusted Form '#]],[2]COMPLETED!$D:$D,[2]COMPLETED!$O:$O,"Not Found")</f>
        <v>Not Found</v>
      </c>
      <c r="W1691" s="2" t="str">
        <f>_xlfn.XLOOKUP(Table2[[#This Row],[Adjusted Form '#]],[2]BILLED!$D:$D,[2]BILLED!$M:$M,"Not Found")</f>
        <v>9400 1361 0605 3414 9629 43</v>
      </c>
      <c r="X1691" s="17" t="e">
        <f>_xlfn.XLOOKUP(Table2[[#This Row],[Adjusted Form '#]],[2]BILLED!$D:$D,[1]BILLED!$O:$O,"Not Found")</f>
        <v>#REF!</v>
      </c>
      <c r="Y1691" s="17" t="e">
        <f>_xlfn.XLOOKUP(Table2[[#This Row],[Adjusted Form '#]],'[2]REJECTED ORDERS'!$D:$D,'[2]REJECTED ORDERS'!$E:$E)</f>
        <v>#N/A</v>
      </c>
      <c r="Z1691" s="1"/>
      <c r="AA1691" s="1"/>
    </row>
    <row r="1692" spans="1:27" ht="15" customHeight="1" x14ac:dyDescent="0.35">
      <c r="A1692" s="4" t="s">
        <v>2512</v>
      </c>
      <c r="B1692" s="1" t="s">
        <v>3177</v>
      </c>
      <c r="C1692" s="11">
        <v>45183</v>
      </c>
      <c r="D1692" s="11" t="s">
        <v>6958</v>
      </c>
      <c r="E1692" s="1" t="s">
        <v>21</v>
      </c>
      <c r="F1692" s="1" t="s">
        <v>6954</v>
      </c>
      <c r="G1692" s="6">
        <f>COUNTIF(F:F,Table2[[#This Row],[Form '#]])</f>
        <v>1</v>
      </c>
      <c r="H1692" s="1" t="s">
        <v>6955</v>
      </c>
      <c r="I1692" s="1" t="s">
        <v>758</v>
      </c>
      <c r="J1692" s="1" t="s">
        <v>78</v>
      </c>
      <c r="K1692" s="1" t="s">
        <v>3853</v>
      </c>
      <c r="L1692" s="1"/>
      <c r="M1692" s="6" t="str">
        <f>IF(Table2[[#This Row],[Corrected Form '#
 (If Duplicated)]]="",Table2[[#This Row],[Form '#]],Table2[[#This Row],[Corrected Form '#
 (If Duplicated)]])</f>
        <v>7818-19836</v>
      </c>
      <c r="N1692" s="1" t="s">
        <v>49</v>
      </c>
      <c r="O1692" s="6" t="str">
        <f>IF(Table2[[#This Row],[POG CONFIRMATION RECEIPT OF ORDER
(DATE &amp; TIME)]]="","No Confirmation","Received Confirmation")</f>
        <v>Received Confirmation</v>
      </c>
      <c r="P1692" s="6">
        <f ca="1">TODAY()-Table2[[#This Row],[DATE SENT TO POG]]</f>
        <v>120</v>
      </c>
      <c r="Q1692" s="6" t="s">
        <v>5803</v>
      </c>
      <c r="R16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2" s="2" t="str">
        <f>_xlfn.XLOOKUP(Table2[[#This Row],[Adjusted Form '#]],'[2]IN PROGRESS'!$D:$D,'[2]IN PROGRESS'!$M:$M,"Not Found")</f>
        <v>Not Found</v>
      </c>
      <c r="U1692" s="2" t="str">
        <f>_xlfn.XLOOKUP(Table2[[#This Row],[Adjusted Form '#]],[1]COMPLETED!$D:$D,[2]COMPLETED!$M:$M,"Not Found")</f>
        <v>Not Found</v>
      </c>
      <c r="V1692" s="17" t="str">
        <f>_xlfn.XLOOKUP(Table2[[#This Row],[Adjusted Form '#]],[2]COMPLETED!$D:$D,[2]COMPLETED!$O:$O,"Not Found")</f>
        <v>Not Found</v>
      </c>
      <c r="W1692" s="2" t="str">
        <f>_xlfn.XLOOKUP(Table2[[#This Row],[Adjusted Form '#]],[2]BILLED!$D:$D,[2]BILLED!$M:$M,"Not Found")</f>
        <v>9400 1361 0605 3389 4911 65</v>
      </c>
      <c r="X1692" s="17" t="e">
        <f>_xlfn.XLOOKUP(Table2[[#This Row],[Adjusted Form '#]],[2]BILLED!$D:$D,[1]BILLED!$O:$O,"Not Found")</f>
        <v>#REF!</v>
      </c>
      <c r="Y1692" s="17" t="e">
        <f>_xlfn.XLOOKUP(Table2[[#This Row],[Adjusted Form '#]],'[2]REJECTED ORDERS'!$D:$D,'[2]REJECTED ORDERS'!$E:$E)</f>
        <v>#N/A</v>
      </c>
      <c r="Z1692" s="1"/>
      <c r="AA1692" s="1"/>
    </row>
    <row r="1693" spans="1:27" ht="15" customHeight="1" x14ac:dyDescent="0.35">
      <c r="A1693" s="4" t="s">
        <v>2514</v>
      </c>
      <c r="B1693" s="1" t="s">
        <v>3177</v>
      </c>
      <c r="C1693" s="11">
        <v>45183</v>
      </c>
      <c r="D1693" s="11" t="s">
        <v>6958</v>
      </c>
      <c r="E1693" s="1" t="s">
        <v>21</v>
      </c>
      <c r="F1693" s="1" t="s">
        <v>6956</v>
      </c>
      <c r="G1693" s="6">
        <f>COUNTIF(F:F,Table2[[#This Row],[Form '#]])</f>
        <v>1</v>
      </c>
      <c r="H1693" s="1" t="s">
        <v>1053</v>
      </c>
      <c r="I1693" s="1" t="s">
        <v>758</v>
      </c>
      <c r="J1693" s="1" t="s">
        <v>78</v>
      </c>
      <c r="K1693" s="1" t="s">
        <v>3853</v>
      </c>
      <c r="L1693" s="1"/>
      <c r="M1693" s="6" t="str">
        <f>IF(Table2[[#This Row],[Corrected Form '#
 (If Duplicated)]]="",Table2[[#This Row],[Form '#]],Table2[[#This Row],[Corrected Form '#
 (If Duplicated)]])</f>
        <v>7818-4038</v>
      </c>
      <c r="N1693" s="1" t="s">
        <v>49</v>
      </c>
      <c r="O1693" s="6" t="str">
        <f>IF(Table2[[#This Row],[POG CONFIRMATION RECEIPT OF ORDER
(DATE &amp; TIME)]]="","No Confirmation","Received Confirmation")</f>
        <v>Received Confirmation</v>
      </c>
      <c r="P1693" s="6">
        <f ca="1">TODAY()-Table2[[#This Row],[DATE SENT TO POG]]</f>
        <v>120</v>
      </c>
      <c r="Q1693" s="6" t="s">
        <v>5802</v>
      </c>
      <c r="R16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69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693" s="2" t="str">
        <f>_xlfn.XLOOKUP(Table2[[#This Row],[Adjusted Form '#]],'[2]IN PROGRESS'!$D:$D,'[2]IN PROGRESS'!$M:$M,"Not Found")</f>
        <v>Not Found</v>
      </c>
      <c r="U1693" s="2" t="str">
        <f>_xlfn.XLOOKUP(Table2[[#This Row],[Adjusted Form '#]],[1]COMPLETED!$D:$D,[2]COMPLETED!$M:$M,"Not Found")</f>
        <v>Not Found</v>
      </c>
      <c r="V1693" s="17" t="str">
        <f>_xlfn.XLOOKUP(Table2[[#This Row],[Adjusted Form '#]],[2]COMPLETED!$D:$D,[2]COMPLETED!$O:$O,"Not Found")</f>
        <v>Not Found</v>
      </c>
      <c r="W1693" s="2" t="str">
        <f>_xlfn.XLOOKUP(Table2[[#This Row],[Adjusted Form '#]],[2]BILLED!$D:$D,[2]BILLED!$M:$M,"Not Found")</f>
        <v>Not Found</v>
      </c>
      <c r="X1693" s="17" t="str">
        <f>_xlfn.XLOOKUP(Table2[[#This Row],[Adjusted Form '#]],[2]BILLED!$D:$D,[1]BILLED!$O:$O,"Not Found")</f>
        <v>Not Found</v>
      </c>
      <c r="Y1693" s="17" t="e">
        <f>_xlfn.XLOOKUP(Table2[[#This Row],[Adjusted Form '#]],'[2]REJECTED ORDERS'!$D:$D,'[2]REJECTED ORDERS'!$E:$E)</f>
        <v>#N/A</v>
      </c>
      <c r="Z1693" s="1"/>
      <c r="AA1693" s="1"/>
    </row>
    <row r="1694" spans="1:27" ht="15" customHeight="1" x14ac:dyDescent="0.35">
      <c r="A1694" s="4" t="s">
        <v>2515</v>
      </c>
      <c r="B1694" s="1" t="s">
        <v>3177</v>
      </c>
      <c r="C1694" s="11">
        <v>45183</v>
      </c>
      <c r="D1694" s="11" t="s">
        <v>6958</v>
      </c>
      <c r="E1694" s="1" t="s">
        <v>21</v>
      </c>
      <c r="F1694" s="1" t="s">
        <v>6957</v>
      </c>
      <c r="G1694" s="6">
        <f>COUNTIF(F:F,Table2[[#This Row],[Form '#]])</f>
        <v>1</v>
      </c>
      <c r="H1694" s="1" t="s">
        <v>212</v>
      </c>
      <c r="I1694" s="1" t="s">
        <v>127</v>
      </c>
      <c r="J1694" s="1" t="s">
        <v>74</v>
      </c>
      <c r="K1694" s="1" t="s">
        <v>3891</v>
      </c>
      <c r="L1694" s="1"/>
      <c r="M1694" s="6" t="str">
        <f>IF(Table2[[#This Row],[Corrected Form '#
 (If Duplicated)]]="",Table2[[#This Row],[Form '#]],Table2[[#This Row],[Corrected Form '#
 (If Duplicated)]])</f>
        <v>7818-11903</v>
      </c>
      <c r="N1694" s="1" t="s">
        <v>49</v>
      </c>
      <c r="O1694" s="6" t="str">
        <f>IF(Table2[[#This Row],[POG CONFIRMATION RECEIPT OF ORDER
(DATE &amp; TIME)]]="","No Confirmation","Received Confirmation")</f>
        <v>Received Confirmation</v>
      </c>
      <c r="P1694" s="6">
        <f ca="1">TODAY()-Table2[[#This Row],[DATE SENT TO POG]]</f>
        <v>120</v>
      </c>
      <c r="Q1694" s="6" t="s">
        <v>5803</v>
      </c>
      <c r="R16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4" s="2" t="str">
        <f>_xlfn.XLOOKUP(Table2[[#This Row],[Adjusted Form '#]],'[2]IN PROGRESS'!$D:$D,'[2]IN PROGRESS'!$M:$M,"Not Found")</f>
        <v>Not Found</v>
      </c>
      <c r="U1694" s="2" t="str">
        <f>_xlfn.XLOOKUP(Table2[[#This Row],[Adjusted Form '#]],[1]COMPLETED!$D:$D,[2]COMPLETED!$M:$M,"Not Found")</f>
        <v>Not Found</v>
      </c>
      <c r="V1694" s="17" t="str">
        <f>_xlfn.XLOOKUP(Table2[[#This Row],[Adjusted Form '#]],[2]COMPLETED!$D:$D,[2]COMPLETED!$O:$O,"Not Found")</f>
        <v>Not Found</v>
      </c>
      <c r="W1694" s="2" t="str">
        <f>_xlfn.XLOOKUP(Table2[[#This Row],[Adjusted Form '#]],[2]BILLED!$D:$D,[2]BILLED!$M:$M,"Not Found")</f>
        <v>9400 1361 0605 3394 7272 11</v>
      </c>
      <c r="X1694" s="17" t="e">
        <f>_xlfn.XLOOKUP(Table2[[#This Row],[Adjusted Form '#]],[2]BILLED!$D:$D,[1]BILLED!$O:$O,"Not Found")</f>
        <v>#REF!</v>
      </c>
      <c r="Y1694" s="17" t="e">
        <f>_xlfn.XLOOKUP(Table2[[#This Row],[Adjusted Form '#]],'[2]REJECTED ORDERS'!$D:$D,'[2]REJECTED ORDERS'!$E:$E)</f>
        <v>#N/A</v>
      </c>
      <c r="Z1694" s="1"/>
      <c r="AA1694" s="1"/>
    </row>
    <row r="1695" spans="1:27" ht="15" customHeight="1" x14ac:dyDescent="0.35">
      <c r="A1695" s="4" t="s">
        <v>2516</v>
      </c>
      <c r="B1695" s="1" t="s">
        <v>182</v>
      </c>
      <c r="C1695" s="11">
        <v>45183</v>
      </c>
      <c r="D1695" s="11" t="s">
        <v>6966</v>
      </c>
      <c r="E1695" s="1" t="s">
        <v>21</v>
      </c>
      <c r="F1695" s="1" t="s">
        <v>6959</v>
      </c>
      <c r="G1695" s="6">
        <f>COUNTIF(F:F,Table2[[#This Row],[Form '#]])</f>
        <v>1</v>
      </c>
      <c r="H1695" s="1" t="s">
        <v>1607</v>
      </c>
      <c r="I1695" s="1" t="s">
        <v>3864</v>
      </c>
      <c r="J1695" s="1" t="s">
        <v>78</v>
      </c>
      <c r="K1695" s="1" t="s">
        <v>3879</v>
      </c>
      <c r="L1695" s="1"/>
      <c r="M1695" s="6" t="str">
        <f>IF(Table2[[#This Row],[Corrected Form '#
 (If Duplicated)]]="",Table2[[#This Row],[Form '#]],Table2[[#This Row],[Corrected Form '#
 (If Duplicated)]])</f>
        <v>7818-11623</v>
      </c>
      <c r="N1695" s="1" t="s">
        <v>49</v>
      </c>
      <c r="O1695" s="6" t="str">
        <f>IF(Table2[[#This Row],[POG CONFIRMATION RECEIPT OF ORDER
(DATE &amp; TIME)]]="","No Confirmation","Received Confirmation")</f>
        <v>Received Confirmation</v>
      </c>
      <c r="P1695" s="6">
        <f ca="1">TODAY()-Table2[[#This Row],[DATE SENT TO POG]]</f>
        <v>120</v>
      </c>
      <c r="Q1695" s="6" t="s">
        <v>5803</v>
      </c>
      <c r="R16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5" s="2" t="str">
        <f>_xlfn.XLOOKUP(Table2[[#This Row],[Adjusted Form '#]],'[2]IN PROGRESS'!$D:$D,'[2]IN PROGRESS'!$M:$M,"Not Found")</f>
        <v>Not Found</v>
      </c>
      <c r="U1695" s="2" t="str">
        <f>_xlfn.XLOOKUP(Table2[[#This Row],[Adjusted Form '#]],[1]COMPLETED!$D:$D,[2]COMPLETED!$M:$M,"Not Found")</f>
        <v>Not Found</v>
      </c>
      <c r="V1695" s="17" t="str">
        <f>_xlfn.XLOOKUP(Table2[[#This Row],[Adjusted Form '#]],[2]COMPLETED!$D:$D,[2]COMPLETED!$O:$O,"Not Found")</f>
        <v>Not Found</v>
      </c>
      <c r="W1695" s="2" t="str">
        <f>_xlfn.XLOOKUP(Table2[[#This Row],[Adjusted Form '#]],[2]BILLED!$D:$D,[2]BILLED!$M:$M,"Not Found")</f>
        <v>9400 1361 0605 3390 4652 78</v>
      </c>
      <c r="X1695" s="17" t="e">
        <f>_xlfn.XLOOKUP(Table2[[#This Row],[Adjusted Form '#]],[2]BILLED!$D:$D,[1]BILLED!$O:$O,"Not Found")</f>
        <v>#REF!</v>
      </c>
      <c r="Y1695" s="17" t="e">
        <f>_xlfn.XLOOKUP(Table2[[#This Row],[Adjusted Form '#]],'[2]REJECTED ORDERS'!$D:$D,'[2]REJECTED ORDERS'!$E:$E)</f>
        <v>#N/A</v>
      </c>
      <c r="Z1695" s="1"/>
      <c r="AA1695" s="1"/>
    </row>
    <row r="1696" spans="1:27" ht="15" customHeight="1" x14ac:dyDescent="0.35">
      <c r="A1696" s="4" t="s">
        <v>2518</v>
      </c>
      <c r="B1696" s="1" t="s">
        <v>1539</v>
      </c>
      <c r="C1696" s="11">
        <v>45183</v>
      </c>
      <c r="D1696" s="11" t="s">
        <v>6966</v>
      </c>
      <c r="E1696" s="1" t="s">
        <v>14</v>
      </c>
      <c r="F1696" s="1" t="s">
        <v>6960</v>
      </c>
      <c r="G1696" s="6">
        <f>COUNTIF(F:F,Table2[[#This Row],[Form '#]])</f>
        <v>1</v>
      </c>
      <c r="H1696" s="1" t="s">
        <v>6961</v>
      </c>
      <c r="I1696" s="1" t="s">
        <v>177</v>
      </c>
      <c r="J1696" s="1" t="s">
        <v>75</v>
      </c>
      <c r="K1696" s="1" t="s">
        <v>4430</v>
      </c>
      <c r="L1696" s="1"/>
      <c r="M1696" s="6" t="str">
        <f>IF(Table2[[#This Row],[Corrected Form '#
 (If Duplicated)]]="",Table2[[#This Row],[Form '#]],Table2[[#This Row],[Corrected Form '#
 (If Duplicated)]])</f>
        <v>7810-00580</v>
      </c>
      <c r="N1696" s="1" t="s">
        <v>49</v>
      </c>
      <c r="O1696" s="6" t="str">
        <f>IF(Table2[[#This Row],[POG CONFIRMATION RECEIPT OF ORDER
(DATE &amp; TIME)]]="","No Confirmation","Received Confirmation")</f>
        <v>Received Confirmation</v>
      </c>
      <c r="P1696" s="6">
        <f ca="1">TODAY()-Table2[[#This Row],[DATE SENT TO POG]]</f>
        <v>120</v>
      </c>
      <c r="Q1696" s="6" t="s">
        <v>5803</v>
      </c>
      <c r="R16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6" s="2" t="str">
        <f>_xlfn.XLOOKUP(Table2[[#This Row],[Adjusted Form '#]],'[2]IN PROGRESS'!$D:$D,'[2]IN PROGRESS'!$M:$M,"Not Found")</f>
        <v>Not Found</v>
      </c>
      <c r="U1696" s="2" t="str">
        <f>_xlfn.XLOOKUP(Table2[[#This Row],[Adjusted Form '#]],[1]COMPLETED!$D:$D,[2]COMPLETED!$M:$M,"Not Found")</f>
        <v>Not Found</v>
      </c>
      <c r="V1696" s="17" t="str">
        <f>_xlfn.XLOOKUP(Table2[[#This Row],[Adjusted Form '#]],[2]COMPLETED!$D:$D,[2]COMPLETED!$O:$O,"Not Found")</f>
        <v>Not Found</v>
      </c>
      <c r="W1696" s="2" t="str">
        <f>_xlfn.XLOOKUP(Table2[[#This Row],[Adjusted Form '#]],[2]BILLED!$D:$D,[2]BILLED!$M:$M,"Not Found")</f>
        <v>9400 1361 0605 3390 5055 78</v>
      </c>
      <c r="X1696" s="17" t="e">
        <f>_xlfn.XLOOKUP(Table2[[#This Row],[Adjusted Form '#]],[2]BILLED!$D:$D,[1]BILLED!$O:$O,"Not Found")</f>
        <v>#REF!</v>
      </c>
      <c r="Y1696" s="17" t="e">
        <f>_xlfn.XLOOKUP(Table2[[#This Row],[Adjusted Form '#]],'[2]REJECTED ORDERS'!$D:$D,'[2]REJECTED ORDERS'!$E:$E)</f>
        <v>#N/A</v>
      </c>
      <c r="Z1696" s="1"/>
      <c r="AA1696" s="1"/>
    </row>
    <row r="1697" spans="1:27" ht="15" customHeight="1" x14ac:dyDescent="0.35">
      <c r="A1697" s="4" t="s">
        <v>2519</v>
      </c>
      <c r="B1697" s="1" t="s">
        <v>1932</v>
      </c>
      <c r="C1697" s="11">
        <v>45183</v>
      </c>
      <c r="D1697" s="11" t="s">
        <v>6966</v>
      </c>
      <c r="E1697" s="1" t="s">
        <v>14</v>
      </c>
      <c r="F1697" s="1" t="s">
        <v>3576</v>
      </c>
      <c r="G1697" s="6">
        <f>COUNTIF(F:F,Table2[[#This Row],[Form '#]])</f>
        <v>1</v>
      </c>
      <c r="H1697" s="1" t="s">
        <v>789</v>
      </c>
      <c r="I1697" s="1" t="s">
        <v>3852</v>
      </c>
      <c r="J1697" s="1" t="s">
        <v>75</v>
      </c>
      <c r="K1697" s="1" t="s">
        <v>4430</v>
      </c>
      <c r="L1697" s="1"/>
      <c r="M1697" s="6" t="str">
        <f>IF(Table2[[#This Row],[Corrected Form '#
 (If Duplicated)]]="",Table2[[#This Row],[Form '#]],Table2[[#This Row],[Corrected Form '#
 (If Duplicated)]])</f>
        <v>7810-00582</v>
      </c>
      <c r="N1697" s="1" t="s">
        <v>49</v>
      </c>
      <c r="O1697" s="6" t="str">
        <f>IF(Table2[[#This Row],[POG CONFIRMATION RECEIPT OF ORDER
(DATE &amp; TIME)]]="","No Confirmation","Received Confirmation")</f>
        <v>Received Confirmation</v>
      </c>
      <c r="P1697" s="6">
        <f ca="1">TODAY()-Table2[[#This Row],[DATE SENT TO POG]]</f>
        <v>120</v>
      </c>
      <c r="Q1697" s="6" t="s">
        <v>5803</v>
      </c>
      <c r="R16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7" s="2" t="str">
        <f>_xlfn.XLOOKUP(Table2[[#This Row],[Adjusted Form '#]],'[2]IN PROGRESS'!$D:$D,'[2]IN PROGRESS'!$M:$M,"Not Found")</f>
        <v>Not Found</v>
      </c>
      <c r="U1697" s="2" t="str">
        <f>_xlfn.XLOOKUP(Table2[[#This Row],[Adjusted Form '#]],[1]COMPLETED!$D:$D,[2]COMPLETED!$M:$M,"Not Found")</f>
        <v>Not Found</v>
      </c>
      <c r="V1697" s="17" t="str">
        <f>_xlfn.XLOOKUP(Table2[[#This Row],[Adjusted Form '#]],[2]COMPLETED!$D:$D,[2]COMPLETED!$O:$O,"Not Found")</f>
        <v>Not Found</v>
      </c>
      <c r="W1697" s="2" t="str">
        <f>_xlfn.XLOOKUP(Table2[[#This Row],[Adjusted Form '#]],[2]BILLED!$D:$D,[2]BILLED!$M:$M,"Not Found")</f>
        <v>9402 1118 9956 1290 6057 10</v>
      </c>
      <c r="X1697" s="17" t="e">
        <f>_xlfn.XLOOKUP(Table2[[#This Row],[Adjusted Form '#]],[2]BILLED!$D:$D,[1]BILLED!$O:$O,"Not Found")</f>
        <v>#REF!</v>
      </c>
      <c r="Y1697" s="17" t="e">
        <f>_xlfn.XLOOKUP(Table2[[#This Row],[Adjusted Form '#]],'[2]REJECTED ORDERS'!$D:$D,'[2]REJECTED ORDERS'!$E:$E)</f>
        <v>#N/A</v>
      </c>
      <c r="Z1697" s="1"/>
      <c r="AA1697" s="1"/>
    </row>
    <row r="1698" spans="1:27" ht="15" customHeight="1" x14ac:dyDescent="0.35">
      <c r="A1698" s="4" t="s">
        <v>2521</v>
      </c>
      <c r="B1698" s="1" t="s">
        <v>2407</v>
      </c>
      <c r="C1698" s="11">
        <v>45183</v>
      </c>
      <c r="D1698" s="11" t="s">
        <v>6967</v>
      </c>
      <c r="E1698" s="1" t="s">
        <v>21</v>
      </c>
      <c r="F1698" s="1" t="s">
        <v>6962</v>
      </c>
      <c r="G1698" s="6">
        <f>COUNTIF(F:F,Table2[[#This Row],[Form '#]])</f>
        <v>1</v>
      </c>
      <c r="H1698" s="1" t="s">
        <v>6963</v>
      </c>
      <c r="I1698" s="1" t="s">
        <v>3852</v>
      </c>
      <c r="J1698" s="1" t="s">
        <v>80</v>
      </c>
      <c r="K1698" s="1" t="s">
        <v>4430</v>
      </c>
      <c r="L1698" s="1"/>
      <c r="M1698" s="6" t="str">
        <f>IF(Table2[[#This Row],[Corrected Form '#
 (If Duplicated)]]="",Table2[[#This Row],[Form '#]],Table2[[#This Row],[Corrected Form '#
 (If Duplicated)]])</f>
        <v>7818-25016</v>
      </c>
      <c r="N1698" s="1" t="s">
        <v>49</v>
      </c>
      <c r="O1698" s="6" t="str">
        <f>IF(Table2[[#This Row],[POG CONFIRMATION RECEIPT OF ORDER
(DATE &amp; TIME)]]="","No Confirmation","Received Confirmation")</f>
        <v>Received Confirmation</v>
      </c>
      <c r="P1698" s="6">
        <f ca="1">TODAY()-Table2[[#This Row],[DATE SENT TO POG]]</f>
        <v>120</v>
      </c>
      <c r="Q1698" s="6" t="s">
        <v>5803</v>
      </c>
      <c r="R16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8" s="2" t="str">
        <f>_xlfn.XLOOKUP(Table2[[#This Row],[Adjusted Form '#]],'[2]IN PROGRESS'!$D:$D,'[2]IN PROGRESS'!$M:$M,"Not Found")</f>
        <v>Not Found</v>
      </c>
      <c r="U1698" s="2" t="str">
        <f>_xlfn.XLOOKUP(Table2[[#This Row],[Adjusted Form '#]],[1]COMPLETED!$D:$D,[2]COMPLETED!$M:$M,"Not Found")</f>
        <v>Not Found</v>
      </c>
      <c r="V1698" s="17" t="str">
        <f>_xlfn.XLOOKUP(Table2[[#This Row],[Adjusted Form '#]],[2]COMPLETED!$D:$D,[2]COMPLETED!$O:$O,"Not Found")</f>
        <v>Not Found</v>
      </c>
      <c r="W1698" s="2" t="str">
        <f>_xlfn.XLOOKUP(Table2[[#This Row],[Adjusted Form '#]],[2]BILLED!$D:$D,[2]BILLED!$M:$M,"Not Found")</f>
        <v>9400 1361 0605 3407 3047 67</v>
      </c>
      <c r="X1698" s="17" t="e">
        <f>_xlfn.XLOOKUP(Table2[[#This Row],[Adjusted Form '#]],[2]BILLED!$D:$D,[1]BILLED!$O:$O,"Not Found")</f>
        <v>#REF!</v>
      </c>
      <c r="Y1698" s="17" t="e">
        <f>_xlfn.XLOOKUP(Table2[[#This Row],[Adjusted Form '#]],'[2]REJECTED ORDERS'!$D:$D,'[2]REJECTED ORDERS'!$E:$E)</f>
        <v>#N/A</v>
      </c>
      <c r="Z1698" s="1"/>
      <c r="AA1698" s="1"/>
    </row>
    <row r="1699" spans="1:27" ht="15" customHeight="1" x14ac:dyDescent="0.35">
      <c r="A1699" s="4" t="s">
        <v>2522</v>
      </c>
      <c r="B1699" s="1" t="s">
        <v>3515</v>
      </c>
      <c r="C1699" s="11">
        <v>45183</v>
      </c>
      <c r="D1699" s="11" t="s">
        <v>6967</v>
      </c>
      <c r="E1699" s="1" t="s">
        <v>21</v>
      </c>
      <c r="F1699" s="1" t="s">
        <v>6964</v>
      </c>
      <c r="G1699" s="6">
        <f>COUNTIF(F:F,Table2[[#This Row],[Form '#]])</f>
        <v>1</v>
      </c>
      <c r="H1699" s="1" t="s">
        <v>6965</v>
      </c>
      <c r="I1699" s="1" t="s">
        <v>127</v>
      </c>
      <c r="J1699" s="1" t="s">
        <v>76</v>
      </c>
      <c r="K1699" s="1" t="s">
        <v>4011</v>
      </c>
      <c r="L1699" s="1"/>
      <c r="M1699" s="6" t="str">
        <f>IF(Table2[[#This Row],[Corrected Form '#
 (If Duplicated)]]="",Table2[[#This Row],[Form '#]],Table2[[#This Row],[Corrected Form '#
 (If Duplicated)]])</f>
        <v>7818-30929</v>
      </c>
      <c r="N1699" s="1" t="s">
        <v>49</v>
      </c>
      <c r="O1699" s="6" t="str">
        <f>IF(Table2[[#This Row],[POG CONFIRMATION RECEIPT OF ORDER
(DATE &amp; TIME)]]="","No Confirmation","Received Confirmation")</f>
        <v>Received Confirmation</v>
      </c>
      <c r="P1699" s="6">
        <f ca="1">TODAY()-Table2[[#This Row],[DATE SENT TO POG]]</f>
        <v>120</v>
      </c>
      <c r="Q1699" s="6" t="s">
        <v>5803</v>
      </c>
      <c r="R16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6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699" s="2" t="str">
        <f>_xlfn.XLOOKUP(Table2[[#This Row],[Adjusted Form '#]],'[2]IN PROGRESS'!$D:$D,'[2]IN PROGRESS'!$M:$M,"Not Found")</f>
        <v>Not Found</v>
      </c>
      <c r="U1699" s="2" t="str">
        <f>_xlfn.XLOOKUP(Table2[[#This Row],[Adjusted Form '#]],[1]COMPLETED!$D:$D,[2]COMPLETED!$M:$M,"Not Found")</f>
        <v>Not Found</v>
      </c>
      <c r="V1699" s="17" t="str">
        <f>_xlfn.XLOOKUP(Table2[[#This Row],[Adjusted Form '#]],[2]COMPLETED!$D:$D,[2]COMPLETED!$O:$O,"Not Found")</f>
        <v>Not Found</v>
      </c>
      <c r="W1699" s="2" t="str">
        <f>_xlfn.XLOOKUP(Table2[[#This Row],[Adjusted Form '#]],[2]BILLED!$D:$D,[2]BILLED!$M:$M,"Not Found")</f>
        <v>9400 1361 0605 3389 5053 50</v>
      </c>
      <c r="X1699" s="17" t="e">
        <f>_xlfn.XLOOKUP(Table2[[#This Row],[Adjusted Form '#]],[2]BILLED!$D:$D,[1]BILLED!$O:$O,"Not Found")</f>
        <v>#REF!</v>
      </c>
      <c r="Y1699" s="17" t="e">
        <f>_xlfn.XLOOKUP(Table2[[#This Row],[Adjusted Form '#]],'[2]REJECTED ORDERS'!$D:$D,'[2]REJECTED ORDERS'!$E:$E)</f>
        <v>#N/A</v>
      </c>
      <c r="Z1699" s="1"/>
      <c r="AA1699" s="1"/>
    </row>
    <row r="1700" spans="1:27" ht="15" customHeight="1" x14ac:dyDescent="0.35">
      <c r="A1700" s="4" t="s">
        <v>2523</v>
      </c>
      <c r="B1700" s="1" t="s">
        <v>6535</v>
      </c>
      <c r="C1700" s="11">
        <v>45184</v>
      </c>
      <c r="D1700" s="11" t="s">
        <v>6975</v>
      </c>
      <c r="E1700" s="1" t="s">
        <v>191</v>
      </c>
      <c r="F1700" s="1" t="s">
        <v>6968</v>
      </c>
      <c r="G1700" s="6">
        <f>COUNTIF(F:F,Table2[[#This Row],[Form '#]])</f>
        <v>1</v>
      </c>
      <c r="H1700" s="1" t="s">
        <v>3593</v>
      </c>
      <c r="I1700" s="1" t="s">
        <v>3864</v>
      </c>
      <c r="J1700" s="1" t="s">
        <v>78</v>
      </c>
      <c r="K1700" s="1" t="s">
        <v>3879</v>
      </c>
      <c r="L1700" s="1"/>
      <c r="M1700" s="6" t="str">
        <f>IF(Table2[[#This Row],[Corrected Form '#
 (If Duplicated)]]="",Table2[[#This Row],[Form '#]],Table2[[#This Row],[Corrected Form '#
 (If Duplicated)]])</f>
        <v>7812-04949</v>
      </c>
      <c r="N1700" s="1" t="s">
        <v>49</v>
      </c>
      <c r="O1700" s="6" t="str">
        <f>IF(Table2[[#This Row],[POG CONFIRMATION RECEIPT OF ORDER
(DATE &amp; TIME)]]="","No Confirmation","Received Confirmation")</f>
        <v>Received Confirmation</v>
      </c>
      <c r="P1700" s="6">
        <f ca="1">TODAY()-Table2[[#This Row],[DATE SENT TO POG]]</f>
        <v>119</v>
      </c>
      <c r="Q1700" s="6" t="s">
        <v>5803</v>
      </c>
      <c r="R17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0" s="2" t="str">
        <f>_xlfn.XLOOKUP(Table2[[#This Row],[Adjusted Form '#]],'[2]IN PROGRESS'!$D:$D,'[2]IN PROGRESS'!$M:$M,"Not Found")</f>
        <v>Not Found</v>
      </c>
      <c r="U1700" s="2" t="str">
        <f>_xlfn.XLOOKUP(Table2[[#This Row],[Adjusted Form '#]],[1]COMPLETED!$D:$D,[2]COMPLETED!$M:$M,"Not Found")</f>
        <v>Not Found</v>
      </c>
      <c r="V1700" s="17" t="str">
        <f>_xlfn.XLOOKUP(Table2[[#This Row],[Adjusted Form '#]],[2]COMPLETED!$D:$D,[2]COMPLETED!$O:$O,"Not Found")</f>
        <v>Not Found</v>
      </c>
      <c r="W1700" s="2" t="str">
        <f>_xlfn.XLOOKUP(Table2[[#This Row],[Adjusted Form '#]],[2]BILLED!$D:$D,[2]BILLED!$M:$M,"Not Found")</f>
        <v>9400 1361 0605 3414 8855 32</v>
      </c>
      <c r="X1700" s="17" t="e">
        <f>_xlfn.XLOOKUP(Table2[[#This Row],[Adjusted Form '#]],[2]BILLED!$D:$D,[1]BILLED!$O:$O,"Not Found")</f>
        <v>#REF!</v>
      </c>
      <c r="Y1700" s="17" t="e">
        <f>_xlfn.XLOOKUP(Table2[[#This Row],[Adjusted Form '#]],'[2]REJECTED ORDERS'!$D:$D,'[2]REJECTED ORDERS'!$E:$E)</f>
        <v>#N/A</v>
      </c>
      <c r="Z1700" s="1"/>
      <c r="AA1700" s="1"/>
    </row>
    <row r="1701" spans="1:27" ht="15" customHeight="1" x14ac:dyDescent="0.35">
      <c r="A1701" s="4" t="s">
        <v>2525</v>
      </c>
      <c r="B1701" s="1" t="s">
        <v>6535</v>
      </c>
      <c r="C1701" s="11">
        <v>45184</v>
      </c>
      <c r="D1701" s="11" t="s">
        <v>6975</v>
      </c>
      <c r="E1701" s="1" t="s">
        <v>191</v>
      </c>
      <c r="F1701" s="1" t="s">
        <v>6969</v>
      </c>
      <c r="G1701" s="6">
        <f>COUNTIF(F:F,Table2[[#This Row],[Form '#]])</f>
        <v>1</v>
      </c>
      <c r="H1701" s="1" t="s">
        <v>6970</v>
      </c>
      <c r="I1701" s="1" t="s">
        <v>127</v>
      </c>
      <c r="J1701" s="1" t="s">
        <v>76</v>
      </c>
      <c r="K1701" s="1" t="s">
        <v>3883</v>
      </c>
      <c r="L1701" s="1"/>
      <c r="M1701" s="6" t="str">
        <f>IF(Table2[[#This Row],[Corrected Form '#
 (If Duplicated)]]="",Table2[[#This Row],[Form '#]],Table2[[#This Row],[Corrected Form '#
 (If Duplicated)]])</f>
        <v>7812-3588</v>
      </c>
      <c r="N1701" s="1" t="s">
        <v>49</v>
      </c>
      <c r="O1701" s="6" t="str">
        <f>IF(Table2[[#This Row],[POG CONFIRMATION RECEIPT OF ORDER
(DATE &amp; TIME)]]="","No Confirmation","Received Confirmation")</f>
        <v>Received Confirmation</v>
      </c>
      <c r="P1701" s="6">
        <f ca="1">TODAY()-Table2[[#This Row],[DATE SENT TO POG]]</f>
        <v>119</v>
      </c>
      <c r="Q1701" s="6" t="s">
        <v>5803</v>
      </c>
      <c r="R17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1" s="2" t="str">
        <f>_xlfn.XLOOKUP(Table2[[#This Row],[Adjusted Form '#]],'[2]IN PROGRESS'!$D:$D,'[2]IN PROGRESS'!$M:$M,"Not Found")</f>
        <v>Not Found</v>
      </c>
      <c r="U1701" s="2" t="str">
        <f>_xlfn.XLOOKUP(Table2[[#This Row],[Adjusted Form '#]],[1]COMPLETED!$D:$D,[2]COMPLETED!$M:$M,"Not Found")</f>
        <v>Not Found</v>
      </c>
      <c r="V1701" s="17" t="str">
        <f>_xlfn.XLOOKUP(Table2[[#This Row],[Adjusted Form '#]],[2]COMPLETED!$D:$D,[2]COMPLETED!$O:$O,"Not Found")</f>
        <v>Not Found</v>
      </c>
      <c r="W1701" s="2" t="str">
        <f>_xlfn.XLOOKUP(Table2[[#This Row],[Adjusted Form '#]],[2]BILLED!$D:$D,[2]BILLED!$M:$M,"Not Found")</f>
        <v>9400 1361 0605 3395 8952 09</v>
      </c>
      <c r="X1701" s="17" t="e">
        <f>_xlfn.XLOOKUP(Table2[[#This Row],[Adjusted Form '#]],[2]BILLED!$D:$D,[1]BILLED!$O:$O,"Not Found")</f>
        <v>#REF!</v>
      </c>
      <c r="Y1701" s="17" t="e">
        <f>_xlfn.XLOOKUP(Table2[[#This Row],[Adjusted Form '#]],'[2]REJECTED ORDERS'!$D:$D,'[2]REJECTED ORDERS'!$E:$E)</f>
        <v>#N/A</v>
      </c>
      <c r="Z1701" s="1"/>
      <c r="AA1701" s="1"/>
    </row>
    <row r="1702" spans="1:27" ht="15" customHeight="1" x14ac:dyDescent="0.35">
      <c r="A1702" s="4" t="s">
        <v>2526</v>
      </c>
      <c r="B1702" s="1" t="s">
        <v>5660</v>
      </c>
      <c r="C1702" s="11">
        <v>45184</v>
      </c>
      <c r="D1702" s="11" t="s">
        <v>6976</v>
      </c>
      <c r="E1702" s="1" t="s">
        <v>73</v>
      </c>
      <c r="F1702" s="1" t="s">
        <v>6971</v>
      </c>
      <c r="G1702" s="6">
        <f>COUNTIF(F:F,Table2[[#This Row],[Form '#]])</f>
        <v>1</v>
      </c>
      <c r="H1702" s="1" t="s">
        <v>6972</v>
      </c>
      <c r="I1702" s="1" t="s">
        <v>177</v>
      </c>
      <c r="J1702" s="1" t="s">
        <v>75</v>
      </c>
      <c r="K1702" s="1" t="s">
        <v>3853</v>
      </c>
      <c r="L1702" s="1"/>
      <c r="M1702" s="6" t="str">
        <f>IF(Table2[[#This Row],[Corrected Form '#
 (If Duplicated)]]="",Table2[[#This Row],[Form '#]],Table2[[#This Row],[Corrected Form '#
 (If Duplicated)]])</f>
        <v>7823-03337</v>
      </c>
      <c r="N1702" s="1" t="s">
        <v>49</v>
      </c>
      <c r="O1702" s="6" t="str">
        <f>IF(Table2[[#This Row],[POG CONFIRMATION RECEIPT OF ORDER
(DATE &amp; TIME)]]="","No Confirmation","Received Confirmation")</f>
        <v>Received Confirmation</v>
      </c>
      <c r="P1702" s="6">
        <f ca="1">TODAY()-Table2[[#This Row],[DATE SENT TO POG]]</f>
        <v>119</v>
      </c>
      <c r="Q1702" s="6" t="s">
        <v>5803</v>
      </c>
      <c r="R17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2" s="2" t="str">
        <f>_xlfn.XLOOKUP(Table2[[#This Row],[Adjusted Form '#]],'[2]IN PROGRESS'!$D:$D,'[2]IN PROGRESS'!$M:$M,"Not Found")</f>
        <v>Not Found</v>
      </c>
      <c r="U1702" s="2" t="str">
        <f>_xlfn.XLOOKUP(Table2[[#This Row],[Adjusted Form '#]],[1]COMPLETED!$D:$D,[2]COMPLETED!$M:$M,"Not Found")</f>
        <v>Not Found</v>
      </c>
      <c r="V1702" s="17" t="str">
        <f>_xlfn.XLOOKUP(Table2[[#This Row],[Adjusted Form '#]],[2]COMPLETED!$D:$D,[2]COMPLETED!$O:$O,"Not Found")</f>
        <v>Not Found</v>
      </c>
      <c r="W1702" s="2" t="str">
        <f>_xlfn.XLOOKUP(Table2[[#This Row],[Adjusted Form '#]],[2]BILLED!$D:$D,[2]BILLED!$M:$M,"Not Found")</f>
        <v>9400 1112 0620 9549 1804 48</v>
      </c>
      <c r="X1702" s="17" t="e">
        <f>_xlfn.XLOOKUP(Table2[[#This Row],[Adjusted Form '#]],[2]BILLED!$D:$D,[1]BILLED!$O:$O,"Not Found")</f>
        <v>#REF!</v>
      </c>
      <c r="Y1702" s="17" t="e">
        <f>_xlfn.XLOOKUP(Table2[[#This Row],[Adjusted Form '#]],'[2]REJECTED ORDERS'!$D:$D,'[2]REJECTED ORDERS'!$E:$E)</f>
        <v>#N/A</v>
      </c>
      <c r="Z1702" s="1"/>
      <c r="AA1702" s="1"/>
    </row>
    <row r="1703" spans="1:27" ht="15" customHeight="1" x14ac:dyDescent="0.35">
      <c r="A1703" s="4" t="s">
        <v>2527</v>
      </c>
      <c r="B1703" s="1" t="s">
        <v>3550</v>
      </c>
      <c r="C1703" s="11">
        <v>45184</v>
      </c>
      <c r="D1703" s="11" t="s">
        <v>6976</v>
      </c>
      <c r="E1703" s="1" t="s">
        <v>21</v>
      </c>
      <c r="F1703" s="1" t="s">
        <v>6973</v>
      </c>
      <c r="G1703" s="6">
        <f>COUNTIF(F:F,Table2[[#This Row],[Form '#]])</f>
        <v>1</v>
      </c>
      <c r="H1703" s="1" t="s">
        <v>6974</v>
      </c>
      <c r="I1703" s="1" t="s">
        <v>758</v>
      </c>
      <c r="J1703" s="1" t="s">
        <v>78</v>
      </c>
      <c r="K1703" s="1" t="s">
        <v>3853</v>
      </c>
      <c r="L1703" s="1"/>
      <c r="M1703" s="6" t="str">
        <f>IF(Table2[[#This Row],[Corrected Form '#
 (If Duplicated)]]="",Table2[[#This Row],[Form '#]],Table2[[#This Row],[Corrected Form '#
 (If Duplicated)]])</f>
        <v>7818-08488</v>
      </c>
      <c r="N1703" s="1" t="s">
        <v>49</v>
      </c>
      <c r="O1703" s="6" t="str">
        <f>IF(Table2[[#This Row],[POG CONFIRMATION RECEIPT OF ORDER
(DATE &amp; TIME)]]="","No Confirmation","Received Confirmation")</f>
        <v>Received Confirmation</v>
      </c>
      <c r="P1703" s="6">
        <f ca="1">TODAY()-Table2[[#This Row],[DATE SENT TO POG]]</f>
        <v>119</v>
      </c>
      <c r="Q1703" s="6" t="s">
        <v>5803</v>
      </c>
      <c r="R17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3" s="2" t="str">
        <f>_xlfn.XLOOKUP(Table2[[#This Row],[Adjusted Form '#]],'[2]IN PROGRESS'!$D:$D,'[2]IN PROGRESS'!$M:$M,"Not Found")</f>
        <v>Not Found</v>
      </c>
      <c r="U1703" s="2" t="str">
        <f>_xlfn.XLOOKUP(Table2[[#This Row],[Adjusted Form '#]],[1]COMPLETED!$D:$D,[2]COMPLETED!$M:$M,"Not Found")</f>
        <v>Not Found</v>
      </c>
      <c r="V1703" s="17" t="str">
        <f>_xlfn.XLOOKUP(Table2[[#This Row],[Adjusted Form '#]],[2]COMPLETED!$D:$D,[2]COMPLETED!$O:$O,"Not Found")</f>
        <v>Not Found</v>
      </c>
      <c r="W1703" s="2" t="str">
        <f>_xlfn.XLOOKUP(Table2[[#This Row],[Adjusted Form '#]],[2]BILLED!$D:$D,[2]BILLED!$M:$M,"Not Found")</f>
        <v>9400 1361 0605 3386 8035 72</v>
      </c>
      <c r="X1703" s="17" t="e">
        <f>_xlfn.XLOOKUP(Table2[[#This Row],[Adjusted Form '#]],[2]BILLED!$D:$D,[1]BILLED!$O:$O,"Not Found")</f>
        <v>#REF!</v>
      </c>
      <c r="Y1703" s="17" t="e">
        <f>_xlfn.XLOOKUP(Table2[[#This Row],[Adjusted Form '#]],'[2]REJECTED ORDERS'!$D:$D,'[2]REJECTED ORDERS'!$E:$E)</f>
        <v>#N/A</v>
      </c>
      <c r="Z1703" s="1"/>
      <c r="AA1703" s="1"/>
    </row>
    <row r="1704" spans="1:27" ht="15" customHeight="1" x14ac:dyDescent="0.35">
      <c r="A1704" s="4" t="s">
        <v>2529</v>
      </c>
      <c r="B1704" s="1" t="s">
        <v>1767</v>
      </c>
      <c r="C1704" s="11">
        <v>45184</v>
      </c>
      <c r="D1704" s="11" t="s">
        <v>6978</v>
      </c>
      <c r="E1704" s="1" t="s">
        <v>14</v>
      </c>
      <c r="F1704" s="1" t="s">
        <v>6977</v>
      </c>
      <c r="G1704" s="6">
        <f>COUNTIF(F:F,Table2[[#This Row],[Form '#]])</f>
        <v>1</v>
      </c>
      <c r="H1704" s="1" t="s">
        <v>819</v>
      </c>
      <c r="I1704" s="1" t="s">
        <v>28</v>
      </c>
      <c r="J1704" s="1" t="s">
        <v>69</v>
      </c>
      <c r="K1704" s="1" t="s">
        <v>4011</v>
      </c>
      <c r="L1704" s="1"/>
      <c r="M1704" s="6" t="str">
        <f>IF(Table2[[#This Row],[Corrected Form '#
 (If Duplicated)]]="",Table2[[#This Row],[Form '#]],Table2[[#This Row],[Corrected Form '#
 (If Duplicated)]])</f>
        <v>7810-02233</v>
      </c>
      <c r="N1704" s="1" t="s">
        <v>49</v>
      </c>
      <c r="O1704" s="6" t="str">
        <f>IF(Table2[[#This Row],[POG CONFIRMATION RECEIPT OF ORDER
(DATE &amp; TIME)]]="","No Confirmation","Received Confirmation")</f>
        <v>Received Confirmation</v>
      </c>
      <c r="P1704" s="6">
        <f ca="1">TODAY()-Table2[[#This Row],[DATE SENT TO POG]]</f>
        <v>119</v>
      </c>
      <c r="Q1704" s="6" t="s">
        <v>5803</v>
      </c>
      <c r="R17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4" s="2" t="str">
        <f>_xlfn.XLOOKUP(Table2[[#This Row],[Adjusted Form '#]],'[2]IN PROGRESS'!$D:$D,'[2]IN PROGRESS'!$M:$M,"Not Found")</f>
        <v>Not Found</v>
      </c>
      <c r="U1704" s="2" t="str">
        <f>_xlfn.XLOOKUP(Table2[[#This Row],[Adjusted Form '#]],[1]COMPLETED!$D:$D,[2]COMPLETED!$M:$M,"Not Found")</f>
        <v>Not Found</v>
      </c>
      <c r="V1704" s="17" t="str">
        <f>_xlfn.XLOOKUP(Table2[[#This Row],[Adjusted Form '#]],[2]COMPLETED!$D:$D,[2]COMPLETED!$O:$O,"Not Found")</f>
        <v>Not Found</v>
      </c>
      <c r="W1704" s="2" t="str">
        <f>_xlfn.XLOOKUP(Table2[[#This Row],[Adjusted Form '#]],[2]BILLED!$D:$D,[2]BILLED!$M:$M,"Not Found")</f>
        <v>9400 1361 0605 3386 9038 21</v>
      </c>
      <c r="X1704" s="17" t="e">
        <f>_xlfn.XLOOKUP(Table2[[#This Row],[Adjusted Form '#]],[2]BILLED!$D:$D,[1]BILLED!$O:$O,"Not Found")</f>
        <v>#REF!</v>
      </c>
      <c r="Y1704" s="17" t="e">
        <f>_xlfn.XLOOKUP(Table2[[#This Row],[Adjusted Form '#]],'[2]REJECTED ORDERS'!$D:$D,'[2]REJECTED ORDERS'!$E:$E)</f>
        <v>#N/A</v>
      </c>
      <c r="Z1704" s="1"/>
      <c r="AA1704" s="1"/>
    </row>
    <row r="1705" spans="1:27" ht="15" customHeight="1" x14ac:dyDescent="0.35">
      <c r="A1705" s="4" t="s">
        <v>2530</v>
      </c>
      <c r="B1705" s="1" t="s">
        <v>815</v>
      </c>
      <c r="C1705" s="11">
        <v>45184</v>
      </c>
      <c r="D1705" s="11" t="s">
        <v>6982</v>
      </c>
      <c r="E1705" s="1" t="s">
        <v>73</v>
      </c>
      <c r="F1705" s="1" t="s">
        <v>6980</v>
      </c>
      <c r="G1705" s="6">
        <f>COUNTIF(F:F,Table2[[#This Row],[Form '#]])</f>
        <v>1</v>
      </c>
      <c r="H1705" s="1" t="s">
        <v>6981</v>
      </c>
      <c r="I1705" s="1" t="s">
        <v>3864</v>
      </c>
      <c r="J1705" s="1" t="s">
        <v>78</v>
      </c>
      <c r="K1705" s="1" t="s">
        <v>3879</v>
      </c>
      <c r="L1705" s="1"/>
      <c r="M1705" s="6" t="str">
        <f>IF(Table2[[#This Row],[Corrected Form '#
 (If Duplicated)]]="",Table2[[#This Row],[Form '#]],Table2[[#This Row],[Corrected Form '#
 (If Duplicated)]])</f>
        <v>7823-03231</v>
      </c>
      <c r="N1705" s="1" t="s">
        <v>49</v>
      </c>
      <c r="O1705" s="6" t="str">
        <f>IF(Table2[[#This Row],[POG CONFIRMATION RECEIPT OF ORDER
(DATE &amp; TIME)]]="","No Confirmation","Received Confirmation")</f>
        <v>Received Confirmation</v>
      </c>
      <c r="P1705" s="6">
        <f ca="1">TODAY()-Table2[[#This Row],[DATE SENT TO POG]]</f>
        <v>119</v>
      </c>
      <c r="Q1705" s="6" t="s">
        <v>5803</v>
      </c>
      <c r="R17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5" s="2" t="str">
        <f>_xlfn.XLOOKUP(Table2[[#This Row],[Adjusted Form '#]],'[2]IN PROGRESS'!$D:$D,'[2]IN PROGRESS'!$M:$M,"Not Found")</f>
        <v>Not Found</v>
      </c>
      <c r="U1705" s="2" t="str">
        <f>_xlfn.XLOOKUP(Table2[[#This Row],[Adjusted Form '#]],[1]COMPLETED!$D:$D,[2]COMPLETED!$M:$M,"Not Found")</f>
        <v>Not Found</v>
      </c>
      <c r="V1705" s="17" t="str">
        <f>_xlfn.XLOOKUP(Table2[[#This Row],[Adjusted Form '#]],[2]COMPLETED!$D:$D,[2]COMPLETED!$O:$O,"Not Found")</f>
        <v>Not Found</v>
      </c>
      <c r="W1705" s="2" t="str">
        <f>_xlfn.XLOOKUP(Table2[[#This Row],[Adjusted Form '#]],[2]BILLED!$D:$D,[2]BILLED!$M:$M,"Not Found")</f>
        <v>9400 1361 0605 3461 9224 95</v>
      </c>
      <c r="X1705" s="17" t="e">
        <f>_xlfn.XLOOKUP(Table2[[#This Row],[Adjusted Form '#]],[2]BILLED!$D:$D,[1]BILLED!$O:$O,"Not Found")</f>
        <v>#REF!</v>
      </c>
      <c r="Y1705" s="17" t="e">
        <f>_xlfn.XLOOKUP(Table2[[#This Row],[Adjusted Form '#]],'[2]REJECTED ORDERS'!$D:$D,'[2]REJECTED ORDERS'!$E:$E)</f>
        <v>#N/A</v>
      </c>
      <c r="Z1705" s="1"/>
      <c r="AA1705" s="1"/>
    </row>
    <row r="1706" spans="1:27" ht="15" customHeight="1" x14ac:dyDescent="0.35">
      <c r="A1706" s="4" t="s">
        <v>2531</v>
      </c>
      <c r="B1706" s="1" t="s">
        <v>3515</v>
      </c>
      <c r="C1706" s="11">
        <v>45184</v>
      </c>
      <c r="D1706" s="11" t="s">
        <v>6985</v>
      </c>
      <c r="E1706" s="1" t="s">
        <v>21</v>
      </c>
      <c r="F1706" s="1" t="s">
        <v>6983</v>
      </c>
      <c r="G1706" s="6">
        <f>COUNTIF(F:F,Table2[[#This Row],[Form '#]])</f>
        <v>1</v>
      </c>
      <c r="H1706" s="1" t="s">
        <v>6984</v>
      </c>
      <c r="I1706" s="1" t="s">
        <v>127</v>
      </c>
      <c r="J1706" s="1" t="s">
        <v>76</v>
      </c>
      <c r="K1706" s="1" t="s">
        <v>3883</v>
      </c>
      <c r="L1706" s="1"/>
      <c r="M1706" s="6" t="str">
        <f>IF(Table2[[#This Row],[Corrected Form '#
 (If Duplicated)]]="",Table2[[#This Row],[Form '#]],Table2[[#This Row],[Corrected Form '#
 (If Duplicated)]])</f>
        <v>7818-29427</v>
      </c>
      <c r="N1706" s="1" t="s">
        <v>49</v>
      </c>
      <c r="O1706" s="6" t="str">
        <f>IF(Table2[[#This Row],[POG CONFIRMATION RECEIPT OF ORDER
(DATE &amp; TIME)]]="","No Confirmation","Received Confirmation")</f>
        <v>Received Confirmation</v>
      </c>
      <c r="P1706" s="6">
        <f ca="1">TODAY()-Table2[[#This Row],[DATE SENT TO POG]]</f>
        <v>119</v>
      </c>
      <c r="Q1706" s="6" t="s">
        <v>5803</v>
      </c>
      <c r="R17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6" s="2" t="str">
        <f>_xlfn.XLOOKUP(Table2[[#This Row],[Adjusted Form '#]],'[2]IN PROGRESS'!$D:$D,'[2]IN PROGRESS'!$M:$M,"Not Found")</f>
        <v>Not Found</v>
      </c>
      <c r="U1706" s="2" t="str">
        <f>_xlfn.XLOOKUP(Table2[[#This Row],[Adjusted Form '#]],[1]COMPLETED!$D:$D,[2]COMPLETED!$M:$M,"Not Found")</f>
        <v>Not Found</v>
      </c>
      <c r="V1706" s="17" t="str">
        <f>_xlfn.XLOOKUP(Table2[[#This Row],[Adjusted Form '#]],[2]COMPLETED!$D:$D,[2]COMPLETED!$O:$O,"Not Found")</f>
        <v>Not Found</v>
      </c>
      <c r="W1706" s="2" t="str">
        <f>_xlfn.XLOOKUP(Table2[[#This Row],[Adjusted Form '#]],[2]BILLED!$D:$D,[2]BILLED!$M:$M,"Not Found")</f>
        <v>9400 1361 0605 3398 7035 63</v>
      </c>
      <c r="X1706" s="17" t="e">
        <f>_xlfn.XLOOKUP(Table2[[#This Row],[Adjusted Form '#]],[2]BILLED!$D:$D,[1]BILLED!$O:$O,"Not Found")</f>
        <v>#REF!</v>
      </c>
      <c r="Y1706" s="17" t="str">
        <f>_xlfn.XLOOKUP(Table2[[#This Row],[Adjusted Form '#]],'[2]REJECTED ORDERS'!$D:$D,'[2]REJECTED ORDERS'!$E:$E)</f>
        <v>FORM NOT SIGNED</v>
      </c>
      <c r="Z1706" s="1"/>
      <c r="AA1706" s="1"/>
    </row>
    <row r="1707" spans="1:27" ht="15" customHeight="1" x14ac:dyDescent="0.35">
      <c r="A1707" s="4" t="s">
        <v>2532</v>
      </c>
      <c r="B1707" s="1" t="s">
        <v>343</v>
      </c>
      <c r="C1707" s="11">
        <v>45187</v>
      </c>
      <c r="D1707" s="11" t="s">
        <v>6988</v>
      </c>
      <c r="E1707" s="1" t="s">
        <v>14</v>
      </c>
      <c r="F1707" s="1" t="s">
        <v>6986</v>
      </c>
      <c r="G1707" s="6">
        <f>COUNTIF(F:F,Table2[[#This Row],[Form '#]])</f>
        <v>2</v>
      </c>
      <c r="H1707" s="1" t="s">
        <v>6987</v>
      </c>
      <c r="I1707" s="1" t="s">
        <v>127</v>
      </c>
      <c r="J1707" s="1" t="s">
        <v>76</v>
      </c>
      <c r="K1707" s="1" t="s">
        <v>3883</v>
      </c>
      <c r="L1707" s="1"/>
      <c r="M1707" s="6" t="str">
        <f>IF(Table2[[#This Row],[Corrected Form '#
 (If Duplicated)]]="",Table2[[#This Row],[Form '#]],Table2[[#This Row],[Corrected Form '#
 (If Duplicated)]])</f>
        <v>7810-01316</v>
      </c>
      <c r="N1707" s="1" t="s">
        <v>49</v>
      </c>
      <c r="O1707" s="6" t="str">
        <f>IF(Table2[[#This Row],[POG CONFIRMATION RECEIPT OF ORDER
(DATE &amp; TIME)]]="","No Confirmation","Received Confirmation")</f>
        <v>Received Confirmation</v>
      </c>
      <c r="P1707" s="6">
        <f ca="1">TODAY()-Table2[[#This Row],[DATE SENT TO POG]]</f>
        <v>116</v>
      </c>
      <c r="Q1707" s="6" t="s">
        <v>5803</v>
      </c>
      <c r="R17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7" s="2" t="str">
        <f>_xlfn.XLOOKUP(Table2[[#This Row],[Adjusted Form '#]],'[2]IN PROGRESS'!$D:$D,'[2]IN PROGRESS'!$M:$M,"Not Found")</f>
        <v>Not Found</v>
      </c>
      <c r="U1707" s="2" t="str">
        <f>_xlfn.XLOOKUP(Table2[[#This Row],[Adjusted Form '#]],[1]COMPLETED!$D:$D,[2]COMPLETED!$M:$M,"Not Found")</f>
        <v>Not Found</v>
      </c>
      <c r="V1707" s="17" t="str">
        <f>_xlfn.XLOOKUP(Table2[[#This Row],[Adjusted Form '#]],[2]COMPLETED!$D:$D,[2]COMPLETED!$O:$O,"Not Found")</f>
        <v>Not Found</v>
      </c>
      <c r="W1707" s="2" t="str">
        <f>_xlfn.XLOOKUP(Table2[[#This Row],[Adjusted Form '#]],[2]BILLED!$D:$D,[2]BILLED!$M:$M,"Not Found")</f>
        <v>9400 1112 0620 9964 0412 18</v>
      </c>
      <c r="X1707" s="17" t="e">
        <f>_xlfn.XLOOKUP(Table2[[#This Row],[Adjusted Form '#]],[2]BILLED!$D:$D,[1]BILLED!$O:$O,"Not Found")</f>
        <v>#REF!</v>
      </c>
      <c r="Y1707" s="17" t="e">
        <f>_xlfn.XLOOKUP(Table2[[#This Row],[Adjusted Form '#]],'[2]REJECTED ORDERS'!$D:$D,'[2]REJECTED ORDERS'!$E:$E)</f>
        <v>#N/A</v>
      </c>
      <c r="Z1707" s="1"/>
      <c r="AA1707" s="1"/>
    </row>
    <row r="1708" spans="1:27" ht="15" customHeight="1" x14ac:dyDescent="0.35">
      <c r="A1708" s="4" t="s">
        <v>2533</v>
      </c>
      <c r="B1708" s="1" t="s">
        <v>2915</v>
      </c>
      <c r="C1708" s="11">
        <v>45187</v>
      </c>
      <c r="D1708" s="11" t="s">
        <v>7000</v>
      </c>
      <c r="E1708" s="1" t="s">
        <v>21</v>
      </c>
      <c r="F1708" s="1" t="s">
        <v>6989</v>
      </c>
      <c r="G1708" s="6">
        <f>COUNTIF(F:F,Table2[[#This Row],[Form '#]])</f>
        <v>1</v>
      </c>
      <c r="H1708" s="1" t="s">
        <v>548</v>
      </c>
      <c r="I1708" s="1" t="s">
        <v>127</v>
      </c>
      <c r="J1708" s="1" t="s">
        <v>74</v>
      </c>
      <c r="K1708" s="1" t="s">
        <v>3891</v>
      </c>
      <c r="L1708" s="1"/>
      <c r="M1708" s="6" t="str">
        <f>IF(Table2[[#This Row],[Corrected Form '#
 (If Duplicated)]]="",Table2[[#This Row],[Form '#]],Table2[[#This Row],[Corrected Form '#
 (If Duplicated)]])</f>
        <v>7818-29800</v>
      </c>
      <c r="N1708" s="1" t="s">
        <v>49</v>
      </c>
      <c r="O1708" s="6" t="str">
        <f>IF(Table2[[#This Row],[POG CONFIRMATION RECEIPT OF ORDER
(DATE &amp; TIME)]]="","No Confirmation","Received Confirmation")</f>
        <v>Received Confirmation</v>
      </c>
      <c r="P1708" s="6">
        <f ca="1">TODAY()-Table2[[#This Row],[DATE SENT TO POG]]</f>
        <v>116</v>
      </c>
      <c r="Q1708" s="6" t="s">
        <v>5803</v>
      </c>
      <c r="R17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8" s="2" t="str">
        <f>_xlfn.XLOOKUP(Table2[[#This Row],[Adjusted Form '#]],'[2]IN PROGRESS'!$D:$D,'[2]IN PROGRESS'!$M:$M,"Not Found")</f>
        <v>Not Found</v>
      </c>
      <c r="U1708" s="2" t="str">
        <f>_xlfn.XLOOKUP(Table2[[#This Row],[Adjusted Form '#]],[1]COMPLETED!$D:$D,[2]COMPLETED!$M:$M,"Not Found")</f>
        <v>Not Found</v>
      </c>
      <c r="V1708" s="17" t="str">
        <f>_xlfn.XLOOKUP(Table2[[#This Row],[Adjusted Form '#]],[2]COMPLETED!$D:$D,[2]COMPLETED!$O:$O,"Not Found")</f>
        <v>Not Found</v>
      </c>
      <c r="W1708" s="2" t="str">
        <f>_xlfn.XLOOKUP(Table2[[#This Row],[Adjusted Form '#]],[2]BILLED!$D:$D,[2]BILLED!$M:$M,"Not Found")</f>
        <v>9400 1361 0605 3409 7586 98</v>
      </c>
      <c r="X1708" s="17" t="e">
        <f>_xlfn.XLOOKUP(Table2[[#This Row],[Adjusted Form '#]],[2]BILLED!$D:$D,[1]BILLED!$O:$O,"Not Found")</f>
        <v>#REF!</v>
      </c>
      <c r="Y1708" s="17" t="e">
        <f>_xlfn.XLOOKUP(Table2[[#This Row],[Adjusted Form '#]],'[2]REJECTED ORDERS'!$D:$D,'[2]REJECTED ORDERS'!$E:$E)</f>
        <v>#N/A</v>
      </c>
      <c r="Z1708" s="1"/>
      <c r="AA1708" s="1"/>
    </row>
    <row r="1709" spans="1:27" ht="15" customHeight="1" x14ac:dyDescent="0.35">
      <c r="A1709" s="4" t="s">
        <v>2534</v>
      </c>
      <c r="B1709" s="1" t="s">
        <v>2915</v>
      </c>
      <c r="C1709" s="11">
        <v>45187</v>
      </c>
      <c r="D1709" s="11" t="s">
        <v>7000</v>
      </c>
      <c r="E1709" s="1" t="s">
        <v>21</v>
      </c>
      <c r="F1709" s="1" t="s">
        <v>6990</v>
      </c>
      <c r="G1709" s="6">
        <f>COUNTIF(F:F,Table2[[#This Row],[Form '#]])</f>
        <v>1</v>
      </c>
      <c r="H1709" s="1" t="s">
        <v>6996</v>
      </c>
      <c r="I1709" s="1" t="s">
        <v>3852</v>
      </c>
      <c r="J1709" s="1" t="s">
        <v>80</v>
      </c>
      <c r="K1709" s="1" t="s">
        <v>3853</v>
      </c>
      <c r="L1709" s="1"/>
      <c r="M1709" s="6" t="str">
        <f>IF(Table2[[#This Row],[Corrected Form '#
 (If Duplicated)]]="",Table2[[#This Row],[Form '#]],Table2[[#This Row],[Corrected Form '#
 (If Duplicated)]])</f>
        <v>7818-25847</v>
      </c>
      <c r="N1709" s="1" t="s">
        <v>49</v>
      </c>
      <c r="O1709" s="6" t="str">
        <f>IF(Table2[[#This Row],[POG CONFIRMATION RECEIPT OF ORDER
(DATE &amp; TIME)]]="","No Confirmation","Received Confirmation")</f>
        <v>Received Confirmation</v>
      </c>
      <c r="P1709" s="6">
        <f ca="1">TODAY()-Table2[[#This Row],[DATE SENT TO POG]]</f>
        <v>116</v>
      </c>
      <c r="Q1709" s="6" t="s">
        <v>5803</v>
      </c>
      <c r="R17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09" s="2" t="str">
        <f>_xlfn.XLOOKUP(Table2[[#This Row],[Adjusted Form '#]],'[2]IN PROGRESS'!$D:$D,'[2]IN PROGRESS'!$M:$M,"Not Found")</f>
        <v>Not Found</v>
      </c>
      <c r="U1709" s="2" t="str">
        <f>_xlfn.XLOOKUP(Table2[[#This Row],[Adjusted Form '#]],[1]COMPLETED!$D:$D,[2]COMPLETED!$M:$M,"Not Found")</f>
        <v>Not Found</v>
      </c>
      <c r="V1709" s="17" t="str">
        <f>_xlfn.XLOOKUP(Table2[[#This Row],[Adjusted Form '#]],[2]COMPLETED!$D:$D,[2]COMPLETED!$O:$O,"Not Found")</f>
        <v>Not Found</v>
      </c>
      <c r="W1709" s="2" t="str">
        <f>_xlfn.XLOOKUP(Table2[[#This Row],[Adjusted Form '#]],[2]BILLED!$D:$D,[2]BILLED!$M:$M,"Not Found")</f>
        <v>9400 1361 0605 3407 2738 10</v>
      </c>
      <c r="X1709" s="17" t="e">
        <f>_xlfn.XLOOKUP(Table2[[#This Row],[Adjusted Form '#]],[2]BILLED!$D:$D,[1]BILLED!$O:$O,"Not Found")</f>
        <v>#REF!</v>
      </c>
      <c r="Y1709" s="17" t="e">
        <f>_xlfn.XLOOKUP(Table2[[#This Row],[Adjusted Form '#]],'[2]REJECTED ORDERS'!$D:$D,'[2]REJECTED ORDERS'!$E:$E)</f>
        <v>#N/A</v>
      </c>
      <c r="Z1709" s="1"/>
      <c r="AA1709" s="1"/>
    </row>
    <row r="1710" spans="1:27" ht="15" customHeight="1" x14ac:dyDescent="0.35">
      <c r="A1710" s="4" t="s">
        <v>2537</v>
      </c>
      <c r="B1710" s="1" t="s">
        <v>2915</v>
      </c>
      <c r="C1710" s="11">
        <v>45187</v>
      </c>
      <c r="D1710" s="11" t="s">
        <v>7000</v>
      </c>
      <c r="E1710" s="1" t="s">
        <v>21</v>
      </c>
      <c r="F1710" s="1" t="s">
        <v>6991</v>
      </c>
      <c r="G1710" s="6">
        <f>COUNTIF(F:F,Table2[[#This Row],[Form '#]])</f>
        <v>1</v>
      </c>
      <c r="H1710" s="1" t="s">
        <v>2320</v>
      </c>
      <c r="I1710" s="1" t="s">
        <v>127</v>
      </c>
      <c r="J1710" s="1" t="s">
        <v>74</v>
      </c>
      <c r="K1710" s="1" t="s">
        <v>5856</v>
      </c>
      <c r="L1710" s="1"/>
      <c r="M1710" s="6" t="str">
        <f>IF(Table2[[#This Row],[Corrected Form '#
 (If Duplicated)]]="",Table2[[#This Row],[Form '#]],Table2[[#This Row],[Corrected Form '#
 (If Duplicated)]])</f>
        <v>7818-29946</v>
      </c>
      <c r="N1710" s="1" t="s">
        <v>49</v>
      </c>
      <c r="O1710" s="6" t="str">
        <f>IF(Table2[[#This Row],[POG CONFIRMATION RECEIPT OF ORDER
(DATE &amp; TIME)]]="","No Confirmation","Received Confirmation")</f>
        <v>Received Confirmation</v>
      </c>
      <c r="P1710" s="6">
        <f ca="1">TODAY()-Table2[[#This Row],[DATE SENT TO POG]]</f>
        <v>116</v>
      </c>
      <c r="Q1710" s="6" t="s">
        <v>5803</v>
      </c>
      <c r="R17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0" s="2" t="str">
        <f>_xlfn.XLOOKUP(Table2[[#This Row],[Adjusted Form '#]],'[2]IN PROGRESS'!$D:$D,'[2]IN PROGRESS'!$M:$M,"Not Found")</f>
        <v>Not Found</v>
      </c>
      <c r="U1710" s="2" t="str">
        <f>_xlfn.XLOOKUP(Table2[[#This Row],[Adjusted Form '#]],[1]COMPLETED!$D:$D,[2]COMPLETED!$M:$M,"Not Found")</f>
        <v>Not Found</v>
      </c>
      <c r="V1710" s="17" t="str">
        <f>_xlfn.XLOOKUP(Table2[[#This Row],[Adjusted Form '#]],[2]COMPLETED!$D:$D,[2]COMPLETED!$O:$O,"Not Found")</f>
        <v>Not Found</v>
      </c>
      <c r="W1710" s="2" t="str">
        <f>_xlfn.XLOOKUP(Table2[[#This Row],[Adjusted Form '#]],[2]BILLED!$D:$D,[2]BILLED!$M:$M,"Not Found")</f>
        <v>9400 1361 0605 3420 5706 13</v>
      </c>
      <c r="X1710" s="17" t="e">
        <f>_xlfn.XLOOKUP(Table2[[#This Row],[Adjusted Form '#]],[2]BILLED!$D:$D,[1]BILLED!$O:$O,"Not Found")</f>
        <v>#REF!</v>
      </c>
      <c r="Y1710" s="17" t="e">
        <f>_xlfn.XLOOKUP(Table2[[#This Row],[Adjusted Form '#]],'[2]REJECTED ORDERS'!$D:$D,'[2]REJECTED ORDERS'!$E:$E)</f>
        <v>#N/A</v>
      </c>
      <c r="Z1710" s="1"/>
      <c r="AA1710" s="1"/>
    </row>
    <row r="1711" spans="1:27" ht="15" customHeight="1" x14ac:dyDescent="0.35">
      <c r="A1711" s="4" t="s">
        <v>2539</v>
      </c>
      <c r="B1711" s="1" t="s">
        <v>2915</v>
      </c>
      <c r="C1711" s="11">
        <v>45187</v>
      </c>
      <c r="D1711" s="11" t="s">
        <v>7000</v>
      </c>
      <c r="E1711" s="1" t="s">
        <v>21</v>
      </c>
      <c r="F1711" s="1" t="s">
        <v>6992</v>
      </c>
      <c r="G1711" s="6">
        <f>COUNTIF(F:F,Table2[[#This Row],[Form '#]])</f>
        <v>1</v>
      </c>
      <c r="H1711" s="1" t="s">
        <v>3439</v>
      </c>
      <c r="I1711" s="1" t="s">
        <v>177</v>
      </c>
      <c r="J1711" s="1" t="s">
        <v>75</v>
      </c>
      <c r="K1711" s="1" t="s">
        <v>3853</v>
      </c>
      <c r="L1711" s="1"/>
      <c r="M1711" s="6" t="str">
        <f>IF(Table2[[#This Row],[Corrected Form '#
 (If Duplicated)]]="",Table2[[#This Row],[Form '#]],Table2[[#This Row],[Corrected Form '#
 (If Duplicated)]])</f>
        <v>7818-26662</v>
      </c>
      <c r="N1711" s="1" t="s">
        <v>49</v>
      </c>
      <c r="O1711" s="6" t="str">
        <f>IF(Table2[[#This Row],[POG CONFIRMATION RECEIPT OF ORDER
(DATE &amp; TIME)]]="","No Confirmation","Received Confirmation")</f>
        <v>Received Confirmation</v>
      </c>
      <c r="P1711" s="6">
        <f ca="1">TODAY()-Table2[[#This Row],[DATE SENT TO POG]]</f>
        <v>116</v>
      </c>
      <c r="Q1711" s="6" t="s">
        <v>5803</v>
      </c>
      <c r="R17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1" s="2" t="str">
        <f>_xlfn.XLOOKUP(Table2[[#This Row],[Adjusted Form '#]],'[2]IN PROGRESS'!$D:$D,'[2]IN PROGRESS'!$M:$M,"Not Found")</f>
        <v>Not Found</v>
      </c>
      <c r="U1711" s="2" t="str">
        <f>_xlfn.XLOOKUP(Table2[[#This Row],[Adjusted Form '#]],[1]COMPLETED!$D:$D,[2]COMPLETED!$M:$M,"Not Found")</f>
        <v>Not Found</v>
      </c>
      <c r="V1711" s="17" t="str">
        <f>_xlfn.XLOOKUP(Table2[[#This Row],[Adjusted Form '#]],[2]COMPLETED!$D:$D,[2]COMPLETED!$O:$O,"Not Found")</f>
        <v>Not Found</v>
      </c>
      <c r="W1711" s="2" t="str">
        <f>_xlfn.XLOOKUP(Table2[[#This Row],[Adjusted Form '#]],[2]BILLED!$D:$D,[2]BILLED!$M:$M,"Not Found")</f>
        <v>9400 1112 0620 9576 0496 95</v>
      </c>
      <c r="X1711" s="17" t="e">
        <f>_xlfn.XLOOKUP(Table2[[#This Row],[Adjusted Form '#]],[2]BILLED!$D:$D,[1]BILLED!$O:$O,"Not Found")</f>
        <v>#REF!</v>
      </c>
      <c r="Y1711" s="17" t="e">
        <f>_xlfn.XLOOKUP(Table2[[#This Row],[Adjusted Form '#]],'[2]REJECTED ORDERS'!$D:$D,'[2]REJECTED ORDERS'!$E:$E)</f>
        <v>#N/A</v>
      </c>
      <c r="Z1711" s="1"/>
      <c r="AA1711" s="1"/>
    </row>
    <row r="1712" spans="1:27" ht="15" customHeight="1" x14ac:dyDescent="0.35">
      <c r="A1712" s="4" t="s">
        <v>2540</v>
      </c>
      <c r="B1712" s="1" t="s">
        <v>2915</v>
      </c>
      <c r="C1712" s="11">
        <v>45187</v>
      </c>
      <c r="D1712" s="11" t="s">
        <v>7000</v>
      </c>
      <c r="E1712" s="1" t="s">
        <v>21</v>
      </c>
      <c r="F1712" s="1" t="s">
        <v>6993</v>
      </c>
      <c r="G1712" s="6">
        <f>COUNTIF(F:F,Table2[[#This Row],[Form '#]])</f>
        <v>1</v>
      </c>
      <c r="H1712" s="1" t="s">
        <v>6997</v>
      </c>
      <c r="I1712" s="1" t="s">
        <v>127</v>
      </c>
      <c r="J1712" s="1" t="s">
        <v>76</v>
      </c>
      <c r="K1712" s="1" t="s">
        <v>4011</v>
      </c>
      <c r="L1712" s="1"/>
      <c r="M1712" s="6" t="str">
        <f>IF(Table2[[#This Row],[Corrected Form '#
 (If Duplicated)]]="",Table2[[#This Row],[Form '#]],Table2[[#This Row],[Corrected Form '#
 (If Duplicated)]])</f>
        <v>7818-25858</v>
      </c>
      <c r="N1712" s="1" t="s">
        <v>49</v>
      </c>
      <c r="O1712" s="6" t="str">
        <f>IF(Table2[[#This Row],[POG CONFIRMATION RECEIPT OF ORDER
(DATE &amp; TIME)]]="","No Confirmation","Received Confirmation")</f>
        <v>Received Confirmation</v>
      </c>
      <c r="P1712" s="6">
        <f ca="1">TODAY()-Table2[[#This Row],[DATE SENT TO POG]]</f>
        <v>116</v>
      </c>
      <c r="Q1712" s="6" t="s">
        <v>5803</v>
      </c>
      <c r="R17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2" s="2" t="str">
        <f>_xlfn.XLOOKUP(Table2[[#This Row],[Adjusted Form '#]],'[2]IN PROGRESS'!$D:$D,'[2]IN PROGRESS'!$M:$M,"Not Found")</f>
        <v>Not Found</v>
      </c>
      <c r="U1712" s="2" t="str">
        <f>_xlfn.XLOOKUP(Table2[[#This Row],[Adjusted Form '#]],[1]COMPLETED!$D:$D,[2]COMPLETED!$M:$M,"Not Found")</f>
        <v>Not Found</v>
      </c>
      <c r="V1712" s="17" t="str">
        <f>_xlfn.XLOOKUP(Table2[[#This Row],[Adjusted Form '#]],[2]COMPLETED!$D:$D,[2]COMPLETED!$O:$O,"Not Found")</f>
        <v>Not Found</v>
      </c>
      <c r="W1712" s="2" t="str">
        <f>_xlfn.XLOOKUP(Table2[[#This Row],[Adjusted Form '#]],[2]BILLED!$D:$D,[2]BILLED!$M:$M,"Not Found")</f>
        <v>9400 1361 0605 3398 7173 79</v>
      </c>
      <c r="X1712" s="17" t="e">
        <f>_xlfn.XLOOKUP(Table2[[#This Row],[Adjusted Form '#]],[2]BILLED!$D:$D,[1]BILLED!$O:$O,"Not Found")</f>
        <v>#REF!</v>
      </c>
      <c r="Y1712" s="17" t="e">
        <f>_xlfn.XLOOKUP(Table2[[#This Row],[Adjusted Form '#]],'[2]REJECTED ORDERS'!$D:$D,'[2]REJECTED ORDERS'!$E:$E)</f>
        <v>#N/A</v>
      </c>
      <c r="Z1712" s="1"/>
      <c r="AA1712" s="1"/>
    </row>
    <row r="1713" spans="1:27" ht="15" customHeight="1" x14ac:dyDescent="0.35">
      <c r="A1713" s="4" t="s">
        <v>2541</v>
      </c>
      <c r="B1713" s="1" t="s">
        <v>2915</v>
      </c>
      <c r="C1713" s="11">
        <v>45187</v>
      </c>
      <c r="D1713" s="11" t="s">
        <v>7000</v>
      </c>
      <c r="E1713" s="1" t="s">
        <v>21</v>
      </c>
      <c r="F1713" s="1" t="s">
        <v>6994</v>
      </c>
      <c r="G1713" s="6">
        <f>COUNTIF(F:F,Table2[[#This Row],[Form '#]])</f>
        <v>2</v>
      </c>
      <c r="H1713" s="1" t="s">
        <v>6998</v>
      </c>
      <c r="I1713" s="1" t="s">
        <v>3852</v>
      </c>
      <c r="J1713" s="1" t="s">
        <v>80</v>
      </c>
      <c r="K1713" s="1" t="s">
        <v>3853</v>
      </c>
      <c r="L1713" s="1"/>
      <c r="M1713" s="6" t="str">
        <f>IF(Table2[[#This Row],[Corrected Form '#
 (If Duplicated)]]="",Table2[[#This Row],[Form '#]],Table2[[#This Row],[Corrected Form '#
 (If Duplicated)]])</f>
        <v>7818-23230</v>
      </c>
      <c r="N1713" s="1" t="s">
        <v>49</v>
      </c>
      <c r="O1713" s="6" t="str">
        <f>IF(Table2[[#This Row],[POG CONFIRMATION RECEIPT OF ORDER
(DATE &amp; TIME)]]="","No Confirmation","Received Confirmation")</f>
        <v>Received Confirmation</v>
      </c>
      <c r="P1713" s="6">
        <f ca="1">TODAY()-Table2[[#This Row],[DATE SENT TO POG]]</f>
        <v>116</v>
      </c>
      <c r="Q1713" s="6" t="s">
        <v>5803</v>
      </c>
      <c r="R17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3" s="2" t="str">
        <f>_xlfn.XLOOKUP(Table2[[#This Row],[Adjusted Form '#]],'[2]IN PROGRESS'!$D:$D,'[2]IN PROGRESS'!$M:$M,"Not Found")</f>
        <v>Not Found</v>
      </c>
      <c r="U1713" s="2" t="str">
        <f>_xlfn.XLOOKUP(Table2[[#This Row],[Adjusted Form '#]],[1]COMPLETED!$D:$D,[2]COMPLETED!$M:$M,"Not Found")</f>
        <v>Not Found</v>
      </c>
      <c r="V1713" s="17" t="str">
        <f>_xlfn.XLOOKUP(Table2[[#This Row],[Adjusted Form '#]],[2]COMPLETED!$D:$D,[2]COMPLETED!$O:$O,"Not Found")</f>
        <v>Not Found</v>
      </c>
      <c r="W1713" s="2" t="str">
        <f>_xlfn.XLOOKUP(Table2[[#This Row],[Adjusted Form '#]],[2]BILLED!$D:$D,[2]BILLED!$M:$M,"Not Found")</f>
        <v>9400 1361 0605 3407 2573 08</v>
      </c>
      <c r="X1713" s="17" t="e">
        <f>_xlfn.XLOOKUP(Table2[[#This Row],[Adjusted Form '#]],[2]BILLED!$D:$D,[1]BILLED!$O:$O,"Not Found")</f>
        <v>#REF!</v>
      </c>
      <c r="Y1713" s="17" t="e">
        <f>_xlfn.XLOOKUP(Table2[[#This Row],[Adjusted Form '#]],'[2]REJECTED ORDERS'!$D:$D,'[2]REJECTED ORDERS'!$E:$E)</f>
        <v>#N/A</v>
      </c>
      <c r="Z1713" s="1"/>
      <c r="AA1713" s="1"/>
    </row>
    <row r="1714" spans="1:27" ht="15" customHeight="1" x14ac:dyDescent="0.35">
      <c r="A1714" s="4" t="s">
        <v>2543</v>
      </c>
      <c r="B1714" s="1" t="s">
        <v>2915</v>
      </c>
      <c r="C1714" s="11">
        <v>45187</v>
      </c>
      <c r="D1714" s="11" t="s">
        <v>7000</v>
      </c>
      <c r="E1714" s="1" t="s">
        <v>21</v>
      </c>
      <c r="F1714" s="1" t="s">
        <v>6995</v>
      </c>
      <c r="G1714" s="6">
        <f>COUNTIF(F:F,Table2[[#This Row],[Form '#]])</f>
        <v>1</v>
      </c>
      <c r="H1714" s="1" t="s">
        <v>6999</v>
      </c>
      <c r="I1714" s="1" t="s">
        <v>3852</v>
      </c>
      <c r="J1714" s="1" t="s">
        <v>75</v>
      </c>
      <c r="K1714" s="1" t="s">
        <v>3853</v>
      </c>
      <c r="L1714" s="1"/>
      <c r="M1714" s="6" t="str">
        <f>IF(Table2[[#This Row],[Corrected Form '#
 (If Duplicated)]]="",Table2[[#This Row],[Form '#]],Table2[[#This Row],[Corrected Form '#
 (If Duplicated)]])</f>
        <v>7818-09377</v>
      </c>
      <c r="N1714" s="1" t="s">
        <v>49</v>
      </c>
      <c r="O1714" s="6" t="str">
        <f>IF(Table2[[#This Row],[POG CONFIRMATION RECEIPT OF ORDER
(DATE &amp; TIME)]]="","No Confirmation","Received Confirmation")</f>
        <v>Received Confirmation</v>
      </c>
      <c r="P1714" s="6">
        <f ca="1">TODAY()-Table2[[#This Row],[DATE SENT TO POG]]</f>
        <v>116</v>
      </c>
      <c r="Q1714" s="6" t="s">
        <v>5803</v>
      </c>
      <c r="R17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4" s="2" t="str">
        <f>_xlfn.XLOOKUP(Table2[[#This Row],[Adjusted Form '#]],'[2]IN PROGRESS'!$D:$D,'[2]IN PROGRESS'!$M:$M,"Not Found")</f>
        <v>Not Found</v>
      </c>
      <c r="U1714" s="2" t="str">
        <f>_xlfn.XLOOKUP(Table2[[#This Row],[Adjusted Form '#]],[1]COMPLETED!$D:$D,[2]COMPLETED!$M:$M,"Not Found")</f>
        <v>Not Found</v>
      </c>
      <c r="V1714" s="17" t="str">
        <f>_xlfn.XLOOKUP(Table2[[#This Row],[Adjusted Form '#]],[2]COMPLETED!$D:$D,[2]COMPLETED!$O:$O,"Not Found")</f>
        <v>Not Found</v>
      </c>
      <c r="W1714" s="2" t="str">
        <f>_xlfn.XLOOKUP(Table2[[#This Row],[Adjusted Form '#]],[2]BILLED!$D:$D,[2]BILLED!$M:$M,"Not Found")</f>
        <v>9400 1361 0605 3414 9831 46</v>
      </c>
      <c r="X1714" s="17" t="e">
        <f>_xlfn.XLOOKUP(Table2[[#This Row],[Adjusted Form '#]],[2]BILLED!$D:$D,[1]BILLED!$O:$O,"Not Found")</f>
        <v>#REF!</v>
      </c>
      <c r="Y1714" s="17" t="e">
        <f>_xlfn.XLOOKUP(Table2[[#This Row],[Adjusted Form '#]],'[2]REJECTED ORDERS'!$D:$D,'[2]REJECTED ORDERS'!$E:$E)</f>
        <v>#N/A</v>
      </c>
      <c r="Z1714" s="1"/>
      <c r="AA1714" s="1"/>
    </row>
    <row r="1715" spans="1:27" ht="15" customHeight="1" x14ac:dyDescent="0.35">
      <c r="A1715" s="4" t="s">
        <v>2545</v>
      </c>
      <c r="B1715" s="1" t="s">
        <v>244</v>
      </c>
      <c r="C1715" s="11">
        <v>45187</v>
      </c>
      <c r="D1715" s="11" t="s">
        <v>7004</v>
      </c>
      <c r="E1715" s="1" t="s">
        <v>21</v>
      </c>
      <c r="F1715" s="1" t="s">
        <v>7001</v>
      </c>
      <c r="G1715" s="6">
        <f>COUNTIF(F:F,Table2[[#This Row],[Form '#]])</f>
        <v>1</v>
      </c>
      <c r="H1715" s="1" t="s">
        <v>7002</v>
      </c>
      <c r="I1715" s="1" t="s">
        <v>127</v>
      </c>
      <c r="J1715" s="1" t="s">
        <v>74</v>
      </c>
      <c r="K1715" s="1" t="s">
        <v>3883</v>
      </c>
      <c r="L1715" s="1"/>
      <c r="M1715" s="6" t="str">
        <f>IF(Table2[[#This Row],[Corrected Form '#
 (If Duplicated)]]="",Table2[[#This Row],[Form '#]],Table2[[#This Row],[Corrected Form '#
 (If Duplicated)]])</f>
        <v>7818-31244</v>
      </c>
      <c r="N1715" s="1" t="s">
        <v>49</v>
      </c>
      <c r="O1715" s="6" t="str">
        <f>IF(Table2[[#This Row],[POG CONFIRMATION RECEIPT OF ORDER
(DATE &amp; TIME)]]="","No Confirmation","Received Confirmation")</f>
        <v>Received Confirmation</v>
      </c>
      <c r="P1715" s="6">
        <f ca="1">TODAY()-Table2[[#This Row],[DATE SENT TO POG]]</f>
        <v>116</v>
      </c>
      <c r="Q1715" s="6" t="s">
        <v>5803</v>
      </c>
      <c r="R17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5" s="2" t="str">
        <f>_xlfn.XLOOKUP(Table2[[#This Row],[Adjusted Form '#]],'[2]IN PROGRESS'!$D:$D,'[2]IN PROGRESS'!$M:$M,"Not Found")</f>
        <v>Not Found</v>
      </c>
      <c r="U1715" s="2" t="str">
        <f>_xlfn.XLOOKUP(Table2[[#This Row],[Adjusted Form '#]],[1]COMPLETED!$D:$D,[2]COMPLETED!$M:$M,"Not Found")</f>
        <v>Not Found</v>
      </c>
      <c r="V1715" s="17" t="str">
        <f>_xlfn.XLOOKUP(Table2[[#This Row],[Adjusted Form '#]],[2]COMPLETED!$D:$D,[2]COMPLETED!$O:$O,"Not Found")</f>
        <v>Not Found</v>
      </c>
      <c r="W1715" s="2" t="str">
        <f>_xlfn.XLOOKUP(Table2[[#This Row],[Adjusted Form '#]],[2]BILLED!$D:$D,[2]BILLED!$M:$M,"Not Found")</f>
        <v>9400 1361 0605 3417 4851 35</v>
      </c>
      <c r="X1715" s="17" t="e">
        <f>_xlfn.XLOOKUP(Table2[[#This Row],[Adjusted Form '#]],[2]BILLED!$D:$D,[1]BILLED!$O:$O,"Not Found")</f>
        <v>#REF!</v>
      </c>
      <c r="Y1715" s="17" t="e">
        <f>_xlfn.XLOOKUP(Table2[[#This Row],[Adjusted Form '#]],'[2]REJECTED ORDERS'!$D:$D,'[2]REJECTED ORDERS'!$E:$E)</f>
        <v>#N/A</v>
      </c>
      <c r="Z1715" s="1"/>
      <c r="AA1715" s="1"/>
    </row>
    <row r="1716" spans="1:27" ht="15" customHeight="1" x14ac:dyDescent="0.35">
      <c r="A1716" s="4" t="s">
        <v>2546</v>
      </c>
      <c r="B1716" s="1" t="s">
        <v>244</v>
      </c>
      <c r="C1716" s="11">
        <v>45187</v>
      </c>
      <c r="D1716" s="11" t="s">
        <v>7004</v>
      </c>
      <c r="E1716" s="1" t="s">
        <v>21</v>
      </c>
      <c r="F1716" s="1" t="s">
        <v>7003</v>
      </c>
      <c r="G1716" s="6">
        <f>COUNTIF(F:F,Table2[[#This Row],[Form '#]])</f>
        <v>1</v>
      </c>
      <c r="H1716" s="1" t="s">
        <v>3640</v>
      </c>
      <c r="I1716" s="1" t="s">
        <v>127</v>
      </c>
      <c r="J1716" s="1" t="s">
        <v>74</v>
      </c>
      <c r="K1716" s="1" t="s">
        <v>3883</v>
      </c>
      <c r="L1716" s="1"/>
      <c r="M1716" s="6" t="str">
        <f>IF(Table2[[#This Row],[Corrected Form '#
 (If Duplicated)]]="",Table2[[#This Row],[Form '#]],Table2[[#This Row],[Corrected Form '#
 (If Duplicated)]])</f>
        <v>7818-25005</v>
      </c>
      <c r="N1716" s="1" t="s">
        <v>49</v>
      </c>
      <c r="O1716" s="6" t="str">
        <f>IF(Table2[[#This Row],[POG CONFIRMATION RECEIPT OF ORDER
(DATE &amp; TIME)]]="","No Confirmation","Received Confirmation")</f>
        <v>Received Confirmation</v>
      </c>
      <c r="P1716" s="6">
        <f ca="1">TODAY()-Table2[[#This Row],[DATE SENT TO POG]]</f>
        <v>116</v>
      </c>
      <c r="Q1716" s="6" t="s">
        <v>5803</v>
      </c>
      <c r="R17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6" s="2" t="str">
        <f>_xlfn.XLOOKUP(Table2[[#This Row],[Adjusted Form '#]],'[2]IN PROGRESS'!$D:$D,'[2]IN PROGRESS'!$M:$M,"Not Found")</f>
        <v>Not Found</v>
      </c>
      <c r="U1716" s="2" t="str">
        <f>_xlfn.XLOOKUP(Table2[[#This Row],[Adjusted Form '#]],[1]COMPLETED!$D:$D,[2]COMPLETED!$M:$M,"Not Found")</f>
        <v>Not Found</v>
      </c>
      <c r="V1716" s="17" t="str">
        <f>_xlfn.XLOOKUP(Table2[[#This Row],[Adjusted Form '#]],[2]COMPLETED!$D:$D,[2]COMPLETED!$O:$O,"Not Found")</f>
        <v>Not Found</v>
      </c>
      <c r="W1716" s="2" t="str">
        <f>_xlfn.XLOOKUP(Table2[[#This Row],[Adjusted Form '#]],[2]BILLED!$D:$D,[2]BILLED!$M:$M,"Not Found")</f>
        <v>9400 1361 0605 3423 0249 91</v>
      </c>
      <c r="X1716" s="17" t="e">
        <f>_xlfn.XLOOKUP(Table2[[#This Row],[Adjusted Form '#]],[2]BILLED!$D:$D,[1]BILLED!$O:$O,"Not Found")</f>
        <v>#REF!</v>
      </c>
      <c r="Y1716" s="17" t="e">
        <f>_xlfn.XLOOKUP(Table2[[#This Row],[Adjusted Form '#]],'[2]REJECTED ORDERS'!$D:$D,'[2]REJECTED ORDERS'!$E:$E)</f>
        <v>#N/A</v>
      </c>
      <c r="Z1716" s="1"/>
      <c r="AA1716" s="1"/>
    </row>
    <row r="1717" spans="1:27" ht="15" customHeight="1" x14ac:dyDescent="0.35">
      <c r="A1717" s="4" t="s">
        <v>2547</v>
      </c>
      <c r="B1717" s="1" t="s">
        <v>244</v>
      </c>
      <c r="C1717" s="11">
        <v>45187</v>
      </c>
      <c r="D1717" s="11" t="s">
        <v>7004</v>
      </c>
      <c r="E1717" s="1" t="s">
        <v>21</v>
      </c>
      <c r="F1717" s="1" t="s">
        <v>6994</v>
      </c>
      <c r="G1717" s="6">
        <f>COUNTIF(F:F,Table2[[#This Row],[Form '#]])</f>
        <v>2</v>
      </c>
      <c r="H1717" s="1" t="s">
        <v>6998</v>
      </c>
      <c r="I1717" s="1" t="s">
        <v>3852</v>
      </c>
      <c r="J1717" s="1" t="s">
        <v>80</v>
      </c>
      <c r="K1717" s="1" t="s">
        <v>3853</v>
      </c>
      <c r="L1717" s="1"/>
      <c r="M1717" s="6" t="str">
        <f>IF(Table2[[#This Row],[Corrected Form '#
 (If Duplicated)]]="",Table2[[#This Row],[Form '#]],Table2[[#This Row],[Corrected Form '#
 (If Duplicated)]])</f>
        <v>7818-23230</v>
      </c>
      <c r="N1717" s="1" t="s">
        <v>49</v>
      </c>
      <c r="O1717" s="6" t="str">
        <f>IF(Table2[[#This Row],[POG CONFIRMATION RECEIPT OF ORDER
(DATE &amp; TIME)]]="","No Confirmation","Received Confirmation")</f>
        <v>Received Confirmation</v>
      </c>
      <c r="P1717" s="6">
        <f ca="1">TODAY()-Table2[[#This Row],[DATE SENT TO POG]]</f>
        <v>116</v>
      </c>
      <c r="Q1717" s="6" t="s">
        <v>5803</v>
      </c>
      <c r="R17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7" s="2" t="str">
        <f>_xlfn.XLOOKUP(Table2[[#This Row],[Adjusted Form '#]],'[2]IN PROGRESS'!$D:$D,'[2]IN PROGRESS'!$M:$M,"Not Found")</f>
        <v>Not Found</v>
      </c>
      <c r="U1717" s="2" t="str">
        <f>_xlfn.XLOOKUP(Table2[[#This Row],[Adjusted Form '#]],[1]COMPLETED!$D:$D,[2]COMPLETED!$M:$M,"Not Found")</f>
        <v>Not Found</v>
      </c>
      <c r="V1717" s="17" t="str">
        <f>_xlfn.XLOOKUP(Table2[[#This Row],[Adjusted Form '#]],[2]COMPLETED!$D:$D,[2]COMPLETED!$O:$O,"Not Found")</f>
        <v>Not Found</v>
      </c>
      <c r="W1717" s="2" t="str">
        <f>_xlfn.XLOOKUP(Table2[[#This Row],[Adjusted Form '#]],[2]BILLED!$D:$D,[2]BILLED!$M:$M,"Not Found")</f>
        <v>9400 1361 0605 3407 2573 08</v>
      </c>
      <c r="X1717" s="17" t="e">
        <f>_xlfn.XLOOKUP(Table2[[#This Row],[Adjusted Form '#]],[2]BILLED!$D:$D,[1]BILLED!$O:$O,"Not Found")</f>
        <v>#REF!</v>
      </c>
      <c r="Y1717" s="17" t="e">
        <f>_xlfn.XLOOKUP(Table2[[#This Row],[Adjusted Form '#]],'[2]REJECTED ORDERS'!$D:$D,'[2]REJECTED ORDERS'!$E:$E)</f>
        <v>#N/A</v>
      </c>
      <c r="Z1717" s="1"/>
      <c r="AA1717" s="1"/>
    </row>
    <row r="1718" spans="1:27" ht="15" customHeight="1" x14ac:dyDescent="0.35">
      <c r="A1718" s="4" t="s">
        <v>2550</v>
      </c>
      <c r="B1718" s="1" t="s">
        <v>496</v>
      </c>
      <c r="C1718" s="11">
        <v>45188</v>
      </c>
      <c r="D1718" s="11" t="s">
        <v>7009</v>
      </c>
      <c r="E1718" s="1" t="s">
        <v>21</v>
      </c>
      <c r="F1718" s="1" t="s">
        <v>7005</v>
      </c>
      <c r="G1718" s="6">
        <f>COUNTIF(F:F,Table2[[#This Row],[Form '#]])</f>
        <v>1</v>
      </c>
      <c r="H1718" s="1" t="s">
        <v>7006</v>
      </c>
      <c r="I1718" s="1" t="s">
        <v>177</v>
      </c>
      <c r="J1718" s="1" t="s">
        <v>75</v>
      </c>
      <c r="K1718" s="1" t="s">
        <v>3853</v>
      </c>
      <c r="L1718" s="1"/>
      <c r="M1718" s="6" t="str">
        <f>IF(Table2[[#This Row],[Corrected Form '#
 (If Duplicated)]]="",Table2[[#This Row],[Form '#]],Table2[[#This Row],[Corrected Form '#
 (If Duplicated)]])</f>
        <v>7818-28681</v>
      </c>
      <c r="N1718" s="1" t="s">
        <v>49</v>
      </c>
      <c r="O1718" s="6" t="str">
        <f>IF(Table2[[#This Row],[POG CONFIRMATION RECEIPT OF ORDER
(DATE &amp; TIME)]]="","No Confirmation","Received Confirmation")</f>
        <v>Received Confirmation</v>
      </c>
      <c r="P1718" s="6">
        <f ca="1">TODAY()-Table2[[#This Row],[DATE SENT TO POG]]</f>
        <v>115</v>
      </c>
      <c r="Q1718" s="6" t="s">
        <v>5803</v>
      </c>
      <c r="R17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8" s="2" t="str">
        <f>_xlfn.XLOOKUP(Table2[[#This Row],[Adjusted Form '#]],'[2]IN PROGRESS'!$D:$D,'[2]IN PROGRESS'!$M:$M,"Not Found")</f>
        <v>Not Found</v>
      </c>
      <c r="U1718" s="2" t="str">
        <f>_xlfn.XLOOKUP(Table2[[#This Row],[Adjusted Form '#]],[1]COMPLETED!$D:$D,[2]COMPLETED!$M:$M,"Not Found")</f>
        <v>Not Found</v>
      </c>
      <c r="V1718" s="17" t="str">
        <f>_xlfn.XLOOKUP(Table2[[#This Row],[Adjusted Form '#]],[2]COMPLETED!$D:$D,[2]COMPLETED!$O:$O,"Not Found")</f>
        <v>Not Found</v>
      </c>
      <c r="W1718" s="2" t="str">
        <f>_xlfn.XLOOKUP(Table2[[#This Row],[Adjusted Form '#]],[2]BILLED!$D:$D,[2]BILLED!$M:$M,"Not Found")</f>
        <v>9400 1361 0605 3421 7864 19</v>
      </c>
      <c r="X1718" s="17" t="e">
        <f>_xlfn.XLOOKUP(Table2[[#This Row],[Adjusted Form '#]],[2]BILLED!$D:$D,[1]BILLED!$O:$O,"Not Found")</f>
        <v>#REF!</v>
      </c>
      <c r="Y1718" s="17" t="e">
        <f>_xlfn.XLOOKUP(Table2[[#This Row],[Adjusted Form '#]],'[2]REJECTED ORDERS'!$D:$D,'[2]REJECTED ORDERS'!$E:$E)</f>
        <v>#N/A</v>
      </c>
      <c r="Z1718" s="1"/>
      <c r="AA1718" s="1"/>
    </row>
    <row r="1719" spans="1:27" ht="15" customHeight="1" x14ac:dyDescent="0.35">
      <c r="A1719" s="4" t="s">
        <v>2552</v>
      </c>
      <c r="B1719" s="1" t="s">
        <v>496</v>
      </c>
      <c r="C1719" s="11">
        <v>45188</v>
      </c>
      <c r="D1719" s="11" t="s">
        <v>7009</v>
      </c>
      <c r="E1719" s="1" t="s">
        <v>21</v>
      </c>
      <c r="F1719" s="1" t="s">
        <v>7007</v>
      </c>
      <c r="G1719" s="6">
        <f>COUNTIF(F:F,Table2[[#This Row],[Form '#]])</f>
        <v>1</v>
      </c>
      <c r="H1719" s="1" t="s">
        <v>6320</v>
      </c>
      <c r="I1719" s="1" t="s">
        <v>3852</v>
      </c>
      <c r="J1719" s="1" t="s">
        <v>80</v>
      </c>
      <c r="K1719" s="1" t="s">
        <v>3853</v>
      </c>
      <c r="L1719" s="1"/>
      <c r="M1719" s="6" t="str">
        <f>IF(Table2[[#This Row],[Corrected Form '#
 (If Duplicated)]]="",Table2[[#This Row],[Form '#]],Table2[[#This Row],[Corrected Form '#
 (If Duplicated)]])</f>
        <v>7818-31171</v>
      </c>
      <c r="N1719" s="1" t="s">
        <v>49</v>
      </c>
      <c r="O1719" s="6" t="str">
        <f>IF(Table2[[#This Row],[POG CONFIRMATION RECEIPT OF ORDER
(DATE &amp; TIME)]]="","No Confirmation","Received Confirmation")</f>
        <v>Received Confirmation</v>
      </c>
      <c r="P1719" s="6">
        <f ca="1">TODAY()-Table2[[#This Row],[DATE SENT TO POG]]</f>
        <v>115</v>
      </c>
      <c r="Q1719" s="6" t="s">
        <v>5803</v>
      </c>
      <c r="R17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19" s="2" t="str">
        <f>_xlfn.XLOOKUP(Table2[[#This Row],[Adjusted Form '#]],'[2]IN PROGRESS'!$D:$D,'[2]IN PROGRESS'!$M:$M,"Not Found")</f>
        <v>Not Found</v>
      </c>
      <c r="U1719" s="2" t="str">
        <f>_xlfn.XLOOKUP(Table2[[#This Row],[Adjusted Form '#]],[1]COMPLETED!$D:$D,[2]COMPLETED!$M:$M,"Not Found")</f>
        <v>Not Found</v>
      </c>
      <c r="V1719" s="17" t="str">
        <f>_xlfn.XLOOKUP(Table2[[#This Row],[Adjusted Form '#]],[2]COMPLETED!$D:$D,[2]COMPLETED!$O:$O,"Not Found")</f>
        <v>Not Found</v>
      </c>
      <c r="W1719" s="2" t="str">
        <f>_xlfn.XLOOKUP(Table2[[#This Row],[Adjusted Form '#]],[2]BILLED!$D:$D,[2]BILLED!$M:$M,"Not Found")</f>
        <v>9400 1112 0620 9952 5045 89</v>
      </c>
      <c r="X1719" s="17" t="e">
        <f>_xlfn.XLOOKUP(Table2[[#This Row],[Adjusted Form '#]],[2]BILLED!$D:$D,[1]BILLED!$O:$O,"Not Found")</f>
        <v>#REF!</v>
      </c>
      <c r="Y1719" s="17" t="e">
        <f>_xlfn.XLOOKUP(Table2[[#This Row],[Adjusted Form '#]],'[2]REJECTED ORDERS'!$D:$D,'[2]REJECTED ORDERS'!$E:$E)</f>
        <v>#N/A</v>
      </c>
      <c r="Z1719" s="1"/>
      <c r="AA1719" s="1"/>
    </row>
    <row r="1720" spans="1:27" ht="15" customHeight="1" x14ac:dyDescent="0.35">
      <c r="A1720" s="4" t="s">
        <v>2553</v>
      </c>
      <c r="B1720" s="1" t="s">
        <v>3602</v>
      </c>
      <c r="C1720" s="11">
        <v>45188</v>
      </c>
      <c r="D1720" s="11" t="s">
        <v>7010</v>
      </c>
      <c r="E1720" s="1" t="s">
        <v>191</v>
      </c>
      <c r="F1720" s="1" t="s">
        <v>7008</v>
      </c>
      <c r="G1720" s="6">
        <f>COUNTIF(F:F,Table2[[#This Row],[Form '#]])</f>
        <v>1</v>
      </c>
      <c r="H1720" s="1" t="s">
        <v>2549</v>
      </c>
      <c r="I1720" s="1" t="s">
        <v>3852</v>
      </c>
      <c r="J1720" s="1" t="s">
        <v>75</v>
      </c>
      <c r="K1720" s="1" t="s">
        <v>4011</v>
      </c>
      <c r="L1720" s="1"/>
      <c r="M1720" s="6" t="str">
        <f>IF(Table2[[#This Row],[Corrected Form '#
 (If Duplicated)]]="",Table2[[#This Row],[Form '#]],Table2[[#This Row],[Corrected Form '#
 (If Duplicated)]])</f>
        <v>7812-04952</v>
      </c>
      <c r="N1720" s="1" t="s">
        <v>49</v>
      </c>
      <c r="O1720" s="6" t="str">
        <f>IF(Table2[[#This Row],[POG CONFIRMATION RECEIPT OF ORDER
(DATE &amp; TIME)]]="","No Confirmation","Received Confirmation")</f>
        <v>Received Confirmation</v>
      </c>
      <c r="P1720" s="6">
        <f ca="1">TODAY()-Table2[[#This Row],[DATE SENT TO POG]]</f>
        <v>115</v>
      </c>
      <c r="Q1720" s="6" t="s">
        <v>5803</v>
      </c>
      <c r="R17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20" s="2" t="str">
        <f>_xlfn.XLOOKUP(Table2[[#This Row],[Adjusted Form '#]],'[2]IN PROGRESS'!$D:$D,'[2]IN PROGRESS'!$M:$M,"Not Found")</f>
        <v>Not Found</v>
      </c>
      <c r="U1720" s="2" t="str">
        <f>_xlfn.XLOOKUP(Table2[[#This Row],[Adjusted Form '#]],[1]COMPLETED!$D:$D,[2]COMPLETED!$M:$M,"Not Found")</f>
        <v>Not Found</v>
      </c>
      <c r="V1720" s="17" t="str">
        <f>_xlfn.XLOOKUP(Table2[[#This Row],[Adjusted Form '#]],[2]COMPLETED!$D:$D,[2]COMPLETED!$O:$O,"Not Found")</f>
        <v>Not Found</v>
      </c>
      <c r="W1720" s="2" t="str">
        <f>_xlfn.XLOOKUP(Table2[[#This Row],[Adjusted Form '#]],[2]BILLED!$D:$D,[2]BILLED!$M:$M,"Not Found")</f>
        <v>9400 1361 0605 3432 9278 18</v>
      </c>
      <c r="X1720" s="17" t="e">
        <f>_xlfn.XLOOKUP(Table2[[#This Row],[Adjusted Form '#]],[2]BILLED!$D:$D,[1]BILLED!$O:$O,"Not Found")</f>
        <v>#REF!</v>
      </c>
      <c r="Y1720" s="17" t="e">
        <f>_xlfn.XLOOKUP(Table2[[#This Row],[Adjusted Form '#]],'[2]REJECTED ORDERS'!$D:$D,'[2]REJECTED ORDERS'!$E:$E)</f>
        <v>#N/A</v>
      </c>
      <c r="Z1720" s="1"/>
      <c r="AA1720" s="1"/>
    </row>
    <row r="1721" spans="1:27" ht="15" customHeight="1" x14ac:dyDescent="0.35">
      <c r="A1721" s="4" t="s">
        <v>2554</v>
      </c>
      <c r="B1721" s="1" t="s">
        <v>2431</v>
      </c>
      <c r="C1721" s="11">
        <v>45188</v>
      </c>
      <c r="D1721" s="11" t="s">
        <v>7015</v>
      </c>
      <c r="E1721" s="1" t="s">
        <v>73</v>
      </c>
      <c r="F1721" s="1" t="s">
        <v>7011</v>
      </c>
      <c r="G1721" s="6">
        <f>COUNTIF(F:F,Table2[[#This Row],[Form '#]])</f>
        <v>1</v>
      </c>
      <c r="H1721" s="1" t="s">
        <v>7012</v>
      </c>
      <c r="I1721" s="1" t="s">
        <v>3852</v>
      </c>
      <c r="J1721" s="1" t="s">
        <v>75</v>
      </c>
      <c r="K1721" s="1" t="s">
        <v>3853</v>
      </c>
      <c r="L1721" s="1"/>
      <c r="M1721" s="6" t="str">
        <f>IF(Table2[[#This Row],[Corrected Form '#
 (If Duplicated)]]="",Table2[[#This Row],[Form '#]],Table2[[#This Row],[Corrected Form '#
 (If Duplicated)]])</f>
        <v>7823-03044</v>
      </c>
      <c r="N1721" s="1" t="s">
        <v>49</v>
      </c>
      <c r="O1721" s="6" t="str">
        <f>IF(Table2[[#This Row],[POG CONFIRMATION RECEIPT OF ORDER
(DATE &amp; TIME)]]="","No Confirmation","Received Confirmation")</f>
        <v>Received Confirmation</v>
      </c>
      <c r="P1721" s="6">
        <f ca="1">TODAY()-Table2[[#This Row],[DATE SENT TO POG]]</f>
        <v>115</v>
      </c>
      <c r="Q1721" s="6" t="s">
        <v>5803</v>
      </c>
      <c r="R17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21" s="2" t="str">
        <f>_xlfn.XLOOKUP(Table2[[#This Row],[Adjusted Form '#]],'[2]IN PROGRESS'!$D:$D,'[2]IN PROGRESS'!$M:$M,"Not Found")</f>
        <v>Not Found</v>
      </c>
      <c r="U1721" s="2" t="str">
        <f>_xlfn.XLOOKUP(Table2[[#This Row],[Adjusted Form '#]],[1]COMPLETED!$D:$D,[2]COMPLETED!$M:$M,"Not Found")</f>
        <v>Not Found</v>
      </c>
      <c r="V1721" s="17" t="str">
        <f>_xlfn.XLOOKUP(Table2[[#This Row],[Adjusted Form '#]],[2]COMPLETED!$D:$D,[2]COMPLETED!$O:$O,"Not Found")</f>
        <v>Not Found</v>
      </c>
      <c r="W1721" s="2" t="str">
        <f>_xlfn.XLOOKUP(Table2[[#This Row],[Adjusted Form '#]],[2]BILLED!$D:$D,[2]BILLED!$M:$M,"Not Found")</f>
        <v>9400 1361 0605 3414 9436 90</v>
      </c>
      <c r="X1721" s="17" t="e">
        <f>_xlfn.XLOOKUP(Table2[[#This Row],[Adjusted Form '#]],[2]BILLED!$D:$D,[1]BILLED!$O:$O,"Not Found")</f>
        <v>#REF!</v>
      </c>
      <c r="Y1721" s="17" t="e">
        <f>_xlfn.XLOOKUP(Table2[[#This Row],[Adjusted Form '#]],'[2]REJECTED ORDERS'!$D:$D,'[2]REJECTED ORDERS'!$E:$E)</f>
        <v>#N/A</v>
      </c>
      <c r="Z1721" s="1"/>
      <c r="AA1721" s="1"/>
    </row>
    <row r="1722" spans="1:27" ht="15" customHeight="1" x14ac:dyDescent="0.35">
      <c r="A1722" s="4" t="s">
        <v>2555</v>
      </c>
      <c r="B1722" s="1" t="s">
        <v>290</v>
      </c>
      <c r="C1722" s="11">
        <v>45188</v>
      </c>
      <c r="E1722" s="1" t="s">
        <v>21</v>
      </c>
      <c r="F1722" s="1" t="s">
        <v>7013</v>
      </c>
      <c r="G1722" s="6">
        <f>COUNTIF(F:F,Table2[[#This Row],[Form '#]])</f>
        <v>1</v>
      </c>
      <c r="H1722" s="1" t="s">
        <v>7014</v>
      </c>
      <c r="I1722" s="1" t="s">
        <v>3852</v>
      </c>
      <c r="J1722" s="1" t="s">
        <v>80</v>
      </c>
      <c r="K1722" s="1" t="s">
        <v>3853</v>
      </c>
      <c r="L1722" s="1"/>
      <c r="M1722" s="6" t="str">
        <f>IF(Table2[[#This Row],[Corrected Form '#
 (If Duplicated)]]="",Table2[[#This Row],[Form '#]],Table2[[#This Row],[Corrected Form '#
 (If Duplicated)]])</f>
        <v>7818-30949</v>
      </c>
      <c r="N1722" s="1" t="s">
        <v>49</v>
      </c>
      <c r="O1722" s="6" t="str">
        <f>IF(Table2[[#This Row],[POG CONFIRMATION RECEIPT OF ORDER
(DATE &amp; TIME)]]="","No Confirmation","Received Confirmation")</f>
        <v>No Confirmation</v>
      </c>
      <c r="P1722" s="6">
        <f ca="1">TODAY()-Table2[[#This Row],[DATE SENT TO POG]]</f>
        <v>115</v>
      </c>
      <c r="Q1722" s="6" t="s">
        <v>5802</v>
      </c>
      <c r="R17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72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722" s="2" t="str">
        <f>_xlfn.XLOOKUP(Table2[[#This Row],[Adjusted Form '#]],'[2]IN PROGRESS'!$D:$D,'[2]IN PROGRESS'!$M:$M,"Not Found")</f>
        <v>Not Found</v>
      </c>
      <c r="U1722" s="2" t="str">
        <f>_xlfn.XLOOKUP(Table2[[#This Row],[Adjusted Form '#]],[1]COMPLETED!$D:$D,[2]COMPLETED!$M:$M,"Not Found")</f>
        <v>Not Found</v>
      </c>
      <c r="V1722" s="17" t="str">
        <f>_xlfn.XLOOKUP(Table2[[#This Row],[Adjusted Form '#]],[2]COMPLETED!$D:$D,[2]COMPLETED!$O:$O,"Not Found")</f>
        <v>Not Found</v>
      </c>
      <c r="W1722" s="2" t="str">
        <f>_xlfn.XLOOKUP(Table2[[#This Row],[Adjusted Form '#]],[2]BILLED!$D:$D,[2]BILLED!$M:$M,"Not Found")</f>
        <v>Not Found</v>
      </c>
      <c r="X1722" s="17" t="str">
        <f>_xlfn.XLOOKUP(Table2[[#This Row],[Adjusted Form '#]],[2]BILLED!$D:$D,[1]BILLED!$O:$O,"Not Found")</f>
        <v>Not Found</v>
      </c>
      <c r="Y1722" s="17" t="str">
        <f>_xlfn.XLOOKUP(Table2[[#This Row],[Adjusted Form '#]],'[2]REJECTED ORDERS'!$D:$D,'[2]REJECTED ORDERS'!$E:$E)</f>
        <v>FORM NOT SIGNED</v>
      </c>
      <c r="Z1722" s="1"/>
      <c r="AA1722" s="1"/>
    </row>
    <row r="1723" spans="1:27" ht="15" customHeight="1" x14ac:dyDescent="0.35">
      <c r="A1723" s="4" t="s">
        <v>2557</v>
      </c>
      <c r="B1723" s="1" t="s">
        <v>267</v>
      </c>
      <c r="C1723" s="11">
        <v>45188</v>
      </c>
      <c r="D1723" s="11" t="s">
        <v>7018</v>
      </c>
      <c r="E1723" s="1" t="s">
        <v>73</v>
      </c>
      <c r="F1723" s="1" t="s">
        <v>7016</v>
      </c>
      <c r="G1723" s="6">
        <f>COUNTIF(F:F,Table2[[#This Row],[Form '#]])</f>
        <v>1</v>
      </c>
      <c r="H1723" s="1" t="s">
        <v>7017</v>
      </c>
      <c r="I1723" s="1" t="s">
        <v>3864</v>
      </c>
      <c r="J1723" s="1" t="s">
        <v>78</v>
      </c>
      <c r="K1723" s="1" t="s">
        <v>3879</v>
      </c>
      <c r="L1723" s="1"/>
      <c r="M1723" s="6" t="str">
        <f>IF(Table2[[#This Row],[Corrected Form '#
 (If Duplicated)]]="",Table2[[#This Row],[Form '#]],Table2[[#This Row],[Corrected Form '#
 (If Duplicated)]])</f>
        <v>7823-02817</v>
      </c>
      <c r="N1723" s="1" t="s">
        <v>49</v>
      </c>
      <c r="O1723" s="6" t="str">
        <f>IF(Table2[[#This Row],[POG CONFIRMATION RECEIPT OF ORDER
(DATE &amp; TIME)]]="","No Confirmation","Received Confirmation")</f>
        <v>Received Confirmation</v>
      </c>
      <c r="P1723" s="6">
        <f ca="1">TODAY()-Table2[[#This Row],[DATE SENT TO POG]]</f>
        <v>115</v>
      </c>
      <c r="Q1723" s="6" t="s">
        <v>5803</v>
      </c>
      <c r="R17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23" s="2" t="str">
        <f>_xlfn.XLOOKUP(Table2[[#This Row],[Adjusted Form '#]],'[2]IN PROGRESS'!$D:$D,'[2]IN PROGRESS'!$M:$M,"Not Found")</f>
        <v>Not Found</v>
      </c>
      <c r="U1723" s="2" t="str">
        <f>_xlfn.XLOOKUP(Table2[[#This Row],[Adjusted Form '#]],[1]COMPLETED!$D:$D,[2]COMPLETED!$M:$M,"Not Found")</f>
        <v>Not Found</v>
      </c>
      <c r="V1723" s="17" t="str">
        <f>_xlfn.XLOOKUP(Table2[[#This Row],[Adjusted Form '#]],[2]COMPLETED!$D:$D,[2]COMPLETED!$O:$O,"Not Found")</f>
        <v>Not Found</v>
      </c>
      <c r="W1723" s="2" t="str">
        <f>_xlfn.XLOOKUP(Table2[[#This Row],[Adjusted Form '#]],[2]BILLED!$D:$D,[2]BILLED!$M:$M,"Not Found")</f>
        <v>9400 1361 0605 3461 9273 77</v>
      </c>
      <c r="X1723" s="17" t="e">
        <f>_xlfn.XLOOKUP(Table2[[#This Row],[Adjusted Form '#]],[2]BILLED!$D:$D,[1]BILLED!$O:$O,"Not Found")</f>
        <v>#REF!</v>
      </c>
      <c r="Y1723" s="17" t="e">
        <f>_xlfn.XLOOKUP(Table2[[#This Row],[Adjusted Form '#]],'[2]REJECTED ORDERS'!$D:$D,'[2]REJECTED ORDERS'!$E:$E)</f>
        <v>#N/A</v>
      </c>
      <c r="Z1723" s="1"/>
      <c r="AA1723" s="1"/>
    </row>
    <row r="1724" spans="1:27" ht="15" customHeight="1" x14ac:dyDescent="0.35">
      <c r="A1724" s="4" t="s">
        <v>2558</v>
      </c>
      <c r="B1724" s="1" t="s">
        <v>7019</v>
      </c>
      <c r="C1724" s="11">
        <v>45189</v>
      </c>
      <c r="E1724" s="1" t="s">
        <v>21</v>
      </c>
      <c r="F1724" s="1" t="s">
        <v>7020</v>
      </c>
      <c r="G1724" s="6">
        <f>COUNTIF(F:F,Table2[[#This Row],[Form '#]])</f>
        <v>1</v>
      </c>
      <c r="H1724" s="1" t="s">
        <v>3639</v>
      </c>
      <c r="I1724" s="1" t="s">
        <v>758</v>
      </c>
      <c r="J1724" s="1" t="s">
        <v>78</v>
      </c>
      <c r="K1724" s="1" t="s">
        <v>78</v>
      </c>
      <c r="L1724" s="1"/>
      <c r="M1724" s="6" t="str">
        <f>IF(Table2[[#This Row],[Corrected Form '#
 (If Duplicated)]]="",Table2[[#This Row],[Form '#]],Table2[[#This Row],[Corrected Form '#
 (If Duplicated)]])</f>
        <v>7818-30953</v>
      </c>
      <c r="N1724" s="1" t="s">
        <v>49</v>
      </c>
      <c r="O1724" s="6" t="str">
        <f>IF(Table2[[#This Row],[POG CONFIRMATION RECEIPT OF ORDER
(DATE &amp; TIME)]]="","No Confirmation","Received Confirmation")</f>
        <v>No Confirmation</v>
      </c>
      <c r="P1724" s="6">
        <f ca="1">TODAY()-Table2[[#This Row],[DATE SENT TO POG]]</f>
        <v>114</v>
      </c>
      <c r="Q1724" s="6" t="s">
        <v>5803</v>
      </c>
      <c r="R17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24" s="2" t="str">
        <f>_xlfn.XLOOKUP(Table2[[#This Row],[Adjusted Form '#]],'[2]IN PROGRESS'!$D:$D,'[2]IN PROGRESS'!$M:$M,"Not Found")</f>
        <v>Not Found</v>
      </c>
      <c r="U1724" s="2" t="str">
        <f>_xlfn.XLOOKUP(Table2[[#This Row],[Adjusted Form '#]],[1]COMPLETED!$D:$D,[2]COMPLETED!$M:$M,"Not Found")</f>
        <v>Not Found</v>
      </c>
      <c r="V1724" s="17" t="str">
        <f>_xlfn.XLOOKUP(Table2[[#This Row],[Adjusted Form '#]],[2]COMPLETED!$D:$D,[2]COMPLETED!$O:$O,"Not Found")</f>
        <v>Not Found</v>
      </c>
      <c r="W1724" s="2" t="str">
        <f>_xlfn.XLOOKUP(Table2[[#This Row],[Adjusted Form '#]],[2]BILLED!$D:$D,[2]BILLED!$M:$M,"Not Found")</f>
        <v>9400 1361 0605 3422 9394 87</v>
      </c>
      <c r="X1724" s="17" t="e">
        <f>_xlfn.XLOOKUP(Table2[[#This Row],[Adjusted Form '#]],[2]BILLED!$D:$D,[1]BILLED!$O:$O,"Not Found")</f>
        <v>#REF!</v>
      </c>
      <c r="Y1724" s="17" t="e">
        <f>_xlfn.XLOOKUP(Table2[[#This Row],[Adjusted Form '#]],'[2]REJECTED ORDERS'!$D:$D,'[2]REJECTED ORDERS'!$E:$E)</f>
        <v>#N/A</v>
      </c>
      <c r="Z1724" s="1"/>
      <c r="AA1724" s="1"/>
    </row>
    <row r="1725" spans="1:27" ht="15" customHeight="1" x14ac:dyDescent="0.35">
      <c r="A1725" s="4" t="s">
        <v>2559</v>
      </c>
      <c r="B1725" s="1" t="s">
        <v>7019</v>
      </c>
      <c r="C1725" s="11">
        <v>45189</v>
      </c>
      <c r="D1725" s="11" t="s">
        <v>7024</v>
      </c>
      <c r="E1725" s="1" t="s">
        <v>21</v>
      </c>
      <c r="F1725" s="1" t="s">
        <v>7021</v>
      </c>
      <c r="G1725" s="6">
        <f>COUNTIF(F:F,Table2[[#This Row],[Form '#]])</f>
        <v>1</v>
      </c>
      <c r="H1725" s="1" t="s">
        <v>7022</v>
      </c>
      <c r="I1725" s="1" t="s">
        <v>3864</v>
      </c>
      <c r="J1725" s="1" t="s">
        <v>78</v>
      </c>
      <c r="K1725" s="1" t="s">
        <v>3879</v>
      </c>
      <c r="L1725" s="1"/>
      <c r="M1725" s="6" t="str">
        <f>IF(Table2[[#This Row],[Corrected Form '#
 (If Duplicated)]]="",Table2[[#This Row],[Form '#]],Table2[[#This Row],[Corrected Form '#
 (If Duplicated)]])</f>
        <v>7818-30701</v>
      </c>
      <c r="N1725" s="1" t="s">
        <v>49</v>
      </c>
      <c r="O1725" s="6" t="str">
        <f>IF(Table2[[#This Row],[POG CONFIRMATION RECEIPT OF ORDER
(DATE &amp; TIME)]]="","No Confirmation","Received Confirmation")</f>
        <v>Received Confirmation</v>
      </c>
      <c r="P1725" s="6">
        <f ca="1">TODAY()-Table2[[#This Row],[DATE SENT TO POG]]</f>
        <v>114</v>
      </c>
      <c r="Q1725" s="6" t="s">
        <v>5803</v>
      </c>
      <c r="R17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25" s="2" t="str">
        <f>_xlfn.XLOOKUP(Table2[[#This Row],[Adjusted Form '#]],'[2]IN PROGRESS'!$D:$D,'[2]IN PROGRESS'!$M:$M,"Not Found")</f>
        <v>Not Found</v>
      </c>
      <c r="U1725" s="2" t="str">
        <f>_xlfn.XLOOKUP(Table2[[#This Row],[Adjusted Form '#]],[1]COMPLETED!$D:$D,[2]COMPLETED!$M:$M,"Not Found")</f>
        <v>Not Found</v>
      </c>
      <c r="V1725" s="17" t="str">
        <f>_xlfn.XLOOKUP(Table2[[#This Row],[Adjusted Form '#]],[2]COMPLETED!$D:$D,[2]COMPLETED!$O:$O,"Not Found")</f>
        <v>Not Found</v>
      </c>
      <c r="W1725" s="2" t="str">
        <f>_xlfn.XLOOKUP(Table2[[#This Row],[Adjusted Form '#]],[2]BILLED!$D:$D,[2]BILLED!$M:$M,"Not Found")</f>
        <v>9400 1361 0605 3463 1186 74</v>
      </c>
      <c r="X1725" s="17" t="e">
        <f>_xlfn.XLOOKUP(Table2[[#This Row],[Adjusted Form '#]],[2]BILLED!$D:$D,[1]BILLED!$O:$O,"Not Found")</f>
        <v>#REF!</v>
      </c>
      <c r="Y1725" s="17" t="e">
        <f>_xlfn.XLOOKUP(Table2[[#This Row],[Adjusted Form '#]],'[2]REJECTED ORDERS'!$D:$D,'[2]REJECTED ORDERS'!$E:$E)</f>
        <v>#N/A</v>
      </c>
      <c r="Z1725" s="1"/>
      <c r="AA1725" s="1"/>
    </row>
    <row r="1726" spans="1:27" ht="15" customHeight="1" x14ac:dyDescent="0.35">
      <c r="A1726" s="4" t="s">
        <v>2560</v>
      </c>
      <c r="B1726" s="1" t="s">
        <v>5660</v>
      </c>
      <c r="C1726" s="11">
        <v>45189</v>
      </c>
      <c r="D1726" s="11" t="s">
        <v>7024</v>
      </c>
      <c r="E1726" s="1" t="s">
        <v>191</v>
      </c>
      <c r="F1726" s="1" t="s">
        <v>7023</v>
      </c>
      <c r="G1726" s="6">
        <f>COUNTIF(F:F,Table2[[#This Row],[Form '#]])</f>
        <v>1</v>
      </c>
      <c r="H1726" s="1" t="s">
        <v>3651</v>
      </c>
      <c r="I1726" s="1" t="s">
        <v>758</v>
      </c>
      <c r="J1726" s="1" t="s">
        <v>78</v>
      </c>
      <c r="K1726" s="1" t="s">
        <v>3853</v>
      </c>
      <c r="L1726" s="1"/>
      <c r="M1726" s="6" t="str">
        <f>IF(Table2[[#This Row],[Corrected Form '#
 (If Duplicated)]]="",Table2[[#This Row],[Form '#]],Table2[[#This Row],[Corrected Form '#
 (If Duplicated)]])</f>
        <v>7812-04605</v>
      </c>
      <c r="N1726" s="1" t="s">
        <v>49</v>
      </c>
      <c r="O1726" s="6" t="str">
        <f>IF(Table2[[#This Row],[POG CONFIRMATION RECEIPT OF ORDER
(DATE &amp; TIME)]]="","No Confirmation","Received Confirmation")</f>
        <v>Received Confirmation</v>
      </c>
      <c r="P1726" s="6">
        <f ca="1">TODAY()-Table2[[#This Row],[DATE SENT TO POG]]</f>
        <v>114</v>
      </c>
      <c r="Q1726" s="6" t="s">
        <v>5802</v>
      </c>
      <c r="R17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72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726" s="2" t="str">
        <f>_xlfn.XLOOKUP(Table2[[#This Row],[Adjusted Form '#]],'[2]IN PROGRESS'!$D:$D,'[2]IN PROGRESS'!$M:$M,"Not Found")</f>
        <v>Not Found</v>
      </c>
      <c r="U1726" s="2" t="str">
        <f>_xlfn.XLOOKUP(Table2[[#This Row],[Adjusted Form '#]],[1]COMPLETED!$D:$D,[2]COMPLETED!$M:$M,"Not Found")</f>
        <v>Not Found</v>
      </c>
      <c r="V1726" s="17" t="str">
        <f>_xlfn.XLOOKUP(Table2[[#This Row],[Adjusted Form '#]],[2]COMPLETED!$D:$D,[2]COMPLETED!$O:$O,"Not Found")</f>
        <v>Not Found</v>
      </c>
      <c r="W1726" s="2" t="str">
        <f>_xlfn.XLOOKUP(Table2[[#This Row],[Adjusted Form '#]],[2]BILLED!$D:$D,[2]BILLED!$M:$M,"Not Found")</f>
        <v>Not Found</v>
      </c>
      <c r="X1726" s="17" t="str">
        <f>_xlfn.XLOOKUP(Table2[[#This Row],[Adjusted Form '#]],[2]BILLED!$D:$D,[1]BILLED!$O:$O,"Not Found")</f>
        <v>Not Found</v>
      </c>
      <c r="Y1726" s="17" t="e">
        <f>_xlfn.XLOOKUP(Table2[[#This Row],[Adjusted Form '#]],'[2]REJECTED ORDERS'!$D:$D,'[2]REJECTED ORDERS'!$E:$E)</f>
        <v>#N/A</v>
      </c>
      <c r="Z1726" s="1"/>
      <c r="AA1726" s="1"/>
    </row>
    <row r="1727" spans="1:27" ht="15" customHeight="1" x14ac:dyDescent="0.35">
      <c r="A1727" s="4" t="s">
        <v>2561</v>
      </c>
      <c r="B1727" s="1" t="s">
        <v>1012</v>
      </c>
      <c r="C1727" s="11">
        <v>45189</v>
      </c>
      <c r="E1727" s="1" t="s">
        <v>191</v>
      </c>
      <c r="F1727" s="1" t="s">
        <v>7025</v>
      </c>
      <c r="G1727" s="6">
        <f>COUNTIF(F:F,Table2[[#This Row],[Form '#]])</f>
        <v>1</v>
      </c>
      <c r="H1727" s="1" t="s">
        <v>7026</v>
      </c>
      <c r="I1727" s="1" t="s">
        <v>3852</v>
      </c>
      <c r="J1727" s="1" t="s">
        <v>3891</v>
      </c>
      <c r="K1727" s="1" t="s">
        <v>4011</v>
      </c>
      <c r="L1727" s="1"/>
      <c r="M1727" s="6" t="str">
        <f>IF(Table2[[#This Row],[Corrected Form '#
 (If Duplicated)]]="",Table2[[#This Row],[Form '#]],Table2[[#This Row],[Corrected Form '#
 (If Duplicated)]])</f>
        <v>7812-04950</v>
      </c>
      <c r="N1727" s="1" t="s">
        <v>49</v>
      </c>
      <c r="O1727" s="6" t="str">
        <f>IF(Table2[[#This Row],[POG CONFIRMATION RECEIPT OF ORDER
(DATE &amp; TIME)]]="","No Confirmation","Received Confirmation")</f>
        <v>No Confirmation</v>
      </c>
      <c r="P1727" s="6">
        <f ca="1">TODAY()-Table2[[#This Row],[DATE SENT TO POG]]</f>
        <v>114</v>
      </c>
      <c r="Q1727" s="6" t="s">
        <v>5802</v>
      </c>
      <c r="R17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72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727" s="2" t="str">
        <f>_xlfn.XLOOKUP(Table2[[#This Row],[Adjusted Form '#]],'[2]IN PROGRESS'!$D:$D,'[2]IN PROGRESS'!$M:$M,"Not Found")</f>
        <v>Not Found</v>
      </c>
      <c r="U1727" s="2" t="str">
        <f>_xlfn.XLOOKUP(Table2[[#This Row],[Adjusted Form '#]],[1]COMPLETED!$D:$D,[2]COMPLETED!$M:$M,"Not Found")</f>
        <v>Not Found</v>
      </c>
      <c r="V1727" s="17">
        <f>_xlfn.XLOOKUP(Table2[[#This Row],[Adjusted Form '#]],[2]COMPLETED!$D:$D,[2]COMPLETED!$O:$O,"Not Found")</f>
        <v>45271</v>
      </c>
      <c r="W1727" s="2" t="str">
        <f>_xlfn.XLOOKUP(Table2[[#This Row],[Adjusted Form '#]],[2]BILLED!$D:$D,[2]BILLED!$M:$M,"Not Found")</f>
        <v>Not Found</v>
      </c>
      <c r="X1727" s="17" t="str">
        <f>_xlfn.XLOOKUP(Table2[[#This Row],[Adjusted Form '#]],[2]BILLED!$D:$D,[1]BILLED!$O:$O,"Not Found")</f>
        <v>Not Found</v>
      </c>
      <c r="Y1727" s="17" t="e">
        <f>_xlfn.XLOOKUP(Table2[[#This Row],[Adjusted Form '#]],'[2]REJECTED ORDERS'!$D:$D,'[2]REJECTED ORDERS'!$E:$E)</f>
        <v>#N/A</v>
      </c>
      <c r="Z1727" s="1"/>
      <c r="AA1727" s="1"/>
    </row>
    <row r="1728" spans="1:27" ht="15" customHeight="1" x14ac:dyDescent="0.35">
      <c r="A1728" s="4" t="s">
        <v>2562</v>
      </c>
      <c r="B1728" s="1" t="s">
        <v>2001</v>
      </c>
      <c r="C1728" s="11">
        <v>45189</v>
      </c>
      <c r="D1728" s="11" t="s">
        <v>7028</v>
      </c>
      <c r="E1728" s="1" t="s">
        <v>21</v>
      </c>
      <c r="F1728" s="1" t="s">
        <v>7027</v>
      </c>
      <c r="G1728" s="6">
        <f>COUNTIF(F:F,Table2[[#This Row],[Form '#]])</f>
        <v>1</v>
      </c>
      <c r="H1728" s="1" t="s">
        <v>1139</v>
      </c>
      <c r="I1728" s="1" t="s">
        <v>177</v>
      </c>
      <c r="J1728" s="1" t="s">
        <v>75</v>
      </c>
      <c r="K1728" s="1" t="s">
        <v>4011</v>
      </c>
      <c r="L1728" s="1"/>
      <c r="M1728" s="6" t="str">
        <f>IF(Table2[[#This Row],[Corrected Form '#
 (If Duplicated)]]="",Table2[[#This Row],[Form '#]],Table2[[#This Row],[Corrected Form '#
 (If Duplicated)]])</f>
        <v>7818-30756</v>
      </c>
      <c r="N1728" s="1" t="s">
        <v>49</v>
      </c>
      <c r="O1728" s="6" t="str">
        <f>IF(Table2[[#This Row],[POG CONFIRMATION RECEIPT OF ORDER
(DATE &amp; TIME)]]="","No Confirmation","Received Confirmation")</f>
        <v>Received Confirmation</v>
      </c>
      <c r="P1728" s="6">
        <f ca="1">TODAY()-Table2[[#This Row],[DATE SENT TO POG]]</f>
        <v>114</v>
      </c>
      <c r="Q1728" s="6" t="s">
        <v>5803</v>
      </c>
      <c r="R17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28" s="2" t="str">
        <f>_xlfn.XLOOKUP(Table2[[#This Row],[Adjusted Form '#]],'[2]IN PROGRESS'!$D:$D,'[2]IN PROGRESS'!$M:$M,"Not Found")</f>
        <v>Not Found</v>
      </c>
      <c r="U1728" s="2" t="str">
        <f>_xlfn.XLOOKUP(Table2[[#This Row],[Adjusted Form '#]],[1]COMPLETED!$D:$D,[2]COMPLETED!$M:$M,"Not Found")</f>
        <v>Not Found</v>
      </c>
      <c r="V1728" s="17" t="str">
        <f>_xlfn.XLOOKUP(Table2[[#This Row],[Adjusted Form '#]],[2]COMPLETED!$D:$D,[2]COMPLETED!$O:$O,"Not Found")</f>
        <v>Not Found</v>
      </c>
      <c r="W1728" s="2" t="str">
        <f>_xlfn.XLOOKUP(Table2[[#This Row],[Adjusted Form '#]],[2]BILLED!$D:$D,[2]BILLED!$M:$M,"Not Found")</f>
        <v>9400 1112 0620 9326 9092 93</v>
      </c>
      <c r="X1728" s="17" t="e">
        <f>_xlfn.XLOOKUP(Table2[[#This Row],[Adjusted Form '#]],[2]BILLED!$D:$D,[1]BILLED!$O:$O,"Not Found")</f>
        <v>#REF!</v>
      </c>
      <c r="Y1728" s="17" t="e">
        <f>_xlfn.XLOOKUP(Table2[[#This Row],[Adjusted Form '#]],'[2]REJECTED ORDERS'!$D:$D,'[2]REJECTED ORDERS'!$E:$E)</f>
        <v>#N/A</v>
      </c>
      <c r="Z1728" s="1"/>
      <c r="AA1728" s="1"/>
    </row>
    <row r="1729" spans="1:27" ht="15" customHeight="1" x14ac:dyDescent="0.35">
      <c r="A1729" s="4" t="s">
        <v>2563</v>
      </c>
      <c r="B1729" s="1" t="s">
        <v>1525</v>
      </c>
      <c r="C1729" s="11">
        <v>45189</v>
      </c>
      <c r="D1729" s="11" t="s">
        <v>7031</v>
      </c>
      <c r="E1729" s="1" t="s">
        <v>191</v>
      </c>
      <c r="F1729" s="1" t="s">
        <v>7029</v>
      </c>
      <c r="G1729" s="6">
        <f>COUNTIF(F:F,Table2[[#This Row],[Form '#]])</f>
        <v>1</v>
      </c>
      <c r="H1729" s="1" t="s">
        <v>7030</v>
      </c>
      <c r="I1729" s="1" t="s">
        <v>127</v>
      </c>
      <c r="J1729" s="1" t="s">
        <v>71</v>
      </c>
      <c r="K1729" s="1" t="s">
        <v>4011</v>
      </c>
      <c r="L1729" s="1"/>
      <c r="M1729" s="6" t="str">
        <f>IF(Table2[[#This Row],[Corrected Form '#
 (If Duplicated)]]="",Table2[[#This Row],[Form '#]],Table2[[#This Row],[Corrected Form '#
 (If Duplicated)]])</f>
        <v>7812-04709</v>
      </c>
      <c r="N1729" s="1" t="s">
        <v>49</v>
      </c>
      <c r="O1729" s="6" t="str">
        <f>IF(Table2[[#This Row],[POG CONFIRMATION RECEIPT OF ORDER
(DATE &amp; TIME)]]="","No Confirmation","Received Confirmation")</f>
        <v>Received Confirmation</v>
      </c>
      <c r="P1729" s="6">
        <f ca="1">TODAY()-Table2[[#This Row],[DATE SENT TO POG]]</f>
        <v>114</v>
      </c>
      <c r="Q1729" s="6" t="s">
        <v>5803</v>
      </c>
      <c r="R17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29" s="2" t="str">
        <f>_xlfn.XLOOKUP(Table2[[#This Row],[Adjusted Form '#]],'[2]IN PROGRESS'!$D:$D,'[2]IN PROGRESS'!$M:$M,"Not Found")</f>
        <v>Not Found</v>
      </c>
      <c r="U1729" s="2" t="str">
        <f>_xlfn.XLOOKUP(Table2[[#This Row],[Adjusted Form '#]],[1]COMPLETED!$D:$D,[2]COMPLETED!$M:$M,"Not Found")</f>
        <v>Not Found</v>
      </c>
      <c r="V1729" s="17" t="str">
        <f>_xlfn.XLOOKUP(Table2[[#This Row],[Adjusted Form '#]],[2]COMPLETED!$D:$D,[2]COMPLETED!$O:$O,"Not Found")</f>
        <v>Not Found</v>
      </c>
      <c r="W1729" s="2" t="str">
        <f>_xlfn.XLOOKUP(Table2[[#This Row],[Adjusted Form '#]],[2]BILLED!$D:$D,[2]BILLED!$M:$M,"Not Found")</f>
        <v>9400 1112 0620 9925 8754 49</v>
      </c>
      <c r="X1729" s="17" t="e">
        <f>_xlfn.XLOOKUP(Table2[[#This Row],[Adjusted Form '#]],[2]BILLED!$D:$D,[1]BILLED!$O:$O,"Not Found")</f>
        <v>#REF!</v>
      </c>
      <c r="Y1729" s="17" t="e">
        <f>_xlfn.XLOOKUP(Table2[[#This Row],[Adjusted Form '#]],'[2]REJECTED ORDERS'!$D:$D,'[2]REJECTED ORDERS'!$E:$E)</f>
        <v>#N/A</v>
      </c>
      <c r="Z1729" s="1"/>
      <c r="AA1729" s="1"/>
    </row>
    <row r="1730" spans="1:27" ht="15" customHeight="1" x14ac:dyDescent="0.35">
      <c r="A1730" s="4" t="s">
        <v>2565</v>
      </c>
      <c r="B1730" s="1" t="s">
        <v>337</v>
      </c>
      <c r="C1730" s="11">
        <v>45190</v>
      </c>
      <c r="D1730" s="11" t="s">
        <v>7055</v>
      </c>
      <c r="E1730" s="1" t="s">
        <v>21</v>
      </c>
      <c r="F1730" s="1" t="s">
        <v>7032</v>
      </c>
      <c r="G1730" s="6">
        <f>COUNTIF(F:F,Table2[[#This Row],[Form '#]])</f>
        <v>1</v>
      </c>
      <c r="H1730" s="1" t="s">
        <v>7033</v>
      </c>
      <c r="I1730" s="1" t="s">
        <v>3852</v>
      </c>
      <c r="J1730" s="1" t="s">
        <v>75</v>
      </c>
      <c r="K1730" s="1" t="s">
        <v>4011</v>
      </c>
      <c r="L1730" s="1"/>
      <c r="M1730" s="6" t="str">
        <f>IF(Table2[[#This Row],[Corrected Form '#
 (If Duplicated)]]="",Table2[[#This Row],[Form '#]],Table2[[#This Row],[Corrected Form '#
 (If Duplicated)]])</f>
        <v>7818-32250</v>
      </c>
      <c r="N1730" s="1" t="s">
        <v>49</v>
      </c>
      <c r="O1730" s="6" t="str">
        <f>IF(Table2[[#This Row],[POG CONFIRMATION RECEIPT OF ORDER
(DATE &amp; TIME)]]="","No Confirmation","Received Confirmation")</f>
        <v>Received Confirmation</v>
      </c>
      <c r="P1730" s="6">
        <f ca="1">TODAY()-Table2[[#This Row],[DATE SENT TO POG]]</f>
        <v>113</v>
      </c>
      <c r="Q1730" s="6" t="s">
        <v>5803</v>
      </c>
      <c r="R17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0" s="2" t="str">
        <f>_xlfn.XLOOKUP(Table2[[#This Row],[Adjusted Form '#]],'[2]IN PROGRESS'!$D:$D,'[2]IN PROGRESS'!$M:$M,"Not Found")</f>
        <v>Not Found</v>
      </c>
      <c r="U1730" s="2" t="str">
        <f>_xlfn.XLOOKUP(Table2[[#This Row],[Adjusted Form '#]],[1]COMPLETED!$D:$D,[2]COMPLETED!$M:$M,"Not Found")</f>
        <v>Not Found</v>
      </c>
      <c r="V1730" s="17" t="str">
        <f>_xlfn.XLOOKUP(Table2[[#This Row],[Adjusted Form '#]],[2]COMPLETED!$D:$D,[2]COMPLETED!$O:$O,"Not Found")</f>
        <v>Not Found</v>
      </c>
      <c r="W1730" s="2" t="str">
        <f>_xlfn.XLOOKUP(Table2[[#This Row],[Adjusted Form '#]],[2]BILLED!$D:$D,[2]BILLED!$M:$M,"Not Found")</f>
        <v>9400 1361 0605 3448 4611 91</v>
      </c>
      <c r="X1730" s="17" t="e">
        <f>_xlfn.XLOOKUP(Table2[[#This Row],[Adjusted Form '#]],[2]BILLED!$D:$D,[1]BILLED!$O:$O,"Not Found")</f>
        <v>#REF!</v>
      </c>
      <c r="Y1730" s="17" t="e">
        <f>_xlfn.XLOOKUP(Table2[[#This Row],[Adjusted Form '#]],'[2]REJECTED ORDERS'!$D:$D,'[2]REJECTED ORDERS'!$E:$E)</f>
        <v>#N/A</v>
      </c>
      <c r="Z1730" s="1"/>
      <c r="AA1730" s="1"/>
    </row>
    <row r="1731" spans="1:27" ht="15" customHeight="1" x14ac:dyDescent="0.35">
      <c r="A1731" s="4" t="s">
        <v>2566</v>
      </c>
      <c r="B1731" s="1" t="s">
        <v>337</v>
      </c>
      <c r="C1731" s="11">
        <v>45190</v>
      </c>
      <c r="D1731" s="11" t="s">
        <v>7055</v>
      </c>
      <c r="E1731" s="1" t="s">
        <v>21</v>
      </c>
      <c r="F1731" s="1" t="s">
        <v>7034</v>
      </c>
      <c r="G1731" s="6">
        <f>COUNTIF(F:F,Table2[[#This Row],[Form '#]])</f>
        <v>1</v>
      </c>
      <c r="H1731" s="1" t="s">
        <v>1824</v>
      </c>
      <c r="I1731" s="1" t="s">
        <v>3852</v>
      </c>
      <c r="J1731" s="1" t="s">
        <v>80</v>
      </c>
      <c r="K1731" s="1" t="s">
        <v>3853</v>
      </c>
      <c r="L1731" s="1"/>
      <c r="M1731" s="6" t="str">
        <f>IF(Table2[[#This Row],[Corrected Form '#
 (If Duplicated)]]="",Table2[[#This Row],[Form '#]],Table2[[#This Row],[Corrected Form '#
 (If Duplicated)]])</f>
        <v>7818-32148</v>
      </c>
      <c r="N1731" s="1" t="s">
        <v>49</v>
      </c>
      <c r="O1731" s="6" t="str">
        <f>IF(Table2[[#This Row],[POG CONFIRMATION RECEIPT OF ORDER
(DATE &amp; TIME)]]="","No Confirmation","Received Confirmation")</f>
        <v>Received Confirmation</v>
      </c>
      <c r="P1731" s="6">
        <f ca="1">TODAY()-Table2[[#This Row],[DATE SENT TO POG]]</f>
        <v>113</v>
      </c>
      <c r="Q1731" s="6" t="s">
        <v>5803</v>
      </c>
      <c r="R17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1" s="2" t="str">
        <f>_xlfn.XLOOKUP(Table2[[#This Row],[Adjusted Form '#]],'[2]IN PROGRESS'!$D:$D,'[2]IN PROGRESS'!$M:$M,"Not Found")</f>
        <v>Not Found</v>
      </c>
      <c r="U1731" s="2" t="str">
        <f>_xlfn.XLOOKUP(Table2[[#This Row],[Adjusted Form '#]],[1]COMPLETED!$D:$D,[2]COMPLETED!$M:$M,"Not Found")</f>
        <v>Not Found</v>
      </c>
      <c r="V1731" s="17" t="str">
        <f>_xlfn.XLOOKUP(Table2[[#This Row],[Adjusted Form '#]],[2]COMPLETED!$D:$D,[2]COMPLETED!$O:$O,"Not Found")</f>
        <v>Not Found</v>
      </c>
      <c r="W1731" s="2" t="str">
        <f>_xlfn.XLOOKUP(Table2[[#This Row],[Adjusted Form '#]],[2]BILLED!$D:$D,[2]BILLED!$M:$M,"Not Found")</f>
        <v>9400 1361 0605 3447 1373 70</v>
      </c>
      <c r="X1731" s="17" t="e">
        <f>_xlfn.XLOOKUP(Table2[[#This Row],[Adjusted Form '#]],[2]BILLED!$D:$D,[1]BILLED!$O:$O,"Not Found")</f>
        <v>#REF!</v>
      </c>
      <c r="Y1731" s="17" t="e">
        <f>_xlfn.XLOOKUP(Table2[[#This Row],[Adjusted Form '#]],'[2]REJECTED ORDERS'!$D:$D,'[2]REJECTED ORDERS'!$E:$E)</f>
        <v>#N/A</v>
      </c>
      <c r="Z1731" s="1"/>
      <c r="AA1731" s="1"/>
    </row>
    <row r="1732" spans="1:27" ht="15" customHeight="1" x14ac:dyDescent="0.35">
      <c r="A1732" s="4" t="s">
        <v>2569</v>
      </c>
      <c r="B1732" s="1" t="s">
        <v>337</v>
      </c>
      <c r="C1732" s="11">
        <v>45190</v>
      </c>
      <c r="D1732" s="11" t="s">
        <v>7055</v>
      </c>
      <c r="E1732" s="1" t="s">
        <v>21</v>
      </c>
      <c r="F1732" s="1" t="s">
        <v>7035</v>
      </c>
      <c r="G1732" s="6">
        <f>COUNTIF(F:F,Table2[[#This Row],[Form '#]])</f>
        <v>1</v>
      </c>
      <c r="H1732" s="1" t="s">
        <v>1803</v>
      </c>
      <c r="I1732" s="1" t="s">
        <v>3852</v>
      </c>
      <c r="J1732" s="1" t="s">
        <v>80</v>
      </c>
      <c r="K1732" s="1" t="s">
        <v>4011</v>
      </c>
      <c r="L1732" s="1"/>
      <c r="M1732" s="6" t="str">
        <f>IF(Table2[[#This Row],[Corrected Form '#
 (If Duplicated)]]="",Table2[[#This Row],[Form '#]],Table2[[#This Row],[Corrected Form '#
 (If Duplicated)]])</f>
        <v>7818-26588</v>
      </c>
      <c r="N1732" s="1" t="s">
        <v>49</v>
      </c>
      <c r="O1732" s="6" t="str">
        <f>IF(Table2[[#This Row],[POG CONFIRMATION RECEIPT OF ORDER
(DATE &amp; TIME)]]="","No Confirmation","Received Confirmation")</f>
        <v>Received Confirmation</v>
      </c>
      <c r="P1732" s="6">
        <f ca="1">TODAY()-Table2[[#This Row],[DATE SENT TO POG]]</f>
        <v>113</v>
      </c>
      <c r="Q1732" s="6" t="s">
        <v>5803</v>
      </c>
      <c r="R17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2" s="2" t="str">
        <f>_xlfn.XLOOKUP(Table2[[#This Row],[Adjusted Form '#]],'[2]IN PROGRESS'!$D:$D,'[2]IN PROGRESS'!$M:$M,"Not Found")</f>
        <v>Not Found</v>
      </c>
      <c r="U1732" s="2" t="str">
        <f>_xlfn.XLOOKUP(Table2[[#This Row],[Adjusted Form '#]],[1]COMPLETED!$D:$D,[2]COMPLETED!$M:$M,"Not Found")</f>
        <v>Not Found</v>
      </c>
      <c r="V1732" s="17" t="str">
        <f>_xlfn.XLOOKUP(Table2[[#This Row],[Adjusted Form '#]],[2]COMPLETED!$D:$D,[2]COMPLETED!$O:$O,"Not Found")</f>
        <v>Not Found</v>
      </c>
      <c r="W1732" s="2" t="str">
        <f>_xlfn.XLOOKUP(Table2[[#This Row],[Adjusted Form '#]],[2]BILLED!$D:$D,[2]BILLED!$M:$M,"Not Found")</f>
        <v>9400 1361 0605 3407 2204 94</v>
      </c>
      <c r="X1732" s="17" t="e">
        <f>_xlfn.XLOOKUP(Table2[[#This Row],[Adjusted Form '#]],[2]BILLED!$D:$D,[1]BILLED!$O:$O,"Not Found")</f>
        <v>#REF!</v>
      </c>
      <c r="Y1732" s="17" t="e">
        <f>_xlfn.XLOOKUP(Table2[[#This Row],[Adjusted Form '#]],'[2]REJECTED ORDERS'!$D:$D,'[2]REJECTED ORDERS'!$E:$E)</f>
        <v>#N/A</v>
      </c>
      <c r="Z1732" s="1"/>
      <c r="AA1732" s="1"/>
    </row>
    <row r="1733" spans="1:27" ht="15" customHeight="1" x14ac:dyDescent="0.35">
      <c r="A1733" s="4" t="s">
        <v>2572</v>
      </c>
      <c r="B1733" s="1" t="s">
        <v>337</v>
      </c>
      <c r="C1733" s="11">
        <v>45190</v>
      </c>
      <c r="D1733" s="11" t="s">
        <v>7055</v>
      </c>
      <c r="E1733" s="1" t="s">
        <v>21</v>
      </c>
      <c r="F1733" s="1" t="s">
        <v>7036</v>
      </c>
      <c r="G1733" s="6">
        <f>COUNTIF(F:F,Table2[[#This Row],[Form '#]])</f>
        <v>1</v>
      </c>
      <c r="H1733" s="1" t="s">
        <v>7037</v>
      </c>
      <c r="I1733" s="1" t="s">
        <v>127</v>
      </c>
      <c r="J1733" s="1" t="s">
        <v>76</v>
      </c>
      <c r="K1733" s="1" t="s">
        <v>3891</v>
      </c>
      <c r="L1733" s="1"/>
      <c r="M1733" s="6" t="str">
        <f>IF(Table2[[#This Row],[Corrected Form '#
 (If Duplicated)]]="",Table2[[#This Row],[Form '#]],Table2[[#This Row],[Corrected Form '#
 (If Duplicated)]])</f>
        <v>7818-07761</v>
      </c>
      <c r="N1733" s="1" t="s">
        <v>49</v>
      </c>
      <c r="O1733" s="6" t="str">
        <f>IF(Table2[[#This Row],[POG CONFIRMATION RECEIPT OF ORDER
(DATE &amp; TIME)]]="","No Confirmation","Received Confirmation")</f>
        <v>Received Confirmation</v>
      </c>
      <c r="P1733" s="6">
        <f ca="1">TODAY()-Table2[[#This Row],[DATE SENT TO POG]]</f>
        <v>113</v>
      </c>
      <c r="Q1733" s="6" t="s">
        <v>5803</v>
      </c>
      <c r="R17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3" s="2" t="str">
        <f>_xlfn.XLOOKUP(Table2[[#This Row],[Adjusted Form '#]],'[2]IN PROGRESS'!$D:$D,'[2]IN PROGRESS'!$M:$M,"Not Found")</f>
        <v>Not Found</v>
      </c>
      <c r="U1733" s="2" t="str">
        <f>_xlfn.XLOOKUP(Table2[[#This Row],[Adjusted Form '#]],[1]COMPLETED!$D:$D,[2]COMPLETED!$M:$M,"Not Found")</f>
        <v>Not Found</v>
      </c>
      <c r="V1733" s="17" t="str">
        <f>_xlfn.XLOOKUP(Table2[[#This Row],[Adjusted Form '#]],[2]COMPLETED!$D:$D,[2]COMPLETED!$O:$O,"Not Found")</f>
        <v>Not Found</v>
      </c>
      <c r="W1733" s="2" t="str">
        <f>_xlfn.XLOOKUP(Table2[[#This Row],[Adjusted Form '#]],[2]BILLED!$D:$D,[2]BILLED!$M:$M,"Not Found")</f>
        <v>9400 1361 0605 3420 5322 77</v>
      </c>
      <c r="X1733" s="17" t="e">
        <f>_xlfn.XLOOKUP(Table2[[#This Row],[Adjusted Form '#]],[2]BILLED!$D:$D,[1]BILLED!$O:$O,"Not Found")</f>
        <v>#REF!</v>
      </c>
      <c r="Y1733" s="17" t="e">
        <f>_xlfn.XLOOKUP(Table2[[#This Row],[Adjusted Form '#]],'[2]REJECTED ORDERS'!$D:$D,'[2]REJECTED ORDERS'!$E:$E)</f>
        <v>#N/A</v>
      </c>
      <c r="Z1733" s="1"/>
      <c r="AA1733" s="1"/>
    </row>
    <row r="1734" spans="1:27" ht="15" customHeight="1" x14ac:dyDescent="0.35">
      <c r="A1734" s="4" t="s">
        <v>2573</v>
      </c>
      <c r="B1734" s="1" t="s">
        <v>337</v>
      </c>
      <c r="C1734" s="11">
        <v>45190</v>
      </c>
      <c r="D1734" s="11" t="s">
        <v>7055</v>
      </c>
      <c r="E1734" s="1" t="s">
        <v>21</v>
      </c>
      <c r="F1734" s="1" t="s">
        <v>7038</v>
      </c>
      <c r="G1734" s="6">
        <f>COUNTIF(F:F,Table2[[#This Row],[Form '#]])</f>
        <v>1</v>
      </c>
      <c r="H1734" s="1" t="s">
        <v>1911</v>
      </c>
      <c r="I1734" s="1" t="s">
        <v>127</v>
      </c>
      <c r="J1734" s="1" t="s">
        <v>74</v>
      </c>
      <c r="K1734" s="1" t="s">
        <v>6882</v>
      </c>
      <c r="L1734" s="1"/>
      <c r="M1734" s="6" t="str">
        <f>IF(Table2[[#This Row],[Corrected Form '#
 (If Duplicated)]]="",Table2[[#This Row],[Form '#]],Table2[[#This Row],[Corrected Form '#
 (If Duplicated)]])</f>
        <v>7818-23736</v>
      </c>
      <c r="N1734" s="1" t="s">
        <v>49</v>
      </c>
      <c r="O1734" s="6" t="str">
        <f>IF(Table2[[#This Row],[POG CONFIRMATION RECEIPT OF ORDER
(DATE &amp; TIME)]]="","No Confirmation","Received Confirmation")</f>
        <v>Received Confirmation</v>
      </c>
      <c r="P1734" s="6">
        <f ca="1">TODAY()-Table2[[#This Row],[DATE SENT TO POG]]</f>
        <v>113</v>
      </c>
      <c r="Q1734" s="6" t="s">
        <v>5803</v>
      </c>
      <c r="R17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4" s="2" t="str">
        <f>_xlfn.XLOOKUP(Table2[[#This Row],[Adjusted Form '#]],'[2]IN PROGRESS'!$D:$D,'[2]IN PROGRESS'!$M:$M,"Not Found")</f>
        <v>Not Found</v>
      </c>
      <c r="U1734" s="2" t="str">
        <f>_xlfn.XLOOKUP(Table2[[#This Row],[Adjusted Form '#]],[1]COMPLETED!$D:$D,[2]COMPLETED!$M:$M,"Not Found")</f>
        <v>Not Found</v>
      </c>
      <c r="V1734" s="17" t="str">
        <f>_xlfn.XLOOKUP(Table2[[#This Row],[Adjusted Form '#]],[2]COMPLETED!$D:$D,[2]COMPLETED!$O:$O,"Not Found")</f>
        <v>Not Found</v>
      </c>
      <c r="W1734" s="2" t="str">
        <f>_xlfn.XLOOKUP(Table2[[#This Row],[Adjusted Form '#]],[2]BILLED!$D:$D,[2]BILLED!$M:$M,"Not Found")</f>
        <v>9400 1361 0605 3422 9601 53</v>
      </c>
      <c r="X1734" s="17" t="e">
        <f>_xlfn.XLOOKUP(Table2[[#This Row],[Adjusted Form '#]],[2]BILLED!$D:$D,[1]BILLED!$O:$O,"Not Found")</f>
        <v>#REF!</v>
      </c>
      <c r="Y1734" s="17" t="e">
        <f>_xlfn.XLOOKUP(Table2[[#This Row],[Adjusted Form '#]],'[2]REJECTED ORDERS'!$D:$D,'[2]REJECTED ORDERS'!$E:$E)</f>
        <v>#N/A</v>
      </c>
      <c r="Z1734" s="1"/>
      <c r="AA1734" s="1"/>
    </row>
    <row r="1735" spans="1:27" ht="15" customHeight="1" x14ac:dyDescent="0.35">
      <c r="A1735" s="4" t="s">
        <v>2574</v>
      </c>
      <c r="B1735" s="1" t="s">
        <v>337</v>
      </c>
      <c r="C1735" s="11">
        <v>45190</v>
      </c>
      <c r="D1735" s="11" t="s">
        <v>7055</v>
      </c>
      <c r="E1735" s="1" t="s">
        <v>21</v>
      </c>
      <c r="F1735" s="1" t="s">
        <v>7039</v>
      </c>
      <c r="G1735" s="6">
        <f>COUNTIF(F:F,Table2[[#This Row],[Form '#]])</f>
        <v>1</v>
      </c>
      <c r="H1735" s="1" t="s">
        <v>3571</v>
      </c>
      <c r="I1735" s="1" t="s">
        <v>3864</v>
      </c>
      <c r="J1735" s="1" t="s">
        <v>78</v>
      </c>
      <c r="K1735" s="1" t="s">
        <v>3879</v>
      </c>
      <c r="L1735" s="1"/>
      <c r="M1735" s="6" t="str">
        <f>IF(Table2[[#This Row],[Corrected Form '#
 (If Duplicated)]]="",Table2[[#This Row],[Form '#]],Table2[[#This Row],[Corrected Form '#
 (If Duplicated)]])</f>
        <v>7818-24902</v>
      </c>
      <c r="N1735" s="1" t="s">
        <v>49</v>
      </c>
      <c r="O1735" s="6" t="str">
        <f>IF(Table2[[#This Row],[POG CONFIRMATION RECEIPT OF ORDER
(DATE &amp; TIME)]]="","No Confirmation","Received Confirmation")</f>
        <v>Received Confirmation</v>
      </c>
      <c r="P1735" s="6">
        <f ca="1">TODAY()-Table2[[#This Row],[DATE SENT TO POG]]</f>
        <v>113</v>
      </c>
      <c r="Q1735" s="6" t="s">
        <v>5803</v>
      </c>
      <c r="R17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5" s="2" t="str">
        <f>_xlfn.XLOOKUP(Table2[[#This Row],[Adjusted Form '#]],'[2]IN PROGRESS'!$D:$D,'[2]IN PROGRESS'!$M:$M,"Not Found")</f>
        <v>Not Found</v>
      </c>
      <c r="U1735" s="2" t="str">
        <f>_xlfn.XLOOKUP(Table2[[#This Row],[Adjusted Form '#]],[1]COMPLETED!$D:$D,[2]COMPLETED!$M:$M,"Not Found")</f>
        <v>Not Found</v>
      </c>
      <c r="V1735" s="17" t="str">
        <f>_xlfn.XLOOKUP(Table2[[#This Row],[Adjusted Form '#]],[2]COMPLETED!$D:$D,[2]COMPLETED!$O:$O,"Not Found")</f>
        <v>Not Found</v>
      </c>
      <c r="W1735" s="2" t="str">
        <f>_xlfn.XLOOKUP(Table2[[#This Row],[Adjusted Form '#]],[2]BILLED!$D:$D,[2]BILLED!$M:$M,"Not Found")</f>
        <v>9400 1361 0605 3407 2393 73</v>
      </c>
      <c r="X1735" s="17" t="e">
        <f>_xlfn.XLOOKUP(Table2[[#This Row],[Adjusted Form '#]],[2]BILLED!$D:$D,[1]BILLED!$O:$O,"Not Found")</f>
        <v>#REF!</v>
      </c>
      <c r="Y1735" s="17" t="e">
        <f>_xlfn.XLOOKUP(Table2[[#This Row],[Adjusted Form '#]],'[2]REJECTED ORDERS'!$D:$D,'[2]REJECTED ORDERS'!$E:$E)</f>
        <v>#N/A</v>
      </c>
      <c r="Z1735" s="1"/>
      <c r="AA1735" s="1"/>
    </row>
    <row r="1736" spans="1:27" ht="15" customHeight="1" x14ac:dyDescent="0.35">
      <c r="A1736" s="4" t="s">
        <v>2576</v>
      </c>
      <c r="B1736" s="1" t="s">
        <v>337</v>
      </c>
      <c r="C1736" s="11">
        <v>45190</v>
      </c>
      <c r="D1736" s="11" t="s">
        <v>7055</v>
      </c>
      <c r="E1736" s="1" t="s">
        <v>21</v>
      </c>
      <c r="F1736" s="1" t="s">
        <v>7040</v>
      </c>
      <c r="G1736" s="6">
        <f>COUNTIF(F:F,Table2[[#This Row],[Form '#]])</f>
        <v>1</v>
      </c>
      <c r="H1736" s="1" t="s">
        <v>7041</v>
      </c>
      <c r="I1736" s="1" t="s">
        <v>3864</v>
      </c>
      <c r="J1736" s="1" t="s">
        <v>78</v>
      </c>
      <c r="K1736" s="1" t="s">
        <v>3879</v>
      </c>
      <c r="L1736" s="1"/>
      <c r="M1736" s="6" t="str">
        <f>IF(Table2[[#This Row],[Corrected Form '#
 (If Duplicated)]]="",Table2[[#This Row],[Form '#]],Table2[[#This Row],[Corrected Form '#
 (If Duplicated)]])</f>
        <v>7818-31218</v>
      </c>
      <c r="N1736" s="1" t="s">
        <v>49</v>
      </c>
      <c r="O1736" s="6" t="str">
        <f>IF(Table2[[#This Row],[POG CONFIRMATION RECEIPT OF ORDER
(DATE &amp; TIME)]]="","No Confirmation","Received Confirmation")</f>
        <v>Received Confirmation</v>
      </c>
      <c r="P1736" s="6">
        <f ca="1">TODAY()-Table2[[#This Row],[DATE SENT TO POG]]</f>
        <v>113</v>
      </c>
      <c r="Q1736" s="6" t="s">
        <v>5803</v>
      </c>
      <c r="R17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6" s="2" t="str">
        <f>_xlfn.XLOOKUP(Table2[[#This Row],[Adjusted Form '#]],'[2]IN PROGRESS'!$D:$D,'[2]IN PROGRESS'!$M:$M,"Not Found")</f>
        <v>Not Found</v>
      </c>
      <c r="U1736" s="2" t="str">
        <f>_xlfn.XLOOKUP(Table2[[#This Row],[Adjusted Form '#]],[1]COMPLETED!$D:$D,[2]COMPLETED!$M:$M,"Not Found")</f>
        <v>Not Found</v>
      </c>
      <c r="V1736" s="17" t="str">
        <f>_xlfn.XLOOKUP(Table2[[#This Row],[Adjusted Form '#]],[2]COMPLETED!$D:$D,[2]COMPLETED!$O:$O,"Not Found")</f>
        <v>Not Found</v>
      </c>
      <c r="W1736" s="2" t="str">
        <f>_xlfn.XLOOKUP(Table2[[#This Row],[Adjusted Form '#]],[2]BILLED!$D:$D,[2]BILLED!$M:$M,"Not Found")</f>
        <v>9400 1361 0605 3461 9353 72</v>
      </c>
      <c r="X1736" s="17" t="e">
        <f>_xlfn.XLOOKUP(Table2[[#This Row],[Adjusted Form '#]],[2]BILLED!$D:$D,[1]BILLED!$O:$O,"Not Found")</f>
        <v>#REF!</v>
      </c>
      <c r="Y1736" s="17" t="e">
        <f>_xlfn.XLOOKUP(Table2[[#This Row],[Adjusted Form '#]],'[2]REJECTED ORDERS'!$D:$D,'[2]REJECTED ORDERS'!$E:$E)</f>
        <v>#N/A</v>
      </c>
      <c r="Z1736" s="1"/>
      <c r="AA1736" s="1"/>
    </row>
    <row r="1737" spans="1:27" ht="15" customHeight="1" x14ac:dyDescent="0.35">
      <c r="A1737" s="4" t="s">
        <v>2578</v>
      </c>
      <c r="B1737" s="1" t="s">
        <v>337</v>
      </c>
      <c r="C1737" s="11">
        <v>45190</v>
      </c>
      <c r="D1737" s="11" t="s">
        <v>7055</v>
      </c>
      <c r="E1737" s="1" t="s">
        <v>21</v>
      </c>
      <c r="F1737" s="1" t="s">
        <v>7042</v>
      </c>
      <c r="G1737" s="6">
        <f>COUNTIF(F:F,Table2[[#This Row],[Form '#]])</f>
        <v>1</v>
      </c>
      <c r="H1737" s="1" t="s">
        <v>7043</v>
      </c>
      <c r="I1737" s="1" t="s">
        <v>3852</v>
      </c>
      <c r="J1737" s="1" t="s">
        <v>75</v>
      </c>
      <c r="K1737" s="1" t="s">
        <v>3853</v>
      </c>
      <c r="L1737" s="1"/>
      <c r="M1737" s="6" t="str">
        <f>IF(Table2[[#This Row],[Corrected Form '#
 (If Duplicated)]]="",Table2[[#This Row],[Form '#]],Table2[[#This Row],[Corrected Form '#
 (If Duplicated)]])</f>
        <v>7818-24504</v>
      </c>
      <c r="N1737" s="1" t="s">
        <v>49</v>
      </c>
      <c r="O1737" s="6" t="str">
        <f>IF(Table2[[#This Row],[POG CONFIRMATION RECEIPT OF ORDER
(DATE &amp; TIME)]]="","No Confirmation","Received Confirmation")</f>
        <v>Received Confirmation</v>
      </c>
      <c r="P1737" s="6">
        <f ca="1">TODAY()-Table2[[#This Row],[DATE SENT TO POG]]</f>
        <v>113</v>
      </c>
      <c r="Q1737" s="6" t="s">
        <v>5803</v>
      </c>
      <c r="R17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7" s="2" t="str">
        <f>_xlfn.XLOOKUP(Table2[[#This Row],[Adjusted Form '#]],'[2]IN PROGRESS'!$D:$D,'[2]IN PROGRESS'!$M:$M,"Not Found")</f>
        <v>Not Found</v>
      </c>
      <c r="U1737" s="2" t="str">
        <f>_xlfn.XLOOKUP(Table2[[#This Row],[Adjusted Form '#]],[1]COMPLETED!$D:$D,[2]COMPLETED!$M:$M,"Not Found")</f>
        <v>Not Found</v>
      </c>
      <c r="V1737" s="17" t="str">
        <f>_xlfn.XLOOKUP(Table2[[#This Row],[Adjusted Form '#]],[2]COMPLETED!$D:$D,[2]COMPLETED!$O:$O,"Not Found")</f>
        <v>Not Found</v>
      </c>
      <c r="W1737" s="2" t="str">
        <f>_xlfn.XLOOKUP(Table2[[#This Row],[Adjusted Form '#]],[2]BILLED!$D:$D,[2]BILLED!$M:$M,"Not Found")</f>
        <v>9400 1361 0605 3420 5455 12</v>
      </c>
      <c r="X1737" s="17" t="e">
        <f>_xlfn.XLOOKUP(Table2[[#This Row],[Adjusted Form '#]],[2]BILLED!$D:$D,[1]BILLED!$O:$O,"Not Found")</f>
        <v>#REF!</v>
      </c>
      <c r="Y1737" s="17" t="e">
        <f>_xlfn.XLOOKUP(Table2[[#This Row],[Adjusted Form '#]],'[2]REJECTED ORDERS'!$D:$D,'[2]REJECTED ORDERS'!$E:$E)</f>
        <v>#N/A</v>
      </c>
      <c r="Z1737" s="1"/>
      <c r="AA1737" s="1"/>
    </row>
    <row r="1738" spans="1:27" ht="15" customHeight="1" x14ac:dyDescent="0.35">
      <c r="A1738" s="4" t="s">
        <v>2580</v>
      </c>
      <c r="B1738" s="1" t="s">
        <v>337</v>
      </c>
      <c r="C1738" s="11">
        <v>45190</v>
      </c>
      <c r="D1738" s="11" t="s">
        <v>7055</v>
      </c>
      <c r="E1738" s="1" t="s">
        <v>21</v>
      </c>
      <c r="F1738" s="1" t="s">
        <v>7044</v>
      </c>
      <c r="G1738" s="6">
        <f>COUNTIF(F:F,Table2[[#This Row],[Form '#]])</f>
        <v>1</v>
      </c>
      <c r="H1738" s="1" t="s">
        <v>7045</v>
      </c>
      <c r="I1738" s="1" t="s">
        <v>127</v>
      </c>
      <c r="J1738" s="1" t="s">
        <v>74</v>
      </c>
      <c r="K1738" s="1" t="s">
        <v>4011</v>
      </c>
      <c r="L1738" s="1"/>
      <c r="M1738" s="6" t="str">
        <f>IF(Table2[[#This Row],[Corrected Form '#
 (If Duplicated)]]="",Table2[[#This Row],[Form '#]],Table2[[#This Row],[Corrected Form '#
 (If Duplicated)]])</f>
        <v>7818-38024</v>
      </c>
      <c r="N1738" s="1" t="s">
        <v>49</v>
      </c>
      <c r="O1738" s="6" t="str">
        <f>IF(Table2[[#This Row],[POG CONFIRMATION RECEIPT OF ORDER
(DATE &amp; TIME)]]="","No Confirmation","Received Confirmation")</f>
        <v>Received Confirmation</v>
      </c>
      <c r="P1738" s="6">
        <f ca="1">TODAY()-Table2[[#This Row],[DATE SENT TO POG]]</f>
        <v>113</v>
      </c>
      <c r="Q1738" s="6" t="s">
        <v>5802</v>
      </c>
      <c r="R17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73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738" s="2" t="str">
        <f>_xlfn.XLOOKUP(Table2[[#This Row],[Adjusted Form '#]],'[2]IN PROGRESS'!$D:$D,'[2]IN PROGRESS'!$M:$M,"Not Found")</f>
        <v>Not Found</v>
      </c>
      <c r="U1738" s="2" t="str">
        <f>_xlfn.XLOOKUP(Table2[[#This Row],[Adjusted Form '#]],[1]COMPLETED!$D:$D,[2]COMPLETED!$M:$M,"Not Found")</f>
        <v>Not Found</v>
      </c>
      <c r="V1738" s="17" t="str">
        <f>_xlfn.XLOOKUP(Table2[[#This Row],[Adjusted Form '#]],[2]COMPLETED!$D:$D,[2]COMPLETED!$O:$O,"Not Found")</f>
        <v>Not Found</v>
      </c>
      <c r="W1738" s="2" t="str">
        <f>_xlfn.XLOOKUP(Table2[[#This Row],[Adjusted Form '#]],[2]BILLED!$D:$D,[2]BILLED!$M:$M,"Not Found")</f>
        <v>Not Found</v>
      </c>
      <c r="X1738" s="17" t="str">
        <f>_xlfn.XLOOKUP(Table2[[#This Row],[Adjusted Form '#]],[2]BILLED!$D:$D,[1]BILLED!$O:$O,"Not Found")</f>
        <v>Not Found</v>
      </c>
      <c r="Y1738" s="17" t="e">
        <f>_xlfn.XLOOKUP(Table2[[#This Row],[Adjusted Form '#]],'[2]REJECTED ORDERS'!$D:$D,'[2]REJECTED ORDERS'!$E:$E)</f>
        <v>#N/A</v>
      </c>
      <c r="Z1738" s="1"/>
      <c r="AA1738" s="1"/>
    </row>
    <row r="1739" spans="1:27" ht="15" customHeight="1" x14ac:dyDescent="0.35">
      <c r="A1739" s="4" t="s">
        <v>2582</v>
      </c>
      <c r="B1739" s="1" t="s">
        <v>337</v>
      </c>
      <c r="C1739" s="11">
        <v>45190</v>
      </c>
      <c r="D1739" s="11" t="s">
        <v>7055</v>
      </c>
      <c r="E1739" s="1" t="s">
        <v>21</v>
      </c>
      <c r="F1739" s="1" t="s">
        <v>7046</v>
      </c>
      <c r="G1739" s="6">
        <f>COUNTIF(F:F,Table2[[#This Row],[Form '#]])</f>
        <v>1</v>
      </c>
      <c r="H1739" s="1" t="s">
        <v>7047</v>
      </c>
      <c r="I1739" s="1" t="s">
        <v>127</v>
      </c>
      <c r="J1739" s="1" t="s">
        <v>76</v>
      </c>
      <c r="K1739" s="1" t="s">
        <v>4011</v>
      </c>
      <c r="L1739" s="1"/>
      <c r="M1739" s="6" t="str">
        <f>IF(Table2[[#This Row],[Corrected Form '#
 (If Duplicated)]]="",Table2[[#This Row],[Form '#]],Table2[[#This Row],[Corrected Form '#
 (If Duplicated)]])</f>
        <v>7818-30946</v>
      </c>
      <c r="N1739" s="1" t="s">
        <v>49</v>
      </c>
      <c r="O1739" s="6" t="str">
        <f>IF(Table2[[#This Row],[POG CONFIRMATION RECEIPT OF ORDER
(DATE &amp; TIME)]]="","No Confirmation","Received Confirmation")</f>
        <v>Received Confirmation</v>
      </c>
      <c r="P1739" s="6">
        <f ca="1">TODAY()-Table2[[#This Row],[DATE SENT TO POG]]</f>
        <v>113</v>
      </c>
      <c r="Q1739" s="6" t="s">
        <v>5803</v>
      </c>
      <c r="R17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39" s="2" t="str">
        <f>_xlfn.XLOOKUP(Table2[[#This Row],[Adjusted Form '#]],'[2]IN PROGRESS'!$D:$D,'[2]IN PROGRESS'!$M:$M,"Not Found")</f>
        <v>Not Found</v>
      </c>
      <c r="U1739" s="2" t="str">
        <f>_xlfn.XLOOKUP(Table2[[#This Row],[Adjusted Form '#]],[1]COMPLETED!$D:$D,[2]COMPLETED!$M:$M,"Not Found")</f>
        <v>Not Found</v>
      </c>
      <c r="V1739" s="17" t="str">
        <f>_xlfn.XLOOKUP(Table2[[#This Row],[Adjusted Form '#]],[2]COMPLETED!$D:$D,[2]COMPLETED!$O:$O,"Not Found")</f>
        <v>Not Found</v>
      </c>
      <c r="W1739" s="2" t="str">
        <f>_xlfn.XLOOKUP(Table2[[#This Row],[Adjusted Form '#]],[2]BILLED!$D:$D,[2]BILLED!$M:$M,"Not Found")</f>
        <v>9400 1361 0605 3408 6574 42</v>
      </c>
      <c r="X1739" s="17" t="e">
        <f>_xlfn.XLOOKUP(Table2[[#This Row],[Adjusted Form '#]],[2]BILLED!$D:$D,[1]BILLED!$O:$O,"Not Found")</f>
        <v>#REF!</v>
      </c>
      <c r="Y1739" s="17" t="e">
        <f>_xlfn.XLOOKUP(Table2[[#This Row],[Adjusted Form '#]],'[2]REJECTED ORDERS'!$D:$D,'[2]REJECTED ORDERS'!$E:$E)</f>
        <v>#N/A</v>
      </c>
      <c r="Z1739" s="1"/>
      <c r="AA1739" s="1"/>
    </row>
    <row r="1740" spans="1:27" ht="15" customHeight="1" x14ac:dyDescent="0.35">
      <c r="A1740" s="4" t="s">
        <v>2584</v>
      </c>
      <c r="B1740" s="1" t="s">
        <v>337</v>
      </c>
      <c r="C1740" s="11">
        <v>45190</v>
      </c>
      <c r="D1740" s="11" t="s">
        <v>7055</v>
      </c>
      <c r="E1740" s="1" t="s">
        <v>21</v>
      </c>
      <c r="F1740" s="1" t="s">
        <v>7048</v>
      </c>
      <c r="G1740" s="6">
        <f>COUNTIF(F:F,Table2[[#This Row],[Form '#]])</f>
        <v>1</v>
      </c>
      <c r="H1740" s="1" t="s">
        <v>7049</v>
      </c>
      <c r="I1740" s="1" t="s">
        <v>3852</v>
      </c>
      <c r="J1740" s="1" t="s">
        <v>75</v>
      </c>
      <c r="K1740" s="1" t="s">
        <v>4011</v>
      </c>
      <c r="L1740" s="1"/>
      <c r="M1740" s="6" t="str">
        <f>IF(Table2[[#This Row],[Corrected Form '#
 (If Duplicated)]]="",Table2[[#This Row],[Form '#]],Table2[[#This Row],[Corrected Form '#
 (If Duplicated)]])</f>
        <v>7818-32141</v>
      </c>
      <c r="N1740" s="1" t="s">
        <v>49</v>
      </c>
      <c r="O1740" s="6" t="str">
        <f>IF(Table2[[#This Row],[POG CONFIRMATION RECEIPT OF ORDER
(DATE &amp; TIME)]]="","No Confirmation","Received Confirmation")</f>
        <v>Received Confirmation</v>
      </c>
      <c r="P1740" s="6">
        <f ca="1">TODAY()-Table2[[#This Row],[DATE SENT TO POG]]</f>
        <v>113</v>
      </c>
      <c r="Q1740" s="6" t="s">
        <v>5803</v>
      </c>
      <c r="R17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0" s="2" t="str">
        <f>_xlfn.XLOOKUP(Table2[[#This Row],[Adjusted Form '#]],'[2]IN PROGRESS'!$D:$D,'[2]IN PROGRESS'!$M:$M,"Not Found")</f>
        <v>Not Found</v>
      </c>
      <c r="U1740" s="2" t="str">
        <f>_xlfn.XLOOKUP(Table2[[#This Row],[Adjusted Form '#]],[1]COMPLETED!$D:$D,[2]COMPLETED!$M:$M,"Not Found")</f>
        <v>Not Found</v>
      </c>
      <c r="V1740" s="17" t="str">
        <f>_xlfn.XLOOKUP(Table2[[#This Row],[Adjusted Form '#]],[2]COMPLETED!$D:$D,[2]COMPLETED!$O:$O,"Not Found")</f>
        <v>Not Found</v>
      </c>
      <c r="W1740" s="2" t="str">
        <f>_xlfn.XLOOKUP(Table2[[#This Row],[Adjusted Form '#]],[2]BILLED!$D:$D,[2]BILLED!$M:$M,"Not Found")</f>
        <v>9400 1361 0605 3420 5177 17</v>
      </c>
      <c r="X1740" s="17" t="e">
        <f>_xlfn.XLOOKUP(Table2[[#This Row],[Adjusted Form '#]],[2]BILLED!$D:$D,[1]BILLED!$O:$O,"Not Found")</f>
        <v>#REF!</v>
      </c>
      <c r="Y1740" s="17" t="e">
        <f>_xlfn.XLOOKUP(Table2[[#This Row],[Adjusted Form '#]],'[2]REJECTED ORDERS'!$D:$D,'[2]REJECTED ORDERS'!$E:$E)</f>
        <v>#N/A</v>
      </c>
      <c r="Z1740" s="1"/>
      <c r="AA1740" s="1"/>
    </row>
    <row r="1741" spans="1:27" ht="15" customHeight="1" x14ac:dyDescent="0.35">
      <c r="A1741" s="4" t="s">
        <v>2585</v>
      </c>
      <c r="B1741" s="1" t="s">
        <v>337</v>
      </c>
      <c r="C1741" s="11">
        <v>45190</v>
      </c>
      <c r="D1741" s="11" t="s">
        <v>7055</v>
      </c>
      <c r="E1741" s="1" t="s">
        <v>21</v>
      </c>
      <c r="F1741" s="1" t="s">
        <v>7050</v>
      </c>
      <c r="G1741" s="6">
        <f>COUNTIF(F:F,Table2[[#This Row],[Form '#]])</f>
        <v>1</v>
      </c>
      <c r="H1741" s="1" t="s">
        <v>7051</v>
      </c>
      <c r="I1741" s="1" t="s">
        <v>3852</v>
      </c>
      <c r="J1741" s="1" t="s">
        <v>80</v>
      </c>
      <c r="K1741" s="1" t="s">
        <v>3853</v>
      </c>
      <c r="L1741" s="1"/>
      <c r="M1741" s="6" t="str">
        <f>IF(Table2[[#This Row],[Corrected Form '#
 (If Duplicated)]]="",Table2[[#This Row],[Form '#]],Table2[[#This Row],[Corrected Form '#
 (If Duplicated)]])</f>
        <v>7818-26850</v>
      </c>
      <c r="N1741" s="1" t="s">
        <v>49</v>
      </c>
      <c r="O1741" s="6" t="str">
        <f>IF(Table2[[#This Row],[POG CONFIRMATION RECEIPT OF ORDER
(DATE &amp; TIME)]]="","No Confirmation","Received Confirmation")</f>
        <v>Received Confirmation</v>
      </c>
      <c r="P1741" s="6">
        <f ca="1">TODAY()-Table2[[#This Row],[DATE SENT TO POG]]</f>
        <v>113</v>
      </c>
      <c r="Q1741" s="6" t="s">
        <v>5803</v>
      </c>
      <c r="R17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1" s="2" t="str">
        <f>_xlfn.XLOOKUP(Table2[[#This Row],[Adjusted Form '#]],'[2]IN PROGRESS'!$D:$D,'[2]IN PROGRESS'!$M:$M,"Not Found")</f>
        <v>Not Found</v>
      </c>
      <c r="U1741" s="2" t="str">
        <f>_xlfn.XLOOKUP(Table2[[#This Row],[Adjusted Form '#]],[1]COMPLETED!$D:$D,[2]COMPLETED!$M:$M,"Not Found")</f>
        <v>Not Found</v>
      </c>
      <c r="V1741" s="17" t="str">
        <f>_xlfn.XLOOKUP(Table2[[#This Row],[Adjusted Form '#]],[2]COMPLETED!$D:$D,[2]COMPLETED!$O:$O,"Not Found")</f>
        <v>Not Found</v>
      </c>
      <c r="W1741" s="2" t="str">
        <f>_xlfn.XLOOKUP(Table2[[#This Row],[Adjusted Form '#]],[2]BILLED!$D:$D,[2]BILLED!$M:$M,"Not Found")</f>
        <v>9400 1361 0605 3413 6161 13</v>
      </c>
      <c r="X1741" s="17" t="e">
        <f>_xlfn.XLOOKUP(Table2[[#This Row],[Adjusted Form '#]],[2]BILLED!$D:$D,[1]BILLED!$O:$O,"Not Found")</f>
        <v>#REF!</v>
      </c>
      <c r="Y1741" s="17" t="e">
        <f>_xlfn.XLOOKUP(Table2[[#This Row],[Adjusted Form '#]],'[2]REJECTED ORDERS'!$D:$D,'[2]REJECTED ORDERS'!$E:$E)</f>
        <v>#N/A</v>
      </c>
      <c r="Z1741" s="1"/>
      <c r="AA1741" s="1"/>
    </row>
    <row r="1742" spans="1:27" ht="15" customHeight="1" x14ac:dyDescent="0.35">
      <c r="A1742" s="4" t="s">
        <v>2586</v>
      </c>
      <c r="B1742" s="1" t="s">
        <v>337</v>
      </c>
      <c r="C1742" s="11">
        <v>45190</v>
      </c>
      <c r="D1742" s="11" t="s">
        <v>7055</v>
      </c>
      <c r="E1742" s="1" t="s">
        <v>21</v>
      </c>
      <c r="F1742" s="1" t="s">
        <v>7052</v>
      </c>
      <c r="G1742" s="6">
        <f>COUNTIF(F:F,Table2[[#This Row],[Form '#]])</f>
        <v>1</v>
      </c>
      <c r="H1742" s="1" t="s">
        <v>7053</v>
      </c>
      <c r="I1742" s="1" t="s">
        <v>758</v>
      </c>
      <c r="J1742" s="1" t="s">
        <v>78</v>
      </c>
      <c r="K1742" s="1" t="s">
        <v>3853</v>
      </c>
      <c r="L1742" s="1"/>
      <c r="M1742" s="6" t="str">
        <f>IF(Table2[[#This Row],[Corrected Form '#
 (If Duplicated)]]="",Table2[[#This Row],[Form '#]],Table2[[#This Row],[Corrected Form '#
 (If Duplicated)]])</f>
        <v>7818-17745</v>
      </c>
      <c r="N1742" s="1" t="s">
        <v>49</v>
      </c>
      <c r="O1742" s="6" t="str">
        <f>IF(Table2[[#This Row],[POG CONFIRMATION RECEIPT OF ORDER
(DATE &amp; TIME)]]="","No Confirmation","Received Confirmation")</f>
        <v>Received Confirmation</v>
      </c>
      <c r="P1742" s="6">
        <f ca="1">TODAY()-Table2[[#This Row],[DATE SENT TO POG]]</f>
        <v>113</v>
      </c>
      <c r="Q1742" s="6" t="s">
        <v>5803</v>
      </c>
      <c r="R17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2" s="2" t="str">
        <f>_xlfn.XLOOKUP(Table2[[#This Row],[Adjusted Form '#]],'[2]IN PROGRESS'!$D:$D,'[2]IN PROGRESS'!$M:$M,"Not Found")</f>
        <v>Not Found</v>
      </c>
      <c r="U1742" s="2" t="str">
        <f>_xlfn.XLOOKUP(Table2[[#This Row],[Adjusted Form '#]],[1]COMPLETED!$D:$D,[2]COMPLETED!$M:$M,"Not Found")</f>
        <v>Not Found</v>
      </c>
      <c r="V1742" s="17" t="str">
        <f>_xlfn.XLOOKUP(Table2[[#This Row],[Adjusted Form '#]],[2]COMPLETED!$D:$D,[2]COMPLETED!$O:$O,"Not Found")</f>
        <v>Not Found</v>
      </c>
      <c r="W1742" s="2" t="str">
        <f>_xlfn.XLOOKUP(Table2[[#This Row],[Adjusted Form '#]],[2]BILLED!$D:$D,[2]BILLED!$M:$M,"Not Found")</f>
        <v>9400 1361 0605 3409 7903 53</v>
      </c>
      <c r="X1742" s="17" t="e">
        <f>_xlfn.XLOOKUP(Table2[[#This Row],[Adjusted Form '#]],[2]BILLED!$D:$D,[1]BILLED!$O:$O,"Not Found")</f>
        <v>#REF!</v>
      </c>
      <c r="Y1742" s="17" t="e">
        <f>_xlfn.XLOOKUP(Table2[[#This Row],[Adjusted Form '#]],'[2]REJECTED ORDERS'!$D:$D,'[2]REJECTED ORDERS'!$E:$E)</f>
        <v>#N/A</v>
      </c>
      <c r="Z1742" s="1"/>
      <c r="AA1742" s="1"/>
    </row>
    <row r="1743" spans="1:27" ht="15" customHeight="1" x14ac:dyDescent="0.35">
      <c r="A1743" s="4" t="s">
        <v>2587</v>
      </c>
      <c r="B1743" s="1" t="s">
        <v>337</v>
      </c>
      <c r="C1743" s="11">
        <v>45190</v>
      </c>
      <c r="D1743" s="11" t="s">
        <v>7055</v>
      </c>
      <c r="E1743" s="1" t="s">
        <v>21</v>
      </c>
      <c r="F1743" s="1" t="s">
        <v>7054</v>
      </c>
      <c r="G1743" s="6">
        <f>COUNTIF(F:F,Table2[[#This Row],[Form '#]])</f>
        <v>1</v>
      </c>
      <c r="H1743" s="1" t="s">
        <v>624</v>
      </c>
      <c r="I1743" s="1" t="s">
        <v>3852</v>
      </c>
      <c r="J1743" s="1" t="s">
        <v>80</v>
      </c>
      <c r="K1743" s="1" t="s">
        <v>3853</v>
      </c>
      <c r="L1743" s="1"/>
      <c r="M1743" s="6" t="str">
        <f>IF(Table2[[#This Row],[Corrected Form '#
 (If Duplicated)]]="",Table2[[#This Row],[Form '#]],Table2[[#This Row],[Corrected Form '#
 (If Duplicated)]])</f>
        <v>7818-01670</v>
      </c>
      <c r="N1743" s="1" t="s">
        <v>49</v>
      </c>
      <c r="O1743" s="6" t="str">
        <f>IF(Table2[[#This Row],[POG CONFIRMATION RECEIPT OF ORDER
(DATE &amp; TIME)]]="","No Confirmation","Received Confirmation")</f>
        <v>Received Confirmation</v>
      </c>
      <c r="P1743" s="6">
        <f ca="1">TODAY()-Table2[[#This Row],[DATE SENT TO POG]]</f>
        <v>113</v>
      </c>
      <c r="Q1743" s="6" t="s">
        <v>5803</v>
      </c>
      <c r="R17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3" s="2" t="str">
        <f>_xlfn.XLOOKUP(Table2[[#This Row],[Adjusted Form '#]],'[2]IN PROGRESS'!$D:$D,'[2]IN PROGRESS'!$M:$M,"Not Found")</f>
        <v>Not Found</v>
      </c>
      <c r="U1743" s="2" t="str">
        <f>_xlfn.XLOOKUP(Table2[[#This Row],[Adjusted Form '#]],[1]COMPLETED!$D:$D,[2]COMPLETED!$M:$M,"Not Found")</f>
        <v>Not Found</v>
      </c>
      <c r="V1743" s="17" t="str">
        <f>_xlfn.XLOOKUP(Table2[[#This Row],[Adjusted Form '#]],[2]COMPLETED!$D:$D,[2]COMPLETED!$O:$O,"Not Found")</f>
        <v>Not Found</v>
      </c>
      <c r="W1743" s="2" t="str">
        <f>_xlfn.XLOOKUP(Table2[[#This Row],[Adjusted Form '#]],[2]BILLED!$D:$D,[2]BILLED!$M:$M,"Not Found")</f>
        <v>9400 1361 0605 3414 9030 21</v>
      </c>
      <c r="X1743" s="17" t="e">
        <f>_xlfn.XLOOKUP(Table2[[#This Row],[Adjusted Form '#]],[2]BILLED!$D:$D,[1]BILLED!$O:$O,"Not Found")</f>
        <v>#REF!</v>
      </c>
      <c r="Y1743" s="17" t="e">
        <f>_xlfn.XLOOKUP(Table2[[#This Row],[Adjusted Form '#]],'[2]REJECTED ORDERS'!$D:$D,'[2]REJECTED ORDERS'!$E:$E)</f>
        <v>#N/A</v>
      </c>
      <c r="Z1743" s="1"/>
      <c r="AA1743" s="1"/>
    </row>
    <row r="1744" spans="1:27" ht="15" customHeight="1" x14ac:dyDescent="0.35">
      <c r="A1744" s="4" t="s">
        <v>2589</v>
      </c>
      <c r="B1744" s="1" t="s">
        <v>2489</v>
      </c>
      <c r="C1744" s="11">
        <v>45190</v>
      </c>
      <c r="D1744" s="10"/>
      <c r="E1744" s="1" t="s">
        <v>191</v>
      </c>
      <c r="F1744" s="1" t="s">
        <v>7056</v>
      </c>
      <c r="G1744" s="6">
        <f>COUNTIF(F:F,Table2[[#This Row],[Form '#]])</f>
        <v>1</v>
      </c>
      <c r="H1744" s="1" t="s">
        <v>7057</v>
      </c>
      <c r="I1744" s="1" t="s">
        <v>3852</v>
      </c>
      <c r="J1744" s="1" t="s">
        <v>75</v>
      </c>
      <c r="K1744" s="1" t="s">
        <v>4011</v>
      </c>
      <c r="L1744" s="1"/>
      <c r="M1744" s="6" t="str">
        <f>IF(Table2[[#This Row],[Corrected Form '#
 (If Duplicated)]]="",Table2[[#This Row],[Form '#]],Table2[[#This Row],[Corrected Form '#
 (If Duplicated)]])</f>
        <v>7812-04715</v>
      </c>
      <c r="N1744" s="1" t="s">
        <v>49</v>
      </c>
      <c r="O1744" s="6" t="str">
        <f>IF(Table2[[#This Row],[POG CONFIRMATION RECEIPT OF ORDER
(DATE &amp; TIME)]]="","No Confirmation","Received Confirmation")</f>
        <v>No Confirmation</v>
      </c>
      <c r="P1744" s="6">
        <f ca="1">TODAY()-Table2[[#This Row],[DATE SENT TO POG]]</f>
        <v>113</v>
      </c>
      <c r="Q1744" s="6" t="s">
        <v>5803</v>
      </c>
      <c r="R17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4" s="2" t="str">
        <f>_xlfn.XLOOKUP(Table2[[#This Row],[Adjusted Form '#]],'[2]IN PROGRESS'!$D:$D,'[2]IN PROGRESS'!$M:$M,"Not Found")</f>
        <v>Not Found</v>
      </c>
      <c r="U1744" s="2" t="str">
        <f>_xlfn.XLOOKUP(Table2[[#This Row],[Adjusted Form '#]],[1]COMPLETED!$D:$D,[2]COMPLETED!$M:$M,"Not Found")</f>
        <v>Not Found</v>
      </c>
      <c r="V1744" s="17" t="str">
        <f>_xlfn.XLOOKUP(Table2[[#This Row],[Adjusted Form '#]],[2]COMPLETED!$D:$D,[2]COMPLETED!$O:$O,"Not Found")</f>
        <v>Not Found</v>
      </c>
      <c r="W1744" s="2" t="str">
        <f>_xlfn.XLOOKUP(Table2[[#This Row],[Adjusted Form '#]],[2]BILLED!$D:$D,[2]BILLED!$M:$M,"Not Found")</f>
        <v>9400 1361 0605 3422 9637 89</v>
      </c>
      <c r="X1744" s="17" t="e">
        <f>_xlfn.XLOOKUP(Table2[[#This Row],[Adjusted Form '#]],[2]BILLED!$D:$D,[1]BILLED!$O:$O,"Not Found")</f>
        <v>#REF!</v>
      </c>
      <c r="Y1744" s="17" t="e">
        <f>_xlfn.XLOOKUP(Table2[[#This Row],[Adjusted Form '#]],'[2]REJECTED ORDERS'!$D:$D,'[2]REJECTED ORDERS'!$E:$E)</f>
        <v>#N/A</v>
      </c>
      <c r="Z1744" s="1"/>
      <c r="AA1744" s="1"/>
    </row>
    <row r="1745" spans="1:27" ht="15" customHeight="1" x14ac:dyDescent="0.35">
      <c r="A1745" s="4" t="s">
        <v>2590</v>
      </c>
      <c r="B1745" s="1" t="s">
        <v>7060</v>
      </c>
      <c r="C1745" s="11">
        <v>45191</v>
      </c>
      <c r="D1745" s="11" t="s">
        <v>7062</v>
      </c>
      <c r="E1745" s="1" t="s">
        <v>21</v>
      </c>
      <c r="F1745" s="1" t="s">
        <v>7064</v>
      </c>
      <c r="G1745" s="6">
        <f>COUNTIF(F:F,Table2[[#This Row],[Form '#]])</f>
        <v>1</v>
      </c>
      <c r="H1745" s="1" t="s">
        <v>7061</v>
      </c>
      <c r="I1745" s="1" t="s">
        <v>3852</v>
      </c>
      <c r="J1745" s="1" t="s">
        <v>80</v>
      </c>
      <c r="K1745" s="1" t="s">
        <v>3853</v>
      </c>
      <c r="L1745" s="1"/>
      <c r="M1745" s="6" t="str">
        <f>IF(Table2[[#This Row],[Corrected Form '#
 (If Duplicated)]]="",Table2[[#This Row],[Form '#]],Table2[[#This Row],[Corrected Form '#
 (If Duplicated)]])</f>
        <v>7818-31619</v>
      </c>
      <c r="N1745" s="1" t="s">
        <v>49</v>
      </c>
      <c r="O1745" s="6" t="str">
        <f>IF(Table2[[#This Row],[POG CONFIRMATION RECEIPT OF ORDER
(DATE &amp; TIME)]]="","No Confirmation","Received Confirmation")</f>
        <v>Received Confirmation</v>
      </c>
      <c r="P1745" s="6">
        <f ca="1">TODAY()-Table2[[#This Row],[DATE SENT TO POG]]</f>
        <v>112</v>
      </c>
      <c r="Q1745" s="6" t="s">
        <v>5803</v>
      </c>
      <c r="R17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5" s="2" t="str">
        <f>_xlfn.XLOOKUP(Table2[[#This Row],[Adjusted Form '#]],'[2]IN PROGRESS'!$D:$D,'[2]IN PROGRESS'!$M:$M,"Not Found")</f>
        <v>Not Found</v>
      </c>
      <c r="U1745" s="2" t="str">
        <f>_xlfn.XLOOKUP(Table2[[#This Row],[Adjusted Form '#]],[1]COMPLETED!$D:$D,[2]COMPLETED!$M:$M,"Not Found")</f>
        <v>Not Found</v>
      </c>
      <c r="V1745" s="17" t="str">
        <f>_xlfn.XLOOKUP(Table2[[#This Row],[Adjusted Form '#]],[2]COMPLETED!$D:$D,[2]COMPLETED!$O:$O,"Not Found")</f>
        <v>Not Found</v>
      </c>
      <c r="W1745" s="2" t="str">
        <f>_xlfn.XLOOKUP(Table2[[#This Row],[Adjusted Form '#]],[2]BILLED!$D:$D,[2]BILLED!$M:$M,"Not Found")</f>
        <v>9400 1361 0605 3448 4684 97</v>
      </c>
      <c r="X1745" s="17" t="e">
        <f>_xlfn.XLOOKUP(Table2[[#This Row],[Adjusted Form '#]],[2]BILLED!$D:$D,[1]BILLED!$O:$O,"Not Found")</f>
        <v>#REF!</v>
      </c>
      <c r="Y1745" s="17" t="e">
        <f>_xlfn.XLOOKUP(Table2[[#This Row],[Adjusted Form '#]],'[2]REJECTED ORDERS'!$D:$D,'[2]REJECTED ORDERS'!$E:$E)</f>
        <v>#N/A</v>
      </c>
      <c r="Z1745" s="1"/>
      <c r="AA1745" s="1"/>
    </row>
    <row r="1746" spans="1:27" ht="15" customHeight="1" x14ac:dyDescent="0.35">
      <c r="A1746" s="4" t="s">
        <v>2591</v>
      </c>
      <c r="B1746" s="1" t="s">
        <v>7060</v>
      </c>
      <c r="C1746" s="11">
        <v>45191</v>
      </c>
      <c r="D1746" s="11" t="s">
        <v>7062</v>
      </c>
      <c r="E1746" s="1" t="s">
        <v>21</v>
      </c>
      <c r="F1746" s="1" t="s">
        <v>7058</v>
      </c>
      <c r="G1746" s="6">
        <f>COUNTIF(F:F,Table2[[#This Row],[Form '#]])</f>
        <v>1</v>
      </c>
      <c r="H1746" s="1" t="s">
        <v>79</v>
      </c>
      <c r="I1746" s="1" t="s">
        <v>3852</v>
      </c>
      <c r="J1746" s="1" t="s">
        <v>75</v>
      </c>
      <c r="K1746" s="1" t="s">
        <v>3853</v>
      </c>
      <c r="L1746" s="1"/>
      <c r="M1746" s="6" t="str">
        <f>IF(Table2[[#This Row],[Corrected Form '#
 (If Duplicated)]]="",Table2[[#This Row],[Form '#]],Table2[[#This Row],[Corrected Form '#
 (If Duplicated)]])</f>
        <v>7818-27428</v>
      </c>
      <c r="N1746" s="1" t="s">
        <v>49</v>
      </c>
      <c r="O1746" s="6" t="str">
        <f>IF(Table2[[#This Row],[POG CONFIRMATION RECEIPT OF ORDER
(DATE &amp; TIME)]]="","No Confirmation","Received Confirmation")</f>
        <v>Received Confirmation</v>
      </c>
      <c r="P1746" s="6">
        <f ca="1">TODAY()-Table2[[#This Row],[DATE SENT TO POG]]</f>
        <v>112</v>
      </c>
      <c r="Q1746" s="6" t="s">
        <v>5803</v>
      </c>
      <c r="R17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6" s="2" t="str">
        <f>_xlfn.XLOOKUP(Table2[[#This Row],[Adjusted Form '#]],'[2]IN PROGRESS'!$D:$D,'[2]IN PROGRESS'!$M:$M,"Not Found")</f>
        <v>Not Found</v>
      </c>
      <c r="U1746" s="2" t="str">
        <f>_xlfn.XLOOKUP(Table2[[#This Row],[Adjusted Form '#]],[1]COMPLETED!$D:$D,[2]COMPLETED!$M:$M,"Not Found")</f>
        <v>Not Found</v>
      </c>
      <c r="V1746" s="17" t="str">
        <f>_xlfn.XLOOKUP(Table2[[#This Row],[Adjusted Form '#]],[2]COMPLETED!$D:$D,[2]COMPLETED!$O:$O,"Not Found")</f>
        <v>Not Found</v>
      </c>
      <c r="W1746" s="2" t="str">
        <f>_xlfn.XLOOKUP(Table2[[#This Row],[Adjusted Form '#]],[2]BILLED!$D:$D,[2]BILLED!$M:$M,"Not Found")</f>
        <v>9400 1361 0605 3453 9303 30</v>
      </c>
      <c r="X1746" s="17" t="e">
        <f>_xlfn.XLOOKUP(Table2[[#This Row],[Adjusted Form '#]],[2]BILLED!$D:$D,[1]BILLED!$O:$O,"Not Found")</f>
        <v>#REF!</v>
      </c>
      <c r="Y1746" s="17" t="e">
        <f>_xlfn.XLOOKUP(Table2[[#This Row],[Adjusted Form '#]],'[2]REJECTED ORDERS'!$D:$D,'[2]REJECTED ORDERS'!$E:$E)</f>
        <v>#N/A</v>
      </c>
      <c r="Z1746" s="1"/>
      <c r="AA1746" s="1"/>
    </row>
    <row r="1747" spans="1:27" ht="15" customHeight="1" x14ac:dyDescent="0.35">
      <c r="A1747" s="4" t="s">
        <v>2593</v>
      </c>
      <c r="B1747" s="1" t="s">
        <v>7060</v>
      </c>
      <c r="C1747" s="11">
        <v>45191</v>
      </c>
      <c r="D1747" s="11" t="s">
        <v>7062</v>
      </c>
      <c r="E1747" s="1" t="s">
        <v>21</v>
      </c>
      <c r="F1747" s="1" t="s">
        <v>7059</v>
      </c>
      <c r="G1747" s="6">
        <f>COUNTIF(F:F,Table2[[#This Row],[Form '#]])</f>
        <v>1</v>
      </c>
      <c r="H1747" s="1" t="s">
        <v>1158</v>
      </c>
      <c r="I1747" s="1" t="s">
        <v>3864</v>
      </c>
      <c r="J1747" s="1" t="s">
        <v>78</v>
      </c>
      <c r="K1747" s="1" t="s">
        <v>3879</v>
      </c>
      <c r="L1747" s="1"/>
      <c r="M1747" s="6" t="str">
        <f>IF(Table2[[#This Row],[Corrected Form '#
 (If Duplicated)]]="",Table2[[#This Row],[Form '#]],Table2[[#This Row],[Corrected Form '#
 (If Duplicated)]])</f>
        <v>7818-31172</v>
      </c>
      <c r="N1747" s="1" t="s">
        <v>49</v>
      </c>
      <c r="O1747" s="6" t="str">
        <f>IF(Table2[[#This Row],[POG CONFIRMATION RECEIPT OF ORDER
(DATE &amp; TIME)]]="","No Confirmation","Received Confirmation")</f>
        <v>Received Confirmation</v>
      </c>
      <c r="P1747" s="6">
        <f ca="1">TODAY()-Table2[[#This Row],[DATE SENT TO POG]]</f>
        <v>112</v>
      </c>
      <c r="Q1747" s="6" t="s">
        <v>5803</v>
      </c>
      <c r="R17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7" s="2" t="str">
        <f>_xlfn.XLOOKUP(Table2[[#This Row],[Adjusted Form '#]],'[2]IN PROGRESS'!$D:$D,'[2]IN PROGRESS'!$M:$M,"Not Found")</f>
        <v>Not Found</v>
      </c>
      <c r="U1747" s="2" t="str">
        <f>_xlfn.XLOOKUP(Table2[[#This Row],[Adjusted Form '#]],[1]COMPLETED!$D:$D,[2]COMPLETED!$M:$M,"Not Found")</f>
        <v>Not Found</v>
      </c>
      <c r="V1747" s="17" t="str">
        <f>_xlfn.XLOOKUP(Table2[[#This Row],[Adjusted Form '#]],[2]COMPLETED!$D:$D,[2]COMPLETED!$O:$O,"Not Found")</f>
        <v>Not Found</v>
      </c>
      <c r="W1747" s="2" t="str">
        <f>_xlfn.XLOOKUP(Table2[[#This Row],[Adjusted Form '#]],[2]BILLED!$D:$D,[2]BILLED!$M:$M,"Not Found")</f>
        <v>9400 1361 0605 3469 0503 67</v>
      </c>
      <c r="X1747" s="17" t="e">
        <f>_xlfn.XLOOKUP(Table2[[#This Row],[Adjusted Form '#]],[2]BILLED!$D:$D,[1]BILLED!$O:$O,"Not Found")</f>
        <v>#REF!</v>
      </c>
      <c r="Y1747" s="17" t="e">
        <f>_xlfn.XLOOKUP(Table2[[#This Row],[Adjusted Form '#]],'[2]REJECTED ORDERS'!$D:$D,'[2]REJECTED ORDERS'!$E:$E)</f>
        <v>#N/A</v>
      </c>
      <c r="Z1747" s="1"/>
      <c r="AA1747" s="1"/>
    </row>
    <row r="1748" spans="1:27" ht="15" customHeight="1" x14ac:dyDescent="0.35">
      <c r="A1748" s="4" t="s">
        <v>2594</v>
      </c>
      <c r="B1748" s="1" t="s">
        <v>1525</v>
      </c>
      <c r="C1748" s="11">
        <v>45191</v>
      </c>
      <c r="D1748" s="11" t="s">
        <v>7065</v>
      </c>
      <c r="E1748" s="1" t="s">
        <v>191</v>
      </c>
      <c r="F1748" s="1" t="s">
        <v>7063</v>
      </c>
      <c r="G1748" s="6">
        <f>COUNTIF(F:F,Table2[[#This Row],[Form '#]])</f>
        <v>1</v>
      </c>
      <c r="H1748" s="1">
        <v>471037</v>
      </c>
      <c r="I1748" s="1" t="s">
        <v>177</v>
      </c>
      <c r="J1748" s="1" t="s">
        <v>75</v>
      </c>
      <c r="K1748" s="1" t="s">
        <v>3853</v>
      </c>
      <c r="L1748" s="1"/>
      <c r="M1748" s="6" t="str">
        <f>IF(Table2[[#This Row],[Corrected Form '#
 (If Duplicated)]]="",Table2[[#This Row],[Form '#]],Table2[[#This Row],[Corrected Form '#
 (If Duplicated)]])</f>
        <v>7812-04703</v>
      </c>
      <c r="N1748" s="1" t="s">
        <v>49</v>
      </c>
      <c r="O1748" s="6" t="str">
        <f>IF(Table2[[#This Row],[POG CONFIRMATION RECEIPT OF ORDER
(DATE &amp; TIME)]]="","No Confirmation","Received Confirmation")</f>
        <v>Received Confirmation</v>
      </c>
      <c r="P1748" s="6">
        <f ca="1">TODAY()-Table2[[#This Row],[DATE SENT TO POG]]</f>
        <v>112</v>
      </c>
      <c r="Q1748" s="6" t="s">
        <v>5803</v>
      </c>
      <c r="R17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8" s="2" t="str">
        <f>_xlfn.XLOOKUP(Table2[[#This Row],[Adjusted Form '#]],'[2]IN PROGRESS'!$D:$D,'[2]IN PROGRESS'!$M:$M,"Not Found")</f>
        <v>Not Found</v>
      </c>
      <c r="U1748" s="2" t="str">
        <f>_xlfn.XLOOKUP(Table2[[#This Row],[Adjusted Form '#]],[1]COMPLETED!$D:$D,[2]COMPLETED!$M:$M,"Not Found")</f>
        <v>Not Found</v>
      </c>
      <c r="V1748" s="17" t="str">
        <f>_xlfn.XLOOKUP(Table2[[#This Row],[Adjusted Form '#]],[2]COMPLETED!$D:$D,[2]COMPLETED!$O:$O,"Not Found")</f>
        <v>Not Found</v>
      </c>
      <c r="W1748" s="2" t="str">
        <f>_xlfn.XLOOKUP(Table2[[#This Row],[Adjusted Form '#]],[2]BILLED!$D:$D,[2]BILLED!$M:$M,"Not Found")</f>
        <v>9400 1361 0605 3505 4107 80</v>
      </c>
      <c r="X1748" s="17" t="e">
        <f>_xlfn.XLOOKUP(Table2[[#This Row],[Adjusted Form '#]],[2]BILLED!$D:$D,[1]BILLED!$O:$O,"Not Found")</f>
        <v>#REF!</v>
      </c>
      <c r="Y1748" s="17" t="e">
        <f>_xlfn.XLOOKUP(Table2[[#This Row],[Adjusted Form '#]],'[2]REJECTED ORDERS'!$D:$D,'[2]REJECTED ORDERS'!$E:$E)</f>
        <v>#N/A</v>
      </c>
      <c r="Z1748" s="1"/>
      <c r="AA1748" s="1"/>
    </row>
    <row r="1749" spans="1:27" ht="15" customHeight="1" x14ac:dyDescent="0.35">
      <c r="A1749" s="4" t="s">
        <v>2596</v>
      </c>
      <c r="B1749" s="1" t="s">
        <v>3731</v>
      </c>
      <c r="C1749" s="11">
        <v>45194</v>
      </c>
      <c r="E1749" s="1" t="s">
        <v>73</v>
      </c>
      <c r="F1749" s="1" t="s">
        <v>7066</v>
      </c>
      <c r="G1749" s="6">
        <f>COUNTIF(F:F,Table2[[#This Row],[Form '#]])</f>
        <v>1</v>
      </c>
      <c r="H1749" s="1" t="s">
        <v>7067</v>
      </c>
      <c r="I1749" s="1" t="s">
        <v>3864</v>
      </c>
      <c r="J1749" s="1" t="s">
        <v>78</v>
      </c>
      <c r="K1749" s="1" t="s">
        <v>3879</v>
      </c>
      <c r="L1749" s="1"/>
      <c r="M1749" s="6" t="str">
        <f>IF(Table2[[#This Row],[Corrected Form '#
 (If Duplicated)]]="",Table2[[#This Row],[Form '#]],Table2[[#This Row],[Corrected Form '#
 (If Duplicated)]])</f>
        <v>7823-02951</v>
      </c>
      <c r="N1749" s="1" t="s">
        <v>49</v>
      </c>
      <c r="O1749" s="6" t="str">
        <f>IF(Table2[[#This Row],[POG CONFIRMATION RECEIPT OF ORDER
(DATE &amp; TIME)]]="","No Confirmation","Received Confirmation")</f>
        <v>No Confirmation</v>
      </c>
      <c r="P1749" s="6">
        <f ca="1">TODAY()-Table2[[#This Row],[DATE SENT TO POG]]</f>
        <v>109</v>
      </c>
      <c r="Q1749" s="6" t="s">
        <v>5803</v>
      </c>
      <c r="R17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49" s="2" t="str">
        <f>_xlfn.XLOOKUP(Table2[[#This Row],[Adjusted Form '#]],'[2]IN PROGRESS'!$D:$D,'[2]IN PROGRESS'!$M:$M,"Not Found")</f>
        <v>Not Found</v>
      </c>
      <c r="U1749" s="2" t="str">
        <f>_xlfn.XLOOKUP(Table2[[#This Row],[Adjusted Form '#]],[1]COMPLETED!$D:$D,[2]COMPLETED!$M:$M,"Not Found")</f>
        <v>Not Found</v>
      </c>
      <c r="V1749" s="17" t="str">
        <f>_xlfn.XLOOKUP(Table2[[#This Row],[Adjusted Form '#]],[2]COMPLETED!$D:$D,[2]COMPLETED!$O:$O,"Not Found")</f>
        <v>Not Found</v>
      </c>
      <c r="W1749" s="2" t="str">
        <f>_xlfn.XLOOKUP(Table2[[#This Row],[Adjusted Form '#]],[2]BILLED!$D:$D,[2]BILLED!$M:$M,"Not Found")</f>
        <v>9400 1112 0620 9903 5961 37</v>
      </c>
      <c r="X1749" s="17" t="e">
        <f>_xlfn.XLOOKUP(Table2[[#This Row],[Adjusted Form '#]],[2]BILLED!$D:$D,[1]BILLED!$O:$O,"Not Found")</f>
        <v>#REF!</v>
      </c>
      <c r="Y1749" s="17" t="e">
        <f>_xlfn.XLOOKUP(Table2[[#This Row],[Adjusted Form '#]],'[2]REJECTED ORDERS'!$D:$D,'[2]REJECTED ORDERS'!$E:$E)</f>
        <v>#N/A</v>
      </c>
      <c r="Z1749" s="1"/>
      <c r="AA1749" s="1"/>
    </row>
    <row r="1750" spans="1:27" ht="15" customHeight="1" x14ac:dyDescent="0.35">
      <c r="A1750" s="4" t="s">
        <v>2597</v>
      </c>
      <c r="B1750" s="1" t="s">
        <v>294</v>
      </c>
      <c r="C1750" s="11">
        <v>45194</v>
      </c>
      <c r="D1750" s="11" t="s">
        <v>7070</v>
      </c>
      <c r="E1750" s="1" t="s">
        <v>14</v>
      </c>
      <c r="F1750" s="1" t="s">
        <v>7068</v>
      </c>
      <c r="G1750" s="6">
        <f>COUNTIF(F:F,Table2[[#This Row],[Form '#]])</f>
        <v>1</v>
      </c>
      <c r="H1750" s="1" t="s">
        <v>7069</v>
      </c>
      <c r="I1750" s="1" t="s">
        <v>3864</v>
      </c>
      <c r="J1750" s="1" t="s">
        <v>78</v>
      </c>
      <c r="K1750" s="1" t="s">
        <v>3879</v>
      </c>
      <c r="L1750" s="1"/>
      <c r="M1750" s="6" t="str">
        <f>IF(Table2[[#This Row],[Corrected Form '#
 (If Duplicated)]]="",Table2[[#This Row],[Form '#]],Table2[[#This Row],[Corrected Form '#
 (If Duplicated)]])</f>
        <v>7810-01861</v>
      </c>
      <c r="N1750" s="1" t="s">
        <v>49</v>
      </c>
      <c r="O1750" s="6" t="str">
        <f>IF(Table2[[#This Row],[POG CONFIRMATION RECEIPT OF ORDER
(DATE &amp; TIME)]]="","No Confirmation","Received Confirmation")</f>
        <v>Received Confirmation</v>
      </c>
      <c r="P1750" s="6">
        <f ca="1">TODAY()-Table2[[#This Row],[DATE SENT TO POG]]</f>
        <v>109</v>
      </c>
      <c r="Q1750" s="6" t="s">
        <v>5803</v>
      </c>
      <c r="R17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0" s="2" t="str">
        <f>_xlfn.XLOOKUP(Table2[[#This Row],[Adjusted Form '#]],'[2]IN PROGRESS'!$D:$D,'[2]IN PROGRESS'!$M:$M,"Not Found")</f>
        <v>Not Found</v>
      </c>
      <c r="U1750" s="2" t="str">
        <f>_xlfn.XLOOKUP(Table2[[#This Row],[Adjusted Form '#]],[1]COMPLETED!$D:$D,[2]COMPLETED!$M:$M,"Not Found")</f>
        <v>Not Found</v>
      </c>
      <c r="V1750" s="17" t="str">
        <f>_xlfn.XLOOKUP(Table2[[#This Row],[Adjusted Form '#]],[2]COMPLETED!$D:$D,[2]COMPLETED!$O:$O,"Not Found")</f>
        <v>Not Found</v>
      </c>
      <c r="W1750" s="2" t="str">
        <f>_xlfn.XLOOKUP(Table2[[#This Row],[Adjusted Form '#]],[2]BILLED!$D:$D,[2]BILLED!$M:$M,"Not Found")</f>
        <v>9400 1112 0620 9903 5760 61</v>
      </c>
      <c r="X1750" s="17" t="e">
        <f>_xlfn.XLOOKUP(Table2[[#This Row],[Adjusted Form '#]],[2]BILLED!$D:$D,[1]BILLED!$O:$O,"Not Found")</f>
        <v>#REF!</v>
      </c>
      <c r="Y1750" s="17" t="e">
        <f>_xlfn.XLOOKUP(Table2[[#This Row],[Adjusted Form '#]],'[2]REJECTED ORDERS'!$D:$D,'[2]REJECTED ORDERS'!$E:$E)</f>
        <v>#N/A</v>
      </c>
      <c r="Z1750" s="1"/>
      <c r="AA1750" s="1"/>
    </row>
    <row r="1751" spans="1:27" ht="15" customHeight="1" x14ac:dyDescent="0.35">
      <c r="A1751" s="4" t="s">
        <v>2599</v>
      </c>
      <c r="B1751" s="1" t="s">
        <v>3559</v>
      </c>
      <c r="C1751" s="11">
        <v>45194</v>
      </c>
      <c r="D1751" s="11" t="s">
        <v>7080</v>
      </c>
      <c r="E1751" s="1" t="s">
        <v>21</v>
      </c>
      <c r="F1751" s="1" t="s">
        <v>7071</v>
      </c>
      <c r="G1751" s="6">
        <f>COUNTIF(F:F,Table2[[#This Row],[Form '#]])</f>
        <v>1</v>
      </c>
      <c r="H1751" s="1" t="s">
        <v>543</v>
      </c>
      <c r="I1751" s="1" t="s">
        <v>177</v>
      </c>
      <c r="J1751" s="1" t="s">
        <v>75</v>
      </c>
      <c r="K1751" s="1" t="s">
        <v>3853</v>
      </c>
      <c r="L1751" s="1"/>
      <c r="M1751" s="6" t="str">
        <f>IF(Table2[[#This Row],[Corrected Form '#
 (If Duplicated)]]="",Table2[[#This Row],[Form '#]],Table2[[#This Row],[Corrected Form '#
 (If Duplicated)]])</f>
        <v>7818-32252</v>
      </c>
      <c r="N1751" s="1" t="s">
        <v>49</v>
      </c>
      <c r="O1751" s="6" t="str">
        <f>IF(Table2[[#This Row],[POG CONFIRMATION RECEIPT OF ORDER
(DATE &amp; TIME)]]="","No Confirmation","Received Confirmation")</f>
        <v>Received Confirmation</v>
      </c>
      <c r="P1751" s="6">
        <f ca="1">TODAY()-Table2[[#This Row],[DATE SENT TO POG]]</f>
        <v>109</v>
      </c>
      <c r="Q1751" s="6" t="s">
        <v>5803</v>
      </c>
      <c r="R17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1" s="2" t="str">
        <f>_xlfn.XLOOKUP(Table2[[#This Row],[Adjusted Form '#]],'[2]IN PROGRESS'!$D:$D,'[2]IN PROGRESS'!$M:$M,"Not Found")</f>
        <v>Not Found</v>
      </c>
      <c r="U1751" s="2" t="str">
        <f>_xlfn.XLOOKUP(Table2[[#This Row],[Adjusted Form '#]],[1]COMPLETED!$D:$D,[2]COMPLETED!$M:$M,"Not Found")</f>
        <v>Not Found</v>
      </c>
      <c r="V1751" s="17" t="str">
        <f>_xlfn.XLOOKUP(Table2[[#This Row],[Adjusted Form '#]],[2]COMPLETED!$D:$D,[2]COMPLETED!$O:$O,"Not Found")</f>
        <v>Not Found</v>
      </c>
      <c r="W1751" s="2" t="str">
        <f>_xlfn.XLOOKUP(Table2[[#This Row],[Adjusted Form '#]],[2]BILLED!$D:$D,[2]BILLED!$M:$M,"Not Found")</f>
        <v>9400 1112 0620 9925 8162 13</v>
      </c>
      <c r="X1751" s="17" t="e">
        <f>_xlfn.XLOOKUP(Table2[[#This Row],[Adjusted Form '#]],[2]BILLED!$D:$D,[1]BILLED!$O:$O,"Not Found")</f>
        <v>#REF!</v>
      </c>
      <c r="Y1751" s="17" t="e">
        <f>_xlfn.XLOOKUP(Table2[[#This Row],[Adjusted Form '#]],'[2]REJECTED ORDERS'!$D:$D,'[2]REJECTED ORDERS'!$E:$E)</f>
        <v>#N/A</v>
      </c>
      <c r="Z1751" s="1"/>
      <c r="AA1751" s="1"/>
    </row>
    <row r="1752" spans="1:27" ht="15" customHeight="1" x14ac:dyDescent="0.35">
      <c r="A1752" s="4" t="s">
        <v>2600</v>
      </c>
      <c r="B1752" s="1" t="s">
        <v>3559</v>
      </c>
      <c r="C1752" s="11">
        <v>45194</v>
      </c>
      <c r="D1752" s="11" t="s">
        <v>7080</v>
      </c>
      <c r="E1752" s="1" t="s">
        <v>21</v>
      </c>
      <c r="F1752" s="1" t="s">
        <v>7072</v>
      </c>
      <c r="G1752" s="6">
        <f>COUNTIF(F:F,Table2[[#This Row],[Form '#]])</f>
        <v>1</v>
      </c>
      <c r="H1752" s="1" t="s">
        <v>7073</v>
      </c>
      <c r="I1752" s="1" t="s">
        <v>177</v>
      </c>
      <c r="J1752" s="1" t="s">
        <v>75</v>
      </c>
      <c r="K1752" s="1" t="s">
        <v>3853</v>
      </c>
      <c r="L1752" s="1"/>
      <c r="M1752" s="6" t="str">
        <f>IF(Table2[[#This Row],[Corrected Form '#
 (If Duplicated)]]="",Table2[[#This Row],[Form '#]],Table2[[#This Row],[Corrected Form '#
 (If Duplicated)]])</f>
        <v>7818-27340</v>
      </c>
      <c r="N1752" s="1" t="s">
        <v>49</v>
      </c>
      <c r="O1752" s="6" t="str">
        <f>IF(Table2[[#This Row],[POG CONFIRMATION RECEIPT OF ORDER
(DATE &amp; TIME)]]="","No Confirmation","Received Confirmation")</f>
        <v>Received Confirmation</v>
      </c>
      <c r="P1752" s="6">
        <f ca="1">TODAY()-Table2[[#This Row],[DATE SENT TO POG]]</f>
        <v>109</v>
      </c>
      <c r="Q1752" s="6" t="s">
        <v>5803</v>
      </c>
      <c r="R17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2" s="2" t="str">
        <f>_xlfn.XLOOKUP(Table2[[#This Row],[Adjusted Form '#]],'[2]IN PROGRESS'!$D:$D,'[2]IN PROGRESS'!$M:$M,"Not Found")</f>
        <v>Not Found</v>
      </c>
      <c r="U1752" s="2" t="str">
        <f>_xlfn.XLOOKUP(Table2[[#This Row],[Adjusted Form '#]],[1]COMPLETED!$D:$D,[2]COMPLETED!$M:$M,"Not Found")</f>
        <v>Not Found</v>
      </c>
      <c r="V1752" s="17" t="str">
        <f>_xlfn.XLOOKUP(Table2[[#This Row],[Adjusted Form '#]],[2]COMPLETED!$D:$D,[2]COMPLETED!$O:$O,"Not Found")</f>
        <v>Not Found</v>
      </c>
      <c r="W1752" s="2" t="str">
        <f>_xlfn.XLOOKUP(Table2[[#This Row],[Adjusted Form '#]],[2]BILLED!$D:$D,[2]BILLED!$M:$M,"Not Found")</f>
        <v>9400 1361 0605 3441 0809 93</v>
      </c>
      <c r="X1752" s="17" t="e">
        <f>_xlfn.XLOOKUP(Table2[[#This Row],[Adjusted Form '#]],[2]BILLED!$D:$D,[1]BILLED!$O:$O,"Not Found")</f>
        <v>#REF!</v>
      </c>
      <c r="Y1752" s="17" t="e">
        <f>_xlfn.XLOOKUP(Table2[[#This Row],[Adjusted Form '#]],'[2]REJECTED ORDERS'!$D:$D,'[2]REJECTED ORDERS'!$E:$E)</f>
        <v>#N/A</v>
      </c>
      <c r="Z1752" s="1"/>
      <c r="AA1752" s="1"/>
    </row>
    <row r="1753" spans="1:27" ht="15" customHeight="1" x14ac:dyDescent="0.35">
      <c r="A1753" s="4" t="s">
        <v>2603</v>
      </c>
      <c r="B1753" s="1" t="s">
        <v>3559</v>
      </c>
      <c r="C1753" s="11">
        <v>45194</v>
      </c>
      <c r="D1753" s="11" t="s">
        <v>7080</v>
      </c>
      <c r="E1753" s="1" t="s">
        <v>21</v>
      </c>
      <c r="F1753" s="1" t="s">
        <v>7074</v>
      </c>
      <c r="G1753" s="6">
        <f>COUNTIF(F:F,Table2[[#This Row],[Form '#]])</f>
        <v>1</v>
      </c>
      <c r="H1753" s="1" t="s">
        <v>7075</v>
      </c>
      <c r="I1753" s="1" t="s">
        <v>3852</v>
      </c>
      <c r="J1753" s="1" t="s">
        <v>80</v>
      </c>
      <c r="K1753" s="1" t="s">
        <v>3853</v>
      </c>
      <c r="L1753" s="1"/>
      <c r="M1753" s="6" t="str">
        <f>IF(Table2[[#This Row],[Corrected Form '#
 (If Duplicated)]]="",Table2[[#This Row],[Form '#]],Table2[[#This Row],[Corrected Form '#
 (If Duplicated)]])</f>
        <v>7818-30960</v>
      </c>
      <c r="N1753" s="1" t="s">
        <v>49</v>
      </c>
      <c r="O1753" s="6" t="str">
        <f>IF(Table2[[#This Row],[POG CONFIRMATION RECEIPT OF ORDER
(DATE &amp; TIME)]]="","No Confirmation","Received Confirmation")</f>
        <v>Received Confirmation</v>
      </c>
      <c r="P1753" s="6">
        <f ca="1">TODAY()-Table2[[#This Row],[DATE SENT TO POG]]</f>
        <v>109</v>
      </c>
      <c r="Q1753" s="6" t="s">
        <v>5803</v>
      </c>
      <c r="R17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3" s="2" t="str">
        <f>_xlfn.XLOOKUP(Table2[[#This Row],[Adjusted Form '#]],'[2]IN PROGRESS'!$D:$D,'[2]IN PROGRESS'!$M:$M,"Not Found")</f>
        <v>Not Found</v>
      </c>
      <c r="U1753" s="2" t="str">
        <f>_xlfn.XLOOKUP(Table2[[#This Row],[Adjusted Form '#]],[1]COMPLETED!$D:$D,[2]COMPLETED!$M:$M,"Not Found")</f>
        <v>Not Found</v>
      </c>
      <c r="V1753" s="17" t="str">
        <f>_xlfn.XLOOKUP(Table2[[#This Row],[Adjusted Form '#]],[2]COMPLETED!$D:$D,[2]COMPLETED!$O:$O,"Not Found")</f>
        <v>Not Found</v>
      </c>
      <c r="W1753" s="2" t="str">
        <f>_xlfn.XLOOKUP(Table2[[#This Row],[Adjusted Form '#]],[2]BILLED!$D:$D,[2]BILLED!$M:$M,"Not Found")</f>
        <v>9400 1361 0605 3453 8988 69</v>
      </c>
      <c r="X1753" s="17" t="e">
        <f>_xlfn.XLOOKUP(Table2[[#This Row],[Adjusted Form '#]],[2]BILLED!$D:$D,[1]BILLED!$O:$O,"Not Found")</f>
        <v>#REF!</v>
      </c>
      <c r="Y1753" s="17" t="e">
        <f>_xlfn.XLOOKUP(Table2[[#This Row],[Adjusted Form '#]],'[2]REJECTED ORDERS'!$D:$D,'[2]REJECTED ORDERS'!$E:$E)</f>
        <v>#N/A</v>
      </c>
      <c r="Z1753" s="1"/>
      <c r="AA1753" s="1"/>
    </row>
    <row r="1754" spans="1:27" ht="15" customHeight="1" x14ac:dyDescent="0.35">
      <c r="A1754" s="4" t="s">
        <v>2604</v>
      </c>
      <c r="B1754" s="1" t="s">
        <v>3559</v>
      </c>
      <c r="C1754" s="11">
        <v>45194</v>
      </c>
      <c r="D1754" s="11" t="s">
        <v>7080</v>
      </c>
      <c r="E1754" s="1" t="s">
        <v>21</v>
      </c>
      <c r="F1754" s="1" t="s">
        <v>7076</v>
      </c>
      <c r="G1754" s="6">
        <f>COUNTIF(F:F,Table2[[#This Row],[Form '#]])</f>
        <v>1</v>
      </c>
      <c r="H1754" s="1" t="s">
        <v>2257</v>
      </c>
      <c r="I1754" s="1" t="s">
        <v>3852</v>
      </c>
      <c r="J1754" s="1" t="s">
        <v>80</v>
      </c>
      <c r="K1754" s="1" t="s">
        <v>3853</v>
      </c>
      <c r="L1754" s="1"/>
      <c r="M1754" s="6" t="str">
        <f>IF(Table2[[#This Row],[Corrected Form '#
 (If Duplicated)]]="",Table2[[#This Row],[Form '#]],Table2[[#This Row],[Corrected Form '#
 (If Duplicated)]])</f>
        <v>7818-03772</v>
      </c>
      <c r="N1754" s="1" t="s">
        <v>2490</v>
      </c>
      <c r="O1754" s="6" t="str">
        <f>IF(Table2[[#This Row],[POG CONFIRMATION RECEIPT OF ORDER
(DATE &amp; TIME)]]="","No Confirmation","Received Confirmation")</f>
        <v>Received Confirmation</v>
      </c>
      <c r="P1754" s="6">
        <f ca="1">TODAY()-Table2[[#This Row],[DATE SENT TO POG]]</f>
        <v>109</v>
      </c>
      <c r="Q1754" s="6" t="s">
        <v>5803</v>
      </c>
      <c r="R17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4" s="2" t="str">
        <f>_xlfn.XLOOKUP(Table2[[#This Row],[Adjusted Form '#]],'[2]IN PROGRESS'!$D:$D,'[2]IN PROGRESS'!$M:$M,"Not Found")</f>
        <v>Not Found</v>
      </c>
      <c r="U1754" s="2" t="str">
        <f>_xlfn.XLOOKUP(Table2[[#This Row],[Adjusted Form '#]],[1]COMPLETED!$D:$D,[2]COMPLETED!$M:$M,"Not Found")</f>
        <v>Not Found</v>
      </c>
      <c r="V1754" s="17" t="str">
        <f>_xlfn.XLOOKUP(Table2[[#This Row],[Adjusted Form '#]],[2]COMPLETED!$D:$D,[2]COMPLETED!$O:$O,"Not Found")</f>
        <v>Not Found</v>
      </c>
      <c r="W1754" s="2" t="str">
        <f>_xlfn.XLOOKUP(Table2[[#This Row],[Adjusted Form '#]],[2]BILLED!$D:$D,[2]BILLED!$M:$M,"Not Found")</f>
        <v>9400 1361 0605 3441 0737 35</v>
      </c>
      <c r="X1754" s="17" t="e">
        <f>_xlfn.XLOOKUP(Table2[[#This Row],[Adjusted Form '#]],[2]BILLED!$D:$D,[1]BILLED!$O:$O,"Not Found")</f>
        <v>#REF!</v>
      </c>
      <c r="Y1754" s="17" t="e">
        <f>_xlfn.XLOOKUP(Table2[[#This Row],[Adjusted Form '#]],'[2]REJECTED ORDERS'!$D:$D,'[2]REJECTED ORDERS'!$E:$E)</f>
        <v>#N/A</v>
      </c>
      <c r="Z1754" s="1"/>
      <c r="AA1754" s="1"/>
    </row>
    <row r="1755" spans="1:27" ht="15" customHeight="1" x14ac:dyDescent="0.35">
      <c r="A1755" s="4" t="s">
        <v>2606</v>
      </c>
      <c r="B1755" s="1" t="s">
        <v>3559</v>
      </c>
      <c r="C1755" s="11">
        <v>45194</v>
      </c>
      <c r="D1755" s="11" t="s">
        <v>7080</v>
      </c>
      <c r="E1755" s="1" t="s">
        <v>21</v>
      </c>
      <c r="F1755" s="1" t="s">
        <v>7077</v>
      </c>
      <c r="G1755" s="6">
        <f>COUNTIF(F:F,Table2[[#This Row],[Form '#]])</f>
        <v>1</v>
      </c>
      <c r="H1755" s="1" t="s">
        <v>7078</v>
      </c>
      <c r="I1755" s="1" t="s">
        <v>127</v>
      </c>
      <c r="J1755" s="1" t="s">
        <v>74</v>
      </c>
      <c r="K1755" s="1" t="s">
        <v>3919</v>
      </c>
      <c r="L1755" s="1"/>
      <c r="M1755" s="6" t="str">
        <f>IF(Table2[[#This Row],[Corrected Form '#
 (If Duplicated)]]="",Table2[[#This Row],[Form '#]],Table2[[#This Row],[Corrected Form '#
 (If Duplicated)]])</f>
        <v>7818-28232</v>
      </c>
      <c r="N1755" s="1" t="s">
        <v>49</v>
      </c>
      <c r="O1755" s="6" t="str">
        <f>IF(Table2[[#This Row],[POG CONFIRMATION RECEIPT OF ORDER
(DATE &amp; TIME)]]="","No Confirmation","Received Confirmation")</f>
        <v>Received Confirmation</v>
      </c>
      <c r="P1755" s="6">
        <f ca="1">TODAY()-Table2[[#This Row],[DATE SENT TO POG]]</f>
        <v>109</v>
      </c>
      <c r="Q1755" s="6" t="s">
        <v>5803</v>
      </c>
      <c r="R17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5" s="2" t="str">
        <f>_xlfn.XLOOKUP(Table2[[#This Row],[Adjusted Form '#]],'[2]IN PROGRESS'!$D:$D,'[2]IN PROGRESS'!$M:$M,"Not Found")</f>
        <v>Not Found</v>
      </c>
      <c r="U1755" s="2" t="str">
        <f>_xlfn.XLOOKUP(Table2[[#This Row],[Adjusted Form '#]],[1]COMPLETED!$D:$D,[2]COMPLETED!$M:$M,"Not Found")</f>
        <v>Not Found</v>
      </c>
      <c r="V1755" s="17" t="str">
        <f>_xlfn.XLOOKUP(Table2[[#This Row],[Adjusted Form '#]],[2]COMPLETED!$D:$D,[2]COMPLETED!$O:$O,"Not Found")</f>
        <v>Not Found</v>
      </c>
      <c r="W1755" s="2" t="str">
        <f>_xlfn.XLOOKUP(Table2[[#This Row],[Adjusted Form '#]],[2]BILLED!$D:$D,[2]BILLED!$M:$M,"Not Found")</f>
        <v>9400 1361 0605 3441 1040 33</v>
      </c>
      <c r="X1755" s="17" t="e">
        <f>_xlfn.XLOOKUP(Table2[[#This Row],[Adjusted Form '#]],[2]BILLED!$D:$D,[1]BILLED!$O:$O,"Not Found")</f>
        <v>#REF!</v>
      </c>
      <c r="Y1755" s="17" t="e">
        <f>_xlfn.XLOOKUP(Table2[[#This Row],[Adjusted Form '#]],'[2]REJECTED ORDERS'!$D:$D,'[2]REJECTED ORDERS'!$E:$E)</f>
        <v>#N/A</v>
      </c>
      <c r="Z1755" s="1"/>
      <c r="AA1755" s="1"/>
    </row>
    <row r="1756" spans="1:27" ht="15" customHeight="1" x14ac:dyDescent="0.35">
      <c r="A1756" s="4" t="s">
        <v>2608</v>
      </c>
      <c r="B1756" s="1" t="s">
        <v>457</v>
      </c>
      <c r="C1756" s="11">
        <v>45195</v>
      </c>
      <c r="D1756" s="11" t="s">
        <v>7081</v>
      </c>
      <c r="E1756" s="1" t="s">
        <v>191</v>
      </c>
      <c r="F1756" s="1" t="s">
        <v>7079</v>
      </c>
      <c r="G1756" s="6">
        <f>COUNTIF(F:F,Table2[[#This Row],[Form '#]])</f>
        <v>1</v>
      </c>
      <c r="H1756" s="1" t="s">
        <v>1637</v>
      </c>
      <c r="I1756" s="1" t="s">
        <v>127</v>
      </c>
      <c r="J1756" s="1" t="s">
        <v>76</v>
      </c>
      <c r="K1756" s="1" t="s">
        <v>3862</v>
      </c>
      <c r="L1756" s="1"/>
      <c r="M1756" s="6" t="str">
        <f>IF(Table2[[#This Row],[Corrected Form '#
 (If Duplicated)]]="",Table2[[#This Row],[Form '#]],Table2[[#This Row],[Corrected Form '#
 (If Duplicated)]])</f>
        <v>7812-03473</v>
      </c>
      <c r="N1756" s="1" t="s">
        <v>49</v>
      </c>
      <c r="O1756" s="6" t="str">
        <f>IF(Table2[[#This Row],[POG CONFIRMATION RECEIPT OF ORDER
(DATE &amp; TIME)]]="","No Confirmation","Received Confirmation")</f>
        <v>Received Confirmation</v>
      </c>
      <c r="P1756" s="6">
        <f ca="1">TODAY()-Table2[[#This Row],[DATE SENT TO POG]]</f>
        <v>108</v>
      </c>
      <c r="Q1756" s="6" t="s">
        <v>5803</v>
      </c>
      <c r="R17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6" s="2" t="str">
        <f>_xlfn.XLOOKUP(Table2[[#This Row],[Adjusted Form '#]],'[2]IN PROGRESS'!$D:$D,'[2]IN PROGRESS'!$M:$M,"Not Found")</f>
        <v>Not Found</v>
      </c>
      <c r="U1756" s="2" t="str">
        <f>_xlfn.XLOOKUP(Table2[[#This Row],[Adjusted Form '#]],[1]COMPLETED!$D:$D,[2]COMPLETED!$M:$M,"Not Found")</f>
        <v>Not Found</v>
      </c>
      <c r="V1756" s="17" t="str">
        <f>_xlfn.XLOOKUP(Table2[[#This Row],[Adjusted Form '#]],[2]COMPLETED!$D:$D,[2]COMPLETED!$O:$O,"Not Found")</f>
        <v>Not Found</v>
      </c>
      <c r="W1756" s="2" t="str">
        <f>_xlfn.XLOOKUP(Table2[[#This Row],[Adjusted Form '#]],[2]BILLED!$D:$D,[2]BILLED!$M:$M,"Not Found")</f>
        <v>9400 1112 0620 9922 3081 31</v>
      </c>
      <c r="X1756" s="17" t="e">
        <f>_xlfn.XLOOKUP(Table2[[#This Row],[Adjusted Form '#]],[2]BILLED!$D:$D,[1]BILLED!$O:$O,"Not Found")</f>
        <v>#REF!</v>
      </c>
      <c r="Y1756" s="17" t="e">
        <f>_xlfn.XLOOKUP(Table2[[#This Row],[Adjusted Form '#]],'[2]REJECTED ORDERS'!$D:$D,'[2]REJECTED ORDERS'!$E:$E)</f>
        <v>#N/A</v>
      </c>
      <c r="Z1756" s="1"/>
      <c r="AA1756" s="1"/>
    </row>
    <row r="1757" spans="1:27" ht="15" customHeight="1" x14ac:dyDescent="0.35">
      <c r="A1757" s="4" t="s">
        <v>2611</v>
      </c>
      <c r="B1757" s="1" t="s">
        <v>2772</v>
      </c>
      <c r="C1757" s="11">
        <v>45195</v>
      </c>
      <c r="D1757" s="11" t="s">
        <v>7090</v>
      </c>
      <c r="E1757" s="1" t="s">
        <v>21</v>
      </c>
      <c r="F1757" s="1" t="s">
        <v>7082</v>
      </c>
      <c r="G1757" s="6">
        <f>COUNTIF(F:F,Table2[[#This Row],[Form '#]])</f>
        <v>1</v>
      </c>
      <c r="H1757" s="1" t="s">
        <v>3649</v>
      </c>
      <c r="I1757" s="1" t="s">
        <v>3852</v>
      </c>
      <c r="J1757" s="1" t="s">
        <v>80</v>
      </c>
      <c r="K1757" s="1" t="s">
        <v>3853</v>
      </c>
      <c r="L1757" s="1"/>
      <c r="M1757" s="6" t="str">
        <f>IF(Table2[[#This Row],[Corrected Form '#
 (If Duplicated)]]="",Table2[[#This Row],[Form '#]],Table2[[#This Row],[Corrected Form '#
 (If Duplicated)]])</f>
        <v>7818-27081</v>
      </c>
      <c r="N1757" s="1" t="s">
        <v>49</v>
      </c>
      <c r="O1757" s="6" t="str">
        <f>IF(Table2[[#This Row],[POG CONFIRMATION RECEIPT OF ORDER
(DATE &amp; TIME)]]="","No Confirmation","Received Confirmation")</f>
        <v>Received Confirmation</v>
      </c>
      <c r="P1757" s="6">
        <f ca="1">TODAY()-Table2[[#This Row],[DATE SENT TO POG]]</f>
        <v>108</v>
      </c>
      <c r="Q1757" s="6" t="s">
        <v>5803</v>
      </c>
      <c r="R17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7" s="2" t="str">
        <f>_xlfn.XLOOKUP(Table2[[#This Row],[Adjusted Form '#]],'[2]IN PROGRESS'!$D:$D,'[2]IN PROGRESS'!$M:$M,"Not Found")</f>
        <v>Not Found</v>
      </c>
      <c r="U1757" s="2" t="str">
        <f>_xlfn.XLOOKUP(Table2[[#This Row],[Adjusted Form '#]],[1]COMPLETED!$D:$D,[2]COMPLETED!$M:$M,"Not Found")</f>
        <v>Not Found</v>
      </c>
      <c r="V1757" s="17" t="str">
        <f>_xlfn.XLOOKUP(Table2[[#This Row],[Adjusted Form '#]],[2]COMPLETED!$D:$D,[2]COMPLETED!$O:$O,"Not Found")</f>
        <v>Not Found</v>
      </c>
      <c r="W1757" s="2" t="str">
        <f>_xlfn.XLOOKUP(Table2[[#This Row],[Adjusted Form '#]],[2]BILLED!$D:$D,[2]BILLED!$M:$M,"Not Found")</f>
        <v>9400 1361 0605 3458 9199 96</v>
      </c>
      <c r="X1757" s="17" t="e">
        <f>_xlfn.XLOOKUP(Table2[[#This Row],[Adjusted Form '#]],[2]BILLED!$D:$D,[1]BILLED!$O:$O,"Not Found")</f>
        <v>#REF!</v>
      </c>
      <c r="Y1757" s="17" t="e">
        <f>_xlfn.XLOOKUP(Table2[[#This Row],[Adjusted Form '#]],'[2]REJECTED ORDERS'!$D:$D,'[2]REJECTED ORDERS'!$E:$E)</f>
        <v>#N/A</v>
      </c>
      <c r="Z1757" s="1"/>
      <c r="AA1757" s="1"/>
    </row>
    <row r="1758" spans="1:27" ht="15" customHeight="1" x14ac:dyDescent="0.35">
      <c r="A1758" s="4" t="s">
        <v>2613</v>
      </c>
      <c r="B1758" s="1" t="s">
        <v>2772</v>
      </c>
      <c r="C1758" s="11">
        <v>45195</v>
      </c>
      <c r="D1758" s="11" t="s">
        <v>7090</v>
      </c>
      <c r="E1758" s="1" t="s">
        <v>21</v>
      </c>
      <c r="F1758" s="1" t="s">
        <v>7083</v>
      </c>
      <c r="G1758" s="6">
        <f>COUNTIF(F:F,Table2[[#This Row],[Form '#]])</f>
        <v>1</v>
      </c>
      <c r="H1758" s="1" t="s">
        <v>7084</v>
      </c>
      <c r="I1758" s="1" t="s">
        <v>3864</v>
      </c>
      <c r="J1758" s="1" t="s">
        <v>78</v>
      </c>
      <c r="K1758" s="1" t="s">
        <v>3879</v>
      </c>
      <c r="L1758" s="1"/>
      <c r="M1758" s="6" t="str">
        <f>IF(Table2[[#This Row],[Corrected Form '#
 (If Duplicated)]]="",Table2[[#This Row],[Form '#]],Table2[[#This Row],[Corrected Form '#
 (If Duplicated)]])</f>
        <v>7818-16218</v>
      </c>
      <c r="N1758" s="1" t="s">
        <v>49</v>
      </c>
      <c r="O1758" s="6" t="str">
        <f>IF(Table2[[#This Row],[POG CONFIRMATION RECEIPT OF ORDER
(DATE &amp; TIME)]]="","No Confirmation","Received Confirmation")</f>
        <v>Received Confirmation</v>
      </c>
      <c r="P1758" s="6">
        <f ca="1">TODAY()-Table2[[#This Row],[DATE SENT TO POG]]</f>
        <v>108</v>
      </c>
      <c r="Q1758" s="6" t="s">
        <v>5802</v>
      </c>
      <c r="R17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75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758" s="2" t="str">
        <f>_xlfn.XLOOKUP(Table2[[#This Row],[Adjusted Form '#]],'[2]IN PROGRESS'!$D:$D,'[2]IN PROGRESS'!$M:$M,"Not Found")</f>
        <v>Not Found</v>
      </c>
      <c r="U1758" s="2" t="str">
        <f>_xlfn.XLOOKUP(Table2[[#This Row],[Adjusted Form '#]],[1]COMPLETED!$D:$D,[2]COMPLETED!$M:$M,"Not Found")</f>
        <v>Not Found</v>
      </c>
      <c r="V1758" s="17" t="str">
        <f>_xlfn.XLOOKUP(Table2[[#This Row],[Adjusted Form '#]],[2]COMPLETED!$D:$D,[2]COMPLETED!$O:$O,"Not Found")</f>
        <v>Not Found</v>
      </c>
      <c r="W1758" s="2" t="str">
        <f>_xlfn.XLOOKUP(Table2[[#This Row],[Adjusted Form '#]],[2]BILLED!$D:$D,[2]BILLED!$M:$M,"Not Found")</f>
        <v>Not Found</v>
      </c>
      <c r="X1758" s="17" t="str">
        <f>_xlfn.XLOOKUP(Table2[[#This Row],[Adjusted Form '#]],[2]BILLED!$D:$D,[1]BILLED!$O:$O,"Not Found")</f>
        <v>Not Found</v>
      </c>
      <c r="Y1758" s="17" t="str">
        <f>_xlfn.XLOOKUP(Table2[[#This Row],[Adjusted Form '#]],'[2]REJECTED ORDERS'!$D:$D,'[2]REJECTED ORDERS'!$E:$E)</f>
        <v>FORM NOT SIGNED</v>
      </c>
      <c r="Z1758" s="1"/>
      <c r="AA1758" s="1"/>
    </row>
    <row r="1759" spans="1:27" ht="15" customHeight="1" x14ac:dyDescent="0.35">
      <c r="A1759" s="4" t="s">
        <v>2615</v>
      </c>
      <c r="B1759" s="1" t="s">
        <v>2772</v>
      </c>
      <c r="C1759" s="11">
        <v>45195</v>
      </c>
      <c r="D1759" s="11" t="s">
        <v>7090</v>
      </c>
      <c r="E1759" s="1" t="s">
        <v>21</v>
      </c>
      <c r="F1759" s="1" t="s">
        <v>7085</v>
      </c>
      <c r="G1759" s="6">
        <f>COUNTIF(F:F,Table2[[#This Row],[Form '#]])</f>
        <v>1</v>
      </c>
      <c r="H1759" s="1" t="s">
        <v>3503</v>
      </c>
      <c r="I1759" s="1" t="s">
        <v>758</v>
      </c>
      <c r="J1759" s="1" t="s">
        <v>78</v>
      </c>
      <c r="K1759" s="1" t="s">
        <v>3853</v>
      </c>
      <c r="L1759" s="1"/>
      <c r="M1759" s="6" t="str">
        <f>IF(Table2[[#This Row],[Corrected Form '#
 (If Duplicated)]]="",Table2[[#This Row],[Form '#]],Table2[[#This Row],[Corrected Form '#
 (If Duplicated)]])</f>
        <v>7818-28628</v>
      </c>
      <c r="N1759" s="1" t="s">
        <v>49</v>
      </c>
      <c r="O1759" s="6" t="str">
        <f>IF(Table2[[#This Row],[POG CONFIRMATION RECEIPT OF ORDER
(DATE &amp; TIME)]]="","No Confirmation","Received Confirmation")</f>
        <v>Received Confirmation</v>
      </c>
      <c r="P1759" s="6">
        <f ca="1">TODAY()-Table2[[#This Row],[DATE SENT TO POG]]</f>
        <v>108</v>
      </c>
      <c r="Q1759" s="6" t="s">
        <v>5803</v>
      </c>
      <c r="R17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59" s="2" t="str">
        <f>_xlfn.XLOOKUP(Table2[[#This Row],[Adjusted Form '#]],'[2]IN PROGRESS'!$D:$D,'[2]IN PROGRESS'!$M:$M,"Not Found")</f>
        <v>Not Found</v>
      </c>
      <c r="U1759" s="2" t="str">
        <f>_xlfn.XLOOKUP(Table2[[#This Row],[Adjusted Form '#]],[1]COMPLETED!$D:$D,[2]COMPLETED!$M:$M,"Not Found")</f>
        <v>Not Found</v>
      </c>
      <c r="V1759" s="17" t="str">
        <f>_xlfn.XLOOKUP(Table2[[#This Row],[Adjusted Form '#]],[2]COMPLETED!$D:$D,[2]COMPLETED!$O:$O,"Not Found")</f>
        <v>Not Found</v>
      </c>
      <c r="W1759" s="2" t="str">
        <f>_xlfn.XLOOKUP(Table2[[#This Row],[Adjusted Form '#]],[2]BILLED!$D:$D,[2]BILLED!$M:$M,"Not Found")</f>
        <v>9400 1112 0620 9948 6439 57</v>
      </c>
      <c r="X1759" s="17" t="e">
        <f>_xlfn.XLOOKUP(Table2[[#This Row],[Adjusted Form '#]],[2]BILLED!$D:$D,[1]BILLED!$O:$O,"Not Found")</f>
        <v>#REF!</v>
      </c>
      <c r="Y1759" s="17" t="e">
        <f>_xlfn.XLOOKUP(Table2[[#This Row],[Adjusted Form '#]],'[2]REJECTED ORDERS'!$D:$D,'[2]REJECTED ORDERS'!$E:$E)</f>
        <v>#N/A</v>
      </c>
      <c r="Z1759" s="1"/>
      <c r="AA1759" s="1"/>
    </row>
    <row r="1760" spans="1:27" ht="15" customHeight="1" x14ac:dyDescent="0.35">
      <c r="A1760" s="4" t="s">
        <v>2616</v>
      </c>
      <c r="B1760" s="1" t="s">
        <v>2772</v>
      </c>
      <c r="C1760" s="11">
        <v>45195</v>
      </c>
      <c r="D1760" s="11" t="s">
        <v>7090</v>
      </c>
      <c r="E1760" s="1" t="s">
        <v>21</v>
      </c>
      <c r="F1760" s="1" t="s">
        <v>7086</v>
      </c>
      <c r="G1760" s="6">
        <f>COUNTIF(F:F,Table2[[#This Row],[Form '#]])</f>
        <v>1</v>
      </c>
      <c r="H1760" s="1" t="s">
        <v>7087</v>
      </c>
      <c r="I1760" s="1" t="s">
        <v>3864</v>
      </c>
      <c r="J1760" s="1" t="s">
        <v>78</v>
      </c>
      <c r="K1760" s="1" t="s">
        <v>3879</v>
      </c>
      <c r="L1760" s="1"/>
      <c r="M1760" s="6" t="str">
        <f>IF(Table2[[#This Row],[Corrected Form '#
 (If Duplicated)]]="",Table2[[#This Row],[Form '#]],Table2[[#This Row],[Corrected Form '#
 (If Duplicated)]])</f>
        <v>7818-11624</v>
      </c>
      <c r="N1760" s="1" t="s">
        <v>49</v>
      </c>
      <c r="O1760" s="6" t="str">
        <f>IF(Table2[[#This Row],[POG CONFIRMATION RECEIPT OF ORDER
(DATE &amp; TIME)]]="","No Confirmation","Received Confirmation")</f>
        <v>Received Confirmation</v>
      </c>
      <c r="P1760" s="6">
        <f ca="1">TODAY()-Table2[[#This Row],[DATE SENT TO POG]]</f>
        <v>108</v>
      </c>
      <c r="Q1760" s="6" t="s">
        <v>5803</v>
      </c>
      <c r="R17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0" s="2" t="str">
        <f>_xlfn.XLOOKUP(Table2[[#This Row],[Adjusted Form '#]],'[2]IN PROGRESS'!$D:$D,'[2]IN PROGRESS'!$M:$M,"Not Found")</f>
        <v>Not Found</v>
      </c>
      <c r="U1760" s="2" t="str">
        <f>_xlfn.XLOOKUP(Table2[[#This Row],[Adjusted Form '#]],[1]COMPLETED!$D:$D,[2]COMPLETED!$M:$M,"Not Found")</f>
        <v>Not Found</v>
      </c>
      <c r="V1760" s="17" t="str">
        <f>_xlfn.XLOOKUP(Table2[[#This Row],[Adjusted Form '#]],[2]COMPLETED!$D:$D,[2]COMPLETED!$O:$O,"Not Found")</f>
        <v>Not Found</v>
      </c>
      <c r="W1760" s="2" t="str">
        <f>_xlfn.XLOOKUP(Table2[[#This Row],[Adjusted Form '#]],[2]BILLED!$D:$D,[2]BILLED!$M:$M,"Not Found")</f>
        <v>9400 1361 0605 3461 9120 07</v>
      </c>
      <c r="X1760" s="17" t="e">
        <f>_xlfn.XLOOKUP(Table2[[#This Row],[Adjusted Form '#]],[2]BILLED!$D:$D,[1]BILLED!$O:$O,"Not Found")</f>
        <v>#REF!</v>
      </c>
      <c r="Y1760" s="17" t="e">
        <f>_xlfn.XLOOKUP(Table2[[#This Row],[Adjusted Form '#]],'[2]REJECTED ORDERS'!$D:$D,'[2]REJECTED ORDERS'!$E:$E)</f>
        <v>#N/A</v>
      </c>
      <c r="Z1760" s="1"/>
      <c r="AA1760" s="1"/>
    </row>
    <row r="1761" spans="1:27" ht="15" customHeight="1" x14ac:dyDescent="0.35">
      <c r="A1761" s="4" t="s">
        <v>2617</v>
      </c>
      <c r="B1761" s="1" t="s">
        <v>777</v>
      </c>
      <c r="C1761" s="11">
        <v>45195</v>
      </c>
      <c r="D1761" s="11" t="s">
        <v>7091</v>
      </c>
      <c r="E1761" s="1" t="s">
        <v>21</v>
      </c>
      <c r="F1761" s="1" t="s">
        <v>7088</v>
      </c>
      <c r="G1761" s="6">
        <f>COUNTIF(F:F,Table2[[#This Row],[Form '#]])</f>
        <v>1</v>
      </c>
      <c r="H1761" s="1" t="s">
        <v>2833</v>
      </c>
      <c r="I1761" s="1" t="s">
        <v>127</v>
      </c>
      <c r="J1761" s="1" t="s">
        <v>76</v>
      </c>
      <c r="K1761" s="1" t="s">
        <v>7089</v>
      </c>
      <c r="L1761" s="1"/>
      <c r="M1761" s="6" t="str">
        <f>IF(Table2[[#This Row],[Corrected Form '#
 (If Duplicated)]]="",Table2[[#This Row],[Form '#]],Table2[[#This Row],[Corrected Form '#
 (If Duplicated)]])</f>
        <v>7818-15033</v>
      </c>
      <c r="N1761" s="1" t="s">
        <v>49</v>
      </c>
      <c r="O1761" s="6" t="str">
        <f>IF(Table2[[#This Row],[POG CONFIRMATION RECEIPT OF ORDER
(DATE &amp; TIME)]]="","No Confirmation","Received Confirmation")</f>
        <v>Received Confirmation</v>
      </c>
      <c r="P1761" s="6">
        <f ca="1">TODAY()-Table2[[#This Row],[DATE SENT TO POG]]</f>
        <v>108</v>
      </c>
      <c r="Q1761" s="6" t="s">
        <v>5803</v>
      </c>
      <c r="R17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1" s="2" t="str">
        <f>_xlfn.XLOOKUP(Table2[[#This Row],[Adjusted Form '#]],'[2]IN PROGRESS'!$D:$D,'[2]IN PROGRESS'!$M:$M,"Not Found")</f>
        <v>Not Found</v>
      </c>
      <c r="U1761" s="2" t="str">
        <f>_xlfn.XLOOKUP(Table2[[#This Row],[Adjusted Form '#]],[1]COMPLETED!$D:$D,[2]COMPLETED!$M:$M,"Not Found")</f>
        <v>Not Found</v>
      </c>
      <c r="V1761" s="17" t="str">
        <f>_xlfn.XLOOKUP(Table2[[#This Row],[Adjusted Form '#]],[2]COMPLETED!$D:$D,[2]COMPLETED!$O:$O,"Not Found")</f>
        <v>Not Found</v>
      </c>
      <c r="W1761" s="2" t="str">
        <f>_xlfn.XLOOKUP(Table2[[#This Row],[Adjusted Form '#]],[2]BILLED!$D:$D,[2]BILLED!$M:$M,"Not Found")</f>
        <v>9400 136 10605 3473 3429 46</v>
      </c>
      <c r="X1761" s="17" t="e">
        <f>_xlfn.XLOOKUP(Table2[[#This Row],[Adjusted Form '#]],[2]BILLED!$D:$D,[1]BILLED!$O:$O,"Not Found")</f>
        <v>#REF!</v>
      </c>
      <c r="Y1761" s="17" t="e">
        <f>_xlfn.XLOOKUP(Table2[[#This Row],[Adjusted Form '#]],'[2]REJECTED ORDERS'!$D:$D,'[2]REJECTED ORDERS'!$E:$E)</f>
        <v>#N/A</v>
      </c>
      <c r="Z1761" s="1"/>
      <c r="AA1761" s="1"/>
    </row>
    <row r="1762" spans="1:27" ht="15" customHeight="1" x14ac:dyDescent="0.35">
      <c r="A1762" s="4" t="s">
        <v>2618</v>
      </c>
      <c r="B1762" s="1" t="s">
        <v>6535</v>
      </c>
      <c r="C1762" s="11">
        <v>45196</v>
      </c>
      <c r="D1762" s="11" t="s">
        <v>7094</v>
      </c>
      <c r="E1762" s="1" t="s">
        <v>1592</v>
      </c>
      <c r="F1762" s="1" t="s">
        <v>7092</v>
      </c>
      <c r="G1762" s="6">
        <f>COUNTIF(F:F,Table2[[#This Row],[Form '#]])</f>
        <v>1</v>
      </c>
      <c r="H1762" s="1" t="s">
        <v>7093</v>
      </c>
      <c r="I1762" s="1"/>
      <c r="L1762" s="1"/>
      <c r="M1762" s="6" t="str">
        <f>IF(Table2[[#This Row],[Corrected Form '#
 (If Duplicated)]]="",Table2[[#This Row],[Form '#]],Table2[[#This Row],[Corrected Form '#
 (If Duplicated)]])</f>
        <v>7811-00320</v>
      </c>
      <c r="N1762" s="1" t="s">
        <v>49</v>
      </c>
      <c r="O1762" s="6" t="str">
        <f>IF(Table2[[#This Row],[POG CONFIRMATION RECEIPT OF ORDER
(DATE &amp; TIME)]]="","No Confirmation","Received Confirmation")</f>
        <v>Received Confirmation</v>
      </c>
      <c r="P1762" s="6">
        <f ca="1">TODAY()-Table2[[#This Row],[DATE SENT TO POG]]</f>
        <v>107</v>
      </c>
      <c r="Q1762" s="6" t="s">
        <v>5803</v>
      </c>
      <c r="R17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2" s="2" t="str">
        <f>_xlfn.XLOOKUP(Table2[[#This Row],[Adjusted Form '#]],'[2]IN PROGRESS'!$D:$D,'[2]IN PROGRESS'!$M:$M,"Not Found")</f>
        <v>Not Found</v>
      </c>
      <c r="U1762" s="2" t="str">
        <f>_xlfn.XLOOKUP(Table2[[#This Row],[Adjusted Form '#]],[1]COMPLETED!$D:$D,[2]COMPLETED!$M:$M,"Not Found")</f>
        <v>Not Found</v>
      </c>
      <c r="V1762" s="17" t="str">
        <f>_xlfn.XLOOKUP(Table2[[#This Row],[Adjusted Form '#]],[2]COMPLETED!$D:$D,[2]COMPLETED!$O:$O,"Not Found")</f>
        <v>Not Found</v>
      </c>
      <c r="W1762" s="2" t="str">
        <f>_xlfn.XLOOKUP(Table2[[#This Row],[Adjusted Form '#]],[2]BILLED!$D:$D,[2]BILLED!$M:$M,"Not Found")</f>
        <v>9400 1361 0605 3461 8809 79</v>
      </c>
      <c r="X1762" s="17" t="e">
        <f>_xlfn.XLOOKUP(Table2[[#This Row],[Adjusted Form '#]],[2]BILLED!$D:$D,[1]BILLED!$O:$O,"Not Found")</f>
        <v>#REF!</v>
      </c>
      <c r="Y1762" s="17" t="e">
        <f>_xlfn.XLOOKUP(Table2[[#This Row],[Adjusted Form '#]],'[2]REJECTED ORDERS'!$D:$D,'[2]REJECTED ORDERS'!$E:$E)</f>
        <v>#N/A</v>
      </c>
      <c r="Z1762" s="1"/>
      <c r="AA1762" s="1"/>
    </row>
    <row r="1763" spans="1:27" ht="15" customHeight="1" x14ac:dyDescent="0.35">
      <c r="A1763" s="4" t="s">
        <v>2620</v>
      </c>
      <c r="B1763" s="1" t="s">
        <v>265</v>
      </c>
      <c r="C1763" s="11">
        <v>45196</v>
      </c>
      <c r="D1763" s="11" t="s">
        <v>7096</v>
      </c>
      <c r="E1763" s="1" t="s">
        <v>191</v>
      </c>
      <c r="F1763" s="1" t="s">
        <v>7095</v>
      </c>
      <c r="G1763" s="6">
        <f>COUNTIF(F:F,Table2[[#This Row],[Form '#]])</f>
        <v>1</v>
      </c>
      <c r="H1763" s="1" t="s">
        <v>2634</v>
      </c>
      <c r="I1763" s="1" t="s">
        <v>3852</v>
      </c>
      <c r="J1763" s="1" t="s">
        <v>80</v>
      </c>
      <c r="K1763" s="1" t="s">
        <v>3853</v>
      </c>
      <c r="L1763" s="1"/>
      <c r="M1763" s="6" t="str">
        <f>IF(Table2[[#This Row],[Corrected Form '#
 (If Duplicated)]]="",Table2[[#This Row],[Form '#]],Table2[[#This Row],[Corrected Form '#
 (If Duplicated)]])</f>
        <v>7812-01819</v>
      </c>
      <c r="N1763" s="1"/>
      <c r="O1763" s="6" t="str">
        <f>IF(Table2[[#This Row],[POG CONFIRMATION RECEIPT OF ORDER
(DATE &amp; TIME)]]="","No Confirmation","Received Confirmation")</f>
        <v>Received Confirmation</v>
      </c>
      <c r="P1763" s="6">
        <f ca="1">TODAY()-Table2[[#This Row],[DATE SENT TO POG]]</f>
        <v>107</v>
      </c>
      <c r="Q1763" s="6" t="s">
        <v>5803</v>
      </c>
      <c r="R17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3" s="2" t="str">
        <f>_xlfn.XLOOKUP(Table2[[#This Row],[Adjusted Form '#]],'[2]IN PROGRESS'!$D:$D,'[2]IN PROGRESS'!$M:$M,"Not Found")</f>
        <v>Not Found</v>
      </c>
      <c r="U1763" s="2" t="str">
        <f>_xlfn.XLOOKUP(Table2[[#This Row],[Adjusted Form '#]],[1]COMPLETED!$D:$D,[2]COMPLETED!$M:$M,"Not Found")</f>
        <v>Not Found</v>
      </c>
      <c r="V1763" s="17" t="str">
        <f>_xlfn.XLOOKUP(Table2[[#This Row],[Adjusted Form '#]],[2]COMPLETED!$D:$D,[2]COMPLETED!$O:$O,"Not Found")</f>
        <v>Not Found</v>
      </c>
      <c r="W1763" s="2" t="str">
        <f>_xlfn.XLOOKUP(Table2[[#This Row],[Adjusted Form '#]],[2]BILLED!$D:$D,[2]BILLED!$M:$M,"Not Found")</f>
        <v>9400 1361 0605 3458 8702 97</v>
      </c>
      <c r="X1763" s="17" t="e">
        <f>_xlfn.XLOOKUP(Table2[[#This Row],[Adjusted Form '#]],[2]BILLED!$D:$D,[1]BILLED!$O:$O,"Not Found")</f>
        <v>#REF!</v>
      </c>
      <c r="Y1763" s="17" t="e">
        <f>_xlfn.XLOOKUP(Table2[[#This Row],[Adjusted Form '#]],'[2]REJECTED ORDERS'!$D:$D,'[2]REJECTED ORDERS'!$E:$E)</f>
        <v>#N/A</v>
      </c>
      <c r="Z1763" s="1"/>
      <c r="AA1763" s="1"/>
    </row>
    <row r="1764" spans="1:27" ht="15" customHeight="1" x14ac:dyDescent="0.35">
      <c r="A1764" s="4" t="s">
        <v>2621</v>
      </c>
      <c r="B1764" s="1" t="s">
        <v>2764</v>
      </c>
      <c r="C1764" s="11">
        <v>45196</v>
      </c>
      <c r="D1764" s="11" t="s">
        <v>7100</v>
      </c>
      <c r="E1764" s="1" t="s">
        <v>14</v>
      </c>
      <c r="F1764" s="1" t="s">
        <v>7097</v>
      </c>
      <c r="G1764" s="6">
        <f>COUNTIF(F:F,Table2[[#This Row],[Form '#]])</f>
        <v>1</v>
      </c>
      <c r="H1764" s="1" t="s">
        <v>7098</v>
      </c>
      <c r="I1764" s="1" t="s">
        <v>127</v>
      </c>
      <c r="J1764" s="1" t="s">
        <v>76</v>
      </c>
      <c r="K1764" s="1" t="s">
        <v>7099</v>
      </c>
      <c r="L1764" s="1"/>
      <c r="M1764" s="6" t="str">
        <f>IF(Table2[[#This Row],[Corrected Form '#
 (If Duplicated)]]="",Table2[[#This Row],[Form '#]],Table2[[#This Row],[Corrected Form '#
 (If Duplicated)]])</f>
        <v>7810-01147</v>
      </c>
      <c r="N1764" s="1" t="s">
        <v>49</v>
      </c>
      <c r="O1764" s="6" t="str">
        <f>IF(Table2[[#This Row],[POG CONFIRMATION RECEIPT OF ORDER
(DATE &amp; TIME)]]="","No Confirmation","Received Confirmation")</f>
        <v>Received Confirmation</v>
      </c>
      <c r="P1764" s="6">
        <f ca="1">TODAY()-Table2[[#This Row],[DATE SENT TO POG]]</f>
        <v>107</v>
      </c>
      <c r="Q1764" s="6" t="s">
        <v>5803</v>
      </c>
      <c r="R17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4" s="2" t="str">
        <f>_xlfn.XLOOKUP(Table2[[#This Row],[Adjusted Form '#]],'[2]IN PROGRESS'!$D:$D,'[2]IN PROGRESS'!$M:$M,"Not Found")</f>
        <v>Not Found</v>
      </c>
      <c r="U1764" s="2" t="str">
        <f>_xlfn.XLOOKUP(Table2[[#This Row],[Adjusted Form '#]],[1]COMPLETED!$D:$D,[2]COMPLETED!$M:$M,"Not Found")</f>
        <v>Not Found</v>
      </c>
      <c r="V1764" s="17" t="str">
        <f>_xlfn.XLOOKUP(Table2[[#This Row],[Adjusted Form '#]],[2]COMPLETED!$D:$D,[2]COMPLETED!$O:$O,"Not Found")</f>
        <v>Not Found</v>
      </c>
      <c r="W1764" s="2" t="str">
        <f>_xlfn.XLOOKUP(Table2[[#This Row],[Adjusted Form '#]],[2]BILLED!$D:$D,[2]BILLED!$M:$M,"Not Found")</f>
        <v>9400 1361 0605 3455 9054 35</v>
      </c>
      <c r="X1764" s="17" t="e">
        <f>_xlfn.XLOOKUP(Table2[[#This Row],[Adjusted Form '#]],[2]BILLED!$D:$D,[1]BILLED!$O:$O,"Not Found")</f>
        <v>#REF!</v>
      </c>
      <c r="Y1764" s="17" t="e">
        <f>_xlfn.XLOOKUP(Table2[[#This Row],[Adjusted Form '#]],'[2]REJECTED ORDERS'!$D:$D,'[2]REJECTED ORDERS'!$E:$E)</f>
        <v>#N/A</v>
      </c>
      <c r="Z1764" s="1"/>
      <c r="AA1764" s="1"/>
    </row>
    <row r="1765" spans="1:27" ht="15" customHeight="1" x14ac:dyDescent="0.35">
      <c r="A1765" s="4" t="s">
        <v>2623</v>
      </c>
      <c r="B1765" s="1" t="s">
        <v>7101</v>
      </c>
      <c r="C1765" s="11">
        <v>45196</v>
      </c>
      <c r="D1765" s="11" t="s">
        <v>7114</v>
      </c>
      <c r="E1765" s="1" t="s">
        <v>21</v>
      </c>
      <c r="F1765" s="1" t="s">
        <v>7102</v>
      </c>
      <c r="G1765" s="6">
        <f>COUNTIF(F:F,Table2[[#This Row],[Form '#]])</f>
        <v>1</v>
      </c>
      <c r="H1765" s="1" t="s">
        <v>7103</v>
      </c>
      <c r="I1765" s="1" t="s">
        <v>177</v>
      </c>
      <c r="J1765" s="1" t="s">
        <v>75</v>
      </c>
      <c r="K1765" s="1" t="s">
        <v>3853</v>
      </c>
      <c r="L1765" s="1"/>
      <c r="M1765" s="6" t="str">
        <f>IF(Table2[[#This Row],[Corrected Form '#
 (If Duplicated)]]="",Table2[[#This Row],[Form '#]],Table2[[#This Row],[Corrected Form '#
 (If Duplicated)]])</f>
        <v>7818-18884</v>
      </c>
      <c r="N1765" s="1" t="s">
        <v>49</v>
      </c>
      <c r="O1765" s="6" t="str">
        <f>IF(Table2[[#This Row],[POG CONFIRMATION RECEIPT OF ORDER
(DATE &amp; TIME)]]="","No Confirmation","Received Confirmation")</f>
        <v>Received Confirmation</v>
      </c>
      <c r="P1765" s="6">
        <f ca="1">TODAY()-Table2[[#This Row],[DATE SENT TO POG]]</f>
        <v>107</v>
      </c>
      <c r="Q1765" s="6" t="s">
        <v>5803</v>
      </c>
      <c r="R17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5" s="2" t="str">
        <f>_xlfn.XLOOKUP(Table2[[#This Row],[Adjusted Form '#]],'[2]IN PROGRESS'!$D:$D,'[2]IN PROGRESS'!$M:$M,"Not Found")</f>
        <v>Not Found</v>
      </c>
      <c r="U1765" s="2" t="str">
        <f>_xlfn.XLOOKUP(Table2[[#This Row],[Adjusted Form '#]],[1]COMPLETED!$D:$D,[2]COMPLETED!$M:$M,"Not Found")</f>
        <v>Not Found</v>
      </c>
      <c r="V1765" s="17" t="str">
        <f>_xlfn.XLOOKUP(Table2[[#This Row],[Adjusted Form '#]],[2]COMPLETED!$D:$D,[2]COMPLETED!$O:$O,"Not Found")</f>
        <v>Not Found</v>
      </c>
      <c r="W1765" s="2" t="str">
        <f>_xlfn.XLOOKUP(Table2[[#This Row],[Adjusted Form '#]],[2]BILLED!$D:$D,[2]BILLED!$M:$M,"Not Found")</f>
        <v>9400 1361 0605 3503 6560 67</v>
      </c>
      <c r="X1765" s="17" t="e">
        <f>_xlfn.XLOOKUP(Table2[[#This Row],[Adjusted Form '#]],[2]BILLED!$D:$D,[1]BILLED!$O:$O,"Not Found")</f>
        <v>#REF!</v>
      </c>
      <c r="Y1765" s="17" t="e">
        <f>_xlfn.XLOOKUP(Table2[[#This Row],[Adjusted Form '#]],'[2]REJECTED ORDERS'!$D:$D,'[2]REJECTED ORDERS'!$E:$E)</f>
        <v>#N/A</v>
      </c>
      <c r="Z1765" s="1"/>
      <c r="AA1765" s="1"/>
    </row>
    <row r="1766" spans="1:27" ht="15" customHeight="1" x14ac:dyDescent="0.35">
      <c r="A1766" s="4" t="s">
        <v>2624</v>
      </c>
      <c r="B1766" s="1" t="s">
        <v>7101</v>
      </c>
      <c r="C1766" s="11">
        <v>45196</v>
      </c>
      <c r="D1766" s="11" t="s">
        <v>7114</v>
      </c>
      <c r="E1766" s="1" t="s">
        <v>21</v>
      </c>
      <c r="F1766" s="1" t="s">
        <v>7104</v>
      </c>
      <c r="G1766" s="6">
        <f>COUNTIF(F:F,Table2[[#This Row],[Form '#]])</f>
        <v>1</v>
      </c>
      <c r="H1766" s="1" t="s">
        <v>7105</v>
      </c>
      <c r="I1766" s="1" t="s">
        <v>177</v>
      </c>
      <c r="J1766" s="1" t="s">
        <v>75</v>
      </c>
      <c r="K1766" s="1" t="s">
        <v>3853</v>
      </c>
      <c r="L1766" s="1"/>
      <c r="M1766" s="6" t="str">
        <f>IF(Table2[[#This Row],[Corrected Form '#
 (If Duplicated)]]="",Table2[[#This Row],[Form '#]],Table2[[#This Row],[Corrected Form '#
 (If Duplicated)]])</f>
        <v>7818-32868</v>
      </c>
      <c r="N1766" s="1" t="s">
        <v>49</v>
      </c>
      <c r="O1766" s="6" t="str">
        <f>IF(Table2[[#This Row],[POG CONFIRMATION RECEIPT OF ORDER
(DATE &amp; TIME)]]="","No Confirmation","Received Confirmation")</f>
        <v>Received Confirmation</v>
      </c>
      <c r="P1766" s="6">
        <f ca="1">TODAY()-Table2[[#This Row],[DATE SENT TO POG]]</f>
        <v>107</v>
      </c>
      <c r="Q1766" s="6" t="s">
        <v>5803</v>
      </c>
      <c r="R17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6" s="2" t="str">
        <f>_xlfn.XLOOKUP(Table2[[#This Row],[Adjusted Form '#]],'[2]IN PROGRESS'!$D:$D,'[2]IN PROGRESS'!$M:$M,"Not Found")</f>
        <v>Not Found</v>
      </c>
      <c r="U1766" s="2" t="str">
        <f>_xlfn.XLOOKUP(Table2[[#This Row],[Adjusted Form '#]],[1]COMPLETED!$D:$D,[2]COMPLETED!$M:$M,"Not Found")</f>
        <v>Not Found</v>
      </c>
      <c r="V1766" s="17" t="str">
        <f>_xlfn.XLOOKUP(Table2[[#This Row],[Adjusted Form '#]],[2]COMPLETED!$D:$D,[2]COMPLETED!$O:$O,"Not Found")</f>
        <v>Not Found</v>
      </c>
      <c r="W1766" s="2" t="str">
        <f>_xlfn.XLOOKUP(Table2[[#This Row],[Adjusted Form '#]],[2]BILLED!$D:$D,[2]BILLED!$M:$M,"Not Found")</f>
        <v>9400 1361 0605 3452 7498 65</v>
      </c>
      <c r="X1766" s="17" t="e">
        <f>_xlfn.XLOOKUP(Table2[[#This Row],[Adjusted Form '#]],[2]BILLED!$D:$D,[1]BILLED!$O:$O,"Not Found")</f>
        <v>#REF!</v>
      </c>
      <c r="Y1766" s="17" t="e">
        <f>_xlfn.XLOOKUP(Table2[[#This Row],[Adjusted Form '#]],'[2]REJECTED ORDERS'!$D:$D,'[2]REJECTED ORDERS'!$E:$E)</f>
        <v>#N/A</v>
      </c>
      <c r="Z1766" s="1"/>
      <c r="AA1766" s="1"/>
    </row>
    <row r="1767" spans="1:27" ht="15" customHeight="1" x14ac:dyDescent="0.35">
      <c r="A1767" s="4" t="s">
        <v>2625</v>
      </c>
      <c r="B1767" s="1" t="s">
        <v>7101</v>
      </c>
      <c r="C1767" s="11">
        <v>45196</v>
      </c>
      <c r="D1767" s="11" t="s">
        <v>7114</v>
      </c>
      <c r="E1767" s="1" t="s">
        <v>21</v>
      </c>
      <c r="F1767" s="1" t="s">
        <v>7106</v>
      </c>
      <c r="G1767" s="6">
        <f>COUNTIF(F:F,Table2[[#This Row],[Form '#]])</f>
        <v>1</v>
      </c>
      <c r="H1767" s="1" t="s">
        <v>7107</v>
      </c>
      <c r="I1767" s="1" t="s">
        <v>3864</v>
      </c>
      <c r="J1767" s="1" t="s">
        <v>78</v>
      </c>
      <c r="K1767" s="1" t="s">
        <v>3879</v>
      </c>
      <c r="L1767" s="1"/>
      <c r="M1767" s="6" t="str">
        <f>IF(Table2[[#This Row],[Corrected Form '#
 (If Duplicated)]]="",Table2[[#This Row],[Form '#]],Table2[[#This Row],[Corrected Form '#
 (If Duplicated)]])</f>
        <v>7818-24372</v>
      </c>
      <c r="N1767" s="1" t="s">
        <v>49</v>
      </c>
      <c r="O1767" s="6" t="str">
        <f>IF(Table2[[#This Row],[POG CONFIRMATION RECEIPT OF ORDER
(DATE &amp; TIME)]]="","No Confirmation","Received Confirmation")</f>
        <v>Received Confirmation</v>
      </c>
      <c r="P1767" s="6">
        <f ca="1">TODAY()-Table2[[#This Row],[DATE SENT TO POG]]</f>
        <v>107</v>
      </c>
      <c r="Q1767" s="6" t="s">
        <v>5803</v>
      </c>
      <c r="R17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7" s="2" t="str">
        <f>_xlfn.XLOOKUP(Table2[[#This Row],[Adjusted Form '#]],'[2]IN PROGRESS'!$D:$D,'[2]IN PROGRESS'!$M:$M,"Not Found")</f>
        <v>Not Found</v>
      </c>
      <c r="U1767" s="2" t="str">
        <f>_xlfn.XLOOKUP(Table2[[#This Row],[Adjusted Form '#]],[1]COMPLETED!$D:$D,[2]COMPLETED!$M:$M,"Not Found")</f>
        <v>Not Found</v>
      </c>
      <c r="V1767" s="17" t="str">
        <f>_xlfn.XLOOKUP(Table2[[#This Row],[Adjusted Form '#]],[2]COMPLETED!$D:$D,[2]COMPLETED!$O:$O,"Not Found")</f>
        <v>Not Found</v>
      </c>
      <c r="W1767" s="2" t="str">
        <f>_xlfn.XLOOKUP(Table2[[#This Row],[Adjusted Form '#]],[2]BILLED!$D:$D,[2]BILLED!$M:$M,"Not Found")</f>
        <v>9400 1361 0605 3462 0387 20</v>
      </c>
      <c r="X1767" s="17" t="e">
        <f>_xlfn.XLOOKUP(Table2[[#This Row],[Adjusted Form '#]],[2]BILLED!$D:$D,[1]BILLED!$O:$O,"Not Found")</f>
        <v>#REF!</v>
      </c>
      <c r="Y1767" s="17" t="e">
        <f>_xlfn.XLOOKUP(Table2[[#This Row],[Adjusted Form '#]],'[2]REJECTED ORDERS'!$D:$D,'[2]REJECTED ORDERS'!$E:$E)</f>
        <v>#N/A</v>
      </c>
      <c r="Z1767" s="1"/>
      <c r="AA1767" s="1"/>
    </row>
    <row r="1768" spans="1:27" ht="15" customHeight="1" x14ac:dyDescent="0.35">
      <c r="A1768" s="4" t="s">
        <v>2626</v>
      </c>
      <c r="B1768" s="1" t="s">
        <v>7101</v>
      </c>
      <c r="C1768" s="11">
        <v>45196</v>
      </c>
      <c r="D1768" s="11" t="s">
        <v>7114</v>
      </c>
      <c r="E1768" s="1" t="s">
        <v>21</v>
      </c>
      <c r="F1768" s="1" t="s">
        <v>7108</v>
      </c>
      <c r="G1768" s="6">
        <f>COUNTIF(F:F,Table2[[#This Row],[Form '#]])</f>
        <v>1</v>
      </c>
      <c r="H1768" s="1" t="s">
        <v>7109</v>
      </c>
      <c r="I1768" s="1" t="s">
        <v>127</v>
      </c>
      <c r="J1768" s="1" t="s">
        <v>76</v>
      </c>
      <c r="K1768" s="1" t="s">
        <v>3919</v>
      </c>
      <c r="L1768" s="1"/>
      <c r="M1768" s="6" t="str">
        <f>IF(Table2[[#This Row],[Corrected Form '#
 (If Duplicated)]]="",Table2[[#This Row],[Form '#]],Table2[[#This Row],[Corrected Form '#
 (If Duplicated)]])</f>
        <v>7818-29556</v>
      </c>
      <c r="N1768" s="1" t="s">
        <v>49</v>
      </c>
      <c r="O1768" s="6" t="str">
        <f>IF(Table2[[#This Row],[POG CONFIRMATION RECEIPT OF ORDER
(DATE &amp; TIME)]]="","No Confirmation","Received Confirmation")</f>
        <v>Received Confirmation</v>
      </c>
      <c r="P1768" s="6">
        <f ca="1">TODAY()-Table2[[#This Row],[DATE SENT TO POG]]</f>
        <v>107</v>
      </c>
      <c r="Q1768" s="6" t="s">
        <v>5803</v>
      </c>
      <c r="R17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8" s="2" t="str">
        <f>_xlfn.XLOOKUP(Table2[[#This Row],[Adjusted Form '#]],'[2]IN PROGRESS'!$D:$D,'[2]IN PROGRESS'!$M:$M,"Not Found")</f>
        <v>Not Found</v>
      </c>
      <c r="U1768" s="2" t="str">
        <f>_xlfn.XLOOKUP(Table2[[#This Row],[Adjusted Form '#]],[1]COMPLETED!$D:$D,[2]COMPLETED!$M:$M,"Not Found")</f>
        <v>Not Found</v>
      </c>
      <c r="V1768" s="17" t="str">
        <f>_xlfn.XLOOKUP(Table2[[#This Row],[Adjusted Form '#]],[2]COMPLETED!$D:$D,[2]COMPLETED!$O:$O,"Not Found")</f>
        <v>Not Found</v>
      </c>
      <c r="W1768" s="2" t="str">
        <f>_xlfn.XLOOKUP(Table2[[#This Row],[Adjusted Form '#]],[2]BILLED!$D:$D,[2]BILLED!$M:$M,"Not Found")</f>
        <v>9400 1361 0605 3461 8725 30</v>
      </c>
      <c r="X1768" s="17" t="e">
        <f>_xlfn.XLOOKUP(Table2[[#This Row],[Adjusted Form '#]],[2]BILLED!$D:$D,[1]BILLED!$O:$O,"Not Found")</f>
        <v>#REF!</v>
      </c>
      <c r="Y1768" s="17" t="e">
        <f>_xlfn.XLOOKUP(Table2[[#This Row],[Adjusted Form '#]],'[2]REJECTED ORDERS'!$D:$D,'[2]REJECTED ORDERS'!$E:$E)</f>
        <v>#N/A</v>
      </c>
      <c r="Z1768" s="1"/>
      <c r="AA1768" s="1"/>
    </row>
    <row r="1769" spans="1:27" ht="15" customHeight="1" x14ac:dyDescent="0.35">
      <c r="A1769" s="4" t="s">
        <v>2628</v>
      </c>
      <c r="B1769" s="1" t="s">
        <v>7101</v>
      </c>
      <c r="C1769" s="11">
        <v>45196</v>
      </c>
      <c r="D1769" s="11" t="s">
        <v>7114</v>
      </c>
      <c r="E1769" s="1" t="s">
        <v>21</v>
      </c>
      <c r="F1769" s="1" t="s">
        <v>7110</v>
      </c>
      <c r="G1769" s="6">
        <f>COUNTIF(F:F,Table2[[#This Row],[Form '#]])</f>
        <v>1</v>
      </c>
      <c r="H1769" s="1" t="s">
        <v>3641</v>
      </c>
      <c r="I1769" s="1" t="s">
        <v>28</v>
      </c>
      <c r="J1769" s="1" t="s">
        <v>69</v>
      </c>
      <c r="K1769" s="1" t="s">
        <v>3898</v>
      </c>
      <c r="L1769" s="1"/>
      <c r="M1769" s="6" t="str">
        <f>IF(Table2[[#This Row],[Corrected Form '#
 (If Duplicated)]]="",Table2[[#This Row],[Form '#]],Table2[[#This Row],[Corrected Form '#
 (If Duplicated)]])</f>
        <v>7818-11661</v>
      </c>
      <c r="N1769" s="1" t="s">
        <v>49</v>
      </c>
      <c r="O1769" s="6" t="str">
        <f>IF(Table2[[#This Row],[POG CONFIRMATION RECEIPT OF ORDER
(DATE &amp; TIME)]]="","No Confirmation","Received Confirmation")</f>
        <v>Received Confirmation</v>
      </c>
      <c r="P1769" s="6">
        <f ca="1">TODAY()-Table2[[#This Row],[DATE SENT TO POG]]</f>
        <v>107</v>
      </c>
      <c r="Q1769" s="6" t="s">
        <v>5803</v>
      </c>
      <c r="R17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69" s="2" t="str">
        <f>_xlfn.XLOOKUP(Table2[[#This Row],[Adjusted Form '#]],'[2]IN PROGRESS'!$D:$D,'[2]IN PROGRESS'!$M:$M,"Not Found")</f>
        <v>Not Found</v>
      </c>
      <c r="U1769" s="2" t="str">
        <f>_xlfn.XLOOKUP(Table2[[#This Row],[Adjusted Form '#]],[1]COMPLETED!$D:$D,[2]COMPLETED!$M:$M,"Not Found")</f>
        <v>Not Found</v>
      </c>
      <c r="V1769" s="17" t="str">
        <f>_xlfn.XLOOKUP(Table2[[#This Row],[Adjusted Form '#]],[2]COMPLETED!$D:$D,[2]COMPLETED!$O:$O,"Not Found")</f>
        <v>Not Found</v>
      </c>
      <c r="W1769" s="2" t="str">
        <f>_xlfn.XLOOKUP(Table2[[#This Row],[Adjusted Form '#]],[2]BILLED!$D:$D,[2]BILLED!$M:$M,"Not Found")</f>
        <v>9400 1361 0605 3458 9054 25</v>
      </c>
      <c r="X1769" s="17" t="e">
        <f>_xlfn.XLOOKUP(Table2[[#This Row],[Adjusted Form '#]],[2]BILLED!$D:$D,[1]BILLED!$O:$O,"Not Found")</f>
        <v>#REF!</v>
      </c>
      <c r="Y1769" s="17" t="e">
        <f>_xlfn.XLOOKUP(Table2[[#This Row],[Adjusted Form '#]],'[2]REJECTED ORDERS'!$D:$D,'[2]REJECTED ORDERS'!$E:$E)</f>
        <v>#N/A</v>
      </c>
      <c r="Z1769" s="1"/>
      <c r="AA1769" s="1"/>
    </row>
    <row r="1770" spans="1:27" ht="15" customHeight="1" x14ac:dyDescent="0.35">
      <c r="A1770" s="4" t="s">
        <v>2629</v>
      </c>
      <c r="B1770" s="1" t="s">
        <v>7101</v>
      </c>
      <c r="C1770" s="11">
        <v>45196</v>
      </c>
      <c r="D1770" s="11" t="s">
        <v>7114</v>
      </c>
      <c r="E1770" s="1" t="s">
        <v>21</v>
      </c>
      <c r="F1770" s="1" t="s">
        <v>7111</v>
      </c>
      <c r="G1770" s="6">
        <f>COUNTIF(F:F,Table2[[#This Row],[Form '#]])</f>
        <v>1</v>
      </c>
      <c r="H1770" s="1" t="s">
        <v>7112</v>
      </c>
      <c r="I1770" s="1" t="s">
        <v>28</v>
      </c>
      <c r="J1770" s="1" t="s">
        <v>69</v>
      </c>
      <c r="K1770" s="1" t="s">
        <v>3898</v>
      </c>
      <c r="L1770" s="1"/>
      <c r="M1770" s="6" t="str">
        <f>IF(Table2[[#This Row],[Corrected Form '#
 (If Duplicated)]]="",Table2[[#This Row],[Form '#]],Table2[[#This Row],[Corrected Form '#
 (If Duplicated)]])</f>
        <v>7818-24208</v>
      </c>
      <c r="N1770" s="1" t="s">
        <v>49</v>
      </c>
      <c r="O1770" s="6" t="str">
        <f>IF(Table2[[#This Row],[POG CONFIRMATION RECEIPT OF ORDER
(DATE &amp; TIME)]]="","No Confirmation","Received Confirmation")</f>
        <v>Received Confirmation</v>
      </c>
      <c r="P1770" s="6">
        <f ca="1">TODAY()-Table2[[#This Row],[DATE SENT TO POG]]</f>
        <v>107</v>
      </c>
      <c r="Q1770" s="6" t="s">
        <v>5803</v>
      </c>
      <c r="R17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0" s="2" t="str">
        <f>_xlfn.XLOOKUP(Table2[[#This Row],[Adjusted Form '#]],'[2]IN PROGRESS'!$D:$D,'[2]IN PROGRESS'!$M:$M,"Not Found")</f>
        <v>Not Found</v>
      </c>
      <c r="U1770" s="2" t="str">
        <f>_xlfn.XLOOKUP(Table2[[#This Row],[Adjusted Form '#]],[1]COMPLETED!$D:$D,[2]COMPLETED!$M:$M,"Not Found")</f>
        <v>Not Found</v>
      </c>
      <c r="V1770" s="17" t="str">
        <f>_xlfn.XLOOKUP(Table2[[#This Row],[Adjusted Form '#]],[2]COMPLETED!$D:$D,[2]COMPLETED!$O:$O,"Not Found")</f>
        <v>Not Found</v>
      </c>
      <c r="W1770" s="2" t="str">
        <f>_xlfn.XLOOKUP(Table2[[#This Row],[Adjusted Form '#]],[2]BILLED!$D:$D,[2]BILLED!$M:$M,"Not Found")</f>
        <v>9400 1361 0605 3458 8916 74</v>
      </c>
      <c r="X1770" s="17" t="e">
        <f>_xlfn.XLOOKUP(Table2[[#This Row],[Adjusted Form '#]],[2]BILLED!$D:$D,[1]BILLED!$O:$O,"Not Found")</f>
        <v>#REF!</v>
      </c>
      <c r="Y1770" s="17" t="e">
        <f>_xlfn.XLOOKUP(Table2[[#This Row],[Adjusted Form '#]],'[2]REJECTED ORDERS'!$D:$D,'[2]REJECTED ORDERS'!$E:$E)</f>
        <v>#N/A</v>
      </c>
      <c r="Z1770" s="1"/>
      <c r="AA1770" s="1"/>
    </row>
    <row r="1771" spans="1:27" ht="15" customHeight="1" x14ac:dyDescent="0.35">
      <c r="A1771" s="4" t="s">
        <v>2630</v>
      </c>
      <c r="B1771" s="1" t="s">
        <v>7101</v>
      </c>
      <c r="C1771" s="11">
        <v>45196</v>
      </c>
      <c r="D1771" s="11" t="s">
        <v>7114</v>
      </c>
      <c r="E1771" s="1" t="s">
        <v>21</v>
      </c>
      <c r="F1771" s="1" t="s">
        <v>7113</v>
      </c>
      <c r="G1771" s="6">
        <f>COUNTIF(F:F,Table2[[#This Row],[Form '#]])</f>
        <v>1</v>
      </c>
      <c r="H1771" s="1" t="s">
        <v>580</v>
      </c>
      <c r="I1771" s="1" t="s">
        <v>28</v>
      </c>
      <c r="J1771" s="1" t="s">
        <v>69</v>
      </c>
      <c r="K1771" s="1" t="s">
        <v>3862</v>
      </c>
      <c r="L1771" s="1"/>
      <c r="M1771" s="6" t="str">
        <f>IF(Table2[[#This Row],[Corrected Form '#
 (If Duplicated)]]="",Table2[[#This Row],[Form '#]],Table2[[#This Row],[Corrected Form '#
 (If Duplicated)]])</f>
        <v>7818-25800</v>
      </c>
      <c r="N1771" s="1" t="s">
        <v>49</v>
      </c>
      <c r="O1771" s="6" t="str">
        <f>IF(Table2[[#This Row],[POG CONFIRMATION RECEIPT OF ORDER
(DATE &amp; TIME)]]="","No Confirmation","Received Confirmation")</f>
        <v>Received Confirmation</v>
      </c>
      <c r="P1771" s="6">
        <f ca="1">TODAY()-Table2[[#This Row],[DATE SENT TO POG]]</f>
        <v>107</v>
      </c>
      <c r="Q1771" s="6" t="s">
        <v>5803</v>
      </c>
      <c r="R17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1" s="2" t="str">
        <f>_xlfn.XLOOKUP(Table2[[#This Row],[Adjusted Form '#]],'[2]IN PROGRESS'!$D:$D,'[2]IN PROGRESS'!$M:$M,"Not Found")</f>
        <v>Not Found</v>
      </c>
      <c r="U1771" s="2" t="str">
        <f>_xlfn.XLOOKUP(Table2[[#This Row],[Adjusted Form '#]],[1]COMPLETED!$D:$D,[2]COMPLETED!$M:$M,"Not Found")</f>
        <v>Not Found</v>
      </c>
      <c r="V1771" s="17" t="str">
        <f>_xlfn.XLOOKUP(Table2[[#This Row],[Adjusted Form '#]],[2]COMPLETED!$D:$D,[2]COMPLETED!$O:$O,"Not Found")</f>
        <v>Not Found</v>
      </c>
      <c r="W1771" s="2" t="str">
        <f>_xlfn.XLOOKUP(Table2[[#This Row],[Adjusted Form '#]],[2]BILLED!$D:$D,[2]BILLED!$M:$M,"Not Found")</f>
        <v>9400 1361 0605 3458 8981 54</v>
      </c>
      <c r="X1771" s="17" t="e">
        <f>_xlfn.XLOOKUP(Table2[[#This Row],[Adjusted Form '#]],[2]BILLED!$D:$D,[1]BILLED!$O:$O,"Not Found")</f>
        <v>#REF!</v>
      </c>
      <c r="Y1771" s="17" t="e">
        <f>_xlfn.XLOOKUP(Table2[[#This Row],[Adjusted Form '#]],'[2]REJECTED ORDERS'!$D:$D,'[2]REJECTED ORDERS'!$E:$E)</f>
        <v>#N/A</v>
      </c>
      <c r="Z1771" s="1"/>
      <c r="AA1771" s="1"/>
    </row>
    <row r="1772" spans="1:27" ht="15" customHeight="1" x14ac:dyDescent="0.35">
      <c r="A1772" s="4" t="s">
        <v>2633</v>
      </c>
      <c r="B1772" s="1" t="s">
        <v>3567</v>
      </c>
      <c r="C1772" s="11">
        <v>45197</v>
      </c>
      <c r="D1772" s="11" t="s">
        <v>7119</v>
      </c>
      <c r="E1772" s="1" t="s">
        <v>21</v>
      </c>
      <c r="F1772" s="1" t="s">
        <v>7115</v>
      </c>
      <c r="G1772" s="6">
        <f>COUNTIF(F:F,Table2[[#This Row],[Form '#]])</f>
        <v>1</v>
      </c>
      <c r="H1772" s="1" t="s">
        <v>7116</v>
      </c>
      <c r="I1772" s="1" t="s">
        <v>3852</v>
      </c>
      <c r="J1772" s="1" t="s">
        <v>80</v>
      </c>
      <c r="K1772" s="1" t="s">
        <v>3853</v>
      </c>
      <c r="L1772" s="1"/>
      <c r="M1772" s="6" t="str">
        <f>IF(Table2[[#This Row],[Corrected Form '#
 (If Duplicated)]]="",Table2[[#This Row],[Form '#]],Table2[[#This Row],[Corrected Form '#
 (If Duplicated)]])</f>
        <v>7818-25859</v>
      </c>
      <c r="N1772" s="1" t="s">
        <v>49</v>
      </c>
      <c r="O1772" s="6" t="str">
        <f>IF(Table2[[#This Row],[POG CONFIRMATION RECEIPT OF ORDER
(DATE &amp; TIME)]]="","No Confirmation","Received Confirmation")</f>
        <v>Received Confirmation</v>
      </c>
      <c r="P1772" s="6">
        <f ca="1">TODAY()-Table2[[#This Row],[DATE SENT TO POG]]</f>
        <v>106</v>
      </c>
      <c r="Q1772" s="6" t="s">
        <v>5803</v>
      </c>
      <c r="R17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2" s="2" t="str">
        <f>_xlfn.XLOOKUP(Table2[[#This Row],[Adjusted Form '#]],'[2]IN PROGRESS'!$D:$D,'[2]IN PROGRESS'!$M:$M,"Not Found")</f>
        <v>Not Found</v>
      </c>
      <c r="U1772" s="2" t="str">
        <f>_xlfn.XLOOKUP(Table2[[#This Row],[Adjusted Form '#]],[1]COMPLETED!$D:$D,[2]COMPLETED!$M:$M,"Not Found")</f>
        <v>Not Found</v>
      </c>
      <c r="V1772" s="17" t="str">
        <f>_xlfn.XLOOKUP(Table2[[#This Row],[Adjusted Form '#]],[2]COMPLETED!$D:$D,[2]COMPLETED!$O:$O,"Not Found")</f>
        <v>Not Found</v>
      </c>
      <c r="W1772" s="2" t="str">
        <f>_xlfn.XLOOKUP(Table2[[#This Row],[Adjusted Form '#]],[2]BILLED!$D:$D,[2]BILLED!$M:$M,"Not Found")</f>
        <v>9400 1361 0605 3469 1441 89</v>
      </c>
      <c r="X1772" s="17" t="e">
        <f>_xlfn.XLOOKUP(Table2[[#This Row],[Adjusted Form '#]],[2]BILLED!$D:$D,[1]BILLED!$O:$O,"Not Found")</f>
        <v>#REF!</v>
      </c>
      <c r="Y1772" s="17" t="e">
        <f>_xlfn.XLOOKUP(Table2[[#This Row],[Adjusted Form '#]],'[2]REJECTED ORDERS'!$D:$D,'[2]REJECTED ORDERS'!$E:$E)</f>
        <v>#N/A</v>
      </c>
      <c r="Z1772" s="1"/>
      <c r="AA1772" s="1"/>
    </row>
    <row r="1773" spans="1:27" ht="15" customHeight="1" x14ac:dyDescent="0.35">
      <c r="A1773" s="4" t="s">
        <v>2635</v>
      </c>
      <c r="B1773" s="1" t="s">
        <v>3567</v>
      </c>
      <c r="C1773" s="11">
        <v>45197</v>
      </c>
      <c r="D1773" s="11" t="s">
        <v>7119</v>
      </c>
      <c r="E1773" s="1" t="s">
        <v>21</v>
      </c>
      <c r="F1773" s="1" t="s">
        <v>7117</v>
      </c>
      <c r="G1773" s="6">
        <f>COUNTIF(F:F,Table2[[#This Row],[Form '#]])</f>
        <v>1</v>
      </c>
      <c r="H1773" s="1" t="s">
        <v>7118</v>
      </c>
      <c r="I1773" s="1" t="s">
        <v>127</v>
      </c>
      <c r="J1773" s="1" t="s">
        <v>74</v>
      </c>
      <c r="K1773" s="1" t="s">
        <v>3919</v>
      </c>
      <c r="L1773" s="1"/>
      <c r="M1773" s="6" t="str">
        <f>IF(Table2[[#This Row],[Corrected Form '#
 (If Duplicated)]]="",Table2[[#This Row],[Form '#]],Table2[[#This Row],[Corrected Form '#
 (If Duplicated)]])</f>
        <v>7818-25002</v>
      </c>
      <c r="N1773" s="1" t="s">
        <v>49</v>
      </c>
      <c r="O1773" s="6" t="str">
        <f>IF(Table2[[#This Row],[POG CONFIRMATION RECEIPT OF ORDER
(DATE &amp; TIME)]]="","No Confirmation","Received Confirmation")</f>
        <v>Received Confirmation</v>
      </c>
      <c r="P1773" s="6">
        <f ca="1">TODAY()-Table2[[#This Row],[DATE SENT TO POG]]</f>
        <v>106</v>
      </c>
      <c r="Q1773" s="6" t="s">
        <v>5803</v>
      </c>
      <c r="R17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3" s="2" t="str">
        <f>_xlfn.XLOOKUP(Table2[[#This Row],[Adjusted Form '#]],'[2]IN PROGRESS'!$D:$D,'[2]IN PROGRESS'!$M:$M,"Not Found")</f>
        <v>Not Found</v>
      </c>
      <c r="U1773" s="2" t="str">
        <f>_xlfn.XLOOKUP(Table2[[#This Row],[Adjusted Form '#]],[1]COMPLETED!$D:$D,[2]COMPLETED!$M:$M,"Not Found")</f>
        <v>Not Found</v>
      </c>
      <c r="V1773" s="17" t="str">
        <f>_xlfn.XLOOKUP(Table2[[#This Row],[Adjusted Form '#]],[2]COMPLETED!$D:$D,[2]COMPLETED!$O:$O,"Not Found")</f>
        <v>Not Found</v>
      </c>
      <c r="W1773" s="2" t="str">
        <f>_xlfn.XLOOKUP(Table2[[#This Row],[Adjusted Form '#]],[2]BILLED!$D:$D,[2]BILLED!$M:$M,"Not Found")</f>
        <v>9400 1361 0605 3458 9116 24</v>
      </c>
      <c r="X1773" s="17" t="e">
        <f>_xlfn.XLOOKUP(Table2[[#This Row],[Adjusted Form '#]],[2]BILLED!$D:$D,[1]BILLED!$O:$O,"Not Found")</f>
        <v>#REF!</v>
      </c>
      <c r="Y1773" s="17" t="e">
        <f>_xlfn.XLOOKUP(Table2[[#This Row],[Adjusted Form '#]],'[2]REJECTED ORDERS'!$D:$D,'[2]REJECTED ORDERS'!$E:$E)</f>
        <v>#N/A</v>
      </c>
      <c r="Z1773" s="1"/>
      <c r="AA1773" s="1"/>
    </row>
    <row r="1774" spans="1:27" ht="15" customHeight="1" x14ac:dyDescent="0.35">
      <c r="A1774" s="4" t="s">
        <v>2636</v>
      </c>
      <c r="B1774" s="1" t="s">
        <v>1807</v>
      </c>
      <c r="C1774" s="11">
        <v>45197</v>
      </c>
      <c r="D1774" s="11" t="s">
        <v>7122</v>
      </c>
      <c r="E1774" s="1" t="s">
        <v>21</v>
      </c>
      <c r="F1774" s="1" t="s">
        <v>7120</v>
      </c>
      <c r="G1774" s="6">
        <f>COUNTIF(F:F,Table2[[#This Row],[Form '#]])</f>
        <v>1</v>
      </c>
      <c r="H1774" s="1" t="s">
        <v>3428</v>
      </c>
      <c r="I1774" s="1" t="s">
        <v>758</v>
      </c>
      <c r="J1774" s="1" t="s">
        <v>78</v>
      </c>
      <c r="K1774" s="1" t="s">
        <v>3853</v>
      </c>
      <c r="L1774" s="1"/>
      <c r="M1774" s="6" t="str">
        <f>IF(Table2[[#This Row],[Corrected Form '#
 (If Duplicated)]]="",Table2[[#This Row],[Form '#]],Table2[[#This Row],[Corrected Form '#
 (If Duplicated)]])</f>
        <v>7818-18907</v>
      </c>
      <c r="N1774" s="1" t="s">
        <v>49</v>
      </c>
      <c r="O1774" s="6" t="str">
        <f>IF(Table2[[#This Row],[POG CONFIRMATION RECEIPT OF ORDER
(DATE &amp; TIME)]]="","No Confirmation","Received Confirmation")</f>
        <v>Received Confirmation</v>
      </c>
      <c r="P1774" s="6">
        <f ca="1">TODAY()-Table2[[#This Row],[DATE SENT TO POG]]</f>
        <v>106</v>
      </c>
      <c r="Q1774" s="6" t="s">
        <v>5803</v>
      </c>
      <c r="R17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4" s="2" t="str">
        <f>_xlfn.XLOOKUP(Table2[[#This Row],[Adjusted Form '#]],'[2]IN PROGRESS'!$D:$D,'[2]IN PROGRESS'!$M:$M,"Not Found")</f>
        <v>Not Found</v>
      </c>
      <c r="U1774" s="2" t="str">
        <f>_xlfn.XLOOKUP(Table2[[#This Row],[Adjusted Form '#]],[1]COMPLETED!$D:$D,[2]COMPLETED!$M:$M,"Not Found")</f>
        <v>Not Found</v>
      </c>
      <c r="V1774" s="17" t="str">
        <f>_xlfn.XLOOKUP(Table2[[#This Row],[Adjusted Form '#]],[2]COMPLETED!$D:$D,[2]COMPLETED!$O:$O,"Not Found")</f>
        <v>Not Found</v>
      </c>
      <c r="W1774" s="2" t="str">
        <f>_xlfn.XLOOKUP(Table2[[#This Row],[Adjusted Form '#]],[2]BILLED!$D:$D,[2]BILLED!$M:$M,"Not Found")</f>
        <v>9400 1361 0605 3485 2261 66</v>
      </c>
      <c r="X1774" s="17" t="e">
        <f>_xlfn.XLOOKUP(Table2[[#This Row],[Adjusted Form '#]],[2]BILLED!$D:$D,[1]BILLED!$O:$O,"Not Found")</f>
        <v>#REF!</v>
      </c>
      <c r="Y1774" s="17" t="e">
        <f>_xlfn.XLOOKUP(Table2[[#This Row],[Adjusted Form '#]],'[2]REJECTED ORDERS'!$D:$D,'[2]REJECTED ORDERS'!$E:$E)</f>
        <v>#N/A</v>
      </c>
      <c r="Z1774" s="1"/>
      <c r="AA1774" s="1"/>
    </row>
    <row r="1775" spans="1:27" ht="15" customHeight="1" x14ac:dyDescent="0.35">
      <c r="A1775" s="4" t="s">
        <v>2638</v>
      </c>
      <c r="B1775" s="1" t="s">
        <v>1807</v>
      </c>
      <c r="C1775" s="11">
        <v>45197</v>
      </c>
      <c r="D1775" s="11" t="s">
        <v>7122</v>
      </c>
      <c r="E1775" s="1" t="s">
        <v>21</v>
      </c>
      <c r="F1775" s="1" t="s">
        <v>7121</v>
      </c>
      <c r="G1775" s="6">
        <f>COUNTIF(F:F,Table2[[#This Row],[Form '#]])</f>
        <v>1</v>
      </c>
      <c r="H1775" s="1" t="s">
        <v>2072</v>
      </c>
      <c r="I1775" s="1" t="s">
        <v>127</v>
      </c>
      <c r="J1775" s="1" t="s">
        <v>71</v>
      </c>
      <c r="K1775" s="1" t="s">
        <v>3919</v>
      </c>
      <c r="L1775" s="1"/>
      <c r="M1775" s="6" t="str">
        <f>IF(Table2[[#This Row],[Corrected Form '#
 (If Duplicated)]]="",Table2[[#This Row],[Form '#]],Table2[[#This Row],[Corrected Form '#
 (If Duplicated)]])</f>
        <v>7818-27404</v>
      </c>
      <c r="N1775" s="1" t="s">
        <v>49</v>
      </c>
      <c r="O1775" s="6" t="str">
        <f>IF(Table2[[#This Row],[POG CONFIRMATION RECEIPT OF ORDER
(DATE &amp; TIME)]]="","No Confirmation","Received Confirmation")</f>
        <v>Received Confirmation</v>
      </c>
      <c r="P1775" s="6">
        <f ca="1">TODAY()-Table2[[#This Row],[DATE SENT TO POG]]</f>
        <v>106</v>
      </c>
      <c r="Q1775" s="6" t="s">
        <v>5803</v>
      </c>
      <c r="R17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5" s="2" t="str">
        <f>_xlfn.XLOOKUP(Table2[[#This Row],[Adjusted Form '#]],'[2]IN PROGRESS'!$D:$D,'[2]IN PROGRESS'!$M:$M,"Not Found")</f>
        <v>Not Found</v>
      </c>
      <c r="U1775" s="2" t="str">
        <f>_xlfn.XLOOKUP(Table2[[#This Row],[Adjusted Form '#]],[1]COMPLETED!$D:$D,[2]COMPLETED!$M:$M,"Not Found")</f>
        <v>Not Found</v>
      </c>
      <c r="V1775" s="17" t="str">
        <f>_xlfn.XLOOKUP(Table2[[#This Row],[Adjusted Form '#]],[2]COMPLETED!$D:$D,[2]COMPLETED!$O:$O,"Not Found")</f>
        <v>Not Found</v>
      </c>
      <c r="W1775" s="2" t="str">
        <f>_xlfn.XLOOKUP(Table2[[#This Row],[Adjusted Form '#]],[2]BILLED!$D:$D,[2]BILLED!$M:$M,"Not Found")</f>
        <v>9400 1361 0605 3452 7597 89</v>
      </c>
      <c r="X1775" s="17" t="e">
        <f>_xlfn.XLOOKUP(Table2[[#This Row],[Adjusted Form '#]],[2]BILLED!$D:$D,[1]BILLED!$O:$O,"Not Found")</f>
        <v>#REF!</v>
      </c>
      <c r="Y1775" s="17" t="e">
        <f>_xlfn.XLOOKUP(Table2[[#This Row],[Adjusted Form '#]],'[2]REJECTED ORDERS'!$D:$D,'[2]REJECTED ORDERS'!$E:$E)</f>
        <v>#N/A</v>
      </c>
      <c r="Z1775" s="1"/>
      <c r="AA1775" s="1"/>
    </row>
    <row r="1776" spans="1:27" ht="15" customHeight="1" x14ac:dyDescent="0.35">
      <c r="A1776" s="4" t="s">
        <v>2641</v>
      </c>
      <c r="B1776" s="1" t="s">
        <v>3661</v>
      </c>
      <c r="C1776" s="11">
        <v>45198</v>
      </c>
      <c r="E1776" s="1" t="s">
        <v>73</v>
      </c>
      <c r="F1776" s="1" t="s">
        <v>7123</v>
      </c>
      <c r="G1776" s="6">
        <f>COUNTIF(F:F,Table2[[#This Row],[Form '#]])</f>
        <v>1</v>
      </c>
      <c r="H1776" s="1" t="s">
        <v>7124</v>
      </c>
      <c r="I1776" s="1" t="s">
        <v>3864</v>
      </c>
      <c r="J1776" s="1" t="s">
        <v>78</v>
      </c>
      <c r="K1776" s="1" t="s">
        <v>3879</v>
      </c>
      <c r="L1776" s="1"/>
      <c r="M1776" s="6" t="str">
        <f>IF(Table2[[#This Row],[Corrected Form '#
 (If Duplicated)]]="",Table2[[#This Row],[Form '#]],Table2[[#This Row],[Corrected Form '#
 (If Duplicated)]])</f>
        <v>7823-03121</v>
      </c>
      <c r="N1776" s="1" t="s">
        <v>49</v>
      </c>
      <c r="O1776" s="6" t="str">
        <f>IF(Table2[[#This Row],[POG CONFIRMATION RECEIPT OF ORDER
(DATE &amp; TIME)]]="","No Confirmation","Received Confirmation")</f>
        <v>No Confirmation</v>
      </c>
      <c r="P1776" s="6">
        <f ca="1">TODAY()-Table2[[#This Row],[DATE SENT TO POG]]</f>
        <v>105</v>
      </c>
      <c r="Q1776" s="6" t="s">
        <v>5803</v>
      </c>
      <c r="R17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6" s="2" t="str">
        <f>_xlfn.XLOOKUP(Table2[[#This Row],[Adjusted Form '#]],'[2]IN PROGRESS'!$D:$D,'[2]IN PROGRESS'!$M:$M,"Not Found")</f>
        <v>Not Found</v>
      </c>
      <c r="U1776" s="2" t="str">
        <f>_xlfn.XLOOKUP(Table2[[#This Row],[Adjusted Form '#]],[1]COMPLETED!$D:$D,[2]COMPLETED!$M:$M,"Not Found")</f>
        <v>Not Found</v>
      </c>
      <c r="V1776" s="17" t="str">
        <f>_xlfn.XLOOKUP(Table2[[#This Row],[Adjusted Form '#]],[2]COMPLETED!$D:$D,[2]COMPLETED!$O:$O,"Not Found")</f>
        <v>Not Found</v>
      </c>
      <c r="W1776" s="2" t="str">
        <f>_xlfn.XLOOKUP(Table2[[#This Row],[Adjusted Form '#]],[2]BILLED!$D:$D,[2]BILLED!$M:$M,"Not Found")</f>
        <v>9400 1361 0605 3471 9787 34</v>
      </c>
      <c r="X1776" s="17" t="e">
        <f>_xlfn.XLOOKUP(Table2[[#This Row],[Adjusted Form '#]],[2]BILLED!$D:$D,[1]BILLED!$O:$O,"Not Found")</f>
        <v>#REF!</v>
      </c>
      <c r="Y1776" s="17" t="e">
        <f>_xlfn.XLOOKUP(Table2[[#This Row],[Adjusted Form '#]],'[2]REJECTED ORDERS'!$D:$D,'[2]REJECTED ORDERS'!$E:$E)</f>
        <v>#N/A</v>
      </c>
      <c r="Z1776" s="1"/>
      <c r="AA1776" s="1"/>
    </row>
    <row r="1777" spans="1:27" ht="15" customHeight="1" x14ac:dyDescent="0.35">
      <c r="A1777" s="4" t="s">
        <v>2642</v>
      </c>
      <c r="B1777" s="1" t="s">
        <v>5470</v>
      </c>
      <c r="C1777" s="11">
        <v>45198</v>
      </c>
      <c r="D1777" s="11" t="s">
        <v>7127</v>
      </c>
      <c r="E1777" s="1" t="s">
        <v>73</v>
      </c>
      <c r="F1777" s="1" t="s">
        <v>7125</v>
      </c>
      <c r="G1777" s="6">
        <f>COUNTIF(F:F,Table2[[#This Row],[Form '#]])</f>
        <v>1</v>
      </c>
      <c r="H1777" s="1" t="s">
        <v>7126</v>
      </c>
      <c r="I1777" s="1" t="s">
        <v>3852</v>
      </c>
      <c r="J1777" s="1" t="s">
        <v>80</v>
      </c>
      <c r="K1777" s="1" t="s">
        <v>3853</v>
      </c>
      <c r="L1777" s="1"/>
      <c r="M1777" s="6" t="str">
        <f>IF(Table2[[#This Row],[Corrected Form '#
 (If Duplicated)]]="",Table2[[#This Row],[Form '#]],Table2[[#This Row],[Corrected Form '#
 (If Duplicated)]])</f>
        <v>7823-02993</v>
      </c>
      <c r="N1777" s="1" t="s">
        <v>49</v>
      </c>
      <c r="O1777" s="6" t="str">
        <f>IF(Table2[[#This Row],[POG CONFIRMATION RECEIPT OF ORDER
(DATE &amp; TIME)]]="","No Confirmation","Received Confirmation")</f>
        <v>Received Confirmation</v>
      </c>
      <c r="P1777" s="6">
        <f ca="1">TODAY()-Table2[[#This Row],[DATE SENT TO POG]]</f>
        <v>105</v>
      </c>
      <c r="Q1777" s="6" t="s">
        <v>5803</v>
      </c>
      <c r="R17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7" s="2" t="str">
        <f>_xlfn.XLOOKUP(Table2[[#This Row],[Adjusted Form '#]],'[2]IN PROGRESS'!$D:$D,'[2]IN PROGRESS'!$M:$M,"Not Found")</f>
        <v>Not Found</v>
      </c>
      <c r="U1777" s="2" t="str">
        <f>_xlfn.XLOOKUP(Table2[[#This Row],[Adjusted Form '#]],[1]COMPLETED!$D:$D,[2]COMPLETED!$M:$M,"Not Found")</f>
        <v>Not Found</v>
      </c>
      <c r="V1777" s="17" t="str">
        <f>_xlfn.XLOOKUP(Table2[[#This Row],[Adjusted Form '#]],[2]COMPLETED!$D:$D,[2]COMPLETED!$O:$O,"Not Found")</f>
        <v>Not Found</v>
      </c>
      <c r="W1777" s="2" t="str">
        <f>_xlfn.XLOOKUP(Table2[[#This Row],[Adjusted Form '#]],[2]BILLED!$D:$D,[2]BILLED!$M:$M,"Not Found")</f>
        <v>9400 1112 0620 9964 8106 30</v>
      </c>
      <c r="X1777" s="17" t="e">
        <f>_xlfn.XLOOKUP(Table2[[#This Row],[Adjusted Form '#]],[2]BILLED!$D:$D,[1]BILLED!$O:$O,"Not Found")</f>
        <v>#REF!</v>
      </c>
      <c r="Y1777" s="17" t="e">
        <f>_xlfn.XLOOKUP(Table2[[#This Row],[Adjusted Form '#]],'[2]REJECTED ORDERS'!$D:$D,'[2]REJECTED ORDERS'!$E:$E)</f>
        <v>#N/A</v>
      </c>
      <c r="Z1777" s="1"/>
      <c r="AA1777" s="1"/>
    </row>
    <row r="1778" spans="1:27" ht="15" customHeight="1" x14ac:dyDescent="0.35">
      <c r="A1778" s="4" t="s">
        <v>2643</v>
      </c>
      <c r="B1778" s="1" t="s">
        <v>1514</v>
      </c>
      <c r="C1778" s="11">
        <v>45198</v>
      </c>
      <c r="D1778" s="11" t="s">
        <v>7132</v>
      </c>
      <c r="E1778" s="1" t="s">
        <v>21</v>
      </c>
      <c r="F1778" s="1" t="s">
        <v>7128</v>
      </c>
      <c r="G1778" s="6">
        <f>COUNTIF(F:F,Table2[[#This Row],[Form '#]])</f>
        <v>1</v>
      </c>
      <c r="H1778" s="1" t="s">
        <v>7129</v>
      </c>
      <c r="I1778" s="1" t="s">
        <v>127</v>
      </c>
      <c r="J1778" s="1" t="s">
        <v>71</v>
      </c>
      <c r="K1778" s="1" t="s">
        <v>3919</v>
      </c>
      <c r="L1778" s="1"/>
      <c r="M1778" s="6" t="str">
        <f>IF(Table2[[#This Row],[Corrected Form '#
 (If Duplicated)]]="",Table2[[#This Row],[Form '#]],Table2[[#This Row],[Corrected Form '#
 (If Duplicated)]])</f>
        <v>7818-25703</v>
      </c>
      <c r="N1778" s="1" t="s">
        <v>49</v>
      </c>
      <c r="O1778" s="6" t="str">
        <f>IF(Table2[[#This Row],[POG CONFIRMATION RECEIPT OF ORDER
(DATE &amp; TIME)]]="","No Confirmation","Received Confirmation")</f>
        <v>Received Confirmation</v>
      </c>
      <c r="P1778" s="6">
        <f ca="1">TODAY()-Table2[[#This Row],[DATE SENT TO POG]]</f>
        <v>105</v>
      </c>
      <c r="Q1778" s="6" t="s">
        <v>5803</v>
      </c>
      <c r="R17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8" s="2" t="str">
        <f>_xlfn.XLOOKUP(Table2[[#This Row],[Adjusted Form '#]],'[2]IN PROGRESS'!$D:$D,'[2]IN PROGRESS'!$M:$M,"Not Found")</f>
        <v>Not Found</v>
      </c>
      <c r="U1778" s="2" t="str">
        <f>_xlfn.XLOOKUP(Table2[[#This Row],[Adjusted Form '#]],[1]COMPLETED!$D:$D,[2]COMPLETED!$M:$M,"Not Found")</f>
        <v>Not Found</v>
      </c>
      <c r="V1778" s="17" t="str">
        <f>_xlfn.XLOOKUP(Table2[[#This Row],[Adjusted Form '#]],[2]COMPLETED!$D:$D,[2]COMPLETED!$O:$O,"Not Found")</f>
        <v>Not Found</v>
      </c>
      <c r="W1778" s="2" t="str">
        <f>_xlfn.XLOOKUP(Table2[[#This Row],[Adjusted Form '#]],[2]BILLED!$D:$D,[2]BILLED!$M:$M,"Not Found")</f>
        <v>9400 1361 0605 3473 1184 97</v>
      </c>
      <c r="X1778" s="17" t="e">
        <f>_xlfn.XLOOKUP(Table2[[#This Row],[Adjusted Form '#]],[2]BILLED!$D:$D,[1]BILLED!$O:$O,"Not Found")</f>
        <v>#REF!</v>
      </c>
      <c r="Y1778" s="17" t="e">
        <f>_xlfn.XLOOKUP(Table2[[#This Row],[Adjusted Form '#]],'[2]REJECTED ORDERS'!$D:$D,'[2]REJECTED ORDERS'!$E:$E)</f>
        <v>#N/A</v>
      </c>
      <c r="Z1778" s="1"/>
      <c r="AA1778" s="1"/>
    </row>
    <row r="1779" spans="1:27" ht="15" customHeight="1" x14ac:dyDescent="0.35">
      <c r="A1779" s="4" t="s">
        <v>2645</v>
      </c>
      <c r="B1779" s="1" t="s">
        <v>905</v>
      </c>
      <c r="C1779" s="11">
        <v>45198</v>
      </c>
      <c r="D1779" s="11" t="s">
        <v>7133</v>
      </c>
      <c r="E1779" s="1" t="s">
        <v>21</v>
      </c>
      <c r="F1779" s="1" t="s">
        <v>7130</v>
      </c>
      <c r="G1779" s="6">
        <f>COUNTIF(F:F,Table2[[#This Row],[Form '#]])</f>
        <v>1</v>
      </c>
      <c r="H1779" s="1" t="s">
        <v>7131</v>
      </c>
      <c r="I1779" s="1" t="s">
        <v>3864</v>
      </c>
      <c r="J1779" s="1" t="s">
        <v>78</v>
      </c>
      <c r="K1779" s="1" t="s">
        <v>3879</v>
      </c>
      <c r="L1779" s="1"/>
      <c r="M1779" s="6" t="str">
        <f>IF(Table2[[#This Row],[Corrected Form '#
 (If Duplicated)]]="",Table2[[#This Row],[Form '#]],Table2[[#This Row],[Corrected Form '#
 (If Duplicated)]])</f>
        <v>7818-15525</v>
      </c>
      <c r="N1779" s="1" t="s">
        <v>49</v>
      </c>
      <c r="O1779" s="6" t="str">
        <f>IF(Table2[[#This Row],[POG CONFIRMATION RECEIPT OF ORDER
(DATE &amp; TIME)]]="","No Confirmation","Received Confirmation")</f>
        <v>Received Confirmation</v>
      </c>
      <c r="P1779" s="6">
        <f ca="1">TODAY()-Table2[[#This Row],[DATE SENT TO POG]]</f>
        <v>105</v>
      </c>
      <c r="Q1779" s="6" t="s">
        <v>5803</v>
      </c>
      <c r="R17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79" s="2" t="str">
        <f>_xlfn.XLOOKUP(Table2[[#This Row],[Adjusted Form '#]],'[2]IN PROGRESS'!$D:$D,'[2]IN PROGRESS'!$M:$M,"Not Found")</f>
        <v>Not Found</v>
      </c>
      <c r="U1779" s="2" t="str">
        <f>_xlfn.XLOOKUP(Table2[[#This Row],[Adjusted Form '#]],[1]COMPLETED!$D:$D,[2]COMPLETED!$M:$M,"Not Found")</f>
        <v>Not Found</v>
      </c>
      <c r="V1779" s="17" t="str">
        <f>_xlfn.XLOOKUP(Table2[[#This Row],[Adjusted Form '#]],[2]COMPLETED!$D:$D,[2]COMPLETED!$O:$O,"Not Found")</f>
        <v>Not Found</v>
      </c>
      <c r="W1779" s="2" t="str">
        <f>_xlfn.XLOOKUP(Table2[[#This Row],[Adjusted Form '#]],[2]BILLED!$D:$D,[2]BILLED!$M:$M,"Not Found")</f>
        <v xml:space="preserve">9400 1361 0605 3462 0420 00 </v>
      </c>
      <c r="X1779" s="17" t="e">
        <f>_xlfn.XLOOKUP(Table2[[#This Row],[Adjusted Form '#]],[2]BILLED!$D:$D,[1]BILLED!$O:$O,"Not Found")</f>
        <v>#REF!</v>
      </c>
      <c r="Y1779" s="17" t="e">
        <f>_xlfn.XLOOKUP(Table2[[#This Row],[Adjusted Form '#]],'[2]REJECTED ORDERS'!$D:$D,'[2]REJECTED ORDERS'!$E:$E)</f>
        <v>#N/A</v>
      </c>
      <c r="Z1779" s="1"/>
      <c r="AA1779" s="1"/>
    </row>
    <row r="1780" spans="1:27" ht="15" customHeight="1" x14ac:dyDescent="0.35">
      <c r="A1780" s="4" t="s">
        <v>2646</v>
      </c>
      <c r="B1780" s="1" t="s">
        <v>7134</v>
      </c>
      <c r="C1780" s="11">
        <v>45201</v>
      </c>
      <c r="D1780" s="11" t="s">
        <v>7138</v>
      </c>
      <c r="E1780" s="1" t="s">
        <v>191</v>
      </c>
      <c r="F1780" s="1" t="s">
        <v>7135</v>
      </c>
      <c r="G1780" s="6">
        <f>COUNTIF(F:F,Table2[[#This Row],[Form '#]])</f>
        <v>1</v>
      </c>
      <c r="H1780" s="1" t="s">
        <v>2292</v>
      </c>
      <c r="I1780" s="1" t="s">
        <v>758</v>
      </c>
      <c r="J1780" s="1" t="s">
        <v>78</v>
      </c>
      <c r="K1780" s="1" t="s">
        <v>3853</v>
      </c>
      <c r="L1780" s="1"/>
      <c r="M1780" s="6" t="str">
        <f>IF(Table2[[#This Row],[Corrected Form '#
 (If Duplicated)]]="",Table2[[#This Row],[Form '#]],Table2[[#This Row],[Corrected Form '#
 (If Duplicated)]])</f>
        <v>7812-3717</v>
      </c>
      <c r="N1780" s="1" t="s">
        <v>49</v>
      </c>
      <c r="O1780" s="6" t="str">
        <f>IF(Table2[[#This Row],[POG CONFIRMATION RECEIPT OF ORDER
(DATE &amp; TIME)]]="","No Confirmation","Received Confirmation")</f>
        <v>Received Confirmation</v>
      </c>
      <c r="P1780" s="6">
        <f ca="1">TODAY()-Table2[[#This Row],[DATE SENT TO POG]]</f>
        <v>102</v>
      </c>
      <c r="Q1780" s="6" t="s">
        <v>5803</v>
      </c>
      <c r="R17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0" s="2" t="str">
        <f>_xlfn.XLOOKUP(Table2[[#This Row],[Adjusted Form '#]],'[2]IN PROGRESS'!$D:$D,'[2]IN PROGRESS'!$M:$M,"Not Found")</f>
        <v>Not Found</v>
      </c>
      <c r="U1780" s="2" t="str">
        <f>_xlfn.XLOOKUP(Table2[[#This Row],[Adjusted Form '#]],[1]COMPLETED!$D:$D,[2]COMPLETED!$M:$M,"Not Found")</f>
        <v>Not Found</v>
      </c>
      <c r="V1780" s="17" t="str">
        <f>_xlfn.XLOOKUP(Table2[[#This Row],[Adjusted Form '#]],[2]COMPLETED!$D:$D,[2]COMPLETED!$O:$O,"Not Found")</f>
        <v>Not Found</v>
      </c>
      <c r="W1780" s="2" t="str">
        <f>_xlfn.XLOOKUP(Table2[[#This Row],[Adjusted Form '#]],[2]BILLED!$D:$D,[2]BILLED!$M:$M,"Not Found")</f>
        <v>9400 1361 0605 3458 9250 34</v>
      </c>
      <c r="X1780" s="17" t="e">
        <f>_xlfn.XLOOKUP(Table2[[#This Row],[Adjusted Form '#]],[2]BILLED!$D:$D,[1]BILLED!$O:$O,"Not Found")</f>
        <v>#REF!</v>
      </c>
      <c r="Y1780" s="17" t="e">
        <f>_xlfn.XLOOKUP(Table2[[#This Row],[Adjusted Form '#]],'[2]REJECTED ORDERS'!$D:$D,'[2]REJECTED ORDERS'!$E:$E)</f>
        <v>#N/A</v>
      </c>
      <c r="Z1780" s="1"/>
      <c r="AA1780" s="1"/>
    </row>
    <row r="1781" spans="1:27" ht="15" customHeight="1" x14ac:dyDescent="0.35">
      <c r="A1781" s="4" t="s">
        <v>2647</v>
      </c>
      <c r="B1781" s="1" t="s">
        <v>7134</v>
      </c>
      <c r="C1781" s="11">
        <v>45201</v>
      </c>
      <c r="D1781" s="11" t="s">
        <v>7138</v>
      </c>
      <c r="E1781" s="1" t="s">
        <v>191</v>
      </c>
      <c r="F1781" s="1" t="s">
        <v>7136</v>
      </c>
      <c r="G1781" s="6">
        <f>COUNTIF(F:F,Table2[[#This Row],[Form '#]])</f>
        <v>1</v>
      </c>
      <c r="H1781" s="1" t="s">
        <v>1453</v>
      </c>
      <c r="I1781" s="1" t="s">
        <v>177</v>
      </c>
      <c r="J1781" s="1" t="s">
        <v>75</v>
      </c>
      <c r="K1781" s="1" t="s">
        <v>3853</v>
      </c>
      <c r="L1781" s="1"/>
      <c r="M1781" s="6" t="str">
        <f>IF(Table2[[#This Row],[Corrected Form '#
 (If Duplicated)]]="",Table2[[#This Row],[Form '#]],Table2[[#This Row],[Corrected Form '#
 (If Duplicated)]])</f>
        <v>7812-01228</v>
      </c>
      <c r="N1781" s="1" t="s">
        <v>49</v>
      </c>
      <c r="O1781" s="6" t="str">
        <f>IF(Table2[[#This Row],[POG CONFIRMATION RECEIPT OF ORDER
(DATE &amp; TIME)]]="","No Confirmation","Received Confirmation")</f>
        <v>Received Confirmation</v>
      </c>
      <c r="P1781" s="6">
        <f ca="1">TODAY()-Table2[[#This Row],[DATE SENT TO POG]]</f>
        <v>102</v>
      </c>
      <c r="Q1781" s="6" t="s">
        <v>5803</v>
      </c>
      <c r="R17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1" s="2" t="str">
        <f>_xlfn.XLOOKUP(Table2[[#This Row],[Adjusted Form '#]],'[2]IN PROGRESS'!$D:$D,'[2]IN PROGRESS'!$M:$M,"Not Found")</f>
        <v>Not Found</v>
      </c>
      <c r="U1781" s="2" t="str">
        <f>_xlfn.XLOOKUP(Table2[[#This Row],[Adjusted Form '#]],[1]COMPLETED!$D:$D,[2]COMPLETED!$M:$M,"Not Found")</f>
        <v>Not Found</v>
      </c>
      <c r="V1781" s="17" t="str">
        <f>_xlfn.XLOOKUP(Table2[[#This Row],[Adjusted Form '#]],[2]COMPLETED!$D:$D,[2]COMPLETED!$O:$O,"Not Found")</f>
        <v>Not Found</v>
      </c>
      <c r="W1781" s="2" t="str">
        <f>_xlfn.XLOOKUP(Table2[[#This Row],[Adjusted Form '#]],[2]BILLED!$D:$D,[2]BILLED!$M:$M,"Not Found")</f>
        <v>9400 1361 0605 3503 6709 19</v>
      </c>
      <c r="X1781" s="17" t="e">
        <f>_xlfn.XLOOKUP(Table2[[#This Row],[Adjusted Form '#]],[2]BILLED!$D:$D,[1]BILLED!$O:$O,"Not Found")</f>
        <v>#REF!</v>
      </c>
      <c r="Y1781" s="17" t="e">
        <f>_xlfn.XLOOKUP(Table2[[#This Row],[Adjusted Form '#]],'[2]REJECTED ORDERS'!$D:$D,'[2]REJECTED ORDERS'!$E:$E)</f>
        <v>#N/A</v>
      </c>
      <c r="Z1781" s="1"/>
      <c r="AA1781" s="1"/>
    </row>
    <row r="1782" spans="1:27" ht="15" customHeight="1" x14ac:dyDescent="0.35">
      <c r="A1782" s="4" t="s">
        <v>2649</v>
      </c>
      <c r="B1782" s="1" t="s">
        <v>7134</v>
      </c>
      <c r="C1782" s="11">
        <v>45201</v>
      </c>
      <c r="D1782" s="11" t="s">
        <v>7138</v>
      </c>
      <c r="E1782" s="1" t="s">
        <v>191</v>
      </c>
      <c r="F1782" s="1" t="s">
        <v>7137</v>
      </c>
      <c r="G1782" s="6">
        <f>COUNTIF(F:F,Table2[[#This Row],[Form '#]])</f>
        <v>1</v>
      </c>
      <c r="H1782" s="1" t="s">
        <v>2912</v>
      </c>
      <c r="I1782" s="1" t="s">
        <v>127</v>
      </c>
      <c r="J1782" s="1" t="s">
        <v>74</v>
      </c>
      <c r="K1782" s="1" t="s">
        <v>3862</v>
      </c>
      <c r="L1782" s="1"/>
      <c r="M1782" s="6" t="str">
        <f>IF(Table2[[#This Row],[Corrected Form '#
 (If Duplicated)]]="",Table2[[#This Row],[Form '#]],Table2[[#This Row],[Corrected Form '#
 (If Duplicated)]])</f>
        <v>7812-3576</v>
      </c>
      <c r="N1782" s="1" t="s">
        <v>49</v>
      </c>
      <c r="O1782" s="6" t="str">
        <f>IF(Table2[[#This Row],[POG CONFIRMATION RECEIPT OF ORDER
(DATE &amp; TIME)]]="","No Confirmation","Received Confirmation")</f>
        <v>Received Confirmation</v>
      </c>
      <c r="P1782" s="6">
        <f ca="1">TODAY()-Table2[[#This Row],[DATE SENT TO POG]]</f>
        <v>102</v>
      </c>
      <c r="Q1782" s="6" t="s">
        <v>5803</v>
      </c>
      <c r="R17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2" s="2" t="str">
        <f>_xlfn.XLOOKUP(Table2[[#This Row],[Adjusted Form '#]],'[2]IN PROGRESS'!$D:$D,'[2]IN PROGRESS'!$M:$M,"Not Found")</f>
        <v>Not Found</v>
      </c>
      <c r="U1782" s="2" t="str">
        <f>_xlfn.XLOOKUP(Table2[[#This Row],[Adjusted Form '#]],[1]COMPLETED!$D:$D,[2]COMPLETED!$M:$M,"Not Found")</f>
        <v>Not Found</v>
      </c>
      <c r="V1782" s="17" t="str">
        <f>_xlfn.XLOOKUP(Table2[[#This Row],[Adjusted Form '#]],[2]COMPLETED!$D:$D,[2]COMPLETED!$O:$O,"Not Found")</f>
        <v>Not Found</v>
      </c>
      <c r="W1782" s="2" t="str">
        <f>_xlfn.XLOOKUP(Table2[[#This Row],[Adjusted Form '#]],[2]BILLED!$D:$D,[2]BILLED!$M:$M,"Not Found")</f>
        <v>9400 1361 0605 3458 8702 97</v>
      </c>
      <c r="X1782" s="17" t="e">
        <f>_xlfn.XLOOKUP(Table2[[#This Row],[Adjusted Form '#]],[2]BILLED!$D:$D,[1]BILLED!$O:$O,"Not Found")</f>
        <v>#REF!</v>
      </c>
      <c r="Y1782" s="17" t="e">
        <f>_xlfn.XLOOKUP(Table2[[#This Row],[Adjusted Form '#]],'[2]REJECTED ORDERS'!$D:$D,'[2]REJECTED ORDERS'!$E:$E)</f>
        <v>#N/A</v>
      </c>
      <c r="Z1782" s="1"/>
      <c r="AA1782" s="1"/>
    </row>
    <row r="1783" spans="1:27" ht="15" customHeight="1" x14ac:dyDescent="0.35">
      <c r="A1783" s="4" t="s">
        <v>2650</v>
      </c>
      <c r="B1783" s="1" t="s">
        <v>1652</v>
      </c>
      <c r="C1783" s="11">
        <v>45201</v>
      </c>
      <c r="E1783" s="1" t="s">
        <v>191</v>
      </c>
      <c r="F1783" s="1" t="s">
        <v>7139</v>
      </c>
      <c r="G1783" s="6">
        <f>COUNTIF(F:F,Table2[[#This Row],[Form '#]])</f>
        <v>1</v>
      </c>
      <c r="H1783" s="1" t="s">
        <v>7140</v>
      </c>
      <c r="I1783" s="1" t="s">
        <v>758</v>
      </c>
      <c r="J1783" s="1" t="s">
        <v>78</v>
      </c>
      <c r="K1783" s="1" t="s">
        <v>3853</v>
      </c>
      <c r="L1783" s="1"/>
      <c r="M1783" s="6" t="str">
        <f>IF(Table2[[#This Row],[Corrected Form '#
 (If Duplicated)]]="",Table2[[#This Row],[Form '#]],Table2[[#This Row],[Corrected Form '#
 (If Duplicated)]])</f>
        <v>7812-3630</v>
      </c>
      <c r="N1783" s="1" t="s">
        <v>49</v>
      </c>
      <c r="O1783" s="6" t="str">
        <f>IF(Table2[[#This Row],[POG CONFIRMATION RECEIPT OF ORDER
(DATE &amp; TIME)]]="","No Confirmation","Received Confirmation")</f>
        <v>No Confirmation</v>
      </c>
      <c r="P1783" s="6">
        <f ca="1">TODAY()-Table2[[#This Row],[DATE SENT TO POG]]</f>
        <v>102</v>
      </c>
      <c r="Q1783" s="6" t="s">
        <v>5802</v>
      </c>
      <c r="R17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78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783" s="2" t="str">
        <f>_xlfn.XLOOKUP(Table2[[#This Row],[Adjusted Form '#]],'[2]IN PROGRESS'!$D:$D,'[2]IN PROGRESS'!$M:$M,"Not Found")</f>
        <v>Not Found</v>
      </c>
      <c r="U1783" s="2" t="str">
        <f>_xlfn.XLOOKUP(Table2[[#This Row],[Adjusted Form '#]],[1]COMPLETED!$D:$D,[2]COMPLETED!$M:$M,"Not Found")</f>
        <v>Not Found</v>
      </c>
      <c r="V1783" s="17" t="str">
        <f>_xlfn.XLOOKUP(Table2[[#This Row],[Adjusted Form '#]],[2]COMPLETED!$D:$D,[2]COMPLETED!$O:$O,"Not Found")</f>
        <v>Not Found</v>
      </c>
      <c r="W1783" s="2" t="str">
        <f>_xlfn.XLOOKUP(Table2[[#This Row],[Adjusted Form '#]],[2]BILLED!$D:$D,[2]BILLED!$M:$M,"Not Found")</f>
        <v>Not Found</v>
      </c>
      <c r="X1783" s="17" t="str">
        <f>_xlfn.XLOOKUP(Table2[[#This Row],[Adjusted Form '#]],[2]BILLED!$D:$D,[1]BILLED!$O:$O,"Not Found")</f>
        <v>Not Found</v>
      </c>
      <c r="Y1783" s="17" t="e">
        <f>_xlfn.XLOOKUP(Table2[[#This Row],[Adjusted Form '#]],'[2]REJECTED ORDERS'!$D:$D,'[2]REJECTED ORDERS'!$E:$E)</f>
        <v>#N/A</v>
      </c>
      <c r="Z1783" s="1"/>
      <c r="AA1783" s="1"/>
    </row>
    <row r="1784" spans="1:27" ht="15" customHeight="1" x14ac:dyDescent="0.35">
      <c r="A1784" s="4" t="s">
        <v>2651</v>
      </c>
      <c r="B1784" s="1" t="s">
        <v>4618</v>
      </c>
      <c r="C1784" s="11">
        <v>45201</v>
      </c>
      <c r="D1784" s="11" t="s">
        <v>7151</v>
      </c>
      <c r="E1784" s="1" t="s">
        <v>14</v>
      </c>
      <c r="F1784" s="1" t="s">
        <v>7141</v>
      </c>
      <c r="G1784" s="6">
        <f>COUNTIF(F:F,Table2[[#This Row],[Form '#]])</f>
        <v>1</v>
      </c>
      <c r="H1784" s="1" t="s">
        <v>1577</v>
      </c>
      <c r="I1784" s="1" t="s">
        <v>28</v>
      </c>
      <c r="J1784" s="1" t="s">
        <v>69</v>
      </c>
      <c r="K1784" s="1" t="s">
        <v>3862</v>
      </c>
      <c r="L1784" s="1"/>
      <c r="M1784" s="6" t="str">
        <f>IF(Table2[[#This Row],[Corrected Form '#
 (If Duplicated)]]="",Table2[[#This Row],[Form '#]],Table2[[#This Row],[Corrected Form '#
 (If Duplicated)]])</f>
        <v>7810-01593</v>
      </c>
      <c r="N1784" s="1" t="s">
        <v>49</v>
      </c>
      <c r="O1784" s="6" t="str">
        <f>IF(Table2[[#This Row],[POG CONFIRMATION RECEIPT OF ORDER
(DATE &amp; TIME)]]="","No Confirmation","Received Confirmation")</f>
        <v>Received Confirmation</v>
      </c>
      <c r="P1784" s="6">
        <f ca="1">TODAY()-Table2[[#This Row],[DATE SENT TO POG]]</f>
        <v>102</v>
      </c>
      <c r="Q1784" s="6" t="s">
        <v>5803</v>
      </c>
      <c r="R17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4" s="2" t="str">
        <f>_xlfn.XLOOKUP(Table2[[#This Row],[Adjusted Form '#]],'[2]IN PROGRESS'!$D:$D,'[2]IN PROGRESS'!$M:$M,"Not Found")</f>
        <v>Not Found</v>
      </c>
      <c r="U1784" s="2" t="str">
        <f>_xlfn.XLOOKUP(Table2[[#This Row],[Adjusted Form '#]],[1]COMPLETED!$D:$D,[2]COMPLETED!$M:$M,"Not Found")</f>
        <v>Not Found</v>
      </c>
      <c r="V1784" s="17" t="str">
        <f>_xlfn.XLOOKUP(Table2[[#This Row],[Adjusted Form '#]],[2]COMPLETED!$D:$D,[2]COMPLETED!$O:$O,"Not Found")</f>
        <v>Not Found</v>
      </c>
      <c r="W1784" s="2" t="str">
        <f>_xlfn.XLOOKUP(Table2[[#This Row],[Adjusted Form '#]],[2]BILLED!$D:$D,[2]BILLED!$M:$M,"Not Found")</f>
        <v>9400 1361 0605 3658 8060 34</v>
      </c>
      <c r="X1784" s="17" t="e">
        <f>_xlfn.XLOOKUP(Table2[[#This Row],[Adjusted Form '#]],[2]BILLED!$D:$D,[1]BILLED!$O:$O,"Not Found")</f>
        <v>#REF!</v>
      </c>
      <c r="Y1784" s="17" t="str">
        <f>_xlfn.XLOOKUP(Table2[[#This Row],[Adjusted Form '#]],'[2]REJECTED ORDERS'!$D:$D,'[2]REJECTED ORDERS'!$E:$E)</f>
        <v>FORM NOT SIGNED</v>
      </c>
      <c r="Z1784" s="1"/>
      <c r="AA1784" s="1"/>
    </row>
    <row r="1785" spans="1:27" ht="15" customHeight="1" x14ac:dyDescent="0.35">
      <c r="A1785" s="4" t="s">
        <v>2652</v>
      </c>
      <c r="B1785" s="1" t="s">
        <v>998</v>
      </c>
      <c r="C1785" s="11">
        <v>45201</v>
      </c>
      <c r="D1785" s="11" t="s">
        <v>7154</v>
      </c>
      <c r="E1785" s="1" t="s">
        <v>21</v>
      </c>
      <c r="F1785" s="1" t="s">
        <v>7142</v>
      </c>
      <c r="G1785" s="6">
        <f>COUNTIF(F:F,Table2[[#This Row],[Form '#]])</f>
        <v>1</v>
      </c>
      <c r="H1785" s="1" t="s">
        <v>3597</v>
      </c>
      <c r="I1785" s="1" t="s">
        <v>177</v>
      </c>
      <c r="J1785" s="1" t="s">
        <v>75</v>
      </c>
      <c r="K1785" s="1" t="s">
        <v>3862</v>
      </c>
      <c r="L1785" s="1"/>
      <c r="M1785" s="6" t="str">
        <f>IF(Table2[[#This Row],[Corrected Form '#
 (If Duplicated)]]="",Table2[[#This Row],[Form '#]],Table2[[#This Row],[Corrected Form '#
 (If Duplicated)]])</f>
        <v>7818-07082</v>
      </c>
      <c r="N1785" s="1" t="s">
        <v>49</v>
      </c>
      <c r="O1785" s="6" t="str">
        <f>IF(Table2[[#This Row],[POG CONFIRMATION RECEIPT OF ORDER
(DATE &amp; TIME)]]="","No Confirmation","Received Confirmation")</f>
        <v>Received Confirmation</v>
      </c>
      <c r="P1785" s="6">
        <f ca="1">TODAY()-Table2[[#This Row],[DATE SENT TO POG]]</f>
        <v>102</v>
      </c>
      <c r="Q1785" s="6" t="s">
        <v>5803</v>
      </c>
      <c r="R17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5" s="2" t="str">
        <f>_xlfn.XLOOKUP(Table2[[#This Row],[Adjusted Form '#]],'[2]IN PROGRESS'!$D:$D,'[2]IN PROGRESS'!$M:$M,"Not Found")</f>
        <v>Not Found</v>
      </c>
      <c r="U1785" s="2" t="str">
        <f>_xlfn.XLOOKUP(Table2[[#This Row],[Adjusted Form '#]],[1]COMPLETED!$D:$D,[2]COMPLETED!$M:$M,"Not Found")</f>
        <v>Not Found</v>
      </c>
      <c r="V1785" s="17" t="str">
        <f>_xlfn.XLOOKUP(Table2[[#This Row],[Adjusted Form '#]],[2]COMPLETED!$D:$D,[2]COMPLETED!$O:$O,"Not Found")</f>
        <v>Not Found</v>
      </c>
      <c r="W1785" s="2" t="str">
        <f>_xlfn.XLOOKUP(Table2[[#This Row],[Adjusted Form '#]],[2]BILLED!$D:$D,[2]BILLED!$M:$M,"Not Found")</f>
        <v>9400 1361 0605 3496 2758 01</v>
      </c>
      <c r="X1785" s="17" t="e">
        <f>_xlfn.XLOOKUP(Table2[[#This Row],[Adjusted Form '#]],[2]BILLED!$D:$D,[1]BILLED!$O:$O,"Not Found")</f>
        <v>#REF!</v>
      </c>
      <c r="Y1785" s="17" t="e">
        <f>_xlfn.XLOOKUP(Table2[[#This Row],[Adjusted Form '#]],'[2]REJECTED ORDERS'!$D:$D,'[2]REJECTED ORDERS'!$E:$E)</f>
        <v>#N/A</v>
      </c>
      <c r="Z1785" s="1"/>
      <c r="AA1785" s="1"/>
    </row>
    <row r="1786" spans="1:27" ht="15" customHeight="1" x14ac:dyDescent="0.35">
      <c r="A1786" s="4" t="s">
        <v>2653</v>
      </c>
      <c r="B1786" s="1" t="s">
        <v>998</v>
      </c>
      <c r="C1786" s="11">
        <v>45201</v>
      </c>
      <c r="D1786" s="11" t="s">
        <v>7154</v>
      </c>
      <c r="E1786" s="1" t="s">
        <v>21</v>
      </c>
      <c r="F1786" s="1" t="s">
        <v>7143</v>
      </c>
      <c r="G1786" s="6">
        <f>COUNTIF(F:F,Table2[[#This Row],[Form '#]])</f>
        <v>1</v>
      </c>
      <c r="H1786" s="1" t="s">
        <v>7144</v>
      </c>
      <c r="I1786" s="1" t="s">
        <v>3864</v>
      </c>
      <c r="J1786" s="1" t="s">
        <v>78</v>
      </c>
      <c r="K1786" s="1" t="s">
        <v>3879</v>
      </c>
      <c r="L1786" s="1"/>
      <c r="M1786" s="6" t="str">
        <f>IF(Table2[[#This Row],[Corrected Form '#
 (If Duplicated)]]="",Table2[[#This Row],[Form '#]],Table2[[#This Row],[Corrected Form '#
 (If Duplicated)]])</f>
        <v>7818-32882</v>
      </c>
      <c r="N1786" s="1" t="s">
        <v>49</v>
      </c>
      <c r="O1786" s="6" t="str">
        <f>IF(Table2[[#This Row],[POG CONFIRMATION RECEIPT OF ORDER
(DATE &amp; TIME)]]="","No Confirmation","Received Confirmation")</f>
        <v>Received Confirmation</v>
      </c>
      <c r="P1786" s="6">
        <f ca="1">TODAY()-Table2[[#This Row],[DATE SENT TO POG]]</f>
        <v>102</v>
      </c>
      <c r="Q1786" s="6" t="s">
        <v>5803</v>
      </c>
      <c r="R17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6" s="2" t="str">
        <f>_xlfn.XLOOKUP(Table2[[#This Row],[Adjusted Form '#]],'[2]IN PROGRESS'!$D:$D,'[2]IN PROGRESS'!$M:$M,"Not Found")</f>
        <v>Not Found</v>
      </c>
      <c r="U1786" s="2" t="str">
        <f>_xlfn.XLOOKUP(Table2[[#This Row],[Adjusted Form '#]],[1]COMPLETED!$D:$D,[2]COMPLETED!$M:$M,"Not Found")</f>
        <v>Not Found</v>
      </c>
      <c r="V1786" s="17" t="str">
        <f>_xlfn.XLOOKUP(Table2[[#This Row],[Adjusted Form '#]],[2]COMPLETED!$D:$D,[2]COMPLETED!$O:$O,"Not Found")</f>
        <v>Not Found</v>
      </c>
      <c r="W1786" s="2" t="str">
        <f>_xlfn.XLOOKUP(Table2[[#This Row],[Adjusted Form '#]],[2]BILLED!$D:$D,[2]BILLED!$M:$M,"Not Found")</f>
        <v>9400 1361 0605 3473 1401 53</v>
      </c>
      <c r="X1786" s="17" t="e">
        <f>_xlfn.XLOOKUP(Table2[[#This Row],[Adjusted Form '#]],[2]BILLED!$D:$D,[1]BILLED!$O:$O,"Not Found")</f>
        <v>#REF!</v>
      </c>
      <c r="Y1786" s="17" t="e">
        <f>_xlfn.XLOOKUP(Table2[[#This Row],[Adjusted Form '#]],'[2]REJECTED ORDERS'!$D:$D,'[2]REJECTED ORDERS'!$E:$E)</f>
        <v>#N/A</v>
      </c>
      <c r="Z1786" s="1"/>
      <c r="AA1786" s="1"/>
    </row>
    <row r="1787" spans="1:27" ht="15" customHeight="1" x14ac:dyDescent="0.35">
      <c r="A1787" s="4" t="s">
        <v>2654</v>
      </c>
      <c r="B1787" s="1" t="s">
        <v>998</v>
      </c>
      <c r="C1787" s="11">
        <v>45201</v>
      </c>
      <c r="D1787" s="11" t="s">
        <v>7154</v>
      </c>
      <c r="E1787" s="1" t="s">
        <v>21</v>
      </c>
      <c r="F1787" s="1" t="s">
        <v>7145</v>
      </c>
      <c r="G1787" s="6">
        <f>COUNTIF(F:F,Table2[[#This Row],[Form '#]])</f>
        <v>1</v>
      </c>
      <c r="H1787" s="1" t="s">
        <v>3497</v>
      </c>
      <c r="I1787" s="1" t="s">
        <v>127</v>
      </c>
      <c r="J1787" s="1" t="s">
        <v>76</v>
      </c>
      <c r="K1787" s="1" t="s">
        <v>3919</v>
      </c>
      <c r="L1787" s="1"/>
      <c r="M1787" s="6" t="str">
        <f>IF(Table2[[#This Row],[Corrected Form '#
 (If Duplicated)]]="",Table2[[#This Row],[Form '#]],Table2[[#This Row],[Corrected Form '#
 (If Duplicated)]])</f>
        <v>7818-32253</v>
      </c>
      <c r="N1787" s="1" t="s">
        <v>49</v>
      </c>
      <c r="O1787" s="6" t="str">
        <f>IF(Table2[[#This Row],[POG CONFIRMATION RECEIPT OF ORDER
(DATE &amp; TIME)]]="","No Confirmation","Received Confirmation")</f>
        <v>Received Confirmation</v>
      </c>
      <c r="P1787" s="6">
        <f ca="1">TODAY()-Table2[[#This Row],[DATE SENT TO POG]]</f>
        <v>102</v>
      </c>
      <c r="Q1787" s="6" t="s">
        <v>5803</v>
      </c>
      <c r="R17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7" s="2" t="str">
        <f>_xlfn.XLOOKUP(Table2[[#This Row],[Adjusted Form '#]],'[2]IN PROGRESS'!$D:$D,'[2]IN PROGRESS'!$M:$M,"Not Found")</f>
        <v>Not Found</v>
      </c>
      <c r="U1787" s="2" t="str">
        <f>_xlfn.XLOOKUP(Table2[[#This Row],[Adjusted Form '#]],[1]COMPLETED!$D:$D,[2]COMPLETED!$M:$M,"Not Found")</f>
        <v>Not Found</v>
      </c>
      <c r="V1787" s="17" t="str">
        <f>_xlfn.XLOOKUP(Table2[[#This Row],[Adjusted Form '#]],[2]COMPLETED!$D:$D,[2]COMPLETED!$O:$O,"Not Found")</f>
        <v>Not Found</v>
      </c>
      <c r="W1787" s="2" t="str">
        <f>_xlfn.XLOOKUP(Table2[[#This Row],[Adjusted Form '#]],[2]BILLED!$D:$D,[2]BILLED!$M:$M,"Not Found")</f>
        <v>9400 1361 0605 3473 1454 86</v>
      </c>
      <c r="X1787" s="17" t="e">
        <f>_xlfn.XLOOKUP(Table2[[#This Row],[Adjusted Form '#]],[2]BILLED!$D:$D,[1]BILLED!$O:$O,"Not Found")</f>
        <v>#REF!</v>
      </c>
      <c r="Y1787" s="17" t="e">
        <f>_xlfn.XLOOKUP(Table2[[#This Row],[Adjusted Form '#]],'[2]REJECTED ORDERS'!$D:$D,'[2]REJECTED ORDERS'!$E:$E)</f>
        <v>#N/A</v>
      </c>
      <c r="Z1787" s="1"/>
      <c r="AA1787" s="1"/>
    </row>
    <row r="1788" spans="1:27" ht="15" customHeight="1" x14ac:dyDescent="0.35">
      <c r="A1788" s="4" t="s">
        <v>2656</v>
      </c>
      <c r="B1788" s="1" t="s">
        <v>998</v>
      </c>
      <c r="C1788" s="11">
        <v>45201</v>
      </c>
      <c r="D1788" s="11" t="s">
        <v>7154</v>
      </c>
      <c r="E1788" s="1" t="s">
        <v>21</v>
      </c>
      <c r="F1788" s="1" t="s">
        <v>7146</v>
      </c>
      <c r="G1788" s="6">
        <f>COUNTIF(F:F,Table2[[#This Row],[Form '#]])</f>
        <v>1</v>
      </c>
      <c r="H1788" s="1" t="s">
        <v>7147</v>
      </c>
      <c r="I1788" s="1" t="s">
        <v>3852</v>
      </c>
      <c r="J1788" s="1" t="s">
        <v>80</v>
      </c>
      <c r="K1788" s="1" t="s">
        <v>3853</v>
      </c>
      <c r="L1788" s="1"/>
      <c r="M1788" s="6" t="str">
        <f>IF(Table2[[#This Row],[Corrected Form '#
 (If Duplicated)]]="",Table2[[#This Row],[Form '#]],Table2[[#This Row],[Corrected Form '#
 (If Duplicated)]])</f>
        <v>7818-29959</v>
      </c>
      <c r="N1788" s="1" t="s">
        <v>49</v>
      </c>
      <c r="O1788" s="6" t="str">
        <f>IF(Table2[[#This Row],[POG CONFIRMATION RECEIPT OF ORDER
(DATE &amp; TIME)]]="","No Confirmation","Received Confirmation")</f>
        <v>Received Confirmation</v>
      </c>
      <c r="P1788" s="6">
        <f ca="1">TODAY()-Table2[[#This Row],[DATE SENT TO POG]]</f>
        <v>102</v>
      </c>
      <c r="Q1788" s="6" t="s">
        <v>5803</v>
      </c>
      <c r="R17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8" s="2" t="str">
        <f>_xlfn.XLOOKUP(Table2[[#This Row],[Adjusted Form '#]],'[2]IN PROGRESS'!$D:$D,'[2]IN PROGRESS'!$M:$M,"Not Found")</f>
        <v>Not Found</v>
      </c>
      <c r="U1788" s="2" t="str">
        <f>_xlfn.XLOOKUP(Table2[[#This Row],[Adjusted Form '#]],[1]COMPLETED!$D:$D,[2]COMPLETED!$M:$M,"Not Found")</f>
        <v>Not Found</v>
      </c>
      <c r="V1788" s="17" t="str">
        <f>_xlfn.XLOOKUP(Table2[[#This Row],[Adjusted Form '#]],[2]COMPLETED!$D:$D,[2]COMPLETED!$O:$O,"Not Found")</f>
        <v>Not Found</v>
      </c>
      <c r="W1788" s="2" t="str">
        <f>_xlfn.XLOOKUP(Table2[[#This Row],[Adjusted Form '#]],[2]BILLED!$D:$D,[2]BILLED!$M:$M,"Not Found")</f>
        <v>9400 1361 0605 3478 4331 51</v>
      </c>
      <c r="X1788" s="17" t="e">
        <f>_xlfn.XLOOKUP(Table2[[#This Row],[Adjusted Form '#]],[2]BILLED!$D:$D,[1]BILLED!$O:$O,"Not Found")</f>
        <v>#REF!</v>
      </c>
      <c r="Y1788" s="17" t="e">
        <f>_xlfn.XLOOKUP(Table2[[#This Row],[Adjusted Form '#]],'[2]REJECTED ORDERS'!$D:$D,'[2]REJECTED ORDERS'!$E:$E)</f>
        <v>#N/A</v>
      </c>
      <c r="Z1788" s="1"/>
      <c r="AA1788" s="1"/>
    </row>
    <row r="1789" spans="1:27" ht="15" customHeight="1" x14ac:dyDescent="0.35">
      <c r="A1789" s="4" t="s">
        <v>2657</v>
      </c>
      <c r="B1789" s="1" t="s">
        <v>998</v>
      </c>
      <c r="C1789" s="11">
        <v>45201</v>
      </c>
      <c r="D1789" s="11" t="s">
        <v>7154</v>
      </c>
      <c r="E1789" s="1" t="s">
        <v>21</v>
      </c>
      <c r="F1789" s="1" t="s">
        <v>7148</v>
      </c>
      <c r="G1789" s="6">
        <f>COUNTIF(F:F,Table2[[#This Row],[Form '#]])</f>
        <v>1</v>
      </c>
      <c r="H1789" s="1" t="s">
        <v>7149</v>
      </c>
      <c r="I1789" s="1" t="s">
        <v>3852</v>
      </c>
      <c r="J1789" s="1" t="s">
        <v>80</v>
      </c>
      <c r="K1789" s="1" t="s">
        <v>3853</v>
      </c>
      <c r="L1789" s="1"/>
      <c r="M1789" s="6" t="str">
        <f>IF(Table2[[#This Row],[Corrected Form '#
 (If Duplicated)]]="",Table2[[#This Row],[Form '#]],Table2[[#This Row],[Corrected Form '#
 (If Duplicated)]])</f>
        <v>7818-26985</v>
      </c>
      <c r="N1789" s="1" t="s">
        <v>49</v>
      </c>
      <c r="O1789" s="6" t="str">
        <f>IF(Table2[[#This Row],[POG CONFIRMATION RECEIPT OF ORDER
(DATE &amp; TIME)]]="","No Confirmation","Received Confirmation")</f>
        <v>Received Confirmation</v>
      </c>
      <c r="P1789" s="6">
        <f ca="1">TODAY()-Table2[[#This Row],[DATE SENT TO POG]]</f>
        <v>102</v>
      </c>
      <c r="Q1789" s="6" t="s">
        <v>5803</v>
      </c>
      <c r="R17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89" s="2" t="str">
        <f>_xlfn.XLOOKUP(Table2[[#This Row],[Adjusted Form '#]],'[2]IN PROGRESS'!$D:$D,'[2]IN PROGRESS'!$M:$M,"Not Found")</f>
        <v>Not Found</v>
      </c>
      <c r="U1789" s="2" t="str">
        <f>_xlfn.XLOOKUP(Table2[[#This Row],[Adjusted Form '#]],[1]COMPLETED!$D:$D,[2]COMPLETED!$M:$M,"Not Found")</f>
        <v>Not Found</v>
      </c>
      <c r="V1789" s="17" t="str">
        <f>_xlfn.XLOOKUP(Table2[[#This Row],[Adjusted Form '#]],[2]COMPLETED!$D:$D,[2]COMPLETED!$O:$O,"Not Found")</f>
        <v>Not Found</v>
      </c>
      <c r="W1789" s="2" t="str">
        <f>_xlfn.XLOOKUP(Table2[[#This Row],[Adjusted Form '#]],[2]BILLED!$D:$D,[2]BILLED!$M:$M,"Not Found")</f>
        <v>9400 1361 0605 3478 3082 37</v>
      </c>
      <c r="X1789" s="17" t="e">
        <f>_xlfn.XLOOKUP(Table2[[#This Row],[Adjusted Form '#]],[2]BILLED!$D:$D,[1]BILLED!$O:$O,"Not Found")</f>
        <v>#REF!</v>
      </c>
      <c r="Y1789" s="17" t="e">
        <f>_xlfn.XLOOKUP(Table2[[#This Row],[Adjusted Form '#]],'[2]REJECTED ORDERS'!$D:$D,'[2]REJECTED ORDERS'!$E:$E)</f>
        <v>#N/A</v>
      </c>
      <c r="Z1789" s="1"/>
      <c r="AA1789" s="1"/>
    </row>
    <row r="1790" spans="1:27" ht="15" customHeight="1" x14ac:dyDescent="0.35">
      <c r="A1790" s="4" t="s">
        <v>2659</v>
      </c>
      <c r="B1790" s="1" t="s">
        <v>998</v>
      </c>
      <c r="C1790" s="11">
        <v>45201</v>
      </c>
      <c r="D1790" s="11" t="s">
        <v>7154</v>
      </c>
      <c r="E1790" s="1" t="s">
        <v>21</v>
      </c>
      <c r="F1790" s="1" t="s">
        <v>7150</v>
      </c>
      <c r="G1790" s="6">
        <f>COUNTIF(F:F,Table2[[#This Row],[Form '#]])</f>
        <v>1</v>
      </c>
      <c r="H1790" s="1" t="s">
        <v>3675</v>
      </c>
      <c r="I1790" s="1" t="s">
        <v>758</v>
      </c>
      <c r="J1790" s="1" t="s">
        <v>78</v>
      </c>
      <c r="K1790" s="1" t="s">
        <v>3853</v>
      </c>
      <c r="L1790" s="1"/>
      <c r="M1790" s="6" t="str">
        <f>IF(Table2[[#This Row],[Corrected Form '#
 (If Duplicated)]]="",Table2[[#This Row],[Form '#]],Table2[[#This Row],[Corrected Form '#
 (If Duplicated)]])</f>
        <v>7818-12897</v>
      </c>
      <c r="N1790" s="1" t="s">
        <v>49</v>
      </c>
      <c r="O1790" s="6" t="str">
        <f>IF(Table2[[#This Row],[POG CONFIRMATION RECEIPT OF ORDER
(DATE &amp; TIME)]]="","No Confirmation","Received Confirmation")</f>
        <v>Received Confirmation</v>
      </c>
      <c r="P1790" s="6">
        <f ca="1">TODAY()-Table2[[#This Row],[DATE SENT TO POG]]</f>
        <v>102</v>
      </c>
      <c r="Q1790" s="6" t="s">
        <v>5803</v>
      </c>
      <c r="R17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0" s="2" t="str">
        <f>_xlfn.XLOOKUP(Table2[[#This Row],[Adjusted Form '#]],'[2]IN PROGRESS'!$D:$D,'[2]IN PROGRESS'!$M:$M,"Not Found")</f>
        <v>Not Found</v>
      </c>
      <c r="U1790" s="2" t="str">
        <f>_xlfn.XLOOKUP(Table2[[#This Row],[Adjusted Form '#]],[1]COMPLETED!$D:$D,[2]COMPLETED!$M:$M,"Not Found")</f>
        <v>Not Found</v>
      </c>
      <c r="V1790" s="17" t="str">
        <f>_xlfn.XLOOKUP(Table2[[#This Row],[Adjusted Form '#]],[2]COMPLETED!$D:$D,[2]COMPLETED!$O:$O,"Not Found")</f>
        <v>Not Found</v>
      </c>
      <c r="W1790" s="2" t="str">
        <f>_xlfn.XLOOKUP(Table2[[#This Row],[Adjusted Form '#]],[2]BILLED!$D:$D,[2]BILLED!$M:$M,"Not Found")</f>
        <v>9400 1361 0605 3473 7089 33</v>
      </c>
      <c r="X1790" s="17" t="e">
        <f>_xlfn.XLOOKUP(Table2[[#This Row],[Adjusted Form '#]],[2]BILLED!$D:$D,[1]BILLED!$O:$O,"Not Found")</f>
        <v>#REF!</v>
      </c>
      <c r="Y1790" s="17" t="e">
        <f>_xlfn.XLOOKUP(Table2[[#This Row],[Adjusted Form '#]],'[2]REJECTED ORDERS'!$D:$D,'[2]REJECTED ORDERS'!$E:$E)</f>
        <v>#N/A</v>
      </c>
      <c r="Z1790" s="1"/>
      <c r="AA1790" s="1"/>
    </row>
    <row r="1791" spans="1:27" ht="15" customHeight="1" x14ac:dyDescent="0.35">
      <c r="A1791" s="4" t="s">
        <v>2661</v>
      </c>
      <c r="B1791" s="1" t="s">
        <v>523</v>
      </c>
      <c r="C1791" s="11">
        <v>45201</v>
      </c>
      <c r="D1791" s="11" t="s">
        <v>7153</v>
      </c>
      <c r="E1791" s="1" t="s">
        <v>21</v>
      </c>
      <c r="F1791" s="1" t="s">
        <v>7152</v>
      </c>
      <c r="G1791" s="6">
        <f>COUNTIF(F:F,Table2[[#This Row],[Form '#]])</f>
        <v>1</v>
      </c>
      <c r="H1791" s="1" t="s">
        <v>835</v>
      </c>
      <c r="I1791" s="1" t="s">
        <v>127</v>
      </c>
      <c r="J1791" s="1" t="s">
        <v>74</v>
      </c>
      <c r="K1791" s="1" t="s">
        <v>3919</v>
      </c>
      <c r="L1791" s="1"/>
      <c r="M1791" s="6" t="str">
        <f>IF(Table2[[#This Row],[Corrected Form '#
 (If Duplicated)]]="",Table2[[#This Row],[Form '#]],Table2[[#This Row],[Corrected Form '#
 (If Duplicated)]])</f>
        <v>7818-17714</v>
      </c>
      <c r="N1791" s="1" t="s">
        <v>49</v>
      </c>
      <c r="O1791" s="6" t="str">
        <f>IF(Table2[[#This Row],[POG CONFIRMATION RECEIPT OF ORDER
(DATE &amp; TIME)]]="","No Confirmation","Received Confirmation")</f>
        <v>Received Confirmation</v>
      </c>
      <c r="P1791" s="6">
        <f ca="1">TODAY()-Table2[[#This Row],[DATE SENT TO POG]]</f>
        <v>102</v>
      </c>
      <c r="Q1791" s="6" t="s">
        <v>5803</v>
      </c>
      <c r="R17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1" s="2" t="str">
        <f>_xlfn.XLOOKUP(Table2[[#This Row],[Adjusted Form '#]],'[2]IN PROGRESS'!$D:$D,'[2]IN PROGRESS'!$M:$M,"Not Found")</f>
        <v>Not Found</v>
      </c>
      <c r="U1791" s="2" t="str">
        <f>_xlfn.XLOOKUP(Table2[[#This Row],[Adjusted Form '#]],[1]COMPLETED!$D:$D,[2]COMPLETED!$M:$M,"Not Found")</f>
        <v>Not Found</v>
      </c>
      <c r="V1791" s="17" t="str">
        <f>_xlfn.XLOOKUP(Table2[[#This Row],[Adjusted Form '#]],[2]COMPLETED!$D:$D,[2]COMPLETED!$O:$O,"Not Found")</f>
        <v>Not Found</v>
      </c>
      <c r="W1791" s="2" t="str">
        <f>_xlfn.XLOOKUP(Table2[[#This Row],[Adjusted Form '#]],[2]BILLED!$D:$D,[2]BILLED!$M:$M,"Not Found")</f>
        <v>9400 1361 0605 3473 3349 58</v>
      </c>
      <c r="X1791" s="17" t="e">
        <f>_xlfn.XLOOKUP(Table2[[#This Row],[Adjusted Form '#]],[2]BILLED!$D:$D,[1]BILLED!$O:$O,"Not Found")</f>
        <v>#REF!</v>
      </c>
      <c r="Y1791" s="17" t="e">
        <f>_xlfn.XLOOKUP(Table2[[#This Row],[Adjusted Form '#]],'[2]REJECTED ORDERS'!$D:$D,'[2]REJECTED ORDERS'!$E:$E)</f>
        <v>#N/A</v>
      </c>
      <c r="Z1791" s="1"/>
      <c r="AA1791" s="1"/>
    </row>
    <row r="1792" spans="1:27" ht="15" customHeight="1" x14ac:dyDescent="0.35">
      <c r="A1792" s="4" t="s">
        <v>2662</v>
      </c>
      <c r="B1792" s="1" t="s">
        <v>6058</v>
      </c>
      <c r="C1792" s="11">
        <v>45201</v>
      </c>
      <c r="D1792" s="11" t="s">
        <v>7156</v>
      </c>
      <c r="E1792" s="1" t="s">
        <v>21</v>
      </c>
      <c r="F1792" s="1" t="s">
        <v>7155</v>
      </c>
      <c r="G1792" s="6">
        <f>COUNTIF(F:F,Table2[[#This Row],[Form '#]])</f>
        <v>1</v>
      </c>
      <c r="H1792" s="1" t="s">
        <v>1601</v>
      </c>
      <c r="I1792" s="1" t="s">
        <v>758</v>
      </c>
      <c r="J1792" s="1" t="s">
        <v>78</v>
      </c>
      <c r="K1792" s="1" t="s">
        <v>3853</v>
      </c>
      <c r="L1792" s="1"/>
      <c r="M1792" s="6" t="str">
        <f>IF(Table2[[#This Row],[Corrected Form '#
 (If Duplicated)]]="",Table2[[#This Row],[Form '#]],Table2[[#This Row],[Corrected Form '#
 (If Duplicated)]])</f>
        <v>7818-15852</v>
      </c>
      <c r="N1792" s="1" t="s">
        <v>49</v>
      </c>
      <c r="O1792" s="6" t="str">
        <f>IF(Table2[[#This Row],[POG CONFIRMATION RECEIPT OF ORDER
(DATE &amp; TIME)]]="","No Confirmation","Received Confirmation")</f>
        <v>Received Confirmation</v>
      </c>
      <c r="P1792" s="6">
        <f ca="1">TODAY()-Table2[[#This Row],[DATE SENT TO POG]]</f>
        <v>102</v>
      </c>
      <c r="Q1792" s="6" t="s">
        <v>5803</v>
      </c>
      <c r="R17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2" s="2" t="str">
        <f>_xlfn.XLOOKUP(Table2[[#This Row],[Adjusted Form '#]],'[2]IN PROGRESS'!$D:$D,'[2]IN PROGRESS'!$M:$M,"Not Found")</f>
        <v>Not Found</v>
      </c>
      <c r="U1792" s="2" t="str">
        <f>_xlfn.XLOOKUP(Table2[[#This Row],[Adjusted Form '#]],[1]COMPLETED!$D:$D,[2]COMPLETED!$M:$M,"Not Found")</f>
        <v>Not Found</v>
      </c>
      <c r="V1792" s="17" t="str">
        <f>_xlfn.XLOOKUP(Table2[[#This Row],[Adjusted Form '#]],[2]COMPLETED!$D:$D,[2]COMPLETED!$O:$O,"Not Found")</f>
        <v>Not Found</v>
      </c>
      <c r="W1792" s="2" t="str">
        <f>_xlfn.XLOOKUP(Table2[[#This Row],[Adjusted Form '#]],[2]BILLED!$D:$D,[2]BILLED!$M:$M,"Not Found")</f>
        <v>9400 1361 0605 3471 9647 82</v>
      </c>
      <c r="X1792" s="17" t="e">
        <f>_xlfn.XLOOKUP(Table2[[#This Row],[Adjusted Form '#]],[2]BILLED!$D:$D,[1]BILLED!$O:$O,"Not Found")</f>
        <v>#REF!</v>
      </c>
      <c r="Y1792" s="17" t="e">
        <f>_xlfn.XLOOKUP(Table2[[#This Row],[Adjusted Form '#]],'[2]REJECTED ORDERS'!$D:$D,'[2]REJECTED ORDERS'!$E:$E)</f>
        <v>#N/A</v>
      </c>
      <c r="Z1792" s="1"/>
      <c r="AA1792" s="1"/>
    </row>
    <row r="1793" spans="1:27" ht="15" customHeight="1" x14ac:dyDescent="0.35">
      <c r="A1793" s="4" t="s">
        <v>2663</v>
      </c>
      <c r="B1793" s="1" t="s">
        <v>2416</v>
      </c>
      <c r="C1793" s="11">
        <v>45202</v>
      </c>
      <c r="E1793" s="1" t="s">
        <v>14</v>
      </c>
      <c r="F1793" s="1" t="s">
        <v>6986</v>
      </c>
      <c r="G1793" s="6">
        <f>COUNTIF(F:F,Table2[[#This Row],[Form '#]])</f>
        <v>2</v>
      </c>
      <c r="H1793" s="1" t="s">
        <v>6987</v>
      </c>
      <c r="I1793" s="1" t="s">
        <v>127</v>
      </c>
      <c r="J1793" s="1" t="s">
        <v>76</v>
      </c>
      <c r="K1793" s="1" t="s">
        <v>3919</v>
      </c>
      <c r="L1793" s="1"/>
      <c r="M1793" s="6" t="str">
        <f>IF(Table2[[#This Row],[Corrected Form '#
 (If Duplicated)]]="",Table2[[#This Row],[Form '#]],Table2[[#This Row],[Corrected Form '#
 (If Duplicated)]])</f>
        <v>7810-01316</v>
      </c>
      <c r="N1793" s="1" t="s">
        <v>49</v>
      </c>
      <c r="O1793" s="6" t="str">
        <f>IF(Table2[[#This Row],[POG CONFIRMATION RECEIPT OF ORDER
(DATE &amp; TIME)]]="","No Confirmation","Received Confirmation")</f>
        <v>No Confirmation</v>
      </c>
      <c r="P1793" s="6">
        <f ca="1">TODAY()-Table2[[#This Row],[DATE SENT TO POG]]</f>
        <v>101</v>
      </c>
      <c r="Q1793" s="6" t="s">
        <v>5803</v>
      </c>
      <c r="R17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3" s="2" t="str">
        <f>_xlfn.XLOOKUP(Table2[[#This Row],[Adjusted Form '#]],'[2]IN PROGRESS'!$D:$D,'[2]IN PROGRESS'!$M:$M,"Not Found")</f>
        <v>Not Found</v>
      </c>
      <c r="U1793" s="2" t="str">
        <f>_xlfn.XLOOKUP(Table2[[#This Row],[Adjusted Form '#]],[1]COMPLETED!$D:$D,[2]COMPLETED!$M:$M,"Not Found")</f>
        <v>Not Found</v>
      </c>
      <c r="V1793" s="17" t="str">
        <f>_xlfn.XLOOKUP(Table2[[#This Row],[Adjusted Form '#]],[2]COMPLETED!$D:$D,[2]COMPLETED!$O:$O,"Not Found")</f>
        <v>Not Found</v>
      </c>
      <c r="W1793" s="2" t="str">
        <f>_xlfn.XLOOKUP(Table2[[#This Row],[Adjusted Form '#]],[2]BILLED!$D:$D,[2]BILLED!$M:$M,"Not Found")</f>
        <v>9400 1112 0620 9964 0412 18</v>
      </c>
      <c r="X1793" s="17" t="e">
        <f>_xlfn.XLOOKUP(Table2[[#This Row],[Adjusted Form '#]],[2]BILLED!$D:$D,[1]BILLED!$O:$O,"Not Found")</f>
        <v>#REF!</v>
      </c>
      <c r="Y1793" s="17" t="e">
        <f>_xlfn.XLOOKUP(Table2[[#This Row],[Adjusted Form '#]],'[2]REJECTED ORDERS'!$D:$D,'[2]REJECTED ORDERS'!$E:$E)</f>
        <v>#N/A</v>
      </c>
      <c r="Z1793" s="1"/>
      <c r="AA1793" s="1"/>
    </row>
    <row r="1794" spans="1:27" ht="15" customHeight="1" x14ac:dyDescent="0.35">
      <c r="A1794" s="4" t="s">
        <v>2664</v>
      </c>
      <c r="B1794" s="1" t="s">
        <v>3531</v>
      </c>
      <c r="C1794" s="11">
        <v>45202</v>
      </c>
      <c r="E1794" s="1" t="s">
        <v>73</v>
      </c>
      <c r="F1794" s="1" t="s">
        <v>7157</v>
      </c>
      <c r="G1794" s="6">
        <f>COUNTIF(F:F,Table2[[#This Row],[Form '#]])</f>
        <v>1</v>
      </c>
      <c r="H1794" s="1" t="s">
        <v>7158</v>
      </c>
      <c r="I1794" s="1" t="s">
        <v>3864</v>
      </c>
      <c r="J1794" s="1" t="s">
        <v>78</v>
      </c>
      <c r="K1794" s="1" t="s">
        <v>3879</v>
      </c>
      <c r="L1794" s="1"/>
      <c r="M1794" s="6" t="str">
        <f>IF(Table2[[#This Row],[Corrected Form '#
 (If Duplicated)]]="",Table2[[#This Row],[Form '#]],Table2[[#This Row],[Corrected Form '#
 (If Duplicated)]])</f>
        <v>7823-03414</v>
      </c>
      <c r="N1794" s="1" t="s">
        <v>49</v>
      </c>
      <c r="O1794" s="6" t="str">
        <f>IF(Table2[[#This Row],[POG CONFIRMATION RECEIPT OF ORDER
(DATE &amp; TIME)]]="","No Confirmation","Received Confirmation")</f>
        <v>No Confirmation</v>
      </c>
      <c r="P1794" s="6">
        <f ca="1">TODAY()-Table2[[#This Row],[DATE SENT TO POG]]</f>
        <v>101</v>
      </c>
      <c r="Q1794" s="6" t="s">
        <v>5802</v>
      </c>
      <c r="R17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79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794" s="2" t="str">
        <f>_xlfn.XLOOKUP(Table2[[#This Row],[Adjusted Form '#]],'[2]IN PROGRESS'!$D:$D,'[2]IN PROGRESS'!$M:$M,"Not Found")</f>
        <v>Not Found</v>
      </c>
      <c r="U1794" s="2" t="str">
        <f>_xlfn.XLOOKUP(Table2[[#This Row],[Adjusted Form '#]],[1]COMPLETED!$D:$D,[2]COMPLETED!$M:$M,"Not Found")</f>
        <v>Not Found</v>
      </c>
      <c r="V1794" s="17" t="str">
        <f>_xlfn.XLOOKUP(Table2[[#This Row],[Adjusted Form '#]],[2]COMPLETED!$D:$D,[2]COMPLETED!$O:$O,"Not Found")</f>
        <v>Not Found</v>
      </c>
      <c r="W1794" s="2" t="str">
        <f>_xlfn.XLOOKUP(Table2[[#This Row],[Adjusted Form '#]],[2]BILLED!$D:$D,[2]BILLED!$M:$M,"Not Found")</f>
        <v>Not Found</v>
      </c>
      <c r="X1794" s="17" t="str">
        <f>_xlfn.XLOOKUP(Table2[[#This Row],[Adjusted Form '#]],[2]BILLED!$D:$D,[1]BILLED!$O:$O,"Not Found")</f>
        <v>Not Found</v>
      </c>
      <c r="Y1794" s="17" t="e">
        <f>_xlfn.XLOOKUP(Table2[[#This Row],[Adjusted Form '#]],'[2]REJECTED ORDERS'!$D:$D,'[2]REJECTED ORDERS'!$E:$E)</f>
        <v>#N/A</v>
      </c>
      <c r="Z1794" s="1"/>
      <c r="AA1794" s="1"/>
    </row>
    <row r="1795" spans="1:27" ht="15" customHeight="1" x14ac:dyDescent="0.35">
      <c r="A1795" s="4" t="s">
        <v>2666</v>
      </c>
      <c r="B1795" s="1" t="s">
        <v>2424</v>
      </c>
      <c r="C1795" s="11">
        <v>45203</v>
      </c>
      <c r="D1795" s="11" t="s">
        <v>7166</v>
      </c>
      <c r="E1795" s="1" t="s">
        <v>191</v>
      </c>
      <c r="F1795" s="1" t="s">
        <v>7159</v>
      </c>
      <c r="G1795" s="6">
        <f>COUNTIF(F:F,Table2[[#This Row],[Form '#]])</f>
        <v>1</v>
      </c>
      <c r="H1795" s="1" t="s">
        <v>1420</v>
      </c>
      <c r="I1795" s="1" t="s">
        <v>127</v>
      </c>
      <c r="J1795" s="1" t="s">
        <v>74</v>
      </c>
      <c r="K1795" s="1" t="s">
        <v>3862</v>
      </c>
      <c r="L1795" s="1"/>
      <c r="M1795" s="6" t="str">
        <f>IF(Table2[[#This Row],[Corrected Form '#
 (If Duplicated)]]="",Table2[[#This Row],[Form '#]],Table2[[#This Row],[Corrected Form '#
 (If Duplicated)]])</f>
        <v>7812-01763</v>
      </c>
      <c r="N1795" s="1" t="s">
        <v>49</v>
      </c>
      <c r="O1795" s="6" t="str">
        <f>IF(Table2[[#This Row],[POG CONFIRMATION RECEIPT OF ORDER
(DATE &amp; TIME)]]="","No Confirmation","Received Confirmation")</f>
        <v>Received Confirmation</v>
      </c>
      <c r="P1795" s="6">
        <f ca="1">TODAY()-Table2[[#This Row],[DATE SENT TO POG]]</f>
        <v>100</v>
      </c>
      <c r="Q1795" s="6" t="s">
        <v>5803</v>
      </c>
      <c r="R17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5" s="2" t="str">
        <f>_xlfn.XLOOKUP(Table2[[#This Row],[Adjusted Form '#]],'[2]IN PROGRESS'!$D:$D,'[2]IN PROGRESS'!$M:$M,"Not Found")</f>
        <v>Not Found</v>
      </c>
      <c r="U1795" s="2" t="str">
        <f>_xlfn.XLOOKUP(Table2[[#This Row],[Adjusted Form '#]],[1]COMPLETED!$D:$D,[2]COMPLETED!$M:$M,"Not Found")</f>
        <v>Not Found</v>
      </c>
      <c r="V1795" s="17" t="str">
        <f>_xlfn.XLOOKUP(Table2[[#This Row],[Adjusted Form '#]],[2]COMPLETED!$D:$D,[2]COMPLETED!$O:$O,"Not Found")</f>
        <v>Not Found</v>
      </c>
      <c r="W1795" s="2" t="str">
        <f>_xlfn.XLOOKUP(Table2[[#This Row],[Adjusted Form '#]],[2]BILLED!$D:$D,[2]BILLED!$M:$M,"Not Found")</f>
        <v>9400 1361 0605 3471 9572 89</v>
      </c>
      <c r="X1795" s="17" t="e">
        <f>_xlfn.XLOOKUP(Table2[[#This Row],[Adjusted Form '#]],[2]BILLED!$D:$D,[1]BILLED!$O:$O,"Not Found")</f>
        <v>#REF!</v>
      </c>
      <c r="Y1795" s="17" t="e">
        <f>_xlfn.XLOOKUP(Table2[[#This Row],[Adjusted Form '#]],'[2]REJECTED ORDERS'!$D:$D,'[2]REJECTED ORDERS'!$E:$E)</f>
        <v>#N/A</v>
      </c>
      <c r="Z1795" s="1"/>
      <c r="AA1795" s="1"/>
    </row>
    <row r="1796" spans="1:27" ht="15" customHeight="1" x14ac:dyDescent="0.35">
      <c r="A1796" s="4" t="s">
        <v>2668</v>
      </c>
      <c r="B1796" s="1" t="s">
        <v>2424</v>
      </c>
      <c r="C1796" s="11">
        <v>45203</v>
      </c>
      <c r="D1796" s="11" t="s">
        <v>7166</v>
      </c>
      <c r="E1796" s="1" t="s">
        <v>191</v>
      </c>
      <c r="F1796" s="1" t="s">
        <v>7160</v>
      </c>
      <c r="G1796" s="6">
        <f>COUNTIF(F:F,Table2[[#This Row],[Form '#]])</f>
        <v>1</v>
      </c>
      <c r="H1796" s="1" t="s">
        <v>2047</v>
      </c>
      <c r="I1796" s="1" t="s">
        <v>177</v>
      </c>
      <c r="J1796" s="1" t="s">
        <v>75</v>
      </c>
      <c r="K1796" s="1" t="s">
        <v>3853</v>
      </c>
      <c r="L1796" s="1"/>
      <c r="M1796" s="6" t="str">
        <f>IF(Table2[[#This Row],[Corrected Form '#
 (If Duplicated)]]="",Table2[[#This Row],[Form '#]],Table2[[#This Row],[Corrected Form '#
 (If Duplicated)]])</f>
        <v>7812-04506</v>
      </c>
      <c r="N1796" s="1" t="s">
        <v>49</v>
      </c>
      <c r="O1796" s="6" t="str">
        <f>IF(Table2[[#This Row],[POG CONFIRMATION RECEIPT OF ORDER
(DATE &amp; TIME)]]="","No Confirmation","Received Confirmation")</f>
        <v>Received Confirmation</v>
      </c>
      <c r="P1796" s="6">
        <f ca="1">TODAY()-Table2[[#This Row],[DATE SENT TO POG]]</f>
        <v>100</v>
      </c>
      <c r="Q1796" s="6" t="s">
        <v>5803</v>
      </c>
      <c r="R17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6" s="2" t="str">
        <f>_xlfn.XLOOKUP(Table2[[#This Row],[Adjusted Form '#]],'[2]IN PROGRESS'!$D:$D,'[2]IN PROGRESS'!$M:$M,"Not Found")</f>
        <v>Not Found</v>
      </c>
      <c r="U1796" s="2" t="str">
        <f>_xlfn.XLOOKUP(Table2[[#This Row],[Adjusted Form '#]],[1]COMPLETED!$D:$D,[2]COMPLETED!$M:$M,"Not Found")</f>
        <v>Not Found</v>
      </c>
      <c r="V1796" s="17" t="str">
        <f>_xlfn.XLOOKUP(Table2[[#This Row],[Adjusted Form '#]],[2]COMPLETED!$D:$D,[2]COMPLETED!$O:$O,"Not Found")</f>
        <v>Not Found</v>
      </c>
      <c r="W1796" s="2" t="str">
        <f>_xlfn.XLOOKUP(Table2[[#This Row],[Adjusted Form '#]],[2]BILLED!$D:$D,[2]BILLED!$M:$M,"Not Found")</f>
        <v>9400 1361 0605 3496 2619 03</v>
      </c>
      <c r="X1796" s="17" t="e">
        <f>_xlfn.XLOOKUP(Table2[[#This Row],[Adjusted Form '#]],[2]BILLED!$D:$D,[1]BILLED!$O:$O,"Not Found")</f>
        <v>#REF!</v>
      </c>
      <c r="Y1796" s="17" t="e">
        <f>_xlfn.XLOOKUP(Table2[[#This Row],[Adjusted Form '#]],'[2]REJECTED ORDERS'!$D:$D,'[2]REJECTED ORDERS'!$E:$E)</f>
        <v>#N/A</v>
      </c>
      <c r="Z1796" s="1"/>
      <c r="AA1796" s="1"/>
    </row>
    <row r="1797" spans="1:27" ht="15" customHeight="1" x14ac:dyDescent="0.35">
      <c r="A1797" s="4" t="s">
        <v>2669</v>
      </c>
      <c r="B1797" s="1" t="s">
        <v>2424</v>
      </c>
      <c r="C1797" s="11">
        <v>45203</v>
      </c>
      <c r="D1797" s="11" t="s">
        <v>7166</v>
      </c>
      <c r="E1797" s="1" t="s">
        <v>191</v>
      </c>
      <c r="F1797" s="1" t="s">
        <v>7161</v>
      </c>
      <c r="G1797" s="6">
        <f>COUNTIF(F:F,Table2[[#This Row],[Form '#]])</f>
        <v>1</v>
      </c>
      <c r="H1797" s="1" t="s">
        <v>3634</v>
      </c>
      <c r="I1797" s="1" t="s">
        <v>127</v>
      </c>
      <c r="J1797" s="1" t="s">
        <v>74</v>
      </c>
      <c r="K1797" s="1" t="s">
        <v>3919</v>
      </c>
      <c r="L1797" s="1"/>
      <c r="M1797" s="6" t="str">
        <f>IF(Table2[[#This Row],[Corrected Form '#
 (If Duplicated)]]="",Table2[[#This Row],[Form '#]],Table2[[#This Row],[Corrected Form '#
 (If Duplicated)]])</f>
        <v>7812-04526</v>
      </c>
      <c r="N1797" s="1" t="s">
        <v>49</v>
      </c>
      <c r="O1797" s="6" t="str">
        <f>IF(Table2[[#This Row],[POG CONFIRMATION RECEIPT OF ORDER
(DATE &amp; TIME)]]="","No Confirmation","Received Confirmation")</f>
        <v>Received Confirmation</v>
      </c>
      <c r="P1797" s="6">
        <f ca="1">TODAY()-Table2[[#This Row],[DATE SENT TO POG]]</f>
        <v>100</v>
      </c>
      <c r="Q1797" s="6" t="s">
        <v>5803</v>
      </c>
      <c r="R17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7" s="2" t="str">
        <f>_xlfn.XLOOKUP(Table2[[#This Row],[Adjusted Form '#]],'[2]IN PROGRESS'!$D:$D,'[2]IN PROGRESS'!$M:$M,"Not Found")</f>
        <v>Not Found</v>
      </c>
      <c r="U1797" s="2" t="str">
        <f>_xlfn.XLOOKUP(Table2[[#This Row],[Adjusted Form '#]],[1]COMPLETED!$D:$D,[2]COMPLETED!$M:$M,"Not Found")</f>
        <v>Not Found</v>
      </c>
      <c r="V1797" s="17" t="str">
        <f>_xlfn.XLOOKUP(Table2[[#This Row],[Adjusted Form '#]],[2]COMPLETED!$D:$D,[2]COMPLETED!$O:$O,"Not Found")</f>
        <v>Not Found</v>
      </c>
      <c r="W1797" s="2" t="str">
        <f>_xlfn.XLOOKUP(Table2[[#This Row],[Adjusted Form '#]],[2]BILLED!$D:$D,[2]BILLED!$M:$M,"Not Found")</f>
        <v>9400 1361 0605 3487 4552 29</v>
      </c>
      <c r="X1797" s="17" t="e">
        <f>_xlfn.XLOOKUP(Table2[[#This Row],[Adjusted Form '#]],[2]BILLED!$D:$D,[1]BILLED!$O:$O,"Not Found")</f>
        <v>#REF!</v>
      </c>
      <c r="Y1797" s="17" t="e">
        <f>_xlfn.XLOOKUP(Table2[[#This Row],[Adjusted Form '#]],'[2]REJECTED ORDERS'!$D:$D,'[2]REJECTED ORDERS'!$E:$E)</f>
        <v>#N/A</v>
      </c>
      <c r="Z1797" s="1"/>
      <c r="AA1797" s="1"/>
    </row>
    <row r="1798" spans="1:27" ht="15" customHeight="1" x14ac:dyDescent="0.35">
      <c r="A1798" s="4" t="s">
        <v>2671</v>
      </c>
      <c r="B1798" s="1" t="s">
        <v>3602</v>
      </c>
      <c r="C1798" s="11">
        <v>45203</v>
      </c>
      <c r="D1798" s="11" t="s">
        <v>7174</v>
      </c>
      <c r="E1798" s="1" t="s">
        <v>21</v>
      </c>
      <c r="F1798" s="1" t="s">
        <v>7162</v>
      </c>
      <c r="G1798" s="6">
        <f>COUNTIF(F:F,Table2[[#This Row],[Form '#]])</f>
        <v>1</v>
      </c>
      <c r="H1798" s="1" t="s">
        <v>7163</v>
      </c>
      <c r="I1798" s="1" t="s">
        <v>758</v>
      </c>
      <c r="J1798" s="1" t="s">
        <v>78</v>
      </c>
      <c r="K1798" s="1" t="s">
        <v>3853</v>
      </c>
      <c r="L1798" s="1"/>
      <c r="M1798" s="6" t="str">
        <f>IF(Table2[[#This Row],[Corrected Form '#
 (If Duplicated)]]="",Table2[[#This Row],[Form '#]],Table2[[#This Row],[Corrected Form '#
 (If Duplicated)]])</f>
        <v>7818-18635</v>
      </c>
      <c r="N1798" s="1" t="s">
        <v>49</v>
      </c>
      <c r="O1798" s="6" t="str">
        <f>IF(Table2[[#This Row],[POG CONFIRMATION RECEIPT OF ORDER
(DATE &amp; TIME)]]="","No Confirmation","Received Confirmation")</f>
        <v>Received Confirmation</v>
      </c>
      <c r="P1798" s="6">
        <f ca="1">TODAY()-Table2[[#This Row],[DATE SENT TO POG]]</f>
        <v>100</v>
      </c>
      <c r="Q1798" s="6" t="s">
        <v>5803</v>
      </c>
      <c r="R17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7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798" s="2" t="str">
        <f>_xlfn.XLOOKUP(Table2[[#This Row],[Adjusted Form '#]],'[2]IN PROGRESS'!$D:$D,'[2]IN PROGRESS'!$M:$M,"Not Found")</f>
        <v>Not Found</v>
      </c>
      <c r="U1798" s="2" t="str">
        <f>_xlfn.XLOOKUP(Table2[[#This Row],[Adjusted Form '#]],[1]COMPLETED!$D:$D,[2]COMPLETED!$M:$M,"Not Found")</f>
        <v>Not Found</v>
      </c>
      <c r="V1798" s="17" t="str">
        <f>_xlfn.XLOOKUP(Table2[[#This Row],[Adjusted Form '#]],[2]COMPLETED!$D:$D,[2]COMPLETED!$O:$O,"Not Found")</f>
        <v>Not Found</v>
      </c>
      <c r="W1798" s="2" t="str">
        <f>_xlfn.XLOOKUP(Table2[[#This Row],[Adjusted Form '#]],[2]BILLED!$D:$D,[2]BILLED!$M:$M,"Not Found")</f>
        <v>9400 1361 0605 3471 9727 32</v>
      </c>
      <c r="X1798" s="17" t="e">
        <f>_xlfn.XLOOKUP(Table2[[#This Row],[Adjusted Form '#]],[2]BILLED!$D:$D,[1]BILLED!$O:$O,"Not Found")</f>
        <v>#REF!</v>
      </c>
      <c r="Y1798" s="17" t="e">
        <f>_xlfn.XLOOKUP(Table2[[#This Row],[Adjusted Form '#]],'[2]REJECTED ORDERS'!$D:$D,'[2]REJECTED ORDERS'!$E:$E)</f>
        <v>#N/A</v>
      </c>
      <c r="Z1798" s="1"/>
      <c r="AA1798" s="1"/>
    </row>
    <row r="1799" spans="1:27" ht="15" customHeight="1" x14ac:dyDescent="0.35">
      <c r="A1799" s="4" t="s">
        <v>2673</v>
      </c>
      <c r="B1799" s="1" t="s">
        <v>3602</v>
      </c>
      <c r="C1799" s="11">
        <v>45203</v>
      </c>
      <c r="D1799" s="11" t="s">
        <v>7174</v>
      </c>
      <c r="E1799" s="1" t="s">
        <v>21</v>
      </c>
      <c r="F1799" s="1" t="s">
        <v>7164</v>
      </c>
      <c r="G1799" s="6">
        <f>COUNTIF(F:F,Table2[[#This Row],[Form '#]])</f>
        <v>1</v>
      </c>
      <c r="H1799" s="1" t="s">
        <v>3484</v>
      </c>
      <c r="I1799" s="1" t="s">
        <v>177</v>
      </c>
      <c r="J1799" s="1" t="s">
        <v>75</v>
      </c>
      <c r="K1799" s="1" t="s">
        <v>3853</v>
      </c>
      <c r="L1799" s="1"/>
      <c r="M1799" s="6" t="str">
        <f>IF(Table2[[#This Row],[Corrected Form '#
 (If Duplicated)]]="",Table2[[#This Row],[Form '#]],Table2[[#This Row],[Corrected Form '#
 (If Duplicated)]])</f>
        <v>7818-27606</v>
      </c>
      <c r="N1799" s="1" t="s">
        <v>49</v>
      </c>
      <c r="O1799" s="6" t="str">
        <f>IF(Table2[[#This Row],[POG CONFIRMATION RECEIPT OF ORDER
(DATE &amp; TIME)]]="","No Confirmation","Received Confirmation")</f>
        <v>Received Confirmation</v>
      </c>
      <c r="P1799" s="6">
        <f ca="1">TODAY()-Table2[[#This Row],[DATE SENT TO POG]]</f>
        <v>100</v>
      </c>
      <c r="Q1799" s="6" t="s">
        <v>5802</v>
      </c>
      <c r="R17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79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799" s="2" t="str">
        <f>_xlfn.XLOOKUP(Table2[[#This Row],[Adjusted Form '#]],'[2]IN PROGRESS'!$D:$D,'[2]IN PROGRESS'!$M:$M,"Not Found")</f>
        <v>Not Found</v>
      </c>
      <c r="U1799" s="2" t="str">
        <f>_xlfn.XLOOKUP(Table2[[#This Row],[Adjusted Form '#]],[1]COMPLETED!$D:$D,[2]COMPLETED!$M:$M,"Not Found")</f>
        <v>Not Found</v>
      </c>
      <c r="V1799" s="17" t="str">
        <f>_xlfn.XLOOKUP(Table2[[#This Row],[Adjusted Form '#]],[2]COMPLETED!$D:$D,[2]COMPLETED!$O:$O,"Not Found")</f>
        <v>Not Found</v>
      </c>
      <c r="W1799" s="2" t="str">
        <f>_xlfn.XLOOKUP(Table2[[#This Row],[Adjusted Form '#]],[2]BILLED!$D:$D,[2]BILLED!$M:$M,"Not Found")</f>
        <v>Not Found</v>
      </c>
      <c r="X1799" s="17" t="str">
        <f>_xlfn.XLOOKUP(Table2[[#This Row],[Adjusted Form '#]],[2]BILLED!$D:$D,[1]BILLED!$O:$O,"Not Found")</f>
        <v>Not Found</v>
      </c>
      <c r="Y1799" s="17" t="e">
        <f>_xlfn.XLOOKUP(Table2[[#This Row],[Adjusted Form '#]],'[2]REJECTED ORDERS'!$D:$D,'[2]REJECTED ORDERS'!$E:$E)</f>
        <v>#N/A</v>
      </c>
      <c r="Z1799" s="1"/>
      <c r="AA1799" s="1"/>
    </row>
    <row r="1800" spans="1:27" ht="15" customHeight="1" x14ac:dyDescent="0.35">
      <c r="A1800" s="4" t="s">
        <v>2675</v>
      </c>
      <c r="B1800" s="1" t="s">
        <v>3602</v>
      </c>
      <c r="C1800" s="11">
        <v>45203</v>
      </c>
      <c r="D1800" s="11" t="s">
        <v>7174</v>
      </c>
      <c r="E1800" s="1" t="s">
        <v>21</v>
      </c>
      <c r="F1800" s="1" t="s">
        <v>7165</v>
      </c>
      <c r="G1800" s="6">
        <f>COUNTIF(F:F,Table2[[#This Row],[Form '#]])</f>
        <v>1</v>
      </c>
      <c r="H1800" s="1" t="s">
        <v>1936</v>
      </c>
      <c r="I1800" s="1" t="s">
        <v>127</v>
      </c>
      <c r="J1800" s="1" t="s">
        <v>76</v>
      </c>
      <c r="K1800" s="1" t="s">
        <v>3862</v>
      </c>
      <c r="L1800" s="1"/>
      <c r="M1800" s="6" t="str">
        <f>IF(Table2[[#This Row],[Corrected Form '#
 (If Duplicated)]]="",Table2[[#This Row],[Form '#]],Table2[[#This Row],[Corrected Form '#
 (If Duplicated)]])</f>
        <v>7818-27405</v>
      </c>
      <c r="N1800" s="1" t="s">
        <v>49</v>
      </c>
      <c r="O1800" s="6" t="str">
        <f>IF(Table2[[#This Row],[POG CONFIRMATION RECEIPT OF ORDER
(DATE &amp; TIME)]]="","No Confirmation","Received Confirmation")</f>
        <v>Received Confirmation</v>
      </c>
      <c r="P1800" s="6">
        <f ca="1">TODAY()-Table2[[#This Row],[DATE SENT TO POG]]</f>
        <v>100</v>
      </c>
      <c r="Q1800" s="6" t="s">
        <v>5803</v>
      </c>
      <c r="R18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0" s="2" t="str">
        <f>_xlfn.XLOOKUP(Table2[[#This Row],[Adjusted Form '#]],'[2]IN PROGRESS'!$D:$D,'[2]IN PROGRESS'!$M:$M,"Not Found")</f>
        <v>Not Found</v>
      </c>
      <c r="U1800" s="2" t="str">
        <f>_xlfn.XLOOKUP(Table2[[#This Row],[Adjusted Form '#]],[1]COMPLETED!$D:$D,[2]COMPLETED!$M:$M,"Not Found")</f>
        <v>Not Found</v>
      </c>
      <c r="V1800" s="17" t="str">
        <f>_xlfn.XLOOKUP(Table2[[#This Row],[Adjusted Form '#]],[2]COMPLETED!$D:$D,[2]COMPLETED!$O:$O,"Not Found")</f>
        <v>Not Found</v>
      </c>
      <c r="W1800" s="2" t="str">
        <f>_xlfn.XLOOKUP(Table2[[#This Row],[Adjusted Form '#]],[2]BILLED!$D:$D,[2]BILLED!$M:$M,"Not Found")</f>
        <v>9400 1361 0605 3491 0415 79</v>
      </c>
      <c r="X1800" s="17" t="e">
        <f>_xlfn.XLOOKUP(Table2[[#This Row],[Adjusted Form '#]],[2]BILLED!$D:$D,[1]BILLED!$O:$O,"Not Found")</f>
        <v>#REF!</v>
      </c>
      <c r="Y1800" s="17" t="e">
        <f>_xlfn.XLOOKUP(Table2[[#This Row],[Adjusted Form '#]],'[2]REJECTED ORDERS'!$D:$D,'[2]REJECTED ORDERS'!$E:$E)</f>
        <v>#N/A</v>
      </c>
      <c r="Z1800" s="1"/>
      <c r="AA1800" s="1"/>
    </row>
    <row r="1801" spans="1:27" ht="15" customHeight="1" x14ac:dyDescent="0.35">
      <c r="A1801" s="4" t="s">
        <v>2677</v>
      </c>
      <c r="B1801" s="1" t="s">
        <v>3669</v>
      </c>
      <c r="C1801" s="11">
        <v>45203</v>
      </c>
      <c r="D1801" s="11" t="s">
        <v>7175</v>
      </c>
      <c r="E1801" s="1" t="s">
        <v>73</v>
      </c>
      <c r="F1801" s="1" t="s">
        <v>7167</v>
      </c>
      <c r="G1801" s="6">
        <f>COUNTIF(F:F,Table2[[#This Row],[Form '#]])</f>
        <v>1</v>
      </c>
      <c r="H1801" s="1" t="s">
        <v>7168</v>
      </c>
      <c r="I1801" s="1" t="s">
        <v>3852</v>
      </c>
      <c r="J1801" s="1" t="s">
        <v>80</v>
      </c>
      <c r="K1801" s="1" t="s">
        <v>3853</v>
      </c>
      <c r="L1801" s="1"/>
      <c r="M1801" s="6" t="str">
        <f>IF(Table2[[#This Row],[Corrected Form '#
 (If Duplicated)]]="",Table2[[#This Row],[Form '#]],Table2[[#This Row],[Corrected Form '#
 (If Duplicated)]])</f>
        <v>7823-02244</v>
      </c>
      <c r="N1801" s="1" t="s">
        <v>49</v>
      </c>
      <c r="O1801" s="6" t="str">
        <f>IF(Table2[[#This Row],[POG CONFIRMATION RECEIPT OF ORDER
(DATE &amp; TIME)]]="","No Confirmation","Received Confirmation")</f>
        <v>Received Confirmation</v>
      </c>
      <c r="P1801" s="6">
        <f ca="1">TODAY()-Table2[[#This Row],[DATE SENT TO POG]]</f>
        <v>100</v>
      </c>
      <c r="Q1801" s="6" t="s">
        <v>5803</v>
      </c>
      <c r="R18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1" s="2" t="str">
        <f>_xlfn.XLOOKUP(Table2[[#This Row],[Adjusted Form '#]],'[2]IN PROGRESS'!$D:$D,'[2]IN PROGRESS'!$M:$M,"Not Found")</f>
        <v>Not Found</v>
      </c>
      <c r="U1801" s="2" t="str">
        <f>_xlfn.XLOOKUP(Table2[[#This Row],[Adjusted Form '#]],[1]COMPLETED!$D:$D,[2]COMPLETED!$M:$M,"Not Found")</f>
        <v>Not Found</v>
      </c>
      <c r="V1801" s="17" t="str">
        <f>_xlfn.XLOOKUP(Table2[[#This Row],[Adjusted Form '#]],[2]COMPLETED!$D:$D,[2]COMPLETED!$O:$O,"Not Found")</f>
        <v>Not Found</v>
      </c>
      <c r="W1801" s="2" t="str">
        <f>_xlfn.XLOOKUP(Table2[[#This Row],[Adjusted Form '#]],[2]BILLED!$D:$D,[2]BILLED!$M:$M,"Not Found")</f>
        <v>9400 1361 0605 3487 4738 41</v>
      </c>
      <c r="X1801" s="17" t="e">
        <f>_xlfn.XLOOKUP(Table2[[#This Row],[Adjusted Form '#]],[2]BILLED!$D:$D,[1]BILLED!$O:$O,"Not Found")</f>
        <v>#REF!</v>
      </c>
      <c r="Y1801" s="17" t="e">
        <f>_xlfn.XLOOKUP(Table2[[#This Row],[Adjusted Form '#]],'[2]REJECTED ORDERS'!$D:$D,'[2]REJECTED ORDERS'!$E:$E)</f>
        <v>#N/A</v>
      </c>
      <c r="Z1801" s="1"/>
      <c r="AA1801" s="1"/>
    </row>
    <row r="1802" spans="1:27" ht="15" customHeight="1" x14ac:dyDescent="0.35">
      <c r="A1802" s="4" t="s">
        <v>2678</v>
      </c>
      <c r="B1802" s="1" t="s">
        <v>3669</v>
      </c>
      <c r="C1802" s="11">
        <v>45203</v>
      </c>
      <c r="D1802" s="11" t="s">
        <v>7175</v>
      </c>
      <c r="E1802" s="1" t="s">
        <v>73</v>
      </c>
      <c r="F1802" s="1" t="s">
        <v>7169</v>
      </c>
      <c r="G1802" s="6">
        <f>COUNTIF(F:F,Table2[[#This Row],[Form '#]])</f>
        <v>1</v>
      </c>
      <c r="H1802" s="1" t="s">
        <v>3539</v>
      </c>
      <c r="I1802" s="1" t="s">
        <v>127</v>
      </c>
      <c r="J1802" s="1" t="s">
        <v>74</v>
      </c>
      <c r="K1802" s="1" t="s">
        <v>3919</v>
      </c>
      <c r="L1802" s="1"/>
      <c r="M1802" s="6" t="str">
        <f>IF(Table2[[#This Row],[Corrected Form '#
 (If Duplicated)]]="",Table2[[#This Row],[Form '#]],Table2[[#This Row],[Corrected Form '#
 (If Duplicated)]])</f>
        <v>7823-02243</v>
      </c>
      <c r="N1802" s="1" t="s">
        <v>49</v>
      </c>
      <c r="O1802" s="6" t="str">
        <f>IF(Table2[[#This Row],[POG CONFIRMATION RECEIPT OF ORDER
(DATE &amp; TIME)]]="","No Confirmation","Received Confirmation")</f>
        <v>Received Confirmation</v>
      </c>
      <c r="P1802" s="6">
        <f ca="1">TODAY()-Table2[[#This Row],[DATE SENT TO POG]]</f>
        <v>100</v>
      </c>
      <c r="Q1802" s="6" t="s">
        <v>5803</v>
      </c>
      <c r="R18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2" s="2" t="str">
        <f>_xlfn.XLOOKUP(Table2[[#This Row],[Adjusted Form '#]],'[2]IN PROGRESS'!$D:$D,'[2]IN PROGRESS'!$M:$M,"Not Found")</f>
        <v>Not Found</v>
      </c>
      <c r="U1802" s="2" t="str">
        <f>_xlfn.XLOOKUP(Table2[[#This Row],[Adjusted Form '#]],[1]COMPLETED!$D:$D,[2]COMPLETED!$M:$M,"Not Found")</f>
        <v>Not Found</v>
      </c>
      <c r="V1802" s="17" t="str">
        <f>_xlfn.XLOOKUP(Table2[[#This Row],[Adjusted Form '#]],[2]COMPLETED!$D:$D,[2]COMPLETED!$O:$O,"Not Found")</f>
        <v>Not Found</v>
      </c>
      <c r="W1802" s="2" t="str">
        <f>_xlfn.XLOOKUP(Table2[[#This Row],[Adjusted Form '#]],[2]BILLED!$D:$D,[2]BILLED!$M:$M,"Not Found")</f>
        <v>9400 1112 0620 9903 5285 03</v>
      </c>
      <c r="X1802" s="17" t="e">
        <f>_xlfn.XLOOKUP(Table2[[#This Row],[Adjusted Form '#]],[2]BILLED!$D:$D,[1]BILLED!$O:$O,"Not Found")</f>
        <v>#REF!</v>
      </c>
      <c r="Y1802" s="17" t="e">
        <f>_xlfn.XLOOKUP(Table2[[#This Row],[Adjusted Form '#]],'[2]REJECTED ORDERS'!$D:$D,'[2]REJECTED ORDERS'!$E:$E)</f>
        <v>#N/A</v>
      </c>
      <c r="Z1802" s="1"/>
      <c r="AA1802" s="1"/>
    </row>
    <row r="1803" spans="1:27" ht="15" customHeight="1" x14ac:dyDescent="0.35">
      <c r="A1803" s="4" t="s">
        <v>2680</v>
      </c>
      <c r="B1803" s="1" t="s">
        <v>3669</v>
      </c>
      <c r="C1803" s="11">
        <v>45203</v>
      </c>
      <c r="D1803" s="11" t="s">
        <v>7175</v>
      </c>
      <c r="E1803" s="1" t="s">
        <v>73</v>
      </c>
      <c r="F1803" s="1" t="s">
        <v>7170</v>
      </c>
      <c r="G1803" s="6">
        <f>COUNTIF(F:F,Table2[[#This Row],[Form '#]])</f>
        <v>1</v>
      </c>
      <c r="H1803" s="1" t="s">
        <v>7171</v>
      </c>
      <c r="I1803" s="1" t="s">
        <v>3864</v>
      </c>
      <c r="J1803" s="1" t="s">
        <v>78</v>
      </c>
      <c r="K1803" s="1" t="s">
        <v>3879</v>
      </c>
      <c r="L1803" s="1"/>
      <c r="M1803" s="6" t="str">
        <f>IF(Table2[[#This Row],[Corrected Form '#
 (If Duplicated)]]="",Table2[[#This Row],[Form '#]],Table2[[#This Row],[Corrected Form '#
 (If Duplicated)]])</f>
        <v>7823-02237</v>
      </c>
      <c r="N1803" s="1" t="s">
        <v>49</v>
      </c>
      <c r="O1803" s="6" t="str">
        <f>IF(Table2[[#This Row],[POG CONFIRMATION RECEIPT OF ORDER
(DATE &amp; TIME)]]="","No Confirmation","Received Confirmation")</f>
        <v>Received Confirmation</v>
      </c>
      <c r="P1803" s="6">
        <f ca="1">TODAY()-Table2[[#This Row],[DATE SENT TO POG]]</f>
        <v>100</v>
      </c>
      <c r="Q1803" s="6" t="s">
        <v>5803</v>
      </c>
      <c r="R18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3" s="2" t="str">
        <f>_xlfn.XLOOKUP(Table2[[#This Row],[Adjusted Form '#]],'[2]IN PROGRESS'!$D:$D,'[2]IN PROGRESS'!$M:$M,"Not Found")</f>
        <v>Not Found</v>
      </c>
      <c r="U1803" s="2" t="str">
        <f>_xlfn.XLOOKUP(Table2[[#This Row],[Adjusted Form '#]],[1]COMPLETED!$D:$D,[2]COMPLETED!$M:$M,"Not Found")</f>
        <v>Not Found</v>
      </c>
      <c r="V1803" s="17" t="str">
        <f>_xlfn.XLOOKUP(Table2[[#This Row],[Adjusted Form '#]],[2]COMPLETED!$D:$D,[2]COMPLETED!$O:$O,"Not Found")</f>
        <v>Not Found</v>
      </c>
      <c r="W1803" s="2" t="str">
        <f>_xlfn.XLOOKUP(Table2[[#This Row],[Adjusted Form '#]],[2]BILLED!$D:$D,[2]BILLED!$M:$M,"Not Found")</f>
        <v>9400 1361 0605 3478 2748 91</v>
      </c>
      <c r="X1803" s="17" t="e">
        <f>_xlfn.XLOOKUP(Table2[[#This Row],[Adjusted Form '#]],[2]BILLED!$D:$D,[1]BILLED!$O:$O,"Not Found")</f>
        <v>#REF!</v>
      </c>
      <c r="Y1803" s="17" t="e">
        <f>_xlfn.XLOOKUP(Table2[[#This Row],[Adjusted Form '#]],'[2]REJECTED ORDERS'!$D:$D,'[2]REJECTED ORDERS'!$E:$E)</f>
        <v>#N/A</v>
      </c>
      <c r="Z1803" s="1"/>
      <c r="AA1803" s="1"/>
    </row>
    <row r="1804" spans="1:27" ht="15" customHeight="1" x14ac:dyDescent="0.35">
      <c r="A1804" s="4" t="s">
        <v>2681</v>
      </c>
      <c r="B1804" s="1" t="s">
        <v>3669</v>
      </c>
      <c r="C1804" s="11">
        <v>45203</v>
      </c>
      <c r="D1804" s="11" t="s">
        <v>7175</v>
      </c>
      <c r="E1804" s="1" t="s">
        <v>73</v>
      </c>
      <c r="F1804" s="1" t="s">
        <v>7172</v>
      </c>
      <c r="G1804" s="6">
        <f>COUNTIF(F:F,Table2[[#This Row],[Form '#]])</f>
        <v>1</v>
      </c>
      <c r="H1804" s="1" t="s">
        <v>7173</v>
      </c>
      <c r="I1804" s="1" t="s">
        <v>177</v>
      </c>
      <c r="J1804" s="1" t="s">
        <v>75</v>
      </c>
      <c r="K1804" s="1" t="s">
        <v>3853</v>
      </c>
      <c r="L1804" s="1"/>
      <c r="M1804" s="6" t="str">
        <f>IF(Table2[[#This Row],[Corrected Form '#
 (If Duplicated)]]="",Table2[[#This Row],[Form '#]],Table2[[#This Row],[Corrected Form '#
 (If Duplicated)]])</f>
        <v>7823-02611</v>
      </c>
      <c r="N1804" s="1" t="s">
        <v>49</v>
      </c>
      <c r="O1804" s="6" t="str">
        <f>IF(Table2[[#This Row],[POG CONFIRMATION RECEIPT OF ORDER
(DATE &amp; TIME)]]="","No Confirmation","Received Confirmation")</f>
        <v>Received Confirmation</v>
      </c>
      <c r="P1804" s="6">
        <f ca="1">TODAY()-Table2[[#This Row],[DATE SENT TO POG]]</f>
        <v>100</v>
      </c>
      <c r="Q1804" s="6" t="s">
        <v>5803</v>
      </c>
      <c r="R18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4" s="2" t="str">
        <f>_xlfn.XLOOKUP(Table2[[#This Row],[Adjusted Form '#]],'[2]IN PROGRESS'!$D:$D,'[2]IN PROGRESS'!$M:$M,"Not Found")</f>
        <v>Not Found</v>
      </c>
      <c r="U1804" s="2" t="str">
        <f>_xlfn.XLOOKUP(Table2[[#This Row],[Adjusted Form '#]],[1]COMPLETED!$D:$D,[2]COMPLETED!$M:$M,"Not Found")</f>
        <v>Not Found</v>
      </c>
      <c r="V1804" s="17" t="str">
        <f>_xlfn.XLOOKUP(Table2[[#This Row],[Adjusted Form '#]],[2]COMPLETED!$D:$D,[2]COMPLETED!$O:$O,"Not Found")</f>
        <v>Not Found</v>
      </c>
      <c r="W1804" s="2" t="str">
        <f>_xlfn.XLOOKUP(Table2[[#This Row],[Adjusted Form '#]],[2]BILLED!$D:$D,[2]BILLED!$M:$M,"Not Found")</f>
        <v>9400 1361 0605 3503 6375 78</v>
      </c>
      <c r="X1804" s="17" t="e">
        <f>_xlfn.XLOOKUP(Table2[[#This Row],[Adjusted Form '#]],[2]BILLED!$D:$D,[1]BILLED!$O:$O,"Not Found")</f>
        <v>#REF!</v>
      </c>
      <c r="Y1804" s="17" t="e">
        <f>_xlfn.XLOOKUP(Table2[[#This Row],[Adjusted Form '#]],'[2]REJECTED ORDERS'!$D:$D,'[2]REJECTED ORDERS'!$E:$E)</f>
        <v>#N/A</v>
      </c>
      <c r="Z1804" s="1"/>
      <c r="AA1804" s="1"/>
    </row>
    <row r="1805" spans="1:27" ht="15" customHeight="1" x14ac:dyDescent="0.35">
      <c r="A1805" s="4" t="s">
        <v>2684</v>
      </c>
      <c r="B1805" s="1" t="s">
        <v>3669</v>
      </c>
      <c r="C1805" s="11">
        <v>45203</v>
      </c>
      <c r="D1805" s="11" t="s">
        <v>7175</v>
      </c>
      <c r="E1805" s="1" t="s">
        <v>73</v>
      </c>
      <c r="F1805" s="1" t="s">
        <v>6229</v>
      </c>
      <c r="G1805" s="6">
        <f>COUNTIF(F:F,Table2[[#This Row],[Form '#]])</f>
        <v>2</v>
      </c>
      <c r="H1805" s="1" t="s">
        <v>6230</v>
      </c>
      <c r="I1805" s="1" t="s">
        <v>3852</v>
      </c>
      <c r="J1805" s="1" t="s">
        <v>80</v>
      </c>
      <c r="K1805" s="1" t="s">
        <v>3853</v>
      </c>
      <c r="L1805" s="1"/>
      <c r="M1805" s="6" t="str">
        <f>IF(Table2[[#This Row],[Corrected Form '#
 (If Duplicated)]]="",Table2[[#This Row],[Form '#]],Table2[[#This Row],[Corrected Form '#
 (If Duplicated)]])</f>
        <v>7823-02238</v>
      </c>
      <c r="N1805" s="1" t="s">
        <v>49</v>
      </c>
      <c r="O1805" s="6" t="str">
        <f>IF(Table2[[#This Row],[POG CONFIRMATION RECEIPT OF ORDER
(DATE &amp; TIME)]]="","No Confirmation","Received Confirmation")</f>
        <v>Received Confirmation</v>
      </c>
      <c r="P1805" s="6">
        <f ca="1">TODAY()-Table2[[#This Row],[DATE SENT TO POG]]</f>
        <v>100</v>
      </c>
      <c r="Q1805" s="6" t="s">
        <v>5803</v>
      </c>
      <c r="R18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5" s="2" t="str">
        <f>_xlfn.XLOOKUP(Table2[[#This Row],[Adjusted Form '#]],'[2]IN PROGRESS'!$D:$D,'[2]IN PROGRESS'!$M:$M,"Not Found")</f>
        <v>Not Found</v>
      </c>
      <c r="U1805" s="2" t="str">
        <f>_xlfn.XLOOKUP(Table2[[#This Row],[Adjusted Form '#]],[1]COMPLETED!$D:$D,[2]COMPLETED!$M:$M,"Not Found")</f>
        <v>Not Found</v>
      </c>
      <c r="V1805" s="17" t="str">
        <f>_xlfn.XLOOKUP(Table2[[#This Row],[Adjusted Form '#]],[2]COMPLETED!$D:$D,[2]COMPLETED!$O:$O,"Not Found")</f>
        <v>Not Found</v>
      </c>
      <c r="W1805" s="2" t="str">
        <f>_xlfn.XLOOKUP(Table2[[#This Row],[Adjusted Form '#]],[2]BILLED!$D:$D,[2]BILLED!$M:$M,"Not Found")</f>
        <v>9400 1361 0605 3072 3635 19</v>
      </c>
      <c r="X1805" s="17" t="e">
        <f>_xlfn.XLOOKUP(Table2[[#This Row],[Adjusted Form '#]],[2]BILLED!$D:$D,[1]BILLED!$O:$O,"Not Found")</f>
        <v>#REF!</v>
      </c>
      <c r="Y1805" s="17" t="e">
        <f>_xlfn.XLOOKUP(Table2[[#This Row],[Adjusted Form '#]],'[2]REJECTED ORDERS'!$D:$D,'[2]REJECTED ORDERS'!$E:$E)</f>
        <v>#N/A</v>
      </c>
      <c r="Z1805" s="1"/>
      <c r="AA1805" s="1"/>
    </row>
    <row r="1806" spans="1:27" ht="15" customHeight="1" x14ac:dyDescent="0.35">
      <c r="A1806" s="4" t="s">
        <v>2685</v>
      </c>
      <c r="B1806" s="1" t="s">
        <v>7134</v>
      </c>
      <c r="C1806" s="11">
        <v>45204</v>
      </c>
      <c r="E1806" s="1" t="s">
        <v>73</v>
      </c>
      <c r="F1806" s="1" t="s">
        <v>6941</v>
      </c>
      <c r="G1806" s="6">
        <f>COUNTIF(F:F,Table2[[#This Row],[Form '#]])</f>
        <v>2</v>
      </c>
      <c r="H1806" s="1" t="s">
        <v>6942</v>
      </c>
      <c r="I1806" s="1" t="s">
        <v>28</v>
      </c>
      <c r="J1806" s="1" t="s">
        <v>69</v>
      </c>
      <c r="K1806" s="1" t="s">
        <v>3898</v>
      </c>
      <c r="L1806" s="1"/>
      <c r="M1806" s="6" t="str">
        <f>IF(Table2[[#This Row],[Corrected Form '#
 (If Duplicated)]]="",Table2[[#This Row],[Form '#]],Table2[[#This Row],[Corrected Form '#
 (If Duplicated)]])</f>
        <v>7823-02445</v>
      </c>
      <c r="N1806" s="1" t="s">
        <v>49</v>
      </c>
      <c r="O1806" s="6" t="str">
        <f>IF(Table2[[#This Row],[POG CONFIRMATION RECEIPT OF ORDER
(DATE &amp; TIME)]]="","No Confirmation","Received Confirmation")</f>
        <v>No Confirmation</v>
      </c>
      <c r="P1806" s="6">
        <f ca="1">TODAY()-Table2[[#This Row],[DATE SENT TO POG]]</f>
        <v>99</v>
      </c>
      <c r="Q1806" s="6" t="s">
        <v>5803</v>
      </c>
      <c r="R18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6" s="2" t="str">
        <f>_xlfn.XLOOKUP(Table2[[#This Row],[Adjusted Form '#]],'[2]IN PROGRESS'!$D:$D,'[2]IN PROGRESS'!$M:$M,"Not Found")</f>
        <v>Not Found</v>
      </c>
      <c r="U1806" s="2" t="str">
        <f>_xlfn.XLOOKUP(Table2[[#This Row],[Adjusted Form '#]],[1]COMPLETED!$D:$D,[2]COMPLETED!$M:$M,"Not Found")</f>
        <v>Not Found</v>
      </c>
      <c r="V1806" s="17" t="str">
        <f>_xlfn.XLOOKUP(Table2[[#This Row],[Adjusted Form '#]],[2]COMPLETED!$D:$D,[2]COMPLETED!$O:$O,"Not Found")</f>
        <v>Not Found</v>
      </c>
      <c r="W1806" s="2" t="str">
        <f>_xlfn.XLOOKUP(Table2[[#This Row],[Adjusted Form '#]],[2]BILLED!$D:$D,[2]BILLED!$M:$M,"Not Found")</f>
        <v>9400 1361 0605 3477 6741 28</v>
      </c>
      <c r="X1806" s="17" t="e">
        <f>_xlfn.XLOOKUP(Table2[[#This Row],[Adjusted Form '#]],[2]BILLED!$D:$D,[1]BILLED!$O:$O,"Not Found")</f>
        <v>#REF!</v>
      </c>
      <c r="Y1806" s="17" t="str">
        <f>_xlfn.XLOOKUP(Table2[[#This Row],[Adjusted Form '#]],'[2]REJECTED ORDERS'!$D:$D,'[2]REJECTED ORDERS'!$E:$E)</f>
        <v>FORM NOT SIGNED</v>
      </c>
      <c r="Z1806" s="1"/>
      <c r="AA1806" s="1"/>
    </row>
    <row r="1807" spans="1:27" ht="15" customHeight="1" x14ac:dyDescent="0.35">
      <c r="A1807" s="4" t="s">
        <v>2686</v>
      </c>
      <c r="B1807" s="1" t="s">
        <v>1010</v>
      </c>
      <c r="C1807" s="11">
        <v>45204</v>
      </c>
      <c r="D1807" s="11" t="s">
        <v>7181</v>
      </c>
      <c r="E1807" s="1" t="s">
        <v>191</v>
      </c>
      <c r="F1807" s="1" t="s">
        <v>7176</v>
      </c>
      <c r="G1807" s="6">
        <f>COUNTIF(F:F,Table2[[#This Row],[Form '#]])</f>
        <v>1</v>
      </c>
      <c r="H1807" s="1" t="s">
        <v>3613</v>
      </c>
      <c r="I1807" s="1" t="s">
        <v>3852</v>
      </c>
      <c r="J1807" s="1" t="s">
        <v>80</v>
      </c>
      <c r="K1807" s="1" t="s">
        <v>3862</v>
      </c>
      <c r="L1807" s="1"/>
      <c r="M1807" s="6" t="str">
        <f>IF(Table2[[#This Row],[Corrected Form '#
 (If Duplicated)]]="",Table2[[#This Row],[Form '#]],Table2[[#This Row],[Corrected Form '#
 (If Duplicated)]])</f>
        <v>7812-4037</v>
      </c>
      <c r="N1807" s="1" t="s">
        <v>49</v>
      </c>
      <c r="O1807" s="6" t="str">
        <f>IF(Table2[[#This Row],[POG CONFIRMATION RECEIPT OF ORDER
(DATE &amp; TIME)]]="","No Confirmation","Received Confirmation")</f>
        <v>Received Confirmation</v>
      </c>
      <c r="P1807" s="6">
        <f ca="1">TODAY()-Table2[[#This Row],[DATE SENT TO POG]]</f>
        <v>99</v>
      </c>
      <c r="Q1807" s="6" t="s">
        <v>5803</v>
      </c>
      <c r="R18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7" s="2" t="str">
        <f>_xlfn.XLOOKUP(Table2[[#This Row],[Adjusted Form '#]],'[2]IN PROGRESS'!$D:$D,'[2]IN PROGRESS'!$M:$M,"Not Found")</f>
        <v>Not Found</v>
      </c>
      <c r="U1807" s="2" t="str">
        <f>_xlfn.XLOOKUP(Table2[[#This Row],[Adjusted Form '#]],[1]COMPLETED!$D:$D,[2]COMPLETED!$M:$M,"Not Found")</f>
        <v>Not Found</v>
      </c>
      <c r="V1807" s="17" t="str">
        <f>_xlfn.XLOOKUP(Table2[[#This Row],[Adjusted Form '#]],[2]COMPLETED!$D:$D,[2]COMPLETED!$O:$O,"Not Found")</f>
        <v>Not Found</v>
      </c>
      <c r="W1807" s="2" t="str">
        <f>_xlfn.XLOOKUP(Table2[[#This Row],[Adjusted Form '#]],[2]BILLED!$D:$D,[2]BILLED!$M:$M,"Not Found")</f>
        <v>9400 1361 0605 3487 4842 50</v>
      </c>
      <c r="X1807" s="17" t="e">
        <f>_xlfn.XLOOKUP(Table2[[#This Row],[Adjusted Form '#]],[2]BILLED!$D:$D,[1]BILLED!$O:$O,"Not Found")</f>
        <v>#REF!</v>
      </c>
      <c r="Y1807" s="17" t="e">
        <f>_xlfn.XLOOKUP(Table2[[#This Row],[Adjusted Form '#]],'[2]REJECTED ORDERS'!$D:$D,'[2]REJECTED ORDERS'!$E:$E)</f>
        <v>#N/A</v>
      </c>
      <c r="Z1807" s="1"/>
      <c r="AA1807" s="1"/>
    </row>
    <row r="1808" spans="1:27" ht="15" customHeight="1" x14ac:dyDescent="0.35">
      <c r="A1808" s="4" t="s">
        <v>2688</v>
      </c>
      <c r="B1808" s="1" t="s">
        <v>2520</v>
      </c>
      <c r="C1808" s="11">
        <v>45204</v>
      </c>
      <c r="D1808" s="11" t="s">
        <v>7181</v>
      </c>
      <c r="E1808" s="1" t="s">
        <v>1592</v>
      </c>
      <c r="F1808" s="1" t="s">
        <v>6618</v>
      </c>
      <c r="G1808" s="6">
        <f>COUNTIF(F:F,Table2[[#This Row],[Form '#]])</f>
        <v>2</v>
      </c>
      <c r="H1808" s="1" t="s">
        <v>6619</v>
      </c>
      <c r="I1808" s="1" t="s">
        <v>177</v>
      </c>
      <c r="J1808" s="1" t="s">
        <v>75</v>
      </c>
      <c r="K1808" s="1" t="s">
        <v>3853</v>
      </c>
      <c r="L1808" s="1"/>
      <c r="M1808" s="6" t="str">
        <f>IF(Table2[[#This Row],[Corrected Form '#
 (If Duplicated)]]="",Table2[[#This Row],[Form '#]],Table2[[#This Row],[Corrected Form '#
 (If Duplicated)]])</f>
        <v>7811-00198</v>
      </c>
      <c r="N1808" s="1" t="s">
        <v>49</v>
      </c>
      <c r="O1808" s="6" t="str">
        <f>IF(Table2[[#This Row],[POG CONFIRMATION RECEIPT OF ORDER
(DATE &amp; TIME)]]="","No Confirmation","Received Confirmation")</f>
        <v>Received Confirmation</v>
      </c>
      <c r="P1808" s="6">
        <f ca="1">TODAY()-Table2[[#This Row],[DATE SENT TO POG]]</f>
        <v>99</v>
      </c>
      <c r="Q1808" s="6" t="s">
        <v>5803</v>
      </c>
      <c r="R18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8" s="2" t="str">
        <f>_xlfn.XLOOKUP(Table2[[#This Row],[Adjusted Form '#]],'[2]IN PROGRESS'!$D:$D,'[2]IN PROGRESS'!$M:$M,"Not Found")</f>
        <v>Not Found</v>
      </c>
      <c r="U1808" s="2" t="str">
        <f>_xlfn.XLOOKUP(Table2[[#This Row],[Adjusted Form '#]],[1]COMPLETED!$D:$D,[2]COMPLETED!$M:$M,"Not Found")</f>
        <v>Not Found</v>
      </c>
      <c r="V1808" s="17" t="str">
        <f>_xlfn.XLOOKUP(Table2[[#This Row],[Adjusted Form '#]],[2]COMPLETED!$D:$D,[2]COMPLETED!$O:$O,"Not Found")</f>
        <v>Not Found</v>
      </c>
      <c r="W1808" s="2" t="str">
        <f>_xlfn.XLOOKUP(Table2[[#This Row],[Adjusted Form '#]],[2]BILLED!$D:$D,[2]BILLED!$M:$M,"Not Found")</f>
        <v>9400 1112 0620 9457 7757 50</v>
      </c>
      <c r="X1808" s="17" t="e">
        <f>_xlfn.XLOOKUP(Table2[[#This Row],[Adjusted Form '#]],[2]BILLED!$D:$D,[1]BILLED!$O:$O,"Not Found")</f>
        <v>#REF!</v>
      </c>
      <c r="Y1808" s="17" t="e">
        <f>_xlfn.XLOOKUP(Table2[[#This Row],[Adjusted Form '#]],'[2]REJECTED ORDERS'!$D:$D,'[2]REJECTED ORDERS'!$E:$E)</f>
        <v>#N/A</v>
      </c>
      <c r="Z1808" s="1"/>
      <c r="AA1808" s="1"/>
    </row>
    <row r="1809" spans="1:27" ht="15" customHeight="1" x14ac:dyDescent="0.35">
      <c r="A1809" s="4" t="s">
        <v>2691</v>
      </c>
      <c r="B1809" s="1" t="s">
        <v>3780</v>
      </c>
      <c r="C1809" s="11">
        <v>45204</v>
      </c>
      <c r="D1809" s="11" t="s">
        <v>7182</v>
      </c>
      <c r="E1809" s="1" t="s">
        <v>1592</v>
      </c>
      <c r="F1809" s="1" t="s">
        <v>6846</v>
      </c>
      <c r="G1809" s="6">
        <f>COUNTIF(F:F,Table2[[#This Row],[Form '#]])</f>
        <v>2</v>
      </c>
      <c r="H1809" s="1" t="s">
        <v>3648</v>
      </c>
      <c r="I1809" s="1" t="s">
        <v>177</v>
      </c>
      <c r="J1809" s="1" t="s">
        <v>75</v>
      </c>
      <c r="K1809" s="1" t="s">
        <v>3862</v>
      </c>
      <c r="L1809" s="1"/>
      <c r="M1809" s="6" t="str">
        <f>IF(Table2[[#This Row],[Corrected Form '#
 (If Duplicated)]]="",Table2[[#This Row],[Form '#]],Table2[[#This Row],[Corrected Form '#
 (If Duplicated)]])</f>
        <v>7811-00314</v>
      </c>
      <c r="N1809" s="1" t="s">
        <v>49</v>
      </c>
      <c r="O1809" s="6" t="str">
        <f>IF(Table2[[#This Row],[POG CONFIRMATION RECEIPT OF ORDER
(DATE &amp; TIME)]]="","No Confirmation","Received Confirmation")</f>
        <v>Received Confirmation</v>
      </c>
      <c r="P1809" s="6">
        <f ca="1">TODAY()-Table2[[#This Row],[DATE SENT TO POG]]</f>
        <v>99</v>
      </c>
      <c r="Q1809" s="6" t="s">
        <v>5803</v>
      </c>
      <c r="R18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09" s="2" t="str">
        <f>_xlfn.XLOOKUP(Table2[[#This Row],[Adjusted Form '#]],'[2]IN PROGRESS'!$D:$D,'[2]IN PROGRESS'!$M:$M,"Not Found")</f>
        <v>Not Found</v>
      </c>
      <c r="U1809" s="2" t="str">
        <f>_xlfn.XLOOKUP(Table2[[#This Row],[Adjusted Form '#]],[1]COMPLETED!$D:$D,[2]COMPLETED!$M:$M,"Not Found")</f>
        <v>Not Found</v>
      </c>
      <c r="V1809" s="17" t="str">
        <f>_xlfn.XLOOKUP(Table2[[#This Row],[Adjusted Form '#]],[2]COMPLETED!$D:$D,[2]COMPLETED!$O:$O,"Not Found")</f>
        <v>Not Found</v>
      </c>
      <c r="W1809" s="2" t="str">
        <f>_xlfn.XLOOKUP(Table2[[#This Row],[Adjusted Form '#]],[2]BILLED!$D:$D,[2]BILLED!$M:$M,"Not Found")</f>
        <v>9400 1112 0620 9549 1569 17</v>
      </c>
      <c r="X1809" s="17" t="e">
        <f>_xlfn.XLOOKUP(Table2[[#This Row],[Adjusted Form '#]],[2]BILLED!$D:$D,[1]BILLED!$O:$O,"Not Found")</f>
        <v>#REF!</v>
      </c>
      <c r="Y1809" s="17" t="str">
        <f>_xlfn.XLOOKUP(Table2[[#This Row],[Adjusted Form '#]],'[2]REJECTED ORDERS'!$D:$D,'[2]REJECTED ORDERS'!$E:$E)</f>
        <v>FORM NUMBER ALREADY USED</v>
      </c>
      <c r="Z1809" s="1"/>
      <c r="AA1809" s="1"/>
    </row>
    <row r="1810" spans="1:27" ht="15" customHeight="1" x14ac:dyDescent="0.35">
      <c r="A1810" s="4" t="s">
        <v>2692</v>
      </c>
      <c r="B1810" s="1" t="s">
        <v>2570</v>
      </c>
      <c r="C1810" s="11">
        <v>45204</v>
      </c>
      <c r="D1810" s="11" t="s">
        <v>7182</v>
      </c>
      <c r="E1810" s="1" t="s">
        <v>1592</v>
      </c>
      <c r="F1810" s="1" t="s">
        <v>3725</v>
      </c>
      <c r="G1810" s="6">
        <f>COUNTIF(F:F,Table2[[#This Row],[Form '#]])</f>
        <v>1</v>
      </c>
      <c r="H1810" s="1" t="s">
        <v>3726</v>
      </c>
      <c r="I1810" s="1" t="s">
        <v>3852</v>
      </c>
      <c r="J1810" s="1" t="s">
        <v>80</v>
      </c>
      <c r="K1810" s="1" t="s">
        <v>3853</v>
      </c>
      <c r="L1810" s="1"/>
      <c r="M1810" s="6" t="str">
        <f>IF(Table2[[#This Row],[Corrected Form '#
 (If Duplicated)]]="",Table2[[#This Row],[Form '#]],Table2[[#This Row],[Corrected Form '#
 (If Duplicated)]])</f>
        <v>7811-00229</v>
      </c>
      <c r="N1810" s="1" t="s">
        <v>49</v>
      </c>
      <c r="O1810" s="6" t="str">
        <f>IF(Table2[[#This Row],[POG CONFIRMATION RECEIPT OF ORDER
(DATE &amp; TIME)]]="","No Confirmation","Received Confirmation")</f>
        <v>Received Confirmation</v>
      </c>
      <c r="P1810" s="6">
        <f ca="1">TODAY()-Table2[[#This Row],[DATE SENT TO POG]]</f>
        <v>99</v>
      </c>
      <c r="Q1810" s="6" t="s">
        <v>5803</v>
      </c>
      <c r="R18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0" s="2" t="str">
        <f>_xlfn.XLOOKUP(Table2[[#This Row],[Adjusted Form '#]],'[2]IN PROGRESS'!$D:$D,'[2]IN PROGRESS'!$M:$M,"Not Found")</f>
        <v>Not Found</v>
      </c>
      <c r="U1810" s="2" t="str">
        <f>_xlfn.XLOOKUP(Table2[[#This Row],[Adjusted Form '#]],[1]COMPLETED!$D:$D,[2]COMPLETED!$M:$M,"Not Found")</f>
        <v>Not Found</v>
      </c>
      <c r="V1810" s="17" t="str">
        <f>_xlfn.XLOOKUP(Table2[[#This Row],[Adjusted Form '#]],[2]COMPLETED!$D:$D,[2]COMPLETED!$O:$O,"Not Found")</f>
        <v>Not Found</v>
      </c>
      <c r="W1810" s="2" t="str">
        <f>_xlfn.XLOOKUP(Table2[[#This Row],[Adjusted Form '#]],[2]BILLED!$D:$D,[2]BILLED!$M:$M,"Not Found")</f>
        <v>9402 1112 0620 7577 1969 34</v>
      </c>
      <c r="X1810" s="17" t="e">
        <f>_xlfn.XLOOKUP(Table2[[#This Row],[Adjusted Form '#]],[2]BILLED!$D:$D,[1]BILLED!$O:$O,"Not Found")</f>
        <v>#REF!</v>
      </c>
      <c r="Y1810" s="17" t="e">
        <f>_xlfn.XLOOKUP(Table2[[#This Row],[Adjusted Form '#]],'[2]REJECTED ORDERS'!$D:$D,'[2]REJECTED ORDERS'!$E:$E)</f>
        <v>#N/A</v>
      </c>
      <c r="Z1810" s="1"/>
      <c r="AA1810" s="1"/>
    </row>
    <row r="1811" spans="1:27" ht="15" customHeight="1" x14ac:dyDescent="0.35">
      <c r="A1811" s="4" t="s">
        <v>2693</v>
      </c>
      <c r="B1811" s="1" t="s">
        <v>1307</v>
      </c>
      <c r="C1811" s="11">
        <v>45204</v>
      </c>
      <c r="D1811" s="11" t="s">
        <v>7182</v>
      </c>
      <c r="E1811" s="1" t="s">
        <v>191</v>
      </c>
      <c r="F1811" s="1" t="s">
        <v>7177</v>
      </c>
      <c r="G1811" s="6">
        <f>COUNTIF(F:F,Table2[[#This Row],[Form '#]])</f>
        <v>1</v>
      </c>
      <c r="H1811" s="1" t="s">
        <v>7178</v>
      </c>
      <c r="I1811" s="1" t="s">
        <v>3852</v>
      </c>
      <c r="J1811" s="1" t="s">
        <v>80</v>
      </c>
      <c r="K1811" s="1" t="s">
        <v>3853</v>
      </c>
      <c r="L1811" s="1"/>
      <c r="M1811" s="6" t="str">
        <f>IF(Table2[[#This Row],[Corrected Form '#
 (If Duplicated)]]="",Table2[[#This Row],[Form '#]],Table2[[#This Row],[Corrected Form '#
 (If Duplicated)]])</f>
        <v>7812-04651</v>
      </c>
      <c r="N1811" s="1" t="s">
        <v>49</v>
      </c>
      <c r="O1811" s="6" t="str">
        <f>IF(Table2[[#This Row],[POG CONFIRMATION RECEIPT OF ORDER
(DATE &amp; TIME)]]="","No Confirmation","Received Confirmation")</f>
        <v>Received Confirmation</v>
      </c>
      <c r="P1811" s="6">
        <f ca="1">TODAY()-Table2[[#This Row],[DATE SENT TO POG]]</f>
        <v>99</v>
      </c>
      <c r="Q1811" s="6" t="s">
        <v>5803</v>
      </c>
      <c r="R18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1" s="2" t="str">
        <f>_xlfn.XLOOKUP(Table2[[#This Row],[Adjusted Form '#]],'[2]IN PROGRESS'!$D:$D,'[2]IN PROGRESS'!$M:$M,"Not Found")</f>
        <v>Not Found</v>
      </c>
      <c r="U1811" s="2" t="str">
        <f>_xlfn.XLOOKUP(Table2[[#This Row],[Adjusted Form '#]],[1]COMPLETED!$D:$D,[2]COMPLETED!$M:$M,"Not Found")</f>
        <v>Not Found</v>
      </c>
      <c r="V1811" s="17" t="str">
        <f>_xlfn.XLOOKUP(Table2[[#This Row],[Adjusted Form '#]],[2]COMPLETED!$D:$D,[2]COMPLETED!$O:$O,"Not Found")</f>
        <v>Not Found</v>
      </c>
      <c r="W1811" s="2" t="str">
        <f>_xlfn.XLOOKUP(Table2[[#This Row],[Adjusted Form '#]],[2]BILLED!$D:$D,[2]BILLED!$M:$M,"Not Found")</f>
        <v>9400 1361 0605 3487 4792 87</v>
      </c>
      <c r="X1811" s="17" t="e">
        <f>_xlfn.XLOOKUP(Table2[[#This Row],[Adjusted Form '#]],[2]BILLED!$D:$D,[1]BILLED!$O:$O,"Not Found")</f>
        <v>#REF!</v>
      </c>
      <c r="Y1811" s="17" t="e">
        <f>_xlfn.XLOOKUP(Table2[[#This Row],[Adjusted Form '#]],'[2]REJECTED ORDERS'!$D:$D,'[2]REJECTED ORDERS'!$E:$E)</f>
        <v>#N/A</v>
      </c>
      <c r="Z1811" s="1"/>
      <c r="AA1811" s="1"/>
    </row>
    <row r="1812" spans="1:27" ht="15" customHeight="1" x14ac:dyDescent="0.35">
      <c r="A1812" s="4" t="s">
        <v>2694</v>
      </c>
      <c r="B1812" s="1" t="s">
        <v>225</v>
      </c>
      <c r="C1812" s="11">
        <v>45204</v>
      </c>
      <c r="D1812" s="11" t="s">
        <v>7183</v>
      </c>
      <c r="E1812" s="1" t="s">
        <v>1592</v>
      </c>
      <c r="F1812" s="1" t="s">
        <v>7179</v>
      </c>
      <c r="G1812" s="6">
        <f>COUNTIF(F:F,Table2[[#This Row],[Form '#]])</f>
        <v>1</v>
      </c>
      <c r="H1812" s="1" t="s">
        <v>7180</v>
      </c>
      <c r="I1812" s="1" t="s">
        <v>3864</v>
      </c>
      <c r="J1812" s="1" t="s">
        <v>78</v>
      </c>
      <c r="K1812" s="1" t="s">
        <v>3879</v>
      </c>
      <c r="L1812" s="1"/>
      <c r="M1812" s="6" t="str">
        <f>IF(Table2[[#This Row],[Corrected Form '#
 (If Duplicated)]]="",Table2[[#This Row],[Form '#]],Table2[[#This Row],[Corrected Form '#
 (If Duplicated)]])</f>
        <v>7811-00034</v>
      </c>
      <c r="N1812" s="1" t="s">
        <v>49</v>
      </c>
      <c r="O1812" s="6" t="str">
        <f>IF(Table2[[#This Row],[POG CONFIRMATION RECEIPT OF ORDER
(DATE &amp; TIME)]]="","No Confirmation","Received Confirmation")</f>
        <v>Received Confirmation</v>
      </c>
      <c r="P1812" s="6">
        <f ca="1">TODAY()-Table2[[#This Row],[DATE SENT TO POG]]</f>
        <v>99</v>
      </c>
      <c r="Q1812" s="6" t="s">
        <v>5803</v>
      </c>
      <c r="R18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2" s="2" t="str">
        <f>_xlfn.XLOOKUP(Table2[[#This Row],[Adjusted Form '#]],'[2]IN PROGRESS'!$D:$D,'[2]IN PROGRESS'!$M:$M,"Not Found")</f>
        <v>Not Found</v>
      </c>
      <c r="U1812" s="2" t="str">
        <f>_xlfn.XLOOKUP(Table2[[#This Row],[Adjusted Form '#]],[1]COMPLETED!$D:$D,[2]COMPLETED!$M:$M,"Not Found")</f>
        <v>Not Found</v>
      </c>
      <c r="V1812" s="17" t="str">
        <f>_xlfn.XLOOKUP(Table2[[#This Row],[Adjusted Form '#]],[2]COMPLETED!$D:$D,[2]COMPLETED!$O:$O,"Not Found")</f>
        <v>Not Found</v>
      </c>
      <c r="W1812" s="2" t="str">
        <f>_xlfn.XLOOKUP(Table2[[#This Row],[Adjusted Form '#]],[2]BILLED!$D:$D,[2]BILLED!$M:$M,"Not Found")</f>
        <v>9400 1361 0605 3478 2656 46</v>
      </c>
      <c r="X1812" s="17" t="e">
        <f>_xlfn.XLOOKUP(Table2[[#This Row],[Adjusted Form '#]],[2]BILLED!$D:$D,[1]BILLED!$O:$O,"Not Found")</f>
        <v>#REF!</v>
      </c>
      <c r="Y1812" s="17" t="e">
        <f>_xlfn.XLOOKUP(Table2[[#This Row],[Adjusted Form '#]],'[2]REJECTED ORDERS'!$D:$D,'[2]REJECTED ORDERS'!$E:$E)</f>
        <v>#N/A</v>
      </c>
      <c r="Z1812" s="1"/>
      <c r="AA1812" s="1"/>
    </row>
    <row r="1813" spans="1:27" ht="15" customHeight="1" x14ac:dyDescent="0.35">
      <c r="A1813" s="4" t="s">
        <v>2695</v>
      </c>
      <c r="B1813" s="1" t="s">
        <v>2605</v>
      </c>
      <c r="C1813" s="11">
        <v>45204</v>
      </c>
      <c r="D1813" s="11" t="s">
        <v>7202</v>
      </c>
      <c r="E1813" s="1" t="s">
        <v>21</v>
      </c>
      <c r="F1813" s="1" t="s">
        <v>7184</v>
      </c>
      <c r="G1813" s="6">
        <f>COUNTIF(F:F,Table2[[#This Row],[Form '#]])</f>
        <v>1</v>
      </c>
      <c r="H1813" s="1" t="s">
        <v>7185</v>
      </c>
      <c r="I1813" s="1" t="s">
        <v>177</v>
      </c>
      <c r="J1813" s="1" t="s">
        <v>75</v>
      </c>
      <c r="K1813" s="1" t="s">
        <v>3853</v>
      </c>
      <c r="L1813" s="1"/>
      <c r="M1813" s="6" t="str">
        <f>IF(Table2[[#This Row],[Corrected Form '#
 (If Duplicated)]]="",Table2[[#This Row],[Form '#]],Table2[[#This Row],[Corrected Form '#
 (If Duplicated)]])</f>
        <v>7818-26667</v>
      </c>
      <c r="N1813" s="1" t="s">
        <v>49</v>
      </c>
      <c r="O1813" s="6" t="str">
        <f>IF(Table2[[#This Row],[POG CONFIRMATION RECEIPT OF ORDER
(DATE &amp; TIME)]]="","No Confirmation","Received Confirmation")</f>
        <v>Received Confirmation</v>
      </c>
      <c r="P1813" s="6">
        <f ca="1">TODAY()-Table2[[#This Row],[DATE SENT TO POG]]</f>
        <v>99</v>
      </c>
      <c r="Q1813" s="6" t="s">
        <v>5803</v>
      </c>
      <c r="R18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3" s="2" t="str">
        <f>_xlfn.XLOOKUP(Table2[[#This Row],[Adjusted Form '#]],'[2]IN PROGRESS'!$D:$D,'[2]IN PROGRESS'!$M:$M,"Not Found")</f>
        <v>Not Found</v>
      </c>
      <c r="U1813" s="2" t="str">
        <f>_xlfn.XLOOKUP(Table2[[#This Row],[Adjusted Form '#]],[1]COMPLETED!$D:$D,[2]COMPLETED!$M:$M,"Not Found")</f>
        <v>Not Found</v>
      </c>
      <c r="V1813" s="17" t="str">
        <f>_xlfn.XLOOKUP(Table2[[#This Row],[Adjusted Form '#]],[2]COMPLETED!$D:$D,[2]COMPLETED!$O:$O,"Not Found")</f>
        <v>Not Found</v>
      </c>
      <c r="W1813" s="2" t="str">
        <f>_xlfn.XLOOKUP(Table2[[#This Row],[Adjusted Form '#]],[2]BILLED!$D:$D,[2]BILLED!$M:$M,"Not Found")</f>
        <v>9400 1361 0605 3496 2846 12</v>
      </c>
      <c r="X1813" s="17" t="e">
        <f>_xlfn.XLOOKUP(Table2[[#This Row],[Adjusted Form '#]],[2]BILLED!$D:$D,[1]BILLED!$O:$O,"Not Found")</f>
        <v>#REF!</v>
      </c>
      <c r="Y1813" s="17" t="e">
        <f>_xlfn.XLOOKUP(Table2[[#This Row],[Adjusted Form '#]],'[2]REJECTED ORDERS'!$D:$D,'[2]REJECTED ORDERS'!$E:$E)</f>
        <v>#N/A</v>
      </c>
      <c r="Z1813" s="1"/>
      <c r="AA1813" s="1"/>
    </row>
    <row r="1814" spans="1:27" ht="15" customHeight="1" x14ac:dyDescent="0.35">
      <c r="A1814" s="4" t="s">
        <v>2696</v>
      </c>
      <c r="B1814" s="1" t="s">
        <v>2605</v>
      </c>
      <c r="C1814" s="11">
        <v>45204</v>
      </c>
      <c r="D1814" s="11" t="s">
        <v>7202</v>
      </c>
      <c r="E1814" s="1" t="s">
        <v>21</v>
      </c>
      <c r="F1814" s="1" t="s">
        <v>7186</v>
      </c>
      <c r="G1814" s="6">
        <f>COUNTIF(F:F,Table2[[#This Row],[Form '#]])</f>
        <v>1</v>
      </c>
      <c r="H1814" s="1" t="s">
        <v>7187</v>
      </c>
      <c r="I1814" s="1" t="s">
        <v>3852</v>
      </c>
      <c r="J1814" s="1" t="s">
        <v>80</v>
      </c>
      <c r="K1814" s="1" t="s">
        <v>3853</v>
      </c>
      <c r="L1814" s="1"/>
      <c r="M1814" s="6" t="str">
        <f>IF(Table2[[#This Row],[Corrected Form '#
 (If Duplicated)]]="",Table2[[#This Row],[Form '#]],Table2[[#This Row],[Corrected Form '#
 (If Duplicated)]])</f>
        <v>7818-17330</v>
      </c>
      <c r="N1814" s="1" t="s">
        <v>49</v>
      </c>
      <c r="O1814" s="6" t="str">
        <f>IF(Table2[[#This Row],[POG CONFIRMATION RECEIPT OF ORDER
(DATE &amp; TIME)]]="","No Confirmation","Received Confirmation")</f>
        <v>Received Confirmation</v>
      </c>
      <c r="P1814" s="6">
        <f ca="1">TODAY()-Table2[[#This Row],[DATE SENT TO POG]]</f>
        <v>99</v>
      </c>
      <c r="Q1814" s="6" t="s">
        <v>5803</v>
      </c>
      <c r="R18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4" s="2" t="str">
        <f>_xlfn.XLOOKUP(Table2[[#This Row],[Adjusted Form '#]],'[2]IN PROGRESS'!$D:$D,'[2]IN PROGRESS'!$M:$M,"Not Found")</f>
        <v>Not Found</v>
      </c>
      <c r="U1814" s="2" t="str">
        <f>_xlfn.XLOOKUP(Table2[[#This Row],[Adjusted Form '#]],[1]COMPLETED!$D:$D,[2]COMPLETED!$M:$M,"Not Found")</f>
        <v>Not Found</v>
      </c>
      <c r="V1814" s="17" t="str">
        <f>_xlfn.XLOOKUP(Table2[[#This Row],[Adjusted Form '#]],[2]COMPLETED!$D:$D,[2]COMPLETED!$O:$O,"Not Found")</f>
        <v>Not Found</v>
      </c>
      <c r="W1814" s="2" t="str">
        <f>_xlfn.XLOOKUP(Table2[[#This Row],[Adjusted Form '#]],[2]BILLED!$D:$D,[2]BILLED!$M:$M,"Not Found")</f>
        <v>9400 1361 0605 3473 1351 42</v>
      </c>
      <c r="X1814" s="17" t="e">
        <f>_xlfn.XLOOKUP(Table2[[#This Row],[Adjusted Form '#]],[2]BILLED!$D:$D,[1]BILLED!$O:$O,"Not Found")</f>
        <v>#REF!</v>
      </c>
      <c r="Y1814" s="17" t="e">
        <f>_xlfn.XLOOKUP(Table2[[#This Row],[Adjusted Form '#]],'[2]REJECTED ORDERS'!$D:$D,'[2]REJECTED ORDERS'!$E:$E)</f>
        <v>#N/A</v>
      </c>
      <c r="Z1814" s="1"/>
      <c r="AA1814" s="1"/>
    </row>
    <row r="1815" spans="1:27" ht="15" customHeight="1" x14ac:dyDescent="0.35">
      <c r="A1815" s="4" t="s">
        <v>2698</v>
      </c>
      <c r="B1815" s="1" t="s">
        <v>2605</v>
      </c>
      <c r="C1815" s="11">
        <v>45204</v>
      </c>
      <c r="D1815" s="11" t="s">
        <v>7202</v>
      </c>
      <c r="E1815" s="1" t="s">
        <v>191</v>
      </c>
      <c r="F1815" s="1" t="s">
        <v>7188</v>
      </c>
      <c r="G1815" s="6">
        <f>COUNTIF(F:F,Table2[[#This Row],[Form '#]])</f>
        <v>1</v>
      </c>
      <c r="H1815" s="1" t="s">
        <v>3360</v>
      </c>
      <c r="I1815" s="1" t="s">
        <v>28</v>
      </c>
      <c r="J1815" s="1" t="s">
        <v>69</v>
      </c>
      <c r="K1815" s="1" t="s">
        <v>3898</v>
      </c>
      <c r="L1815" s="1"/>
      <c r="M1815" s="6" t="str">
        <f>IF(Table2[[#This Row],[Corrected Form '#
 (If Duplicated)]]="",Table2[[#This Row],[Form '#]],Table2[[#This Row],[Corrected Form '#
 (If Duplicated)]])</f>
        <v>7812-03440</v>
      </c>
      <c r="N1815" s="1" t="s">
        <v>49</v>
      </c>
      <c r="O1815" s="6" t="str">
        <f>IF(Table2[[#This Row],[POG CONFIRMATION RECEIPT OF ORDER
(DATE &amp; TIME)]]="","No Confirmation","Received Confirmation")</f>
        <v>Received Confirmation</v>
      </c>
      <c r="P1815" s="6">
        <f ca="1">TODAY()-Table2[[#This Row],[DATE SENT TO POG]]</f>
        <v>99</v>
      </c>
      <c r="Q1815" s="6" t="s">
        <v>5803</v>
      </c>
      <c r="R18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5" s="2" t="str">
        <f>_xlfn.XLOOKUP(Table2[[#This Row],[Adjusted Form '#]],'[2]IN PROGRESS'!$D:$D,'[2]IN PROGRESS'!$M:$M,"Not Found")</f>
        <v>Not Found</v>
      </c>
      <c r="U1815" s="2" t="str">
        <f>_xlfn.XLOOKUP(Table2[[#This Row],[Adjusted Form '#]],[1]COMPLETED!$D:$D,[2]COMPLETED!$M:$M,"Not Found")</f>
        <v>Not Found</v>
      </c>
      <c r="V1815" s="17" t="str">
        <f>_xlfn.XLOOKUP(Table2[[#This Row],[Adjusted Form '#]],[2]COMPLETED!$D:$D,[2]COMPLETED!$O:$O,"Not Found")</f>
        <v>Not Found</v>
      </c>
      <c r="W1815" s="2" t="str">
        <f>_xlfn.XLOOKUP(Table2[[#This Row],[Adjusted Form '#]],[2]BILLED!$D:$D,[2]BILLED!$M:$M,"Not Found")</f>
        <v>9400 1361 0605 3481 8030 33</v>
      </c>
      <c r="X1815" s="17" t="e">
        <f>_xlfn.XLOOKUP(Table2[[#This Row],[Adjusted Form '#]],[2]BILLED!$D:$D,[1]BILLED!$O:$O,"Not Found")</f>
        <v>#REF!</v>
      </c>
      <c r="Y1815" s="17" t="e">
        <f>_xlfn.XLOOKUP(Table2[[#This Row],[Adjusted Form '#]],'[2]REJECTED ORDERS'!$D:$D,'[2]REJECTED ORDERS'!$E:$E)</f>
        <v>#N/A</v>
      </c>
      <c r="Z1815" s="1"/>
      <c r="AA1815" s="1"/>
    </row>
    <row r="1816" spans="1:27" ht="15" customHeight="1" x14ac:dyDescent="0.35">
      <c r="A1816" s="4" t="s">
        <v>2699</v>
      </c>
      <c r="B1816" s="1" t="s">
        <v>2605</v>
      </c>
      <c r="C1816" s="11">
        <v>45204</v>
      </c>
      <c r="D1816" s="11" t="s">
        <v>7202</v>
      </c>
      <c r="E1816" s="1" t="s">
        <v>21</v>
      </c>
      <c r="F1816" s="1" t="s">
        <v>7189</v>
      </c>
      <c r="G1816" s="6">
        <f>COUNTIF(F:F,Table2[[#This Row],[Form '#]])</f>
        <v>1</v>
      </c>
      <c r="H1816" s="1" t="s">
        <v>7190</v>
      </c>
      <c r="I1816" s="1" t="s">
        <v>3852</v>
      </c>
      <c r="J1816" s="1" t="s">
        <v>80</v>
      </c>
      <c r="K1816" s="1" t="s">
        <v>3853</v>
      </c>
      <c r="L1816" s="1"/>
      <c r="M1816" s="6" t="str">
        <f>IF(Table2[[#This Row],[Corrected Form '#
 (If Duplicated)]]="",Table2[[#This Row],[Form '#]],Table2[[#This Row],[Corrected Form '#
 (If Duplicated)]])</f>
        <v>7818-22512</v>
      </c>
      <c r="N1816" s="1" t="s">
        <v>49</v>
      </c>
      <c r="O1816" s="6" t="str">
        <f>IF(Table2[[#This Row],[POG CONFIRMATION RECEIPT OF ORDER
(DATE &amp; TIME)]]="","No Confirmation","Received Confirmation")</f>
        <v>Received Confirmation</v>
      </c>
      <c r="P1816" s="6">
        <f ca="1">TODAY()-Table2[[#This Row],[DATE SENT TO POG]]</f>
        <v>99</v>
      </c>
      <c r="Q1816" s="6" t="s">
        <v>5803</v>
      </c>
      <c r="R18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6" s="2" t="str">
        <f>_xlfn.XLOOKUP(Table2[[#This Row],[Adjusted Form '#]],'[2]IN PROGRESS'!$D:$D,'[2]IN PROGRESS'!$M:$M,"Not Found")</f>
        <v>Not Found</v>
      </c>
      <c r="U1816" s="2" t="str">
        <f>_xlfn.XLOOKUP(Table2[[#This Row],[Adjusted Form '#]],[1]COMPLETED!$D:$D,[2]COMPLETED!$M:$M,"Not Found")</f>
        <v>Not Found</v>
      </c>
      <c r="V1816" s="17" t="str">
        <f>_xlfn.XLOOKUP(Table2[[#This Row],[Adjusted Form '#]],[2]COMPLETED!$D:$D,[2]COMPLETED!$O:$O,"Not Found")</f>
        <v>Not Found</v>
      </c>
      <c r="W1816" s="2" t="str">
        <f>_xlfn.XLOOKUP(Table2[[#This Row],[Adjusted Form '#]],[2]BILLED!$D:$D,[2]BILLED!$M:$M,"Not Found")</f>
        <v>9400 1361 0605 3505 4083 67</v>
      </c>
      <c r="X1816" s="17" t="e">
        <f>_xlfn.XLOOKUP(Table2[[#This Row],[Adjusted Form '#]],[2]BILLED!$D:$D,[1]BILLED!$O:$O,"Not Found")</f>
        <v>#REF!</v>
      </c>
      <c r="Y1816" s="17" t="e">
        <f>_xlfn.XLOOKUP(Table2[[#This Row],[Adjusted Form '#]],'[2]REJECTED ORDERS'!$D:$D,'[2]REJECTED ORDERS'!$E:$E)</f>
        <v>#N/A</v>
      </c>
      <c r="Z1816" s="1"/>
      <c r="AA1816" s="1"/>
    </row>
    <row r="1817" spans="1:27" ht="15" customHeight="1" x14ac:dyDescent="0.35">
      <c r="A1817" s="4" t="s">
        <v>2700</v>
      </c>
      <c r="B1817" s="1" t="s">
        <v>2605</v>
      </c>
      <c r="C1817" s="11">
        <v>45204</v>
      </c>
      <c r="D1817" s="11" t="s">
        <v>7202</v>
      </c>
      <c r="E1817" s="1" t="s">
        <v>21</v>
      </c>
      <c r="F1817" s="1" t="s">
        <v>7191</v>
      </c>
      <c r="G1817" s="6">
        <f>COUNTIF(F:F,Table2[[#This Row],[Form '#]])</f>
        <v>1</v>
      </c>
      <c r="H1817" s="1" t="s">
        <v>2386</v>
      </c>
      <c r="I1817" s="1" t="s">
        <v>3852</v>
      </c>
      <c r="J1817" s="1" t="s">
        <v>75</v>
      </c>
      <c r="K1817" s="1" t="s">
        <v>3862</v>
      </c>
      <c r="L1817" s="1"/>
      <c r="M1817" s="6" t="str">
        <f>IF(Table2[[#This Row],[Corrected Form '#
 (If Duplicated)]]="",Table2[[#This Row],[Form '#]],Table2[[#This Row],[Corrected Form '#
 (If Duplicated)]])</f>
        <v>7818-32820</v>
      </c>
      <c r="N1817" s="1" t="s">
        <v>49</v>
      </c>
      <c r="O1817" s="6" t="str">
        <f>IF(Table2[[#This Row],[POG CONFIRMATION RECEIPT OF ORDER
(DATE &amp; TIME)]]="","No Confirmation","Received Confirmation")</f>
        <v>Received Confirmation</v>
      </c>
      <c r="P1817" s="6">
        <f ca="1">TODAY()-Table2[[#This Row],[DATE SENT TO POG]]</f>
        <v>99</v>
      </c>
      <c r="Q1817" s="6" t="s">
        <v>5803</v>
      </c>
      <c r="R18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7" s="2" t="str">
        <f>_xlfn.XLOOKUP(Table2[[#This Row],[Adjusted Form '#]],'[2]IN PROGRESS'!$D:$D,'[2]IN PROGRESS'!$M:$M,"Not Found")</f>
        <v>Not Found</v>
      </c>
      <c r="U1817" s="2" t="str">
        <f>_xlfn.XLOOKUP(Table2[[#This Row],[Adjusted Form '#]],[1]COMPLETED!$D:$D,[2]COMPLETED!$M:$M,"Not Found")</f>
        <v>Not Found</v>
      </c>
      <c r="V1817" s="17" t="str">
        <f>_xlfn.XLOOKUP(Table2[[#This Row],[Adjusted Form '#]],[2]COMPLETED!$D:$D,[2]COMPLETED!$O:$O,"Not Found")</f>
        <v>Not Found</v>
      </c>
      <c r="W1817" s="2" t="str">
        <f>_xlfn.XLOOKUP(Table2[[#This Row],[Adjusted Form '#]],[2]BILLED!$D:$D,[2]BILLED!$M:$M,"Not Found")</f>
        <v>9400 1361 0605 3517 5557 21</v>
      </c>
      <c r="X1817" s="17" t="e">
        <f>_xlfn.XLOOKUP(Table2[[#This Row],[Adjusted Form '#]],[2]BILLED!$D:$D,[1]BILLED!$O:$O,"Not Found")</f>
        <v>#REF!</v>
      </c>
      <c r="Y1817" s="17" t="e">
        <f>_xlfn.XLOOKUP(Table2[[#This Row],[Adjusted Form '#]],'[2]REJECTED ORDERS'!$D:$D,'[2]REJECTED ORDERS'!$E:$E)</f>
        <v>#N/A</v>
      </c>
      <c r="Z1817" s="1"/>
      <c r="AA1817" s="1"/>
    </row>
    <row r="1818" spans="1:27" ht="15" customHeight="1" x14ac:dyDescent="0.35">
      <c r="A1818" s="4" t="s">
        <v>2701</v>
      </c>
      <c r="B1818" s="1" t="s">
        <v>2605</v>
      </c>
      <c r="C1818" s="11">
        <v>45204</v>
      </c>
      <c r="D1818" s="11" t="s">
        <v>7202</v>
      </c>
      <c r="E1818" s="1" t="s">
        <v>21</v>
      </c>
      <c r="F1818" s="1" t="s">
        <v>7192</v>
      </c>
      <c r="G1818" s="6">
        <f>COUNTIF(F:F,Table2[[#This Row],[Form '#]])</f>
        <v>1</v>
      </c>
      <c r="H1818" s="1" t="s">
        <v>7193</v>
      </c>
      <c r="I1818" s="1" t="s">
        <v>3864</v>
      </c>
      <c r="J1818" s="1" t="s">
        <v>78</v>
      </c>
      <c r="K1818" s="1" t="s">
        <v>3879</v>
      </c>
      <c r="L1818" s="1"/>
      <c r="M1818" s="6" t="str">
        <f>IF(Table2[[#This Row],[Corrected Form '#
 (If Duplicated)]]="",Table2[[#This Row],[Form '#]],Table2[[#This Row],[Corrected Form '#
 (If Duplicated)]])</f>
        <v>7818-28234</v>
      </c>
      <c r="N1818" s="1" t="s">
        <v>49</v>
      </c>
      <c r="O1818" s="6" t="str">
        <f>IF(Table2[[#This Row],[POG CONFIRMATION RECEIPT OF ORDER
(DATE &amp; TIME)]]="","No Confirmation","Received Confirmation")</f>
        <v>Received Confirmation</v>
      </c>
      <c r="P1818" s="6">
        <f ca="1">TODAY()-Table2[[#This Row],[DATE SENT TO POG]]</f>
        <v>99</v>
      </c>
      <c r="Q1818" s="6" t="s">
        <v>5803</v>
      </c>
      <c r="R18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8" s="2" t="str">
        <f>_xlfn.XLOOKUP(Table2[[#This Row],[Adjusted Form '#]],'[2]IN PROGRESS'!$D:$D,'[2]IN PROGRESS'!$M:$M,"Not Found")</f>
        <v>Not Found</v>
      </c>
      <c r="U1818" s="2" t="str">
        <f>_xlfn.XLOOKUP(Table2[[#This Row],[Adjusted Form '#]],[1]COMPLETED!$D:$D,[2]COMPLETED!$M:$M,"Not Found")</f>
        <v>Not Found</v>
      </c>
      <c r="V1818" s="17" t="str">
        <f>_xlfn.XLOOKUP(Table2[[#This Row],[Adjusted Form '#]],[2]COMPLETED!$D:$D,[2]COMPLETED!$O:$O,"Not Found")</f>
        <v>Not Found</v>
      </c>
      <c r="W1818" s="2" t="str">
        <f>_xlfn.XLOOKUP(Table2[[#This Row],[Adjusted Form '#]],[2]BILLED!$D:$D,[2]BILLED!$M:$M,"Not Found")</f>
        <v>9400 1361 0605 3478 2852 62</v>
      </c>
      <c r="X1818" s="17" t="e">
        <f>_xlfn.XLOOKUP(Table2[[#This Row],[Adjusted Form '#]],[2]BILLED!$D:$D,[1]BILLED!$O:$O,"Not Found")</f>
        <v>#REF!</v>
      </c>
      <c r="Y1818" s="17" t="e">
        <f>_xlfn.XLOOKUP(Table2[[#This Row],[Adjusted Form '#]],'[2]REJECTED ORDERS'!$D:$D,'[2]REJECTED ORDERS'!$E:$E)</f>
        <v>#N/A</v>
      </c>
      <c r="Z1818" s="1"/>
      <c r="AA1818" s="1"/>
    </row>
    <row r="1819" spans="1:27" ht="15" customHeight="1" x14ac:dyDescent="0.35">
      <c r="A1819" s="4" t="s">
        <v>2702</v>
      </c>
      <c r="B1819" s="1" t="s">
        <v>2605</v>
      </c>
      <c r="C1819" s="11">
        <v>45204</v>
      </c>
      <c r="D1819" s="11" t="s">
        <v>7202</v>
      </c>
      <c r="E1819" s="1" t="s">
        <v>21</v>
      </c>
      <c r="F1819" s="1" t="s">
        <v>7194</v>
      </c>
      <c r="G1819" s="6">
        <f>COUNTIF(F:F,Table2[[#This Row],[Form '#]])</f>
        <v>1</v>
      </c>
      <c r="H1819" s="1" t="s">
        <v>7195</v>
      </c>
      <c r="I1819" s="1" t="s">
        <v>28</v>
      </c>
      <c r="J1819" s="1" t="s">
        <v>69</v>
      </c>
      <c r="K1819" s="1" t="s">
        <v>3898</v>
      </c>
      <c r="L1819" s="1"/>
      <c r="M1819" s="6" t="str">
        <f>IF(Table2[[#This Row],[Corrected Form '#
 (If Duplicated)]]="",Table2[[#This Row],[Form '#]],Table2[[#This Row],[Corrected Form '#
 (If Duplicated)]])</f>
        <v>7818-25818</v>
      </c>
      <c r="N1819" s="1" t="s">
        <v>49</v>
      </c>
      <c r="O1819" s="6" t="str">
        <f>IF(Table2[[#This Row],[POG CONFIRMATION RECEIPT OF ORDER
(DATE &amp; TIME)]]="","No Confirmation","Received Confirmation")</f>
        <v>Received Confirmation</v>
      </c>
      <c r="P1819" s="6">
        <f ca="1">TODAY()-Table2[[#This Row],[DATE SENT TO POG]]</f>
        <v>99</v>
      </c>
      <c r="Q1819" s="6" t="s">
        <v>5803</v>
      </c>
      <c r="R18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19" s="2" t="str">
        <f>_xlfn.XLOOKUP(Table2[[#This Row],[Adjusted Form '#]],'[2]IN PROGRESS'!$D:$D,'[2]IN PROGRESS'!$M:$M,"Not Found")</f>
        <v>Not Found</v>
      </c>
      <c r="U1819" s="2" t="str">
        <f>_xlfn.XLOOKUP(Table2[[#This Row],[Adjusted Form '#]],[1]COMPLETED!$D:$D,[2]COMPLETED!$M:$M,"Not Found")</f>
        <v>Not Found</v>
      </c>
      <c r="V1819" s="17" t="str">
        <f>_xlfn.XLOOKUP(Table2[[#This Row],[Adjusted Form '#]],[2]COMPLETED!$D:$D,[2]COMPLETED!$O:$O,"Not Found")</f>
        <v>Not Found</v>
      </c>
      <c r="W1819" s="2" t="str">
        <f>_xlfn.XLOOKUP(Table2[[#This Row],[Adjusted Form '#]],[2]BILLED!$D:$D,[2]BILLED!$M:$M,"Not Found")</f>
        <v>9400 1361 0605 3487 4738 41</v>
      </c>
      <c r="X1819" s="17" t="e">
        <f>_xlfn.XLOOKUP(Table2[[#This Row],[Adjusted Form '#]],[2]BILLED!$D:$D,[1]BILLED!$O:$O,"Not Found")</f>
        <v>#REF!</v>
      </c>
      <c r="Y1819" s="17" t="e">
        <f>_xlfn.XLOOKUP(Table2[[#This Row],[Adjusted Form '#]],'[2]REJECTED ORDERS'!$D:$D,'[2]REJECTED ORDERS'!$E:$E)</f>
        <v>#N/A</v>
      </c>
      <c r="Z1819" s="1"/>
      <c r="AA1819" s="1"/>
    </row>
    <row r="1820" spans="1:27" ht="15" customHeight="1" x14ac:dyDescent="0.35">
      <c r="A1820" s="4" t="s">
        <v>2703</v>
      </c>
      <c r="B1820" s="1" t="s">
        <v>2605</v>
      </c>
      <c r="C1820" s="11">
        <v>45204</v>
      </c>
      <c r="D1820" s="11" t="s">
        <v>7202</v>
      </c>
      <c r="E1820" s="1" t="s">
        <v>21</v>
      </c>
      <c r="F1820" s="1" t="s">
        <v>7196</v>
      </c>
      <c r="G1820" s="6">
        <f>COUNTIF(F:F,Table2[[#This Row],[Form '#]])</f>
        <v>1</v>
      </c>
      <c r="H1820" s="1" t="s">
        <v>7197</v>
      </c>
      <c r="I1820" s="1" t="s">
        <v>28</v>
      </c>
      <c r="J1820" s="1" t="s">
        <v>3891</v>
      </c>
      <c r="K1820" s="1" t="s">
        <v>3898</v>
      </c>
      <c r="L1820" s="1"/>
      <c r="M1820" s="6" t="str">
        <f>IF(Table2[[#This Row],[Corrected Form '#
 (If Duplicated)]]="",Table2[[#This Row],[Form '#]],Table2[[#This Row],[Corrected Form '#
 (If Duplicated)]])</f>
        <v>7818-25088</v>
      </c>
      <c r="N1820" s="1" t="s">
        <v>49</v>
      </c>
      <c r="O1820" s="6" t="str">
        <f>IF(Table2[[#This Row],[POG CONFIRMATION RECEIPT OF ORDER
(DATE &amp; TIME)]]="","No Confirmation","Received Confirmation")</f>
        <v>Received Confirmation</v>
      </c>
      <c r="P1820" s="6">
        <f ca="1">TODAY()-Table2[[#This Row],[DATE SENT TO POG]]</f>
        <v>99</v>
      </c>
      <c r="Q1820" s="6" t="s">
        <v>5803</v>
      </c>
      <c r="R18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82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820" s="2" t="str">
        <f>_xlfn.XLOOKUP(Table2[[#This Row],[Adjusted Form '#]],'[2]IN PROGRESS'!$D:$D,'[2]IN PROGRESS'!$M:$M,"Not Found")</f>
        <v>Not Found</v>
      </c>
      <c r="U1820" s="2" t="str">
        <f>_xlfn.XLOOKUP(Table2[[#This Row],[Adjusted Form '#]],[1]COMPLETED!$D:$D,[2]COMPLETED!$M:$M,"Not Found")</f>
        <v>Not Found</v>
      </c>
      <c r="V1820" s="17">
        <f>_xlfn.XLOOKUP(Table2[[#This Row],[Adjusted Form '#]],[2]COMPLETED!$D:$D,[2]COMPLETED!$O:$O,"Not Found")</f>
        <v>0</v>
      </c>
      <c r="W1820" s="2" t="str">
        <f>_xlfn.XLOOKUP(Table2[[#This Row],[Adjusted Form '#]],[2]BILLED!$D:$D,[2]BILLED!$M:$M,"Not Found")</f>
        <v>Not Found</v>
      </c>
      <c r="X1820" s="17" t="str">
        <f>_xlfn.XLOOKUP(Table2[[#This Row],[Adjusted Form '#]],[2]BILLED!$D:$D,[1]BILLED!$O:$O,"Not Found")</f>
        <v>Not Found</v>
      </c>
      <c r="Y1820" s="17" t="e">
        <f>_xlfn.XLOOKUP(Table2[[#This Row],[Adjusted Form '#]],'[2]REJECTED ORDERS'!$D:$D,'[2]REJECTED ORDERS'!$E:$E)</f>
        <v>#N/A</v>
      </c>
      <c r="Z1820" s="1"/>
      <c r="AA1820" s="1"/>
    </row>
    <row r="1821" spans="1:27" ht="15" customHeight="1" x14ac:dyDescent="0.35">
      <c r="A1821" s="4" t="s">
        <v>2704</v>
      </c>
      <c r="B1821" s="1" t="s">
        <v>2605</v>
      </c>
      <c r="C1821" s="11">
        <v>45204</v>
      </c>
      <c r="D1821" s="11" t="s">
        <v>7202</v>
      </c>
      <c r="E1821" s="1" t="s">
        <v>21</v>
      </c>
      <c r="F1821" s="1" t="s">
        <v>7198</v>
      </c>
      <c r="G1821" s="6">
        <f>COUNTIF(F:F,Table2[[#This Row],[Form '#]])</f>
        <v>1</v>
      </c>
      <c r="H1821" s="1" t="s">
        <v>7199</v>
      </c>
      <c r="I1821" s="1" t="s">
        <v>3864</v>
      </c>
      <c r="J1821" s="1" t="s">
        <v>78</v>
      </c>
      <c r="K1821" s="1" t="s">
        <v>3879</v>
      </c>
      <c r="L1821" s="1"/>
      <c r="M1821" s="6" t="str">
        <f>IF(Table2[[#This Row],[Corrected Form '#
 (If Duplicated)]]="",Table2[[#This Row],[Form '#]],Table2[[#This Row],[Corrected Form '#
 (If Duplicated)]])</f>
        <v>7818-25793</v>
      </c>
      <c r="N1821" s="1" t="s">
        <v>49</v>
      </c>
      <c r="O1821" s="6" t="str">
        <f>IF(Table2[[#This Row],[POG CONFIRMATION RECEIPT OF ORDER
(DATE &amp; TIME)]]="","No Confirmation","Received Confirmation")</f>
        <v>Received Confirmation</v>
      </c>
      <c r="P1821" s="6">
        <f ca="1">TODAY()-Table2[[#This Row],[DATE SENT TO POG]]</f>
        <v>99</v>
      </c>
      <c r="Q1821" s="6" t="s">
        <v>5803</v>
      </c>
      <c r="R18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1" s="2" t="str">
        <f>_xlfn.XLOOKUP(Table2[[#This Row],[Adjusted Form '#]],'[2]IN PROGRESS'!$D:$D,'[2]IN PROGRESS'!$M:$M,"Not Found")</f>
        <v>Not Found</v>
      </c>
      <c r="U1821" s="2" t="str">
        <f>_xlfn.XLOOKUP(Table2[[#This Row],[Adjusted Form '#]],[1]COMPLETED!$D:$D,[2]COMPLETED!$M:$M,"Not Found")</f>
        <v>Not Found</v>
      </c>
      <c r="V1821" s="17" t="str">
        <f>_xlfn.XLOOKUP(Table2[[#This Row],[Adjusted Form '#]],[2]COMPLETED!$D:$D,[2]COMPLETED!$O:$O,"Not Found")</f>
        <v>Not Found</v>
      </c>
      <c r="W1821" s="2" t="str">
        <f>_xlfn.XLOOKUP(Table2[[#This Row],[Adjusted Form '#]],[2]BILLED!$D:$D,[2]BILLED!$M:$M,"Not Found")</f>
        <v>9400 1361 0605 3481 7889 96</v>
      </c>
      <c r="X1821" s="17" t="e">
        <f>_xlfn.XLOOKUP(Table2[[#This Row],[Adjusted Form '#]],[2]BILLED!$D:$D,[1]BILLED!$O:$O,"Not Found")</f>
        <v>#REF!</v>
      </c>
      <c r="Y1821" s="17" t="e">
        <f>_xlfn.XLOOKUP(Table2[[#This Row],[Adjusted Form '#]],'[2]REJECTED ORDERS'!$D:$D,'[2]REJECTED ORDERS'!$E:$E)</f>
        <v>#N/A</v>
      </c>
      <c r="Z1821" s="1"/>
      <c r="AA1821" s="1"/>
    </row>
    <row r="1822" spans="1:27" ht="15" customHeight="1" x14ac:dyDescent="0.35">
      <c r="A1822" s="4" t="s">
        <v>2706</v>
      </c>
      <c r="B1822" s="1" t="s">
        <v>2605</v>
      </c>
      <c r="C1822" s="11">
        <v>45204</v>
      </c>
      <c r="D1822" s="11" t="s">
        <v>7202</v>
      </c>
      <c r="E1822" s="1" t="s">
        <v>21</v>
      </c>
      <c r="F1822" s="1" t="s">
        <v>7200</v>
      </c>
      <c r="G1822" s="6">
        <f>COUNTIF(F:F,Table2[[#This Row],[Form '#]])</f>
        <v>1</v>
      </c>
      <c r="H1822" s="1" t="s">
        <v>7201</v>
      </c>
      <c r="I1822" s="1" t="s">
        <v>758</v>
      </c>
      <c r="J1822" s="1" t="s">
        <v>78</v>
      </c>
      <c r="K1822" s="1" t="s">
        <v>3853</v>
      </c>
      <c r="L1822" s="1"/>
      <c r="M1822" s="6" t="str">
        <f>IF(Table2[[#This Row],[Corrected Form '#
 (If Duplicated)]]="",Table2[[#This Row],[Form '#]],Table2[[#This Row],[Corrected Form '#
 (If Duplicated)]])</f>
        <v>7818-32883</v>
      </c>
      <c r="N1822" s="1" t="s">
        <v>49</v>
      </c>
      <c r="O1822" s="6" t="str">
        <f>IF(Table2[[#This Row],[POG CONFIRMATION RECEIPT OF ORDER
(DATE &amp; TIME)]]="","No Confirmation","Received Confirmation")</f>
        <v>Received Confirmation</v>
      </c>
      <c r="P1822" s="6">
        <f ca="1">TODAY()-Table2[[#This Row],[DATE SENT TO POG]]</f>
        <v>99</v>
      </c>
      <c r="Q1822" s="6" t="s">
        <v>5803</v>
      </c>
      <c r="R18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2" s="2" t="str">
        <f>_xlfn.XLOOKUP(Table2[[#This Row],[Adjusted Form '#]],'[2]IN PROGRESS'!$D:$D,'[2]IN PROGRESS'!$M:$M,"Not Found")</f>
        <v>Not Found</v>
      </c>
      <c r="U1822" s="2" t="str">
        <f>_xlfn.XLOOKUP(Table2[[#This Row],[Adjusted Form '#]],[1]COMPLETED!$D:$D,[2]COMPLETED!$M:$M,"Not Found")</f>
        <v>Not Found</v>
      </c>
      <c r="V1822" s="17" t="str">
        <f>_xlfn.XLOOKUP(Table2[[#This Row],[Adjusted Form '#]],[2]COMPLETED!$D:$D,[2]COMPLETED!$O:$O,"Not Found")</f>
        <v>Not Found</v>
      </c>
      <c r="W1822" s="2" t="str">
        <f>_xlfn.XLOOKUP(Table2[[#This Row],[Adjusted Form '#]],[2]BILLED!$D:$D,[2]BILLED!$M:$M,"Not Found")</f>
        <v>9400 1361 0605 3491 0534 73</v>
      </c>
      <c r="X1822" s="17" t="e">
        <f>_xlfn.XLOOKUP(Table2[[#This Row],[Adjusted Form '#]],[2]BILLED!$D:$D,[1]BILLED!$O:$O,"Not Found")</f>
        <v>#REF!</v>
      </c>
      <c r="Y1822" s="17" t="e">
        <f>_xlfn.XLOOKUP(Table2[[#This Row],[Adjusted Form '#]],'[2]REJECTED ORDERS'!$D:$D,'[2]REJECTED ORDERS'!$E:$E)</f>
        <v>#N/A</v>
      </c>
      <c r="Z1822" s="1"/>
      <c r="AA1822" s="1"/>
    </row>
    <row r="1823" spans="1:27" ht="15" customHeight="1" x14ac:dyDescent="0.35">
      <c r="A1823" s="4" t="s">
        <v>8234</v>
      </c>
      <c r="B1823" s="1" t="s">
        <v>1852</v>
      </c>
      <c r="C1823" s="11">
        <v>45205</v>
      </c>
      <c r="D1823" s="11" t="s">
        <v>7206</v>
      </c>
      <c r="E1823" s="1" t="s">
        <v>64</v>
      </c>
      <c r="F1823" s="1" t="s">
        <v>7203</v>
      </c>
      <c r="G1823" s="6">
        <f>COUNTIF(F:F,Table2[[#This Row],[Form '#]])</f>
        <v>1</v>
      </c>
      <c r="H1823" s="1" t="s">
        <v>3533</v>
      </c>
      <c r="I1823" s="1" t="s">
        <v>3864</v>
      </c>
      <c r="J1823" s="1" t="s">
        <v>78</v>
      </c>
      <c r="K1823" s="1" t="s">
        <v>3879</v>
      </c>
      <c r="L1823" s="1"/>
      <c r="M1823" s="6" t="str">
        <f>IF(Table2[[#This Row],[Corrected Form '#
 (If Duplicated)]]="",Table2[[#This Row],[Form '#]],Table2[[#This Row],[Corrected Form '#
 (If Duplicated)]])</f>
        <v>7824-00467</v>
      </c>
      <c r="N1823" s="1" t="s">
        <v>49</v>
      </c>
      <c r="O1823" s="6" t="str">
        <f>IF(Table2[[#This Row],[POG CONFIRMATION RECEIPT OF ORDER
(DATE &amp; TIME)]]="","No Confirmation","Received Confirmation")</f>
        <v>Received Confirmation</v>
      </c>
      <c r="P1823" s="6">
        <f ca="1">TODAY()-Table2[[#This Row],[DATE SENT TO POG]]</f>
        <v>98</v>
      </c>
      <c r="Q1823" s="6" t="s">
        <v>5803</v>
      </c>
      <c r="R18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3" s="2" t="str">
        <f>_xlfn.XLOOKUP(Table2[[#This Row],[Adjusted Form '#]],'[2]IN PROGRESS'!$D:$D,'[2]IN PROGRESS'!$M:$M,"Not Found")</f>
        <v>Not Found</v>
      </c>
      <c r="U1823" s="2" t="str">
        <f>_xlfn.XLOOKUP(Table2[[#This Row],[Adjusted Form '#]],[1]COMPLETED!$D:$D,[2]COMPLETED!$M:$M,"Not Found")</f>
        <v>Not Found</v>
      </c>
      <c r="V1823" s="17" t="str">
        <f>_xlfn.XLOOKUP(Table2[[#This Row],[Adjusted Form '#]],[2]COMPLETED!$D:$D,[2]COMPLETED!$O:$O,"Not Found")</f>
        <v>Not Found</v>
      </c>
      <c r="W1823" s="2" t="str">
        <f>_xlfn.XLOOKUP(Table2[[#This Row],[Adjusted Form '#]],[2]BILLED!$D:$D,[2]BILLED!$M:$M,"Not Found")</f>
        <v>9400 1361 0605 3505 4066 60</v>
      </c>
      <c r="X1823" s="17" t="e">
        <f>_xlfn.XLOOKUP(Table2[[#This Row],[Adjusted Form '#]],[2]BILLED!$D:$D,[1]BILLED!$O:$O,"Not Found")</f>
        <v>#REF!</v>
      </c>
      <c r="Y1823" s="17" t="e">
        <f>_xlfn.XLOOKUP(Table2[[#This Row],[Adjusted Form '#]],'[2]REJECTED ORDERS'!$D:$D,'[2]REJECTED ORDERS'!$E:$E)</f>
        <v>#N/A</v>
      </c>
      <c r="Z1823" s="1"/>
      <c r="AA1823" s="1"/>
    </row>
    <row r="1824" spans="1:27" ht="15" customHeight="1" x14ac:dyDescent="0.35">
      <c r="A1824" s="4" t="s">
        <v>8235</v>
      </c>
      <c r="B1824" s="1" t="s">
        <v>607</v>
      </c>
      <c r="C1824" s="11">
        <v>45205</v>
      </c>
      <c r="D1824" s="11" t="s">
        <v>7207</v>
      </c>
      <c r="E1824" s="1" t="s">
        <v>191</v>
      </c>
      <c r="F1824" s="1" t="s">
        <v>7204</v>
      </c>
      <c r="G1824" s="6">
        <f>COUNTIF(F:F,Table2[[#This Row],[Form '#]])</f>
        <v>1</v>
      </c>
      <c r="H1824" s="1" t="s">
        <v>2747</v>
      </c>
      <c r="I1824" s="1" t="s">
        <v>758</v>
      </c>
      <c r="J1824" s="1" t="s">
        <v>78</v>
      </c>
      <c r="K1824" s="1" t="s">
        <v>3853</v>
      </c>
      <c r="L1824" s="1"/>
      <c r="M1824" s="6" t="str">
        <f>IF(Table2[[#This Row],[Corrected Form '#
 (If Duplicated)]]="",Table2[[#This Row],[Form '#]],Table2[[#This Row],[Corrected Form '#
 (If Duplicated)]])</f>
        <v>7812-04743</v>
      </c>
      <c r="N1824" s="1" t="s">
        <v>49</v>
      </c>
      <c r="O1824" s="6" t="str">
        <f>IF(Table2[[#This Row],[POG CONFIRMATION RECEIPT OF ORDER
(DATE &amp; TIME)]]="","No Confirmation","Received Confirmation")</f>
        <v>Received Confirmation</v>
      </c>
      <c r="P1824" s="6">
        <f ca="1">TODAY()-Table2[[#This Row],[DATE SENT TO POG]]</f>
        <v>98</v>
      </c>
      <c r="Q1824" s="6" t="s">
        <v>5803</v>
      </c>
      <c r="R18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4" s="2" t="str">
        <f>_xlfn.XLOOKUP(Table2[[#This Row],[Adjusted Form '#]],'[2]IN PROGRESS'!$D:$D,'[2]IN PROGRESS'!$M:$M,"Not Found")</f>
        <v>Not Found</v>
      </c>
      <c r="U1824" s="2" t="str">
        <f>_xlfn.XLOOKUP(Table2[[#This Row],[Adjusted Form '#]],[1]COMPLETED!$D:$D,[2]COMPLETED!$M:$M,"Not Found")</f>
        <v>Not Found</v>
      </c>
      <c r="V1824" s="17" t="str">
        <f>_xlfn.XLOOKUP(Table2[[#This Row],[Adjusted Form '#]],[2]COMPLETED!$D:$D,[2]COMPLETED!$O:$O,"Not Found")</f>
        <v>Not Found</v>
      </c>
      <c r="W1824" s="2" t="str">
        <f>_xlfn.XLOOKUP(Table2[[#This Row],[Adjusted Form '#]],[2]BILLED!$D:$D,[2]BILLED!$M:$M,"Not Found")</f>
        <v>9400 1361 0605 3510 4757 12</v>
      </c>
      <c r="X1824" s="17" t="e">
        <f>_xlfn.XLOOKUP(Table2[[#This Row],[Adjusted Form '#]],[2]BILLED!$D:$D,[1]BILLED!$O:$O,"Not Found")</f>
        <v>#REF!</v>
      </c>
      <c r="Y1824" s="17" t="e">
        <f>_xlfn.XLOOKUP(Table2[[#This Row],[Adjusted Form '#]],'[2]REJECTED ORDERS'!$D:$D,'[2]REJECTED ORDERS'!$E:$E)</f>
        <v>#N/A</v>
      </c>
      <c r="Z1824" s="1"/>
      <c r="AA1824" s="1"/>
    </row>
    <row r="1825" spans="1:27" ht="15" customHeight="1" x14ac:dyDescent="0.35">
      <c r="A1825" s="4" t="s">
        <v>2707</v>
      </c>
      <c r="B1825" s="1" t="s">
        <v>1667</v>
      </c>
      <c r="C1825" s="11">
        <v>45205</v>
      </c>
      <c r="D1825" s="11" t="s">
        <v>7208</v>
      </c>
      <c r="E1825" s="1" t="s">
        <v>64</v>
      </c>
      <c r="F1825" s="1" t="s">
        <v>7205</v>
      </c>
      <c r="G1825" s="6">
        <f>COUNTIF(F:F,Table2[[#This Row],[Form '#]])</f>
        <v>1</v>
      </c>
      <c r="H1825" s="1" t="s">
        <v>3695</v>
      </c>
      <c r="I1825" s="1" t="s">
        <v>3852</v>
      </c>
      <c r="J1825" s="1" t="s">
        <v>80</v>
      </c>
      <c r="K1825" s="1" t="s">
        <v>3853</v>
      </c>
      <c r="L1825" s="1"/>
      <c r="M1825" s="6" t="str">
        <f>IF(Table2[[#This Row],[Corrected Form '#
 (If Duplicated)]]="",Table2[[#This Row],[Form '#]],Table2[[#This Row],[Corrected Form '#
 (If Duplicated)]])</f>
        <v>7824-00469</v>
      </c>
      <c r="N1825" s="1" t="s">
        <v>49</v>
      </c>
      <c r="O1825" s="6" t="str">
        <f>IF(Table2[[#This Row],[POG CONFIRMATION RECEIPT OF ORDER
(DATE &amp; TIME)]]="","No Confirmation","Received Confirmation")</f>
        <v>Received Confirmation</v>
      </c>
      <c r="P1825" s="6">
        <f ca="1">TODAY()-Table2[[#This Row],[DATE SENT TO POG]]</f>
        <v>98</v>
      </c>
      <c r="Q1825" s="6" t="s">
        <v>5803</v>
      </c>
      <c r="R18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5" s="2" t="str">
        <f>_xlfn.XLOOKUP(Table2[[#This Row],[Adjusted Form '#]],'[2]IN PROGRESS'!$D:$D,'[2]IN PROGRESS'!$M:$M,"Not Found")</f>
        <v>Not Found</v>
      </c>
      <c r="U1825" s="2" t="str">
        <f>_xlfn.XLOOKUP(Table2[[#This Row],[Adjusted Form '#]],[1]COMPLETED!$D:$D,[2]COMPLETED!$M:$M,"Not Found")</f>
        <v>Not Found</v>
      </c>
      <c r="V1825" s="17" t="str">
        <f>_xlfn.XLOOKUP(Table2[[#This Row],[Adjusted Form '#]],[2]COMPLETED!$D:$D,[2]COMPLETED!$O:$O,"Not Found")</f>
        <v>Not Found</v>
      </c>
      <c r="W1825" s="2" t="str">
        <f>_xlfn.XLOOKUP(Table2[[#This Row],[Adjusted Form '#]],[2]BILLED!$D:$D,[2]BILLED!$M:$M,"Not Found")</f>
        <v>9400 1361 0605 3503 6141 35</v>
      </c>
      <c r="X1825" s="17" t="e">
        <f>_xlfn.XLOOKUP(Table2[[#This Row],[Adjusted Form '#]],[2]BILLED!$D:$D,[1]BILLED!$O:$O,"Not Found")</f>
        <v>#REF!</v>
      </c>
      <c r="Y1825" s="17" t="e">
        <f>_xlfn.XLOOKUP(Table2[[#This Row],[Adjusted Form '#]],'[2]REJECTED ORDERS'!$D:$D,'[2]REJECTED ORDERS'!$E:$E)</f>
        <v>#N/A</v>
      </c>
      <c r="Z1825" s="1"/>
      <c r="AA1825" s="1"/>
    </row>
    <row r="1826" spans="1:27" ht="15" customHeight="1" x14ac:dyDescent="0.35">
      <c r="A1826" s="4" t="s">
        <v>2709</v>
      </c>
      <c r="B1826" s="1" t="s">
        <v>2001</v>
      </c>
      <c r="C1826" s="11">
        <v>45208</v>
      </c>
      <c r="D1826" s="11" t="s">
        <v>7212</v>
      </c>
      <c r="E1826" s="1" t="s">
        <v>21</v>
      </c>
      <c r="F1826" s="1" t="s">
        <v>7209</v>
      </c>
      <c r="G1826" s="6">
        <f>COUNTIF(F:F,Table2[[#This Row],[Form '#]])</f>
        <v>1</v>
      </c>
      <c r="H1826" s="1" t="s">
        <v>2203</v>
      </c>
      <c r="I1826" s="1" t="s">
        <v>3864</v>
      </c>
      <c r="J1826" s="1" t="s">
        <v>78</v>
      </c>
      <c r="K1826" s="1" t="s">
        <v>3879</v>
      </c>
      <c r="L1826" s="1"/>
      <c r="M1826" s="6" t="str">
        <f>IF(Table2[[#This Row],[Corrected Form '#
 (If Duplicated)]]="",Table2[[#This Row],[Form '#]],Table2[[#This Row],[Corrected Form '#
 (If Duplicated)]])</f>
        <v>7818-27427</v>
      </c>
      <c r="N1826" s="1" t="s">
        <v>49</v>
      </c>
      <c r="O1826" s="6" t="str">
        <f>IF(Table2[[#This Row],[POG CONFIRMATION RECEIPT OF ORDER
(DATE &amp; TIME)]]="","No Confirmation","Received Confirmation")</f>
        <v>Received Confirmation</v>
      </c>
      <c r="P1826" s="6">
        <f ca="1">TODAY()-Table2[[#This Row],[DATE SENT TO POG]]</f>
        <v>95</v>
      </c>
      <c r="Q1826" s="6" t="s">
        <v>5803</v>
      </c>
      <c r="R18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6" s="2" t="str">
        <f>_xlfn.XLOOKUP(Table2[[#This Row],[Adjusted Form '#]],'[2]IN PROGRESS'!$D:$D,'[2]IN PROGRESS'!$M:$M,"Not Found")</f>
        <v>Not Found</v>
      </c>
      <c r="U1826" s="2" t="str">
        <f>_xlfn.XLOOKUP(Table2[[#This Row],[Adjusted Form '#]],[1]COMPLETED!$D:$D,[2]COMPLETED!$M:$M,"Not Found")</f>
        <v>Not Found</v>
      </c>
      <c r="V1826" s="17" t="str">
        <f>_xlfn.XLOOKUP(Table2[[#This Row],[Adjusted Form '#]],[2]COMPLETED!$D:$D,[2]COMPLETED!$O:$O,"Not Found")</f>
        <v>Not Found</v>
      </c>
      <c r="W1826" s="2" t="str">
        <f>_xlfn.XLOOKUP(Table2[[#This Row],[Adjusted Form '#]],[2]BILLED!$D:$D,[2]BILLED!$M:$M,"Not Found")</f>
        <v>9400 1361 0605 3514 3287 62</v>
      </c>
      <c r="X1826" s="17" t="e">
        <f>_xlfn.XLOOKUP(Table2[[#This Row],[Adjusted Form '#]],[2]BILLED!$D:$D,[1]BILLED!$O:$O,"Not Found")</f>
        <v>#REF!</v>
      </c>
      <c r="Y1826" s="17" t="e">
        <f>_xlfn.XLOOKUP(Table2[[#This Row],[Adjusted Form '#]],'[2]REJECTED ORDERS'!$D:$D,'[2]REJECTED ORDERS'!$E:$E)</f>
        <v>#N/A</v>
      </c>
      <c r="Z1826" s="1"/>
      <c r="AA1826" s="1"/>
    </row>
    <row r="1827" spans="1:27" ht="15" customHeight="1" x14ac:dyDescent="0.35">
      <c r="A1827" s="4" t="s">
        <v>2710</v>
      </c>
      <c r="B1827" s="1" t="s">
        <v>2001</v>
      </c>
      <c r="C1827" s="11">
        <v>45208</v>
      </c>
      <c r="D1827" s="11" t="s">
        <v>7212</v>
      </c>
      <c r="E1827" s="1" t="s">
        <v>21</v>
      </c>
      <c r="F1827" s="1" t="s">
        <v>7210</v>
      </c>
      <c r="G1827" s="6">
        <f>COUNTIF(F:F,Table2[[#This Row],[Form '#]])</f>
        <v>1</v>
      </c>
      <c r="H1827" s="1" t="s">
        <v>3476</v>
      </c>
      <c r="I1827" s="1" t="s">
        <v>3852</v>
      </c>
      <c r="J1827" s="1" t="s">
        <v>80</v>
      </c>
      <c r="K1827" s="1" t="s">
        <v>3853</v>
      </c>
      <c r="L1827" s="1"/>
      <c r="M1827" s="6" t="str">
        <f>IF(Table2[[#This Row],[Corrected Form '#
 (If Duplicated)]]="",Table2[[#This Row],[Form '#]],Table2[[#This Row],[Corrected Form '#
 (If Duplicated)]])</f>
        <v>7818-16337</v>
      </c>
      <c r="N1827" s="1" t="s">
        <v>49</v>
      </c>
      <c r="O1827" s="6" t="str">
        <f>IF(Table2[[#This Row],[POG CONFIRMATION RECEIPT OF ORDER
(DATE &amp; TIME)]]="","No Confirmation","Received Confirmation")</f>
        <v>Received Confirmation</v>
      </c>
      <c r="P1827" s="6">
        <f ca="1">TODAY()-Table2[[#This Row],[DATE SENT TO POG]]</f>
        <v>95</v>
      </c>
      <c r="Q1827" s="6" t="s">
        <v>5803</v>
      </c>
      <c r="R18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7" s="2" t="str">
        <f>_xlfn.XLOOKUP(Table2[[#This Row],[Adjusted Form '#]],'[2]IN PROGRESS'!$D:$D,'[2]IN PROGRESS'!$M:$M,"Not Found")</f>
        <v>Not Found</v>
      </c>
      <c r="U1827" s="2" t="str">
        <f>_xlfn.XLOOKUP(Table2[[#This Row],[Adjusted Form '#]],[1]COMPLETED!$D:$D,[2]COMPLETED!$M:$M,"Not Found")</f>
        <v>Not Found</v>
      </c>
      <c r="V1827" s="17" t="str">
        <f>_xlfn.XLOOKUP(Table2[[#This Row],[Adjusted Form '#]],[2]COMPLETED!$D:$D,[2]COMPLETED!$O:$O,"Not Found")</f>
        <v>Not Found</v>
      </c>
      <c r="W1827" s="2" t="str">
        <f>_xlfn.XLOOKUP(Table2[[#This Row],[Adjusted Form '#]],[2]BILLED!$D:$D,[2]BILLED!$M:$M,"Not Found")</f>
        <v>9400 1112 0620 9952 4174 45</v>
      </c>
      <c r="X1827" s="17" t="e">
        <f>_xlfn.XLOOKUP(Table2[[#This Row],[Adjusted Form '#]],[2]BILLED!$D:$D,[1]BILLED!$O:$O,"Not Found")</f>
        <v>#REF!</v>
      </c>
      <c r="Y1827" s="17" t="e">
        <f>_xlfn.XLOOKUP(Table2[[#This Row],[Adjusted Form '#]],'[2]REJECTED ORDERS'!$D:$D,'[2]REJECTED ORDERS'!$E:$E)</f>
        <v>#N/A</v>
      </c>
      <c r="Z1827" s="1"/>
      <c r="AA1827" s="1"/>
    </row>
    <row r="1828" spans="1:27" ht="15" customHeight="1" x14ac:dyDescent="0.35">
      <c r="A1828" s="4" t="s">
        <v>2711</v>
      </c>
      <c r="B1828" s="1" t="s">
        <v>2001</v>
      </c>
      <c r="C1828" s="11">
        <v>45208</v>
      </c>
      <c r="D1828" s="11" t="s">
        <v>7212</v>
      </c>
      <c r="E1828" s="1" t="s">
        <v>21</v>
      </c>
      <c r="F1828" s="1" t="s">
        <v>7211</v>
      </c>
      <c r="G1828" s="6">
        <f>COUNTIF(F:F,Table2[[#This Row],[Form '#]])</f>
        <v>1</v>
      </c>
      <c r="H1828" s="1" t="s">
        <v>654</v>
      </c>
      <c r="I1828" s="1" t="s">
        <v>127</v>
      </c>
      <c r="J1828" s="1" t="s">
        <v>76</v>
      </c>
      <c r="K1828" s="1" t="s">
        <v>3919</v>
      </c>
      <c r="L1828" s="1"/>
      <c r="M1828" s="6" t="str">
        <f>IF(Table2[[#This Row],[Corrected Form '#
 (If Duplicated)]]="",Table2[[#This Row],[Form '#]],Table2[[#This Row],[Corrected Form '#
 (If Duplicated)]])</f>
        <v>7818-11368</v>
      </c>
      <c r="N1828" s="1" t="s">
        <v>49</v>
      </c>
      <c r="O1828" s="6" t="str">
        <f>IF(Table2[[#This Row],[POG CONFIRMATION RECEIPT OF ORDER
(DATE &amp; TIME)]]="","No Confirmation","Received Confirmation")</f>
        <v>Received Confirmation</v>
      </c>
      <c r="P1828" s="6">
        <f ca="1">TODAY()-Table2[[#This Row],[DATE SENT TO POG]]</f>
        <v>95</v>
      </c>
      <c r="Q1828" s="6" t="s">
        <v>5803</v>
      </c>
      <c r="R18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8" s="2" t="str">
        <f>_xlfn.XLOOKUP(Table2[[#This Row],[Adjusted Form '#]],'[2]IN PROGRESS'!$D:$D,'[2]IN PROGRESS'!$M:$M,"Not Found")</f>
        <v>Not Found</v>
      </c>
      <c r="U1828" s="2" t="str">
        <f>_xlfn.XLOOKUP(Table2[[#This Row],[Adjusted Form '#]],[1]COMPLETED!$D:$D,[2]COMPLETED!$M:$M,"Not Found")</f>
        <v>Not Found</v>
      </c>
      <c r="V1828" s="17" t="str">
        <f>_xlfn.XLOOKUP(Table2[[#This Row],[Adjusted Form '#]],[2]COMPLETED!$D:$D,[2]COMPLETED!$O:$O,"Not Found")</f>
        <v>Not Found</v>
      </c>
      <c r="W1828" s="2" t="str">
        <f>_xlfn.XLOOKUP(Table2[[#This Row],[Adjusted Form '#]],[2]BILLED!$D:$D,[2]BILLED!$M:$M,"Not Found")</f>
        <v>9400 1361 0605 3517 5489 07</v>
      </c>
      <c r="X1828" s="17" t="e">
        <f>_xlfn.XLOOKUP(Table2[[#This Row],[Adjusted Form '#]],[2]BILLED!$D:$D,[1]BILLED!$O:$O,"Not Found")</f>
        <v>#REF!</v>
      </c>
      <c r="Y1828" s="17" t="e">
        <f>_xlfn.XLOOKUP(Table2[[#This Row],[Adjusted Form '#]],'[2]REJECTED ORDERS'!$D:$D,'[2]REJECTED ORDERS'!$E:$E)</f>
        <v>#N/A</v>
      </c>
      <c r="Z1828" s="1"/>
      <c r="AA1828" s="1"/>
    </row>
    <row r="1829" spans="1:27" ht="15" customHeight="1" x14ac:dyDescent="0.35">
      <c r="A1829" s="4" t="s">
        <v>2712</v>
      </c>
      <c r="B1829" s="1" t="s">
        <v>1516</v>
      </c>
      <c r="C1829" s="11">
        <v>45208</v>
      </c>
      <c r="E1829" s="1" t="s">
        <v>73</v>
      </c>
      <c r="F1829" s="1" t="s">
        <v>7213</v>
      </c>
      <c r="G1829" s="6">
        <f>COUNTIF(F:F,Table2[[#This Row],[Form '#]])</f>
        <v>1</v>
      </c>
      <c r="H1829" s="1" t="s">
        <v>7214</v>
      </c>
      <c r="I1829" s="1" t="s">
        <v>758</v>
      </c>
      <c r="J1829" s="1" t="s">
        <v>78</v>
      </c>
      <c r="K1829" s="1" t="s">
        <v>3853</v>
      </c>
      <c r="L1829" s="1"/>
      <c r="M1829" s="6" t="str">
        <f>IF(Table2[[#This Row],[Corrected Form '#
 (If Duplicated)]]="",Table2[[#This Row],[Form '#]],Table2[[#This Row],[Corrected Form '#
 (If Duplicated)]])</f>
        <v>7823-01858</v>
      </c>
      <c r="N1829" s="1" t="s">
        <v>49</v>
      </c>
      <c r="O1829" s="6" t="str">
        <f>IF(Table2[[#This Row],[POG CONFIRMATION RECEIPT OF ORDER
(DATE &amp; TIME)]]="","No Confirmation","Received Confirmation")</f>
        <v>No Confirmation</v>
      </c>
      <c r="P1829" s="6">
        <f ca="1">TODAY()-Table2[[#This Row],[DATE SENT TO POG]]</f>
        <v>95</v>
      </c>
      <c r="Q1829" s="6" t="s">
        <v>5803</v>
      </c>
      <c r="R18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29" s="2" t="str">
        <f>_xlfn.XLOOKUP(Table2[[#This Row],[Adjusted Form '#]],'[2]IN PROGRESS'!$D:$D,'[2]IN PROGRESS'!$M:$M,"Not Found")</f>
        <v>Not Found</v>
      </c>
      <c r="U1829" s="2" t="str">
        <f>_xlfn.XLOOKUP(Table2[[#This Row],[Adjusted Form '#]],[1]COMPLETED!$D:$D,[2]COMPLETED!$M:$M,"Not Found")</f>
        <v>Not Found</v>
      </c>
      <c r="V1829" s="17" t="str">
        <f>_xlfn.XLOOKUP(Table2[[#This Row],[Adjusted Form '#]],[2]COMPLETED!$D:$D,[2]COMPLETED!$O:$O,"Not Found")</f>
        <v>Not Found</v>
      </c>
      <c r="W1829" s="2" t="str">
        <f>_xlfn.XLOOKUP(Table2[[#This Row],[Adjusted Form '#]],[2]BILLED!$D:$D,[2]BILLED!$M:$M,"Not Found")</f>
        <v>1Z5063E0YW41812407</v>
      </c>
      <c r="X1829" s="17" t="e">
        <f>_xlfn.XLOOKUP(Table2[[#This Row],[Adjusted Form '#]],[2]BILLED!$D:$D,[1]BILLED!$O:$O,"Not Found")</f>
        <v>#REF!</v>
      </c>
      <c r="Y1829" s="17" t="e">
        <f>_xlfn.XLOOKUP(Table2[[#This Row],[Adjusted Form '#]],'[2]REJECTED ORDERS'!$D:$D,'[2]REJECTED ORDERS'!$E:$E)</f>
        <v>#N/A</v>
      </c>
      <c r="Z1829" s="1"/>
      <c r="AA1829" s="1"/>
    </row>
    <row r="1830" spans="1:27" ht="15" customHeight="1" x14ac:dyDescent="0.35">
      <c r="A1830" s="4" t="s">
        <v>2713</v>
      </c>
      <c r="B1830" s="1" t="s">
        <v>7215</v>
      </c>
      <c r="C1830" s="11">
        <v>45208</v>
      </c>
      <c r="D1830" s="11" t="s">
        <v>7229</v>
      </c>
      <c r="E1830" s="1" t="s">
        <v>21</v>
      </c>
      <c r="F1830" s="1" t="s">
        <v>7216</v>
      </c>
      <c r="G1830" s="6">
        <f>COUNTIF(F:F,Table2[[#This Row],[Form '#]])</f>
        <v>1</v>
      </c>
      <c r="H1830" s="1" t="s">
        <v>7217</v>
      </c>
      <c r="I1830" s="1" t="s">
        <v>3852</v>
      </c>
      <c r="J1830" s="1" t="s">
        <v>75</v>
      </c>
      <c r="K1830" s="1" t="s">
        <v>3853</v>
      </c>
      <c r="L1830" s="1"/>
      <c r="M1830" s="6" t="str">
        <f>IF(Table2[[#This Row],[Corrected Form '#
 (If Duplicated)]]="",Table2[[#This Row],[Form '#]],Table2[[#This Row],[Corrected Form '#
 (If Duplicated)]])</f>
        <v>7818-19610</v>
      </c>
      <c r="N1830" s="1" t="s">
        <v>49</v>
      </c>
      <c r="O1830" s="6" t="str">
        <f>IF(Table2[[#This Row],[POG CONFIRMATION RECEIPT OF ORDER
(DATE &amp; TIME)]]="","No Confirmation","Received Confirmation")</f>
        <v>Received Confirmation</v>
      </c>
      <c r="P1830" s="6">
        <f ca="1">TODAY()-Table2[[#This Row],[DATE SENT TO POG]]</f>
        <v>95</v>
      </c>
      <c r="Q1830" s="6" t="s">
        <v>5803</v>
      </c>
      <c r="R18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0" s="2" t="str">
        <f>_xlfn.XLOOKUP(Table2[[#This Row],[Adjusted Form '#]],'[2]IN PROGRESS'!$D:$D,'[2]IN PROGRESS'!$M:$M,"Not Found")</f>
        <v>Not Found</v>
      </c>
      <c r="U1830" s="2" t="str">
        <f>_xlfn.XLOOKUP(Table2[[#This Row],[Adjusted Form '#]],[1]COMPLETED!$D:$D,[2]COMPLETED!$M:$M,"Not Found")</f>
        <v>Not Found</v>
      </c>
      <c r="V1830" s="17" t="str">
        <f>_xlfn.XLOOKUP(Table2[[#This Row],[Adjusted Form '#]],[2]COMPLETED!$D:$D,[2]COMPLETED!$O:$O,"Not Found")</f>
        <v>Not Found</v>
      </c>
      <c r="W1830" s="2" t="str">
        <f>_xlfn.XLOOKUP(Table2[[#This Row],[Adjusted Form '#]],[2]BILLED!$D:$D,[2]BILLED!$M:$M,"Not Found")</f>
        <v>9400 1361 0605 3517 5593 30</v>
      </c>
      <c r="X1830" s="17" t="e">
        <f>_xlfn.XLOOKUP(Table2[[#This Row],[Adjusted Form '#]],[2]BILLED!$D:$D,[1]BILLED!$O:$O,"Not Found")</f>
        <v>#REF!</v>
      </c>
      <c r="Y1830" s="17" t="e">
        <f>_xlfn.XLOOKUP(Table2[[#This Row],[Adjusted Form '#]],'[2]REJECTED ORDERS'!$D:$D,'[2]REJECTED ORDERS'!$E:$E)</f>
        <v>#N/A</v>
      </c>
      <c r="Z1830" s="1"/>
      <c r="AA1830" s="1"/>
    </row>
    <row r="1831" spans="1:27" ht="15" customHeight="1" x14ac:dyDescent="0.35">
      <c r="A1831" s="4" t="s">
        <v>2714</v>
      </c>
      <c r="B1831" s="1" t="s">
        <v>7215</v>
      </c>
      <c r="C1831" s="11">
        <v>45208</v>
      </c>
      <c r="D1831" s="11" t="s">
        <v>7229</v>
      </c>
      <c r="E1831" s="1" t="s">
        <v>21</v>
      </c>
      <c r="F1831" s="1" t="s">
        <v>7218</v>
      </c>
      <c r="G1831" s="6">
        <f>COUNTIF(F:F,Table2[[#This Row],[Form '#]])</f>
        <v>1</v>
      </c>
      <c r="H1831" s="1" t="s">
        <v>7219</v>
      </c>
      <c r="I1831" s="1" t="s">
        <v>127</v>
      </c>
      <c r="J1831" s="1" t="s">
        <v>76</v>
      </c>
      <c r="K1831" s="1" t="s">
        <v>3919</v>
      </c>
      <c r="L1831" s="1"/>
      <c r="M1831" s="6" t="str">
        <f>IF(Table2[[#This Row],[Corrected Form '#
 (If Duplicated)]]="",Table2[[#This Row],[Form '#]],Table2[[#This Row],[Corrected Form '#
 (If Duplicated)]])</f>
        <v>7818-21602</v>
      </c>
      <c r="N1831" s="1" t="s">
        <v>49</v>
      </c>
      <c r="O1831" s="6" t="str">
        <f>IF(Table2[[#This Row],[POG CONFIRMATION RECEIPT OF ORDER
(DATE &amp; TIME)]]="","No Confirmation","Received Confirmation")</f>
        <v>Received Confirmation</v>
      </c>
      <c r="P1831" s="6">
        <f ca="1">TODAY()-Table2[[#This Row],[DATE SENT TO POG]]</f>
        <v>95</v>
      </c>
      <c r="Q1831" s="6" t="s">
        <v>5803</v>
      </c>
      <c r="R18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1" s="2" t="str">
        <f>_xlfn.XLOOKUP(Table2[[#This Row],[Adjusted Form '#]],'[2]IN PROGRESS'!$D:$D,'[2]IN PROGRESS'!$M:$M,"Not Found")</f>
        <v>Not Found</v>
      </c>
      <c r="U1831" s="2" t="str">
        <f>_xlfn.XLOOKUP(Table2[[#This Row],[Adjusted Form '#]],[1]COMPLETED!$D:$D,[2]COMPLETED!$M:$M,"Not Found")</f>
        <v>Not Found</v>
      </c>
      <c r="V1831" s="17" t="str">
        <f>_xlfn.XLOOKUP(Table2[[#This Row],[Adjusted Form '#]],[2]COMPLETED!$D:$D,[2]COMPLETED!$O:$O,"Not Found")</f>
        <v>Not Found</v>
      </c>
      <c r="W1831" s="2" t="str">
        <f>_xlfn.XLOOKUP(Table2[[#This Row],[Adjusted Form '#]],[2]BILLED!$D:$D,[2]BILLED!$M:$M,"Not Found")</f>
        <v>9400 1112 0620 9970 6921 38</v>
      </c>
      <c r="X1831" s="17" t="e">
        <f>_xlfn.XLOOKUP(Table2[[#This Row],[Adjusted Form '#]],[2]BILLED!$D:$D,[1]BILLED!$O:$O,"Not Found")</f>
        <v>#REF!</v>
      </c>
      <c r="Y1831" s="17" t="e">
        <f>_xlfn.XLOOKUP(Table2[[#This Row],[Adjusted Form '#]],'[2]REJECTED ORDERS'!$D:$D,'[2]REJECTED ORDERS'!$E:$E)</f>
        <v>#N/A</v>
      </c>
      <c r="Z1831" s="1"/>
      <c r="AA1831" s="1"/>
    </row>
    <row r="1832" spans="1:27" ht="15" customHeight="1" x14ac:dyDescent="0.35">
      <c r="A1832" s="4" t="s">
        <v>2715</v>
      </c>
      <c r="B1832" s="1" t="s">
        <v>7215</v>
      </c>
      <c r="C1832" s="11">
        <v>45208</v>
      </c>
      <c r="D1832" s="11" t="s">
        <v>7229</v>
      </c>
      <c r="E1832" s="1" t="s">
        <v>21</v>
      </c>
      <c r="F1832" s="1" t="s">
        <v>7220</v>
      </c>
      <c r="G1832" s="6">
        <f>COUNTIF(F:F,Table2[[#This Row],[Form '#]])</f>
        <v>1</v>
      </c>
      <c r="H1832" s="1" t="s">
        <v>2397</v>
      </c>
      <c r="I1832" s="1" t="s">
        <v>127</v>
      </c>
      <c r="J1832" s="1" t="s">
        <v>71</v>
      </c>
      <c r="K1832" s="1" t="s">
        <v>3919</v>
      </c>
      <c r="L1832" s="1"/>
      <c r="M1832" s="6" t="str">
        <f>IF(Table2[[#This Row],[Corrected Form '#
 (If Duplicated)]]="",Table2[[#This Row],[Form '#]],Table2[[#This Row],[Corrected Form '#
 (If Duplicated)]])</f>
        <v>7818-31213</v>
      </c>
      <c r="N1832" s="1" t="s">
        <v>49</v>
      </c>
      <c r="O1832" s="6" t="str">
        <f>IF(Table2[[#This Row],[POG CONFIRMATION RECEIPT OF ORDER
(DATE &amp; TIME)]]="","No Confirmation","Received Confirmation")</f>
        <v>Received Confirmation</v>
      </c>
      <c r="P1832" s="6">
        <f ca="1">TODAY()-Table2[[#This Row],[DATE SENT TO POG]]</f>
        <v>95</v>
      </c>
      <c r="Q1832" s="6" t="s">
        <v>5803</v>
      </c>
      <c r="R18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2" s="2" t="str">
        <f>_xlfn.XLOOKUP(Table2[[#This Row],[Adjusted Form '#]],'[2]IN PROGRESS'!$D:$D,'[2]IN PROGRESS'!$M:$M,"Not Found")</f>
        <v>Not Found</v>
      </c>
      <c r="U1832" s="2" t="str">
        <f>_xlfn.XLOOKUP(Table2[[#This Row],[Adjusted Form '#]],[1]COMPLETED!$D:$D,[2]COMPLETED!$M:$M,"Not Found")</f>
        <v>Not Found</v>
      </c>
      <c r="V1832" s="17" t="str">
        <f>_xlfn.XLOOKUP(Table2[[#This Row],[Adjusted Form '#]],[2]COMPLETED!$D:$D,[2]COMPLETED!$O:$O,"Not Found")</f>
        <v>Not Found</v>
      </c>
      <c r="W1832" s="2" t="str">
        <f>_xlfn.XLOOKUP(Table2[[#This Row],[Adjusted Form '#]],[2]BILLED!$D:$D,[2]BILLED!$M:$M,"Not Found")</f>
        <v>9400 1361 0605 3510 2081 50</v>
      </c>
      <c r="X1832" s="17" t="e">
        <f>_xlfn.XLOOKUP(Table2[[#This Row],[Adjusted Form '#]],[2]BILLED!$D:$D,[1]BILLED!$O:$O,"Not Found")</f>
        <v>#REF!</v>
      </c>
      <c r="Y1832" s="17" t="e">
        <f>_xlfn.XLOOKUP(Table2[[#This Row],[Adjusted Form '#]],'[2]REJECTED ORDERS'!$D:$D,'[2]REJECTED ORDERS'!$E:$E)</f>
        <v>#N/A</v>
      </c>
      <c r="Z1832" s="1"/>
      <c r="AA1832" s="1"/>
    </row>
    <row r="1833" spans="1:27" ht="15" customHeight="1" x14ac:dyDescent="0.35">
      <c r="A1833" s="4" t="s">
        <v>2716</v>
      </c>
      <c r="B1833" s="1" t="s">
        <v>5312</v>
      </c>
      <c r="C1833" s="11">
        <v>45209</v>
      </c>
      <c r="D1833" s="11" t="s">
        <v>7231</v>
      </c>
      <c r="E1833" s="1" t="s">
        <v>14</v>
      </c>
      <c r="F1833" s="1" t="s">
        <v>7221</v>
      </c>
      <c r="G1833" s="6">
        <f>COUNTIF(F:F,Table2[[#This Row],[Form '#]])</f>
        <v>1</v>
      </c>
      <c r="H1833" s="1" t="s">
        <v>7222</v>
      </c>
      <c r="I1833" s="1" t="s">
        <v>127</v>
      </c>
      <c r="J1833" s="1" t="s">
        <v>71</v>
      </c>
      <c r="K1833" s="1" t="s">
        <v>4011</v>
      </c>
      <c r="L1833" s="1"/>
      <c r="M1833" s="6" t="str">
        <f>IF(Table2[[#This Row],[Corrected Form '#
 (If Duplicated)]]="",Table2[[#This Row],[Form '#]],Table2[[#This Row],[Corrected Form '#
 (If Duplicated)]])</f>
        <v>7810-01598</v>
      </c>
      <c r="N1833" s="1" t="s">
        <v>49</v>
      </c>
      <c r="O1833" s="6" t="str">
        <f>IF(Table2[[#This Row],[POG CONFIRMATION RECEIPT OF ORDER
(DATE &amp; TIME)]]="","No Confirmation","Received Confirmation")</f>
        <v>Received Confirmation</v>
      </c>
      <c r="P1833" s="6">
        <f ca="1">TODAY()-Table2[[#This Row],[DATE SENT TO POG]]</f>
        <v>94</v>
      </c>
      <c r="Q1833" s="6" t="s">
        <v>5803</v>
      </c>
      <c r="R18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3" s="2" t="str">
        <f>_xlfn.XLOOKUP(Table2[[#This Row],[Adjusted Form '#]],'[2]IN PROGRESS'!$D:$D,'[2]IN PROGRESS'!$M:$M,"Not Found")</f>
        <v>Not Found</v>
      </c>
      <c r="U1833" s="2" t="str">
        <f>_xlfn.XLOOKUP(Table2[[#This Row],[Adjusted Form '#]],[1]COMPLETED!$D:$D,[2]COMPLETED!$M:$M,"Not Found")</f>
        <v>Not Found</v>
      </c>
      <c r="V1833" s="17" t="str">
        <f>_xlfn.XLOOKUP(Table2[[#This Row],[Adjusted Form '#]],[2]COMPLETED!$D:$D,[2]COMPLETED!$O:$O,"Not Found")</f>
        <v>Not Found</v>
      </c>
      <c r="W1833" s="2" t="str">
        <f>_xlfn.XLOOKUP(Table2[[#This Row],[Adjusted Form '#]],[2]BILLED!$D:$D,[2]BILLED!$M:$M,"Not Found")</f>
        <v>9400 1361 0605 3514 3184 66</v>
      </c>
      <c r="X1833" s="17" t="e">
        <f>_xlfn.XLOOKUP(Table2[[#This Row],[Adjusted Form '#]],[2]BILLED!$D:$D,[1]BILLED!$O:$O,"Not Found")</f>
        <v>#REF!</v>
      </c>
      <c r="Y1833" s="17" t="e">
        <f>_xlfn.XLOOKUP(Table2[[#This Row],[Adjusted Form '#]],'[2]REJECTED ORDERS'!$D:$D,'[2]REJECTED ORDERS'!$E:$E)</f>
        <v>#N/A</v>
      </c>
      <c r="Z1833" s="1"/>
      <c r="AA1833" s="1"/>
    </row>
    <row r="1834" spans="1:27" ht="15" customHeight="1" x14ac:dyDescent="0.35">
      <c r="A1834" s="4" t="s">
        <v>2719</v>
      </c>
      <c r="B1834" s="1" t="s">
        <v>1332</v>
      </c>
      <c r="C1834" s="11">
        <v>45209</v>
      </c>
      <c r="D1834" s="11" t="s">
        <v>7234</v>
      </c>
      <c r="E1834" s="1" t="s">
        <v>21</v>
      </c>
      <c r="F1834" s="1" t="s">
        <v>7223</v>
      </c>
      <c r="G1834" s="6">
        <f>COUNTIF(F:F,Table2[[#This Row],[Form '#]])</f>
        <v>1</v>
      </c>
      <c r="H1834" s="1" t="s">
        <v>7224</v>
      </c>
      <c r="I1834" s="1" t="s">
        <v>127</v>
      </c>
      <c r="J1834" s="1" t="s">
        <v>76</v>
      </c>
      <c r="K1834" s="1" t="s">
        <v>3883</v>
      </c>
      <c r="L1834" s="1"/>
      <c r="M1834" s="6" t="str">
        <f>IF(Table2[[#This Row],[Corrected Form '#
 (If Duplicated)]]="",Table2[[#This Row],[Form '#]],Table2[[#This Row],[Corrected Form '#
 (If Duplicated)]])</f>
        <v>7818-20813</v>
      </c>
      <c r="N1834" s="1" t="s">
        <v>49</v>
      </c>
      <c r="O1834" s="6" t="str">
        <f>IF(Table2[[#This Row],[POG CONFIRMATION RECEIPT OF ORDER
(DATE &amp; TIME)]]="","No Confirmation","Received Confirmation")</f>
        <v>Received Confirmation</v>
      </c>
      <c r="P1834" s="6">
        <f ca="1">TODAY()-Table2[[#This Row],[DATE SENT TO POG]]</f>
        <v>94</v>
      </c>
      <c r="Q1834" s="6" t="s">
        <v>5803</v>
      </c>
      <c r="R18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4" s="2" t="str">
        <f>_xlfn.XLOOKUP(Table2[[#This Row],[Adjusted Form '#]],'[2]IN PROGRESS'!$D:$D,'[2]IN PROGRESS'!$M:$M,"Not Found")</f>
        <v>Not Found</v>
      </c>
      <c r="U1834" s="2" t="str">
        <f>_xlfn.XLOOKUP(Table2[[#This Row],[Adjusted Form '#]],[1]COMPLETED!$D:$D,[2]COMPLETED!$M:$M,"Not Found")</f>
        <v>Not Found</v>
      </c>
      <c r="V1834" s="17" t="str">
        <f>_xlfn.XLOOKUP(Table2[[#This Row],[Adjusted Form '#]],[2]COMPLETED!$D:$D,[2]COMPLETED!$O:$O,"Not Found")</f>
        <v>Not Found</v>
      </c>
      <c r="W1834" s="2" t="str">
        <f>_xlfn.XLOOKUP(Table2[[#This Row],[Adjusted Form '#]],[2]BILLED!$D:$D,[2]BILLED!$M:$M,"Not Found")</f>
        <v>9400 1361 0605 3514 3227 84</v>
      </c>
      <c r="X1834" s="17" t="e">
        <f>_xlfn.XLOOKUP(Table2[[#This Row],[Adjusted Form '#]],[2]BILLED!$D:$D,[1]BILLED!$O:$O,"Not Found")</f>
        <v>#REF!</v>
      </c>
      <c r="Y1834" s="17" t="e">
        <f>_xlfn.XLOOKUP(Table2[[#This Row],[Adjusted Form '#]],'[2]REJECTED ORDERS'!$D:$D,'[2]REJECTED ORDERS'!$E:$E)</f>
        <v>#N/A</v>
      </c>
      <c r="Z1834" s="1"/>
      <c r="AA1834" s="1"/>
    </row>
    <row r="1835" spans="1:27" ht="15" customHeight="1" x14ac:dyDescent="0.35">
      <c r="A1835" s="4" t="s">
        <v>2721</v>
      </c>
      <c r="B1835" s="1" t="s">
        <v>1332</v>
      </c>
      <c r="C1835" s="11">
        <v>45209</v>
      </c>
      <c r="D1835" s="11" t="s">
        <v>7234</v>
      </c>
      <c r="E1835" s="1" t="s">
        <v>21</v>
      </c>
      <c r="F1835" s="1" t="s">
        <v>7225</v>
      </c>
      <c r="G1835" s="6">
        <f>COUNTIF(F:F,Table2[[#This Row],[Form '#]])</f>
        <v>1</v>
      </c>
      <c r="H1835" s="1" t="s">
        <v>7226</v>
      </c>
      <c r="I1835" s="1" t="s">
        <v>3852</v>
      </c>
      <c r="J1835" s="1" t="s">
        <v>80</v>
      </c>
      <c r="K1835" s="1" t="s">
        <v>3853</v>
      </c>
      <c r="L1835" s="1"/>
      <c r="M1835" s="6" t="str">
        <f>IF(Table2[[#This Row],[Corrected Form '#
 (If Duplicated)]]="",Table2[[#This Row],[Form '#]],Table2[[#This Row],[Corrected Form '#
 (If Duplicated)]])</f>
        <v>7818-28060</v>
      </c>
      <c r="N1835" s="1" t="s">
        <v>49</v>
      </c>
      <c r="O1835" s="6" t="str">
        <f>IF(Table2[[#This Row],[POG CONFIRMATION RECEIPT OF ORDER
(DATE &amp; TIME)]]="","No Confirmation","Received Confirmation")</f>
        <v>Received Confirmation</v>
      </c>
      <c r="P1835" s="6">
        <f ca="1">TODAY()-Table2[[#This Row],[DATE SENT TO POG]]</f>
        <v>94</v>
      </c>
      <c r="Q1835" s="6" t="s">
        <v>5803</v>
      </c>
      <c r="R18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5" s="2" t="str">
        <f>_xlfn.XLOOKUP(Table2[[#This Row],[Adjusted Form '#]],'[2]IN PROGRESS'!$D:$D,'[2]IN PROGRESS'!$M:$M,"Not Found")</f>
        <v>Not Found</v>
      </c>
      <c r="U1835" s="2" t="str">
        <f>_xlfn.XLOOKUP(Table2[[#This Row],[Adjusted Form '#]],[1]COMPLETED!$D:$D,[2]COMPLETED!$M:$M,"Not Found")</f>
        <v>Not Found</v>
      </c>
      <c r="V1835" s="17" t="str">
        <f>_xlfn.XLOOKUP(Table2[[#This Row],[Adjusted Form '#]],[2]COMPLETED!$D:$D,[2]COMPLETED!$O:$O,"Not Found")</f>
        <v>Not Found</v>
      </c>
      <c r="W1835" s="2" t="str">
        <f>_xlfn.XLOOKUP(Table2[[#This Row],[Adjusted Form '#]],[2]BILLED!$D:$D,[2]BILLED!$M:$M,"Not Found")</f>
        <v>9400 1361 0605 3510 2813 13</v>
      </c>
      <c r="X1835" s="17" t="e">
        <f>_xlfn.XLOOKUP(Table2[[#This Row],[Adjusted Form '#]],[2]BILLED!$D:$D,[1]BILLED!$O:$O,"Not Found")</f>
        <v>#REF!</v>
      </c>
      <c r="Y1835" s="17" t="e">
        <f>_xlfn.XLOOKUP(Table2[[#This Row],[Adjusted Form '#]],'[2]REJECTED ORDERS'!$D:$D,'[2]REJECTED ORDERS'!$E:$E)</f>
        <v>#N/A</v>
      </c>
      <c r="Z1835" s="1"/>
      <c r="AA1835" s="1"/>
    </row>
    <row r="1836" spans="1:27" ht="15" customHeight="1" x14ac:dyDescent="0.35">
      <c r="A1836" s="4" t="s">
        <v>2722</v>
      </c>
      <c r="B1836" s="1" t="s">
        <v>2242</v>
      </c>
      <c r="C1836" s="11">
        <v>45209</v>
      </c>
      <c r="D1836" s="11" t="s">
        <v>7235</v>
      </c>
      <c r="E1836" s="1" t="s">
        <v>191</v>
      </c>
      <c r="F1836" s="1" t="s">
        <v>7227</v>
      </c>
      <c r="G1836" s="6">
        <f>COUNTIF(F:F,Table2[[#This Row],[Form '#]])</f>
        <v>1</v>
      </c>
      <c r="H1836" s="1" t="s">
        <v>7228</v>
      </c>
      <c r="I1836" s="1" t="s">
        <v>3864</v>
      </c>
      <c r="J1836" s="1" t="s">
        <v>78</v>
      </c>
      <c r="K1836" s="1" t="s">
        <v>3879</v>
      </c>
      <c r="L1836" s="1"/>
      <c r="M1836" s="6" t="str">
        <f>IF(Table2[[#This Row],[Corrected Form '#
 (If Duplicated)]]="",Table2[[#This Row],[Form '#]],Table2[[#This Row],[Corrected Form '#
 (If Duplicated)]])</f>
        <v>7812-04904</v>
      </c>
      <c r="N1836" s="1" t="s">
        <v>49</v>
      </c>
      <c r="O1836" s="6" t="str">
        <f>IF(Table2[[#This Row],[POG CONFIRMATION RECEIPT OF ORDER
(DATE &amp; TIME)]]="","No Confirmation","Received Confirmation")</f>
        <v>Received Confirmation</v>
      </c>
      <c r="P1836" s="6">
        <f ca="1">TODAY()-Table2[[#This Row],[DATE SENT TO POG]]</f>
        <v>94</v>
      </c>
      <c r="Q1836" s="6" t="s">
        <v>5803</v>
      </c>
      <c r="R18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6" s="2" t="str">
        <f>_xlfn.XLOOKUP(Table2[[#This Row],[Adjusted Form '#]],'[2]IN PROGRESS'!$D:$D,'[2]IN PROGRESS'!$M:$M,"Not Found")</f>
        <v>Not Found</v>
      </c>
      <c r="U1836" s="2" t="str">
        <f>_xlfn.XLOOKUP(Table2[[#This Row],[Adjusted Form '#]],[1]COMPLETED!$D:$D,[2]COMPLETED!$M:$M,"Not Found")</f>
        <v>Not Found</v>
      </c>
      <c r="V1836" s="17" t="str">
        <f>_xlfn.XLOOKUP(Table2[[#This Row],[Adjusted Form '#]],[2]COMPLETED!$D:$D,[2]COMPLETED!$O:$O,"Not Found")</f>
        <v>Not Found</v>
      </c>
      <c r="W1836" s="2" t="str">
        <f>_xlfn.XLOOKUP(Table2[[#This Row],[Adjusted Form '#]],[2]BILLED!$D:$D,[2]BILLED!$M:$M,"Not Found")</f>
        <v>9400 1361 0605 3510 2905 82</v>
      </c>
      <c r="X1836" s="17" t="e">
        <f>_xlfn.XLOOKUP(Table2[[#This Row],[Adjusted Form '#]],[2]BILLED!$D:$D,[1]BILLED!$O:$O,"Not Found")</f>
        <v>#REF!</v>
      </c>
      <c r="Y1836" s="17" t="e">
        <f>_xlfn.XLOOKUP(Table2[[#This Row],[Adjusted Form '#]],'[2]REJECTED ORDERS'!$D:$D,'[2]REJECTED ORDERS'!$E:$E)</f>
        <v>#N/A</v>
      </c>
      <c r="Z1836" s="1"/>
      <c r="AA1836" s="1"/>
    </row>
    <row r="1837" spans="1:27" ht="15" customHeight="1" x14ac:dyDescent="0.35">
      <c r="A1837" s="4" t="s">
        <v>2723</v>
      </c>
      <c r="B1837" s="1" t="s">
        <v>390</v>
      </c>
      <c r="C1837" s="11">
        <v>45209</v>
      </c>
      <c r="D1837" s="11" t="s">
        <v>7236</v>
      </c>
      <c r="E1837" s="1" t="s">
        <v>48</v>
      </c>
      <c r="F1837" s="1" t="s">
        <v>1565</v>
      </c>
      <c r="G1837" s="6">
        <f>COUNTIF(F:F,Table2[[#This Row],[Form '#]])</f>
        <v>2</v>
      </c>
      <c r="H1837" s="1" t="s">
        <v>7230</v>
      </c>
      <c r="I1837" s="1" t="s">
        <v>758</v>
      </c>
      <c r="J1837" s="1" t="s">
        <v>78</v>
      </c>
      <c r="K1837" s="1" t="s">
        <v>3853</v>
      </c>
      <c r="L1837" s="1"/>
      <c r="M1837" s="6" t="str">
        <f>IF(Table2[[#This Row],[Corrected Form '#
 (If Duplicated)]]="",Table2[[#This Row],[Form '#]],Table2[[#This Row],[Corrected Form '#
 (If Duplicated)]])</f>
        <v>7819-00001</v>
      </c>
      <c r="N1837" s="1" t="s">
        <v>49</v>
      </c>
      <c r="O1837" s="6" t="str">
        <f>IF(Table2[[#This Row],[POG CONFIRMATION RECEIPT OF ORDER
(DATE &amp; TIME)]]="","No Confirmation","Received Confirmation")</f>
        <v>Received Confirmation</v>
      </c>
      <c r="P1837" s="6">
        <f ca="1">TODAY()-Table2[[#This Row],[DATE SENT TO POG]]</f>
        <v>94</v>
      </c>
      <c r="Q1837" s="6" t="s">
        <v>5803</v>
      </c>
      <c r="R18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7" s="2" t="str">
        <f>_xlfn.XLOOKUP(Table2[[#This Row],[Adjusted Form '#]],'[2]IN PROGRESS'!$D:$D,'[2]IN PROGRESS'!$M:$M,"Not Found")</f>
        <v>Not Found</v>
      </c>
      <c r="U1837" s="2" t="str">
        <f>_xlfn.XLOOKUP(Table2[[#This Row],[Adjusted Form '#]],[1]COMPLETED!$D:$D,[2]COMPLETED!$M:$M,"Not Found")</f>
        <v>Not Found</v>
      </c>
      <c r="V1837" s="17" t="str">
        <f>_xlfn.XLOOKUP(Table2[[#This Row],[Adjusted Form '#]],[2]COMPLETED!$D:$D,[2]COMPLETED!$O:$O,"Not Found")</f>
        <v>Not Found</v>
      </c>
      <c r="W1837" s="2" t="str">
        <f>_xlfn.XLOOKUP(Table2[[#This Row],[Adjusted Form '#]],[2]BILLED!$D:$D,[2]BILLED!$M:$M,"Not Found")</f>
        <v>9400 1112 0620 7597 0495 95</v>
      </c>
      <c r="X1837" s="17" t="e">
        <f>_xlfn.XLOOKUP(Table2[[#This Row],[Adjusted Form '#]],[2]BILLED!$D:$D,[1]BILLED!$O:$O,"Not Found")</f>
        <v>#REF!</v>
      </c>
      <c r="Y1837" s="17" t="str">
        <f>_xlfn.XLOOKUP(Table2[[#This Row],[Adjusted Form '#]],'[2]REJECTED ORDERS'!$D:$D,'[2]REJECTED ORDERS'!$E:$E)</f>
        <v>FORM NOT SIGNED</v>
      </c>
      <c r="Z1837" s="1"/>
      <c r="AA1837" s="1"/>
    </row>
    <row r="1838" spans="1:27" ht="15" customHeight="1" x14ac:dyDescent="0.35">
      <c r="A1838" s="4" t="s">
        <v>2725</v>
      </c>
      <c r="B1838" s="1" t="s">
        <v>3574</v>
      </c>
      <c r="C1838" s="11">
        <v>45209</v>
      </c>
      <c r="D1838" s="11" t="s">
        <v>7235</v>
      </c>
      <c r="E1838" s="1" t="s">
        <v>21</v>
      </c>
      <c r="F1838" s="1" t="s">
        <v>7232</v>
      </c>
      <c r="G1838" s="6">
        <f>COUNTIF(F:F,Table2[[#This Row],[Form '#]])</f>
        <v>1</v>
      </c>
      <c r="H1838" s="1" t="s">
        <v>7233</v>
      </c>
      <c r="I1838" s="1" t="s">
        <v>177</v>
      </c>
      <c r="J1838" s="1" t="s">
        <v>75</v>
      </c>
      <c r="K1838" s="1" t="s">
        <v>3853</v>
      </c>
      <c r="L1838" s="1"/>
      <c r="M1838" s="6" t="str">
        <f>IF(Table2[[#This Row],[Corrected Form '#
 (If Duplicated)]]="",Table2[[#This Row],[Form '#]],Table2[[#This Row],[Corrected Form '#
 (If Duplicated)]])</f>
        <v>7818-26668</v>
      </c>
      <c r="N1838" s="1" t="s">
        <v>49</v>
      </c>
      <c r="O1838" s="6" t="str">
        <f>IF(Table2[[#This Row],[POG CONFIRMATION RECEIPT OF ORDER
(DATE &amp; TIME)]]="","No Confirmation","Received Confirmation")</f>
        <v>Received Confirmation</v>
      </c>
      <c r="P1838" s="6">
        <f ca="1">TODAY()-Table2[[#This Row],[DATE SENT TO POG]]</f>
        <v>94</v>
      </c>
      <c r="Q1838" s="6" t="s">
        <v>5803</v>
      </c>
      <c r="R18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8" s="2" t="str">
        <f>_xlfn.XLOOKUP(Table2[[#This Row],[Adjusted Form '#]],'[2]IN PROGRESS'!$D:$D,'[2]IN PROGRESS'!$M:$M,"Not Found")</f>
        <v>Not Found</v>
      </c>
      <c r="U1838" s="2" t="str">
        <f>_xlfn.XLOOKUP(Table2[[#This Row],[Adjusted Form '#]],[1]COMPLETED!$D:$D,[2]COMPLETED!$M:$M,"Not Found")</f>
        <v>Not Found</v>
      </c>
      <c r="V1838" s="17" t="str">
        <f>_xlfn.XLOOKUP(Table2[[#This Row],[Adjusted Form '#]],[2]COMPLETED!$D:$D,[2]COMPLETED!$O:$O,"Not Found")</f>
        <v>Not Found</v>
      </c>
      <c r="W1838" s="2" t="str">
        <f>_xlfn.XLOOKUP(Table2[[#This Row],[Adjusted Form '#]],[2]BILLED!$D:$D,[2]BILLED!$M:$M,"Not Found")</f>
        <v>9400 1361 0605 3510 3316 36</v>
      </c>
      <c r="X1838" s="17" t="e">
        <f>_xlfn.XLOOKUP(Table2[[#This Row],[Adjusted Form '#]],[2]BILLED!$D:$D,[1]BILLED!$O:$O,"Not Found")</f>
        <v>#REF!</v>
      </c>
      <c r="Y1838" s="17" t="e">
        <f>_xlfn.XLOOKUP(Table2[[#This Row],[Adjusted Form '#]],'[2]REJECTED ORDERS'!$D:$D,'[2]REJECTED ORDERS'!$E:$E)</f>
        <v>#N/A</v>
      </c>
      <c r="Z1838" s="1"/>
      <c r="AA1838" s="1"/>
    </row>
    <row r="1839" spans="1:27" ht="15" customHeight="1" x14ac:dyDescent="0.35">
      <c r="A1839" s="4" t="s">
        <v>2727</v>
      </c>
      <c r="B1839" s="1" t="s">
        <v>663</v>
      </c>
      <c r="C1839" s="11">
        <v>45209</v>
      </c>
      <c r="D1839" s="11" t="s">
        <v>7238</v>
      </c>
      <c r="E1839" s="1" t="s">
        <v>21</v>
      </c>
      <c r="F1839" s="1" t="s">
        <v>7237</v>
      </c>
      <c r="G1839" s="6">
        <f>COUNTIF(F:F,Table2[[#This Row],[Form '#]])</f>
        <v>2</v>
      </c>
      <c r="H1839" s="1" t="s">
        <v>5836</v>
      </c>
      <c r="I1839" s="1" t="s">
        <v>3852</v>
      </c>
      <c r="J1839" s="1" t="s">
        <v>80</v>
      </c>
      <c r="K1839" s="1" t="s">
        <v>3853</v>
      </c>
      <c r="L1839" s="1"/>
      <c r="M1839" s="6" t="str">
        <f>IF(Table2[[#This Row],[Corrected Form '#
 (If Duplicated)]]="",Table2[[#This Row],[Form '#]],Table2[[#This Row],[Corrected Form '#
 (If Duplicated)]])</f>
        <v>7818-31173</v>
      </c>
      <c r="N1839" s="1" t="s">
        <v>49</v>
      </c>
      <c r="O1839" s="6" t="str">
        <f>IF(Table2[[#This Row],[POG CONFIRMATION RECEIPT OF ORDER
(DATE &amp; TIME)]]="","No Confirmation","Received Confirmation")</f>
        <v>Received Confirmation</v>
      </c>
      <c r="P1839" s="6">
        <f ca="1">TODAY()-Table2[[#This Row],[DATE SENT TO POG]]</f>
        <v>94</v>
      </c>
      <c r="Q1839" s="6" t="s">
        <v>5803</v>
      </c>
      <c r="R18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39" s="2" t="str">
        <f>_xlfn.XLOOKUP(Table2[[#This Row],[Adjusted Form '#]],'[2]IN PROGRESS'!$D:$D,'[2]IN PROGRESS'!$M:$M,"Not Found")</f>
        <v>Not Found</v>
      </c>
      <c r="U1839" s="2" t="str">
        <f>_xlfn.XLOOKUP(Table2[[#This Row],[Adjusted Form '#]],[1]COMPLETED!$D:$D,[2]COMPLETED!$M:$M,"Not Found")</f>
        <v>Not Found</v>
      </c>
      <c r="V1839" s="17" t="str">
        <f>_xlfn.XLOOKUP(Table2[[#This Row],[Adjusted Form '#]],[2]COMPLETED!$D:$D,[2]COMPLETED!$O:$O,"Not Found")</f>
        <v>Not Found</v>
      </c>
      <c r="W1839" s="2" t="str">
        <f>_xlfn.XLOOKUP(Table2[[#This Row],[Adjusted Form '#]],[2]BILLED!$D:$D,[2]BILLED!$M:$M,"Not Found")</f>
        <v>9400 1112 0620 9365 3315 50</v>
      </c>
      <c r="X1839" s="17" t="e">
        <f>_xlfn.XLOOKUP(Table2[[#This Row],[Adjusted Form '#]],[2]BILLED!$D:$D,[1]BILLED!$O:$O,"Not Found")</f>
        <v>#REF!</v>
      </c>
      <c r="Y1839" s="17" t="e">
        <f>_xlfn.XLOOKUP(Table2[[#This Row],[Adjusted Form '#]],'[2]REJECTED ORDERS'!$D:$D,'[2]REJECTED ORDERS'!$E:$E)</f>
        <v>#N/A</v>
      </c>
      <c r="Z1839" s="1"/>
      <c r="AA1839" s="1"/>
    </row>
    <row r="1840" spans="1:27" ht="15" customHeight="1" x14ac:dyDescent="0.35">
      <c r="A1840" s="4" t="s">
        <v>2728</v>
      </c>
      <c r="B1840" s="1" t="s">
        <v>2065</v>
      </c>
      <c r="C1840" s="11">
        <v>45209</v>
      </c>
      <c r="D1840" s="11" t="s">
        <v>7242</v>
      </c>
      <c r="E1840" s="1" t="s">
        <v>191</v>
      </c>
      <c r="F1840" s="1" t="s">
        <v>7239</v>
      </c>
      <c r="G1840" s="6">
        <f>COUNTIF(F:F,Table2[[#This Row],[Form '#]])</f>
        <v>1</v>
      </c>
      <c r="H1840" s="1" t="s">
        <v>6245</v>
      </c>
      <c r="I1840" s="1" t="s">
        <v>177</v>
      </c>
      <c r="J1840" s="1" t="s">
        <v>75</v>
      </c>
      <c r="K1840" s="1" t="s">
        <v>4011</v>
      </c>
      <c r="L1840" s="1"/>
      <c r="M1840" s="6" t="str">
        <f>IF(Table2[[#This Row],[Corrected Form '#
 (If Duplicated)]]="",Table2[[#This Row],[Form '#]],Table2[[#This Row],[Corrected Form '#
 (If Duplicated)]])</f>
        <v>7812-04518</v>
      </c>
      <c r="N1840" s="1" t="s">
        <v>49</v>
      </c>
      <c r="O1840" s="6" t="str">
        <f>IF(Table2[[#This Row],[POG CONFIRMATION RECEIPT OF ORDER
(DATE &amp; TIME)]]="","No Confirmation","Received Confirmation")</f>
        <v>Received Confirmation</v>
      </c>
      <c r="P1840" s="6">
        <f ca="1">TODAY()-Table2[[#This Row],[DATE SENT TO POG]]</f>
        <v>94</v>
      </c>
      <c r="Q1840" s="6" t="s">
        <v>5803</v>
      </c>
      <c r="R18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0" s="2" t="str">
        <f>_xlfn.XLOOKUP(Table2[[#This Row],[Adjusted Form '#]],'[2]IN PROGRESS'!$D:$D,'[2]IN PROGRESS'!$M:$M,"Not Found")</f>
        <v>Not Found</v>
      </c>
      <c r="U1840" s="2" t="str">
        <f>_xlfn.XLOOKUP(Table2[[#This Row],[Adjusted Form '#]],[1]COMPLETED!$D:$D,[2]COMPLETED!$M:$M,"Not Found")</f>
        <v>Not Found</v>
      </c>
      <c r="V1840" s="17" t="str">
        <f>_xlfn.XLOOKUP(Table2[[#This Row],[Adjusted Form '#]],[2]COMPLETED!$D:$D,[2]COMPLETED!$O:$O,"Not Found")</f>
        <v>Not Found</v>
      </c>
      <c r="W1840" s="2" t="str">
        <f>_xlfn.XLOOKUP(Table2[[#This Row],[Adjusted Form '#]],[2]BILLED!$D:$D,[2]BILLED!$M:$M,"Not Found")</f>
        <v>9400 1361 0605 3510 8544 32</v>
      </c>
      <c r="X1840" s="17" t="e">
        <f>_xlfn.XLOOKUP(Table2[[#This Row],[Adjusted Form '#]],[2]BILLED!$D:$D,[1]BILLED!$O:$O,"Not Found")</f>
        <v>#REF!</v>
      </c>
      <c r="Y1840" s="17" t="e">
        <f>_xlfn.XLOOKUP(Table2[[#This Row],[Adjusted Form '#]],'[2]REJECTED ORDERS'!$D:$D,'[2]REJECTED ORDERS'!$E:$E)</f>
        <v>#N/A</v>
      </c>
      <c r="Z1840" s="1"/>
      <c r="AA1840" s="1"/>
    </row>
    <row r="1841" spans="1:27" ht="15" customHeight="1" x14ac:dyDescent="0.35">
      <c r="A1841" s="4" t="s">
        <v>2729</v>
      </c>
      <c r="B1841" s="1" t="s">
        <v>1461</v>
      </c>
      <c r="C1841" s="11">
        <v>45209</v>
      </c>
      <c r="D1841" s="11" t="s">
        <v>7241</v>
      </c>
      <c r="E1841" s="1" t="s">
        <v>21</v>
      </c>
      <c r="F1841" s="1" t="s">
        <v>7240</v>
      </c>
      <c r="G1841" s="6">
        <f>COUNTIF(F:F,Table2[[#This Row],[Form '#]])</f>
        <v>1</v>
      </c>
      <c r="H1841" s="1" t="s">
        <v>3696</v>
      </c>
      <c r="I1841" s="1" t="s">
        <v>3852</v>
      </c>
      <c r="J1841" s="1" t="s">
        <v>80</v>
      </c>
      <c r="K1841" s="1" t="s">
        <v>3853</v>
      </c>
      <c r="L1841" s="1"/>
      <c r="M1841" s="6" t="str">
        <f>IF(Table2[[#This Row],[Corrected Form '#
 (If Duplicated)]]="",Table2[[#This Row],[Form '#]],Table2[[#This Row],[Corrected Form '#
 (If Duplicated)]])</f>
        <v>7818-22935</v>
      </c>
      <c r="N1841" s="1" t="s">
        <v>49</v>
      </c>
      <c r="O1841" s="6" t="str">
        <f>IF(Table2[[#This Row],[POG CONFIRMATION RECEIPT OF ORDER
(DATE &amp; TIME)]]="","No Confirmation","Received Confirmation")</f>
        <v>Received Confirmation</v>
      </c>
      <c r="P1841" s="6">
        <f ca="1">TODAY()-Table2[[#This Row],[DATE SENT TO POG]]</f>
        <v>94</v>
      </c>
      <c r="Q1841" s="6" t="s">
        <v>5803</v>
      </c>
      <c r="R18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1" s="2" t="str">
        <f>_xlfn.XLOOKUP(Table2[[#This Row],[Adjusted Form '#]],'[2]IN PROGRESS'!$D:$D,'[2]IN PROGRESS'!$M:$M,"Not Found")</f>
        <v>Not Found</v>
      </c>
      <c r="U1841" s="2" t="str">
        <f>_xlfn.XLOOKUP(Table2[[#This Row],[Adjusted Form '#]],[1]COMPLETED!$D:$D,[2]COMPLETED!$M:$M,"Not Found")</f>
        <v>Not Found</v>
      </c>
      <c r="V1841" s="17" t="str">
        <f>_xlfn.XLOOKUP(Table2[[#This Row],[Adjusted Form '#]],[2]COMPLETED!$D:$D,[2]COMPLETED!$O:$O,"Not Found")</f>
        <v>Not Found</v>
      </c>
      <c r="W1841" s="2" t="str">
        <f>_xlfn.XLOOKUP(Table2[[#This Row],[Adjusted Form '#]],[2]BILLED!$D:$D,[2]BILLED!$M:$M,"Not Found")</f>
        <v>9400 1361 0605 3505 4131 25</v>
      </c>
      <c r="X1841" s="17" t="e">
        <f>_xlfn.XLOOKUP(Table2[[#This Row],[Adjusted Form '#]],[2]BILLED!$D:$D,[1]BILLED!$O:$O,"Not Found")</f>
        <v>#REF!</v>
      </c>
      <c r="Y1841" s="17" t="e">
        <f>_xlfn.XLOOKUP(Table2[[#This Row],[Adjusted Form '#]],'[2]REJECTED ORDERS'!$D:$D,'[2]REJECTED ORDERS'!$E:$E)</f>
        <v>#N/A</v>
      </c>
      <c r="Z1841" s="1"/>
      <c r="AA1841" s="1"/>
    </row>
    <row r="1842" spans="1:27" ht="15" customHeight="1" x14ac:dyDescent="0.35">
      <c r="A1842" s="4" t="s">
        <v>2730</v>
      </c>
      <c r="B1842" s="1" t="s">
        <v>1372</v>
      </c>
      <c r="C1842" s="11">
        <v>45210</v>
      </c>
      <c r="D1842" s="11" t="s">
        <v>7246</v>
      </c>
      <c r="E1842" s="1" t="s">
        <v>21</v>
      </c>
      <c r="F1842" s="1" t="s">
        <v>7243</v>
      </c>
      <c r="G1842" s="6">
        <f>COUNTIF(F:F,Table2[[#This Row],[Form '#]])</f>
        <v>1</v>
      </c>
      <c r="H1842" s="1" t="s">
        <v>1152</v>
      </c>
      <c r="I1842" s="1" t="s">
        <v>177</v>
      </c>
      <c r="J1842" s="1" t="s">
        <v>75</v>
      </c>
      <c r="K1842" s="1" t="s">
        <v>3853</v>
      </c>
      <c r="L1842" s="1"/>
      <c r="M1842" s="6" t="str">
        <f>IF(Table2[[#This Row],[Corrected Form '#
 (If Duplicated)]]="",Table2[[#This Row],[Form '#]],Table2[[#This Row],[Corrected Form '#
 (If Duplicated)]])</f>
        <v>7818-21420</v>
      </c>
      <c r="N1842" s="1" t="s">
        <v>49</v>
      </c>
      <c r="O1842" s="6" t="str">
        <f>IF(Table2[[#This Row],[POG CONFIRMATION RECEIPT OF ORDER
(DATE &amp; TIME)]]="","No Confirmation","Received Confirmation")</f>
        <v>Received Confirmation</v>
      </c>
      <c r="P1842" s="6">
        <f ca="1">TODAY()-Table2[[#This Row],[DATE SENT TO POG]]</f>
        <v>93</v>
      </c>
      <c r="Q1842" s="6" t="s">
        <v>5803</v>
      </c>
      <c r="R18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2" s="2" t="str">
        <f>_xlfn.XLOOKUP(Table2[[#This Row],[Adjusted Form '#]],'[2]IN PROGRESS'!$D:$D,'[2]IN PROGRESS'!$M:$M,"Not Found")</f>
        <v>Not Found</v>
      </c>
      <c r="U1842" s="2" t="str">
        <f>_xlfn.XLOOKUP(Table2[[#This Row],[Adjusted Form '#]],[1]COMPLETED!$D:$D,[2]COMPLETED!$M:$M,"Not Found")</f>
        <v>Not Found</v>
      </c>
      <c r="V1842" s="17" t="str">
        <f>_xlfn.XLOOKUP(Table2[[#This Row],[Adjusted Form '#]],[2]COMPLETED!$D:$D,[2]COMPLETED!$O:$O,"Not Found")</f>
        <v>Not Found</v>
      </c>
      <c r="W1842" s="2" t="str">
        <f>_xlfn.XLOOKUP(Table2[[#This Row],[Adjusted Form '#]],[2]BILLED!$D:$D,[2]BILLED!$M:$M,"Not Found")</f>
        <v>9400 1361 0605 3505 3307 29</v>
      </c>
      <c r="X1842" s="17" t="e">
        <f>_xlfn.XLOOKUP(Table2[[#This Row],[Adjusted Form '#]],[2]BILLED!$D:$D,[1]BILLED!$O:$O,"Not Found")</f>
        <v>#REF!</v>
      </c>
      <c r="Y1842" s="17" t="e">
        <f>_xlfn.XLOOKUP(Table2[[#This Row],[Adjusted Form '#]],'[2]REJECTED ORDERS'!$D:$D,'[2]REJECTED ORDERS'!$E:$E)</f>
        <v>#N/A</v>
      </c>
      <c r="Z1842" s="1"/>
      <c r="AA1842" s="1"/>
    </row>
    <row r="1843" spans="1:27" ht="15" customHeight="1" x14ac:dyDescent="0.35">
      <c r="A1843" s="4" t="s">
        <v>2731</v>
      </c>
      <c r="B1843" s="1" t="s">
        <v>1372</v>
      </c>
      <c r="C1843" s="11">
        <v>45210</v>
      </c>
      <c r="D1843" s="11" t="s">
        <v>7246</v>
      </c>
      <c r="E1843" s="1" t="s">
        <v>21</v>
      </c>
      <c r="F1843" s="1" t="s">
        <v>7244</v>
      </c>
      <c r="G1843" s="6">
        <f>COUNTIF(F:F,Table2[[#This Row],[Form '#]])</f>
        <v>1</v>
      </c>
      <c r="H1843" s="1" t="s">
        <v>7245</v>
      </c>
      <c r="I1843" s="1" t="s">
        <v>127</v>
      </c>
      <c r="J1843" s="1" t="s">
        <v>74</v>
      </c>
      <c r="K1843" s="1" t="s">
        <v>4011</v>
      </c>
      <c r="L1843" s="1"/>
      <c r="M1843" s="6" t="str">
        <f>IF(Table2[[#This Row],[Corrected Form '#
 (If Duplicated)]]="",Table2[[#This Row],[Form '#]],Table2[[#This Row],[Corrected Form '#
 (If Duplicated)]])</f>
        <v>7818-27607</v>
      </c>
      <c r="N1843" s="1" t="s">
        <v>49</v>
      </c>
      <c r="O1843" s="6" t="str">
        <f>IF(Table2[[#This Row],[POG CONFIRMATION RECEIPT OF ORDER
(DATE &amp; TIME)]]="","No Confirmation","Received Confirmation")</f>
        <v>Received Confirmation</v>
      </c>
      <c r="P1843" s="6">
        <f ca="1">TODAY()-Table2[[#This Row],[DATE SENT TO POG]]</f>
        <v>93</v>
      </c>
      <c r="Q1843" s="6" t="s">
        <v>5803</v>
      </c>
      <c r="R18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3" s="2" t="str">
        <f>_xlfn.XLOOKUP(Table2[[#This Row],[Adjusted Form '#]],'[2]IN PROGRESS'!$D:$D,'[2]IN PROGRESS'!$M:$M,"Not Found")</f>
        <v>Not Found</v>
      </c>
      <c r="U1843" s="2" t="str">
        <f>_xlfn.XLOOKUP(Table2[[#This Row],[Adjusted Form '#]],[1]COMPLETED!$D:$D,[2]COMPLETED!$M:$M,"Not Found")</f>
        <v>Not Found</v>
      </c>
      <c r="V1843" s="17" t="str">
        <f>_xlfn.XLOOKUP(Table2[[#This Row],[Adjusted Form '#]],[2]COMPLETED!$D:$D,[2]COMPLETED!$O:$O,"Not Found")</f>
        <v>Not Found</v>
      </c>
      <c r="W1843" s="2" t="str">
        <f>_xlfn.XLOOKUP(Table2[[#This Row],[Adjusted Form '#]],[2]BILLED!$D:$D,[2]BILLED!$M:$M,"Not Found")</f>
        <v>9400 1361 0605 3510 2702 94</v>
      </c>
      <c r="X1843" s="17" t="e">
        <f>_xlfn.XLOOKUP(Table2[[#This Row],[Adjusted Form '#]],[2]BILLED!$D:$D,[1]BILLED!$O:$O,"Not Found")</f>
        <v>#REF!</v>
      </c>
      <c r="Y1843" s="17" t="e">
        <f>_xlfn.XLOOKUP(Table2[[#This Row],[Adjusted Form '#]],'[2]REJECTED ORDERS'!$D:$D,'[2]REJECTED ORDERS'!$E:$E)</f>
        <v>#N/A</v>
      </c>
      <c r="Z1843" s="1"/>
      <c r="AA1843" s="1"/>
    </row>
    <row r="1844" spans="1:27" ht="15" customHeight="1" x14ac:dyDescent="0.35">
      <c r="A1844" s="4" t="s">
        <v>2732</v>
      </c>
      <c r="B1844" s="1" t="s">
        <v>403</v>
      </c>
      <c r="C1844" s="11">
        <v>45210</v>
      </c>
      <c r="D1844" s="11" t="s">
        <v>7248</v>
      </c>
      <c r="E1844" s="1" t="s">
        <v>73</v>
      </c>
      <c r="F1844" s="1" t="s">
        <v>7247</v>
      </c>
      <c r="G1844" s="6">
        <f>COUNTIF(F:F,Table2[[#This Row],[Form '#]])</f>
        <v>2</v>
      </c>
      <c r="H1844" s="1" t="s">
        <v>3578</v>
      </c>
      <c r="I1844" s="1" t="s">
        <v>3852</v>
      </c>
      <c r="J1844" s="1" t="s">
        <v>80</v>
      </c>
      <c r="K1844" s="1" t="s">
        <v>3853</v>
      </c>
      <c r="L1844" s="1"/>
      <c r="M1844" s="6" t="str">
        <f>IF(Table2[[#This Row],[Corrected Form '#
 (If Duplicated)]]="",Table2[[#This Row],[Form '#]],Table2[[#This Row],[Corrected Form '#
 (If Duplicated)]])</f>
        <v>7823-03172</v>
      </c>
      <c r="N1844" s="1" t="s">
        <v>49</v>
      </c>
      <c r="O1844" s="6" t="str">
        <f>IF(Table2[[#This Row],[POG CONFIRMATION RECEIPT OF ORDER
(DATE &amp; TIME)]]="","No Confirmation","Received Confirmation")</f>
        <v>Received Confirmation</v>
      </c>
      <c r="P1844" s="6">
        <f ca="1">TODAY()-Table2[[#This Row],[DATE SENT TO POG]]</f>
        <v>93</v>
      </c>
      <c r="Q1844" s="6" t="s">
        <v>5803</v>
      </c>
      <c r="R18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4" s="2" t="str">
        <f>_xlfn.XLOOKUP(Table2[[#This Row],[Adjusted Form '#]],'[2]IN PROGRESS'!$D:$D,'[2]IN PROGRESS'!$M:$M,"Not Found")</f>
        <v>Not Found</v>
      </c>
      <c r="U1844" s="2" t="str">
        <f>_xlfn.XLOOKUP(Table2[[#This Row],[Adjusted Form '#]],[1]COMPLETED!$D:$D,[2]COMPLETED!$M:$M,"Not Found")</f>
        <v>Not Found</v>
      </c>
      <c r="V1844" s="17" t="str">
        <f>_xlfn.XLOOKUP(Table2[[#This Row],[Adjusted Form '#]],[2]COMPLETED!$D:$D,[2]COMPLETED!$O:$O,"Not Found")</f>
        <v>Not Found</v>
      </c>
      <c r="W1844" s="2" t="str">
        <f>_xlfn.XLOOKUP(Table2[[#This Row],[Adjusted Form '#]],[2]BILLED!$D:$D,[2]BILLED!$M:$M,"Not Found")</f>
        <v>9400 1361 0605 3517 5525 84</v>
      </c>
      <c r="X1844" s="17" t="e">
        <f>_xlfn.XLOOKUP(Table2[[#This Row],[Adjusted Form '#]],[2]BILLED!$D:$D,[1]BILLED!$O:$O,"Not Found")</f>
        <v>#REF!</v>
      </c>
      <c r="Y1844" s="17" t="e">
        <f>_xlfn.XLOOKUP(Table2[[#This Row],[Adjusted Form '#]],'[2]REJECTED ORDERS'!$D:$D,'[2]REJECTED ORDERS'!$E:$E)</f>
        <v>#N/A</v>
      </c>
      <c r="Z1844" s="1"/>
      <c r="AA1844" s="1"/>
    </row>
    <row r="1845" spans="1:27" ht="15" customHeight="1" x14ac:dyDescent="0.35">
      <c r="A1845" s="4" t="s">
        <v>2733</v>
      </c>
      <c r="B1845" s="1" t="s">
        <v>5154</v>
      </c>
      <c r="C1845" s="11">
        <v>45211</v>
      </c>
      <c r="D1845" s="11" t="s">
        <v>7253</v>
      </c>
      <c r="E1845" s="1" t="s">
        <v>14</v>
      </c>
      <c r="F1845" s="1" t="s">
        <v>7249</v>
      </c>
      <c r="G1845" s="6">
        <f>COUNTIF(F:F,Table2[[#This Row],[Form '#]])</f>
        <v>1</v>
      </c>
      <c r="H1845" s="1" t="s">
        <v>7250</v>
      </c>
      <c r="I1845" s="1" t="s">
        <v>177</v>
      </c>
      <c r="J1845" s="1" t="s">
        <v>75</v>
      </c>
      <c r="K1845" s="1" t="s">
        <v>3853</v>
      </c>
      <c r="L1845" s="1"/>
      <c r="M1845" s="6" t="str">
        <f>IF(Table2[[#This Row],[Corrected Form '#
 (If Duplicated)]]="",Table2[[#This Row],[Form '#]],Table2[[#This Row],[Corrected Form '#
 (If Duplicated)]])</f>
        <v>7810-01397</v>
      </c>
      <c r="N1845" s="1" t="s">
        <v>49</v>
      </c>
      <c r="O1845" s="6" t="str">
        <f>IF(Table2[[#This Row],[POG CONFIRMATION RECEIPT OF ORDER
(DATE &amp; TIME)]]="","No Confirmation","Received Confirmation")</f>
        <v>Received Confirmation</v>
      </c>
      <c r="P1845" s="6">
        <f ca="1">TODAY()-Table2[[#This Row],[DATE SENT TO POG]]</f>
        <v>92</v>
      </c>
      <c r="Q1845" s="6" t="s">
        <v>5803</v>
      </c>
      <c r="R18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5" s="2" t="str">
        <f>_xlfn.XLOOKUP(Table2[[#This Row],[Adjusted Form '#]],'[2]IN PROGRESS'!$D:$D,'[2]IN PROGRESS'!$M:$M,"Not Found")</f>
        <v>Not Found</v>
      </c>
      <c r="U1845" s="2" t="str">
        <f>_xlfn.XLOOKUP(Table2[[#This Row],[Adjusted Form '#]],[1]COMPLETED!$D:$D,[2]COMPLETED!$M:$M,"Not Found")</f>
        <v>Not Found</v>
      </c>
      <c r="V1845" s="17" t="str">
        <f>_xlfn.XLOOKUP(Table2[[#This Row],[Adjusted Form '#]],[2]COMPLETED!$D:$D,[2]COMPLETED!$O:$O,"Not Found")</f>
        <v>Not Found</v>
      </c>
      <c r="W1845" s="2" t="str">
        <f>_xlfn.XLOOKUP(Table2[[#This Row],[Adjusted Form '#]],[2]BILLED!$D:$D,[2]BILLED!$M:$M,"Not Found")</f>
        <v>9400 1361 0605 3581 8805 90</v>
      </c>
      <c r="X1845" s="17" t="e">
        <f>_xlfn.XLOOKUP(Table2[[#This Row],[Adjusted Form '#]],[2]BILLED!$D:$D,[1]BILLED!$O:$O,"Not Found")</f>
        <v>#REF!</v>
      </c>
      <c r="Y1845" s="17" t="e">
        <f>_xlfn.XLOOKUP(Table2[[#This Row],[Adjusted Form '#]],'[2]REJECTED ORDERS'!$D:$D,'[2]REJECTED ORDERS'!$E:$E)</f>
        <v>#N/A</v>
      </c>
      <c r="Z1845" s="1"/>
      <c r="AA1845" s="1"/>
    </row>
    <row r="1846" spans="1:27" ht="15" customHeight="1" x14ac:dyDescent="0.35">
      <c r="A1846" s="4" t="s">
        <v>2734</v>
      </c>
      <c r="B1846" s="1" t="s">
        <v>5154</v>
      </c>
      <c r="C1846" s="11">
        <v>45211</v>
      </c>
      <c r="D1846" s="11" t="s">
        <v>7253</v>
      </c>
      <c r="E1846" s="1" t="s">
        <v>14</v>
      </c>
      <c r="F1846" s="1" t="s">
        <v>7251</v>
      </c>
      <c r="G1846" s="6">
        <f>COUNTIF(F:F,Table2[[#This Row],[Form '#]])</f>
        <v>1</v>
      </c>
      <c r="H1846" s="1" t="s">
        <v>202</v>
      </c>
      <c r="I1846" s="1" t="s">
        <v>127</v>
      </c>
      <c r="J1846" s="1" t="s">
        <v>76</v>
      </c>
      <c r="K1846" s="1" t="s">
        <v>3883</v>
      </c>
      <c r="L1846" s="1"/>
      <c r="M1846" s="6" t="str">
        <f>IF(Table2[[#This Row],[Corrected Form '#
 (If Duplicated)]]="",Table2[[#This Row],[Form '#]],Table2[[#This Row],[Corrected Form '#
 (If Duplicated)]])</f>
        <v>7810-01863</v>
      </c>
      <c r="N1846" s="1" t="s">
        <v>49</v>
      </c>
      <c r="O1846" s="6" t="str">
        <f>IF(Table2[[#This Row],[POG CONFIRMATION RECEIPT OF ORDER
(DATE &amp; TIME)]]="","No Confirmation","Received Confirmation")</f>
        <v>Received Confirmation</v>
      </c>
      <c r="P1846" s="6">
        <f ca="1">TODAY()-Table2[[#This Row],[DATE SENT TO POG]]</f>
        <v>92</v>
      </c>
      <c r="Q1846" s="6" t="s">
        <v>5803</v>
      </c>
      <c r="R18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6" s="2" t="str">
        <f>_xlfn.XLOOKUP(Table2[[#This Row],[Adjusted Form '#]],'[2]IN PROGRESS'!$D:$D,'[2]IN PROGRESS'!$M:$M,"Not Found")</f>
        <v>Not Found</v>
      </c>
      <c r="U1846" s="2" t="str">
        <f>_xlfn.XLOOKUP(Table2[[#This Row],[Adjusted Form '#]],[1]COMPLETED!$D:$D,[2]COMPLETED!$M:$M,"Not Found")</f>
        <v>Not Found</v>
      </c>
      <c r="V1846" s="17" t="str">
        <f>_xlfn.XLOOKUP(Table2[[#This Row],[Adjusted Form '#]],[2]COMPLETED!$D:$D,[2]COMPLETED!$O:$O,"Not Found")</f>
        <v>Not Found</v>
      </c>
      <c r="W1846" s="2" t="str">
        <f>_xlfn.XLOOKUP(Table2[[#This Row],[Adjusted Form '#]],[2]BILLED!$D:$D,[2]BILLED!$M:$M,"Not Found")</f>
        <v>9400 1361 0605 3505 3337 37</v>
      </c>
      <c r="X1846" s="17" t="e">
        <f>_xlfn.XLOOKUP(Table2[[#This Row],[Adjusted Form '#]],[2]BILLED!$D:$D,[1]BILLED!$O:$O,"Not Found")</f>
        <v>#REF!</v>
      </c>
      <c r="Y1846" s="17" t="e">
        <f>_xlfn.XLOOKUP(Table2[[#This Row],[Adjusted Form '#]],'[2]REJECTED ORDERS'!$D:$D,'[2]REJECTED ORDERS'!$E:$E)</f>
        <v>#N/A</v>
      </c>
      <c r="Z1846" s="1"/>
      <c r="AA1846" s="1"/>
    </row>
    <row r="1847" spans="1:27" ht="15" customHeight="1" x14ac:dyDescent="0.35">
      <c r="A1847" s="4" t="s">
        <v>2736</v>
      </c>
      <c r="B1847" s="1" t="s">
        <v>3748</v>
      </c>
      <c r="C1847" s="11">
        <v>45211</v>
      </c>
      <c r="D1847" s="11" t="s">
        <v>7254</v>
      </c>
      <c r="E1847" s="1" t="s">
        <v>21</v>
      </c>
      <c r="F1847" s="1" t="s">
        <v>7252</v>
      </c>
      <c r="G1847" s="6">
        <f>COUNTIF(F:F,Table2[[#This Row],[Form '#]])</f>
        <v>1</v>
      </c>
      <c r="H1847" s="1" t="s">
        <v>1253</v>
      </c>
      <c r="I1847" s="1" t="s">
        <v>127</v>
      </c>
      <c r="J1847" s="1" t="s">
        <v>71</v>
      </c>
      <c r="K1847" s="1" t="s">
        <v>4011</v>
      </c>
      <c r="L1847" s="1"/>
      <c r="M1847" s="6" t="str">
        <f>IF(Table2[[#This Row],[Corrected Form '#
 (If Duplicated)]]="",Table2[[#This Row],[Form '#]],Table2[[#This Row],[Corrected Form '#
 (If Duplicated)]])</f>
        <v>7818-30938</v>
      </c>
      <c r="N1847" s="1" t="s">
        <v>49</v>
      </c>
      <c r="O1847" s="6" t="str">
        <f>IF(Table2[[#This Row],[POG CONFIRMATION RECEIPT OF ORDER
(DATE &amp; TIME)]]="","No Confirmation","Received Confirmation")</f>
        <v>Received Confirmation</v>
      </c>
      <c r="P1847" s="6">
        <f ca="1">TODAY()-Table2[[#This Row],[DATE SENT TO POG]]</f>
        <v>92</v>
      </c>
      <c r="Q1847" s="6" t="s">
        <v>5803</v>
      </c>
      <c r="R18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47" s="2" t="str">
        <f>_xlfn.XLOOKUP(Table2[[#This Row],[Adjusted Form '#]],'[2]IN PROGRESS'!$D:$D,'[2]IN PROGRESS'!$M:$M,"Not Found")</f>
        <v>Not Found</v>
      </c>
      <c r="U1847" s="2" t="str">
        <f>_xlfn.XLOOKUP(Table2[[#This Row],[Adjusted Form '#]],[1]COMPLETED!$D:$D,[2]COMPLETED!$M:$M,"Not Found")</f>
        <v>Not Found</v>
      </c>
      <c r="V1847" s="17" t="str">
        <f>_xlfn.XLOOKUP(Table2[[#This Row],[Adjusted Form '#]],[2]COMPLETED!$D:$D,[2]COMPLETED!$O:$O,"Not Found")</f>
        <v>Not Found</v>
      </c>
      <c r="W1847" s="2" t="str">
        <f>_xlfn.XLOOKUP(Table2[[#This Row],[Adjusted Form '#]],[2]BILLED!$D:$D,[2]BILLED!$M:$M,"Not Found")</f>
        <v>9400 1361 0605 3510 2383 86</v>
      </c>
      <c r="X1847" s="17" t="e">
        <f>_xlfn.XLOOKUP(Table2[[#This Row],[Adjusted Form '#]],[2]BILLED!$D:$D,[1]BILLED!$O:$O,"Not Found")</f>
        <v>#REF!</v>
      </c>
      <c r="Y1847" s="17" t="e">
        <f>_xlfn.XLOOKUP(Table2[[#This Row],[Adjusted Form '#]],'[2]REJECTED ORDERS'!$D:$D,'[2]REJECTED ORDERS'!$E:$E)</f>
        <v>#N/A</v>
      </c>
      <c r="Z1847" s="1"/>
      <c r="AA1847" s="1"/>
    </row>
    <row r="1848" spans="1:27" ht="15" customHeight="1" x14ac:dyDescent="0.35">
      <c r="A1848" s="4" t="s">
        <v>2737</v>
      </c>
      <c r="B1848" s="1" t="s">
        <v>3124</v>
      </c>
      <c r="C1848" s="11">
        <v>45211</v>
      </c>
      <c r="D1848" s="11" t="s">
        <v>7259</v>
      </c>
      <c r="E1848" s="1" t="s">
        <v>21</v>
      </c>
      <c r="F1848" s="1" t="s">
        <v>7255</v>
      </c>
      <c r="G1848" s="6">
        <f>COUNTIF(F:F,Table2[[#This Row],[Form '#]])</f>
        <v>1</v>
      </c>
      <c r="H1848" s="1" t="s">
        <v>7256</v>
      </c>
      <c r="I1848" s="1" t="s">
        <v>3852</v>
      </c>
      <c r="J1848" s="1" t="s">
        <v>80</v>
      </c>
      <c r="K1848" s="1" t="s">
        <v>3853</v>
      </c>
      <c r="L1848" s="1"/>
      <c r="M1848" s="6" t="str">
        <f>IF(Table2[[#This Row],[Corrected Form '#
 (If Duplicated)]]="",Table2[[#This Row],[Form '#]],Table2[[#This Row],[Corrected Form '#
 (If Duplicated)]])</f>
        <v>7818-00130</v>
      </c>
      <c r="N1848" s="1" t="s">
        <v>49</v>
      </c>
      <c r="O1848" s="6" t="str">
        <f>IF(Table2[[#This Row],[POG CONFIRMATION RECEIPT OF ORDER
(DATE &amp; TIME)]]="","No Confirmation","Received Confirmation")</f>
        <v>Received Confirmation</v>
      </c>
      <c r="P1848" s="6">
        <f ca="1">TODAY()-Table2[[#This Row],[DATE SENT TO POG]]</f>
        <v>92</v>
      </c>
      <c r="Q1848" s="6" t="s">
        <v>5802</v>
      </c>
      <c r="R18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84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848" s="2" t="str">
        <f>_xlfn.XLOOKUP(Table2[[#This Row],[Adjusted Form '#]],'[2]IN PROGRESS'!$D:$D,'[2]IN PROGRESS'!$M:$M,"Not Found")</f>
        <v>Not Found</v>
      </c>
      <c r="U1848" s="2" t="str">
        <f>_xlfn.XLOOKUP(Table2[[#This Row],[Adjusted Form '#]],[1]COMPLETED!$D:$D,[2]COMPLETED!$M:$M,"Not Found")</f>
        <v>Not Found</v>
      </c>
      <c r="V1848" s="17" t="str">
        <f>_xlfn.XLOOKUP(Table2[[#This Row],[Adjusted Form '#]],[2]COMPLETED!$D:$D,[2]COMPLETED!$O:$O,"Not Found")</f>
        <v>Not Found</v>
      </c>
      <c r="W1848" s="2" t="str">
        <f>_xlfn.XLOOKUP(Table2[[#This Row],[Adjusted Form '#]],[2]BILLED!$D:$D,[2]BILLED!$M:$M,"Not Found")</f>
        <v>Not Found</v>
      </c>
      <c r="X1848" s="17" t="str">
        <f>_xlfn.XLOOKUP(Table2[[#This Row],[Adjusted Form '#]],[2]BILLED!$D:$D,[1]BILLED!$O:$O,"Not Found")</f>
        <v>Not Found</v>
      </c>
      <c r="Y1848" s="17" t="e">
        <f>_xlfn.XLOOKUP(Table2[[#This Row],[Adjusted Form '#]],'[2]REJECTED ORDERS'!$D:$D,'[2]REJECTED ORDERS'!$E:$E)</f>
        <v>#N/A</v>
      </c>
      <c r="Z1848" s="1"/>
      <c r="AA1848" s="1"/>
    </row>
    <row r="1849" spans="1:27" ht="15" customHeight="1" x14ac:dyDescent="0.35">
      <c r="A1849" s="4" t="s">
        <v>2738</v>
      </c>
      <c r="B1849" s="1" t="s">
        <v>3124</v>
      </c>
      <c r="C1849" s="11">
        <v>45211</v>
      </c>
      <c r="D1849" s="11" t="s">
        <v>7259</v>
      </c>
      <c r="E1849" s="1" t="s">
        <v>21</v>
      </c>
      <c r="F1849" s="1" t="s">
        <v>7257</v>
      </c>
      <c r="G1849" s="6">
        <f>COUNTIF(F:F,Table2[[#This Row],[Form '#]])</f>
        <v>1</v>
      </c>
      <c r="H1849" s="1" t="s">
        <v>7258</v>
      </c>
      <c r="I1849" s="1" t="s">
        <v>3864</v>
      </c>
      <c r="J1849" s="1" t="s">
        <v>78</v>
      </c>
      <c r="K1849" s="1" t="s">
        <v>3879</v>
      </c>
      <c r="L1849" s="1"/>
      <c r="M1849" s="6" t="str">
        <f>IF(Table2[[#This Row],[Corrected Form '#
 (If Duplicated)]]="",Table2[[#This Row],[Form '#]],Table2[[#This Row],[Corrected Form '#
 (If Duplicated)]])</f>
        <v>7818-00097</v>
      </c>
      <c r="N1849" s="1" t="s">
        <v>49</v>
      </c>
      <c r="O1849" s="6" t="str">
        <f>IF(Table2[[#This Row],[POG CONFIRMATION RECEIPT OF ORDER
(DATE &amp; TIME)]]="","No Confirmation","Received Confirmation")</f>
        <v>Received Confirmation</v>
      </c>
      <c r="P1849" s="6">
        <f ca="1">TODAY()-Table2[[#This Row],[DATE SENT TO POG]]</f>
        <v>92</v>
      </c>
      <c r="Q1849" s="6" t="s">
        <v>5802</v>
      </c>
      <c r="R18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84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849" s="2" t="str">
        <f>_xlfn.XLOOKUP(Table2[[#This Row],[Adjusted Form '#]],'[2]IN PROGRESS'!$D:$D,'[2]IN PROGRESS'!$M:$M,"Not Found")</f>
        <v>Not Found</v>
      </c>
      <c r="U1849" s="2" t="str">
        <f>_xlfn.XLOOKUP(Table2[[#This Row],[Adjusted Form '#]],[1]COMPLETED!$D:$D,[2]COMPLETED!$M:$M,"Not Found")</f>
        <v>Not Found</v>
      </c>
      <c r="V1849" s="17" t="str">
        <f>_xlfn.XLOOKUP(Table2[[#This Row],[Adjusted Form '#]],[2]COMPLETED!$D:$D,[2]COMPLETED!$O:$O,"Not Found")</f>
        <v>Not Found</v>
      </c>
      <c r="W1849" s="2" t="str">
        <f>_xlfn.XLOOKUP(Table2[[#This Row],[Adjusted Form '#]],[2]BILLED!$D:$D,[2]BILLED!$M:$M,"Not Found")</f>
        <v>Not Found</v>
      </c>
      <c r="X1849" s="17" t="str">
        <f>_xlfn.XLOOKUP(Table2[[#This Row],[Adjusted Form '#]],[2]BILLED!$D:$D,[1]BILLED!$O:$O,"Not Found")</f>
        <v>Not Found</v>
      </c>
      <c r="Y1849" s="17" t="e">
        <f>_xlfn.XLOOKUP(Table2[[#This Row],[Adjusted Form '#]],'[2]REJECTED ORDERS'!$D:$D,'[2]REJECTED ORDERS'!$E:$E)</f>
        <v>#N/A</v>
      </c>
      <c r="Z1849" s="1"/>
      <c r="AA1849" s="1"/>
    </row>
    <row r="1850" spans="1:27" ht="15" customHeight="1" x14ac:dyDescent="0.35">
      <c r="A1850" s="4" t="s">
        <v>2740</v>
      </c>
      <c r="B1850" s="1" t="s">
        <v>1335</v>
      </c>
      <c r="C1850" s="11">
        <v>45211</v>
      </c>
      <c r="D1850" s="11" t="s">
        <v>7261</v>
      </c>
      <c r="E1850" s="1" t="s">
        <v>191</v>
      </c>
      <c r="F1850" s="1" t="s">
        <v>7260</v>
      </c>
      <c r="G1850" s="6">
        <f>COUNTIF(F:F,Table2[[#This Row],[Form '#]])</f>
        <v>1</v>
      </c>
      <c r="H1850" s="1" t="s">
        <v>1362</v>
      </c>
      <c r="I1850" s="1" t="s">
        <v>127</v>
      </c>
      <c r="J1850" s="1" t="s">
        <v>76</v>
      </c>
      <c r="K1850" s="1" t="s">
        <v>4011</v>
      </c>
      <c r="L1850" s="1"/>
      <c r="M1850" s="6" t="str">
        <f>IF(Table2[[#This Row],[Corrected Form '#
 (If Duplicated)]]="",Table2[[#This Row],[Form '#]],Table2[[#This Row],[Corrected Form '#
 (If Duplicated)]])</f>
        <v>7812-3559</v>
      </c>
      <c r="N1850" s="1" t="s">
        <v>49</v>
      </c>
      <c r="O1850" s="6" t="str">
        <f>IF(Table2[[#This Row],[POG CONFIRMATION RECEIPT OF ORDER
(DATE &amp; TIME)]]="","No Confirmation","Received Confirmation")</f>
        <v>Received Confirmation</v>
      </c>
      <c r="P1850" s="6">
        <f ca="1">TODAY()-Table2[[#This Row],[DATE SENT TO POG]]</f>
        <v>92</v>
      </c>
      <c r="Q1850" s="6" t="s">
        <v>5803</v>
      </c>
      <c r="R18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0" s="2" t="str">
        <f>_xlfn.XLOOKUP(Table2[[#This Row],[Adjusted Form '#]],'[2]IN PROGRESS'!$D:$D,'[2]IN PROGRESS'!$M:$M,"Not Found")</f>
        <v>Not Found</v>
      </c>
      <c r="U1850" s="2" t="str">
        <f>_xlfn.XLOOKUP(Table2[[#This Row],[Adjusted Form '#]],[1]COMPLETED!$D:$D,[2]COMPLETED!$M:$M,"Not Found")</f>
        <v>Not Found</v>
      </c>
      <c r="V1850" s="17" t="str">
        <f>_xlfn.XLOOKUP(Table2[[#This Row],[Adjusted Form '#]],[2]COMPLETED!$D:$D,[2]COMPLETED!$O:$O,"Not Found")</f>
        <v>Not Found</v>
      </c>
      <c r="W1850" s="2" t="str">
        <f>_xlfn.XLOOKUP(Table2[[#This Row],[Adjusted Form '#]],[2]BILLED!$D:$D,[2]BILLED!$M:$M,"Not Found")</f>
        <v>9400 1361 0605 3510 2249 83</v>
      </c>
      <c r="X1850" s="17" t="e">
        <f>_xlfn.XLOOKUP(Table2[[#This Row],[Adjusted Form '#]],[2]BILLED!$D:$D,[1]BILLED!$O:$O,"Not Found")</f>
        <v>#REF!</v>
      </c>
      <c r="Y1850" s="17" t="e">
        <f>_xlfn.XLOOKUP(Table2[[#This Row],[Adjusted Form '#]],'[2]REJECTED ORDERS'!$D:$D,'[2]REJECTED ORDERS'!$E:$E)</f>
        <v>#N/A</v>
      </c>
      <c r="Z1850" s="1"/>
      <c r="AA1850" s="1"/>
    </row>
    <row r="1851" spans="1:27" ht="15" customHeight="1" x14ac:dyDescent="0.35">
      <c r="A1851" s="4" t="s">
        <v>2742</v>
      </c>
      <c r="B1851" s="1" t="s">
        <v>347</v>
      </c>
      <c r="C1851" s="11">
        <v>45211</v>
      </c>
      <c r="D1851" s="11" t="s">
        <v>7273</v>
      </c>
      <c r="E1851" s="1" t="s">
        <v>21</v>
      </c>
      <c r="F1851" s="1" t="s">
        <v>7262</v>
      </c>
      <c r="G1851" s="6">
        <f>COUNTIF(F:F,Table2[[#This Row],[Form '#]])</f>
        <v>1</v>
      </c>
      <c r="H1851" s="1" t="s">
        <v>482</v>
      </c>
      <c r="I1851" s="1" t="s">
        <v>3864</v>
      </c>
      <c r="J1851" s="1" t="s">
        <v>78</v>
      </c>
      <c r="K1851" s="1" t="s">
        <v>3879</v>
      </c>
      <c r="L1851" s="1"/>
      <c r="M1851" s="6" t="str">
        <f>IF(Table2[[#This Row],[Corrected Form '#
 (If Duplicated)]]="",Table2[[#This Row],[Form '#]],Table2[[#This Row],[Corrected Form '#
 (If Duplicated)]])</f>
        <v>7818-24901</v>
      </c>
      <c r="N1851" s="1" t="s">
        <v>49</v>
      </c>
      <c r="O1851" s="6" t="str">
        <f>IF(Table2[[#This Row],[POG CONFIRMATION RECEIPT OF ORDER
(DATE &amp; TIME)]]="","No Confirmation","Received Confirmation")</f>
        <v>Received Confirmation</v>
      </c>
      <c r="P1851" s="6">
        <f ca="1">TODAY()-Table2[[#This Row],[DATE SENT TO POG]]</f>
        <v>92</v>
      </c>
      <c r="Q1851" s="6" t="s">
        <v>5803</v>
      </c>
      <c r="R18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1" s="2" t="str">
        <f>_xlfn.XLOOKUP(Table2[[#This Row],[Adjusted Form '#]],'[2]IN PROGRESS'!$D:$D,'[2]IN PROGRESS'!$M:$M,"Not Found")</f>
        <v>Not Found</v>
      </c>
      <c r="U1851" s="2" t="str">
        <f>_xlfn.XLOOKUP(Table2[[#This Row],[Adjusted Form '#]],[1]COMPLETED!$D:$D,[2]COMPLETED!$M:$M,"Not Found")</f>
        <v>Not Found</v>
      </c>
      <c r="V1851" s="17" t="str">
        <f>_xlfn.XLOOKUP(Table2[[#This Row],[Adjusted Form '#]],[2]COMPLETED!$D:$D,[2]COMPLETED!$O:$O,"Not Found")</f>
        <v>Not Found</v>
      </c>
      <c r="W1851" s="2" t="str">
        <f>_xlfn.XLOOKUP(Table2[[#This Row],[Adjusted Form '#]],[2]BILLED!$D:$D,[2]BILLED!$M:$M,"Not Found")</f>
        <v>9400 1112 0620 9959 0795 92</v>
      </c>
      <c r="X1851" s="17" t="e">
        <f>_xlfn.XLOOKUP(Table2[[#This Row],[Adjusted Form '#]],[2]BILLED!$D:$D,[1]BILLED!$O:$O,"Not Found")</f>
        <v>#REF!</v>
      </c>
      <c r="Y1851" s="17" t="e">
        <f>_xlfn.XLOOKUP(Table2[[#This Row],[Adjusted Form '#]],'[2]REJECTED ORDERS'!$D:$D,'[2]REJECTED ORDERS'!$E:$E)</f>
        <v>#N/A</v>
      </c>
      <c r="Z1851" s="1"/>
      <c r="AA1851" s="1"/>
    </row>
    <row r="1852" spans="1:27" ht="15" customHeight="1" x14ac:dyDescent="0.35">
      <c r="A1852" s="4" t="s">
        <v>2743</v>
      </c>
      <c r="B1852" s="1" t="s">
        <v>347</v>
      </c>
      <c r="C1852" s="11">
        <v>45211</v>
      </c>
      <c r="D1852" s="11" t="s">
        <v>7273</v>
      </c>
      <c r="E1852" s="1" t="s">
        <v>21</v>
      </c>
      <c r="F1852" s="1" t="s">
        <v>7263</v>
      </c>
      <c r="G1852" s="6">
        <f>COUNTIF(F:F,Table2[[#This Row],[Form '#]])</f>
        <v>1</v>
      </c>
      <c r="H1852" s="1" t="s">
        <v>7264</v>
      </c>
      <c r="I1852" s="1" t="s">
        <v>3852</v>
      </c>
      <c r="J1852" s="1" t="s">
        <v>80</v>
      </c>
      <c r="K1852" s="1" t="s">
        <v>3853</v>
      </c>
      <c r="L1852" s="1"/>
      <c r="M1852" s="6" t="str">
        <f>IF(Table2[[#This Row],[Corrected Form '#
 (If Duplicated)]]="",Table2[[#This Row],[Form '#]],Table2[[#This Row],[Corrected Form '#
 (If Duplicated)]])</f>
        <v>7818-14756</v>
      </c>
      <c r="N1852" s="1" t="s">
        <v>49</v>
      </c>
      <c r="O1852" s="6" t="str">
        <f>IF(Table2[[#This Row],[POG CONFIRMATION RECEIPT OF ORDER
(DATE &amp; TIME)]]="","No Confirmation","Received Confirmation")</f>
        <v>Received Confirmation</v>
      </c>
      <c r="P1852" s="6">
        <f ca="1">TODAY()-Table2[[#This Row],[DATE SENT TO POG]]</f>
        <v>92</v>
      </c>
      <c r="Q1852" s="6" t="s">
        <v>5803</v>
      </c>
      <c r="R18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2" s="2" t="str">
        <f>_xlfn.XLOOKUP(Table2[[#This Row],[Adjusted Form '#]],'[2]IN PROGRESS'!$D:$D,'[2]IN PROGRESS'!$M:$M,"Not Found")</f>
        <v>Not Found</v>
      </c>
      <c r="U1852" s="2" t="str">
        <f>_xlfn.XLOOKUP(Table2[[#This Row],[Adjusted Form '#]],[1]COMPLETED!$D:$D,[2]COMPLETED!$M:$M,"Not Found")</f>
        <v>Not Found</v>
      </c>
      <c r="V1852" s="17" t="str">
        <f>_xlfn.XLOOKUP(Table2[[#This Row],[Adjusted Form '#]],[2]COMPLETED!$D:$D,[2]COMPLETED!$O:$O,"Not Found")</f>
        <v>Not Found</v>
      </c>
      <c r="W1852" s="2" t="str">
        <f>_xlfn.XLOOKUP(Table2[[#This Row],[Adjusted Form '#]],[2]BILLED!$D:$D,[2]BILLED!$M:$M,"Not Found")</f>
        <v>9400 1361 0605 3510 3009 84</v>
      </c>
      <c r="X1852" s="17" t="e">
        <f>_xlfn.XLOOKUP(Table2[[#This Row],[Adjusted Form '#]],[2]BILLED!$D:$D,[1]BILLED!$O:$O,"Not Found")</f>
        <v>#REF!</v>
      </c>
      <c r="Y1852" s="17" t="e">
        <f>_xlfn.XLOOKUP(Table2[[#This Row],[Adjusted Form '#]],'[2]REJECTED ORDERS'!$D:$D,'[2]REJECTED ORDERS'!$E:$E)</f>
        <v>#N/A</v>
      </c>
      <c r="Z1852" s="1"/>
      <c r="AA1852" s="1"/>
    </row>
    <row r="1853" spans="1:27" ht="15" customHeight="1" x14ac:dyDescent="0.35">
      <c r="A1853" s="4" t="s">
        <v>2746</v>
      </c>
      <c r="B1853" s="1" t="s">
        <v>347</v>
      </c>
      <c r="C1853" s="11">
        <v>45211</v>
      </c>
      <c r="D1853" s="11" t="s">
        <v>7273</v>
      </c>
      <c r="E1853" s="1" t="s">
        <v>21</v>
      </c>
      <c r="F1853" s="1" t="s">
        <v>7265</v>
      </c>
      <c r="G1853" s="6">
        <f>COUNTIF(F:F,Table2[[#This Row],[Form '#]])</f>
        <v>1</v>
      </c>
      <c r="H1853" s="1" t="s">
        <v>7266</v>
      </c>
      <c r="I1853" s="1" t="s">
        <v>758</v>
      </c>
      <c r="J1853" s="1" t="s">
        <v>78</v>
      </c>
      <c r="K1853" s="1" t="s">
        <v>3853</v>
      </c>
      <c r="L1853" s="1"/>
      <c r="M1853" s="6" t="str">
        <f>IF(Table2[[#This Row],[Corrected Form '#
 (If Duplicated)]]="",Table2[[#This Row],[Form '#]],Table2[[#This Row],[Corrected Form '#
 (If Duplicated)]])</f>
        <v>7818-10762</v>
      </c>
      <c r="N1853" s="1" t="s">
        <v>49</v>
      </c>
      <c r="O1853" s="6" t="str">
        <f>IF(Table2[[#This Row],[POG CONFIRMATION RECEIPT OF ORDER
(DATE &amp; TIME)]]="","No Confirmation","Received Confirmation")</f>
        <v>Received Confirmation</v>
      </c>
      <c r="P1853" s="6">
        <f ca="1">TODAY()-Table2[[#This Row],[DATE SENT TO POG]]</f>
        <v>92</v>
      </c>
      <c r="Q1853" s="6" t="s">
        <v>5803</v>
      </c>
      <c r="R18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3" s="2" t="str">
        <f>_xlfn.XLOOKUP(Table2[[#This Row],[Adjusted Form '#]],'[2]IN PROGRESS'!$D:$D,'[2]IN PROGRESS'!$M:$M,"Not Found")</f>
        <v>Not Found</v>
      </c>
      <c r="U1853" s="2" t="str">
        <f>_xlfn.XLOOKUP(Table2[[#This Row],[Adjusted Form '#]],[1]COMPLETED!$D:$D,[2]COMPLETED!$M:$M,"Not Found")</f>
        <v>Not Found</v>
      </c>
      <c r="V1853" s="17" t="str">
        <f>_xlfn.XLOOKUP(Table2[[#This Row],[Adjusted Form '#]],[2]COMPLETED!$D:$D,[2]COMPLETED!$O:$O,"Not Found")</f>
        <v>Not Found</v>
      </c>
      <c r="W1853" s="2" t="str">
        <f>_xlfn.XLOOKUP(Table2[[#This Row],[Adjusted Form '#]],[2]BILLED!$D:$D,[2]BILLED!$M:$M,"Not Found")</f>
        <v>9400 1361 0605 3510 3148 51</v>
      </c>
      <c r="X1853" s="17" t="e">
        <f>_xlfn.XLOOKUP(Table2[[#This Row],[Adjusted Form '#]],[2]BILLED!$D:$D,[1]BILLED!$O:$O,"Not Found")</f>
        <v>#REF!</v>
      </c>
      <c r="Y1853" s="17" t="e">
        <f>_xlfn.XLOOKUP(Table2[[#This Row],[Adjusted Form '#]],'[2]REJECTED ORDERS'!$D:$D,'[2]REJECTED ORDERS'!$E:$E)</f>
        <v>#N/A</v>
      </c>
      <c r="Z1853" s="1"/>
      <c r="AA1853" s="1"/>
    </row>
    <row r="1854" spans="1:27" ht="15" customHeight="1" x14ac:dyDescent="0.35">
      <c r="A1854" s="4" t="s">
        <v>2748</v>
      </c>
      <c r="B1854" s="1" t="s">
        <v>347</v>
      </c>
      <c r="C1854" s="11">
        <v>45211</v>
      </c>
      <c r="D1854" s="11" t="s">
        <v>7273</v>
      </c>
      <c r="E1854" s="1" t="s">
        <v>21</v>
      </c>
      <c r="F1854" s="1" t="s">
        <v>7267</v>
      </c>
      <c r="G1854" s="6">
        <f>COUNTIF(F:F,Table2[[#This Row],[Form '#]])</f>
        <v>1</v>
      </c>
      <c r="H1854" s="1" t="s">
        <v>2368</v>
      </c>
      <c r="I1854" s="1" t="s">
        <v>3852</v>
      </c>
      <c r="J1854" s="1" t="s">
        <v>80</v>
      </c>
      <c r="K1854" s="1" t="s">
        <v>3853</v>
      </c>
      <c r="L1854" s="1"/>
      <c r="M1854" s="6" t="str">
        <f>IF(Table2[[#This Row],[Corrected Form '#
 (If Duplicated)]]="",Table2[[#This Row],[Form '#]],Table2[[#This Row],[Corrected Form '#
 (If Duplicated)]])</f>
        <v>7818-17377</v>
      </c>
      <c r="N1854" s="1" t="s">
        <v>49</v>
      </c>
      <c r="O1854" s="6" t="str">
        <f>IF(Table2[[#This Row],[POG CONFIRMATION RECEIPT OF ORDER
(DATE &amp; TIME)]]="","No Confirmation","Received Confirmation")</f>
        <v>Received Confirmation</v>
      </c>
      <c r="P1854" s="6">
        <f ca="1">TODAY()-Table2[[#This Row],[DATE SENT TO POG]]</f>
        <v>92</v>
      </c>
      <c r="Q1854" s="6" t="s">
        <v>5803</v>
      </c>
      <c r="R18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4" s="2" t="str">
        <f>_xlfn.XLOOKUP(Table2[[#This Row],[Adjusted Form '#]],'[2]IN PROGRESS'!$D:$D,'[2]IN PROGRESS'!$M:$M,"Not Found")</f>
        <v>Not Found</v>
      </c>
      <c r="U1854" s="2" t="str">
        <f>_xlfn.XLOOKUP(Table2[[#This Row],[Adjusted Form '#]],[1]COMPLETED!$D:$D,[2]COMPLETED!$M:$M,"Not Found")</f>
        <v>Not Found</v>
      </c>
      <c r="V1854" s="17" t="str">
        <f>_xlfn.XLOOKUP(Table2[[#This Row],[Adjusted Form '#]],[2]COMPLETED!$D:$D,[2]COMPLETED!$O:$O,"Not Found")</f>
        <v>Not Found</v>
      </c>
      <c r="W1854" s="2" t="str">
        <f>_xlfn.XLOOKUP(Table2[[#This Row],[Adjusted Form '#]],[2]BILLED!$D:$D,[2]BILLED!$M:$M,"Not Found")</f>
        <v>9400 1361 0605 3510 7203 17</v>
      </c>
      <c r="X1854" s="17" t="e">
        <f>_xlfn.XLOOKUP(Table2[[#This Row],[Adjusted Form '#]],[2]BILLED!$D:$D,[1]BILLED!$O:$O,"Not Found")</f>
        <v>#REF!</v>
      </c>
      <c r="Y1854" s="17" t="e">
        <f>_xlfn.XLOOKUP(Table2[[#This Row],[Adjusted Form '#]],'[2]REJECTED ORDERS'!$D:$D,'[2]REJECTED ORDERS'!$E:$E)</f>
        <v>#N/A</v>
      </c>
      <c r="Z1854" s="1"/>
      <c r="AA1854" s="1"/>
    </row>
    <row r="1855" spans="1:27" ht="15" customHeight="1" x14ac:dyDescent="0.35">
      <c r="A1855" s="4" t="s">
        <v>2749</v>
      </c>
      <c r="B1855" s="1" t="s">
        <v>347</v>
      </c>
      <c r="C1855" s="11">
        <v>45211</v>
      </c>
      <c r="D1855" s="11" t="s">
        <v>7273</v>
      </c>
      <c r="E1855" s="1" t="s">
        <v>21</v>
      </c>
      <c r="F1855" s="1" t="s">
        <v>7268</v>
      </c>
      <c r="G1855" s="6">
        <f>COUNTIF(F:F,Table2[[#This Row],[Form '#]])</f>
        <v>1</v>
      </c>
      <c r="H1855" s="1" t="s">
        <v>7269</v>
      </c>
      <c r="I1855" s="1" t="s">
        <v>758</v>
      </c>
      <c r="J1855" s="1" t="s">
        <v>78</v>
      </c>
      <c r="K1855" s="1" t="s">
        <v>3853</v>
      </c>
      <c r="L1855" s="1"/>
      <c r="M1855" s="6" t="str">
        <f>IF(Table2[[#This Row],[Corrected Form '#
 (If Duplicated)]]="",Table2[[#This Row],[Form '#]],Table2[[#This Row],[Corrected Form '#
 (If Duplicated)]])</f>
        <v>7818-19813</v>
      </c>
      <c r="N1855" s="1" t="s">
        <v>49</v>
      </c>
      <c r="O1855" s="6" t="str">
        <f>IF(Table2[[#This Row],[POG CONFIRMATION RECEIPT OF ORDER
(DATE &amp; TIME)]]="","No Confirmation","Received Confirmation")</f>
        <v>Received Confirmation</v>
      </c>
      <c r="P1855" s="6">
        <f ca="1">TODAY()-Table2[[#This Row],[DATE SENT TO POG]]</f>
        <v>92</v>
      </c>
      <c r="Q1855" s="6" t="s">
        <v>5802</v>
      </c>
      <c r="R18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85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855" s="2" t="str">
        <f>_xlfn.XLOOKUP(Table2[[#This Row],[Adjusted Form '#]],'[2]IN PROGRESS'!$D:$D,'[2]IN PROGRESS'!$M:$M,"Not Found")</f>
        <v>Not Found</v>
      </c>
      <c r="U1855" s="2" t="str">
        <f>_xlfn.XLOOKUP(Table2[[#This Row],[Adjusted Form '#]],[1]COMPLETED!$D:$D,[2]COMPLETED!$M:$M,"Not Found")</f>
        <v>Not Found</v>
      </c>
      <c r="V1855" s="17" t="str">
        <f>_xlfn.XLOOKUP(Table2[[#This Row],[Adjusted Form '#]],[2]COMPLETED!$D:$D,[2]COMPLETED!$O:$O,"Not Found")</f>
        <v>Not Found</v>
      </c>
      <c r="W1855" s="2" t="str">
        <f>_xlfn.XLOOKUP(Table2[[#This Row],[Adjusted Form '#]],[2]BILLED!$D:$D,[2]BILLED!$M:$M,"Not Found")</f>
        <v>Not Found</v>
      </c>
      <c r="X1855" s="17" t="str">
        <f>_xlfn.XLOOKUP(Table2[[#This Row],[Adjusted Form '#]],[2]BILLED!$D:$D,[1]BILLED!$O:$O,"Not Found")</f>
        <v>Not Found</v>
      </c>
      <c r="Y1855" s="17" t="str">
        <f>_xlfn.XLOOKUP(Table2[[#This Row],[Adjusted Form '#]],'[2]REJECTED ORDERS'!$D:$D,'[2]REJECTED ORDERS'!$E:$E)</f>
        <v>FORM NOT SIGNED</v>
      </c>
      <c r="Z1855" s="1"/>
      <c r="AA1855" s="1"/>
    </row>
    <row r="1856" spans="1:27" ht="15" customHeight="1" x14ac:dyDescent="0.35">
      <c r="A1856" s="4" t="s">
        <v>2751</v>
      </c>
      <c r="B1856" s="1" t="s">
        <v>347</v>
      </c>
      <c r="C1856" s="11">
        <v>45211</v>
      </c>
      <c r="D1856" s="11" t="s">
        <v>7273</v>
      </c>
      <c r="E1856" s="1" t="s">
        <v>21</v>
      </c>
      <c r="F1856" s="1" t="s">
        <v>7270</v>
      </c>
      <c r="G1856" s="6">
        <f>COUNTIF(F:F,Table2[[#This Row],[Form '#]])</f>
        <v>1</v>
      </c>
      <c r="H1856" s="1" t="s">
        <v>7271</v>
      </c>
      <c r="I1856" s="1" t="s">
        <v>3852</v>
      </c>
      <c r="J1856" s="1" t="s">
        <v>80</v>
      </c>
      <c r="K1856" s="1" t="s">
        <v>3853</v>
      </c>
      <c r="L1856" s="1"/>
      <c r="M1856" s="6" t="str">
        <f>IF(Table2[[#This Row],[Corrected Form '#
 (If Duplicated)]]="",Table2[[#This Row],[Form '#]],Table2[[#This Row],[Corrected Form '#
 (If Duplicated)]])</f>
        <v>7818-27336</v>
      </c>
      <c r="N1856" s="1" t="s">
        <v>49</v>
      </c>
      <c r="O1856" s="6" t="str">
        <f>IF(Table2[[#This Row],[POG CONFIRMATION RECEIPT OF ORDER
(DATE &amp; TIME)]]="","No Confirmation","Received Confirmation")</f>
        <v>Received Confirmation</v>
      </c>
      <c r="P1856" s="6">
        <f ca="1">TODAY()-Table2[[#This Row],[DATE SENT TO POG]]</f>
        <v>92</v>
      </c>
      <c r="Q1856" s="6" t="s">
        <v>5803</v>
      </c>
      <c r="R18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6" s="2" t="str">
        <f>_xlfn.XLOOKUP(Table2[[#This Row],[Adjusted Form '#]],'[2]IN PROGRESS'!$D:$D,'[2]IN PROGRESS'!$M:$M,"Not Found")</f>
        <v>Not Found</v>
      </c>
      <c r="U1856" s="2" t="str">
        <f>_xlfn.XLOOKUP(Table2[[#This Row],[Adjusted Form '#]],[1]COMPLETED!$D:$D,[2]COMPLETED!$M:$M,"Not Found")</f>
        <v>Not Found</v>
      </c>
      <c r="V1856" s="17" t="str">
        <f>_xlfn.XLOOKUP(Table2[[#This Row],[Adjusted Form '#]],[2]COMPLETED!$D:$D,[2]COMPLETED!$O:$O,"Not Found")</f>
        <v>Not Found</v>
      </c>
      <c r="W1856" s="2" t="str">
        <f>_xlfn.XLOOKUP(Table2[[#This Row],[Adjusted Form '#]],[2]BILLED!$D:$D,[2]BILLED!$M:$M,"Not Found")</f>
        <v>9400 1361 0605 3510 4853 46</v>
      </c>
      <c r="X1856" s="17" t="e">
        <f>_xlfn.XLOOKUP(Table2[[#This Row],[Adjusted Form '#]],[2]BILLED!$D:$D,[1]BILLED!$O:$O,"Not Found")</f>
        <v>#REF!</v>
      </c>
      <c r="Y1856" s="17" t="e">
        <f>_xlfn.XLOOKUP(Table2[[#This Row],[Adjusted Form '#]],'[2]REJECTED ORDERS'!$D:$D,'[2]REJECTED ORDERS'!$E:$E)</f>
        <v>#N/A</v>
      </c>
      <c r="Z1856" s="1"/>
      <c r="AA1856" s="1"/>
    </row>
    <row r="1857" spans="1:27" ht="15" customHeight="1" x14ac:dyDescent="0.35">
      <c r="A1857" s="4" t="s">
        <v>2752</v>
      </c>
      <c r="B1857" s="1" t="s">
        <v>347</v>
      </c>
      <c r="C1857" s="11">
        <v>45211</v>
      </c>
      <c r="D1857" s="11" t="s">
        <v>7273</v>
      </c>
      <c r="E1857" s="1" t="s">
        <v>21</v>
      </c>
      <c r="F1857" s="1" t="s">
        <v>7272</v>
      </c>
      <c r="G1857" s="6">
        <f>COUNTIF(F:F,Table2[[#This Row],[Form '#]])</f>
        <v>1</v>
      </c>
      <c r="H1857" s="1" t="s">
        <v>3768</v>
      </c>
      <c r="I1857" s="1" t="s">
        <v>127</v>
      </c>
      <c r="J1857" s="1" t="s">
        <v>74</v>
      </c>
      <c r="K1857" s="1" t="s">
        <v>4011</v>
      </c>
      <c r="L1857" s="1"/>
      <c r="M1857" s="6" t="str">
        <f>IF(Table2[[#This Row],[Corrected Form '#
 (If Duplicated)]]="",Table2[[#This Row],[Form '#]],Table2[[#This Row],[Corrected Form '#
 (If Duplicated)]])</f>
        <v>7818-24459</v>
      </c>
      <c r="N1857" s="1" t="s">
        <v>49</v>
      </c>
      <c r="O1857" s="6" t="str">
        <f>IF(Table2[[#This Row],[POG CONFIRMATION RECEIPT OF ORDER
(DATE &amp; TIME)]]="","No Confirmation","Received Confirmation")</f>
        <v>Received Confirmation</v>
      </c>
      <c r="P1857" s="6">
        <f ca="1">TODAY()-Table2[[#This Row],[DATE SENT TO POG]]</f>
        <v>92</v>
      </c>
      <c r="Q1857" s="6" t="s">
        <v>5803</v>
      </c>
      <c r="R18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7" s="2" t="str">
        <f>_xlfn.XLOOKUP(Table2[[#This Row],[Adjusted Form '#]],'[2]IN PROGRESS'!$D:$D,'[2]IN PROGRESS'!$M:$M,"Not Found")</f>
        <v>Not Found</v>
      </c>
      <c r="U1857" s="2" t="str">
        <f>_xlfn.XLOOKUP(Table2[[#This Row],[Adjusted Form '#]],[1]COMPLETED!$D:$D,[2]COMPLETED!$M:$M,"Not Found")</f>
        <v>Not Found</v>
      </c>
      <c r="V1857" s="17" t="str">
        <f>_xlfn.XLOOKUP(Table2[[#This Row],[Adjusted Form '#]],[2]COMPLETED!$D:$D,[2]COMPLETED!$O:$O,"Not Found")</f>
        <v>Not Found</v>
      </c>
      <c r="W1857" s="2" t="str">
        <f>_xlfn.XLOOKUP(Table2[[#This Row],[Adjusted Form '#]],[2]BILLED!$D:$D,[2]BILLED!$M:$M,"Not Found")</f>
        <v>9400 1361 0605 3510 8476 70</v>
      </c>
      <c r="X1857" s="17" t="e">
        <f>_xlfn.XLOOKUP(Table2[[#This Row],[Adjusted Form '#]],[2]BILLED!$D:$D,[1]BILLED!$O:$O,"Not Found")</f>
        <v>#REF!</v>
      </c>
      <c r="Y1857" s="17" t="e">
        <f>_xlfn.XLOOKUP(Table2[[#This Row],[Adjusted Form '#]],'[2]REJECTED ORDERS'!$D:$D,'[2]REJECTED ORDERS'!$E:$E)</f>
        <v>#N/A</v>
      </c>
      <c r="Z1857" s="1"/>
      <c r="AA1857" s="1"/>
    </row>
    <row r="1858" spans="1:27" ht="15" customHeight="1" x14ac:dyDescent="0.35">
      <c r="A1858" s="4" t="s">
        <v>2753</v>
      </c>
      <c r="B1858" s="1" t="s">
        <v>7274</v>
      </c>
      <c r="C1858" s="11">
        <v>45211</v>
      </c>
      <c r="D1858" s="11" t="s">
        <v>7277</v>
      </c>
      <c r="E1858" s="1" t="s">
        <v>21</v>
      </c>
      <c r="F1858" s="1" t="s">
        <v>7275</v>
      </c>
      <c r="G1858" s="6">
        <f>COUNTIF(F:F,Table2[[#This Row],[Form '#]])</f>
        <v>1</v>
      </c>
      <c r="H1858" s="1" t="s">
        <v>7276</v>
      </c>
      <c r="I1858" s="1" t="s">
        <v>127</v>
      </c>
      <c r="J1858" s="1" t="s">
        <v>76</v>
      </c>
      <c r="K1858" s="1" t="s">
        <v>3919</v>
      </c>
      <c r="L1858" s="1"/>
      <c r="M1858" s="6" t="str">
        <f>IF(Table2[[#This Row],[Corrected Form '#
 (If Duplicated)]]="",Table2[[#This Row],[Form '#]],Table2[[#This Row],[Corrected Form '#
 (If Duplicated)]])</f>
        <v>7818-32889</v>
      </c>
      <c r="N1858" s="1" t="s">
        <v>49</v>
      </c>
      <c r="O1858" s="6" t="str">
        <f>IF(Table2[[#This Row],[POG CONFIRMATION RECEIPT OF ORDER
(DATE &amp; TIME)]]="","No Confirmation","Received Confirmation")</f>
        <v>Received Confirmation</v>
      </c>
      <c r="P1858" s="6">
        <f ca="1">TODAY()-Table2[[#This Row],[DATE SENT TO POG]]</f>
        <v>92</v>
      </c>
      <c r="Q1858" s="6" t="s">
        <v>5803</v>
      </c>
      <c r="R18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8" s="2" t="str">
        <f>_xlfn.XLOOKUP(Table2[[#This Row],[Adjusted Form '#]],'[2]IN PROGRESS'!$D:$D,'[2]IN PROGRESS'!$M:$M,"Not Found")</f>
        <v>Not Found</v>
      </c>
      <c r="U1858" s="2" t="str">
        <f>_xlfn.XLOOKUP(Table2[[#This Row],[Adjusted Form '#]],[1]COMPLETED!$D:$D,[2]COMPLETED!$M:$M,"Not Found")</f>
        <v>Not Found</v>
      </c>
      <c r="V1858" s="17" t="str">
        <f>_xlfn.XLOOKUP(Table2[[#This Row],[Adjusted Form '#]],[2]COMPLETED!$D:$D,[2]COMPLETED!$O:$O,"Not Found")</f>
        <v>Not Found</v>
      </c>
      <c r="W1858" s="2" t="str">
        <f>_xlfn.XLOOKUP(Table2[[#This Row],[Adjusted Form '#]],[2]BILLED!$D:$D,[2]BILLED!$M:$M,"Not Found")</f>
        <v>9400 1112 0620 9365 3745 57</v>
      </c>
      <c r="X1858" s="17" t="e">
        <f>_xlfn.XLOOKUP(Table2[[#This Row],[Adjusted Form '#]],[2]BILLED!$D:$D,[1]BILLED!$O:$O,"Not Found")</f>
        <v>#REF!</v>
      </c>
      <c r="Y1858" s="17" t="e">
        <f>_xlfn.XLOOKUP(Table2[[#This Row],[Adjusted Form '#]],'[2]REJECTED ORDERS'!$D:$D,'[2]REJECTED ORDERS'!$E:$E)</f>
        <v>#N/A</v>
      </c>
      <c r="Z1858" s="1"/>
      <c r="AA1858" s="1"/>
    </row>
    <row r="1859" spans="1:27" ht="15" customHeight="1" x14ac:dyDescent="0.35">
      <c r="A1859" s="4" t="s">
        <v>2755</v>
      </c>
      <c r="B1859" s="1" t="s">
        <v>7278</v>
      </c>
      <c r="C1859" s="11">
        <v>45211</v>
      </c>
      <c r="D1859" s="11" t="s">
        <v>7277</v>
      </c>
      <c r="E1859" s="1" t="s">
        <v>21</v>
      </c>
      <c r="F1859" s="1" t="s">
        <v>6557</v>
      </c>
      <c r="G1859" s="6">
        <f>COUNTIF(F:F,Table2[[#This Row],[Form '#]])</f>
        <v>2</v>
      </c>
      <c r="H1859" s="1" t="s">
        <v>6558</v>
      </c>
      <c r="I1859" s="1" t="s">
        <v>177</v>
      </c>
      <c r="J1859" s="1" t="s">
        <v>75</v>
      </c>
      <c r="K1859" s="1" t="s">
        <v>3853</v>
      </c>
      <c r="L1859" s="1"/>
      <c r="M1859" s="6" t="str">
        <f>IF(Table2[[#This Row],[Corrected Form '#
 (If Duplicated)]]="",Table2[[#This Row],[Form '#]],Table2[[#This Row],[Corrected Form '#
 (If Duplicated)]])</f>
        <v>7818-01989</v>
      </c>
      <c r="N1859" s="1" t="s">
        <v>49</v>
      </c>
      <c r="O1859" s="6" t="str">
        <f>IF(Table2[[#This Row],[POG CONFIRMATION RECEIPT OF ORDER
(DATE &amp; TIME)]]="","No Confirmation","Received Confirmation")</f>
        <v>Received Confirmation</v>
      </c>
      <c r="P1859" s="6">
        <f ca="1">TODAY()-Table2[[#This Row],[DATE SENT TO POG]]</f>
        <v>92</v>
      </c>
      <c r="Q1859" s="6" t="s">
        <v>5803</v>
      </c>
      <c r="R18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59" s="2" t="str">
        <f>_xlfn.XLOOKUP(Table2[[#This Row],[Adjusted Form '#]],'[2]IN PROGRESS'!$D:$D,'[2]IN PROGRESS'!$M:$M,"Not Found")</f>
        <v>Not Found</v>
      </c>
      <c r="U1859" s="2" t="str">
        <f>_xlfn.XLOOKUP(Table2[[#This Row],[Adjusted Form '#]],[1]COMPLETED!$D:$D,[2]COMPLETED!$M:$M,"Not Found")</f>
        <v>Not Found</v>
      </c>
      <c r="V1859" s="17" t="str">
        <f>_xlfn.XLOOKUP(Table2[[#This Row],[Adjusted Form '#]],[2]COMPLETED!$D:$D,[2]COMPLETED!$O:$O,"Not Found")</f>
        <v>Not Found</v>
      </c>
      <c r="W1859" s="2" t="str">
        <f>_xlfn.XLOOKUP(Table2[[#This Row],[Adjusted Form '#]],[2]BILLED!$D:$D,[2]BILLED!$M:$M,"Not Found")</f>
        <v>9400 1361 0605 3581 6020 62</v>
      </c>
      <c r="X1859" s="17" t="e">
        <f>_xlfn.XLOOKUP(Table2[[#This Row],[Adjusted Form '#]],[2]BILLED!$D:$D,[1]BILLED!$O:$O,"Not Found")</f>
        <v>#REF!</v>
      </c>
      <c r="Y1859" s="17" t="e">
        <f>_xlfn.XLOOKUP(Table2[[#This Row],[Adjusted Form '#]],'[2]REJECTED ORDERS'!$D:$D,'[2]REJECTED ORDERS'!$E:$E)</f>
        <v>#N/A</v>
      </c>
      <c r="Z1859" s="1"/>
      <c r="AA1859" s="1"/>
    </row>
    <row r="1860" spans="1:27" ht="15" customHeight="1" x14ac:dyDescent="0.35">
      <c r="A1860" s="4" t="s">
        <v>2757</v>
      </c>
      <c r="B1860" s="1" t="s">
        <v>7279</v>
      </c>
      <c r="C1860" s="11">
        <v>45211</v>
      </c>
      <c r="D1860" s="11" t="s">
        <v>7282</v>
      </c>
      <c r="E1860" s="1" t="s">
        <v>21</v>
      </c>
      <c r="F1860" s="1" t="s">
        <v>7280</v>
      </c>
      <c r="G1860" s="6">
        <f>COUNTIF(F:F,Table2[[#This Row],[Form '#]])</f>
        <v>1</v>
      </c>
      <c r="H1860" s="1" t="s">
        <v>3722</v>
      </c>
      <c r="I1860" s="1" t="s">
        <v>28</v>
      </c>
      <c r="J1860" s="1" t="s">
        <v>69</v>
      </c>
      <c r="K1860" s="1" t="s">
        <v>4011</v>
      </c>
      <c r="L1860" s="1"/>
      <c r="M1860" s="6" t="str">
        <f>IF(Table2[[#This Row],[Corrected Form '#
 (If Duplicated)]]="",Table2[[#This Row],[Form '#]],Table2[[#This Row],[Corrected Form '#
 (If Duplicated)]])</f>
        <v>7818-22250</v>
      </c>
      <c r="N1860" s="1" t="s">
        <v>49</v>
      </c>
      <c r="O1860" s="6" t="str">
        <f>IF(Table2[[#This Row],[POG CONFIRMATION RECEIPT OF ORDER
(DATE &amp; TIME)]]="","No Confirmation","Received Confirmation")</f>
        <v>Received Confirmation</v>
      </c>
      <c r="P1860" s="6">
        <f ca="1">TODAY()-Table2[[#This Row],[DATE SENT TO POG]]</f>
        <v>92</v>
      </c>
      <c r="Q1860" s="6" t="s">
        <v>5803</v>
      </c>
      <c r="R18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0" s="2" t="str">
        <f>_xlfn.XLOOKUP(Table2[[#This Row],[Adjusted Form '#]],'[2]IN PROGRESS'!$D:$D,'[2]IN PROGRESS'!$M:$M,"Not Found")</f>
        <v>Not Found</v>
      </c>
      <c r="U1860" s="2" t="str">
        <f>_xlfn.XLOOKUP(Table2[[#This Row],[Adjusted Form '#]],[1]COMPLETED!$D:$D,[2]COMPLETED!$M:$M,"Not Found")</f>
        <v>Not Found</v>
      </c>
      <c r="V1860" s="17" t="str">
        <f>_xlfn.XLOOKUP(Table2[[#This Row],[Adjusted Form '#]],[2]COMPLETED!$D:$D,[2]COMPLETED!$O:$O,"Not Found")</f>
        <v>Not Found</v>
      </c>
      <c r="W1860" s="2" t="str">
        <f>_xlfn.XLOOKUP(Table2[[#This Row],[Adjusted Form '#]],[2]BILLED!$D:$D,[2]BILLED!$M:$M,"Not Found")</f>
        <v>9400 1361 0605 3552 0024 40</v>
      </c>
      <c r="X1860" s="17" t="e">
        <f>_xlfn.XLOOKUP(Table2[[#This Row],[Adjusted Form '#]],[2]BILLED!$D:$D,[1]BILLED!$O:$O,"Not Found")</f>
        <v>#REF!</v>
      </c>
      <c r="Y1860" s="17" t="e">
        <f>_xlfn.XLOOKUP(Table2[[#This Row],[Adjusted Form '#]],'[2]REJECTED ORDERS'!$D:$D,'[2]REJECTED ORDERS'!$E:$E)</f>
        <v>#N/A</v>
      </c>
      <c r="Z1860" s="1"/>
      <c r="AA1860" s="1"/>
    </row>
    <row r="1861" spans="1:27" ht="15" customHeight="1" x14ac:dyDescent="0.35">
      <c r="A1861" s="4" t="s">
        <v>2758</v>
      </c>
      <c r="B1861" s="1" t="s">
        <v>7279</v>
      </c>
      <c r="C1861" s="11">
        <v>45211</v>
      </c>
      <c r="D1861" s="11" t="s">
        <v>7282</v>
      </c>
      <c r="E1861" s="1" t="s">
        <v>21</v>
      </c>
      <c r="F1861" s="1" t="s">
        <v>7281</v>
      </c>
      <c r="G1861" s="6">
        <f>COUNTIF(F:F,Table2[[#This Row],[Form '#]])</f>
        <v>1</v>
      </c>
      <c r="H1861" s="1" t="s">
        <v>3546</v>
      </c>
      <c r="I1861" s="1" t="s">
        <v>758</v>
      </c>
      <c r="J1861" s="1" t="s">
        <v>78</v>
      </c>
      <c r="K1861" s="1" t="s">
        <v>3853</v>
      </c>
      <c r="L1861" s="1"/>
      <c r="M1861" s="6" t="str">
        <f>IF(Table2[[#This Row],[Corrected Form '#
 (If Duplicated)]]="",Table2[[#This Row],[Form '#]],Table2[[#This Row],[Corrected Form '#
 (If Duplicated)]])</f>
        <v>7818-25774</v>
      </c>
      <c r="N1861" s="1" t="s">
        <v>49</v>
      </c>
      <c r="O1861" s="6" t="str">
        <f>IF(Table2[[#This Row],[POG CONFIRMATION RECEIPT OF ORDER
(DATE &amp; TIME)]]="","No Confirmation","Received Confirmation")</f>
        <v>Received Confirmation</v>
      </c>
      <c r="P1861" s="6">
        <f ca="1">TODAY()-Table2[[#This Row],[DATE SENT TO POG]]</f>
        <v>92</v>
      </c>
      <c r="Q1861" s="6" t="s">
        <v>5803</v>
      </c>
      <c r="R18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1" s="2" t="str">
        <f>_xlfn.XLOOKUP(Table2[[#This Row],[Adjusted Form '#]],'[2]IN PROGRESS'!$D:$D,'[2]IN PROGRESS'!$M:$M,"Not Found")</f>
        <v>Not Found</v>
      </c>
      <c r="U1861" s="2" t="str">
        <f>_xlfn.XLOOKUP(Table2[[#This Row],[Adjusted Form '#]],[1]COMPLETED!$D:$D,[2]COMPLETED!$M:$M,"Not Found")</f>
        <v>Not Found</v>
      </c>
      <c r="V1861" s="17" t="str">
        <f>_xlfn.XLOOKUP(Table2[[#This Row],[Adjusted Form '#]],[2]COMPLETED!$D:$D,[2]COMPLETED!$O:$O,"Not Found")</f>
        <v>Not Found</v>
      </c>
      <c r="W1861" s="2" t="str">
        <f>_xlfn.XLOOKUP(Table2[[#This Row],[Adjusted Form '#]],[2]BILLED!$D:$D,[2]BILLED!$M:$M,"Not Found")</f>
        <v>9400 1112 0620 9365 3236 78</v>
      </c>
      <c r="X1861" s="17" t="e">
        <f>_xlfn.XLOOKUP(Table2[[#This Row],[Adjusted Form '#]],[2]BILLED!$D:$D,[1]BILLED!$O:$O,"Not Found")</f>
        <v>#REF!</v>
      </c>
      <c r="Y1861" s="17" t="e">
        <f>_xlfn.XLOOKUP(Table2[[#This Row],[Adjusted Form '#]],'[2]REJECTED ORDERS'!$D:$D,'[2]REJECTED ORDERS'!$E:$E)</f>
        <v>#N/A</v>
      </c>
      <c r="Z1861" s="1"/>
      <c r="AA1861" s="1"/>
    </row>
    <row r="1862" spans="1:27" ht="15" customHeight="1" x14ac:dyDescent="0.35">
      <c r="A1862" s="4" t="s">
        <v>2759</v>
      </c>
      <c r="B1862" s="1" t="s">
        <v>1811</v>
      </c>
      <c r="C1862" s="11">
        <v>45212</v>
      </c>
      <c r="D1862" s="11" t="s">
        <v>7289</v>
      </c>
      <c r="E1862" s="1" t="s">
        <v>21</v>
      </c>
      <c r="F1862" s="1" t="s">
        <v>7237</v>
      </c>
      <c r="G1862" s="6">
        <f>COUNTIF(F:F,Table2[[#This Row],[Form '#]])</f>
        <v>2</v>
      </c>
      <c r="H1862" s="1" t="s">
        <v>1182</v>
      </c>
      <c r="I1862" s="1" t="s">
        <v>3852</v>
      </c>
      <c r="J1862" s="1" t="s">
        <v>75</v>
      </c>
      <c r="K1862" s="1" t="s">
        <v>3853</v>
      </c>
      <c r="L1862" s="1"/>
      <c r="M1862" s="6" t="str">
        <f>IF(Table2[[#This Row],[Corrected Form '#
 (If Duplicated)]]="",Table2[[#This Row],[Form '#]],Table2[[#This Row],[Corrected Form '#
 (If Duplicated)]])</f>
        <v>7818-31173</v>
      </c>
      <c r="N1862" s="1" t="s">
        <v>49</v>
      </c>
      <c r="O1862" s="6" t="str">
        <f>IF(Table2[[#This Row],[POG CONFIRMATION RECEIPT OF ORDER
(DATE &amp; TIME)]]="","No Confirmation","Received Confirmation")</f>
        <v>Received Confirmation</v>
      </c>
      <c r="P1862" s="6">
        <f ca="1">TODAY()-Table2[[#This Row],[DATE SENT TO POG]]</f>
        <v>91</v>
      </c>
      <c r="Q1862" s="6" t="s">
        <v>5803</v>
      </c>
      <c r="R18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2" s="2" t="str">
        <f>_xlfn.XLOOKUP(Table2[[#This Row],[Adjusted Form '#]],'[2]IN PROGRESS'!$D:$D,'[2]IN PROGRESS'!$M:$M,"Not Found")</f>
        <v>Not Found</v>
      </c>
      <c r="U1862" s="2" t="str">
        <f>_xlfn.XLOOKUP(Table2[[#This Row],[Adjusted Form '#]],[1]COMPLETED!$D:$D,[2]COMPLETED!$M:$M,"Not Found")</f>
        <v>Not Found</v>
      </c>
      <c r="V1862" s="17" t="str">
        <f>_xlfn.XLOOKUP(Table2[[#This Row],[Adjusted Form '#]],[2]COMPLETED!$D:$D,[2]COMPLETED!$O:$O,"Not Found")</f>
        <v>Not Found</v>
      </c>
      <c r="W1862" s="2" t="str">
        <f>_xlfn.XLOOKUP(Table2[[#This Row],[Adjusted Form '#]],[2]BILLED!$D:$D,[2]BILLED!$M:$M,"Not Found")</f>
        <v>9400 1112 0620 9365 3315 50</v>
      </c>
      <c r="X1862" s="17" t="e">
        <f>_xlfn.XLOOKUP(Table2[[#This Row],[Adjusted Form '#]],[2]BILLED!$D:$D,[1]BILLED!$O:$O,"Not Found")</f>
        <v>#REF!</v>
      </c>
      <c r="Y1862" s="17" t="e">
        <f>_xlfn.XLOOKUP(Table2[[#This Row],[Adjusted Form '#]],'[2]REJECTED ORDERS'!$D:$D,'[2]REJECTED ORDERS'!$E:$E)</f>
        <v>#N/A</v>
      </c>
      <c r="Z1862" s="1"/>
      <c r="AA1862" s="1"/>
    </row>
    <row r="1863" spans="1:27" ht="15" customHeight="1" x14ac:dyDescent="0.35">
      <c r="A1863" s="4" t="s">
        <v>2761</v>
      </c>
      <c r="B1863" s="1" t="s">
        <v>1838</v>
      </c>
      <c r="C1863" s="11">
        <v>45212</v>
      </c>
      <c r="D1863" s="11" t="s">
        <v>7290</v>
      </c>
      <c r="E1863" s="1" t="s">
        <v>191</v>
      </c>
      <c r="F1863" s="1" t="s">
        <v>7283</v>
      </c>
      <c r="G1863" s="6">
        <f>COUNTIF(F:F,Table2[[#This Row],[Form '#]])</f>
        <v>1</v>
      </c>
      <c r="H1863" s="1" t="s">
        <v>3705</v>
      </c>
      <c r="I1863" s="1" t="s">
        <v>3864</v>
      </c>
      <c r="J1863" s="1" t="s">
        <v>78</v>
      </c>
      <c r="K1863" s="1" t="s">
        <v>3879</v>
      </c>
      <c r="L1863" s="1"/>
      <c r="M1863" s="6" t="str">
        <f>IF(Table2[[#This Row],[Corrected Form '#
 (If Duplicated)]]="",Table2[[#This Row],[Form '#]],Table2[[#This Row],[Corrected Form '#
 (If Duplicated)]])</f>
        <v>7818-04704</v>
      </c>
      <c r="N1863" s="1" t="s">
        <v>49</v>
      </c>
      <c r="O1863" s="6" t="str">
        <f>IF(Table2[[#This Row],[POG CONFIRMATION RECEIPT OF ORDER
(DATE &amp; TIME)]]="","No Confirmation","Received Confirmation")</f>
        <v>Received Confirmation</v>
      </c>
      <c r="P1863" s="6">
        <f ca="1">TODAY()-Table2[[#This Row],[DATE SENT TO POG]]</f>
        <v>91</v>
      </c>
      <c r="Q1863" s="6" t="s">
        <v>5802</v>
      </c>
      <c r="R18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86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863" s="2" t="str">
        <f>_xlfn.XLOOKUP(Table2[[#This Row],[Adjusted Form '#]],'[2]IN PROGRESS'!$D:$D,'[2]IN PROGRESS'!$M:$M,"Not Found")</f>
        <v>Not Found</v>
      </c>
      <c r="U1863" s="2" t="str">
        <f>_xlfn.XLOOKUP(Table2[[#This Row],[Adjusted Form '#]],[1]COMPLETED!$D:$D,[2]COMPLETED!$M:$M,"Not Found")</f>
        <v>Not Found</v>
      </c>
      <c r="V1863" s="17" t="str">
        <f>_xlfn.XLOOKUP(Table2[[#This Row],[Adjusted Form '#]],[2]COMPLETED!$D:$D,[2]COMPLETED!$O:$O,"Not Found")</f>
        <v>Not Found</v>
      </c>
      <c r="W1863" s="2" t="str">
        <f>_xlfn.XLOOKUP(Table2[[#This Row],[Adjusted Form '#]],[2]BILLED!$D:$D,[2]BILLED!$M:$M,"Not Found")</f>
        <v>Not Found</v>
      </c>
      <c r="X1863" s="17" t="str">
        <f>_xlfn.XLOOKUP(Table2[[#This Row],[Adjusted Form '#]],[2]BILLED!$D:$D,[1]BILLED!$O:$O,"Not Found")</f>
        <v>Not Found</v>
      </c>
      <c r="Y1863" s="17" t="e">
        <f>_xlfn.XLOOKUP(Table2[[#This Row],[Adjusted Form '#]],'[2]REJECTED ORDERS'!$D:$D,'[2]REJECTED ORDERS'!$E:$E)</f>
        <v>#N/A</v>
      </c>
      <c r="Z1863" s="1"/>
      <c r="AA1863" s="1"/>
    </row>
    <row r="1864" spans="1:27" ht="15" customHeight="1" x14ac:dyDescent="0.35">
      <c r="A1864" s="4" t="s">
        <v>2762</v>
      </c>
      <c r="B1864" s="1" t="s">
        <v>1838</v>
      </c>
      <c r="C1864" s="11">
        <v>45212</v>
      </c>
      <c r="D1864" s="11" t="s">
        <v>7290</v>
      </c>
      <c r="E1864" s="1" t="s">
        <v>191</v>
      </c>
      <c r="F1864" s="1" t="s">
        <v>7284</v>
      </c>
      <c r="G1864" s="6">
        <f>COUNTIF(F:F,Table2[[#This Row],[Form '#]])</f>
        <v>1</v>
      </c>
      <c r="H1864" s="1" t="s">
        <v>7285</v>
      </c>
      <c r="I1864" s="1" t="s">
        <v>106</v>
      </c>
      <c r="J1864" s="1" t="s">
        <v>70</v>
      </c>
      <c r="K1864" s="1" t="s">
        <v>4011</v>
      </c>
      <c r="L1864" s="1"/>
      <c r="M1864" s="6" t="str">
        <f>IF(Table2[[#This Row],[Corrected Form '#
 (If Duplicated)]]="",Table2[[#This Row],[Form '#]],Table2[[#This Row],[Corrected Form '#
 (If Duplicated)]])</f>
        <v>7812-04559</v>
      </c>
      <c r="N1864" s="1" t="s">
        <v>49</v>
      </c>
      <c r="O1864" s="6" t="str">
        <f>IF(Table2[[#This Row],[POG CONFIRMATION RECEIPT OF ORDER
(DATE &amp; TIME)]]="","No Confirmation","Received Confirmation")</f>
        <v>Received Confirmation</v>
      </c>
      <c r="P1864" s="6">
        <f ca="1">TODAY()-Table2[[#This Row],[DATE SENT TO POG]]</f>
        <v>91</v>
      </c>
      <c r="Q1864" s="6" t="s">
        <v>5803</v>
      </c>
      <c r="R18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4" s="2" t="str">
        <f>_xlfn.XLOOKUP(Table2[[#This Row],[Adjusted Form '#]],'[2]IN PROGRESS'!$D:$D,'[2]IN PROGRESS'!$M:$M,"Not Found")</f>
        <v>Not Found</v>
      </c>
      <c r="U1864" s="2" t="str">
        <f>_xlfn.XLOOKUP(Table2[[#This Row],[Adjusted Form '#]],[1]COMPLETED!$D:$D,[2]COMPLETED!$M:$M,"Not Found")</f>
        <v>Not Found</v>
      </c>
      <c r="V1864" s="17" t="str">
        <f>_xlfn.XLOOKUP(Table2[[#This Row],[Adjusted Form '#]],[2]COMPLETED!$D:$D,[2]COMPLETED!$O:$O,"Not Found")</f>
        <v>Not Found</v>
      </c>
      <c r="W1864" s="2" t="str">
        <f>_xlfn.XLOOKUP(Table2[[#This Row],[Adjusted Form '#]],[2]BILLED!$D:$D,[2]BILLED!$M:$M,"Not Found")</f>
        <v>9400 1361 0605 3551 9579 18</v>
      </c>
      <c r="X1864" s="17" t="e">
        <f>_xlfn.XLOOKUP(Table2[[#This Row],[Adjusted Form '#]],[2]BILLED!$D:$D,[1]BILLED!$O:$O,"Not Found")</f>
        <v>#REF!</v>
      </c>
      <c r="Y1864" s="17" t="e">
        <f>_xlfn.XLOOKUP(Table2[[#This Row],[Adjusted Form '#]],'[2]REJECTED ORDERS'!$D:$D,'[2]REJECTED ORDERS'!$E:$E)</f>
        <v>#N/A</v>
      </c>
      <c r="Z1864" s="1"/>
      <c r="AA1864" s="1"/>
    </row>
    <row r="1865" spans="1:27" ht="15" customHeight="1" x14ac:dyDescent="0.35">
      <c r="A1865" s="4" t="s">
        <v>2763</v>
      </c>
      <c r="B1865" s="1" t="s">
        <v>722</v>
      </c>
      <c r="C1865" s="11">
        <v>45212</v>
      </c>
      <c r="D1865" s="11" t="s">
        <v>7291</v>
      </c>
      <c r="E1865" s="1" t="s">
        <v>14</v>
      </c>
      <c r="F1865" s="1" t="s">
        <v>7286</v>
      </c>
      <c r="G1865" s="6">
        <f>COUNTIF(F:F,Table2[[#This Row],[Form '#]])</f>
        <v>1</v>
      </c>
      <c r="H1865" s="1" t="s">
        <v>151</v>
      </c>
      <c r="I1865" s="1" t="s">
        <v>3864</v>
      </c>
      <c r="J1865" s="1" t="s">
        <v>78</v>
      </c>
      <c r="K1865" s="1" t="s">
        <v>3879</v>
      </c>
      <c r="L1865" s="1"/>
      <c r="M1865" s="6" t="str">
        <f>IF(Table2[[#This Row],[Corrected Form '#
 (If Duplicated)]]="",Table2[[#This Row],[Form '#]],Table2[[#This Row],[Corrected Form '#
 (If Duplicated)]])</f>
        <v>7810-03012</v>
      </c>
      <c r="N1865" s="1" t="s">
        <v>49</v>
      </c>
      <c r="O1865" s="6" t="str">
        <f>IF(Table2[[#This Row],[POG CONFIRMATION RECEIPT OF ORDER
(DATE &amp; TIME)]]="","No Confirmation","Received Confirmation")</f>
        <v>Received Confirmation</v>
      </c>
      <c r="P1865" s="6">
        <f ca="1">TODAY()-Table2[[#This Row],[DATE SENT TO POG]]</f>
        <v>91</v>
      </c>
      <c r="Q1865" s="6" t="s">
        <v>5803</v>
      </c>
      <c r="R18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5" s="2" t="str">
        <f>_xlfn.XLOOKUP(Table2[[#This Row],[Adjusted Form '#]],'[2]IN PROGRESS'!$D:$D,'[2]IN PROGRESS'!$M:$M,"Not Found")</f>
        <v>Not Found</v>
      </c>
      <c r="U1865" s="2" t="str">
        <f>_xlfn.XLOOKUP(Table2[[#This Row],[Adjusted Form '#]],[1]COMPLETED!$D:$D,[2]COMPLETED!$M:$M,"Not Found")</f>
        <v>Not Found</v>
      </c>
      <c r="V1865" s="17" t="str">
        <f>_xlfn.XLOOKUP(Table2[[#This Row],[Adjusted Form '#]],[2]COMPLETED!$D:$D,[2]COMPLETED!$O:$O,"Not Found")</f>
        <v>Not Found</v>
      </c>
      <c r="W1865" s="2" t="str">
        <f>_xlfn.XLOOKUP(Table2[[#This Row],[Adjusted Form '#]],[2]BILLED!$D:$D,[2]BILLED!$M:$M,"Not Found")</f>
        <v>9400 1112 0620 9303 9772 15</v>
      </c>
      <c r="X1865" s="17" t="e">
        <f>_xlfn.XLOOKUP(Table2[[#This Row],[Adjusted Form '#]],[2]BILLED!$D:$D,[1]BILLED!$O:$O,"Not Found")</f>
        <v>#REF!</v>
      </c>
      <c r="Y1865" s="17" t="e">
        <f>_xlfn.XLOOKUP(Table2[[#This Row],[Adjusted Form '#]],'[2]REJECTED ORDERS'!$D:$D,'[2]REJECTED ORDERS'!$E:$E)</f>
        <v>#N/A</v>
      </c>
      <c r="Z1865" s="1"/>
      <c r="AA1865" s="1"/>
    </row>
    <row r="1866" spans="1:27" ht="15" customHeight="1" x14ac:dyDescent="0.35">
      <c r="A1866" s="4" t="s">
        <v>2765</v>
      </c>
      <c r="B1866" s="1" t="s">
        <v>722</v>
      </c>
      <c r="C1866" s="11">
        <v>45212</v>
      </c>
      <c r="D1866" s="11" t="s">
        <v>7291</v>
      </c>
      <c r="E1866" s="1" t="s">
        <v>14</v>
      </c>
      <c r="F1866" s="1" t="s">
        <v>7287</v>
      </c>
      <c r="G1866" s="6">
        <f>COUNTIF(F:F,Table2[[#This Row],[Form '#]])</f>
        <v>1</v>
      </c>
      <c r="H1866" s="1" t="s">
        <v>7288</v>
      </c>
      <c r="I1866" s="1" t="s">
        <v>28</v>
      </c>
      <c r="J1866" s="1" t="s">
        <v>69</v>
      </c>
      <c r="K1866" s="1" t="s">
        <v>4011</v>
      </c>
      <c r="L1866" s="1"/>
      <c r="M1866" s="6" t="str">
        <f>IF(Table2[[#This Row],[Corrected Form '#
 (If Duplicated)]]="",Table2[[#This Row],[Form '#]],Table2[[#This Row],[Corrected Form '#
 (If Duplicated)]])</f>
        <v>7810-00591</v>
      </c>
      <c r="N1866" s="1" t="s">
        <v>49</v>
      </c>
      <c r="O1866" s="6" t="str">
        <f>IF(Table2[[#This Row],[POG CONFIRMATION RECEIPT OF ORDER
(DATE &amp; TIME)]]="","No Confirmation","Received Confirmation")</f>
        <v>Received Confirmation</v>
      </c>
      <c r="P1866" s="6">
        <f ca="1">TODAY()-Table2[[#This Row],[DATE SENT TO POG]]</f>
        <v>91</v>
      </c>
      <c r="Q1866" s="6" t="s">
        <v>5803</v>
      </c>
      <c r="R18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6" s="2" t="str">
        <f>_xlfn.XLOOKUP(Table2[[#This Row],[Adjusted Form '#]],'[2]IN PROGRESS'!$D:$D,'[2]IN PROGRESS'!$M:$M,"Not Found")</f>
        <v>Not Found</v>
      </c>
      <c r="U1866" s="2" t="str">
        <f>_xlfn.XLOOKUP(Table2[[#This Row],[Adjusted Form '#]],[1]COMPLETED!$D:$D,[2]COMPLETED!$M:$M,"Not Found")</f>
        <v>Not Found</v>
      </c>
      <c r="V1866" s="17">
        <f>_xlfn.XLOOKUP(Table2[[#This Row],[Adjusted Form '#]],[2]COMPLETED!$D:$D,[2]COMPLETED!$O:$O,"Not Found")</f>
        <v>45293</v>
      </c>
      <c r="W1866" s="2" t="str">
        <f>_xlfn.XLOOKUP(Table2[[#This Row],[Adjusted Form '#]],[2]BILLED!$D:$D,[2]BILLED!$M:$M,"Not Found")</f>
        <v>9400 1361 0605 3551 9839 86</v>
      </c>
      <c r="X1866" s="17" t="e">
        <f>_xlfn.XLOOKUP(Table2[[#This Row],[Adjusted Form '#]],[2]BILLED!$D:$D,[1]BILLED!$O:$O,"Not Found")</f>
        <v>#REF!</v>
      </c>
      <c r="Y1866" s="17" t="e">
        <f>_xlfn.XLOOKUP(Table2[[#This Row],[Adjusted Form '#]],'[2]REJECTED ORDERS'!$D:$D,'[2]REJECTED ORDERS'!$E:$E)</f>
        <v>#N/A</v>
      </c>
      <c r="Z1866" s="1"/>
      <c r="AA1866" s="1"/>
    </row>
    <row r="1867" spans="1:27" ht="15" customHeight="1" x14ac:dyDescent="0.35">
      <c r="A1867" s="4" t="s">
        <v>2768</v>
      </c>
      <c r="B1867" s="1" t="s">
        <v>211</v>
      </c>
      <c r="C1867" s="11">
        <v>45212</v>
      </c>
      <c r="D1867" s="11" t="s">
        <v>7294</v>
      </c>
      <c r="E1867" s="1" t="s">
        <v>21</v>
      </c>
      <c r="F1867" s="1" t="s">
        <v>7292</v>
      </c>
      <c r="G1867" s="6">
        <f>COUNTIF(F:F,Table2[[#This Row],[Form '#]])</f>
        <v>1</v>
      </c>
      <c r="H1867" s="1" t="s">
        <v>7293</v>
      </c>
      <c r="I1867" s="1" t="s">
        <v>3852</v>
      </c>
      <c r="J1867" s="1" t="s">
        <v>80</v>
      </c>
      <c r="K1867" s="1" t="s">
        <v>3853</v>
      </c>
      <c r="L1867" s="1"/>
      <c r="M1867" s="6" t="str">
        <f>IF(Table2[[#This Row],[Corrected Form '#
 (If Duplicated)]]="",Table2[[#This Row],[Form '#]],Table2[[#This Row],[Corrected Form '#
 (If Duplicated)]])</f>
        <v>7818-28213</v>
      </c>
      <c r="N1867" s="1" t="s">
        <v>49</v>
      </c>
      <c r="O1867" s="6" t="str">
        <f>IF(Table2[[#This Row],[POG CONFIRMATION RECEIPT OF ORDER
(DATE &amp; TIME)]]="","No Confirmation","Received Confirmation")</f>
        <v>Received Confirmation</v>
      </c>
      <c r="P1867" s="6">
        <f ca="1">TODAY()-Table2[[#This Row],[DATE SENT TO POG]]</f>
        <v>91</v>
      </c>
      <c r="Q1867" s="6" t="s">
        <v>5803</v>
      </c>
      <c r="R18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7" s="2" t="str">
        <f>_xlfn.XLOOKUP(Table2[[#This Row],[Adjusted Form '#]],'[2]IN PROGRESS'!$D:$D,'[2]IN PROGRESS'!$M:$M,"Not Found")</f>
        <v>Not Found</v>
      </c>
      <c r="U1867" s="2" t="str">
        <f>_xlfn.XLOOKUP(Table2[[#This Row],[Adjusted Form '#]],[1]COMPLETED!$D:$D,[2]COMPLETED!$M:$M,"Not Found")</f>
        <v>Not Found</v>
      </c>
      <c r="V1867" s="17" t="str">
        <f>_xlfn.XLOOKUP(Table2[[#This Row],[Adjusted Form '#]],[2]COMPLETED!$D:$D,[2]COMPLETED!$O:$O,"Not Found")</f>
        <v>Not Found</v>
      </c>
      <c r="W1867" s="2" t="str">
        <f>_xlfn.XLOOKUP(Table2[[#This Row],[Adjusted Form '#]],[2]BILLED!$D:$D,[2]BILLED!$M:$M,"Not Found")</f>
        <v>9400 1361 0605 3551 9347 59</v>
      </c>
      <c r="X1867" s="17" t="e">
        <f>_xlfn.XLOOKUP(Table2[[#This Row],[Adjusted Form '#]],[2]BILLED!$D:$D,[1]BILLED!$O:$O,"Not Found")</f>
        <v>#REF!</v>
      </c>
      <c r="Y1867" s="17" t="e">
        <f>_xlfn.XLOOKUP(Table2[[#This Row],[Adjusted Form '#]],'[2]REJECTED ORDERS'!$D:$D,'[2]REJECTED ORDERS'!$E:$E)</f>
        <v>#N/A</v>
      </c>
      <c r="Z1867" s="1"/>
      <c r="AA1867" s="1"/>
    </row>
    <row r="1868" spans="1:27" ht="15" customHeight="1" x14ac:dyDescent="0.35">
      <c r="A1868" s="4" t="s">
        <v>2770</v>
      </c>
      <c r="B1868" s="1" t="s">
        <v>4207</v>
      </c>
      <c r="C1868" s="11">
        <v>45212</v>
      </c>
      <c r="D1868" s="11" t="s">
        <v>7299</v>
      </c>
      <c r="E1868" s="1" t="s">
        <v>21</v>
      </c>
      <c r="F1868" s="1" t="s">
        <v>7295</v>
      </c>
      <c r="G1868" s="6">
        <f>COUNTIF(F:F,Table2[[#This Row],[Form '#]])</f>
        <v>1</v>
      </c>
      <c r="H1868" s="1" t="s">
        <v>7296</v>
      </c>
      <c r="I1868" s="1" t="s">
        <v>127</v>
      </c>
      <c r="J1868" s="1" t="s">
        <v>74</v>
      </c>
      <c r="K1868" s="1" t="s">
        <v>3883</v>
      </c>
      <c r="L1868" s="1"/>
      <c r="M1868" s="6" t="str">
        <f>IF(Table2[[#This Row],[Corrected Form '#
 (If Duplicated)]]="",Table2[[#This Row],[Form '#]],Table2[[#This Row],[Corrected Form '#
 (If Duplicated)]])</f>
        <v>7818-26423</v>
      </c>
      <c r="N1868" s="1" t="s">
        <v>49</v>
      </c>
      <c r="O1868" s="6" t="str">
        <f>IF(Table2[[#This Row],[POG CONFIRMATION RECEIPT OF ORDER
(DATE &amp; TIME)]]="","No Confirmation","Received Confirmation")</f>
        <v>Received Confirmation</v>
      </c>
      <c r="P1868" s="6">
        <f ca="1">TODAY()-Table2[[#This Row],[DATE SENT TO POG]]</f>
        <v>91</v>
      </c>
      <c r="Q1868" s="6" t="s">
        <v>5803</v>
      </c>
      <c r="R18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8" s="2" t="str">
        <f>_xlfn.XLOOKUP(Table2[[#This Row],[Adjusted Form '#]],'[2]IN PROGRESS'!$D:$D,'[2]IN PROGRESS'!$M:$M,"Not Found")</f>
        <v>Not Found</v>
      </c>
      <c r="U1868" s="2" t="str">
        <f>_xlfn.XLOOKUP(Table2[[#This Row],[Adjusted Form '#]],[1]COMPLETED!$D:$D,[2]COMPLETED!$M:$M,"Not Found")</f>
        <v>Not Found</v>
      </c>
      <c r="V1868" s="17" t="str">
        <f>_xlfn.XLOOKUP(Table2[[#This Row],[Adjusted Form '#]],[2]COMPLETED!$D:$D,[2]COMPLETED!$O:$O,"Not Found")</f>
        <v>Not Found</v>
      </c>
      <c r="W1868" s="2" t="str">
        <f>_xlfn.XLOOKUP(Table2[[#This Row],[Adjusted Form '#]],[2]BILLED!$D:$D,[2]BILLED!$M:$M,"Not Found")</f>
        <v>9400 1361 0605 3535 4210 84</v>
      </c>
      <c r="X1868" s="17" t="e">
        <f>_xlfn.XLOOKUP(Table2[[#This Row],[Adjusted Form '#]],[2]BILLED!$D:$D,[1]BILLED!$O:$O,"Not Found")</f>
        <v>#REF!</v>
      </c>
      <c r="Y1868" s="17" t="e">
        <f>_xlfn.XLOOKUP(Table2[[#This Row],[Adjusted Form '#]],'[2]REJECTED ORDERS'!$D:$D,'[2]REJECTED ORDERS'!$E:$E)</f>
        <v>#N/A</v>
      </c>
      <c r="Z1868" s="1"/>
      <c r="AA1868" s="1"/>
    </row>
    <row r="1869" spans="1:27" ht="15" customHeight="1" x14ac:dyDescent="0.35">
      <c r="A1869" s="4" t="s">
        <v>2771</v>
      </c>
      <c r="B1869" s="1" t="s">
        <v>4207</v>
      </c>
      <c r="C1869" s="11">
        <v>45212</v>
      </c>
      <c r="D1869" s="11" t="s">
        <v>7299</v>
      </c>
      <c r="E1869" s="1" t="s">
        <v>21</v>
      </c>
      <c r="F1869" s="1" t="s">
        <v>7297</v>
      </c>
      <c r="G1869" s="6">
        <f>COUNTIF(F:F,Table2[[#This Row],[Form '#]])</f>
        <v>1</v>
      </c>
      <c r="H1869" s="1" t="s">
        <v>7298</v>
      </c>
      <c r="I1869" s="1" t="s">
        <v>127</v>
      </c>
      <c r="J1869" s="1" t="s">
        <v>76</v>
      </c>
      <c r="K1869" s="1" t="s">
        <v>3883</v>
      </c>
      <c r="L1869" s="1"/>
      <c r="M1869" s="6" t="str">
        <f>IF(Table2[[#This Row],[Corrected Form '#
 (If Duplicated)]]="",Table2[[#This Row],[Form '#]],Table2[[#This Row],[Corrected Form '#
 (If Duplicated)]])</f>
        <v>7818-12857</v>
      </c>
      <c r="N1869" s="1" t="s">
        <v>49</v>
      </c>
      <c r="O1869" s="6" t="str">
        <f>IF(Table2[[#This Row],[POG CONFIRMATION RECEIPT OF ORDER
(DATE &amp; TIME)]]="","No Confirmation","Received Confirmation")</f>
        <v>Received Confirmation</v>
      </c>
      <c r="P1869" s="6">
        <f ca="1">TODAY()-Table2[[#This Row],[DATE SENT TO POG]]</f>
        <v>91</v>
      </c>
      <c r="Q1869" s="6" t="s">
        <v>5803</v>
      </c>
      <c r="R18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69" s="2" t="str">
        <f>_xlfn.XLOOKUP(Table2[[#This Row],[Adjusted Form '#]],'[2]IN PROGRESS'!$D:$D,'[2]IN PROGRESS'!$M:$M,"Not Found")</f>
        <v>Not Found</v>
      </c>
      <c r="U1869" s="2" t="str">
        <f>_xlfn.XLOOKUP(Table2[[#This Row],[Adjusted Form '#]],[1]COMPLETED!$D:$D,[2]COMPLETED!$M:$M,"Not Found")</f>
        <v>Not Found</v>
      </c>
      <c r="V1869" s="17" t="str">
        <f>_xlfn.XLOOKUP(Table2[[#This Row],[Adjusted Form '#]],[2]COMPLETED!$D:$D,[2]COMPLETED!$O:$O,"Not Found")</f>
        <v>Not Found</v>
      </c>
      <c r="W1869" s="2" t="str">
        <f>_xlfn.XLOOKUP(Table2[[#This Row],[Adjusted Form '#]],[2]BILLED!$D:$D,[2]BILLED!$M:$M,"Not Found")</f>
        <v>9400 1361 06053551 9646 88</v>
      </c>
      <c r="X1869" s="17" t="e">
        <f>_xlfn.XLOOKUP(Table2[[#This Row],[Adjusted Form '#]],[2]BILLED!$D:$D,[1]BILLED!$O:$O,"Not Found")</f>
        <v>#REF!</v>
      </c>
      <c r="Y1869" s="17" t="e">
        <f>_xlfn.XLOOKUP(Table2[[#This Row],[Adjusted Form '#]],'[2]REJECTED ORDERS'!$D:$D,'[2]REJECTED ORDERS'!$E:$E)</f>
        <v>#N/A</v>
      </c>
      <c r="Z1869" s="1"/>
      <c r="AA1869" s="1"/>
    </row>
    <row r="1870" spans="1:27" ht="15" customHeight="1" x14ac:dyDescent="0.35">
      <c r="A1870" s="4" t="s">
        <v>2773</v>
      </c>
      <c r="B1870" s="1" t="s">
        <v>2689</v>
      </c>
      <c r="C1870" s="11">
        <v>45212</v>
      </c>
      <c r="D1870" s="11" t="s">
        <v>7307</v>
      </c>
      <c r="E1870" s="1" t="s">
        <v>21</v>
      </c>
      <c r="F1870" s="1" t="s">
        <v>7300</v>
      </c>
      <c r="G1870" s="6">
        <f>COUNTIF(F:F,Table2[[#This Row],[Form '#]])</f>
        <v>1</v>
      </c>
      <c r="H1870" s="1" t="s">
        <v>7301</v>
      </c>
      <c r="I1870" s="1" t="s">
        <v>3852</v>
      </c>
      <c r="J1870" s="1" t="s">
        <v>80</v>
      </c>
      <c r="K1870" s="1" t="s">
        <v>4011</v>
      </c>
      <c r="L1870" s="1"/>
      <c r="M1870" s="6" t="str">
        <f>IF(Table2[[#This Row],[Corrected Form '#
 (If Duplicated)]]="",Table2[[#This Row],[Form '#]],Table2[[#This Row],[Corrected Form '#
 (If Duplicated)]])</f>
        <v>7818-28223</v>
      </c>
      <c r="N1870" s="1" t="s">
        <v>49</v>
      </c>
      <c r="O1870" s="6" t="str">
        <f>IF(Table2[[#This Row],[POG CONFIRMATION RECEIPT OF ORDER
(DATE &amp; TIME)]]="","No Confirmation","Received Confirmation")</f>
        <v>Received Confirmation</v>
      </c>
      <c r="P1870" s="6">
        <f ca="1">TODAY()-Table2[[#This Row],[DATE SENT TO POG]]</f>
        <v>91</v>
      </c>
      <c r="Q1870" s="6" t="s">
        <v>5803</v>
      </c>
      <c r="R18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0" s="2" t="str">
        <f>_xlfn.XLOOKUP(Table2[[#This Row],[Adjusted Form '#]],'[2]IN PROGRESS'!$D:$D,'[2]IN PROGRESS'!$M:$M,"Not Found")</f>
        <v>Not Found</v>
      </c>
      <c r="U1870" s="2" t="str">
        <f>_xlfn.XLOOKUP(Table2[[#This Row],[Adjusted Form '#]],[1]COMPLETED!$D:$D,[2]COMPLETED!$M:$M,"Not Found")</f>
        <v>Not Found</v>
      </c>
      <c r="V1870" s="17" t="str">
        <f>_xlfn.XLOOKUP(Table2[[#This Row],[Adjusted Form '#]],[2]COMPLETED!$D:$D,[2]COMPLETED!$O:$O,"Not Found")</f>
        <v>Not Found</v>
      </c>
      <c r="W1870" s="2" t="str">
        <f>_xlfn.XLOOKUP(Table2[[#This Row],[Adjusted Form '#]],[2]BILLED!$D:$D,[2]BILLED!$M:$M,"Not Found")</f>
        <v>9400 1361 0605 3537 7482 26</v>
      </c>
      <c r="X1870" s="17" t="e">
        <f>_xlfn.XLOOKUP(Table2[[#This Row],[Adjusted Form '#]],[2]BILLED!$D:$D,[1]BILLED!$O:$O,"Not Found")</f>
        <v>#REF!</v>
      </c>
      <c r="Y1870" s="17" t="e">
        <f>_xlfn.XLOOKUP(Table2[[#This Row],[Adjusted Form '#]],'[2]REJECTED ORDERS'!$D:$D,'[2]REJECTED ORDERS'!$E:$E)</f>
        <v>#N/A</v>
      </c>
      <c r="Z1870" s="1"/>
      <c r="AA1870" s="1"/>
    </row>
    <row r="1871" spans="1:27" ht="15" customHeight="1" x14ac:dyDescent="0.35">
      <c r="A1871" s="4" t="s">
        <v>2775</v>
      </c>
      <c r="B1871" s="1" t="s">
        <v>2689</v>
      </c>
      <c r="C1871" s="11">
        <v>45212</v>
      </c>
      <c r="D1871" s="11" t="s">
        <v>7307</v>
      </c>
      <c r="E1871" s="1" t="s">
        <v>21</v>
      </c>
      <c r="F1871" s="1" t="s">
        <v>7302</v>
      </c>
      <c r="G1871" s="6">
        <f>COUNTIF(F:F,Table2[[#This Row],[Form '#]])</f>
        <v>1</v>
      </c>
      <c r="H1871" s="1" t="s">
        <v>7303</v>
      </c>
      <c r="I1871" s="1" t="s">
        <v>3852</v>
      </c>
      <c r="J1871" s="1" t="s">
        <v>80</v>
      </c>
      <c r="K1871" s="1" t="s">
        <v>3853</v>
      </c>
      <c r="L1871" s="1"/>
      <c r="M1871" s="6" t="str">
        <f>IF(Table2[[#This Row],[Corrected Form '#
 (If Duplicated)]]="",Table2[[#This Row],[Form '#]],Table2[[#This Row],[Corrected Form '#
 (If Duplicated)]])</f>
        <v>7818-32808</v>
      </c>
      <c r="N1871" s="1" t="s">
        <v>49</v>
      </c>
      <c r="O1871" s="6" t="str">
        <f>IF(Table2[[#This Row],[POG CONFIRMATION RECEIPT OF ORDER
(DATE &amp; TIME)]]="","No Confirmation","Received Confirmation")</f>
        <v>Received Confirmation</v>
      </c>
      <c r="P1871" s="6">
        <f ca="1">TODAY()-Table2[[#This Row],[DATE SENT TO POG]]</f>
        <v>91</v>
      </c>
      <c r="Q1871" s="6" t="s">
        <v>5803</v>
      </c>
      <c r="R18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1" s="2" t="str">
        <f>_xlfn.XLOOKUP(Table2[[#This Row],[Adjusted Form '#]],'[2]IN PROGRESS'!$D:$D,'[2]IN PROGRESS'!$M:$M,"Not Found")</f>
        <v>Not Found</v>
      </c>
      <c r="U1871" s="2" t="str">
        <f>_xlfn.XLOOKUP(Table2[[#This Row],[Adjusted Form '#]],[1]COMPLETED!$D:$D,[2]COMPLETED!$M:$M,"Not Found")</f>
        <v>Not Found</v>
      </c>
      <c r="V1871" s="17" t="str">
        <f>_xlfn.XLOOKUP(Table2[[#This Row],[Adjusted Form '#]],[2]COMPLETED!$D:$D,[2]COMPLETED!$O:$O,"Not Found")</f>
        <v>Not Found</v>
      </c>
      <c r="W1871" s="2" t="str">
        <f>_xlfn.XLOOKUP(Table2[[#This Row],[Adjusted Form '#]],[2]BILLED!$D:$D,[2]BILLED!$M:$M,"Not Found")</f>
        <v>9400 1361 0605 3537 6688 76</v>
      </c>
      <c r="X1871" s="17" t="e">
        <f>_xlfn.XLOOKUP(Table2[[#This Row],[Adjusted Form '#]],[2]BILLED!$D:$D,[1]BILLED!$O:$O,"Not Found")</f>
        <v>#REF!</v>
      </c>
      <c r="Y1871" s="17" t="e">
        <f>_xlfn.XLOOKUP(Table2[[#This Row],[Adjusted Form '#]],'[2]REJECTED ORDERS'!$D:$D,'[2]REJECTED ORDERS'!$E:$E)</f>
        <v>#N/A</v>
      </c>
      <c r="Z1871" s="1"/>
      <c r="AA1871" s="1"/>
    </row>
    <row r="1872" spans="1:27" ht="15" customHeight="1" x14ac:dyDescent="0.35">
      <c r="A1872" s="4" t="s">
        <v>2776</v>
      </c>
      <c r="B1872" s="1" t="s">
        <v>2689</v>
      </c>
      <c r="C1872" s="11">
        <v>45212</v>
      </c>
      <c r="D1872" s="11" t="s">
        <v>7307</v>
      </c>
      <c r="E1872" s="1" t="s">
        <v>21</v>
      </c>
      <c r="F1872" s="1" t="s">
        <v>7304</v>
      </c>
      <c r="G1872" s="6">
        <f>COUNTIF(F:F,Table2[[#This Row],[Form '#]])</f>
        <v>1</v>
      </c>
      <c r="H1872" s="1" t="s">
        <v>1782</v>
      </c>
      <c r="I1872" s="1" t="s">
        <v>177</v>
      </c>
      <c r="J1872" s="1" t="s">
        <v>75</v>
      </c>
      <c r="K1872" s="1" t="s">
        <v>3853</v>
      </c>
      <c r="L1872" s="1"/>
      <c r="M1872" s="6" t="str">
        <f>IF(Table2[[#This Row],[Corrected Form '#
 (If Duplicated)]]="",Table2[[#This Row],[Form '#]],Table2[[#This Row],[Corrected Form '#
 (If Duplicated)]])</f>
        <v>7818-21400</v>
      </c>
      <c r="N1872" s="1" t="s">
        <v>49</v>
      </c>
      <c r="O1872" s="6" t="str">
        <f>IF(Table2[[#This Row],[POG CONFIRMATION RECEIPT OF ORDER
(DATE &amp; TIME)]]="","No Confirmation","Received Confirmation")</f>
        <v>Received Confirmation</v>
      </c>
      <c r="P1872" s="6">
        <f ca="1">TODAY()-Table2[[#This Row],[DATE SENT TO POG]]</f>
        <v>91</v>
      </c>
      <c r="Q1872" s="6" t="s">
        <v>5803</v>
      </c>
      <c r="R18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2" s="2" t="str">
        <f>_xlfn.XLOOKUP(Table2[[#This Row],[Adjusted Form '#]],'[2]IN PROGRESS'!$D:$D,'[2]IN PROGRESS'!$M:$M,"Not Found")</f>
        <v>Not Found</v>
      </c>
      <c r="U1872" s="2" t="str">
        <f>_xlfn.XLOOKUP(Table2[[#This Row],[Adjusted Form '#]],[1]COMPLETED!$D:$D,[2]COMPLETED!$M:$M,"Not Found")</f>
        <v>Not Found</v>
      </c>
      <c r="V1872" s="17" t="str">
        <f>_xlfn.XLOOKUP(Table2[[#This Row],[Adjusted Form '#]],[2]COMPLETED!$D:$D,[2]COMPLETED!$O:$O,"Not Found")</f>
        <v>Not Found</v>
      </c>
      <c r="W1872" s="2" t="str">
        <f>_xlfn.XLOOKUP(Table2[[#This Row],[Adjusted Form '#]],[2]BILLED!$D:$D,[2]BILLED!$M:$M,"Not Found")</f>
        <v>9400 1361 0605 3581 8898 83</v>
      </c>
      <c r="X1872" s="17" t="e">
        <f>_xlfn.XLOOKUP(Table2[[#This Row],[Adjusted Form '#]],[2]BILLED!$D:$D,[1]BILLED!$O:$O,"Not Found")</f>
        <v>#REF!</v>
      </c>
      <c r="Y1872" s="17" t="e">
        <f>_xlfn.XLOOKUP(Table2[[#This Row],[Adjusted Form '#]],'[2]REJECTED ORDERS'!$D:$D,'[2]REJECTED ORDERS'!$E:$E)</f>
        <v>#N/A</v>
      </c>
      <c r="Z1872" s="1"/>
      <c r="AA1872" s="1"/>
    </row>
    <row r="1873" spans="1:27" ht="15" customHeight="1" x14ac:dyDescent="0.35">
      <c r="A1873" s="4" t="s">
        <v>2779</v>
      </c>
      <c r="B1873" s="1" t="s">
        <v>2689</v>
      </c>
      <c r="C1873" s="11">
        <v>45212</v>
      </c>
      <c r="D1873" s="11" t="s">
        <v>7307</v>
      </c>
      <c r="E1873" s="1" t="s">
        <v>21</v>
      </c>
      <c r="F1873" s="1" t="s">
        <v>7305</v>
      </c>
      <c r="G1873" s="6">
        <f>COUNTIF(F:F,Table2[[#This Row],[Form '#]])</f>
        <v>1</v>
      </c>
      <c r="H1873" s="1" t="s">
        <v>7306</v>
      </c>
      <c r="I1873" s="1" t="s">
        <v>3852</v>
      </c>
      <c r="J1873" s="1" t="s">
        <v>75</v>
      </c>
      <c r="K1873" s="1" t="s">
        <v>3853</v>
      </c>
      <c r="L1873" s="1"/>
      <c r="M1873" s="6" t="str">
        <f>IF(Table2[[#This Row],[Corrected Form '#
 (If Duplicated)]]="",Table2[[#This Row],[Form '#]],Table2[[#This Row],[Corrected Form '#
 (If Duplicated)]])</f>
        <v>7818-24917</v>
      </c>
      <c r="N1873" s="1" t="s">
        <v>49</v>
      </c>
      <c r="O1873" s="6" t="str">
        <f>IF(Table2[[#This Row],[POG CONFIRMATION RECEIPT OF ORDER
(DATE &amp; TIME)]]="","No Confirmation","Received Confirmation")</f>
        <v>Received Confirmation</v>
      </c>
      <c r="P1873" s="6">
        <f ca="1">TODAY()-Table2[[#This Row],[DATE SENT TO POG]]</f>
        <v>91</v>
      </c>
      <c r="Q1873" s="6" t="s">
        <v>5803</v>
      </c>
      <c r="R18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3" s="2" t="str">
        <f>_xlfn.XLOOKUP(Table2[[#This Row],[Adjusted Form '#]],'[2]IN PROGRESS'!$D:$D,'[2]IN PROGRESS'!$M:$M,"Not Found")</f>
        <v>Not Found</v>
      </c>
      <c r="U1873" s="2" t="str">
        <f>_xlfn.XLOOKUP(Table2[[#This Row],[Adjusted Form '#]],[1]COMPLETED!$D:$D,[2]COMPLETED!$M:$M,"Not Found")</f>
        <v>Not Found</v>
      </c>
      <c r="V1873" s="17" t="str">
        <f>_xlfn.XLOOKUP(Table2[[#This Row],[Adjusted Form '#]],[2]COMPLETED!$D:$D,[2]COMPLETED!$O:$O,"Not Found")</f>
        <v>Not Found</v>
      </c>
      <c r="W1873" s="2" t="str">
        <f>_xlfn.XLOOKUP(Table2[[#This Row],[Adjusted Form '#]],[2]BILLED!$D:$D,[2]BILLED!$M:$M,"Not Found")</f>
        <v>9400 1361 0605 3541 8262 93</v>
      </c>
      <c r="X1873" s="17" t="e">
        <f>_xlfn.XLOOKUP(Table2[[#This Row],[Adjusted Form '#]],[2]BILLED!$D:$D,[1]BILLED!$O:$O,"Not Found")</f>
        <v>#REF!</v>
      </c>
      <c r="Y1873" s="17" t="e">
        <f>_xlfn.XLOOKUP(Table2[[#This Row],[Adjusted Form '#]],'[2]REJECTED ORDERS'!$D:$D,'[2]REJECTED ORDERS'!$E:$E)</f>
        <v>#N/A</v>
      </c>
      <c r="Z1873" s="1"/>
      <c r="AA1873" s="1"/>
    </row>
    <row r="1874" spans="1:27" ht="15" customHeight="1" x14ac:dyDescent="0.35">
      <c r="A1874" s="4" t="s">
        <v>2780</v>
      </c>
      <c r="B1874" s="1" t="s">
        <v>1275</v>
      </c>
      <c r="C1874" s="11">
        <v>45215</v>
      </c>
      <c r="D1874" s="11" t="s">
        <v>7309</v>
      </c>
      <c r="E1874" s="1" t="s">
        <v>191</v>
      </c>
      <c r="F1874" s="1" t="s">
        <v>7308</v>
      </c>
      <c r="G1874" s="6">
        <f>COUNTIF(F:F,Table2[[#This Row],[Form '#]])</f>
        <v>1</v>
      </c>
      <c r="H1874" s="1" t="s">
        <v>3526</v>
      </c>
      <c r="I1874" s="1" t="s">
        <v>177</v>
      </c>
      <c r="J1874" s="1" t="s">
        <v>75</v>
      </c>
      <c r="K1874" s="1" t="s">
        <v>3853</v>
      </c>
      <c r="L1874" s="1"/>
      <c r="M1874" s="6" t="str">
        <f>IF(Table2[[#This Row],[Corrected Form '#
 (If Duplicated)]]="",Table2[[#This Row],[Form '#]],Table2[[#This Row],[Corrected Form '#
 (If Duplicated)]])</f>
        <v>7812-04540</v>
      </c>
      <c r="N1874" s="1" t="s">
        <v>49</v>
      </c>
      <c r="O1874" s="6" t="str">
        <f>IF(Table2[[#This Row],[POG CONFIRMATION RECEIPT OF ORDER
(DATE &amp; TIME)]]="","No Confirmation","Received Confirmation")</f>
        <v>Received Confirmation</v>
      </c>
      <c r="P1874" s="6">
        <f ca="1">TODAY()-Table2[[#This Row],[DATE SENT TO POG]]</f>
        <v>88</v>
      </c>
      <c r="Q1874" s="6" t="s">
        <v>5803</v>
      </c>
      <c r="R18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4" s="2" t="str">
        <f>_xlfn.XLOOKUP(Table2[[#This Row],[Adjusted Form '#]],'[2]IN PROGRESS'!$D:$D,'[2]IN PROGRESS'!$M:$M,"Not Found")</f>
        <v>Not Found</v>
      </c>
      <c r="U1874" s="2" t="str">
        <f>_xlfn.XLOOKUP(Table2[[#This Row],[Adjusted Form '#]],[1]COMPLETED!$D:$D,[2]COMPLETED!$M:$M,"Not Found")</f>
        <v>Not Found</v>
      </c>
      <c r="V1874" s="17" t="str">
        <f>_xlfn.XLOOKUP(Table2[[#This Row],[Adjusted Form '#]],[2]COMPLETED!$D:$D,[2]COMPLETED!$O:$O,"Not Found")</f>
        <v>Not Found</v>
      </c>
      <c r="W1874" s="2" t="str">
        <f>_xlfn.XLOOKUP(Table2[[#This Row],[Adjusted Form '#]],[2]BILLED!$D:$D,[2]BILLED!$M:$M,"Not Found")</f>
        <v>9400 1361 0605 3581 5952 10</v>
      </c>
      <c r="X1874" s="17" t="e">
        <f>_xlfn.XLOOKUP(Table2[[#This Row],[Adjusted Form '#]],[2]BILLED!$D:$D,[1]BILLED!$O:$O,"Not Found")</f>
        <v>#REF!</v>
      </c>
      <c r="Y1874" s="17" t="e">
        <f>_xlfn.XLOOKUP(Table2[[#This Row],[Adjusted Form '#]],'[2]REJECTED ORDERS'!$D:$D,'[2]REJECTED ORDERS'!$E:$E)</f>
        <v>#N/A</v>
      </c>
      <c r="Z1874" s="1"/>
      <c r="AA1874" s="1"/>
    </row>
    <row r="1875" spans="1:27" ht="15" customHeight="1" x14ac:dyDescent="0.35">
      <c r="A1875" s="4" t="s">
        <v>2781</v>
      </c>
      <c r="B1875" s="1" t="s">
        <v>1461</v>
      </c>
      <c r="C1875" s="11">
        <v>45215</v>
      </c>
      <c r="E1875" s="1" t="s">
        <v>73</v>
      </c>
      <c r="F1875" s="1" t="s">
        <v>7310</v>
      </c>
      <c r="G1875" s="6">
        <f>COUNTIF(F:F,Table2[[#This Row],[Form '#]])</f>
        <v>1</v>
      </c>
      <c r="H1875" s="1" t="s">
        <v>7311</v>
      </c>
      <c r="I1875" s="1" t="s">
        <v>3864</v>
      </c>
      <c r="J1875" s="1" t="s">
        <v>78</v>
      </c>
      <c r="K1875" s="1" t="s">
        <v>3879</v>
      </c>
      <c r="L1875" s="1"/>
      <c r="M1875" s="6" t="str">
        <f>IF(Table2[[#This Row],[Corrected Form '#
 (If Duplicated)]]="",Table2[[#This Row],[Form '#]],Table2[[#This Row],[Corrected Form '#
 (If Duplicated)]])</f>
        <v>7823-03252</v>
      </c>
      <c r="N1875" s="1" t="s">
        <v>49</v>
      </c>
      <c r="O1875" s="6" t="str">
        <f>IF(Table2[[#This Row],[POG CONFIRMATION RECEIPT OF ORDER
(DATE &amp; TIME)]]="","No Confirmation","Received Confirmation")</f>
        <v>No Confirmation</v>
      </c>
      <c r="P1875" s="6">
        <f ca="1">TODAY()-Table2[[#This Row],[DATE SENT TO POG]]</f>
        <v>88</v>
      </c>
      <c r="Q1875" s="6" t="s">
        <v>5803</v>
      </c>
      <c r="R18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5" s="2" t="str">
        <f>_xlfn.XLOOKUP(Table2[[#This Row],[Adjusted Form '#]],'[2]IN PROGRESS'!$D:$D,'[2]IN PROGRESS'!$M:$M,"Not Found")</f>
        <v>Not Found</v>
      </c>
      <c r="U1875" s="2" t="str">
        <f>_xlfn.XLOOKUP(Table2[[#This Row],[Adjusted Form '#]],[1]COMPLETED!$D:$D,[2]COMPLETED!$M:$M,"Not Found")</f>
        <v>Not Found</v>
      </c>
      <c r="V1875" s="17" t="str">
        <f>_xlfn.XLOOKUP(Table2[[#This Row],[Adjusted Form '#]],[2]COMPLETED!$D:$D,[2]COMPLETED!$O:$O,"Not Found")</f>
        <v>Not Found</v>
      </c>
      <c r="W1875" s="2" t="str">
        <f>_xlfn.XLOOKUP(Table2[[#This Row],[Adjusted Form '#]],[2]BILLED!$D:$D,[2]BILLED!$M:$M,"Not Found")</f>
        <v>9400 1361 0605 3541 8350 97</v>
      </c>
      <c r="X1875" s="17" t="e">
        <f>_xlfn.XLOOKUP(Table2[[#This Row],[Adjusted Form '#]],[2]BILLED!$D:$D,[1]BILLED!$O:$O,"Not Found")</f>
        <v>#REF!</v>
      </c>
      <c r="Y1875" s="17" t="e">
        <f>_xlfn.XLOOKUP(Table2[[#This Row],[Adjusted Form '#]],'[2]REJECTED ORDERS'!$D:$D,'[2]REJECTED ORDERS'!$E:$E)</f>
        <v>#N/A</v>
      </c>
      <c r="Z1875" s="1"/>
      <c r="AA1875" s="1"/>
    </row>
    <row r="1876" spans="1:27" ht="15" customHeight="1" x14ac:dyDescent="0.35">
      <c r="A1876" s="4" t="s">
        <v>2783</v>
      </c>
      <c r="B1876" s="1" t="s">
        <v>854</v>
      </c>
      <c r="C1876" s="11">
        <v>45215</v>
      </c>
      <c r="E1876" s="1" t="s">
        <v>21</v>
      </c>
      <c r="F1876" s="1" t="s">
        <v>7312</v>
      </c>
      <c r="G1876" s="6">
        <f>COUNTIF(F:F,Table2[[#This Row],[Form '#]])</f>
        <v>1</v>
      </c>
      <c r="H1876" s="1" t="s">
        <v>6466</v>
      </c>
      <c r="I1876" s="1" t="s">
        <v>3891</v>
      </c>
      <c r="J1876" s="1" t="s">
        <v>3891</v>
      </c>
      <c r="K1876" s="1" t="s">
        <v>3891</v>
      </c>
      <c r="L1876" s="1"/>
      <c r="M1876" s="6" t="str">
        <f>IF(Table2[[#This Row],[Corrected Form '#
 (If Duplicated)]]="",Table2[[#This Row],[Form '#]],Table2[[#This Row],[Corrected Form '#
 (If Duplicated)]])</f>
        <v>7818-32901</v>
      </c>
      <c r="N1876" s="1" t="s">
        <v>104</v>
      </c>
      <c r="O1876" s="6" t="str">
        <f>IF(Table2[[#This Row],[POG CONFIRMATION RECEIPT OF ORDER
(DATE &amp; TIME)]]="","No Confirmation","Received Confirmation")</f>
        <v>No Confirmation</v>
      </c>
      <c r="P1876" s="6">
        <f ca="1">TODAY()-Table2[[#This Row],[DATE SENT TO POG]]</f>
        <v>88</v>
      </c>
      <c r="Q1876" s="6" t="s">
        <v>5803</v>
      </c>
      <c r="R18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6" s="2" t="str">
        <f>_xlfn.XLOOKUP(Table2[[#This Row],[Adjusted Form '#]],'[2]IN PROGRESS'!$D:$D,'[2]IN PROGRESS'!$M:$M,"Not Found")</f>
        <v>Not Found</v>
      </c>
      <c r="U1876" s="2" t="str">
        <f>_xlfn.XLOOKUP(Table2[[#This Row],[Adjusted Form '#]],[1]COMPLETED!$D:$D,[2]COMPLETED!$M:$M,"Not Found")</f>
        <v>Not Found</v>
      </c>
      <c r="V1876" s="17" t="str">
        <f>_xlfn.XLOOKUP(Table2[[#This Row],[Adjusted Form '#]],[2]COMPLETED!$D:$D,[2]COMPLETED!$O:$O,"Not Found")</f>
        <v>Not Found</v>
      </c>
      <c r="W1876" s="2" t="str">
        <f>_xlfn.XLOOKUP(Table2[[#This Row],[Adjusted Form '#]],[2]BILLED!$D:$D,[2]BILLED!$M:$M,"Not Found")</f>
        <v>9434 6361 0605 3527 8977 69</v>
      </c>
      <c r="X1876" s="17" t="e">
        <f>_xlfn.XLOOKUP(Table2[[#This Row],[Adjusted Form '#]],[2]BILLED!$D:$D,[1]BILLED!$O:$O,"Not Found")</f>
        <v>#REF!</v>
      </c>
      <c r="Y1876" s="17" t="e">
        <f>_xlfn.XLOOKUP(Table2[[#This Row],[Adjusted Form '#]],'[2]REJECTED ORDERS'!$D:$D,'[2]REJECTED ORDERS'!$E:$E)</f>
        <v>#N/A</v>
      </c>
      <c r="Z1876" s="1"/>
      <c r="AA1876" s="1"/>
    </row>
    <row r="1877" spans="1:27" ht="15" customHeight="1" x14ac:dyDescent="0.35">
      <c r="A1877" s="4" t="s">
        <v>2785</v>
      </c>
      <c r="B1877" s="1" t="s">
        <v>3636</v>
      </c>
      <c r="C1877" s="11">
        <v>45215</v>
      </c>
      <c r="D1877" s="11" t="s">
        <v>7316</v>
      </c>
      <c r="E1877" s="1" t="s">
        <v>21</v>
      </c>
      <c r="F1877" s="1" t="s">
        <v>7313</v>
      </c>
      <c r="G1877" s="6">
        <f>COUNTIF(F:F,Table2[[#This Row],[Form '#]])</f>
        <v>1</v>
      </c>
      <c r="H1877" s="1" t="s">
        <v>7314</v>
      </c>
      <c r="I1877" s="1" t="s">
        <v>3864</v>
      </c>
      <c r="J1877" s="1" t="s">
        <v>78</v>
      </c>
      <c r="K1877" s="1" t="s">
        <v>3879</v>
      </c>
      <c r="L1877" s="1"/>
      <c r="M1877" s="6" t="str">
        <f>IF(Table2[[#This Row],[Corrected Form '#
 (If Duplicated)]]="",Table2[[#This Row],[Form '#]],Table2[[#This Row],[Corrected Form '#
 (If Duplicated)]])</f>
        <v>7818-26550</v>
      </c>
      <c r="N1877" s="1" t="s">
        <v>49</v>
      </c>
      <c r="O1877" s="6" t="str">
        <f>IF(Table2[[#This Row],[POG CONFIRMATION RECEIPT OF ORDER
(DATE &amp; TIME)]]="","No Confirmation","Received Confirmation")</f>
        <v>Received Confirmation</v>
      </c>
      <c r="P1877" s="6">
        <f ca="1">TODAY()-Table2[[#This Row],[DATE SENT TO POG]]</f>
        <v>88</v>
      </c>
      <c r="Q1877" s="6" t="s">
        <v>5803</v>
      </c>
      <c r="R18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7" s="2" t="str">
        <f>_xlfn.XLOOKUP(Table2[[#This Row],[Adjusted Form '#]],'[2]IN PROGRESS'!$D:$D,'[2]IN PROGRESS'!$M:$M,"Not Found")</f>
        <v>Not Found</v>
      </c>
      <c r="U1877" s="2" t="str">
        <f>_xlfn.XLOOKUP(Table2[[#This Row],[Adjusted Form '#]],[1]COMPLETED!$D:$D,[2]COMPLETED!$M:$M,"Not Found")</f>
        <v>Not Found</v>
      </c>
      <c r="V1877" s="17" t="str">
        <f>_xlfn.XLOOKUP(Table2[[#This Row],[Adjusted Form '#]],[2]COMPLETED!$D:$D,[2]COMPLETED!$O:$O,"Not Found")</f>
        <v>Not Found</v>
      </c>
      <c r="W1877" s="2" t="str">
        <f>_xlfn.XLOOKUP(Table2[[#This Row],[Adjusted Form '#]],[2]BILLED!$D:$D,[2]BILLED!$M:$M,"Not Found")</f>
        <v>9400 1361 0605 3525 3766 15</v>
      </c>
      <c r="X1877" s="17" t="e">
        <f>_xlfn.XLOOKUP(Table2[[#This Row],[Adjusted Form '#]],[2]BILLED!$D:$D,[1]BILLED!$O:$O,"Not Found")</f>
        <v>#REF!</v>
      </c>
      <c r="Y1877" s="17" t="e">
        <f>_xlfn.XLOOKUP(Table2[[#This Row],[Adjusted Form '#]],'[2]REJECTED ORDERS'!$D:$D,'[2]REJECTED ORDERS'!$E:$E)</f>
        <v>#N/A</v>
      </c>
      <c r="Z1877" s="1"/>
      <c r="AA1877" s="1"/>
    </row>
    <row r="1878" spans="1:27" ht="15" customHeight="1" x14ac:dyDescent="0.35">
      <c r="A1878" s="4" t="s">
        <v>2786</v>
      </c>
      <c r="B1878" s="1" t="s">
        <v>3636</v>
      </c>
      <c r="C1878" s="11">
        <v>45215</v>
      </c>
      <c r="D1878" s="11" t="s">
        <v>7316</v>
      </c>
      <c r="E1878" s="1" t="s">
        <v>21</v>
      </c>
      <c r="F1878" s="1" t="s">
        <v>7315</v>
      </c>
      <c r="G1878" s="6">
        <f>COUNTIF(F:F,Table2[[#This Row],[Form '#]])</f>
        <v>1</v>
      </c>
      <c r="H1878" s="1" t="s">
        <v>2467</v>
      </c>
      <c r="I1878" s="1" t="s">
        <v>127</v>
      </c>
      <c r="J1878" s="1" t="s">
        <v>76</v>
      </c>
      <c r="K1878" s="1" t="s">
        <v>3883</v>
      </c>
      <c r="L1878" s="1"/>
      <c r="M1878" s="6" t="str">
        <f>IF(Table2[[#This Row],[Corrected Form '#
 (If Duplicated)]]="",Table2[[#This Row],[Form '#]],Table2[[#This Row],[Corrected Form '#
 (If Duplicated)]])</f>
        <v>7818-07811</v>
      </c>
      <c r="N1878" s="1" t="s">
        <v>49</v>
      </c>
      <c r="O1878" s="6" t="str">
        <f>IF(Table2[[#This Row],[POG CONFIRMATION RECEIPT OF ORDER
(DATE &amp; TIME)]]="","No Confirmation","Received Confirmation")</f>
        <v>Received Confirmation</v>
      </c>
      <c r="P1878" s="6">
        <f ca="1">TODAY()-Table2[[#This Row],[DATE SENT TO POG]]</f>
        <v>88</v>
      </c>
      <c r="Q1878" s="6" t="s">
        <v>5803</v>
      </c>
      <c r="R18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8" s="2" t="str">
        <f>_xlfn.XLOOKUP(Table2[[#This Row],[Adjusted Form '#]],'[2]IN PROGRESS'!$D:$D,'[2]IN PROGRESS'!$M:$M,"Not Found")</f>
        <v>Not Found</v>
      </c>
      <c r="U1878" s="2" t="str">
        <f>_xlfn.XLOOKUP(Table2[[#This Row],[Adjusted Form '#]],[1]COMPLETED!$D:$D,[2]COMPLETED!$M:$M,"Not Found")</f>
        <v>Not Found</v>
      </c>
      <c r="V1878" s="17" t="str">
        <f>_xlfn.XLOOKUP(Table2[[#This Row],[Adjusted Form '#]],[2]COMPLETED!$D:$D,[2]COMPLETED!$O:$O,"Not Found")</f>
        <v>Not Found</v>
      </c>
      <c r="W1878" s="2" t="str">
        <f>_xlfn.XLOOKUP(Table2[[#This Row],[Adjusted Form '#]],[2]BILLED!$D:$D,[2]BILLED!$M:$M,"Not Found")</f>
        <v>9400 1361 0605 3527 8779 50</v>
      </c>
      <c r="X1878" s="17" t="e">
        <f>_xlfn.XLOOKUP(Table2[[#This Row],[Adjusted Form '#]],[2]BILLED!$D:$D,[1]BILLED!$O:$O,"Not Found")</f>
        <v>#REF!</v>
      </c>
      <c r="Y1878" s="17" t="e">
        <f>_xlfn.XLOOKUP(Table2[[#This Row],[Adjusted Form '#]],'[2]REJECTED ORDERS'!$D:$D,'[2]REJECTED ORDERS'!$E:$E)</f>
        <v>#N/A</v>
      </c>
      <c r="Z1878" s="1"/>
      <c r="AA1878" s="1"/>
    </row>
    <row r="1879" spans="1:27" ht="15" customHeight="1" x14ac:dyDescent="0.35">
      <c r="A1879" s="4" t="s">
        <v>2788</v>
      </c>
      <c r="B1879" s="1" t="s">
        <v>3674</v>
      </c>
      <c r="C1879" s="11">
        <v>45216</v>
      </c>
      <c r="D1879" s="11" t="s">
        <v>7324</v>
      </c>
      <c r="E1879" s="1" t="s">
        <v>191</v>
      </c>
      <c r="F1879" s="1" t="s">
        <v>7317</v>
      </c>
      <c r="G1879" s="6">
        <f>COUNTIF(F:F,Table2[[#This Row],[Form '#]])</f>
        <v>1</v>
      </c>
      <c r="H1879" s="1" t="s">
        <v>7318</v>
      </c>
      <c r="I1879" s="1" t="s">
        <v>127</v>
      </c>
      <c r="J1879" s="1" t="s">
        <v>76</v>
      </c>
      <c r="K1879" s="1" t="s">
        <v>3891</v>
      </c>
      <c r="L1879" s="1"/>
      <c r="M1879" s="6" t="str">
        <f>IF(Table2[[#This Row],[Corrected Form '#
 (If Duplicated)]]="",Table2[[#This Row],[Form '#]],Table2[[#This Row],[Corrected Form '#
 (If Duplicated)]])</f>
        <v>7812-01030</v>
      </c>
      <c r="N1879" s="1" t="s">
        <v>49</v>
      </c>
      <c r="O1879" s="6" t="str">
        <f>IF(Table2[[#This Row],[POG CONFIRMATION RECEIPT OF ORDER
(DATE &amp; TIME)]]="","No Confirmation","Received Confirmation")</f>
        <v>Received Confirmation</v>
      </c>
      <c r="P1879" s="6">
        <f ca="1">TODAY()-Table2[[#This Row],[DATE SENT TO POG]]</f>
        <v>87</v>
      </c>
      <c r="Q1879" s="6" t="s">
        <v>5803</v>
      </c>
      <c r="R18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79" s="2" t="str">
        <f>_xlfn.XLOOKUP(Table2[[#This Row],[Adjusted Form '#]],'[2]IN PROGRESS'!$D:$D,'[2]IN PROGRESS'!$M:$M,"Not Found")</f>
        <v>Not Found</v>
      </c>
      <c r="U1879" s="2" t="str">
        <f>_xlfn.XLOOKUP(Table2[[#This Row],[Adjusted Form '#]],[1]COMPLETED!$D:$D,[2]COMPLETED!$M:$M,"Not Found")</f>
        <v>Not Found</v>
      </c>
      <c r="V1879" s="17" t="str">
        <f>_xlfn.XLOOKUP(Table2[[#This Row],[Adjusted Form '#]],[2]COMPLETED!$D:$D,[2]COMPLETED!$O:$O,"Not Found")</f>
        <v>Not Found</v>
      </c>
      <c r="W1879" s="2" t="str">
        <f>_xlfn.XLOOKUP(Table2[[#This Row],[Adjusted Form '#]],[2]BILLED!$D:$D,[2]BILLED!$M:$M,"Not Found")</f>
        <v>9400 1361 0605 3525 6515 52</v>
      </c>
      <c r="X1879" s="17" t="e">
        <f>_xlfn.XLOOKUP(Table2[[#This Row],[Adjusted Form '#]],[2]BILLED!$D:$D,[1]BILLED!$O:$O,"Not Found")</f>
        <v>#REF!</v>
      </c>
      <c r="Y1879" s="17" t="e">
        <f>_xlfn.XLOOKUP(Table2[[#This Row],[Adjusted Form '#]],'[2]REJECTED ORDERS'!$D:$D,'[2]REJECTED ORDERS'!$E:$E)</f>
        <v>#N/A</v>
      </c>
      <c r="Z1879" s="1"/>
      <c r="AA1879" s="1"/>
    </row>
    <row r="1880" spans="1:27" ht="15" customHeight="1" x14ac:dyDescent="0.35">
      <c r="A1880" s="4" t="s">
        <v>2790</v>
      </c>
      <c r="B1880" s="1" t="s">
        <v>1001</v>
      </c>
      <c r="C1880" s="11">
        <v>45216</v>
      </c>
      <c r="D1880" s="11" t="s">
        <v>7323</v>
      </c>
      <c r="E1880" s="1" t="s">
        <v>21</v>
      </c>
      <c r="F1880" s="1" t="s">
        <v>7319</v>
      </c>
      <c r="G1880" s="6">
        <f>COUNTIF(F:F,Table2[[#This Row],[Form '#]])</f>
        <v>1</v>
      </c>
      <c r="H1880" s="1" t="s">
        <v>3680</v>
      </c>
      <c r="I1880" s="1" t="s">
        <v>127</v>
      </c>
      <c r="J1880" s="1" t="s">
        <v>76</v>
      </c>
      <c r="K1880" s="1" t="s">
        <v>4011</v>
      </c>
      <c r="L1880" s="1"/>
      <c r="M1880" s="6" t="str">
        <f>IF(Table2[[#This Row],[Corrected Form '#
 (If Duplicated)]]="",Table2[[#This Row],[Form '#]],Table2[[#This Row],[Corrected Form '#
 (If Duplicated)]])</f>
        <v>7818-25440</v>
      </c>
      <c r="N1880" s="1" t="s">
        <v>49</v>
      </c>
      <c r="O1880" s="6" t="str">
        <f>IF(Table2[[#This Row],[POG CONFIRMATION RECEIPT OF ORDER
(DATE &amp; TIME)]]="","No Confirmation","Received Confirmation")</f>
        <v>Received Confirmation</v>
      </c>
      <c r="P1880" s="6">
        <f ca="1">TODAY()-Table2[[#This Row],[DATE SENT TO POG]]</f>
        <v>87</v>
      </c>
      <c r="Q1880" s="6" t="s">
        <v>5803</v>
      </c>
      <c r="R18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0" s="2" t="str">
        <f>_xlfn.XLOOKUP(Table2[[#This Row],[Adjusted Form '#]],'[2]IN PROGRESS'!$D:$D,'[2]IN PROGRESS'!$M:$M,"Not Found")</f>
        <v>Not Found</v>
      </c>
      <c r="U1880" s="2" t="str">
        <f>_xlfn.XLOOKUP(Table2[[#This Row],[Adjusted Form '#]],[1]COMPLETED!$D:$D,[2]COMPLETED!$M:$M,"Not Found")</f>
        <v>Not Found</v>
      </c>
      <c r="V1880" s="17" t="str">
        <f>_xlfn.XLOOKUP(Table2[[#This Row],[Adjusted Form '#]],[2]COMPLETED!$D:$D,[2]COMPLETED!$O:$O,"Not Found")</f>
        <v>Not Found</v>
      </c>
      <c r="W1880" s="2" t="str">
        <f>_xlfn.XLOOKUP(Table2[[#This Row],[Adjusted Form '#]],[2]BILLED!$D:$D,[2]BILLED!$M:$M,"Not Found")</f>
        <v>9400 1361 0605 3551 9257 88</v>
      </c>
      <c r="X1880" s="17" t="e">
        <f>_xlfn.XLOOKUP(Table2[[#This Row],[Adjusted Form '#]],[2]BILLED!$D:$D,[1]BILLED!$O:$O,"Not Found")</f>
        <v>#REF!</v>
      </c>
      <c r="Y1880" s="17" t="e">
        <f>_xlfn.XLOOKUP(Table2[[#This Row],[Adjusted Form '#]],'[2]REJECTED ORDERS'!$D:$D,'[2]REJECTED ORDERS'!$E:$E)</f>
        <v>#N/A</v>
      </c>
      <c r="Z1880" s="1"/>
      <c r="AA1880" s="1"/>
    </row>
    <row r="1881" spans="1:27" ht="15" customHeight="1" x14ac:dyDescent="0.35">
      <c r="A1881" s="4" t="s">
        <v>2791</v>
      </c>
      <c r="B1881" s="1" t="s">
        <v>1001</v>
      </c>
      <c r="C1881" s="11">
        <v>45216</v>
      </c>
      <c r="D1881" s="11" t="s">
        <v>7323</v>
      </c>
      <c r="E1881" s="1" t="s">
        <v>21</v>
      </c>
      <c r="F1881" s="1" t="s">
        <v>7320</v>
      </c>
      <c r="G1881" s="6">
        <f>COUNTIF(F:F,Table2[[#This Row],[Form '#]])</f>
        <v>1</v>
      </c>
      <c r="H1881" s="1" t="s">
        <v>2322</v>
      </c>
      <c r="I1881" s="1" t="s">
        <v>127</v>
      </c>
      <c r="J1881" s="1" t="s">
        <v>76</v>
      </c>
      <c r="K1881" s="1" t="s">
        <v>3891</v>
      </c>
      <c r="L1881" s="1"/>
      <c r="M1881" s="6" t="str">
        <f>IF(Table2[[#This Row],[Corrected Form '#
 (If Duplicated)]]="",Table2[[#This Row],[Form '#]],Table2[[#This Row],[Corrected Form '#
 (If Duplicated)]])</f>
        <v>7818-27605</v>
      </c>
      <c r="N1881" s="1" t="s">
        <v>49</v>
      </c>
      <c r="O1881" s="6" t="str">
        <f>IF(Table2[[#This Row],[POG CONFIRMATION RECEIPT OF ORDER
(DATE &amp; TIME)]]="","No Confirmation","Received Confirmation")</f>
        <v>Received Confirmation</v>
      </c>
      <c r="P1881" s="6">
        <f ca="1">TODAY()-Table2[[#This Row],[DATE SENT TO POG]]</f>
        <v>87</v>
      </c>
      <c r="Q1881" s="6" t="s">
        <v>5803</v>
      </c>
      <c r="R18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1" s="2" t="str">
        <f>_xlfn.XLOOKUP(Table2[[#This Row],[Adjusted Form '#]],'[2]IN PROGRESS'!$D:$D,'[2]IN PROGRESS'!$M:$M,"Not Found")</f>
        <v>Not Found</v>
      </c>
      <c r="U1881" s="2" t="str">
        <f>_xlfn.XLOOKUP(Table2[[#This Row],[Adjusted Form '#]],[1]COMPLETED!$D:$D,[2]COMPLETED!$M:$M,"Not Found")</f>
        <v>Not Found</v>
      </c>
      <c r="V1881" s="17" t="str">
        <f>_xlfn.XLOOKUP(Table2[[#This Row],[Adjusted Form '#]],[2]COMPLETED!$D:$D,[2]COMPLETED!$O:$O,"Not Found")</f>
        <v>Not Found</v>
      </c>
      <c r="W1881" s="2" t="str">
        <f>_xlfn.XLOOKUP(Table2[[#This Row],[Adjusted Form '#]],[2]BILLED!$D:$D,[2]BILLED!$M:$M,"Not Found")</f>
        <v>9400 1361 0605 3551 9509 71</v>
      </c>
      <c r="X1881" s="17" t="e">
        <f>_xlfn.XLOOKUP(Table2[[#This Row],[Adjusted Form '#]],[2]BILLED!$D:$D,[1]BILLED!$O:$O,"Not Found")</f>
        <v>#REF!</v>
      </c>
      <c r="Y1881" s="17" t="e">
        <f>_xlfn.XLOOKUP(Table2[[#This Row],[Adjusted Form '#]],'[2]REJECTED ORDERS'!$D:$D,'[2]REJECTED ORDERS'!$E:$E)</f>
        <v>#N/A</v>
      </c>
      <c r="Z1881" s="1"/>
      <c r="AA1881" s="1"/>
    </row>
    <row r="1882" spans="1:27" ht="15" customHeight="1" x14ac:dyDescent="0.35">
      <c r="A1882" s="4" t="s">
        <v>2792</v>
      </c>
      <c r="B1882" s="1" t="s">
        <v>1001</v>
      </c>
      <c r="C1882" s="11">
        <v>45216</v>
      </c>
      <c r="D1882" s="11" t="s">
        <v>7323</v>
      </c>
      <c r="E1882" s="1" t="s">
        <v>21</v>
      </c>
      <c r="F1882" s="1" t="s">
        <v>7321</v>
      </c>
      <c r="G1882" s="6">
        <f>COUNTIF(F:F,Table2[[#This Row],[Form '#]])</f>
        <v>1</v>
      </c>
      <c r="H1882" s="1" t="s">
        <v>7322</v>
      </c>
      <c r="I1882" s="1" t="s">
        <v>3852</v>
      </c>
      <c r="J1882" s="1" t="s">
        <v>80</v>
      </c>
      <c r="K1882" s="1" t="s">
        <v>3853</v>
      </c>
      <c r="L1882" s="1"/>
      <c r="M1882" s="6" t="str">
        <f>IF(Table2[[#This Row],[Corrected Form '#
 (If Duplicated)]]="",Table2[[#This Row],[Form '#]],Table2[[#This Row],[Corrected Form '#
 (If Duplicated)]])</f>
        <v>7818-25101</v>
      </c>
      <c r="N1882" s="1" t="s">
        <v>49</v>
      </c>
      <c r="O1882" s="6" t="str">
        <f>IF(Table2[[#This Row],[POG CONFIRMATION RECEIPT OF ORDER
(DATE &amp; TIME)]]="","No Confirmation","Received Confirmation")</f>
        <v>Received Confirmation</v>
      </c>
      <c r="P1882" s="6">
        <f ca="1">TODAY()-Table2[[#This Row],[DATE SENT TO POG]]</f>
        <v>87</v>
      </c>
      <c r="Q1882" s="6" t="s">
        <v>5803</v>
      </c>
      <c r="R18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2" s="2" t="str">
        <f>_xlfn.XLOOKUP(Table2[[#This Row],[Adjusted Form '#]],'[2]IN PROGRESS'!$D:$D,'[2]IN PROGRESS'!$M:$M,"Not Found")</f>
        <v>Not Found</v>
      </c>
      <c r="U1882" s="2" t="str">
        <f>_xlfn.XLOOKUP(Table2[[#This Row],[Adjusted Form '#]],[1]COMPLETED!$D:$D,[2]COMPLETED!$M:$M,"Not Found")</f>
        <v>Not Found</v>
      </c>
      <c r="V1882" s="17" t="str">
        <f>_xlfn.XLOOKUP(Table2[[#This Row],[Adjusted Form '#]],[2]COMPLETED!$D:$D,[2]COMPLETED!$O:$O,"Not Found")</f>
        <v>Not Found</v>
      </c>
      <c r="W1882" s="2" t="str">
        <f>_xlfn.XLOOKUP(Table2[[#This Row],[Adjusted Form '#]],[2]BILLED!$D:$D,[2]BILLED!$M:$M,"Not Found")</f>
        <v>9400 1361 0605 3551 9703 82</v>
      </c>
      <c r="X1882" s="17" t="e">
        <f>_xlfn.XLOOKUP(Table2[[#This Row],[Adjusted Form '#]],[2]BILLED!$D:$D,[1]BILLED!$O:$O,"Not Found")</f>
        <v>#REF!</v>
      </c>
      <c r="Y1882" s="17" t="e">
        <f>_xlfn.XLOOKUP(Table2[[#This Row],[Adjusted Form '#]],'[2]REJECTED ORDERS'!$D:$D,'[2]REJECTED ORDERS'!$E:$E)</f>
        <v>#N/A</v>
      </c>
      <c r="Z1882" s="1"/>
      <c r="AA1882" s="1"/>
    </row>
    <row r="1883" spans="1:27" ht="15" customHeight="1" x14ac:dyDescent="0.35">
      <c r="A1883" s="4" t="s">
        <v>2793</v>
      </c>
      <c r="B1883" s="1" t="s">
        <v>3670</v>
      </c>
      <c r="C1883" s="11">
        <v>45217</v>
      </c>
      <c r="D1883" s="11" t="s">
        <v>7329</v>
      </c>
      <c r="E1883" s="1" t="s">
        <v>191</v>
      </c>
      <c r="F1883" s="1" t="s">
        <v>7325</v>
      </c>
      <c r="G1883" s="6">
        <f>COUNTIF(F:F,Table2[[#This Row],[Form '#]])</f>
        <v>1</v>
      </c>
      <c r="H1883" s="1" t="s">
        <v>2433</v>
      </c>
      <c r="I1883" s="1" t="s">
        <v>177</v>
      </c>
      <c r="J1883" s="1" t="s">
        <v>75</v>
      </c>
      <c r="K1883" s="1" t="s">
        <v>3853</v>
      </c>
      <c r="L1883" s="1"/>
      <c r="M1883" s="6" t="str">
        <f>IF(Table2[[#This Row],[Corrected Form '#
 (If Duplicated)]]="",Table2[[#This Row],[Form '#]],Table2[[#This Row],[Corrected Form '#
 (If Duplicated)]])</f>
        <v>7812-04723</v>
      </c>
      <c r="N1883" s="1" t="s">
        <v>49</v>
      </c>
      <c r="O1883" s="6" t="str">
        <f>IF(Table2[[#This Row],[POG CONFIRMATION RECEIPT OF ORDER
(DATE &amp; TIME)]]="","No Confirmation","Received Confirmation")</f>
        <v>Received Confirmation</v>
      </c>
      <c r="P1883" s="6">
        <f ca="1">TODAY()-Table2[[#This Row],[DATE SENT TO POG]]</f>
        <v>86</v>
      </c>
      <c r="Q1883" s="6" t="s">
        <v>5803</v>
      </c>
      <c r="R18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3" s="2" t="str">
        <f>_xlfn.XLOOKUP(Table2[[#This Row],[Adjusted Form '#]],'[2]IN PROGRESS'!$D:$D,'[2]IN PROGRESS'!$M:$M,"Not Found")</f>
        <v>Not Found</v>
      </c>
      <c r="U1883" s="2" t="str">
        <f>_xlfn.XLOOKUP(Table2[[#This Row],[Adjusted Form '#]],[1]COMPLETED!$D:$D,[2]COMPLETED!$M:$M,"Not Found")</f>
        <v>Not Found</v>
      </c>
      <c r="V1883" s="17" t="str">
        <f>_xlfn.XLOOKUP(Table2[[#This Row],[Adjusted Form '#]],[2]COMPLETED!$D:$D,[2]COMPLETED!$O:$O,"Not Found")</f>
        <v>Not Found</v>
      </c>
      <c r="W1883" s="2" t="str">
        <f>_xlfn.XLOOKUP(Table2[[#This Row],[Adjusted Form '#]],[2]BILLED!$D:$D,[2]BILLED!$M:$M,"Not Found")</f>
        <v>9400 1112 0620 9365 3052 09</v>
      </c>
      <c r="X1883" s="17" t="e">
        <f>_xlfn.XLOOKUP(Table2[[#This Row],[Adjusted Form '#]],[2]BILLED!$D:$D,[1]BILLED!$O:$O,"Not Found")</f>
        <v>#REF!</v>
      </c>
      <c r="Y1883" s="17" t="e">
        <f>_xlfn.XLOOKUP(Table2[[#This Row],[Adjusted Form '#]],'[2]REJECTED ORDERS'!$D:$D,'[2]REJECTED ORDERS'!$E:$E)</f>
        <v>#N/A</v>
      </c>
      <c r="Z1883" s="1"/>
      <c r="AA1883" s="1"/>
    </row>
    <row r="1884" spans="1:27" ht="15" customHeight="1" x14ac:dyDescent="0.35">
      <c r="A1884" s="4" t="s">
        <v>2795</v>
      </c>
      <c r="B1884" s="1" t="s">
        <v>3670</v>
      </c>
      <c r="C1884" s="11">
        <v>45217</v>
      </c>
      <c r="D1884" s="11" t="s">
        <v>7329</v>
      </c>
      <c r="E1884" s="1" t="s">
        <v>191</v>
      </c>
      <c r="F1884" s="1" t="s">
        <v>7326</v>
      </c>
      <c r="G1884" s="6">
        <f>COUNTIF(F:F,Table2[[#This Row],[Form '#]])</f>
        <v>1</v>
      </c>
      <c r="H1884" s="1" t="s">
        <v>1640</v>
      </c>
      <c r="I1884" s="1" t="s">
        <v>177</v>
      </c>
      <c r="J1884" s="1" t="s">
        <v>75</v>
      </c>
      <c r="K1884" s="1" t="s">
        <v>3853</v>
      </c>
      <c r="L1884" s="1"/>
      <c r="M1884" s="6" t="str">
        <f>IF(Table2[[#This Row],[Corrected Form '#
 (If Duplicated)]]="",Table2[[#This Row],[Form '#]],Table2[[#This Row],[Corrected Form '#
 (If Duplicated)]])</f>
        <v>7812-04525</v>
      </c>
      <c r="N1884" s="1" t="s">
        <v>49</v>
      </c>
      <c r="O1884" s="6" t="str">
        <f>IF(Table2[[#This Row],[POG CONFIRMATION RECEIPT OF ORDER
(DATE &amp; TIME)]]="","No Confirmation","Received Confirmation")</f>
        <v>Received Confirmation</v>
      </c>
      <c r="P1884" s="6">
        <f ca="1">TODAY()-Table2[[#This Row],[DATE SENT TO POG]]</f>
        <v>86</v>
      </c>
      <c r="Q1884" s="6" t="s">
        <v>5803</v>
      </c>
      <c r="R18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4" s="2" t="str">
        <f>_xlfn.XLOOKUP(Table2[[#This Row],[Adjusted Form '#]],'[2]IN PROGRESS'!$D:$D,'[2]IN PROGRESS'!$M:$M,"Not Found")</f>
        <v>Not Found</v>
      </c>
      <c r="U1884" s="2" t="str">
        <f>_xlfn.XLOOKUP(Table2[[#This Row],[Adjusted Form '#]],[1]COMPLETED!$D:$D,[2]COMPLETED!$M:$M,"Not Found")</f>
        <v>Not Found</v>
      </c>
      <c r="V1884" s="17" t="str">
        <f>_xlfn.XLOOKUP(Table2[[#This Row],[Adjusted Form '#]],[2]COMPLETED!$D:$D,[2]COMPLETED!$O:$O,"Not Found")</f>
        <v>Not Found</v>
      </c>
      <c r="W1884" s="2" t="str">
        <f>_xlfn.XLOOKUP(Table2[[#This Row],[Adjusted Form '#]],[2]BILLED!$D:$D,[2]BILLED!$M:$M,"Not Found")</f>
        <v>9400 1112 0620 9384 7239 61</v>
      </c>
      <c r="X1884" s="17" t="e">
        <f>_xlfn.XLOOKUP(Table2[[#This Row],[Adjusted Form '#]],[2]BILLED!$D:$D,[1]BILLED!$O:$O,"Not Found")</f>
        <v>#REF!</v>
      </c>
      <c r="Y1884" s="17" t="e">
        <f>_xlfn.XLOOKUP(Table2[[#This Row],[Adjusted Form '#]],'[2]REJECTED ORDERS'!$D:$D,'[2]REJECTED ORDERS'!$E:$E)</f>
        <v>#N/A</v>
      </c>
      <c r="Z1884" s="1"/>
      <c r="AA1884" s="1"/>
    </row>
    <row r="1885" spans="1:27" ht="15" customHeight="1" x14ac:dyDescent="0.35">
      <c r="A1885" s="4" t="s">
        <v>2796</v>
      </c>
      <c r="B1885" s="1" t="s">
        <v>3670</v>
      </c>
      <c r="C1885" s="11">
        <v>45217</v>
      </c>
      <c r="D1885" s="11" t="s">
        <v>7329</v>
      </c>
      <c r="E1885" s="1" t="s">
        <v>191</v>
      </c>
      <c r="F1885" s="1" t="s">
        <v>7327</v>
      </c>
      <c r="G1885" s="6">
        <f>COUNTIF(F:F,Table2[[#This Row],[Form '#]])</f>
        <v>1</v>
      </c>
      <c r="H1885" s="1" t="s">
        <v>7328</v>
      </c>
      <c r="I1885" s="1" t="s">
        <v>28</v>
      </c>
      <c r="J1885" s="1" t="s">
        <v>69</v>
      </c>
      <c r="K1885" s="1" t="s">
        <v>3898</v>
      </c>
      <c r="L1885" s="1"/>
      <c r="M1885" s="6" t="str">
        <f>IF(Table2[[#This Row],[Corrected Form '#
 (If Duplicated)]]="",Table2[[#This Row],[Form '#]],Table2[[#This Row],[Corrected Form '#
 (If Duplicated)]])</f>
        <v>7812-04721</v>
      </c>
      <c r="N1885" s="1" t="s">
        <v>49</v>
      </c>
      <c r="O1885" s="6" t="str">
        <f>IF(Table2[[#This Row],[POG CONFIRMATION RECEIPT OF ORDER
(DATE &amp; TIME)]]="","No Confirmation","Received Confirmation")</f>
        <v>Received Confirmation</v>
      </c>
      <c r="P1885" s="6">
        <f ca="1">TODAY()-Table2[[#This Row],[DATE SENT TO POG]]</f>
        <v>86</v>
      </c>
      <c r="Q1885" s="6" t="s">
        <v>5803</v>
      </c>
      <c r="R18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5" s="2" t="str">
        <f>_xlfn.XLOOKUP(Table2[[#This Row],[Adjusted Form '#]],'[2]IN PROGRESS'!$D:$D,'[2]IN PROGRESS'!$M:$M,"Not Found")</f>
        <v>Not Found</v>
      </c>
      <c r="U1885" s="2" t="str">
        <f>_xlfn.XLOOKUP(Table2[[#This Row],[Adjusted Form '#]],[1]COMPLETED!$D:$D,[2]COMPLETED!$M:$M,"Not Found")</f>
        <v>Not Found</v>
      </c>
      <c r="V1885" s="17" t="str">
        <f>_xlfn.XLOOKUP(Table2[[#This Row],[Adjusted Form '#]],[2]COMPLETED!$D:$D,[2]COMPLETED!$O:$O,"Not Found")</f>
        <v>Not Found</v>
      </c>
      <c r="W1885" s="2" t="str">
        <f>_xlfn.XLOOKUP(Table2[[#This Row],[Adjusted Form '#]],[2]BILLED!$D:$D,[2]BILLED!$M:$M,"Not Found")</f>
        <v>9400 1361 0605 3525 0951 72</v>
      </c>
      <c r="X1885" s="17" t="e">
        <f>_xlfn.XLOOKUP(Table2[[#This Row],[Adjusted Form '#]],[2]BILLED!$D:$D,[1]BILLED!$O:$O,"Not Found")</f>
        <v>#REF!</v>
      </c>
      <c r="Y1885" s="17" t="str">
        <f>_xlfn.XLOOKUP(Table2[[#This Row],[Adjusted Form '#]],'[2]REJECTED ORDERS'!$D:$D,'[2]REJECTED ORDERS'!$E:$E)</f>
        <v>FORM NUMBER ALREADY USED</v>
      </c>
      <c r="Z1885" s="1"/>
      <c r="AA1885" s="1"/>
    </row>
    <row r="1886" spans="1:27" ht="15" customHeight="1" x14ac:dyDescent="0.35">
      <c r="A1886" s="4" t="s">
        <v>2797</v>
      </c>
      <c r="B1886" s="1" t="s">
        <v>7330</v>
      </c>
      <c r="C1886" s="11">
        <v>45217</v>
      </c>
      <c r="D1886" s="11" t="s">
        <v>7341</v>
      </c>
      <c r="E1886" s="1" t="s">
        <v>21</v>
      </c>
      <c r="F1886" s="1" t="s">
        <v>7331</v>
      </c>
      <c r="G1886" s="6">
        <f>COUNTIF(F:F,Table2[[#This Row],[Form '#]])</f>
        <v>1</v>
      </c>
      <c r="H1886" s="1" t="s">
        <v>3437</v>
      </c>
      <c r="I1886" s="1" t="s">
        <v>127</v>
      </c>
      <c r="J1886" s="1" t="s">
        <v>76</v>
      </c>
      <c r="K1886" s="1" t="s">
        <v>4011</v>
      </c>
      <c r="L1886" s="1"/>
      <c r="M1886" s="6" t="str">
        <f>IF(Table2[[#This Row],[Corrected Form '#
 (If Duplicated)]]="",Table2[[#This Row],[Form '#]],Table2[[#This Row],[Corrected Form '#
 (If Duplicated)]])</f>
        <v>7818-26657</v>
      </c>
      <c r="N1886" s="1" t="s">
        <v>49</v>
      </c>
      <c r="O1886" s="6" t="str">
        <f>IF(Table2[[#This Row],[POG CONFIRMATION RECEIPT OF ORDER
(DATE &amp; TIME)]]="","No Confirmation","Received Confirmation")</f>
        <v>Received Confirmation</v>
      </c>
      <c r="P1886" s="6">
        <f ca="1">TODAY()-Table2[[#This Row],[DATE SENT TO POG]]</f>
        <v>86</v>
      </c>
      <c r="Q1886" s="6" t="s">
        <v>5803</v>
      </c>
      <c r="R18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6" s="2" t="str">
        <f>_xlfn.XLOOKUP(Table2[[#This Row],[Adjusted Form '#]],'[2]IN PROGRESS'!$D:$D,'[2]IN PROGRESS'!$M:$M,"Not Found")</f>
        <v>Not Found</v>
      </c>
      <c r="U1886" s="2" t="str">
        <f>_xlfn.XLOOKUP(Table2[[#This Row],[Adjusted Form '#]],[1]COMPLETED!$D:$D,[2]COMPLETED!$M:$M,"Not Found")</f>
        <v>Not Found</v>
      </c>
      <c r="V1886" s="17" t="str">
        <f>_xlfn.XLOOKUP(Table2[[#This Row],[Adjusted Form '#]],[2]COMPLETED!$D:$D,[2]COMPLETED!$O:$O,"Not Found")</f>
        <v>Not Found</v>
      </c>
      <c r="W1886" s="2" t="str">
        <f>_xlfn.XLOOKUP(Table2[[#This Row],[Adjusted Form '#]],[2]BILLED!$D:$D,[2]BILLED!$M:$M,"Not Found")</f>
        <v>9400 1361 0605 3570 0220 17</v>
      </c>
      <c r="X1886" s="17" t="e">
        <f>_xlfn.XLOOKUP(Table2[[#This Row],[Adjusted Form '#]],[2]BILLED!$D:$D,[1]BILLED!$O:$O,"Not Found")</f>
        <v>#REF!</v>
      </c>
      <c r="Y1886" s="17" t="e">
        <f>_xlfn.XLOOKUP(Table2[[#This Row],[Adjusted Form '#]],'[2]REJECTED ORDERS'!$D:$D,'[2]REJECTED ORDERS'!$E:$E)</f>
        <v>#N/A</v>
      </c>
      <c r="Z1886" s="1"/>
      <c r="AA1886" s="1"/>
    </row>
    <row r="1887" spans="1:27" ht="15" customHeight="1" x14ac:dyDescent="0.35">
      <c r="A1887" s="4" t="s">
        <v>2799</v>
      </c>
      <c r="B1887" s="1" t="s">
        <v>1086</v>
      </c>
      <c r="C1887" s="11">
        <v>45217</v>
      </c>
      <c r="D1887" s="11" t="s">
        <v>7341</v>
      </c>
      <c r="E1887" s="1" t="s">
        <v>191</v>
      </c>
      <c r="F1887" s="1" t="s">
        <v>7332</v>
      </c>
      <c r="G1887" s="6">
        <f>COUNTIF(F:F,Table2[[#This Row],[Form '#]])</f>
        <v>1</v>
      </c>
      <c r="H1887" s="1" t="s">
        <v>3573</v>
      </c>
      <c r="I1887" s="1" t="s">
        <v>758</v>
      </c>
      <c r="J1887" s="1" t="s">
        <v>78</v>
      </c>
      <c r="K1887" s="1" t="s">
        <v>3853</v>
      </c>
      <c r="L1887" s="1"/>
      <c r="M1887" s="6" t="str">
        <f>IF(Table2[[#This Row],[Corrected Form '#
 (If Duplicated)]]="",Table2[[#This Row],[Form '#]],Table2[[#This Row],[Corrected Form '#
 (If Duplicated)]])</f>
        <v>7812-04609</v>
      </c>
      <c r="N1887" s="1" t="s">
        <v>49</v>
      </c>
      <c r="O1887" s="6" t="str">
        <f>IF(Table2[[#This Row],[POG CONFIRMATION RECEIPT OF ORDER
(DATE &amp; TIME)]]="","No Confirmation","Received Confirmation")</f>
        <v>Received Confirmation</v>
      </c>
      <c r="P1887" s="6">
        <f ca="1">TODAY()-Table2[[#This Row],[DATE SENT TO POG]]</f>
        <v>86</v>
      </c>
      <c r="Q1887" s="6" t="s">
        <v>5803</v>
      </c>
      <c r="R18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7" s="2" t="str">
        <f>_xlfn.XLOOKUP(Table2[[#This Row],[Adjusted Form '#]],'[2]IN PROGRESS'!$D:$D,'[2]IN PROGRESS'!$M:$M,"Not Found")</f>
        <v>Not Found</v>
      </c>
      <c r="U1887" s="2" t="str">
        <f>_xlfn.XLOOKUP(Table2[[#This Row],[Adjusted Form '#]],[1]COMPLETED!$D:$D,[2]COMPLETED!$M:$M,"Not Found")</f>
        <v>Not Found</v>
      </c>
      <c r="V1887" s="17" t="str">
        <f>_xlfn.XLOOKUP(Table2[[#This Row],[Adjusted Form '#]],[2]COMPLETED!$D:$D,[2]COMPLETED!$O:$O,"Not Found")</f>
        <v>Not Found</v>
      </c>
      <c r="W1887" s="2" t="str">
        <f>_xlfn.XLOOKUP(Table2[[#This Row],[Adjusted Form '#]],[2]BILLED!$D:$D,[2]BILLED!$M:$M,"Not Found")</f>
        <v>9400 1361 0605 3578 2863 81</v>
      </c>
      <c r="X1887" s="17" t="e">
        <f>_xlfn.XLOOKUP(Table2[[#This Row],[Adjusted Form '#]],[2]BILLED!$D:$D,[1]BILLED!$O:$O,"Not Found")</f>
        <v>#REF!</v>
      </c>
      <c r="Y1887" s="17" t="e">
        <f>_xlfn.XLOOKUP(Table2[[#This Row],[Adjusted Form '#]],'[2]REJECTED ORDERS'!$D:$D,'[2]REJECTED ORDERS'!$E:$E)</f>
        <v>#N/A</v>
      </c>
      <c r="Z1887" s="1"/>
      <c r="AA1887" s="1"/>
    </row>
    <row r="1888" spans="1:27" ht="15" customHeight="1" x14ac:dyDescent="0.35">
      <c r="A1888" s="4" t="s">
        <v>2800</v>
      </c>
      <c r="B1888" s="1" t="s">
        <v>1086</v>
      </c>
      <c r="C1888" s="11">
        <v>45217</v>
      </c>
      <c r="D1888" s="11" t="s">
        <v>7341</v>
      </c>
      <c r="E1888" s="1" t="s">
        <v>191</v>
      </c>
      <c r="F1888" s="1" t="s">
        <v>7333</v>
      </c>
      <c r="G1888" s="6">
        <f>COUNTIF(F:F,Table2[[#This Row],[Form '#]])</f>
        <v>1</v>
      </c>
      <c r="H1888" s="1" t="s">
        <v>7334</v>
      </c>
      <c r="I1888" s="1" t="s">
        <v>3864</v>
      </c>
      <c r="J1888" s="1" t="s">
        <v>78</v>
      </c>
      <c r="K1888" s="1" t="s">
        <v>3879</v>
      </c>
      <c r="L1888" s="1"/>
      <c r="M1888" s="6" t="str">
        <f>IF(Table2[[#This Row],[Corrected Form '#
 (If Duplicated)]]="",Table2[[#This Row],[Form '#]],Table2[[#This Row],[Corrected Form '#
 (If Duplicated)]])</f>
        <v>7812-04610</v>
      </c>
      <c r="N1888" s="1" t="s">
        <v>49</v>
      </c>
      <c r="O1888" s="6" t="str">
        <f>IF(Table2[[#This Row],[POG CONFIRMATION RECEIPT OF ORDER
(DATE &amp; TIME)]]="","No Confirmation","Received Confirmation")</f>
        <v>Received Confirmation</v>
      </c>
      <c r="P1888" s="6">
        <f ca="1">TODAY()-Table2[[#This Row],[DATE SENT TO POG]]</f>
        <v>86</v>
      </c>
      <c r="Q1888" s="6" t="s">
        <v>5803</v>
      </c>
      <c r="R18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8" s="2" t="str">
        <f>_xlfn.XLOOKUP(Table2[[#This Row],[Adjusted Form '#]],'[2]IN PROGRESS'!$D:$D,'[2]IN PROGRESS'!$M:$M,"Not Found")</f>
        <v>Not Found</v>
      </c>
      <c r="U1888" s="2" t="str">
        <f>_xlfn.XLOOKUP(Table2[[#This Row],[Adjusted Form '#]],[1]COMPLETED!$D:$D,[2]COMPLETED!$M:$M,"Not Found")</f>
        <v>Not Found</v>
      </c>
      <c r="V1888" s="17" t="str">
        <f>_xlfn.XLOOKUP(Table2[[#This Row],[Adjusted Form '#]],[2]COMPLETED!$D:$D,[2]COMPLETED!$O:$O,"Not Found")</f>
        <v>Not Found</v>
      </c>
      <c r="W1888" s="2" t="str">
        <f>_xlfn.XLOOKUP(Table2[[#This Row],[Adjusted Form '#]],[2]BILLED!$D:$D,[2]BILLED!$M:$M,"Not Found")</f>
        <v>9400 1361 0605 3570 8815 77</v>
      </c>
      <c r="X1888" s="17" t="e">
        <f>_xlfn.XLOOKUP(Table2[[#This Row],[Adjusted Form '#]],[2]BILLED!$D:$D,[1]BILLED!$O:$O,"Not Found")</f>
        <v>#REF!</v>
      </c>
      <c r="Y1888" s="17" t="e">
        <f>_xlfn.XLOOKUP(Table2[[#This Row],[Adjusted Form '#]],'[2]REJECTED ORDERS'!$D:$D,'[2]REJECTED ORDERS'!$E:$E)</f>
        <v>#N/A</v>
      </c>
      <c r="Z1888" s="1"/>
      <c r="AA1888" s="1"/>
    </row>
    <row r="1889" spans="1:27" ht="15" customHeight="1" x14ac:dyDescent="0.35">
      <c r="A1889" s="4" t="s">
        <v>2801</v>
      </c>
      <c r="B1889" s="1" t="s">
        <v>1086</v>
      </c>
      <c r="C1889" s="11">
        <v>45217</v>
      </c>
      <c r="D1889" s="11" t="s">
        <v>7341</v>
      </c>
      <c r="E1889" s="1" t="s">
        <v>191</v>
      </c>
      <c r="F1889" s="1" t="s">
        <v>7335</v>
      </c>
      <c r="G1889" s="6">
        <f>COUNTIF(F:F,Table2[[#This Row],[Form '#]])</f>
        <v>1</v>
      </c>
      <c r="H1889" s="1" t="s">
        <v>7336</v>
      </c>
      <c r="I1889" s="1" t="s">
        <v>177</v>
      </c>
      <c r="J1889" s="1" t="s">
        <v>75</v>
      </c>
      <c r="K1889" s="1" t="s">
        <v>3853</v>
      </c>
      <c r="L1889" s="1"/>
      <c r="M1889" s="6" t="str">
        <f>IF(Table2[[#This Row],[Corrected Form '#
 (If Duplicated)]]="",Table2[[#This Row],[Form '#]],Table2[[#This Row],[Corrected Form '#
 (If Duplicated)]])</f>
        <v>7812-03123</v>
      </c>
      <c r="N1889" s="1" t="s">
        <v>49</v>
      </c>
      <c r="O1889" s="6" t="str">
        <f>IF(Table2[[#This Row],[POG CONFIRMATION RECEIPT OF ORDER
(DATE &amp; TIME)]]="","No Confirmation","Received Confirmation")</f>
        <v>Received Confirmation</v>
      </c>
      <c r="P1889" s="6">
        <f ca="1">TODAY()-Table2[[#This Row],[DATE SENT TO POG]]</f>
        <v>86</v>
      </c>
      <c r="Q1889" s="6" t="s">
        <v>5803</v>
      </c>
      <c r="R18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89" s="2" t="str">
        <f>_xlfn.XLOOKUP(Table2[[#This Row],[Adjusted Form '#]],'[2]IN PROGRESS'!$D:$D,'[2]IN PROGRESS'!$M:$M,"Not Found")</f>
        <v>Not Found</v>
      </c>
      <c r="U1889" s="2" t="str">
        <f>_xlfn.XLOOKUP(Table2[[#This Row],[Adjusted Form '#]],[1]COMPLETED!$D:$D,[2]COMPLETED!$M:$M,"Not Found")</f>
        <v>Not Found</v>
      </c>
      <c r="V1889" s="17" t="str">
        <f>_xlfn.XLOOKUP(Table2[[#This Row],[Adjusted Form '#]],[2]COMPLETED!$D:$D,[2]COMPLETED!$O:$O,"Not Found")</f>
        <v>Not Found</v>
      </c>
      <c r="W1889" s="2" t="str">
        <f>_xlfn.XLOOKUP(Table2[[#This Row],[Adjusted Form '#]],[2]BILLED!$D:$D,[2]BILLED!$M:$M,"Not Found")</f>
        <v>9400 1361 0605 3581 8739 67</v>
      </c>
      <c r="X1889" s="17" t="e">
        <f>_xlfn.XLOOKUP(Table2[[#This Row],[Adjusted Form '#]],[2]BILLED!$D:$D,[1]BILLED!$O:$O,"Not Found")</f>
        <v>#REF!</v>
      </c>
      <c r="Y1889" s="17" t="e">
        <f>_xlfn.XLOOKUP(Table2[[#This Row],[Adjusted Form '#]],'[2]REJECTED ORDERS'!$D:$D,'[2]REJECTED ORDERS'!$E:$E)</f>
        <v>#N/A</v>
      </c>
      <c r="Z1889" s="1"/>
      <c r="AA1889" s="1"/>
    </row>
    <row r="1890" spans="1:27" ht="15" customHeight="1" x14ac:dyDescent="0.35">
      <c r="A1890" s="4" t="s">
        <v>2803</v>
      </c>
      <c r="B1890" s="1" t="s">
        <v>1086</v>
      </c>
      <c r="C1890" s="11">
        <v>45217</v>
      </c>
      <c r="D1890" s="11" t="s">
        <v>7341</v>
      </c>
      <c r="E1890" s="1" t="s">
        <v>191</v>
      </c>
      <c r="F1890" s="1" t="s">
        <v>7337</v>
      </c>
      <c r="G1890" s="6">
        <f>COUNTIF(F:F,Table2[[#This Row],[Form '#]])</f>
        <v>1</v>
      </c>
      <c r="H1890" s="1" t="s">
        <v>7338</v>
      </c>
      <c r="I1890" s="1" t="s">
        <v>758</v>
      </c>
      <c r="J1890" s="1" t="s">
        <v>78</v>
      </c>
      <c r="K1890" s="1" t="s">
        <v>3853</v>
      </c>
      <c r="L1890" s="1"/>
      <c r="M1890" s="6" t="str">
        <f>IF(Table2[[#This Row],[Corrected Form '#
 (If Duplicated)]]="",Table2[[#This Row],[Form '#]],Table2[[#This Row],[Corrected Form '#
 (If Duplicated)]])</f>
        <v>7812-03134</v>
      </c>
      <c r="N1890" s="1" t="s">
        <v>49</v>
      </c>
      <c r="O1890" s="6" t="str">
        <f>IF(Table2[[#This Row],[POG CONFIRMATION RECEIPT OF ORDER
(DATE &amp; TIME)]]="","No Confirmation","Received Confirmation")</f>
        <v>Received Confirmation</v>
      </c>
      <c r="P1890" s="6">
        <f ca="1">TODAY()-Table2[[#This Row],[DATE SENT TO POG]]</f>
        <v>86</v>
      </c>
      <c r="Q1890" s="6" t="s">
        <v>5803</v>
      </c>
      <c r="R18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0" s="2" t="str">
        <f>_xlfn.XLOOKUP(Table2[[#This Row],[Adjusted Form '#]],'[2]IN PROGRESS'!$D:$D,'[2]IN PROGRESS'!$M:$M,"Not Found")</f>
        <v>Not Found</v>
      </c>
      <c r="U1890" s="2" t="str">
        <f>_xlfn.XLOOKUP(Table2[[#This Row],[Adjusted Form '#]],[1]COMPLETED!$D:$D,[2]COMPLETED!$M:$M,"Not Found")</f>
        <v>Not Found</v>
      </c>
      <c r="V1890" s="17" t="str">
        <f>_xlfn.XLOOKUP(Table2[[#This Row],[Adjusted Form '#]],[2]COMPLETED!$D:$D,[2]COMPLETED!$O:$O,"Not Found")</f>
        <v>Not Found</v>
      </c>
      <c r="W1890" s="2" t="str">
        <f>_xlfn.XLOOKUP(Table2[[#This Row],[Adjusted Form '#]],[2]BILLED!$D:$D,[2]BILLED!$M:$M,"Not Found")</f>
        <v>9400 1361 0605 3598 7364 46</v>
      </c>
      <c r="X1890" s="17" t="e">
        <f>_xlfn.XLOOKUP(Table2[[#This Row],[Adjusted Form '#]],[2]BILLED!$D:$D,[1]BILLED!$O:$O,"Not Found")</f>
        <v>#REF!</v>
      </c>
      <c r="Y1890" s="17" t="e">
        <f>_xlfn.XLOOKUP(Table2[[#This Row],[Adjusted Form '#]],'[2]REJECTED ORDERS'!$D:$D,'[2]REJECTED ORDERS'!$E:$E)</f>
        <v>#N/A</v>
      </c>
      <c r="Z1890" s="1"/>
      <c r="AA1890" s="1"/>
    </row>
    <row r="1891" spans="1:27" ht="15" customHeight="1" x14ac:dyDescent="0.35">
      <c r="A1891" s="4" t="s">
        <v>2805</v>
      </c>
      <c r="B1891" s="1" t="s">
        <v>1086</v>
      </c>
      <c r="C1891" s="11">
        <v>45217</v>
      </c>
      <c r="D1891" s="11" t="s">
        <v>7341</v>
      </c>
      <c r="E1891" s="1" t="s">
        <v>191</v>
      </c>
      <c r="F1891" s="1" t="s">
        <v>7339</v>
      </c>
      <c r="G1891" s="6">
        <f>COUNTIF(F:F,Table2[[#This Row],[Form '#]])</f>
        <v>1</v>
      </c>
      <c r="H1891" s="1" t="s">
        <v>7340</v>
      </c>
      <c r="I1891" s="1" t="s">
        <v>3864</v>
      </c>
      <c r="J1891" s="1" t="s">
        <v>78</v>
      </c>
      <c r="K1891" s="1" t="s">
        <v>3879</v>
      </c>
      <c r="L1891" s="1"/>
      <c r="M1891" s="6" t="str">
        <f>IF(Table2[[#This Row],[Corrected Form '#
 (If Duplicated)]]="",Table2[[#This Row],[Form '#]],Table2[[#This Row],[Corrected Form '#
 (If Duplicated)]])</f>
        <v>7812-04607</v>
      </c>
      <c r="N1891" s="1" t="s">
        <v>49</v>
      </c>
      <c r="O1891" s="6" t="str">
        <f>IF(Table2[[#This Row],[POG CONFIRMATION RECEIPT OF ORDER
(DATE &amp; TIME)]]="","No Confirmation","Received Confirmation")</f>
        <v>Received Confirmation</v>
      </c>
      <c r="P1891" s="6">
        <f ca="1">TODAY()-Table2[[#This Row],[DATE SENT TO POG]]</f>
        <v>86</v>
      </c>
      <c r="Q1891" s="6" t="s">
        <v>5803</v>
      </c>
      <c r="R18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1" s="2" t="str">
        <f>_xlfn.XLOOKUP(Table2[[#This Row],[Adjusted Form '#]],'[2]IN PROGRESS'!$D:$D,'[2]IN PROGRESS'!$M:$M,"Not Found")</f>
        <v>Not Found</v>
      </c>
      <c r="U1891" s="2" t="str">
        <f>_xlfn.XLOOKUP(Table2[[#This Row],[Adjusted Form '#]],[1]COMPLETED!$D:$D,[2]COMPLETED!$M:$M,"Not Found")</f>
        <v>Not Found</v>
      </c>
      <c r="V1891" s="17" t="str">
        <f>_xlfn.XLOOKUP(Table2[[#This Row],[Adjusted Form '#]],[2]COMPLETED!$D:$D,[2]COMPLETED!$O:$O,"Not Found")</f>
        <v>Not Found</v>
      </c>
      <c r="W1891" s="2" t="str">
        <f>_xlfn.XLOOKUP(Table2[[#This Row],[Adjusted Form '#]],[2]BILLED!$D:$D,[2]BILLED!$M:$M,"Not Found")</f>
        <v>9400 1361 0605 3578 5068 30</v>
      </c>
      <c r="X1891" s="17" t="e">
        <f>_xlfn.XLOOKUP(Table2[[#This Row],[Adjusted Form '#]],[2]BILLED!$D:$D,[1]BILLED!$O:$O,"Not Found")</f>
        <v>#REF!</v>
      </c>
      <c r="Y1891" s="17" t="e">
        <f>_xlfn.XLOOKUP(Table2[[#This Row],[Adjusted Form '#]],'[2]REJECTED ORDERS'!$D:$D,'[2]REJECTED ORDERS'!$E:$E)</f>
        <v>#N/A</v>
      </c>
      <c r="Z1891" s="1"/>
      <c r="AA1891" s="1"/>
    </row>
    <row r="1892" spans="1:27" ht="15" customHeight="1" x14ac:dyDescent="0.35">
      <c r="A1892" s="4" t="s">
        <v>2807</v>
      </c>
      <c r="B1892" s="1" t="s">
        <v>3780</v>
      </c>
      <c r="C1892" s="11">
        <v>45218</v>
      </c>
      <c r="D1892" s="11" t="s">
        <v>7345</v>
      </c>
      <c r="E1892" s="1" t="s">
        <v>191</v>
      </c>
      <c r="F1892" s="1" t="s">
        <v>7342</v>
      </c>
      <c r="G1892" s="6">
        <f>COUNTIF(F:F,Table2[[#This Row],[Form '#]])</f>
        <v>1</v>
      </c>
      <c r="H1892" s="1" t="s">
        <v>3583</v>
      </c>
      <c r="I1892" s="1" t="s">
        <v>758</v>
      </c>
      <c r="J1892" s="1" t="s">
        <v>78</v>
      </c>
      <c r="K1892" s="1" t="s">
        <v>3853</v>
      </c>
      <c r="L1892" s="1"/>
      <c r="M1892" s="6" t="str">
        <f>IF(Table2[[#This Row],[Corrected Form '#
 (If Duplicated)]]="",Table2[[#This Row],[Form '#]],Table2[[#This Row],[Corrected Form '#
 (If Duplicated)]])</f>
        <v>7812-04541</v>
      </c>
      <c r="N1892" s="1" t="s">
        <v>49</v>
      </c>
      <c r="O1892" s="6" t="str">
        <f>IF(Table2[[#This Row],[POG CONFIRMATION RECEIPT OF ORDER
(DATE &amp; TIME)]]="","No Confirmation","Received Confirmation")</f>
        <v>Received Confirmation</v>
      </c>
      <c r="P1892" s="6">
        <f ca="1">TODAY()-Table2[[#This Row],[DATE SENT TO POG]]</f>
        <v>85</v>
      </c>
      <c r="Q1892" s="6" t="s">
        <v>5803</v>
      </c>
      <c r="R18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2" s="2" t="str">
        <f>_xlfn.XLOOKUP(Table2[[#This Row],[Adjusted Form '#]],'[2]IN PROGRESS'!$D:$D,'[2]IN PROGRESS'!$M:$M,"Not Found")</f>
        <v>Not Found</v>
      </c>
      <c r="U1892" s="2" t="str">
        <f>_xlfn.XLOOKUP(Table2[[#This Row],[Adjusted Form '#]],[1]COMPLETED!$D:$D,[2]COMPLETED!$M:$M,"Not Found")</f>
        <v>Not Found</v>
      </c>
      <c r="V1892" s="17" t="str">
        <f>_xlfn.XLOOKUP(Table2[[#This Row],[Adjusted Form '#]],[2]COMPLETED!$D:$D,[2]COMPLETED!$O:$O,"Not Found")</f>
        <v>Not Found</v>
      </c>
      <c r="W1892" s="2" t="str">
        <f>_xlfn.XLOOKUP(Table2[[#This Row],[Adjusted Form '#]],[2]BILLED!$D:$D,[2]BILLED!$M:$M,"Not Found")</f>
        <v>9400 1361 0605 3578 2738 17</v>
      </c>
      <c r="X1892" s="17" t="e">
        <f>_xlfn.XLOOKUP(Table2[[#This Row],[Adjusted Form '#]],[2]BILLED!$D:$D,[1]BILLED!$O:$O,"Not Found")</f>
        <v>#REF!</v>
      </c>
      <c r="Y1892" s="17" t="e">
        <f>_xlfn.XLOOKUP(Table2[[#This Row],[Adjusted Form '#]],'[2]REJECTED ORDERS'!$D:$D,'[2]REJECTED ORDERS'!$E:$E)</f>
        <v>#N/A</v>
      </c>
      <c r="Z1892" s="1"/>
      <c r="AA1892" s="1"/>
    </row>
    <row r="1893" spans="1:27" ht="15" customHeight="1" x14ac:dyDescent="0.35">
      <c r="A1893" s="4" t="s">
        <v>2809</v>
      </c>
      <c r="B1893" s="1" t="s">
        <v>3780</v>
      </c>
      <c r="C1893" s="11">
        <v>45218</v>
      </c>
      <c r="D1893" s="11" t="s">
        <v>7345</v>
      </c>
      <c r="E1893" s="1" t="s">
        <v>191</v>
      </c>
      <c r="F1893" s="1" t="s">
        <v>7343</v>
      </c>
      <c r="G1893" s="6">
        <f>COUNTIF(F:F,Table2[[#This Row],[Form '#]])</f>
        <v>1</v>
      </c>
      <c r="H1893" s="1" t="s">
        <v>7344</v>
      </c>
      <c r="I1893" s="1" t="s">
        <v>127</v>
      </c>
      <c r="J1893" s="1" t="s">
        <v>74</v>
      </c>
      <c r="K1893" s="1" t="s">
        <v>4011</v>
      </c>
      <c r="L1893" s="1"/>
      <c r="M1893" s="6" t="str">
        <f>IF(Table2[[#This Row],[Corrected Form '#
 (If Duplicated)]]="",Table2[[#This Row],[Form '#]],Table2[[#This Row],[Corrected Form '#
 (If Duplicated)]])</f>
        <v>7812-3703</v>
      </c>
      <c r="N1893" s="1" t="s">
        <v>49</v>
      </c>
      <c r="O1893" s="6" t="str">
        <f>IF(Table2[[#This Row],[POG CONFIRMATION RECEIPT OF ORDER
(DATE &amp; TIME)]]="","No Confirmation","Received Confirmation")</f>
        <v>Received Confirmation</v>
      </c>
      <c r="P1893" s="6">
        <f ca="1">TODAY()-Table2[[#This Row],[DATE SENT TO POG]]</f>
        <v>85</v>
      </c>
      <c r="Q1893" s="6" t="s">
        <v>5803</v>
      </c>
      <c r="R18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3" s="2" t="str">
        <f>_xlfn.XLOOKUP(Table2[[#This Row],[Adjusted Form '#]],'[2]IN PROGRESS'!$D:$D,'[2]IN PROGRESS'!$M:$M,"Not Found")</f>
        <v>Not Found</v>
      </c>
      <c r="U1893" s="2" t="str">
        <f>_xlfn.XLOOKUP(Table2[[#This Row],[Adjusted Form '#]],[1]COMPLETED!$D:$D,[2]COMPLETED!$M:$M,"Not Found")</f>
        <v>Not Found</v>
      </c>
      <c r="V1893" s="17" t="str">
        <f>_xlfn.XLOOKUP(Table2[[#This Row],[Adjusted Form '#]],[2]COMPLETED!$D:$D,[2]COMPLETED!$O:$O,"Not Found")</f>
        <v>Not Found</v>
      </c>
      <c r="W1893" s="2" t="str">
        <f>_xlfn.XLOOKUP(Table2[[#This Row],[Adjusted Form '#]],[2]BILLED!$D:$D,[2]BILLED!$M:$M,"Not Found")</f>
        <v>9400 1361 0605 3570 1478 40</v>
      </c>
      <c r="X1893" s="17" t="e">
        <f>_xlfn.XLOOKUP(Table2[[#This Row],[Adjusted Form '#]],[2]BILLED!$D:$D,[1]BILLED!$O:$O,"Not Found")</f>
        <v>#REF!</v>
      </c>
      <c r="Y1893" s="17" t="e">
        <f>_xlfn.XLOOKUP(Table2[[#This Row],[Adjusted Form '#]],'[2]REJECTED ORDERS'!$D:$D,'[2]REJECTED ORDERS'!$E:$E)</f>
        <v>#N/A</v>
      </c>
      <c r="Z1893" s="1"/>
      <c r="AA1893" s="1"/>
    </row>
    <row r="1894" spans="1:27" ht="15" customHeight="1" x14ac:dyDescent="0.35">
      <c r="A1894" s="4" t="s">
        <v>2811</v>
      </c>
      <c r="B1894" s="1" t="s">
        <v>231</v>
      </c>
      <c r="C1894" s="11">
        <v>45218</v>
      </c>
      <c r="D1894" s="11" t="s">
        <v>7365</v>
      </c>
      <c r="E1894" s="1" t="s">
        <v>21</v>
      </c>
      <c r="F1894" s="1" t="s">
        <v>7346</v>
      </c>
      <c r="G1894" s="6">
        <f>COUNTIF(F:F,Table2[[#This Row],[Form '#]])</f>
        <v>1</v>
      </c>
      <c r="H1894" s="1" t="s">
        <v>7347</v>
      </c>
      <c r="I1894" s="1" t="s">
        <v>127</v>
      </c>
      <c r="J1894" s="1" t="s">
        <v>74</v>
      </c>
      <c r="K1894" s="1" t="s">
        <v>3919</v>
      </c>
      <c r="L1894" s="1"/>
      <c r="M1894" s="6" t="str">
        <f>IF(Table2[[#This Row],[Corrected Form '#
 (If Duplicated)]]="",Table2[[#This Row],[Form '#]],Table2[[#This Row],[Corrected Form '#
 (If Duplicated)]])</f>
        <v>7818-28049</v>
      </c>
      <c r="N1894" s="1" t="s">
        <v>49</v>
      </c>
      <c r="O1894" s="6" t="str">
        <f>IF(Table2[[#This Row],[POG CONFIRMATION RECEIPT OF ORDER
(DATE &amp; TIME)]]="","No Confirmation","Received Confirmation")</f>
        <v>Received Confirmation</v>
      </c>
      <c r="P1894" s="6">
        <f ca="1">TODAY()-Table2[[#This Row],[DATE SENT TO POG]]</f>
        <v>85</v>
      </c>
      <c r="Q1894" s="6" t="s">
        <v>5803</v>
      </c>
      <c r="R18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4" s="2" t="str">
        <f>_xlfn.XLOOKUP(Table2[[#This Row],[Adjusted Form '#]],'[2]IN PROGRESS'!$D:$D,'[2]IN PROGRESS'!$M:$M,"Not Found")</f>
        <v>Not Found</v>
      </c>
      <c r="U1894" s="2" t="str">
        <f>_xlfn.XLOOKUP(Table2[[#This Row],[Adjusted Form '#]],[1]COMPLETED!$D:$D,[2]COMPLETED!$M:$M,"Not Found")</f>
        <v>Not Found</v>
      </c>
      <c r="V1894" s="17" t="str">
        <f>_xlfn.XLOOKUP(Table2[[#This Row],[Adjusted Form '#]],[2]COMPLETED!$D:$D,[2]COMPLETED!$O:$O,"Not Found")</f>
        <v>Not Found</v>
      </c>
      <c r="W1894" s="2" t="str">
        <f>_xlfn.XLOOKUP(Table2[[#This Row],[Adjusted Form '#]],[2]BILLED!$D:$D,[2]BILLED!$M:$M,"Not Found")</f>
        <v>9400 1361 0605 3581 6162 05</v>
      </c>
      <c r="X1894" s="17" t="e">
        <f>_xlfn.XLOOKUP(Table2[[#This Row],[Adjusted Form '#]],[2]BILLED!$D:$D,[1]BILLED!$O:$O,"Not Found")</f>
        <v>#REF!</v>
      </c>
      <c r="Y1894" s="17" t="e">
        <f>_xlfn.XLOOKUP(Table2[[#This Row],[Adjusted Form '#]],'[2]REJECTED ORDERS'!$D:$D,'[2]REJECTED ORDERS'!$E:$E)</f>
        <v>#N/A</v>
      </c>
      <c r="Z1894" s="1"/>
      <c r="AA1894" s="1"/>
    </row>
    <row r="1895" spans="1:27" ht="15" customHeight="1" x14ac:dyDescent="0.35">
      <c r="A1895" s="4" t="s">
        <v>2812</v>
      </c>
      <c r="B1895" s="1" t="s">
        <v>231</v>
      </c>
      <c r="C1895" s="11">
        <v>45218</v>
      </c>
      <c r="D1895" s="11" t="s">
        <v>7365</v>
      </c>
      <c r="E1895" s="1" t="s">
        <v>21</v>
      </c>
      <c r="F1895" s="1" t="s">
        <v>7348</v>
      </c>
      <c r="G1895" s="6">
        <f>COUNTIF(F:F,Table2[[#This Row],[Form '#]])</f>
        <v>1</v>
      </c>
      <c r="H1895" s="1" t="s">
        <v>762</v>
      </c>
      <c r="I1895" s="1" t="s">
        <v>177</v>
      </c>
      <c r="J1895" s="1" t="s">
        <v>75</v>
      </c>
      <c r="K1895" s="1" t="s">
        <v>4011</v>
      </c>
      <c r="L1895" s="1"/>
      <c r="M1895" s="6" t="str">
        <f>IF(Table2[[#This Row],[Corrected Form '#
 (If Duplicated)]]="",Table2[[#This Row],[Form '#]],Table2[[#This Row],[Corrected Form '#
 (If Duplicated)]])</f>
        <v>7818-24601</v>
      </c>
      <c r="N1895" s="1" t="s">
        <v>49</v>
      </c>
      <c r="O1895" s="6" t="str">
        <f>IF(Table2[[#This Row],[POG CONFIRMATION RECEIPT OF ORDER
(DATE &amp; TIME)]]="","No Confirmation","Received Confirmation")</f>
        <v>Received Confirmation</v>
      </c>
      <c r="P1895" s="6">
        <f ca="1">TODAY()-Table2[[#This Row],[DATE SENT TO POG]]</f>
        <v>85</v>
      </c>
      <c r="Q1895" s="6" t="s">
        <v>5803</v>
      </c>
      <c r="R18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5" s="2" t="str">
        <f>_xlfn.XLOOKUP(Table2[[#This Row],[Adjusted Form '#]],'[2]IN PROGRESS'!$D:$D,'[2]IN PROGRESS'!$M:$M,"Not Found")</f>
        <v>Not Found</v>
      </c>
      <c r="U1895" s="2" t="str">
        <f>_xlfn.XLOOKUP(Table2[[#This Row],[Adjusted Form '#]],[1]COMPLETED!$D:$D,[2]COMPLETED!$M:$M,"Not Found")</f>
        <v>Not Found</v>
      </c>
      <c r="V1895" s="17" t="str">
        <f>_xlfn.XLOOKUP(Table2[[#This Row],[Adjusted Form '#]],[2]COMPLETED!$D:$D,[2]COMPLETED!$O:$O,"Not Found")</f>
        <v>Not Found</v>
      </c>
      <c r="W1895" s="2" t="str">
        <f>_xlfn.XLOOKUP(Table2[[#This Row],[Adjusted Form '#]],[2]BILLED!$D:$D,[2]BILLED!$M:$M,"Not Found")</f>
        <v>9400 1361 0605 3576 7311 97</v>
      </c>
      <c r="X1895" s="17" t="e">
        <f>_xlfn.XLOOKUP(Table2[[#This Row],[Adjusted Form '#]],[2]BILLED!$D:$D,[1]BILLED!$O:$O,"Not Found")</f>
        <v>#REF!</v>
      </c>
      <c r="Y1895" s="17" t="e">
        <f>_xlfn.XLOOKUP(Table2[[#This Row],[Adjusted Form '#]],'[2]REJECTED ORDERS'!$D:$D,'[2]REJECTED ORDERS'!$E:$E)</f>
        <v>#N/A</v>
      </c>
      <c r="Z1895" s="1"/>
      <c r="AA1895" s="1"/>
    </row>
    <row r="1896" spans="1:27" ht="15" customHeight="1" x14ac:dyDescent="0.35">
      <c r="A1896" s="4" t="s">
        <v>2813</v>
      </c>
      <c r="B1896" s="1" t="s">
        <v>231</v>
      </c>
      <c r="C1896" s="11">
        <v>45218</v>
      </c>
      <c r="D1896" s="11" t="s">
        <v>7365</v>
      </c>
      <c r="E1896" s="1" t="s">
        <v>21</v>
      </c>
      <c r="F1896" s="1" t="s">
        <v>7349</v>
      </c>
      <c r="G1896" s="6">
        <f>COUNTIF(F:F,Table2[[#This Row],[Form '#]])</f>
        <v>1</v>
      </c>
      <c r="H1896" s="1" t="s">
        <v>914</v>
      </c>
      <c r="I1896" s="1" t="s">
        <v>3864</v>
      </c>
      <c r="J1896" s="1" t="s">
        <v>78</v>
      </c>
      <c r="K1896" s="1" t="s">
        <v>3879</v>
      </c>
      <c r="L1896" s="1"/>
      <c r="M1896" s="6" t="str">
        <f>IF(Table2[[#This Row],[Corrected Form '#
 (If Duplicated)]]="",Table2[[#This Row],[Form '#]],Table2[[#This Row],[Corrected Form '#
 (If Duplicated)]])</f>
        <v>7818-27701</v>
      </c>
      <c r="N1896" s="1" t="s">
        <v>49</v>
      </c>
      <c r="O1896" s="6" t="str">
        <f>IF(Table2[[#This Row],[POG CONFIRMATION RECEIPT OF ORDER
(DATE &amp; TIME)]]="","No Confirmation","Received Confirmation")</f>
        <v>Received Confirmation</v>
      </c>
      <c r="P1896" s="6">
        <f ca="1">TODAY()-Table2[[#This Row],[DATE SENT TO POG]]</f>
        <v>85</v>
      </c>
      <c r="Q1896" s="6" t="s">
        <v>5803</v>
      </c>
      <c r="R18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6" s="2" t="str">
        <f>_xlfn.XLOOKUP(Table2[[#This Row],[Adjusted Form '#]],'[2]IN PROGRESS'!$D:$D,'[2]IN PROGRESS'!$M:$M,"Not Found")</f>
        <v>Not Found</v>
      </c>
      <c r="U1896" s="2" t="str">
        <f>_xlfn.XLOOKUP(Table2[[#This Row],[Adjusted Form '#]],[1]COMPLETED!$D:$D,[2]COMPLETED!$M:$M,"Not Found")</f>
        <v>Not Found</v>
      </c>
      <c r="V1896" s="17" t="str">
        <f>_xlfn.XLOOKUP(Table2[[#This Row],[Adjusted Form '#]],[2]COMPLETED!$D:$D,[2]COMPLETED!$O:$O,"Not Found")</f>
        <v>Not Found</v>
      </c>
      <c r="W1896" s="2" t="str">
        <f>_xlfn.XLOOKUP(Table2[[#This Row],[Adjusted Form '#]],[2]BILLED!$D:$D,[2]BILLED!$M:$M,"Not Found")</f>
        <v>9400 1361 0605 3583 7688 10</v>
      </c>
      <c r="X1896" s="17" t="e">
        <f>_xlfn.XLOOKUP(Table2[[#This Row],[Adjusted Form '#]],[2]BILLED!$D:$D,[1]BILLED!$O:$O,"Not Found")</f>
        <v>#REF!</v>
      </c>
      <c r="Y1896" s="17" t="e">
        <f>_xlfn.XLOOKUP(Table2[[#This Row],[Adjusted Form '#]],'[2]REJECTED ORDERS'!$D:$D,'[2]REJECTED ORDERS'!$E:$E)</f>
        <v>#N/A</v>
      </c>
      <c r="Z1896" s="1"/>
      <c r="AA1896" s="1"/>
    </row>
    <row r="1897" spans="1:27" ht="15" customHeight="1" x14ac:dyDescent="0.35">
      <c r="A1897" s="4" t="s">
        <v>2814</v>
      </c>
      <c r="B1897" s="1" t="s">
        <v>231</v>
      </c>
      <c r="C1897" s="11">
        <v>45218</v>
      </c>
      <c r="D1897" s="11" t="s">
        <v>7365</v>
      </c>
      <c r="E1897" s="1" t="s">
        <v>21</v>
      </c>
      <c r="F1897" s="1" t="s">
        <v>7350</v>
      </c>
      <c r="G1897" s="6">
        <f>COUNTIF(F:F,Table2[[#This Row],[Form '#]])</f>
        <v>1</v>
      </c>
      <c r="H1897" s="1" t="s">
        <v>7351</v>
      </c>
      <c r="I1897" s="1" t="s">
        <v>127</v>
      </c>
      <c r="J1897" s="1" t="s">
        <v>76</v>
      </c>
      <c r="K1897" s="1" t="s">
        <v>4011</v>
      </c>
      <c r="L1897" s="1"/>
      <c r="M1897" s="6" t="str">
        <f>IF(Table2[[#This Row],[Corrected Form '#
 (If Duplicated)]]="",Table2[[#This Row],[Form '#]],Table2[[#This Row],[Corrected Form '#
 (If Duplicated)]])</f>
        <v>7818-01544</v>
      </c>
      <c r="N1897" s="1" t="s">
        <v>49</v>
      </c>
      <c r="O1897" s="6" t="str">
        <f>IF(Table2[[#This Row],[POG CONFIRMATION RECEIPT OF ORDER
(DATE &amp; TIME)]]="","No Confirmation","Received Confirmation")</f>
        <v>Received Confirmation</v>
      </c>
      <c r="P1897" s="6">
        <f ca="1">TODAY()-Table2[[#This Row],[DATE SENT TO POG]]</f>
        <v>85</v>
      </c>
      <c r="Q1897" s="6" t="s">
        <v>5803</v>
      </c>
      <c r="R18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7" s="2" t="str">
        <f>_xlfn.XLOOKUP(Table2[[#This Row],[Adjusted Form '#]],'[2]IN PROGRESS'!$D:$D,'[2]IN PROGRESS'!$M:$M,"Not Found")</f>
        <v>Not Found</v>
      </c>
      <c r="U1897" s="2" t="str">
        <f>_xlfn.XLOOKUP(Table2[[#This Row],[Adjusted Form '#]],[1]COMPLETED!$D:$D,[2]COMPLETED!$M:$M,"Not Found")</f>
        <v>Not Found</v>
      </c>
      <c r="V1897" s="17" t="str">
        <f>_xlfn.XLOOKUP(Table2[[#This Row],[Adjusted Form '#]],[2]COMPLETED!$D:$D,[2]COMPLETED!$O:$O,"Not Found")</f>
        <v>Not Found</v>
      </c>
      <c r="W1897" s="2" t="str">
        <f>_xlfn.XLOOKUP(Table2[[#This Row],[Adjusted Form '#]],[2]BILLED!$D:$D,[2]BILLED!$M:$M,"Not Found")</f>
        <v>9400 1361 0605 3570 1056 04</v>
      </c>
      <c r="X1897" s="17" t="e">
        <f>_xlfn.XLOOKUP(Table2[[#This Row],[Adjusted Form '#]],[2]BILLED!$D:$D,[1]BILLED!$O:$O,"Not Found")</f>
        <v>#REF!</v>
      </c>
      <c r="Y1897" s="17" t="e">
        <f>_xlfn.XLOOKUP(Table2[[#This Row],[Adjusted Form '#]],'[2]REJECTED ORDERS'!$D:$D,'[2]REJECTED ORDERS'!$E:$E)</f>
        <v>#N/A</v>
      </c>
      <c r="Z1897" s="1"/>
      <c r="AA1897" s="1"/>
    </row>
    <row r="1898" spans="1:27" ht="15" customHeight="1" x14ac:dyDescent="0.35">
      <c r="A1898" s="4" t="s">
        <v>2815</v>
      </c>
      <c r="B1898" s="1" t="s">
        <v>231</v>
      </c>
      <c r="C1898" s="11">
        <v>45218</v>
      </c>
      <c r="D1898" s="11" t="s">
        <v>7365</v>
      </c>
      <c r="E1898" s="1" t="s">
        <v>21</v>
      </c>
      <c r="F1898" s="1" t="s">
        <v>7352</v>
      </c>
      <c r="G1898" s="6">
        <f>COUNTIF(F:F,Table2[[#This Row],[Form '#]])</f>
        <v>1</v>
      </c>
      <c r="H1898" s="1" t="s">
        <v>3520</v>
      </c>
      <c r="I1898" s="1" t="s">
        <v>3852</v>
      </c>
      <c r="J1898" s="1" t="s">
        <v>80</v>
      </c>
      <c r="K1898" s="1" t="s">
        <v>3853</v>
      </c>
      <c r="L1898" s="1"/>
      <c r="M1898" s="6" t="str">
        <f>IF(Table2[[#This Row],[Corrected Form '#
 (If Duplicated)]]="",Table2[[#This Row],[Form '#]],Table2[[#This Row],[Corrected Form '#
 (If Duplicated)]])</f>
        <v>7818-24325</v>
      </c>
      <c r="N1898" s="1" t="s">
        <v>49</v>
      </c>
      <c r="O1898" s="6" t="str">
        <f>IF(Table2[[#This Row],[POG CONFIRMATION RECEIPT OF ORDER
(DATE &amp; TIME)]]="","No Confirmation","Received Confirmation")</f>
        <v>Received Confirmation</v>
      </c>
      <c r="P1898" s="6">
        <f ca="1">TODAY()-Table2[[#This Row],[DATE SENT TO POG]]</f>
        <v>85</v>
      </c>
      <c r="Q1898" s="6" t="s">
        <v>5803</v>
      </c>
      <c r="R18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8" s="2" t="str">
        <f>_xlfn.XLOOKUP(Table2[[#This Row],[Adjusted Form '#]],'[2]IN PROGRESS'!$D:$D,'[2]IN PROGRESS'!$M:$M,"Not Found")</f>
        <v>Not Found</v>
      </c>
      <c r="U1898" s="2" t="str">
        <f>_xlfn.XLOOKUP(Table2[[#This Row],[Adjusted Form '#]],[1]COMPLETED!$D:$D,[2]COMPLETED!$M:$M,"Not Found")</f>
        <v>Not Found</v>
      </c>
      <c r="V1898" s="17" t="str">
        <f>_xlfn.XLOOKUP(Table2[[#This Row],[Adjusted Form '#]],[2]COMPLETED!$D:$D,[2]COMPLETED!$O:$O,"Not Found")</f>
        <v>Not Found</v>
      </c>
      <c r="W1898" s="2" t="str">
        <f>_xlfn.XLOOKUP(Table2[[#This Row],[Adjusted Form '#]],[2]BILLED!$D:$D,[2]BILLED!$M:$M,"Not Found")</f>
        <v>9400 1361 0605 3570 1345 36</v>
      </c>
      <c r="X1898" s="17" t="e">
        <f>_xlfn.XLOOKUP(Table2[[#This Row],[Adjusted Form '#]],[2]BILLED!$D:$D,[1]BILLED!$O:$O,"Not Found")</f>
        <v>#REF!</v>
      </c>
      <c r="Y1898" s="17" t="e">
        <f>_xlfn.XLOOKUP(Table2[[#This Row],[Adjusted Form '#]],'[2]REJECTED ORDERS'!$D:$D,'[2]REJECTED ORDERS'!$E:$E)</f>
        <v>#N/A</v>
      </c>
      <c r="Z1898" s="1"/>
      <c r="AA1898" s="1"/>
    </row>
    <row r="1899" spans="1:27" ht="15" customHeight="1" x14ac:dyDescent="0.35">
      <c r="A1899" s="4" t="s">
        <v>2816</v>
      </c>
      <c r="B1899" s="1" t="s">
        <v>231</v>
      </c>
      <c r="C1899" s="11">
        <v>45218</v>
      </c>
      <c r="D1899" s="11" t="s">
        <v>7365</v>
      </c>
      <c r="E1899" s="1" t="s">
        <v>21</v>
      </c>
      <c r="F1899" s="1" t="s">
        <v>7353</v>
      </c>
      <c r="G1899" s="6">
        <f>COUNTIF(F:F,Table2[[#This Row],[Form '#]])</f>
        <v>1</v>
      </c>
      <c r="H1899" s="1" t="s">
        <v>308</v>
      </c>
      <c r="I1899" s="1" t="s">
        <v>3852</v>
      </c>
      <c r="J1899" s="1" t="s">
        <v>75</v>
      </c>
      <c r="K1899" s="1" t="s">
        <v>4011</v>
      </c>
      <c r="L1899" s="1"/>
      <c r="M1899" s="6" t="str">
        <f>IF(Table2[[#This Row],[Corrected Form '#
 (If Duplicated)]]="",Table2[[#This Row],[Form '#]],Table2[[#This Row],[Corrected Form '#
 (If Duplicated)]])</f>
        <v>7818-24314</v>
      </c>
      <c r="N1899" s="1" t="s">
        <v>49</v>
      </c>
      <c r="O1899" s="6" t="str">
        <f>IF(Table2[[#This Row],[POG CONFIRMATION RECEIPT OF ORDER
(DATE &amp; TIME)]]="","No Confirmation","Received Confirmation")</f>
        <v>Received Confirmation</v>
      </c>
      <c r="P1899" s="6">
        <f ca="1">TODAY()-Table2[[#This Row],[DATE SENT TO POG]]</f>
        <v>85</v>
      </c>
      <c r="Q1899" s="6" t="s">
        <v>5803</v>
      </c>
      <c r="R18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8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899" s="2" t="str">
        <f>_xlfn.XLOOKUP(Table2[[#This Row],[Adjusted Form '#]],'[2]IN PROGRESS'!$D:$D,'[2]IN PROGRESS'!$M:$M,"Not Found")</f>
        <v>Not Found</v>
      </c>
      <c r="U1899" s="2" t="str">
        <f>_xlfn.XLOOKUP(Table2[[#This Row],[Adjusted Form '#]],[1]COMPLETED!$D:$D,[2]COMPLETED!$M:$M,"Not Found")</f>
        <v>Not Found</v>
      </c>
      <c r="V1899" s="17" t="str">
        <f>_xlfn.XLOOKUP(Table2[[#This Row],[Adjusted Form '#]],[2]COMPLETED!$D:$D,[2]COMPLETED!$O:$O,"Not Found")</f>
        <v>Not Found</v>
      </c>
      <c r="W1899" s="2" t="str">
        <f>_xlfn.XLOOKUP(Table2[[#This Row],[Adjusted Form '#]],[2]BILLED!$D:$D,[2]BILLED!$M:$M,"Not Found")</f>
        <v>9400 1361 0605 3610 1329 66</v>
      </c>
      <c r="X1899" s="17" t="e">
        <f>_xlfn.XLOOKUP(Table2[[#This Row],[Adjusted Form '#]],[2]BILLED!$D:$D,[1]BILLED!$O:$O,"Not Found")</f>
        <v>#REF!</v>
      </c>
      <c r="Y1899" s="17" t="e">
        <f>_xlfn.XLOOKUP(Table2[[#This Row],[Adjusted Form '#]],'[2]REJECTED ORDERS'!$D:$D,'[2]REJECTED ORDERS'!$E:$E)</f>
        <v>#N/A</v>
      </c>
      <c r="Z1899" s="1"/>
      <c r="AA1899" s="1"/>
    </row>
    <row r="1900" spans="1:27" ht="15" customHeight="1" x14ac:dyDescent="0.35">
      <c r="A1900" s="4" t="s">
        <v>2817</v>
      </c>
      <c r="B1900" s="1" t="s">
        <v>231</v>
      </c>
      <c r="C1900" s="11">
        <v>45218</v>
      </c>
      <c r="D1900" s="11" t="s">
        <v>7365</v>
      </c>
      <c r="E1900" s="1" t="s">
        <v>21</v>
      </c>
      <c r="F1900" s="1" t="s">
        <v>7354</v>
      </c>
      <c r="G1900" s="6">
        <f>COUNTIF(F:F,Table2[[#This Row],[Form '#]])</f>
        <v>1</v>
      </c>
      <c r="H1900" s="1" t="s">
        <v>7355</v>
      </c>
      <c r="I1900" s="1" t="s">
        <v>28</v>
      </c>
      <c r="J1900" s="1" t="s">
        <v>69</v>
      </c>
      <c r="K1900" s="1" t="s">
        <v>4631</v>
      </c>
      <c r="L1900" s="1"/>
      <c r="M1900" s="6" t="str">
        <f>IF(Table2[[#This Row],[Corrected Form '#
 (If Duplicated)]]="",Table2[[#This Row],[Form '#]],Table2[[#This Row],[Corrected Form '#
 (If Duplicated)]])</f>
        <v>7818-32809</v>
      </c>
      <c r="N1900" s="1" t="s">
        <v>49</v>
      </c>
      <c r="O1900" s="6" t="str">
        <f>IF(Table2[[#This Row],[POG CONFIRMATION RECEIPT OF ORDER
(DATE &amp; TIME)]]="","No Confirmation","Received Confirmation")</f>
        <v>Received Confirmation</v>
      </c>
      <c r="P1900" s="6">
        <f ca="1">TODAY()-Table2[[#This Row],[DATE SENT TO POG]]</f>
        <v>85</v>
      </c>
      <c r="Q1900" s="6" t="s">
        <v>5803</v>
      </c>
      <c r="R19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0" s="2" t="str">
        <f>_xlfn.XLOOKUP(Table2[[#This Row],[Adjusted Form '#]],'[2]IN PROGRESS'!$D:$D,'[2]IN PROGRESS'!$M:$M,"Not Found")</f>
        <v>Not Found</v>
      </c>
      <c r="U1900" s="2" t="str">
        <f>_xlfn.XLOOKUP(Table2[[#This Row],[Adjusted Form '#]],[1]COMPLETED!$D:$D,[2]COMPLETED!$M:$M,"Not Found")</f>
        <v>Not Found</v>
      </c>
      <c r="V1900" s="17" t="str">
        <f>_xlfn.XLOOKUP(Table2[[#This Row],[Adjusted Form '#]],[2]COMPLETED!$D:$D,[2]COMPLETED!$O:$O,"Not Found")</f>
        <v>Not Found</v>
      </c>
      <c r="W1900" s="2" t="str">
        <f>_xlfn.XLOOKUP(Table2[[#This Row],[Adjusted Form '#]],[2]BILLED!$D:$D,[2]BILLED!$M:$M,"Not Found")</f>
        <v>9400 1361 0605 3564 5159 38</v>
      </c>
      <c r="X1900" s="17" t="e">
        <f>_xlfn.XLOOKUP(Table2[[#This Row],[Adjusted Form '#]],[2]BILLED!$D:$D,[1]BILLED!$O:$O,"Not Found")</f>
        <v>#REF!</v>
      </c>
      <c r="Y1900" s="17" t="e">
        <f>_xlfn.XLOOKUP(Table2[[#This Row],[Adjusted Form '#]],'[2]REJECTED ORDERS'!$D:$D,'[2]REJECTED ORDERS'!$E:$E)</f>
        <v>#N/A</v>
      </c>
      <c r="Z1900" s="1"/>
      <c r="AA1900" s="1"/>
    </row>
    <row r="1901" spans="1:27" ht="15" customHeight="1" x14ac:dyDescent="0.35">
      <c r="A1901" s="4" t="s">
        <v>2819</v>
      </c>
      <c r="B1901" s="1" t="s">
        <v>231</v>
      </c>
      <c r="C1901" s="11">
        <v>45218</v>
      </c>
      <c r="D1901" s="11" t="s">
        <v>7365</v>
      </c>
      <c r="E1901" s="1" t="s">
        <v>21</v>
      </c>
      <c r="F1901" s="1" t="s">
        <v>7356</v>
      </c>
      <c r="G1901" s="6">
        <f>COUNTIF(F:F,Table2[[#This Row],[Form '#]])</f>
        <v>1</v>
      </c>
      <c r="H1901" s="1" t="s">
        <v>7357</v>
      </c>
      <c r="I1901" s="1" t="s">
        <v>3852</v>
      </c>
      <c r="J1901" s="1" t="s">
        <v>76</v>
      </c>
      <c r="K1901" s="1" t="s">
        <v>3853</v>
      </c>
      <c r="L1901" s="1"/>
      <c r="M1901" s="6" t="str">
        <f>IF(Table2[[#This Row],[Corrected Form '#
 (If Duplicated)]]="",Table2[[#This Row],[Form '#]],Table2[[#This Row],[Corrected Form '#
 (If Duplicated)]])</f>
        <v>7818-28001</v>
      </c>
      <c r="N1901" s="1" t="s">
        <v>49</v>
      </c>
      <c r="O1901" s="6" t="str">
        <f>IF(Table2[[#This Row],[POG CONFIRMATION RECEIPT OF ORDER
(DATE &amp; TIME)]]="","No Confirmation","Received Confirmation")</f>
        <v>Received Confirmation</v>
      </c>
      <c r="P1901" s="6">
        <f ca="1">TODAY()-Table2[[#This Row],[DATE SENT TO POG]]</f>
        <v>85</v>
      </c>
      <c r="Q1901" s="6" t="s">
        <v>5803</v>
      </c>
      <c r="R19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1" s="2" t="str">
        <f>_xlfn.XLOOKUP(Table2[[#This Row],[Adjusted Form '#]],'[2]IN PROGRESS'!$D:$D,'[2]IN PROGRESS'!$M:$M,"Not Found")</f>
        <v>Not Found</v>
      </c>
      <c r="U1901" s="2" t="str">
        <f>_xlfn.XLOOKUP(Table2[[#This Row],[Adjusted Form '#]],[1]COMPLETED!$D:$D,[2]COMPLETED!$M:$M,"Not Found")</f>
        <v>Not Found</v>
      </c>
      <c r="V1901" s="17" t="str">
        <f>_xlfn.XLOOKUP(Table2[[#This Row],[Adjusted Form '#]],[2]COMPLETED!$D:$D,[2]COMPLETED!$O:$O,"Not Found")</f>
        <v>Not Found</v>
      </c>
      <c r="W1901" s="2" t="str">
        <f>_xlfn.XLOOKUP(Table2[[#This Row],[Adjusted Form '#]],[2]BILLED!$D:$D,[2]BILLED!$M:$M,"Not Found")</f>
        <v>9400 1361 0605 3568 0046 74</v>
      </c>
      <c r="X1901" s="17" t="e">
        <f>_xlfn.XLOOKUP(Table2[[#This Row],[Adjusted Form '#]],[2]BILLED!$D:$D,[1]BILLED!$O:$O,"Not Found")</f>
        <v>#REF!</v>
      </c>
      <c r="Y1901" s="17" t="e">
        <f>_xlfn.XLOOKUP(Table2[[#This Row],[Adjusted Form '#]],'[2]REJECTED ORDERS'!$D:$D,'[2]REJECTED ORDERS'!$E:$E)</f>
        <v>#N/A</v>
      </c>
      <c r="Z1901" s="1"/>
      <c r="AA1901" s="1"/>
    </row>
    <row r="1902" spans="1:27" ht="15" customHeight="1" x14ac:dyDescent="0.35">
      <c r="A1902" s="4" t="s">
        <v>2820</v>
      </c>
      <c r="B1902" s="1" t="s">
        <v>231</v>
      </c>
      <c r="C1902" s="11">
        <v>45218</v>
      </c>
      <c r="D1902" s="11" t="s">
        <v>7365</v>
      </c>
      <c r="E1902" s="1" t="s">
        <v>21</v>
      </c>
      <c r="F1902" s="1" t="s">
        <v>7358</v>
      </c>
      <c r="G1902" s="6">
        <f>COUNTIF(F:F,Table2[[#This Row],[Form '#]])</f>
        <v>1</v>
      </c>
      <c r="H1902" s="1" t="s">
        <v>2121</v>
      </c>
      <c r="I1902" s="1" t="s">
        <v>3864</v>
      </c>
      <c r="J1902" s="1" t="s">
        <v>78</v>
      </c>
      <c r="K1902" s="1" t="s">
        <v>3879</v>
      </c>
      <c r="L1902" s="1"/>
      <c r="M1902" s="6" t="str">
        <f>IF(Table2[[#This Row],[Corrected Form '#
 (If Duplicated)]]="",Table2[[#This Row],[Form '#]],Table2[[#This Row],[Corrected Form '#
 (If Duplicated)]])</f>
        <v>7818-30955</v>
      </c>
      <c r="N1902" s="1" t="s">
        <v>49</v>
      </c>
      <c r="O1902" s="6" t="str">
        <f>IF(Table2[[#This Row],[POG CONFIRMATION RECEIPT OF ORDER
(DATE &amp; TIME)]]="","No Confirmation","Received Confirmation")</f>
        <v>Received Confirmation</v>
      </c>
      <c r="P1902" s="6">
        <f ca="1">TODAY()-Table2[[#This Row],[DATE SENT TO POG]]</f>
        <v>85</v>
      </c>
      <c r="Q1902" s="6" t="s">
        <v>5803</v>
      </c>
      <c r="R19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2" s="2" t="str">
        <f>_xlfn.XLOOKUP(Table2[[#This Row],[Adjusted Form '#]],'[2]IN PROGRESS'!$D:$D,'[2]IN PROGRESS'!$M:$M,"Not Found")</f>
        <v>Not Found</v>
      </c>
      <c r="U1902" s="2" t="str">
        <f>_xlfn.XLOOKUP(Table2[[#This Row],[Adjusted Form '#]],[1]COMPLETED!$D:$D,[2]COMPLETED!$M:$M,"Not Found")</f>
        <v>Not Found</v>
      </c>
      <c r="V1902" s="17" t="str">
        <f>_xlfn.XLOOKUP(Table2[[#This Row],[Adjusted Form '#]],[2]COMPLETED!$D:$D,[2]COMPLETED!$O:$O,"Not Found")</f>
        <v>Not Found</v>
      </c>
      <c r="W1902" s="2" t="str">
        <f>_xlfn.XLOOKUP(Table2[[#This Row],[Adjusted Form '#]],[2]BILLED!$D:$D,[2]BILLED!$M:$M,"Not Found")</f>
        <v>9400 1361 0605 3582 9306 76</v>
      </c>
      <c r="X1902" s="17" t="e">
        <f>_xlfn.XLOOKUP(Table2[[#This Row],[Adjusted Form '#]],[2]BILLED!$D:$D,[1]BILLED!$O:$O,"Not Found")</f>
        <v>#REF!</v>
      </c>
      <c r="Y1902" s="17" t="e">
        <f>_xlfn.XLOOKUP(Table2[[#This Row],[Adjusted Form '#]],'[2]REJECTED ORDERS'!$D:$D,'[2]REJECTED ORDERS'!$E:$E)</f>
        <v>#N/A</v>
      </c>
      <c r="Z1902" s="1"/>
      <c r="AA1902" s="1"/>
    </row>
    <row r="1903" spans="1:27" ht="15" customHeight="1" x14ac:dyDescent="0.35">
      <c r="A1903" s="4" t="s">
        <v>2821</v>
      </c>
      <c r="B1903" s="1" t="s">
        <v>231</v>
      </c>
      <c r="C1903" s="11">
        <v>45218</v>
      </c>
      <c r="D1903" s="11" t="s">
        <v>7365</v>
      </c>
      <c r="E1903" s="1" t="s">
        <v>21</v>
      </c>
      <c r="F1903" s="1" t="s">
        <v>7359</v>
      </c>
      <c r="G1903" s="6">
        <f>COUNTIF(F:F,Table2[[#This Row],[Form '#]])</f>
        <v>1</v>
      </c>
      <c r="H1903" s="1" t="s">
        <v>7360</v>
      </c>
      <c r="I1903" s="1" t="s">
        <v>3852</v>
      </c>
      <c r="J1903" s="1" t="s">
        <v>80</v>
      </c>
      <c r="K1903" s="1" t="s">
        <v>3853</v>
      </c>
      <c r="L1903" s="1"/>
      <c r="M1903" s="6" t="str">
        <f>IF(Table2[[#This Row],[Corrected Form '#
 (If Duplicated)]]="",Table2[[#This Row],[Form '#]],Table2[[#This Row],[Corrected Form '#
 (If Duplicated)]])</f>
        <v>7818-22696</v>
      </c>
      <c r="N1903" s="1" t="s">
        <v>49</v>
      </c>
      <c r="O1903" s="6" t="str">
        <f>IF(Table2[[#This Row],[POG CONFIRMATION RECEIPT OF ORDER
(DATE &amp; TIME)]]="","No Confirmation","Received Confirmation")</f>
        <v>Received Confirmation</v>
      </c>
      <c r="P1903" s="6">
        <f ca="1">TODAY()-Table2[[#This Row],[DATE SENT TO POG]]</f>
        <v>85</v>
      </c>
      <c r="Q1903" s="6" t="s">
        <v>5803</v>
      </c>
      <c r="R19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3" s="2" t="str">
        <f>_xlfn.XLOOKUP(Table2[[#This Row],[Adjusted Form '#]],'[2]IN PROGRESS'!$D:$D,'[2]IN PROGRESS'!$M:$M,"Not Found")</f>
        <v>Not Found</v>
      </c>
      <c r="U1903" s="2" t="str">
        <f>_xlfn.XLOOKUP(Table2[[#This Row],[Adjusted Form '#]],[1]COMPLETED!$D:$D,[2]COMPLETED!$M:$M,"Not Found")</f>
        <v>Not Found</v>
      </c>
      <c r="V1903" s="17" t="str">
        <f>_xlfn.XLOOKUP(Table2[[#This Row],[Adjusted Form '#]],[2]COMPLETED!$D:$D,[2]COMPLETED!$O:$O,"Not Found")</f>
        <v>Not Found</v>
      </c>
      <c r="W1903" s="2" t="str">
        <f>_xlfn.XLOOKUP(Table2[[#This Row],[Adjusted Form '#]],[2]BILLED!$D:$D,[2]BILLED!$M:$M,"Not Found")</f>
        <v>9400 1361 0605 3629 3377 41</v>
      </c>
      <c r="X1903" s="17" t="e">
        <f>_xlfn.XLOOKUP(Table2[[#This Row],[Adjusted Form '#]],[2]BILLED!$D:$D,[1]BILLED!$O:$O,"Not Found")</f>
        <v>#REF!</v>
      </c>
      <c r="Y1903" s="17" t="e">
        <f>_xlfn.XLOOKUP(Table2[[#This Row],[Adjusted Form '#]],'[2]REJECTED ORDERS'!$D:$D,'[2]REJECTED ORDERS'!$E:$E)</f>
        <v>#N/A</v>
      </c>
      <c r="Z1903" s="1"/>
      <c r="AA1903" s="1"/>
    </row>
    <row r="1904" spans="1:27" ht="15" customHeight="1" x14ac:dyDescent="0.35">
      <c r="A1904" s="4" t="s">
        <v>2822</v>
      </c>
      <c r="B1904" s="1" t="s">
        <v>231</v>
      </c>
      <c r="C1904" s="11">
        <v>45218</v>
      </c>
      <c r="D1904" s="11" t="s">
        <v>7365</v>
      </c>
      <c r="E1904" s="1" t="s">
        <v>21</v>
      </c>
      <c r="F1904" s="1" t="s">
        <v>7361</v>
      </c>
      <c r="G1904" s="6">
        <f>COUNTIF(F:F,Table2[[#This Row],[Form '#]])</f>
        <v>1</v>
      </c>
      <c r="H1904" s="1" t="s">
        <v>272</v>
      </c>
      <c r="I1904" s="1" t="s">
        <v>3852</v>
      </c>
      <c r="J1904" s="1" t="s">
        <v>80</v>
      </c>
      <c r="K1904" s="1" t="s">
        <v>3853</v>
      </c>
      <c r="L1904" s="1"/>
      <c r="M1904" s="6" t="str">
        <f>IF(Table2[[#This Row],[Corrected Form '#
 (If Duplicated)]]="",Table2[[#This Row],[Form '#]],Table2[[#This Row],[Corrected Form '#
 (If Duplicated)]])</f>
        <v>7818-27087</v>
      </c>
      <c r="N1904" s="1" t="s">
        <v>49</v>
      </c>
      <c r="O1904" s="6" t="str">
        <f>IF(Table2[[#This Row],[POG CONFIRMATION RECEIPT OF ORDER
(DATE &amp; TIME)]]="","No Confirmation","Received Confirmation")</f>
        <v>Received Confirmation</v>
      </c>
      <c r="P1904" s="6">
        <f ca="1">TODAY()-Table2[[#This Row],[DATE SENT TO POG]]</f>
        <v>85</v>
      </c>
      <c r="Q1904" s="6" t="s">
        <v>5803</v>
      </c>
      <c r="R19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4" s="2" t="str">
        <f>_xlfn.XLOOKUP(Table2[[#This Row],[Adjusted Form '#]],'[2]IN PROGRESS'!$D:$D,'[2]IN PROGRESS'!$M:$M,"Not Found")</f>
        <v>Not Found</v>
      </c>
      <c r="U1904" s="2" t="str">
        <f>_xlfn.XLOOKUP(Table2[[#This Row],[Adjusted Form '#]],[1]COMPLETED!$D:$D,[2]COMPLETED!$M:$M,"Not Found")</f>
        <v>Not Found</v>
      </c>
      <c r="V1904" s="17" t="str">
        <f>_xlfn.XLOOKUP(Table2[[#This Row],[Adjusted Form '#]],[2]COMPLETED!$D:$D,[2]COMPLETED!$O:$O,"Not Found")</f>
        <v>Not Found</v>
      </c>
      <c r="W1904" s="2" t="str">
        <f>_xlfn.XLOOKUP(Table2[[#This Row],[Adjusted Form '#]],[2]BILLED!$D:$D,[2]BILLED!$M:$M,"Not Found")</f>
        <v>9400 1361 0605 3596 2862 26</v>
      </c>
      <c r="X1904" s="17" t="e">
        <f>_xlfn.XLOOKUP(Table2[[#This Row],[Adjusted Form '#]],[2]BILLED!$D:$D,[1]BILLED!$O:$O,"Not Found")</f>
        <v>#REF!</v>
      </c>
      <c r="Y1904" s="17" t="e">
        <f>_xlfn.XLOOKUP(Table2[[#This Row],[Adjusted Form '#]],'[2]REJECTED ORDERS'!$D:$D,'[2]REJECTED ORDERS'!$E:$E)</f>
        <v>#N/A</v>
      </c>
      <c r="Z1904" s="1"/>
      <c r="AA1904" s="1"/>
    </row>
    <row r="1905" spans="1:27" ht="15" customHeight="1" x14ac:dyDescent="0.35">
      <c r="A1905" s="4" t="s">
        <v>2823</v>
      </c>
      <c r="B1905" s="1" t="s">
        <v>231</v>
      </c>
      <c r="C1905" s="11">
        <v>45218</v>
      </c>
      <c r="D1905" s="11" t="s">
        <v>7365</v>
      </c>
      <c r="E1905" s="1" t="s">
        <v>21</v>
      </c>
      <c r="F1905" s="1" t="s">
        <v>7362</v>
      </c>
      <c r="G1905" s="6">
        <f>COUNTIF(F:F,Table2[[#This Row],[Form '#]])</f>
        <v>1</v>
      </c>
      <c r="H1905" s="1" t="s">
        <v>1002</v>
      </c>
      <c r="I1905" s="1" t="s">
        <v>177</v>
      </c>
      <c r="J1905" s="1" t="s">
        <v>75</v>
      </c>
      <c r="K1905" s="1" t="s">
        <v>4011</v>
      </c>
      <c r="L1905" s="1"/>
      <c r="M1905" s="6" t="str">
        <f>IF(Table2[[#This Row],[Corrected Form '#
 (If Duplicated)]]="",Table2[[#This Row],[Form '#]],Table2[[#This Row],[Corrected Form '#
 (If Duplicated)]])</f>
        <v>7818-26910</v>
      </c>
      <c r="N1905" s="1" t="s">
        <v>49</v>
      </c>
      <c r="O1905" s="6" t="str">
        <f>IF(Table2[[#This Row],[POG CONFIRMATION RECEIPT OF ORDER
(DATE &amp; TIME)]]="","No Confirmation","Received Confirmation")</f>
        <v>Received Confirmation</v>
      </c>
      <c r="P1905" s="6">
        <f ca="1">TODAY()-Table2[[#This Row],[DATE SENT TO POG]]</f>
        <v>85</v>
      </c>
      <c r="Q1905" s="6" t="s">
        <v>5803</v>
      </c>
      <c r="R19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5" s="2" t="str">
        <f>_xlfn.XLOOKUP(Table2[[#This Row],[Adjusted Form '#]],'[2]IN PROGRESS'!$D:$D,'[2]IN PROGRESS'!$M:$M,"Not Found")</f>
        <v>Not Found</v>
      </c>
      <c r="U1905" s="2" t="str">
        <f>_xlfn.XLOOKUP(Table2[[#This Row],[Adjusted Form '#]],[1]COMPLETED!$D:$D,[2]COMPLETED!$M:$M,"Not Found")</f>
        <v>Not Found</v>
      </c>
      <c r="V1905" s="17" t="str">
        <f>_xlfn.XLOOKUP(Table2[[#This Row],[Adjusted Form '#]],[2]COMPLETED!$D:$D,[2]COMPLETED!$O:$O,"Not Found")</f>
        <v>Not Found</v>
      </c>
      <c r="W1905" s="2" t="str">
        <f>_xlfn.XLOOKUP(Table2[[#This Row],[Adjusted Form '#]],[2]BILLED!$D:$D,[2]BILLED!$M:$M,"Not Found")</f>
        <v>9400 1361 0605 3576 7192 18</v>
      </c>
      <c r="X1905" s="17" t="e">
        <f>_xlfn.XLOOKUP(Table2[[#This Row],[Adjusted Form '#]],[2]BILLED!$D:$D,[1]BILLED!$O:$O,"Not Found")</f>
        <v>#REF!</v>
      </c>
      <c r="Y1905" s="17" t="e">
        <f>_xlfn.XLOOKUP(Table2[[#This Row],[Adjusted Form '#]],'[2]REJECTED ORDERS'!$D:$D,'[2]REJECTED ORDERS'!$E:$E)</f>
        <v>#N/A</v>
      </c>
      <c r="Z1905" s="1"/>
      <c r="AA1905" s="1"/>
    </row>
    <row r="1906" spans="1:27" ht="15" customHeight="1" x14ac:dyDescent="0.35">
      <c r="A1906" s="4" t="s">
        <v>2824</v>
      </c>
      <c r="B1906" s="1" t="s">
        <v>231</v>
      </c>
      <c r="C1906" s="11">
        <v>45218</v>
      </c>
      <c r="D1906" s="11" t="s">
        <v>7365</v>
      </c>
      <c r="E1906" s="1" t="s">
        <v>21</v>
      </c>
      <c r="F1906" s="1" t="s">
        <v>7363</v>
      </c>
      <c r="G1906" s="6">
        <f>COUNTIF(F:F,Table2[[#This Row],[Form '#]])</f>
        <v>1</v>
      </c>
      <c r="H1906" s="1" t="s">
        <v>7364</v>
      </c>
      <c r="I1906" s="1" t="s">
        <v>3864</v>
      </c>
      <c r="J1906" s="1" t="s">
        <v>78</v>
      </c>
      <c r="K1906" s="1" t="s">
        <v>3879</v>
      </c>
      <c r="L1906" s="1"/>
      <c r="M1906" s="6" t="str">
        <f>IF(Table2[[#This Row],[Corrected Form '#
 (If Duplicated)]]="",Table2[[#This Row],[Form '#]],Table2[[#This Row],[Corrected Form '#
 (If Duplicated)]])</f>
        <v>7818-25849</v>
      </c>
      <c r="N1906" s="1" t="s">
        <v>49</v>
      </c>
      <c r="O1906" s="6" t="str">
        <f>IF(Table2[[#This Row],[POG CONFIRMATION RECEIPT OF ORDER
(DATE &amp; TIME)]]="","No Confirmation","Received Confirmation")</f>
        <v>Received Confirmation</v>
      </c>
      <c r="P1906" s="6">
        <f ca="1">TODAY()-Table2[[#This Row],[DATE SENT TO POG]]</f>
        <v>85</v>
      </c>
      <c r="Q1906" s="6" t="s">
        <v>5803</v>
      </c>
      <c r="R19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6" s="2" t="str">
        <f>_xlfn.XLOOKUP(Table2[[#This Row],[Adjusted Form '#]],'[2]IN PROGRESS'!$D:$D,'[2]IN PROGRESS'!$M:$M,"Not Found")</f>
        <v>Not Found</v>
      </c>
      <c r="U1906" s="2" t="str">
        <f>_xlfn.XLOOKUP(Table2[[#This Row],[Adjusted Form '#]],[1]COMPLETED!$D:$D,[2]COMPLETED!$M:$M,"Not Found")</f>
        <v>Not Found</v>
      </c>
      <c r="V1906" s="17" t="str">
        <f>_xlfn.XLOOKUP(Table2[[#This Row],[Adjusted Form '#]],[2]COMPLETED!$D:$D,[2]COMPLETED!$O:$O,"Not Found")</f>
        <v>Not Found</v>
      </c>
      <c r="W1906" s="2" t="str">
        <f>_xlfn.XLOOKUP(Table2[[#This Row],[Adjusted Form '#]],[2]BILLED!$D:$D,[2]BILLED!$M:$M,"Not Found")</f>
        <v>9400 1112 0620 9317 2553 47</v>
      </c>
      <c r="X1906" s="17" t="e">
        <f>_xlfn.XLOOKUP(Table2[[#This Row],[Adjusted Form '#]],[2]BILLED!$D:$D,[1]BILLED!$O:$O,"Not Found")</f>
        <v>#REF!</v>
      </c>
      <c r="Y1906" s="17" t="e">
        <f>_xlfn.XLOOKUP(Table2[[#This Row],[Adjusted Form '#]],'[2]REJECTED ORDERS'!$D:$D,'[2]REJECTED ORDERS'!$E:$E)</f>
        <v>#N/A</v>
      </c>
      <c r="Z1906" s="1"/>
      <c r="AA1906" s="1"/>
    </row>
    <row r="1907" spans="1:27" ht="15" customHeight="1" x14ac:dyDescent="0.35">
      <c r="A1907" s="4" t="s">
        <v>2825</v>
      </c>
      <c r="B1907" s="1" t="s">
        <v>2957</v>
      </c>
      <c r="C1907" s="11">
        <v>45218</v>
      </c>
      <c r="D1907" s="11" t="s">
        <v>7368</v>
      </c>
      <c r="E1907" s="1" t="s">
        <v>73</v>
      </c>
      <c r="F1907" s="1" t="s">
        <v>7366</v>
      </c>
      <c r="G1907" s="6">
        <f>COUNTIF(F:F,Table2[[#This Row],[Form '#]])</f>
        <v>1</v>
      </c>
      <c r="H1907" s="1" t="s">
        <v>7367</v>
      </c>
      <c r="I1907" s="1" t="s">
        <v>3852</v>
      </c>
      <c r="J1907" s="1" t="s">
        <v>80</v>
      </c>
      <c r="K1907" s="1" t="s">
        <v>3853</v>
      </c>
      <c r="L1907" s="1"/>
      <c r="M1907" s="6" t="str">
        <f>IF(Table2[[#This Row],[Corrected Form '#
 (If Duplicated)]]="",Table2[[#This Row],[Form '#]],Table2[[#This Row],[Corrected Form '#
 (If Duplicated)]])</f>
        <v>7823-03150</v>
      </c>
      <c r="N1907" s="1" t="s">
        <v>49</v>
      </c>
      <c r="O1907" s="6" t="str">
        <f>IF(Table2[[#This Row],[POG CONFIRMATION RECEIPT OF ORDER
(DATE &amp; TIME)]]="","No Confirmation","Received Confirmation")</f>
        <v>Received Confirmation</v>
      </c>
      <c r="P1907" s="6">
        <f ca="1">TODAY()-Table2[[#This Row],[DATE SENT TO POG]]</f>
        <v>85</v>
      </c>
      <c r="Q1907" s="6" t="s">
        <v>5803</v>
      </c>
      <c r="R19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7" s="2" t="str">
        <f>_xlfn.XLOOKUP(Table2[[#This Row],[Adjusted Form '#]],'[2]IN PROGRESS'!$D:$D,'[2]IN PROGRESS'!$M:$M,"Not Found")</f>
        <v>Not Found</v>
      </c>
      <c r="U1907" s="2" t="str">
        <f>_xlfn.XLOOKUP(Table2[[#This Row],[Adjusted Form '#]],[1]COMPLETED!$D:$D,[2]COMPLETED!$M:$M,"Not Found")</f>
        <v>Not Found</v>
      </c>
      <c r="V1907" s="17" t="str">
        <f>_xlfn.XLOOKUP(Table2[[#This Row],[Adjusted Form '#]],[2]COMPLETED!$D:$D,[2]COMPLETED!$O:$O,"Not Found")</f>
        <v>Not Found</v>
      </c>
      <c r="W1907" s="2" t="str">
        <f>_xlfn.XLOOKUP(Table2[[#This Row],[Adjusted Form '#]],[2]BILLED!$D:$D,[2]BILLED!$M:$M,"Not Found")</f>
        <v>9400 1361 0605 3576 4795 49</v>
      </c>
      <c r="X1907" s="17" t="e">
        <f>_xlfn.XLOOKUP(Table2[[#This Row],[Adjusted Form '#]],[2]BILLED!$D:$D,[1]BILLED!$O:$O,"Not Found")</f>
        <v>#REF!</v>
      </c>
      <c r="Y1907" s="17" t="e">
        <f>_xlfn.XLOOKUP(Table2[[#This Row],[Adjusted Form '#]],'[2]REJECTED ORDERS'!$D:$D,'[2]REJECTED ORDERS'!$E:$E)</f>
        <v>#N/A</v>
      </c>
      <c r="Z1907" s="1"/>
      <c r="AA1907" s="1"/>
    </row>
    <row r="1908" spans="1:27" ht="15" customHeight="1" x14ac:dyDescent="0.35">
      <c r="A1908" s="4" t="s">
        <v>2826</v>
      </c>
      <c r="B1908" s="1" t="s">
        <v>7369</v>
      </c>
      <c r="C1908" s="11">
        <v>45219</v>
      </c>
      <c r="D1908" s="11" t="s">
        <v>7377</v>
      </c>
      <c r="E1908" s="1" t="s">
        <v>21</v>
      </c>
      <c r="F1908" s="1" t="s">
        <v>7370</v>
      </c>
      <c r="G1908" s="6">
        <f>COUNTIF(F:F,Table2[[#This Row],[Form '#]])</f>
        <v>1</v>
      </c>
      <c r="H1908" s="1" t="s">
        <v>3457</v>
      </c>
      <c r="I1908" s="1" t="s">
        <v>3852</v>
      </c>
      <c r="J1908" s="1" t="s">
        <v>80</v>
      </c>
      <c r="K1908" s="1" t="s">
        <v>4011</v>
      </c>
      <c r="L1908" s="1"/>
      <c r="M1908" s="6" t="str">
        <f>IF(Table2[[#This Row],[Corrected Form '#
 (If Duplicated)]]="",Table2[[#This Row],[Form '#]],Table2[[#This Row],[Corrected Form '#
 (If Duplicated)]])</f>
        <v>7818-32887</v>
      </c>
      <c r="N1908" s="1" t="s">
        <v>49</v>
      </c>
      <c r="O1908" s="6" t="str">
        <f>IF(Table2[[#This Row],[POG CONFIRMATION RECEIPT OF ORDER
(DATE &amp; TIME)]]="","No Confirmation","Received Confirmation")</f>
        <v>Received Confirmation</v>
      </c>
      <c r="P1908" s="6">
        <f ca="1">TODAY()-Table2[[#This Row],[DATE SENT TO POG]]</f>
        <v>84</v>
      </c>
      <c r="Q1908" s="6" t="s">
        <v>5803</v>
      </c>
      <c r="R19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8" s="2" t="str">
        <f>_xlfn.XLOOKUP(Table2[[#This Row],[Adjusted Form '#]],'[2]IN PROGRESS'!$D:$D,'[2]IN PROGRESS'!$M:$M,"Not Found")</f>
        <v>Not Found</v>
      </c>
      <c r="U1908" s="2" t="str">
        <f>_xlfn.XLOOKUP(Table2[[#This Row],[Adjusted Form '#]],[1]COMPLETED!$D:$D,[2]COMPLETED!$M:$M,"Not Found")</f>
        <v>Not Found</v>
      </c>
      <c r="V1908" s="17" t="str">
        <f>_xlfn.XLOOKUP(Table2[[#This Row],[Adjusted Form '#]],[2]COMPLETED!$D:$D,[2]COMPLETED!$O:$O,"Not Found")</f>
        <v>Not Found</v>
      </c>
      <c r="W1908" s="2" t="str">
        <f>_xlfn.XLOOKUP(Table2[[#This Row],[Adjusted Form '#]],[2]BILLED!$D:$D,[2]BILLED!$M:$M,"Not Found")</f>
        <v>9400 1361 0605 3564 5627 34</v>
      </c>
      <c r="X1908" s="17" t="e">
        <f>_xlfn.XLOOKUP(Table2[[#This Row],[Adjusted Form '#]],[2]BILLED!$D:$D,[1]BILLED!$O:$O,"Not Found")</f>
        <v>#REF!</v>
      </c>
      <c r="Y1908" s="17" t="e">
        <f>_xlfn.XLOOKUP(Table2[[#This Row],[Adjusted Form '#]],'[2]REJECTED ORDERS'!$D:$D,'[2]REJECTED ORDERS'!$E:$E)</f>
        <v>#N/A</v>
      </c>
      <c r="Z1908" s="1"/>
      <c r="AA1908" s="1"/>
    </row>
    <row r="1909" spans="1:27" ht="15" customHeight="1" x14ac:dyDescent="0.35">
      <c r="A1909" s="4" t="s">
        <v>2828</v>
      </c>
      <c r="B1909" s="1" t="s">
        <v>7369</v>
      </c>
      <c r="C1909" s="11">
        <v>45219</v>
      </c>
      <c r="D1909" s="11" t="s">
        <v>7377</v>
      </c>
      <c r="E1909" s="1" t="s">
        <v>21</v>
      </c>
      <c r="F1909" s="1" t="s">
        <v>7371</v>
      </c>
      <c r="G1909" s="6">
        <f>COUNTIF(F:F,Table2[[#This Row],[Form '#]])</f>
        <v>1</v>
      </c>
      <c r="H1909" s="1" t="s">
        <v>7372</v>
      </c>
      <c r="I1909" s="1" t="s">
        <v>3864</v>
      </c>
      <c r="J1909" s="1" t="s">
        <v>78</v>
      </c>
      <c r="K1909" s="1" t="s">
        <v>3879</v>
      </c>
      <c r="L1909" s="1"/>
      <c r="M1909" s="6" t="str">
        <f>IF(Table2[[#This Row],[Corrected Form '#
 (If Duplicated)]]="",Table2[[#This Row],[Form '#]],Table2[[#This Row],[Corrected Form '#
 (If Duplicated)]])</f>
        <v>7818-32144</v>
      </c>
      <c r="N1909" s="1" t="s">
        <v>49</v>
      </c>
      <c r="O1909" s="6" t="str">
        <f>IF(Table2[[#This Row],[POG CONFIRMATION RECEIPT OF ORDER
(DATE &amp; TIME)]]="","No Confirmation","Received Confirmation")</f>
        <v>Received Confirmation</v>
      </c>
      <c r="P1909" s="6">
        <f ca="1">TODAY()-Table2[[#This Row],[DATE SENT TO POG]]</f>
        <v>84</v>
      </c>
      <c r="Q1909" s="6" t="s">
        <v>5803</v>
      </c>
      <c r="R19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09" s="2" t="str">
        <f>_xlfn.XLOOKUP(Table2[[#This Row],[Adjusted Form '#]],'[2]IN PROGRESS'!$D:$D,'[2]IN PROGRESS'!$M:$M,"Not Found")</f>
        <v>Not Found</v>
      </c>
      <c r="U1909" s="2" t="str">
        <f>_xlfn.XLOOKUP(Table2[[#This Row],[Adjusted Form '#]],[1]COMPLETED!$D:$D,[2]COMPLETED!$M:$M,"Not Found")</f>
        <v>Not Found</v>
      </c>
      <c r="V1909" s="17" t="str">
        <f>_xlfn.XLOOKUP(Table2[[#This Row],[Adjusted Form '#]],[2]COMPLETED!$D:$D,[2]COMPLETED!$O:$O,"Not Found")</f>
        <v>Not Found</v>
      </c>
      <c r="W1909" s="2" t="str">
        <f>_xlfn.XLOOKUP(Table2[[#This Row],[Adjusted Form '#]],[2]BILLED!$D:$D,[2]BILLED!$M:$M,"Not Found")</f>
        <v>9400 1361 0605 3564 5281 67</v>
      </c>
      <c r="X1909" s="17" t="e">
        <f>_xlfn.XLOOKUP(Table2[[#This Row],[Adjusted Form '#]],[2]BILLED!$D:$D,[1]BILLED!$O:$O,"Not Found")</f>
        <v>#REF!</v>
      </c>
      <c r="Y1909" s="17" t="e">
        <f>_xlfn.XLOOKUP(Table2[[#This Row],[Adjusted Form '#]],'[2]REJECTED ORDERS'!$D:$D,'[2]REJECTED ORDERS'!$E:$E)</f>
        <v>#N/A</v>
      </c>
      <c r="Z1909" s="1"/>
      <c r="AA1909" s="1"/>
    </row>
    <row r="1910" spans="1:27" ht="15" customHeight="1" x14ac:dyDescent="0.35">
      <c r="A1910" s="4" t="s">
        <v>2829</v>
      </c>
      <c r="B1910" s="1" t="s">
        <v>7369</v>
      </c>
      <c r="C1910" s="11">
        <v>45219</v>
      </c>
      <c r="D1910" s="11" t="s">
        <v>7377</v>
      </c>
      <c r="E1910" s="1" t="s">
        <v>21</v>
      </c>
      <c r="F1910" s="1" t="s">
        <v>7373</v>
      </c>
      <c r="G1910" s="6">
        <f>COUNTIF(F:F,Table2[[#This Row],[Form '#]])</f>
        <v>1</v>
      </c>
      <c r="H1910" s="1" t="s">
        <v>7374</v>
      </c>
      <c r="I1910" s="1" t="s">
        <v>3852</v>
      </c>
      <c r="J1910" s="1" t="s">
        <v>80</v>
      </c>
      <c r="K1910" s="1" t="s">
        <v>3853</v>
      </c>
      <c r="L1910" s="1"/>
      <c r="M1910" s="6" t="str">
        <f>IF(Table2[[#This Row],[Corrected Form '#
 (If Duplicated)]]="",Table2[[#This Row],[Form '#]],Table2[[#This Row],[Corrected Form '#
 (If Duplicated)]])</f>
        <v>7818-26445</v>
      </c>
      <c r="N1910" s="1" t="s">
        <v>49</v>
      </c>
      <c r="O1910" s="6" t="str">
        <f>IF(Table2[[#This Row],[POG CONFIRMATION RECEIPT OF ORDER
(DATE &amp; TIME)]]="","No Confirmation","Received Confirmation")</f>
        <v>Received Confirmation</v>
      </c>
      <c r="P1910" s="6">
        <f ca="1">TODAY()-Table2[[#This Row],[DATE SENT TO POG]]</f>
        <v>84</v>
      </c>
      <c r="Q1910" s="6" t="s">
        <v>5803</v>
      </c>
      <c r="R19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0" s="2" t="str">
        <f>_xlfn.XLOOKUP(Table2[[#This Row],[Adjusted Form '#]],'[2]IN PROGRESS'!$D:$D,'[2]IN PROGRESS'!$M:$M,"Not Found")</f>
        <v>Not Found</v>
      </c>
      <c r="U1910" s="2" t="str">
        <f>_xlfn.XLOOKUP(Table2[[#This Row],[Adjusted Form '#]],[1]COMPLETED!$D:$D,[2]COMPLETED!$M:$M,"Not Found")</f>
        <v>Not Found</v>
      </c>
      <c r="V1910" s="17" t="str">
        <f>_xlfn.XLOOKUP(Table2[[#This Row],[Adjusted Form '#]],[2]COMPLETED!$D:$D,[2]COMPLETED!$O:$O,"Not Found")</f>
        <v>Not Found</v>
      </c>
      <c r="W1910" s="2" t="str">
        <f>_xlfn.XLOOKUP(Table2[[#This Row],[Adjusted Form '#]],[2]BILLED!$D:$D,[2]BILLED!$M:$M,"Not Found")</f>
        <v>9400 1361 0605 3570 1410 60</v>
      </c>
      <c r="X1910" s="17" t="e">
        <f>_xlfn.XLOOKUP(Table2[[#This Row],[Adjusted Form '#]],[2]BILLED!$D:$D,[1]BILLED!$O:$O,"Not Found")</f>
        <v>#REF!</v>
      </c>
      <c r="Y1910" s="17" t="e">
        <f>_xlfn.XLOOKUP(Table2[[#This Row],[Adjusted Form '#]],'[2]REJECTED ORDERS'!$D:$D,'[2]REJECTED ORDERS'!$E:$E)</f>
        <v>#N/A</v>
      </c>
      <c r="Z1910" s="1"/>
      <c r="AA1910" s="1"/>
    </row>
    <row r="1911" spans="1:27" ht="15" customHeight="1" x14ac:dyDescent="0.35">
      <c r="A1911" s="4" t="s">
        <v>2830</v>
      </c>
      <c r="B1911" s="1" t="s">
        <v>7369</v>
      </c>
      <c r="C1911" s="11">
        <v>45219</v>
      </c>
      <c r="D1911" s="11" t="s">
        <v>7377</v>
      </c>
      <c r="E1911" s="1" t="s">
        <v>21</v>
      </c>
      <c r="F1911" s="1" t="s">
        <v>7375</v>
      </c>
      <c r="G1911" s="6">
        <f>COUNTIF(F:F,Table2[[#This Row],[Form '#]])</f>
        <v>1</v>
      </c>
      <c r="H1911" s="1" t="s">
        <v>3378</v>
      </c>
      <c r="I1911" s="1" t="s">
        <v>3864</v>
      </c>
      <c r="J1911" s="1" t="s">
        <v>78</v>
      </c>
      <c r="K1911" s="1" t="s">
        <v>3879</v>
      </c>
      <c r="L1911" s="1"/>
      <c r="M1911" s="6" t="str">
        <f>IF(Table2[[#This Row],[Corrected Form '#
 (If Duplicated)]]="",Table2[[#This Row],[Form '#]],Table2[[#This Row],[Corrected Form '#
 (If Duplicated)]])</f>
        <v>7818-31002</v>
      </c>
      <c r="N1911" s="1" t="s">
        <v>49</v>
      </c>
      <c r="O1911" s="6" t="str">
        <f>IF(Table2[[#This Row],[POG CONFIRMATION RECEIPT OF ORDER
(DATE &amp; TIME)]]="","No Confirmation","Received Confirmation")</f>
        <v>Received Confirmation</v>
      </c>
      <c r="P1911" s="6">
        <f ca="1">TODAY()-Table2[[#This Row],[DATE SENT TO POG]]</f>
        <v>84</v>
      </c>
      <c r="Q1911" s="6" t="s">
        <v>5803</v>
      </c>
      <c r="R19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1" s="2" t="str">
        <f>_xlfn.XLOOKUP(Table2[[#This Row],[Adjusted Form '#]],'[2]IN PROGRESS'!$D:$D,'[2]IN PROGRESS'!$M:$M,"Not Found")</f>
        <v>Not Found</v>
      </c>
      <c r="U1911" s="2" t="str">
        <f>_xlfn.XLOOKUP(Table2[[#This Row],[Adjusted Form '#]],[1]COMPLETED!$D:$D,[2]COMPLETED!$M:$M,"Not Found")</f>
        <v>Not Found</v>
      </c>
      <c r="V1911" s="17" t="str">
        <f>_xlfn.XLOOKUP(Table2[[#This Row],[Adjusted Form '#]],[2]COMPLETED!$D:$D,[2]COMPLETED!$O:$O,"Not Found")</f>
        <v>Not Found</v>
      </c>
      <c r="W1911" s="2" t="str">
        <f>_xlfn.XLOOKUP(Table2[[#This Row],[Adjusted Form '#]],[2]BILLED!$D:$D,[2]BILLED!$M:$M,"Not Found")</f>
        <v>9400 1361 0605 3570 0595 18</v>
      </c>
      <c r="X1911" s="17" t="e">
        <f>_xlfn.XLOOKUP(Table2[[#This Row],[Adjusted Form '#]],[2]BILLED!$D:$D,[1]BILLED!$O:$O,"Not Found")</f>
        <v>#REF!</v>
      </c>
      <c r="Y1911" s="17" t="e">
        <f>_xlfn.XLOOKUP(Table2[[#This Row],[Adjusted Form '#]],'[2]REJECTED ORDERS'!$D:$D,'[2]REJECTED ORDERS'!$E:$E)</f>
        <v>#N/A</v>
      </c>
      <c r="Z1911" s="1"/>
      <c r="AA1911" s="1"/>
    </row>
    <row r="1912" spans="1:27" ht="15" customHeight="1" x14ac:dyDescent="0.35">
      <c r="A1912" s="4" t="s">
        <v>2831</v>
      </c>
      <c r="B1912" s="1" t="s">
        <v>7369</v>
      </c>
      <c r="C1912" s="11">
        <v>45219</v>
      </c>
      <c r="D1912" s="11" t="s">
        <v>7377</v>
      </c>
      <c r="E1912" s="1" t="s">
        <v>21</v>
      </c>
      <c r="F1912" s="1" t="s">
        <v>7376</v>
      </c>
      <c r="G1912" s="6">
        <f>COUNTIF(F:F,Table2[[#This Row],[Form '#]])</f>
        <v>1</v>
      </c>
      <c r="H1912" s="1" t="s">
        <v>1730</v>
      </c>
      <c r="I1912" s="1" t="s">
        <v>3852</v>
      </c>
      <c r="J1912" s="1" t="s">
        <v>80</v>
      </c>
      <c r="K1912" s="1" t="s">
        <v>3853</v>
      </c>
      <c r="L1912" s="1"/>
      <c r="M1912" s="6" t="str">
        <f>IF(Table2[[#This Row],[Corrected Form '#
 (If Duplicated)]]="",Table2[[#This Row],[Form '#]],Table2[[#This Row],[Corrected Form '#
 (If Duplicated)]])</f>
        <v>7818-18629</v>
      </c>
      <c r="N1912" s="1" t="s">
        <v>49</v>
      </c>
      <c r="O1912" s="6" t="str">
        <f>IF(Table2[[#This Row],[POG CONFIRMATION RECEIPT OF ORDER
(DATE &amp; TIME)]]="","No Confirmation","Received Confirmation")</f>
        <v>Received Confirmation</v>
      </c>
      <c r="P1912" s="6">
        <f ca="1">TODAY()-Table2[[#This Row],[DATE SENT TO POG]]</f>
        <v>84</v>
      </c>
      <c r="Q1912" s="6" t="s">
        <v>5803</v>
      </c>
      <c r="R19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2" s="2" t="str">
        <f>_xlfn.XLOOKUP(Table2[[#This Row],[Adjusted Form '#]],'[2]IN PROGRESS'!$D:$D,'[2]IN PROGRESS'!$M:$M,"Not Found")</f>
        <v>Not Found</v>
      </c>
      <c r="U1912" s="2" t="str">
        <f>_xlfn.XLOOKUP(Table2[[#This Row],[Adjusted Form '#]],[1]COMPLETED!$D:$D,[2]COMPLETED!$M:$M,"Not Found")</f>
        <v>Not Found</v>
      </c>
      <c r="V1912" s="17" t="str">
        <f>_xlfn.XLOOKUP(Table2[[#This Row],[Adjusted Form '#]],[2]COMPLETED!$D:$D,[2]COMPLETED!$O:$O,"Not Found")</f>
        <v>Not Found</v>
      </c>
      <c r="W1912" s="2" t="str">
        <f>_xlfn.XLOOKUP(Table2[[#This Row],[Adjusted Form '#]],[2]BILLED!$D:$D,[2]BILLED!$M:$M,"Not Found")</f>
        <v>9400 1361 0605 3570 1282 45</v>
      </c>
      <c r="X1912" s="17" t="e">
        <f>_xlfn.XLOOKUP(Table2[[#This Row],[Adjusted Form '#]],[2]BILLED!$D:$D,[1]BILLED!$O:$O,"Not Found")</f>
        <v>#REF!</v>
      </c>
      <c r="Y1912" s="17" t="e">
        <f>_xlfn.XLOOKUP(Table2[[#This Row],[Adjusted Form '#]],'[2]REJECTED ORDERS'!$D:$D,'[2]REJECTED ORDERS'!$E:$E)</f>
        <v>#N/A</v>
      </c>
      <c r="Z1912" s="1"/>
      <c r="AA1912" s="1"/>
    </row>
    <row r="1913" spans="1:27" ht="15" customHeight="1" x14ac:dyDescent="0.35">
      <c r="A1913" s="4" t="s">
        <v>2832</v>
      </c>
      <c r="B1913" s="1" t="s">
        <v>803</v>
      </c>
      <c r="C1913" s="11">
        <v>45222</v>
      </c>
      <c r="D1913" s="11" t="s">
        <v>7380</v>
      </c>
      <c r="E1913" s="1" t="s">
        <v>73</v>
      </c>
      <c r="F1913" s="1" t="s">
        <v>7378</v>
      </c>
      <c r="G1913" s="6">
        <f>COUNTIF(F:F,Table2[[#This Row],[Form '#]])</f>
        <v>1</v>
      </c>
      <c r="H1913" s="1" t="s">
        <v>7379</v>
      </c>
      <c r="I1913" s="1" t="s">
        <v>3864</v>
      </c>
      <c r="J1913" s="1" t="s">
        <v>78</v>
      </c>
      <c r="K1913" s="1" t="s">
        <v>3879</v>
      </c>
      <c r="L1913" s="1"/>
      <c r="M1913" s="6" t="str">
        <f>IF(Table2[[#This Row],[Corrected Form '#
 (If Duplicated)]]="",Table2[[#This Row],[Form '#]],Table2[[#This Row],[Corrected Form '#
 (If Duplicated)]])</f>
        <v>7823-03014</v>
      </c>
      <c r="N1913" s="1" t="s">
        <v>49</v>
      </c>
      <c r="O1913" s="6" t="str">
        <f>IF(Table2[[#This Row],[POG CONFIRMATION RECEIPT OF ORDER
(DATE &amp; TIME)]]="","No Confirmation","Received Confirmation")</f>
        <v>Received Confirmation</v>
      </c>
      <c r="P1913" s="6">
        <f ca="1">TODAY()-Table2[[#This Row],[DATE SENT TO POG]]</f>
        <v>81</v>
      </c>
      <c r="Q1913" s="6" t="s">
        <v>5803</v>
      </c>
      <c r="R19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3" s="2" t="str">
        <f>_xlfn.XLOOKUP(Table2[[#This Row],[Adjusted Form '#]],'[2]IN PROGRESS'!$D:$D,'[2]IN PROGRESS'!$M:$M,"Not Found")</f>
        <v>Not Found</v>
      </c>
      <c r="U1913" s="2" t="str">
        <f>_xlfn.XLOOKUP(Table2[[#This Row],[Adjusted Form '#]],[1]COMPLETED!$D:$D,[2]COMPLETED!$M:$M,"Not Found")</f>
        <v>Not Found</v>
      </c>
      <c r="V1913" s="17" t="str">
        <f>_xlfn.XLOOKUP(Table2[[#This Row],[Adjusted Form '#]],[2]COMPLETED!$D:$D,[2]COMPLETED!$O:$O,"Not Found")</f>
        <v>Not Found</v>
      </c>
      <c r="W1913" s="2" t="str">
        <f>_xlfn.XLOOKUP(Table2[[#This Row],[Adjusted Form '#]],[2]BILLED!$D:$D,[2]BILLED!$M:$M,"Not Found")</f>
        <v>9400 1361 0605 3569 8569 06</v>
      </c>
      <c r="X1913" s="17" t="e">
        <f>_xlfn.XLOOKUP(Table2[[#This Row],[Adjusted Form '#]],[2]BILLED!$D:$D,[1]BILLED!$O:$O,"Not Found")</f>
        <v>#REF!</v>
      </c>
      <c r="Y1913" s="17" t="e">
        <f>_xlfn.XLOOKUP(Table2[[#This Row],[Adjusted Form '#]],'[2]REJECTED ORDERS'!$D:$D,'[2]REJECTED ORDERS'!$E:$E)</f>
        <v>#N/A</v>
      </c>
      <c r="Z1913" s="1"/>
      <c r="AA1913" s="1"/>
    </row>
    <row r="1914" spans="1:27" ht="15" customHeight="1" x14ac:dyDescent="0.35">
      <c r="A1914" s="4" t="s">
        <v>2834</v>
      </c>
      <c r="B1914" s="1" t="s">
        <v>4317</v>
      </c>
      <c r="C1914" s="11">
        <v>45222</v>
      </c>
      <c r="D1914" s="11" t="s">
        <v>7389</v>
      </c>
      <c r="E1914" s="1" t="s">
        <v>21</v>
      </c>
      <c r="F1914" s="1" t="s">
        <v>7381</v>
      </c>
      <c r="G1914" s="6">
        <f>COUNTIF(F:F,Table2[[#This Row],[Form '#]])</f>
        <v>1</v>
      </c>
      <c r="H1914" s="1" t="s">
        <v>3472</v>
      </c>
      <c r="I1914" s="1" t="s">
        <v>28</v>
      </c>
      <c r="J1914" s="1" t="s">
        <v>69</v>
      </c>
      <c r="K1914" s="1" t="s">
        <v>3898</v>
      </c>
      <c r="L1914" s="1"/>
      <c r="M1914" s="6" t="str">
        <f>IF(Table2[[#This Row],[Corrected Form '#
 (If Duplicated)]]="",Table2[[#This Row],[Form '#]],Table2[[#This Row],[Corrected Form '#
 (If Duplicated)]])</f>
        <v>7818-27084</v>
      </c>
      <c r="N1914" s="1" t="s">
        <v>49</v>
      </c>
      <c r="O1914" s="6" t="str">
        <f>IF(Table2[[#This Row],[POG CONFIRMATION RECEIPT OF ORDER
(DATE &amp; TIME)]]="","No Confirmation","Received Confirmation")</f>
        <v>Received Confirmation</v>
      </c>
      <c r="P1914" s="6">
        <f ca="1">TODAY()-Table2[[#This Row],[DATE SENT TO POG]]</f>
        <v>81</v>
      </c>
      <c r="Q1914" s="6" t="s">
        <v>5803</v>
      </c>
      <c r="R19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4" s="2" t="str">
        <f>_xlfn.XLOOKUP(Table2[[#This Row],[Adjusted Form '#]],'[2]IN PROGRESS'!$D:$D,'[2]IN PROGRESS'!$M:$M,"Not Found")</f>
        <v>Not Found</v>
      </c>
      <c r="U1914" s="2" t="str">
        <f>_xlfn.XLOOKUP(Table2[[#This Row],[Adjusted Form '#]],[1]COMPLETED!$D:$D,[2]COMPLETED!$M:$M,"Not Found")</f>
        <v>Not Found</v>
      </c>
      <c r="V1914" s="17" t="str">
        <f>_xlfn.XLOOKUP(Table2[[#This Row],[Adjusted Form '#]],[2]COMPLETED!$D:$D,[2]COMPLETED!$O:$O,"Not Found")</f>
        <v>Not Found</v>
      </c>
      <c r="W1914" s="2" t="str">
        <f>_xlfn.XLOOKUP(Table2[[#This Row],[Adjusted Form '#]],[2]BILLED!$D:$D,[2]BILLED!$M:$M,"Not Found")</f>
        <v>9400 1361 0605 3576 6968 61</v>
      </c>
      <c r="X1914" s="17" t="e">
        <f>_xlfn.XLOOKUP(Table2[[#This Row],[Adjusted Form '#]],[2]BILLED!$D:$D,[1]BILLED!$O:$O,"Not Found")</f>
        <v>#REF!</v>
      </c>
      <c r="Y1914" s="17" t="e">
        <f>_xlfn.XLOOKUP(Table2[[#This Row],[Adjusted Form '#]],'[2]REJECTED ORDERS'!$D:$D,'[2]REJECTED ORDERS'!$E:$E)</f>
        <v>#N/A</v>
      </c>
      <c r="Z1914" s="1"/>
      <c r="AA1914" s="1"/>
    </row>
    <row r="1915" spans="1:27" ht="15" customHeight="1" x14ac:dyDescent="0.35">
      <c r="A1915" s="4" t="s">
        <v>2835</v>
      </c>
      <c r="B1915" s="1" t="s">
        <v>4317</v>
      </c>
      <c r="C1915" s="11">
        <v>45222</v>
      </c>
      <c r="D1915" s="11" t="s">
        <v>7389</v>
      </c>
      <c r="E1915" s="1" t="s">
        <v>21</v>
      </c>
      <c r="F1915" s="1" t="s">
        <v>7382</v>
      </c>
      <c r="G1915" s="6">
        <f>COUNTIF(F:F,Table2[[#This Row],[Form '#]])</f>
        <v>1</v>
      </c>
      <c r="H1915" s="1" t="s">
        <v>538</v>
      </c>
      <c r="I1915" s="1" t="s">
        <v>177</v>
      </c>
      <c r="J1915" s="1" t="s">
        <v>75</v>
      </c>
      <c r="K1915" s="1" t="s">
        <v>4011</v>
      </c>
      <c r="L1915" s="1"/>
      <c r="M1915" s="6" t="str">
        <f>IF(Table2[[#This Row],[Corrected Form '#
 (If Duplicated)]]="",Table2[[#This Row],[Form '#]],Table2[[#This Row],[Corrected Form '#
 (If Duplicated)]])</f>
        <v>7818-32801</v>
      </c>
      <c r="N1915" s="1" t="s">
        <v>49</v>
      </c>
      <c r="O1915" s="6" t="str">
        <f>IF(Table2[[#This Row],[POG CONFIRMATION RECEIPT OF ORDER
(DATE &amp; TIME)]]="","No Confirmation","Received Confirmation")</f>
        <v>Received Confirmation</v>
      </c>
      <c r="P1915" s="6">
        <f ca="1">TODAY()-Table2[[#This Row],[DATE SENT TO POG]]</f>
        <v>81</v>
      </c>
      <c r="Q1915" s="6" t="s">
        <v>5803</v>
      </c>
      <c r="R19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5" s="2" t="str">
        <f>_xlfn.XLOOKUP(Table2[[#This Row],[Adjusted Form '#]],'[2]IN PROGRESS'!$D:$D,'[2]IN PROGRESS'!$M:$M,"Not Found")</f>
        <v>Not Found</v>
      </c>
      <c r="U1915" s="2" t="str">
        <f>_xlfn.XLOOKUP(Table2[[#This Row],[Adjusted Form '#]],[1]COMPLETED!$D:$D,[2]COMPLETED!$M:$M,"Not Found")</f>
        <v>Not Found</v>
      </c>
      <c r="V1915" s="17" t="str">
        <f>_xlfn.XLOOKUP(Table2[[#This Row],[Adjusted Form '#]],[2]COMPLETED!$D:$D,[2]COMPLETED!$O:$O,"Not Found")</f>
        <v>Not Found</v>
      </c>
      <c r="W1915" s="2" t="str">
        <f>_xlfn.XLOOKUP(Table2[[#This Row],[Adjusted Form '#]],[2]BILLED!$D:$D,[2]BILLED!$M:$M,"Not Found")</f>
        <v>9400 1361 0605 3567 9835 74</v>
      </c>
      <c r="X1915" s="17" t="e">
        <f>_xlfn.XLOOKUP(Table2[[#This Row],[Adjusted Form '#]],[2]BILLED!$D:$D,[1]BILLED!$O:$O,"Not Found")</f>
        <v>#REF!</v>
      </c>
      <c r="Y1915" s="17" t="e">
        <f>_xlfn.XLOOKUP(Table2[[#This Row],[Adjusted Form '#]],'[2]REJECTED ORDERS'!$D:$D,'[2]REJECTED ORDERS'!$E:$E)</f>
        <v>#N/A</v>
      </c>
      <c r="Z1915" s="1"/>
      <c r="AA1915" s="1"/>
    </row>
    <row r="1916" spans="1:27" ht="15" customHeight="1" x14ac:dyDescent="0.35">
      <c r="A1916" s="4" t="s">
        <v>2836</v>
      </c>
      <c r="B1916" s="1" t="s">
        <v>4317</v>
      </c>
      <c r="C1916" s="11">
        <v>45222</v>
      </c>
      <c r="D1916" s="11" t="s">
        <v>7389</v>
      </c>
      <c r="E1916" s="1" t="s">
        <v>21</v>
      </c>
      <c r="F1916" s="1" t="s">
        <v>7383</v>
      </c>
      <c r="G1916" s="6">
        <f>COUNTIF(F:F,Table2[[#This Row],[Form '#]])</f>
        <v>1</v>
      </c>
      <c r="H1916" s="1" t="s">
        <v>1327</v>
      </c>
      <c r="I1916" s="1" t="s">
        <v>127</v>
      </c>
      <c r="J1916" s="1" t="s">
        <v>76</v>
      </c>
      <c r="K1916" s="1" t="s">
        <v>4011</v>
      </c>
      <c r="L1916" s="1"/>
      <c r="M1916" s="6" t="str">
        <f>IF(Table2[[#This Row],[Corrected Form '#
 (If Duplicated)]]="",Table2[[#This Row],[Form '#]],Table2[[#This Row],[Corrected Form '#
 (If Duplicated)]])</f>
        <v>7818-16783</v>
      </c>
      <c r="N1916" s="1" t="s">
        <v>49</v>
      </c>
      <c r="O1916" s="6" t="str">
        <f>IF(Table2[[#This Row],[POG CONFIRMATION RECEIPT OF ORDER
(DATE &amp; TIME)]]="","No Confirmation","Received Confirmation")</f>
        <v>Received Confirmation</v>
      </c>
      <c r="P1916" s="6">
        <f ca="1">TODAY()-Table2[[#This Row],[DATE SENT TO POG]]</f>
        <v>81</v>
      </c>
      <c r="Q1916" s="6" t="s">
        <v>5803</v>
      </c>
      <c r="R19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6" s="2" t="str">
        <f>_xlfn.XLOOKUP(Table2[[#This Row],[Adjusted Form '#]],'[2]IN PROGRESS'!$D:$D,'[2]IN PROGRESS'!$M:$M,"Not Found")</f>
        <v>Not Found</v>
      </c>
      <c r="U1916" s="2" t="str">
        <f>_xlfn.XLOOKUP(Table2[[#This Row],[Adjusted Form '#]],[1]COMPLETED!$D:$D,[2]COMPLETED!$M:$M,"Not Found")</f>
        <v>Not Found</v>
      </c>
      <c r="V1916" s="17" t="str">
        <f>_xlfn.XLOOKUP(Table2[[#This Row],[Adjusted Form '#]],[2]COMPLETED!$D:$D,[2]COMPLETED!$O:$O,"Not Found")</f>
        <v>Not Found</v>
      </c>
      <c r="W1916" s="2" t="str">
        <f>_xlfn.XLOOKUP(Table2[[#This Row],[Adjusted Form '#]],[2]BILLED!$D:$D,[2]BILLED!$M:$M,"Not Found")</f>
        <v>9400 1361 0605 3569 8779 25</v>
      </c>
      <c r="X1916" s="17" t="e">
        <f>_xlfn.XLOOKUP(Table2[[#This Row],[Adjusted Form '#]],[2]BILLED!$D:$D,[1]BILLED!$O:$O,"Not Found")</f>
        <v>#REF!</v>
      </c>
      <c r="Y1916" s="17" t="e">
        <f>_xlfn.XLOOKUP(Table2[[#This Row],[Adjusted Form '#]],'[2]REJECTED ORDERS'!$D:$D,'[2]REJECTED ORDERS'!$E:$E)</f>
        <v>#N/A</v>
      </c>
      <c r="Z1916" s="1"/>
      <c r="AA1916" s="1"/>
    </row>
    <row r="1917" spans="1:27" ht="15" customHeight="1" x14ac:dyDescent="0.35">
      <c r="A1917" s="4" t="s">
        <v>2837</v>
      </c>
      <c r="B1917" s="1" t="s">
        <v>4317</v>
      </c>
      <c r="C1917" s="11">
        <v>45222</v>
      </c>
      <c r="D1917" s="11" t="s">
        <v>7389</v>
      </c>
      <c r="E1917" s="1" t="s">
        <v>21</v>
      </c>
      <c r="F1917" s="1" t="s">
        <v>7384</v>
      </c>
      <c r="G1917" s="6">
        <f>COUNTIF(F:F,Table2[[#This Row],[Form '#]])</f>
        <v>1</v>
      </c>
      <c r="H1917" s="1" t="s">
        <v>3763</v>
      </c>
      <c r="I1917" s="1" t="s">
        <v>3852</v>
      </c>
      <c r="J1917" s="1" t="s">
        <v>80</v>
      </c>
      <c r="K1917" s="1" t="s">
        <v>3853</v>
      </c>
      <c r="L1917" s="1"/>
      <c r="M1917" s="6" t="str">
        <f>IF(Table2[[#This Row],[Corrected Form '#
 (If Duplicated)]]="",Table2[[#This Row],[Form '#]],Table2[[#This Row],[Corrected Form '#
 (If Duplicated)]])</f>
        <v>7818-23650</v>
      </c>
      <c r="N1917" s="1" t="s">
        <v>49</v>
      </c>
      <c r="O1917" s="6" t="str">
        <f>IF(Table2[[#This Row],[POG CONFIRMATION RECEIPT OF ORDER
(DATE &amp; TIME)]]="","No Confirmation","Received Confirmation")</f>
        <v>Received Confirmation</v>
      </c>
      <c r="P1917" s="6">
        <f ca="1">TODAY()-Table2[[#This Row],[DATE SENT TO POG]]</f>
        <v>81</v>
      </c>
      <c r="Q1917" s="6" t="s">
        <v>5803</v>
      </c>
      <c r="R19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7" s="2" t="str">
        <f>_xlfn.XLOOKUP(Table2[[#This Row],[Adjusted Form '#]],'[2]IN PROGRESS'!$D:$D,'[2]IN PROGRESS'!$M:$M,"Not Found")</f>
        <v>Not Found</v>
      </c>
      <c r="U1917" s="2" t="str">
        <f>_xlfn.XLOOKUP(Table2[[#This Row],[Adjusted Form '#]],[1]COMPLETED!$D:$D,[2]COMPLETED!$M:$M,"Not Found")</f>
        <v>Not Found</v>
      </c>
      <c r="V1917" s="17" t="str">
        <f>_xlfn.XLOOKUP(Table2[[#This Row],[Adjusted Form '#]],[2]COMPLETED!$D:$D,[2]COMPLETED!$O:$O,"Not Found")</f>
        <v>Not Found</v>
      </c>
      <c r="W1917" s="2" t="str">
        <f>_xlfn.XLOOKUP(Table2[[#This Row],[Adjusted Form '#]],[2]BILLED!$D:$D,[2]BILLED!$M:$M,"Not Found")</f>
        <v>9400 1361 0605 3577 1483 76</v>
      </c>
      <c r="X1917" s="17" t="e">
        <f>_xlfn.XLOOKUP(Table2[[#This Row],[Adjusted Form '#]],[2]BILLED!$D:$D,[1]BILLED!$O:$O,"Not Found")</f>
        <v>#REF!</v>
      </c>
      <c r="Y1917" s="17" t="e">
        <f>_xlfn.XLOOKUP(Table2[[#This Row],[Adjusted Form '#]],'[2]REJECTED ORDERS'!$D:$D,'[2]REJECTED ORDERS'!$E:$E)</f>
        <v>#N/A</v>
      </c>
      <c r="Z1917" s="1"/>
      <c r="AA1917" s="1"/>
    </row>
    <row r="1918" spans="1:27" ht="15" customHeight="1" x14ac:dyDescent="0.35">
      <c r="A1918" s="4" t="s">
        <v>2838</v>
      </c>
      <c r="B1918" s="1" t="s">
        <v>4317</v>
      </c>
      <c r="C1918" s="11">
        <v>45222</v>
      </c>
      <c r="D1918" s="11" t="s">
        <v>7389</v>
      </c>
      <c r="E1918" s="1" t="s">
        <v>21</v>
      </c>
      <c r="F1918" s="1" t="s">
        <v>7385</v>
      </c>
      <c r="G1918" s="6">
        <f>COUNTIF(F:F,Table2[[#This Row],[Form '#]])</f>
        <v>1</v>
      </c>
      <c r="H1918" s="1" t="s">
        <v>7386</v>
      </c>
      <c r="I1918" s="1" t="s">
        <v>3852</v>
      </c>
      <c r="J1918" s="1" t="s">
        <v>75</v>
      </c>
      <c r="K1918" s="1" t="s">
        <v>3853</v>
      </c>
      <c r="L1918" s="1"/>
      <c r="M1918" s="6" t="str">
        <f>IF(Table2[[#This Row],[Corrected Form '#
 (If Duplicated)]]="",Table2[[#This Row],[Form '#]],Table2[[#This Row],[Corrected Form '#
 (If Duplicated)]])</f>
        <v>7818-22215</v>
      </c>
      <c r="N1918" s="1" t="s">
        <v>49</v>
      </c>
      <c r="O1918" s="6" t="str">
        <f>IF(Table2[[#This Row],[POG CONFIRMATION RECEIPT OF ORDER
(DATE &amp; TIME)]]="","No Confirmation","Received Confirmation")</f>
        <v>Received Confirmation</v>
      </c>
      <c r="P1918" s="6">
        <f ca="1">TODAY()-Table2[[#This Row],[DATE SENT TO POG]]</f>
        <v>81</v>
      </c>
      <c r="Q1918" s="6" t="s">
        <v>5803</v>
      </c>
      <c r="R19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8" s="2" t="str">
        <f>_xlfn.XLOOKUP(Table2[[#This Row],[Adjusted Form '#]],'[2]IN PROGRESS'!$D:$D,'[2]IN PROGRESS'!$M:$M,"Not Found")</f>
        <v>Not Found</v>
      </c>
      <c r="U1918" s="2" t="str">
        <f>_xlfn.XLOOKUP(Table2[[#This Row],[Adjusted Form '#]],[1]COMPLETED!$D:$D,[2]COMPLETED!$M:$M,"Not Found")</f>
        <v>Not Found</v>
      </c>
      <c r="V1918" s="17" t="str">
        <f>_xlfn.XLOOKUP(Table2[[#This Row],[Adjusted Form '#]],[2]COMPLETED!$D:$D,[2]COMPLETED!$O:$O,"Not Found")</f>
        <v>Not Found</v>
      </c>
      <c r="W1918" s="2" t="str">
        <f>_xlfn.XLOOKUP(Table2[[#This Row],[Adjusted Form '#]],[2]BILLED!$D:$D,[2]BILLED!$M:$M,"Not Found")</f>
        <v>9400 1361 0605 3570 1160 44</v>
      </c>
      <c r="X1918" s="17" t="e">
        <f>_xlfn.XLOOKUP(Table2[[#This Row],[Adjusted Form '#]],[2]BILLED!$D:$D,[1]BILLED!$O:$O,"Not Found")</f>
        <v>#REF!</v>
      </c>
      <c r="Y1918" s="17" t="e">
        <f>_xlfn.XLOOKUP(Table2[[#This Row],[Adjusted Form '#]],'[2]REJECTED ORDERS'!$D:$D,'[2]REJECTED ORDERS'!$E:$E)</f>
        <v>#N/A</v>
      </c>
      <c r="Z1918" s="1"/>
      <c r="AA1918" s="1"/>
    </row>
    <row r="1919" spans="1:27" ht="15" customHeight="1" x14ac:dyDescent="0.35">
      <c r="A1919" s="4" t="s">
        <v>2840</v>
      </c>
      <c r="B1919" s="1" t="s">
        <v>4317</v>
      </c>
      <c r="C1919" s="11">
        <v>45222</v>
      </c>
      <c r="D1919" s="11" t="s">
        <v>7389</v>
      </c>
      <c r="E1919" s="1" t="s">
        <v>21</v>
      </c>
      <c r="F1919" s="1" t="s">
        <v>7387</v>
      </c>
      <c r="G1919" s="6">
        <f>COUNTIF(F:F,Table2[[#This Row],[Form '#]])</f>
        <v>1</v>
      </c>
      <c r="H1919" s="1" t="s">
        <v>1733</v>
      </c>
      <c r="I1919" s="1" t="s">
        <v>177</v>
      </c>
      <c r="J1919" s="1" t="s">
        <v>75</v>
      </c>
      <c r="K1919" s="1" t="s">
        <v>3853</v>
      </c>
      <c r="L1919" s="1"/>
      <c r="M1919" s="6" t="str">
        <f>IF(Table2[[#This Row],[Corrected Form '#
 (If Duplicated)]]="",Table2[[#This Row],[Form '#]],Table2[[#This Row],[Corrected Form '#
 (If Duplicated)]])</f>
        <v>7818-18908</v>
      </c>
      <c r="N1919" s="1" t="s">
        <v>49</v>
      </c>
      <c r="O1919" s="6" t="str">
        <f>IF(Table2[[#This Row],[POG CONFIRMATION RECEIPT OF ORDER
(DATE &amp; TIME)]]="","No Confirmation","Received Confirmation")</f>
        <v>Received Confirmation</v>
      </c>
      <c r="P1919" s="6">
        <f ca="1">TODAY()-Table2[[#This Row],[DATE SENT TO POG]]</f>
        <v>81</v>
      </c>
      <c r="Q1919" s="6" t="s">
        <v>5803</v>
      </c>
      <c r="R19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19" s="2" t="str">
        <f>_xlfn.XLOOKUP(Table2[[#This Row],[Adjusted Form '#]],'[2]IN PROGRESS'!$D:$D,'[2]IN PROGRESS'!$M:$M,"Not Found")</f>
        <v>Not Found</v>
      </c>
      <c r="U1919" s="2" t="str">
        <f>_xlfn.XLOOKUP(Table2[[#This Row],[Adjusted Form '#]],[1]COMPLETED!$D:$D,[2]COMPLETED!$M:$M,"Not Found")</f>
        <v>Not Found</v>
      </c>
      <c r="V1919" s="17" t="str">
        <f>_xlfn.XLOOKUP(Table2[[#This Row],[Adjusted Form '#]],[2]COMPLETED!$D:$D,[2]COMPLETED!$O:$O,"Not Found")</f>
        <v>Not Found</v>
      </c>
      <c r="W1919" s="2" t="str">
        <f>_xlfn.XLOOKUP(Table2[[#This Row],[Adjusted Form '#]],[2]BILLED!$D:$D,[2]BILLED!$M:$M,"Not Found")</f>
        <v>9400 1361 0605 3581 8682 77</v>
      </c>
      <c r="X1919" s="17" t="e">
        <f>_xlfn.XLOOKUP(Table2[[#This Row],[Adjusted Form '#]],[2]BILLED!$D:$D,[1]BILLED!$O:$O,"Not Found")</f>
        <v>#REF!</v>
      </c>
      <c r="Y1919" s="17" t="e">
        <f>_xlfn.XLOOKUP(Table2[[#This Row],[Adjusted Form '#]],'[2]REJECTED ORDERS'!$D:$D,'[2]REJECTED ORDERS'!$E:$E)</f>
        <v>#N/A</v>
      </c>
      <c r="Z1919" s="1"/>
      <c r="AA1919" s="1"/>
    </row>
    <row r="1920" spans="1:27" ht="15" customHeight="1" x14ac:dyDescent="0.35">
      <c r="A1920" s="4" t="s">
        <v>2842</v>
      </c>
      <c r="B1920" s="1" t="s">
        <v>4317</v>
      </c>
      <c r="C1920" s="11">
        <v>45222</v>
      </c>
      <c r="D1920" s="11" t="s">
        <v>7389</v>
      </c>
      <c r="E1920" s="1" t="s">
        <v>21</v>
      </c>
      <c r="F1920" s="1" t="s">
        <v>7388</v>
      </c>
      <c r="G1920" s="6">
        <f>COUNTIF(F:F,Table2[[#This Row],[Form '#]])</f>
        <v>1</v>
      </c>
      <c r="H1920" s="1" t="s">
        <v>563</v>
      </c>
      <c r="I1920" s="1" t="s">
        <v>3864</v>
      </c>
      <c r="J1920" s="1" t="s">
        <v>78</v>
      </c>
      <c r="K1920" s="1" t="s">
        <v>3879</v>
      </c>
      <c r="L1920" s="1"/>
      <c r="M1920" s="6" t="str">
        <f>IF(Table2[[#This Row],[Corrected Form '#
 (If Duplicated)]]="",Table2[[#This Row],[Form '#]],Table2[[#This Row],[Corrected Form '#
 (If Duplicated)]])</f>
        <v>7818-25054</v>
      </c>
      <c r="N1920" s="1" t="s">
        <v>49</v>
      </c>
      <c r="O1920" s="6" t="str">
        <f>IF(Table2[[#This Row],[POG CONFIRMATION RECEIPT OF ORDER
(DATE &amp; TIME)]]="","No Confirmation","Received Confirmation")</f>
        <v>Received Confirmation</v>
      </c>
      <c r="P1920" s="6">
        <f ca="1">TODAY()-Table2[[#This Row],[DATE SENT TO POG]]</f>
        <v>81</v>
      </c>
      <c r="Q1920" s="6" t="s">
        <v>5803</v>
      </c>
      <c r="R19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0" s="2" t="str">
        <f>_xlfn.XLOOKUP(Table2[[#This Row],[Adjusted Form '#]],'[2]IN PROGRESS'!$D:$D,'[2]IN PROGRESS'!$M:$M,"Not Found")</f>
        <v>Not Found</v>
      </c>
      <c r="U1920" s="2" t="str">
        <f>_xlfn.XLOOKUP(Table2[[#This Row],[Adjusted Form '#]],[1]COMPLETED!$D:$D,[2]COMPLETED!$M:$M,"Not Found")</f>
        <v>Not Found</v>
      </c>
      <c r="V1920" s="17" t="str">
        <f>_xlfn.XLOOKUP(Table2[[#This Row],[Adjusted Form '#]],[2]COMPLETED!$D:$D,[2]COMPLETED!$O:$O,"Not Found")</f>
        <v>Not Found</v>
      </c>
      <c r="W1920" s="2" t="str">
        <f>_xlfn.XLOOKUP(Table2[[#This Row],[Adjusted Form '#]],[2]BILLED!$D:$D,[2]BILLED!$M:$M,"Not Found")</f>
        <v>9400 1361 0605 3571 6646 67</v>
      </c>
      <c r="X1920" s="17" t="e">
        <f>_xlfn.XLOOKUP(Table2[[#This Row],[Adjusted Form '#]],[2]BILLED!$D:$D,[1]BILLED!$O:$O,"Not Found")</f>
        <v>#REF!</v>
      </c>
      <c r="Y1920" s="17" t="e">
        <f>_xlfn.XLOOKUP(Table2[[#This Row],[Adjusted Form '#]],'[2]REJECTED ORDERS'!$D:$D,'[2]REJECTED ORDERS'!$E:$E)</f>
        <v>#N/A</v>
      </c>
      <c r="Z1920" s="1"/>
      <c r="AA1920" s="1"/>
    </row>
    <row r="1921" spans="1:27" ht="15" customHeight="1" x14ac:dyDescent="0.35">
      <c r="A1921" s="4" t="s">
        <v>2843</v>
      </c>
      <c r="B1921" s="1" t="s">
        <v>4469</v>
      </c>
      <c r="C1921" s="11">
        <v>45222</v>
      </c>
      <c r="D1921" s="11" t="s">
        <v>7393</v>
      </c>
      <c r="E1921" s="1" t="s">
        <v>21</v>
      </c>
      <c r="F1921" s="1" t="s">
        <v>7390</v>
      </c>
      <c r="G1921" s="6">
        <f>COUNTIF(F:F,Table2[[#This Row],[Form '#]])</f>
        <v>1</v>
      </c>
      <c r="H1921" s="1" t="s">
        <v>3185</v>
      </c>
      <c r="I1921" s="1" t="s">
        <v>3864</v>
      </c>
      <c r="J1921" s="1" t="s">
        <v>78</v>
      </c>
      <c r="K1921" s="1" t="s">
        <v>3879</v>
      </c>
      <c r="L1921" s="1"/>
      <c r="M1921" s="6" t="str">
        <f>IF(Table2[[#This Row],[Corrected Form '#
 (If Duplicated)]]="",Table2[[#This Row],[Form '#]],Table2[[#This Row],[Corrected Form '#
 (If Duplicated)]])</f>
        <v>7818-15037</v>
      </c>
      <c r="N1921" s="1" t="s">
        <v>49</v>
      </c>
      <c r="O1921" s="6" t="str">
        <f>IF(Table2[[#This Row],[POG CONFIRMATION RECEIPT OF ORDER
(DATE &amp; TIME)]]="","No Confirmation","Received Confirmation")</f>
        <v>Received Confirmation</v>
      </c>
      <c r="P1921" s="6">
        <f ca="1">TODAY()-Table2[[#This Row],[DATE SENT TO POG]]</f>
        <v>81</v>
      </c>
      <c r="Q1921" s="6" t="s">
        <v>5803</v>
      </c>
      <c r="R19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1" s="2" t="str">
        <f>_xlfn.XLOOKUP(Table2[[#This Row],[Adjusted Form '#]],'[2]IN PROGRESS'!$D:$D,'[2]IN PROGRESS'!$M:$M,"Not Found")</f>
        <v>Not Found</v>
      </c>
      <c r="U1921" s="2" t="str">
        <f>_xlfn.XLOOKUP(Table2[[#This Row],[Adjusted Form '#]],[1]COMPLETED!$D:$D,[2]COMPLETED!$M:$M,"Not Found")</f>
        <v>Not Found</v>
      </c>
      <c r="V1921" s="17" t="str">
        <f>_xlfn.XLOOKUP(Table2[[#This Row],[Adjusted Form '#]],[2]COMPLETED!$D:$D,[2]COMPLETED!$O:$O,"Not Found")</f>
        <v>Not Found</v>
      </c>
      <c r="W1921" s="2" t="str">
        <f>_xlfn.XLOOKUP(Table2[[#This Row],[Adjusted Form '#]],[2]BILLED!$D:$D,[2]BILLED!$M:$M,"Not Found")</f>
        <v>9400 1361 0605 3570 0658 92</v>
      </c>
      <c r="X1921" s="17" t="e">
        <f>_xlfn.XLOOKUP(Table2[[#This Row],[Adjusted Form '#]],[2]BILLED!$D:$D,[1]BILLED!$O:$O,"Not Found")</f>
        <v>#REF!</v>
      </c>
      <c r="Y1921" s="17" t="e">
        <f>_xlfn.XLOOKUP(Table2[[#This Row],[Adjusted Form '#]],'[2]REJECTED ORDERS'!$D:$D,'[2]REJECTED ORDERS'!$E:$E)</f>
        <v>#N/A</v>
      </c>
      <c r="Z1921" s="1"/>
      <c r="AA1921" s="1"/>
    </row>
    <row r="1922" spans="1:27" ht="15" customHeight="1" x14ac:dyDescent="0.35">
      <c r="A1922" s="4" t="s">
        <v>2845</v>
      </c>
      <c r="B1922" s="1" t="s">
        <v>4469</v>
      </c>
      <c r="C1922" s="11">
        <v>45222</v>
      </c>
      <c r="D1922" s="11" t="s">
        <v>7393</v>
      </c>
      <c r="E1922" s="1" t="s">
        <v>21</v>
      </c>
      <c r="F1922" s="1" t="s">
        <v>7391</v>
      </c>
      <c r="G1922" s="6">
        <f>COUNTIF(F:F,Table2[[#This Row],[Form '#]])</f>
        <v>1</v>
      </c>
      <c r="H1922" s="1" t="s">
        <v>7392</v>
      </c>
      <c r="I1922" s="1" t="s">
        <v>3864</v>
      </c>
      <c r="J1922" s="1" t="s">
        <v>78</v>
      </c>
      <c r="K1922" s="1" t="s">
        <v>3879</v>
      </c>
      <c r="L1922" s="1"/>
      <c r="M1922" s="6" t="str">
        <f>IF(Table2[[#This Row],[Corrected Form '#
 (If Duplicated)]]="",Table2[[#This Row],[Form '#]],Table2[[#This Row],[Corrected Form '#
 (If Duplicated)]])</f>
        <v>7818-25001</v>
      </c>
      <c r="N1922" s="1" t="s">
        <v>49</v>
      </c>
      <c r="O1922" s="6" t="str">
        <f>IF(Table2[[#This Row],[POG CONFIRMATION RECEIPT OF ORDER
(DATE &amp; TIME)]]="","No Confirmation","Received Confirmation")</f>
        <v>Received Confirmation</v>
      </c>
      <c r="P1922" s="6">
        <f ca="1">TODAY()-Table2[[#This Row],[DATE SENT TO POG]]</f>
        <v>81</v>
      </c>
      <c r="Q1922" s="6" t="s">
        <v>5803</v>
      </c>
      <c r="R19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2" s="2" t="str">
        <f>_xlfn.XLOOKUP(Table2[[#This Row],[Adjusted Form '#]],'[2]IN PROGRESS'!$D:$D,'[2]IN PROGRESS'!$M:$M,"Not Found")</f>
        <v>Not Found</v>
      </c>
      <c r="U1922" s="2" t="str">
        <f>_xlfn.XLOOKUP(Table2[[#This Row],[Adjusted Form '#]],[1]COMPLETED!$D:$D,[2]COMPLETED!$M:$M,"Not Found")</f>
        <v>Not Found</v>
      </c>
      <c r="V1922" s="17" t="str">
        <f>_xlfn.XLOOKUP(Table2[[#This Row],[Adjusted Form '#]],[2]COMPLETED!$D:$D,[2]COMPLETED!$O:$O,"Not Found")</f>
        <v>Not Found</v>
      </c>
      <c r="W1922" s="2" t="str">
        <f>_xlfn.XLOOKUP(Table2[[#This Row],[Adjusted Form '#]],[2]BILLED!$D:$D,[2]BILLED!$M:$M,"Not Found")</f>
        <v>9400 1361 0605 3564 5467 89</v>
      </c>
      <c r="X1922" s="17" t="e">
        <f>_xlfn.XLOOKUP(Table2[[#This Row],[Adjusted Form '#]],[2]BILLED!$D:$D,[1]BILLED!$O:$O,"Not Found")</f>
        <v>#REF!</v>
      </c>
      <c r="Y1922" s="17" t="e">
        <f>_xlfn.XLOOKUP(Table2[[#This Row],[Adjusted Form '#]],'[2]REJECTED ORDERS'!$D:$D,'[2]REJECTED ORDERS'!$E:$E)</f>
        <v>#N/A</v>
      </c>
      <c r="Z1922" s="1"/>
      <c r="AA1922" s="1"/>
    </row>
    <row r="1923" spans="1:27" ht="15" customHeight="1" x14ac:dyDescent="0.35">
      <c r="A1923" s="4" t="s">
        <v>2846</v>
      </c>
      <c r="B1923" s="1" t="s">
        <v>3661</v>
      </c>
      <c r="C1923" s="11">
        <v>45223</v>
      </c>
      <c r="D1923" s="11" t="s">
        <v>7396</v>
      </c>
      <c r="E1923" s="1" t="s">
        <v>191</v>
      </c>
      <c r="F1923" s="1" t="s">
        <v>7394</v>
      </c>
      <c r="G1923" s="6">
        <f>COUNTIF(F:F,Table2[[#This Row],[Form '#]])</f>
        <v>1</v>
      </c>
      <c r="H1923" s="1" t="s">
        <v>1523</v>
      </c>
      <c r="I1923" s="1" t="s">
        <v>127</v>
      </c>
      <c r="J1923" s="1" t="s">
        <v>74</v>
      </c>
      <c r="K1923" s="1" t="s">
        <v>4011</v>
      </c>
      <c r="L1923" s="1"/>
      <c r="M1923" s="6" t="str">
        <f>IF(Table2[[#This Row],[Corrected Form '#
 (If Duplicated)]]="",Table2[[#This Row],[Form '#]],Table2[[#This Row],[Corrected Form '#
 (If Duplicated)]])</f>
        <v>7812-04717</v>
      </c>
      <c r="N1923" s="1" t="s">
        <v>49</v>
      </c>
      <c r="O1923" s="6" t="str">
        <f>IF(Table2[[#This Row],[POG CONFIRMATION RECEIPT OF ORDER
(DATE &amp; TIME)]]="","No Confirmation","Received Confirmation")</f>
        <v>Received Confirmation</v>
      </c>
      <c r="P1923" s="6">
        <f ca="1">TODAY()-Table2[[#This Row],[DATE SENT TO POG]]</f>
        <v>80</v>
      </c>
      <c r="Q1923" s="6" t="s">
        <v>5803</v>
      </c>
      <c r="R19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3" s="2" t="str">
        <f>_xlfn.XLOOKUP(Table2[[#This Row],[Adjusted Form '#]],'[2]IN PROGRESS'!$D:$D,'[2]IN PROGRESS'!$M:$M,"Not Found")</f>
        <v>Not Found</v>
      </c>
      <c r="U1923" s="2" t="str">
        <f>_xlfn.XLOOKUP(Table2[[#This Row],[Adjusted Form '#]],[1]COMPLETED!$D:$D,[2]COMPLETED!$M:$M,"Not Found")</f>
        <v>Not Found</v>
      </c>
      <c r="V1923" s="17" t="str">
        <f>_xlfn.XLOOKUP(Table2[[#This Row],[Adjusted Form '#]],[2]COMPLETED!$D:$D,[2]COMPLETED!$O:$O,"Not Found")</f>
        <v>Not Found</v>
      </c>
      <c r="W1923" s="2" t="str">
        <f>_xlfn.XLOOKUP(Table2[[#This Row],[Adjusted Form '#]],[2]BILLED!$D:$D,[2]BILLED!$M:$M,"Not Found")</f>
        <v>9400 1361 0605 3576 7098 82</v>
      </c>
      <c r="X1923" s="17" t="e">
        <f>_xlfn.XLOOKUP(Table2[[#This Row],[Adjusted Form '#]],[2]BILLED!$D:$D,[1]BILLED!$O:$O,"Not Found")</f>
        <v>#REF!</v>
      </c>
      <c r="Y1923" s="17" t="e">
        <f>_xlfn.XLOOKUP(Table2[[#This Row],[Adjusted Form '#]],'[2]REJECTED ORDERS'!$D:$D,'[2]REJECTED ORDERS'!$E:$E)</f>
        <v>#N/A</v>
      </c>
      <c r="Z1923" s="1"/>
      <c r="AA1923" s="1"/>
    </row>
    <row r="1924" spans="1:27" ht="15" customHeight="1" x14ac:dyDescent="0.35">
      <c r="A1924" s="4" t="s">
        <v>2847</v>
      </c>
      <c r="B1924" s="1" t="s">
        <v>3661</v>
      </c>
      <c r="C1924" s="11">
        <v>45223</v>
      </c>
      <c r="D1924" s="11" t="s">
        <v>7396</v>
      </c>
      <c r="E1924" s="1" t="s">
        <v>191</v>
      </c>
      <c r="F1924" s="1" t="s">
        <v>7395</v>
      </c>
      <c r="G1924" s="6">
        <f>COUNTIF(F:F,Table2[[#This Row],[Form '#]])</f>
        <v>1</v>
      </c>
      <c r="H1924" s="1" t="s">
        <v>1589</v>
      </c>
      <c r="I1924" s="1" t="s">
        <v>177</v>
      </c>
      <c r="J1924" s="1" t="s">
        <v>75</v>
      </c>
      <c r="K1924" s="1" t="s">
        <v>4011</v>
      </c>
      <c r="L1924" s="1"/>
      <c r="M1924" s="6" t="str">
        <f>IF(Table2[[#This Row],[Corrected Form '#
 (If Duplicated)]]="",Table2[[#This Row],[Form '#]],Table2[[#This Row],[Corrected Form '#
 (If Duplicated)]])</f>
        <v>7812-04528</v>
      </c>
      <c r="N1924" s="1" t="s">
        <v>49</v>
      </c>
      <c r="O1924" s="6" t="str">
        <f>IF(Table2[[#This Row],[POG CONFIRMATION RECEIPT OF ORDER
(DATE &amp; TIME)]]="","No Confirmation","Received Confirmation")</f>
        <v>Received Confirmation</v>
      </c>
      <c r="P1924" s="6">
        <f ca="1">TODAY()-Table2[[#This Row],[DATE SENT TO POG]]</f>
        <v>80</v>
      </c>
      <c r="Q1924" s="6" t="s">
        <v>5803</v>
      </c>
      <c r="R19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4" s="2" t="str">
        <f>_xlfn.XLOOKUP(Table2[[#This Row],[Adjusted Form '#]],'[2]IN PROGRESS'!$D:$D,'[2]IN PROGRESS'!$M:$M,"Not Found")</f>
        <v>Not Found</v>
      </c>
      <c r="U1924" s="2" t="str">
        <f>_xlfn.XLOOKUP(Table2[[#This Row],[Adjusted Form '#]],[1]COMPLETED!$D:$D,[2]COMPLETED!$M:$M,"Not Found")</f>
        <v>Not Found</v>
      </c>
      <c r="V1924" s="17" t="str">
        <f>_xlfn.XLOOKUP(Table2[[#This Row],[Adjusted Form '#]],[2]COMPLETED!$D:$D,[2]COMPLETED!$O:$O,"Not Found")</f>
        <v>Not Found</v>
      </c>
      <c r="W1924" s="2" t="str">
        <f>_xlfn.XLOOKUP(Table2[[#This Row],[Adjusted Form '#]],[2]BILLED!$D:$D,[2]BILLED!$M:$M,"Not Found")</f>
        <v>9400 1361 0605 3569 9732 45</v>
      </c>
      <c r="X1924" s="17" t="e">
        <f>_xlfn.XLOOKUP(Table2[[#This Row],[Adjusted Form '#]],[2]BILLED!$D:$D,[1]BILLED!$O:$O,"Not Found")</f>
        <v>#REF!</v>
      </c>
      <c r="Y1924" s="17" t="e">
        <f>_xlfn.XLOOKUP(Table2[[#This Row],[Adjusted Form '#]],'[2]REJECTED ORDERS'!$D:$D,'[2]REJECTED ORDERS'!$E:$E)</f>
        <v>#N/A</v>
      </c>
      <c r="Z1924" s="1"/>
      <c r="AA1924" s="1"/>
    </row>
    <row r="1925" spans="1:27" ht="15" customHeight="1" x14ac:dyDescent="0.35">
      <c r="A1925" s="4" t="s">
        <v>2848</v>
      </c>
      <c r="B1925" s="1" t="s">
        <v>470</v>
      </c>
      <c r="C1925" s="11">
        <v>45223</v>
      </c>
      <c r="D1925" s="11" t="s">
        <v>7402</v>
      </c>
      <c r="E1925" s="1" t="s">
        <v>191</v>
      </c>
      <c r="F1925" s="1" t="s">
        <v>7397</v>
      </c>
      <c r="G1925" s="6">
        <f>COUNTIF(F:F,Table2[[#This Row],[Form '#]])</f>
        <v>1</v>
      </c>
      <c r="H1925" s="1" t="s">
        <v>5403</v>
      </c>
      <c r="I1925" s="1" t="s">
        <v>28</v>
      </c>
      <c r="J1925" s="1" t="s">
        <v>69</v>
      </c>
      <c r="K1925" s="1" t="s">
        <v>4011</v>
      </c>
      <c r="L1925" s="1"/>
      <c r="M1925" s="6" t="str">
        <f>IF(Table2[[#This Row],[Corrected Form '#
 (If Duplicated)]]="",Table2[[#This Row],[Form '#]],Table2[[#This Row],[Corrected Form '#
 (If Duplicated)]])</f>
        <v>7812-04613</v>
      </c>
      <c r="N1925" s="1" t="s">
        <v>49</v>
      </c>
      <c r="O1925" s="6" t="str">
        <f>IF(Table2[[#This Row],[POG CONFIRMATION RECEIPT OF ORDER
(DATE &amp; TIME)]]="","No Confirmation","Received Confirmation")</f>
        <v>Received Confirmation</v>
      </c>
      <c r="P1925" s="6">
        <f ca="1">TODAY()-Table2[[#This Row],[DATE SENT TO POG]]</f>
        <v>80</v>
      </c>
      <c r="Q1925" s="6" t="s">
        <v>5803</v>
      </c>
      <c r="R19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5" s="2" t="str">
        <f>_xlfn.XLOOKUP(Table2[[#This Row],[Adjusted Form '#]],'[2]IN PROGRESS'!$D:$D,'[2]IN PROGRESS'!$M:$M,"Not Found")</f>
        <v>Not Found</v>
      </c>
      <c r="U1925" s="2" t="str">
        <f>_xlfn.XLOOKUP(Table2[[#This Row],[Adjusted Form '#]],[1]COMPLETED!$D:$D,[2]COMPLETED!$M:$M,"Not Found")</f>
        <v>Not Found</v>
      </c>
      <c r="V1925" s="17" t="str">
        <f>_xlfn.XLOOKUP(Table2[[#This Row],[Adjusted Form '#]],[2]COMPLETED!$D:$D,[2]COMPLETED!$O:$O,"Not Found")</f>
        <v>Not Found</v>
      </c>
      <c r="W1925" s="2" t="str">
        <f>_xlfn.XLOOKUP(Table2[[#This Row],[Adjusted Form '#]],[2]BILLED!$D:$D,[2]BILLED!$M:$M,"Not Found")</f>
        <v>9400 1112 0620 9317 2997 61</v>
      </c>
      <c r="X1925" s="17" t="e">
        <f>_xlfn.XLOOKUP(Table2[[#This Row],[Adjusted Form '#]],[2]BILLED!$D:$D,[1]BILLED!$O:$O,"Not Found")</f>
        <v>#REF!</v>
      </c>
      <c r="Y1925" s="17" t="e">
        <f>_xlfn.XLOOKUP(Table2[[#This Row],[Adjusted Form '#]],'[2]REJECTED ORDERS'!$D:$D,'[2]REJECTED ORDERS'!$E:$E)</f>
        <v>#N/A</v>
      </c>
      <c r="Z1925" s="1"/>
      <c r="AA1925" s="1"/>
    </row>
    <row r="1926" spans="1:27" ht="15" customHeight="1" x14ac:dyDescent="0.35">
      <c r="A1926" s="4" t="s">
        <v>2849</v>
      </c>
      <c r="B1926" s="1" t="s">
        <v>470</v>
      </c>
      <c r="C1926" s="11">
        <v>45223</v>
      </c>
      <c r="D1926" s="11" t="s">
        <v>7402</v>
      </c>
      <c r="E1926" s="1" t="s">
        <v>191</v>
      </c>
      <c r="F1926" s="1" t="s">
        <v>7398</v>
      </c>
      <c r="G1926" s="6">
        <f>COUNTIF(F:F,Table2[[#This Row],[Form '#]])</f>
        <v>1</v>
      </c>
      <c r="H1926" s="1" t="s">
        <v>7399</v>
      </c>
      <c r="I1926" s="1" t="s">
        <v>3852</v>
      </c>
      <c r="J1926" s="1" t="s">
        <v>75</v>
      </c>
      <c r="K1926" s="1" t="s">
        <v>4011</v>
      </c>
      <c r="L1926" s="1"/>
      <c r="M1926" s="6" t="str">
        <f>IF(Table2[[#This Row],[Corrected Form '#
 (If Duplicated)]]="",Table2[[#This Row],[Form '#]],Table2[[#This Row],[Corrected Form '#
 (If Duplicated)]])</f>
        <v>7812-04606</v>
      </c>
      <c r="N1926" s="1" t="s">
        <v>49</v>
      </c>
      <c r="O1926" s="6" t="str">
        <f>IF(Table2[[#This Row],[POG CONFIRMATION RECEIPT OF ORDER
(DATE &amp; TIME)]]="","No Confirmation","Received Confirmation")</f>
        <v>Received Confirmation</v>
      </c>
      <c r="P1926" s="6">
        <f ca="1">TODAY()-Table2[[#This Row],[DATE SENT TO POG]]</f>
        <v>80</v>
      </c>
      <c r="Q1926" s="6" t="s">
        <v>5803</v>
      </c>
      <c r="R19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6" s="2" t="str">
        <f>_xlfn.XLOOKUP(Table2[[#This Row],[Adjusted Form '#]],'[2]IN PROGRESS'!$D:$D,'[2]IN PROGRESS'!$M:$M,"Not Found")</f>
        <v>Not Found</v>
      </c>
      <c r="U1926" s="2" t="str">
        <f>_xlfn.XLOOKUP(Table2[[#This Row],[Adjusted Form '#]],[1]COMPLETED!$D:$D,[2]COMPLETED!$M:$M,"Not Found")</f>
        <v>Not Found</v>
      </c>
      <c r="V1926" s="17" t="str">
        <f>_xlfn.XLOOKUP(Table2[[#This Row],[Adjusted Form '#]],[2]COMPLETED!$D:$D,[2]COMPLETED!$O:$O,"Not Found")</f>
        <v>Not Found</v>
      </c>
      <c r="W1926" s="2" t="str">
        <f>_xlfn.XLOOKUP(Table2[[#This Row],[Adjusted Form '#]],[2]BILLED!$D:$D,[2]BILLED!$M:$M,"Not Found")</f>
        <v>9400 1361 0605 3570 1215 98</v>
      </c>
      <c r="X1926" s="17" t="e">
        <f>_xlfn.XLOOKUP(Table2[[#This Row],[Adjusted Form '#]],[2]BILLED!$D:$D,[1]BILLED!$O:$O,"Not Found")</f>
        <v>#REF!</v>
      </c>
      <c r="Y1926" s="17" t="e">
        <f>_xlfn.XLOOKUP(Table2[[#This Row],[Adjusted Form '#]],'[2]REJECTED ORDERS'!$D:$D,'[2]REJECTED ORDERS'!$E:$E)</f>
        <v>#N/A</v>
      </c>
      <c r="Z1926" s="1"/>
      <c r="AA1926" s="1"/>
    </row>
    <row r="1927" spans="1:27" ht="15" customHeight="1" x14ac:dyDescent="0.35">
      <c r="A1927" s="4" t="s">
        <v>2851</v>
      </c>
      <c r="B1927" s="1" t="s">
        <v>470</v>
      </c>
      <c r="C1927" s="11">
        <v>45223</v>
      </c>
      <c r="D1927" s="11" t="s">
        <v>7402</v>
      </c>
      <c r="E1927" s="1" t="s">
        <v>191</v>
      </c>
      <c r="F1927" s="1" t="s">
        <v>7400</v>
      </c>
      <c r="G1927" s="6">
        <f>COUNTIF(F:F,Table2[[#This Row],[Form '#]])</f>
        <v>1</v>
      </c>
      <c r="H1927" s="1" t="s">
        <v>7401</v>
      </c>
      <c r="I1927" s="1" t="s">
        <v>127</v>
      </c>
      <c r="J1927" s="1" t="s">
        <v>71</v>
      </c>
      <c r="K1927" s="1" t="s">
        <v>3919</v>
      </c>
      <c r="L1927" s="1"/>
      <c r="M1927" s="6" t="str">
        <f>IF(Table2[[#This Row],[Corrected Form '#
 (If Duplicated)]]="",Table2[[#This Row],[Form '#]],Table2[[#This Row],[Corrected Form '#
 (If Duplicated)]])</f>
        <v>7812-04953</v>
      </c>
      <c r="N1927" s="1" t="s">
        <v>49</v>
      </c>
      <c r="O1927" s="6" t="str">
        <f>IF(Table2[[#This Row],[POG CONFIRMATION RECEIPT OF ORDER
(DATE &amp; TIME)]]="","No Confirmation","Received Confirmation")</f>
        <v>Received Confirmation</v>
      </c>
      <c r="P1927" s="6">
        <f ca="1">TODAY()-Table2[[#This Row],[DATE SENT TO POG]]</f>
        <v>80</v>
      </c>
      <c r="Q1927" s="6" t="s">
        <v>5803</v>
      </c>
      <c r="R19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7" s="2" t="str">
        <f>_xlfn.XLOOKUP(Table2[[#This Row],[Adjusted Form '#]],'[2]IN PROGRESS'!$D:$D,'[2]IN PROGRESS'!$M:$M,"Not Found")</f>
        <v>Not Found</v>
      </c>
      <c r="U1927" s="2" t="str">
        <f>_xlfn.XLOOKUP(Table2[[#This Row],[Adjusted Form '#]],[1]COMPLETED!$D:$D,[2]COMPLETED!$M:$M,"Not Found")</f>
        <v>Not Found</v>
      </c>
      <c r="V1927" s="17" t="str">
        <f>_xlfn.XLOOKUP(Table2[[#This Row],[Adjusted Form '#]],[2]COMPLETED!$D:$D,[2]COMPLETED!$O:$O,"Not Found")</f>
        <v>Not Found</v>
      </c>
      <c r="W1927" s="2" t="str">
        <f>_xlfn.XLOOKUP(Table2[[#This Row],[Adjusted Form '#]],[2]BILLED!$D:$D,[2]BILLED!$M:$M,"Not Found")</f>
        <v>9400 1361 0605 3602 1142 53</v>
      </c>
      <c r="X1927" s="17" t="e">
        <f>_xlfn.XLOOKUP(Table2[[#This Row],[Adjusted Form '#]],[2]BILLED!$D:$D,[1]BILLED!$O:$O,"Not Found")</f>
        <v>#REF!</v>
      </c>
      <c r="Y1927" s="17" t="e">
        <f>_xlfn.XLOOKUP(Table2[[#This Row],[Adjusted Form '#]],'[2]REJECTED ORDERS'!$D:$D,'[2]REJECTED ORDERS'!$E:$E)</f>
        <v>#N/A</v>
      </c>
      <c r="Z1927" s="1"/>
      <c r="AA1927" s="1"/>
    </row>
    <row r="1928" spans="1:27" ht="15" customHeight="1" x14ac:dyDescent="0.35">
      <c r="A1928" s="4" t="s">
        <v>2852</v>
      </c>
      <c r="B1928" s="1" t="s">
        <v>2605</v>
      </c>
      <c r="C1928" s="11">
        <v>45223</v>
      </c>
      <c r="D1928" s="11" t="s">
        <v>7406</v>
      </c>
      <c r="E1928" s="1" t="s">
        <v>21</v>
      </c>
      <c r="F1928" s="1" t="s">
        <v>7403</v>
      </c>
      <c r="G1928" s="6">
        <f>COUNTIF(F:F,Table2[[#This Row],[Form '#]])</f>
        <v>1</v>
      </c>
      <c r="H1928" s="1" t="s">
        <v>1692</v>
      </c>
      <c r="I1928" s="1" t="s">
        <v>3852</v>
      </c>
      <c r="J1928" s="1" t="s">
        <v>80</v>
      </c>
      <c r="K1928" s="1" t="s">
        <v>4011</v>
      </c>
      <c r="L1928" s="1"/>
      <c r="M1928" s="6" t="str">
        <f>IF(Table2[[#This Row],[Corrected Form '#
 (If Duplicated)]]="",Table2[[#This Row],[Form '#]],Table2[[#This Row],[Corrected Form '#
 (If Duplicated)]])</f>
        <v>7818-32896</v>
      </c>
      <c r="N1928" s="1" t="s">
        <v>49</v>
      </c>
      <c r="O1928" s="6" t="str">
        <f>IF(Table2[[#This Row],[POG CONFIRMATION RECEIPT OF ORDER
(DATE &amp; TIME)]]="","No Confirmation","Received Confirmation")</f>
        <v>Received Confirmation</v>
      </c>
      <c r="P1928" s="6">
        <f ca="1">TODAY()-Table2[[#This Row],[DATE SENT TO POG]]</f>
        <v>80</v>
      </c>
      <c r="Q1928" s="6" t="s">
        <v>5803</v>
      </c>
      <c r="R19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8" s="2" t="str">
        <f>_xlfn.XLOOKUP(Table2[[#This Row],[Adjusted Form '#]],'[2]IN PROGRESS'!$D:$D,'[2]IN PROGRESS'!$M:$M,"Not Found")</f>
        <v>Not Found</v>
      </c>
      <c r="U1928" s="2" t="str">
        <f>_xlfn.XLOOKUP(Table2[[#This Row],[Adjusted Form '#]],[1]COMPLETED!$D:$D,[2]COMPLETED!$M:$M,"Not Found")</f>
        <v>Not Found</v>
      </c>
      <c r="V1928" s="17" t="str">
        <f>_xlfn.XLOOKUP(Table2[[#This Row],[Adjusted Form '#]],[2]COMPLETED!$D:$D,[2]COMPLETED!$O:$O,"Not Found")</f>
        <v>Not Found</v>
      </c>
      <c r="W1928" s="2" t="str">
        <f>_xlfn.XLOOKUP(Table2[[#This Row],[Adjusted Form '#]],[2]BILLED!$D:$D,[2]BILLED!$M:$M,"Not Found")</f>
        <v>9400 1361 0605 3570 0340 72</v>
      </c>
      <c r="X1928" s="17" t="e">
        <f>_xlfn.XLOOKUP(Table2[[#This Row],[Adjusted Form '#]],[2]BILLED!$D:$D,[1]BILLED!$O:$O,"Not Found")</f>
        <v>#REF!</v>
      </c>
      <c r="Y1928" s="17" t="e">
        <f>_xlfn.XLOOKUP(Table2[[#This Row],[Adjusted Form '#]],'[2]REJECTED ORDERS'!$D:$D,'[2]REJECTED ORDERS'!$E:$E)</f>
        <v>#N/A</v>
      </c>
      <c r="Z1928" s="1"/>
      <c r="AA1928" s="1"/>
    </row>
    <row r="1929" spans="1:27" ht="15" customHeight="1" x14ac:dyDescent="0.35">
      <c r="A1929" s="4" t="s">
        <v>2853</v>
      </c>
      <c r="B1929" s="1" t="s">
        <v>2605</v>
      </c>
      <c r="C1929" s="11">
        <v>45223</v>
      </c>
      <c r="D1929" s="11" t="s">
        <v>7406</v>
      </c>
      <c r="E1929" s="1" t="s">
        <v>21</v>
      </c>
      <c r="F1929" s="1" t="s">
        <v>7404</v>
      </c>
      <c r="G1929" s="6">
        <f>COUNTIF(F:F,Table2[[#This Row],[Form '#]])</f>
        <v>1</v>
      </c>
      <c r="H1929" s="1" t="s">
        <v>7405</v>
      </c>
      <c r="I1929" s="1" t="s">
        <v>127</v>
      </c>
      <c r="J1929" s="1" t="s">
        <v>74</v>
      </c>
      <c r="K1929" s="1" t="s">
        <v>3883</v>
      </c>
      <c r="L1929" s="1"/>
      <c r="M1929" s="6" t="str">
        <f>IF(Table2[[#This Row],[Corrected Form '#
 (If Duplicated)]]="",Table2[[#This Row],[Form '#]],Table2[[#This Row],[Corrected Form '#
 (If Duplicated)]])</f>
        <v>7818-21658</v>
      </c>
      <c r="N1929" s="1" t="s">
        <v>49</v>
      </c>
      <c r="O1929" s="6" t="str">
        <f>IF(Table2[[#This Row],[POG CONFIRMATION RECEIPT OF ORDER
(DATE &amp; TIME)]]="","No Confirmation","Received Confirmation")</f>
        <v>Received Confirmation</v>
      </c>
      <c r="P1929" s="6">
        <f ca="1">TODAY()-Table2[[#This Row],[DATE SENT TO POG]]</f>
        <v>80</v>
      </c>
      <c r="Q1929" s="6" t="s">
        <v>5803</v>
      </c>
      <c r="R19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29" s="2" t="str">
        <f>_xlfn.XLOOKUP(Table2[[#This Row],[Adjusted Form '#]],'[2]IN PROGRESS'!$D:$D,'[2]IN PROGRESS'!$M:$M,"Not Found")</f>
        <v>Not Found</v>
      </c>
      <c r="U1929" s="2" t="str">
        <f>_xlfn.XLOOKUP(Table2[[#This Row],[Adjusted Form '#]],[1]COMPLETED!$D:$D,[2]COMPLETED!$M:$M,"Not Found")</f>
        <v>Not Found</v>
      </c>
      <c r="V1929" s="17" t="str">
        <f>_xlfn.XLOOKUP(Table2[[#This Row],[Adjusted Form '#]],[2]COMPLETED!$D:$D,[2]COMPLETED!$O:$O,"Not Found")</f>
        <v>Not Found</v>
      </c>
      <c r="W1929" s="2" t="str">
        <f>_xlfn.XLOOKUP(Table2[[#This Row],[Adjusted Form '#]],[2]BILLED!$D:$D,[2]BILLED!$M:$M,"Not Found")</f>
        <v>9400 1361 0605 3569 9790 18</v>
      </c>
      <c r="X1929" s="17" t="e">
        <f>_xlfn.XLOOKUP(Table2[[#This Row],[Adjusted Form '#]],[2]BILLED!$D:$D,[1]BILLED!$O:$O,"Not Found")</f>
        <v>#REF!</v>
      </c>
      <c r="Y1929" s="17" t="e">
        <f>_xlfn.XLOOKUP(Table2[[#This Row],[Adjusted Form '#]],'[2]REJECTED ORDERS'!$D:$D,'[2]REJECTED ORDERS'!$E:$E)</f>
        <v>#N/A</v>
      </c>
      <c r="Z1929" s="1"/>
      <c r="AA1929" s="1"/>
    </row>
    <row r="1930" spans="1:27" ht="15" customHeight="1" x14ac:dyDescent="0.35">
      <c r="A1930" s="4" t="s">
        <v>2854</v>
      </c>
      <c r="B1930" s="1" t="s">
        <v>7407</v>
      </c>
      <c r="C1930" s="11">
        <v>45223</v>
      </c>
      <c r="D1930" s="11" t="s">
        <v>7410</v>
      </c>
      <c r="E1930" s="1" t="s">
        <v>73</v>
      </c>
      <c r="F1930" s="1" t="s">
        <v>7408</v>
      </c>
      <c r="G1930" s="6">
        <f>COUNTIF(F:F,Table2[[#This Row],[Form '#]])</f>
        <v>1</v>
      </c>
      <c r="H1930" s="1" t="s">
        <v>7409</v>
      </c>
      <c r="I1930" s="1" t="s">
        <v>3864</v>
      </c>
      <c r="J1930" s="1" t="s">
        <v>78</v>
      </c>
      <c r="K1930" s="1" t="s">
        <v>3879</v>
      </c>
      <c r="L1930" s="1"/>
      <c r="M1930" s="6" t="str">
        <f>IF(Table2[[#This Row],[Corrected Form '#
 (If Duplicated)]]="",Table2[[#This Row],[Form '#]],Table2[[#This Row],[Corrected Form '#
 (If Duplicated)]])</f>
        <v>7823-02223</v>
      </c>
      <c r="N1930" s="1" t="s">
        <v>49</v>
      </c>
      <c r="O1930" s="6" t="str">
        <f>IF(Table2[[#This Row],[POG CONFIRMATION RECEIPT OF ORDER
(DATE &amp; TIME)]]="","No Confirmation","Received Confirmation")</f>
        <v>Received Confirmation</v>
      </c>
      <c r="P1930" s="6">
        <f ca="1">TODAY()-Table2[[#This Row],[DATE SENT TO POG]]</f>
        <v>80</v>
      </c>
      <c r="Q1930" s="6" t="s">
        <v>5803</v>
      </c>
      <c r="R19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0" s="2" t="str">
        <f>_xlfn.XLOOKUP(Table2[[#This Row],[Adjusted Form '#]],'[2]IN PROGRESS'!$D:$D,'[2]IN PROGRESS'!$M:$M,"Not Found")</f>
        <v>Not Found</v>
      </c>
      <c r="U1930" s="2" t="str">
        <f>_xlfn.XLOOKUP(Table2[[#This Row],[Adjusted Form '#]],[1]COMPLETED!$D:$D,[2]COMPLETED!$M:$M,"Not Found")</f>
        <v>Not Found</v>
      </c>
      <c r="V1930" s="17" t="str">
        <f>_xlfn.XLOOKUP(Table2[[#This Row],[Adjusted Form '#]],[2]COMPLETED!$D:$D,[2]COMPLETED!$O:$O,"Not Found")</f>
        <v>Not Found</v>
      </c>
      <c r="W1930" s="2" t="str">
        <f>_xlfn.XLOOKUP(Table2[[#This Row],[Adjusted Form '#]],[2]BILLED!$D:$D,[2]BILLED!$M:$M,"Not Found")</f>
        <v>9400 1361 0605 3578 4941 44</v>
      </c>
      <c r="X1930" s="17" t="e">
        <f>_xlfn.XLOOKUP(Table2[[#This Row],[Adjusted Form '#]],[2]BILLED!$D:$D,[1]BILLED!$O:$O,"Not Found")</f>
        <v>#REF!</v>
      </c>
      <c r="Y1930" s="17" t="e">
        <f>_xlfn.XLOOKUP(Table2[[#This Row],[Adjusted Form '#]],'[2]REJECTED ORDERS'!$D:$D,'[2]REJECTED ORDERS'!$E:$E)</f>
        <v>#N/A</v>
      </c>
      <c r="Z1930" s="1"/>
      <c r="AA1930" s="1"/>
    </row>
    <row r="1931" spans="1:27" ht="15" customHeight="1" x14ac:dyDescent="0.35">
      <c r="A1931" s="4" t="s">
        <v>2855</v>
      </c>
      <c r="B1931" s="1" t="s">
        <v>735</v>
      </c>
      <c r="C1931" s="11">
        <v>45224</v>
      </c>
      <c r="D1931" s="11" t="s">
        <v>7412</v>
      </c>
      <c r="E1931" s="1" t="s">
        <v>73</v>
      </c>
      <c r="F1931" s="1" t="s">
        <v>7411</v>
      </c>
      <c r="G1931" s="6">
        <f>COUNTIF(F:F,Table2[[#This Row],[Form '#]])</f>
        <v>1</v>
      </c>
      <c r="H1931" s="1" t="s">
        <v>5573</v>
      </c>
      <c r="I1931" s="1" t="s">
        <v>758</v>
      </c>
      <c r="J1931" s="1" t="s">
        <v>78</v>
      </c>
      <c r="K1931" s="1" t="s">
        <v>3853</v>
      </c>
      <c r="L1931" s="1"/>
      <c r="M1931" s="6" t="str">
        <f>IF(Table2[[#This Row],[Corrected Form '#
 (If Duplicated)]]="",Table2[[#This Row],[Form '#]],Table2[[#This Row],[Corrected Form '#
 (If Duplicated)]])</f>
        <v>7823-02818</v>
      </c>
      <c r="N1931" s="1" t="s">
        <v>49</v>
      </c>
      <c r="O1931" s="6" t="str">
        <f>IF(Table2[[#This Row],[POG CONFIRMATION RECEIPT OF ORDER
(DATE &amp; TIME)]]="","No Confirmation","Received Confirmation")</f>
        <v>Received Confirmation</v>
      </c>
      <c r="P1931" s="6">
        <f ca="1">TODAY()-Table2[[#This Row],[DATE SENT TO POG]]</f>
        <v>79</v>
      </c>
      <c r="Q1931" s="6" t="s">
        <v>5803</v>
      </c>
      <c r="R19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1" s="2" t="str">
        <f>_xlfn.XLOOKUP(Table2[[#This Row],[Adjusted Form '#]],'[2]IN PROGRESS'!$D:$D,'[2]IN PROGRESS'!$M:$M,"Not Found")</f>
        <v>Not Found</v>
      </c>
      <c r="U1931" s="2" t="str">
        <f>_xlfn.XLOOKUP(Table2[[#This Row],[Adjusted Form '#]],[1]COMPLETED!$D:$D,[2]COMPLETED!$M:$M,"Not Found")</f>
        <v>Not Found</v>
      </c>
      <c r="V1931" s="17" t="str">
        <f>_xlfn.XLOOKUP(Table2[[#This Row],[Adjusted Form '#]],[2]COMPLETED!$D:$D,[2]COMPLETED!$O:$O,"Not Found")</f>
        <v>Not Found</v>
      </c>
      <c r="W1931" s="2" t="str">
        <f>_xlfn.XLOOKUP(Table2[[#This Row],[Adjusted Form '#]],[2]BILLED!$D:$D,[2]BILLED!$M:$M,"Not Found")</f>
        <v>9400 1361 0605 3578 2538 57</v>
      </c>
      <c r="X1931" s="17" t="e">
        <f>_xlfn.XLOOKUP(Table2[[#This Row],[Adjusted Form '#]],[2]BILLED!$D:$D,[1]BILLED!$O:$O,"Not Found")</f>
        <v>#REF!</v>
      </c>
      <c r="Y1931" s="17" t="e">
        <f>_xlfn.XLOOKUP(Table2[[#This Row],[Adjusted Form '#]],'[2]REJECTED ORDERS'!$D:$D,'[2]REJECTED ORDERS'!$E:$E)</f>
        <v>#N/A</v>
      </c>
      <c r="Z1931" s="1"/>
      <c r="AA1931" s="1"/>
    </row>
    <row r="1932" spans="1:27" ht="15" customHeight="1" x14ac:dyDescent="0.35">
      <c r="A1932" s="4" t="s">
        <v>2856</v>
      </c>
      <c r="B1932" s="1" t="s">
        <v>2906</v>
      </c>
      <c r="C1932" s="11">
        <v>45224</v>
      </c>
      <c r="D1932" s="11" t="s">
        <v>7415</v>
      </c>
      <c r="E1932" s="1" t="s">
        <v>14</v>
      </c>
      <c r="F1932" s="1" t="s">
        <v>7413</v>
      </c>
      <c r="G1932" s="6">
        <f>COUNTIF(F:F,Table2[[#This Row],[Form '#]])</f>
        <v>1</v>
      </c>
      <c r="H1932" s="1" t="s">
        <v>1438</v>
      </c>
      <c r="I1932" s="1" t="s">
        <v>177</v>
      </c>
      <c r="J1932" s="1" t="s">
        <v>75</v>
      </c>
      <c r="K1932" s="1" t="s">
        <v>3853</v>
      </c>
      <c r="L1932" s="1"/>
      <c r="M1932" s="6" t="str">
        <f>IF(Table2[[#This Row],[Corrected Form '#
 (If Duplicated)]]="",Table2[[#This Row],[Form '#]],Table2[[#This Row],[Corrected Form '#
 (If Duplicated)]])</f>
        <v>7810-02300</v>
      </c>
      <c r="N1932" s="1" t="s">
        <v>49</v>
      </c>
      <c r="O1932" s="6" t="str">
        <f>IF(Table2[[#This Row],[POG CONFIRMATION RECEIPT OF ORDER
(DATE &amp; TIME)]]="","No Confirmation","Received Confirmation")</f>
        <v>Received Confirmation</v>
      </c>
      <c r="P1932" s="6">
        <f ca="1">TODAY()-Table2[[#This Row],[DATE SENT TO POG]]</f>
        <v>79</v>
      </c>
      <c r="Q1932" s="6" t="s">
        <v>5803</v>
      </c>
      <c r="R19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2" s="2" t="str">
        <f>_xlfn.XLOOKUP(Table2[[#This Row],[Adjusted Form '#]],'[2]IN PROGRESS'!$D:$D,'[2]IN PROGRESS'!$M:$M,"Not Found")</f>
        <v>Not Found</v>
      </c>
      <c r="U1932" s="2" t="str">
        <f>_xlfn.XLOOKUP(Table2[[#This Row],[Adjusted Form '#]],[1]COMPLETED!$D:$D,[2]COMPLETED!$M:$M,"Not Found")</f>
        <v>Not Found</v>
      </c>
      <c r="V1932" s="17" t="str">
        <f>_xlfn.XLOOKUP(Table2[[#This Row],[Adjusted Form '#]],[2]COMPLETED!$D:$D,[2]COMPLETED!$O:$O,"Not Found")</f>
        <v>Not Found</v>
      </c>
      <c r="W1932" s="2" t="str">
        <f>_xlfn.XLOOKUP(Table2[[#This Row],[Adjusted Form '#]],[2]BILLED!$D:$D,[2]BILLED!$M:$M,"Not Found")</f>
        <v>9400 1361 0605 3587 8678 92</v>
      </c>
      <c r="X1932" s="17" t="e">
        <f>_xlfn.XLOOKUP(Table2[[#This Row],[Adjusted Form '#]],[2]BILLED!$D:$D,[1]BILLED!$O:$O,"Not Found")</f>
        <v>#REF!</v>
      </c>
      <c r="Y1932" s="17" t="e">
        <f>_xlfn.XLOOKUP(Table2[[#This Row],[Adjusted Form '#]],'[2]REJECTED ORDERS'!$D:$D,'[2]REJECTED ORDERS'!$E:$E)</f>
        <v>#N/A</v>
      </c>
      <c r="Z1932" s="1"/>
      <c r="AA1932" s="1"/>
    </row>
    <row r="1933" spans="1:27" ht="15" customHeight="1" x14ac:dyDescent="0.35">
      <c r="A1933" s="4" t="s">
        <v>2857</v>
      </c>
      <c r="B1933" s="1" t="s">
        <v>2906</v>
      </c>
      <c r="C1933" s="11">
        <v>45224</v>
      </c>
      <c r="D1933" s="11" t="s">
        <v>7415</v>
      </c>
      <c r="E1933" s="1" t="s">
        <v>14</v>
      </c>
      <c r="F1933" s="1" t="s">
        <v>7414</v>
      </c>
      <c r="G1933" s="6">
        <f>COUNTIF(F:F,Table2[[#This Row],[Form '#]])</f>
        <v>1</v>
      </c>
      <c r="H1933" s="1" t="s">
        <v>3451</v>
      </c>
      <c r="I1933" s="1" t="s">
        <v>3864</v>
      </c>
      <c r="J1933" s="1" t="s">
        <v>78</v>
      </c>
      <c r="K1933" s="1" t="s">
        <v>3879</v>
      </c>
      <c r="L1933" s="1"/>
      <c r="M1933" s="6" t="str">
        <f>IF(Table2[[#This Row],[Corrected Form '#
 (If Duplicated)]]="",Table2[[#This Row],[Form '#]],Table2[[#This Row],[Corrected Form '#
 (If Duplicated)]])</f>
        <v>7810-04719</v>
      </c>
      <c r="N1933" s="1" t="s">
        <v>49</v>
      </c>
      <c r="O1933" s="6" t="str">
        <f>IF(Table2[[#This Row],[POG CONFIRMATION RECEIPT OF ORDER
(DATE &amp; TIME)]]="","No Confirmation","Received Confirmation")</f>
        <v>Received Confirmation</v>
      </c>
      <c r="P1933" s="6">
        <f ca="1">TODAY()-Table2[[#This Row],[DATE SENT TO POG]]</f>
        <v>79</v>
      </c>
      <c r="Q1933" s="6" t="s">
        <v>5802</v>
      </c>
      <c r="R19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93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933" s="2" t="str">
        <f>_xlfn.XLOOKUP(Table2[[#This Row],[Adjusted Form '#]],'[2]IN PROGRESS'!$D:$D,'[2]IN PROGRESS'!$M:$M,"Not Found")</f>
        <v>Not Found</v>
      </c>
      <c r="U1933" s="2" t="str">
        <f>_xlfn.XLOOKUP(Table2[[#This Row],[Adjusted Form '#]],[1]COMPLETED!$D:$D,[2]COMPLETED!$M:$M,"Not Found")</f>
        <v>Not Found</v>
      </c>
      <c r="V1933" s="17" t="str">
        <f>_xlfn.XLOOKUP(Table2[[#This Row],[Adjusted Form '#]],[2]COMPLETED!$D:$D,[2]COMPLETED!$O:$O,"Not Found")</f>
        <v>Not Found</v>
      </c>
      <c r="W1933" s="2" t="str">
        <f>_xlfn.XLOOKUP(Table2[[#This Row],[Adjusted Form '#]],[2]BILLED!$D:$D,[2]BILLED!$M:$M,"Not Found")</f>
        <v>Not Found</v>
      </c>
      <c r="X1933" s="17" t="str">
        <f>_xlfn.XLOOKUP(Table2[[#This Row],[Adjusted Form '#]],[2]BILLED!$D:$D,[1]BILLED!$O:$O,"Not Found")</f>
        <v>Not Found</v>
      </c>
      <c r="Y1933" s="17" t="e">
        <f>_xlfn.XLOOKUP(Table2[[#This Row],[Adjusted Form '#]],'[2]REJECTED ORDERS'!$D:$D,'[2]REJECTED ORDERS'!$E:$E)</f>
        <v>#N/A</v>
      </c>
      <c r="Z1933" s="1"/>
      <c r="AA1933" s="1"/>
    </row>
    <row r="1934" spans="1:27" ht="15" customHeight="1" x14ac:dyDescent="0.35">
      <c r="A1934" s="4" t="s">
        <v>2858</v>
      </c>
      <c r="B1934" s="1" t="s">
        <v>3631</v>
      </c>
      <c r="C1934" s="11">
        <v>45224</v>
      </c>
      <c r="D1934" s="11" t="s">
        <v>7424</v>
      </c>
      <c r="E1934" s="1" t="s">
        <v>21</v>
      </c>
      <c r="F1934" s="1" t="s">
        <v>7416</v>
      </c>
      <c r="G1934" s="6">
        <f>COUNTIF(F:F,Table2[[#This Row],[Form '#]])</f>
        <v>1</v>
      </c>
      <c r="H1934" s="1" t="s">
        <v>7417</v>
      </c>
      <c r="I1934" s="1" t="s">
        <v>3852</v>
      </c>
      <c r="J1934" s="1" t="s">
        <v>80</v>
      </c>
      <c r="K1934" s="1" t="s">
        <v>3853</v>
      </c>
      <c r="L1934" s="1"/>
      <c r="M1934" s="6" t="str">
        <f>IF(Table2[[#This Row],[Corrected Form '#
 (If Duplicated)]]="",Table2[[#This Row],[Form '#]],Table2[[#This Row],[Corrected Form '#
 (If Duplicated)]])</f>
        <v>7818-28247</v>
      </c>
      <c r="N1934" s="1" t="s">
        <v>49</v>
      </c>
      <c r="O1934" s="6" t="str">
        <f>IF(Table2[[#This Row],[POG CONFIRMATION RECEIPT OF ORDER
(DATE &amp; TIME)]]="","No Confirmation","Received Confirmation")</f>
        <v>Received Confirmation</v>
      </c>
      <c r="P1934" s="6">
        <f ca="1">TODAY()-Table2[[#This Row],[DATE SENT TO POG]]</f>
        <v>79</v>
      </c>
      <c r="Q1934" s="6" t="s">
        <v>5803</v>
      </c>
      <c r="R19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4" s="2" t="str">
        <f>_xlfn.XLOOKUP(Table2[[#This Row],[Adjusted Form '#]],'[2]IN PROGRESS'!$D:$D,'[2]IN PROGRESS'!$M:$M,"Not Found")</f>
        <v>Not Found</v>
      </c>
      <c r="U1934" s="2" t="str">
        <f>_xlfn.XLOOKUP(Table2[[#This Row],[Adjusted Form '#]],[1]COMPLETED!$D:$D,[2]COMPLETED!$M:$M,"Not Found")</f>
        <v>Not Found</v>
      </c>
      <c r="V1934" s="17" t="str">
        <f>_xlfn.XLOOKUP(Table2[[#This Row],[Adjusted Form '#]],[2]COMPLETED!$D:$D,[2]COMPLETED!$O:$O,"Not Found")</f>
        <v>Not Found</v>
      </c>
      <c r="W1934" s="2" t="str">
        <f>_xlfn.XLOOKUP(Table2[[#This Row],[Adjusted Form '#]],[2]BILLED!$D:$D,[2]BILLED!$M:$M,"Not Found")</f>
        <v>9400 1361 0605 3604 9044 70</v>
      </c>
      <c r="X1934" s="17" t="e">
        <f>_xlfn.XLOOKUP(Table2[[#This Row],[Adjusted Form '#]],[2]BILLED!$D:$D,[1]BILLED!$O:$O,"Not Found")</f>
        <v>#REF!</v>
      </c>
      <c r="Y1934" s="17" t="e">
        <f>_xlfn.XLOOKUP(Table2[[#This Row],[Adjusted Form '#]],'[2]REJECTED ORDERS'!$D:$D,'[2]REJECTED ORDERS'!$E:$E)</f>
        <v>#N/A</v>
      </c>
      <c r="Z1934" s="1"/>
      <c r="AA1934" s="1"/>
    </row>
    <row r="1935" spans="1:27" ht="15" customHeight="1" x14ac:dyDescent="0.35">
      <c r="A1935" s="4" t="s">
        <v>2859</v>
      </c>
      <c r="B1935" s="1" t="s">
        <v>3631</v>
      </c>
      <c r="C1935" s="11">
        <v>45224</v>
      </c>
      <c r="D1935" s="11" t="s">
        <v>7424</v>
      </c>
      <c r="E1935" s="1" t="s">
        <v>21</v>
      </c>
      <c r="F1935" s="1" t="s">
        <v>7418</v>
      </c>
      <c r="G1935" s="6">
        <f>COUNTIF(F:F,Table2[[#This Row],[Form '#]])</f>
        <v>1</v>
      </c>
      <c r="H1935" s="1" t="s">
        <v>7419</v>
      </c>
      <c r="I1935" s="1" t="s">
        <v>3852</v>
      </c>
      <c r="J1935" s="1" t="s">
        <v>80</v>
      </c>
      <c r="K1935" s="1" t="s">
        <v>3853</v>
      </c>
      <c r="L1935" s="1"/>
      <c r="M1935" s="6" t="str">
        <f>IF(Table2[[#This Row],[Corrected Form '#
 (If Duplicated)]]="",Table2[[#This Row],[Form '#]],Table2[[#This Row],[Corrected Form '#
 (If Duplicated)]])</f>
        <v>7818-26611</v>
      </c>
      <c r="N1935" s="1" t="s">
        <v>49</v>
      </c>
      <c r="O1935" s="6" t="str">
        <f>IF(Table2[[#This Row],[POG CONFIRMATION RECEIPT OF ORDER
(DATE &amp; TIME)]]="","No Confirmation","Received Confirmation")</f>
        <v>Received Confirmation</v>
      </c>
      <c r="P1935" s="6">
        <f ca="1">TODAY()-Table2[[#This Row],[DATE SENT TO POG]]</f>
        <v>79</v>
      </c>
      <c r="Q1935" s="6" t="s">
        <v>5803</v>
      </c>
      <c r="R19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93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935" s="2" t="str">
        <f>_xlfn.XLOOKUP(Table2[[#This Row],[Adjusted Form '#]],'[2]IN PROGRESS'!$D:$D,'[2]IN PROGRESS'!$M:$M,"Not Found")</f>
        <v>Not Found</v>
      </c>
      <c r="U1935" s="2" t="str">
        <f>_xlfn.XLOOKUP(Table2[[#This Row],[Adjusted Form '#]],[1]COMPLETED!$D:$D,[2]COMPLETED!$M:$M,"Not Found")</f>
        <v>Not Found</v>
      </c>
      <c r="V1935" s="17">
        <f>_xlfn.XLOOKUP(Table2[[#This Row],[Adjusted Form '#]],[2]COMPLETED!$D:$D,[2]COMPLETED!$O:$O,"Not Found")</f>
        <v>45278</v>
      </c>
      <c r="W1935" s="2" t="str">
        <f>_xlfn.XLOOKUP(Table2[[#This Row],[Adjusted Form '#]],[2]BILLED!$D:$D,[2]BILLED!$M:$M,"Not Found")</f>
        <v>Not Found</v>
      </c>
      <c r="X1935" s="17" t="str">
        <f>_xlfn.XLOOKUP(Table2[[#This Row],[Adjusted Form '#]],[2]BILLED!$D:$D,[1]BILLED!$O:$O,"Not Found")</f>
        <v>Not Found</v>
      </c>
      <c r="Y1935" s="17" t="str">
        <f>_xlfn.XLOOKUP(Table2[[#This Row],[Adjusted Form '#]],'[2]REJECTED ORDERS'!$D:$D,'[2]REJECTED ORDERS'!$E:$E)</f>
        <v>CANT READ RX INFO ON FORM</v>
      </c>
      <c r="Z1935" s="1"/>
      <c r="AA1935" s="1"/>
    </row>
    <row r="1936" spans="1:27" ht="15" customHeight="1" x14ac:dyDescent="0.35">
      <c r="A1936" s="4" t="s">
        <v>2861</v>
      </c>
      <c r="B1936" s="1" t="s">
        <v>3631</v>
      </c>
      <c r="C1936" s="11">
        <v>45224</v>
      </c>
      <c r="D1936" s="11" t="s">
        <v>7424</v>
      </c>
      <c r="E1936" s="1" t="s">
        <v>21</v>
      </c>
      <c r="F1936" s="1" t="s">
        <v>7421</v>
      </c>
      <c r="G1936" s="6">
        <f>COUNTIF(F:F,Table2[[#This Row],[Form '#]])</f>
        <v>1</v>
      </c>
      <c r="H1936" s="1" t="s">
        <v>7420</v>
      </c>
      <c r="I1936" s="1" t="s">
        <v>3852</v>
      </c>
      <c r="J1936" s="1" t="s">
        <v>75</v>
      </c>
      <c r="K1936" s="1" t="s">
        <v>4011</v>
      </c>
      <c r="L1936" s="1"/>
      <c r="M1936" s="6" t="str">
        <f>IF(Table2[[#This Row],[Corrected Form '#
 (If Duplicated)]]="",Table2[[#This Row],[Form '#]],Table2[[#This Row],[Corrected Form '#
 (If Duplicated)]])</f>
        <v>7818-19735</v>
      </c>
      <c r="N1936" s="1" t="s">
        <v>49</v>
      </c>
      <c r="O1936" s="6" t="str">
        <f>IF(Table2[[#This Row],[POG CONFIRMATION RECEIPT OF ORDER
(DATE &amp; TIME)]]="","No Confirmation","Received Confirmation")</f>
        <v>Received Confirmation</v>
      </c>
      <c r="P1936" s="6">
        <f ca="1">TODAY()-Table2[[#This Row],[DATE SENT TO POG]]</f>
        <v>79</v>
      </c>
      <c r="Q1936" s="6" t="s">
        <v>5803</v>
      </c>
      <c r="R19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6" s="2" t="str">
        <f>_xlfn.XLOOKUP(Table2[[#This Row],[Adjusted Form '#]],'[2]IN PROGRESS'!$D:$D,'[2]IN PROGRESS'!$M:$M,"Not Found")</f>
        <v>Not Found</v>
      </c>
      <c r="U1936" s="2" t="str">
        <f>_xlfn.XLOOKUP(Table2[[#This Row],[Adjusted Form '#]],[1]COMPLETED!$D:$D,[2]COMPLETED!$M:$M,"Not Found")</f>
        <v>Not Found</v>
      </c>
      <c r="V1936" s="17" t="str">
        <f>_xlfn.XLOOKUP(Table2[[#This Row],[Adjusted Form '#]],[2]COMPLETED!$D:$D,[2]COMPLETED!$O:$O,"Not Found")</f>
        <v>Not Found</v>
      </c>
      <c r="W1936" s="2" t="str">
        <f>_xlfn.XLOOKUP(Table2[[#This Row],[Adjusted Form '#]],[2]BILLED!$D:$D,[2]BILLED!$M:$M,"Not Found")</f>
        <v>9400 1361 0605 3587 8593 23</v>
      </c>
      <c r="X1936" s="17" t="e">
        <f>_xlfn.XLOOKUP(Table2[[#This Row],[Adjusted Form '#]],[2]BILLED!$D:$D,[1]BILLED!$O:$O,"Not Found")</f>
        <v>#REF!</v>
      </c>
      <c r="Y1936" s="17" t="e">
        <f>_xlfn.XLOOKUP(Table2[[#This Row],[Adjusted Form '#]],'[2]REJECTED ORDERS'!$D:$D,'[2]REJECTED ORDERS'!$E:$E)</f>
        <v>#N/A</v>
      </c>
      <c r="Z1936" s="1"/>
      <c r="AA1936" s="1"/>
    </row>
    <row r="1937" spans="1:27" ht="15" customHeight="1" x14ac:dyDescent="0.35">
      <c r="A1937" s="4" t="s">
        <v>2863</v>
      </c>
      <c r="B1937" s="1" t="s">
        <v>3631</v>
      </c>
      <c r="C1937" s="11">
        <v>45224</v>
      </c>
      <c r="D1937" s="11" t="s">
        <v>7424</v>
      </c>
      <c r="E1937" s="1" t="s">
        <v>21</v>
      </c>
      <c r="F1937" s="1" t="s">
        <v>7422</v>
      </c>
      <c r="G1937" s="6">
        <f>COUNTIF(F:F,Table2[[#This Row],[Form '#]])</f>
        <v>1</v>
      </c>
      <c r="H1937" s="1" t="s">
        <v>7423</v>
      </c>
      <c r="I1937" s="1" t="s">
        <v>3852</v>
      </c>
      <c r="J1937" s="1" t="s">
        <v>80</v>
      </c>
      <c r="K1937" s="1" t="s">
        <v>3853</v>
      </c>
      <c r="L1937" s="1"/>
      <c r="M1937" s="6" t="str">
        <f>IF(Table2[[#This Row],[Corrected Form '#
 (If Duplicated)]]="",Table2[[#This Row],[Form '#]],Table2[[#This Row],[Corrected Form '#
 (If Duplicated)]])</f>
        <v>7818-32898</v>
      </c>
      <c r="N1937" s="1" t="s">
        <v>49</v>
      </c>
      <c r="O1937" s="6" t="str">
        <f>IF(Table2[[#This Row],[POG CONFIRMATION RECEIPT OF ORDER
(DATE &amp; TIME)]]="","No Confirmation","Received Confirmation")</f>
        <v>Received Confirmation</v>
      </c>
      <c r="P1937" s="6">
        <f ca="1">TODAY()-Table2[[#This Row],[DATE SENT TO POG]]</f>
        <v>79</v>
      </c>
      <c r="Q1937" s="6" t="s">
        <v>5803</v>
      </c>
      <c r="R19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7" s="2" t="str">
        <f>_xlfn.XLOOKUP(Table2[[#This Row],[Adjusted Form '#]],'[2]IN PROGRESS'!$D:$D,'[2]IN PROGRESS'!$M:$M,"Not Found")</f>
        <v>Not Found</v>
      </c>
      <c r="U1937" s="2" t="str">
        <f>_xlfn.XLOOKUP(Table2[[#This Row],[Adjusted Form '#]],[1]COMPLETED!$D:$D,[2]COMPLETED!$M:$M,"Not Found")</f>
        <v>Not Found</v>
      </c>
      <c r="V1937" s="17" t="str">
        <f>_xlfn.XLOOKUP(Table2[[#This Row],[Adjusted Form '#]],[2]COMPLETED!$D:$D,[2]COMPLETED!$O:$O,"Not Found")</f>
        <v>Not Found</v>
      </c>
      <c r="W1937" s="2" t="str">
        <f>_xlfn.XLOOKUP(Table2[[#This Row],[Adjusted Form '#]],[2]BILLED!$D:$D,[2]BILLED!$M:$M,"Not Found")</f>
        <v>9400 1361 0605 3585 6228 82</v>
      </c>
      <c r="X1937" s="17" t="e">
        <f>_xlfn.XLOOKUP(Table2[[#This Row],[Adjusted Form '#]],[2]BILLED!$D:$D,[1]BILLED!$O:$O,"Not Found")</f>
        <v>#REF!</v>
      </c>
      <c r="Y1937" s="17" t="e">
        <f>_xlfn.XLOOKUP(Table2[[#This Row],[Adjusted Form '#]],'[2]REJECTED ORDERS'!$D:$D,'[2]REJECTED ORDERS'!$E:$E)</f>
        <v>#N/A</v>
      </c>
      <c r="Z1937" s="1"/>
      <c r="AA1937" s="1"/>
    </row>
    <row r="1938" spans="1:27" ht="15" customHeight="1" x14ac:dyDescent="0.35">
      <c r="A1938" s="4" t="s">
        <v>2865</v>
      </c>
      <c r="B1938" s="1" t="s">
        <v>2607</v>
      </c>
      <c r="C1938" s="11">
        <v>45224</v>
      </c>
      <c r="D1938" s="11" t="s">
        <v>7427</v>
      </c>
      <c r="E1938" s="1" t="s">
        <v>191</v>
      </c>
      <c r="F1938" s="1" t="s">
        <v>7425</v>
      </c>
      <c r="G1938" s="6">
        <f>COUNTIF(F:F,Table2[[#This Row],[Form '#]])</f>
        <v>1</v>
      </c>
      <c r="H1938" s="1" t="s">
        <v>2331</v>
      </c>
      <c r="I1938" s="1" t="s">
        <v>127</v>
      </c>
      <c r="J1938" s="1" t="s">
        <v>76</v>
      </c>
      <c r="K1938" s="1" t="s">
        <v>4011</v>
      </c>
      <c r="L1938" s="1"/>
      <c r="M1938" s="6" t="str">
        <f>IF(Table2[[#This Row],[Corrected Form '#
 (If Duplicated)]]="",Table2[[#This Row],[Form '#]],Table2[[#This Row],[Corrected Form '#
 (If Duplicated)]])</f>
        <v>7812-04566</v>
      </c>
      <c r="N1938" s="1" t="s">
        <v>49</v>
      </c>
      <c r="O1938" s="6" t="str">
        <f>IF(Table2[[#This Row],[POG CONFIRMATION RECEIPT OF ORDER
(DATE &amp; TIME)]]="","No Confirmation","Received Confirmation")</f>
        <v>Received Confirmation</v>
      </c>
      <c r="P1938" s="6">
        <f ca="1">TODAY()-Table2[[#This Row],[DATE SENT TO POG]]</f>
        <v>79</v>
      </c>
      <c r="Q1938" s="6" t="s">
        <v>5803</v>
      </c>
      <c r="R19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8" s="2" t="str">
        <f>_xlfn.XLOOKUP(Table2[[#This Row],[Adjusted Form '#]],'[2]IN PROGRESS'!$D:$D,'[2]IN PROGRESS'!$M:$M,"Not Found")</f>
        <v>Not Found</v>
      </c>
      <c r="U1938" s="2" t="str">
        <f>_xlfn.XLOOKUP(Table2[[#This Row],[Adjusted Form '#]],[1]COMPLETED!$D:$D,[2]COMPLETED!$M:$M,"Not Found")</f>
        <v>Not Found</v>
      </c>
      <c r="V1938" s="17" t="str">
        <f>_xlfn.XLOOKUP(Table2[[#This Row],[Adjusted Form '#]],[2]COMPLETED!$D:$D,[2]COMPLETED!$O:$O,"Not Found")</f>
        <v>Not Found</v>
      </c>
      <c r="W1938" s="2" t="str">
        <f>_xlfn.XLOOKUP(Table2[[#This Row],[Adjusted Form '#]],[2]BILLED!$D:$D,[2]BILLED!$M:$M,"Not Found")</f>
        <v>9400 1361 0605 3581 8951 67</v>
      </c>
      <c r="X1938" s="17" t="e">
        <f>_xlfn.XLOOKUP(Table2[[#This Row],[Adjusted Form '#]],[2]BILLED!$D:$D,[1]BILLED!$O:$O,"Not Found")</f>
        <v>#REF!</v>
      </c>
      <c r="Y1938" s="17" t="e">
        <f>_xlfn.XLOOKUP(Table2[[#This Row],[Adjusted Form '#]],'[2]REJECTED ORDERS'!$D:$D,'[2]REJECTED ORDERS'!$E:$E)</f>
        <v>#N/A</v>
      </c>
      <c r="Z1938" s="1"/>
      <c r="AA1938" s="1"/>
    </row>
    <row r="1939" spans="1:27" ht="15" customHeight="1" x14ac:dyDescent="0.35">
      <c r="A1939" s="4" t="s">
        <v>2867</v>
      </c>
      <c r="B1939" s="1" t="s">
        <v>2607</v>
      </c>
      <c r="C1939" s="11">
        <v>45224</v>
      </c>
      <c r="D1939" s="11" t="s">
        <v>7427</v>
      </c>
      <c r="E1939" s="1" t="s">
        <v>191</v>
      </c>
      <c r="F1939" s="1" t="s">
        <v>7426</v>
      </c>
      <c r="G1939" s="6">
        <f>COUNTIF(F:F,Table2[[#This Row],[Form '#]])</f>
        <v>1</v>
      </c>
      <c r="H1939" s="1" t="s">
        <v>3688</v>
      </c>
      <c r="I1939" s="1" t="s">
        <v>127</v>
      </c>
      <c r="J1939" s="1" t="s">
        <v>76</v>
      </c>
      <c r="K1939" s="1" t="s">
        <v>4011</v>
      </c>
      <c r="L1939" s="1"/>
      <c r="M1939" s="6" t="str">
        <f>IF(Table2[[#This Row],[Corrected Form '#
 (If Duplicated)]]="",Table2[[#This Row],[Form '#]],Table2[[#This Row],[Corrected Form '#
 (If Duplicated)]])</f>
        <v>7812-04505</v>
      </c>
      <c r="N1939" s="1" t="s">
        <v>49</v>
      </c>
      <c r="O1939" s="6" t="str">
        <f>IF(Table2[[#This Row],[POG CONFIRMATION RECEIPT OF ORDER
(DATE &amp; TIME)]]="","No Confirmation","Received Confirmation")</f>
        <v>Received Confirmation</v>
      </c>
      <c r="P1939" s="6">
        <f ca="1">TODAY()-Table2[[#This Row],[DATE SENT TO POG]]</f>
        <v>79</v>
      </c>
      <c r="Q1939" s="6" t="s">
        <v>5803</v>
      </c>
      <c r="R19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39" s="2" t="str">
        <f>_xlfn.XLOOKUP(Table2[[#This Row],[Adjusted Form '#]],'[2]IN PROGRESS'!$D:$D,'[2]IN PROGRESS'!$M:$M,"Not Found")</f>
        <v>Not Found</v>
      </c>
      <c r="U1939" s="2" t="str">
        <f>_xlfn.XLOOKUP(Table2[[#This Row],[Adjusted Form '#]],[1]COMPLETED!$D:$D,[2]COMPLETED!$M:$M,"Not Found")</f>
        <v>Not Found</v>
      </c>
      <c r="V1939" s="17" t="str">
        <f>_xlfn.XLOOKUP(Table2[[#This Row],[Adjusted Form '#]],[2]COMPLETED!$D:$D,[2]COMPLETED!$O:$O,"Not Found")</f>
        <v>Not Found</v>
      </c>
      <c r="W1939" s="2" t="str">
        <f>_xlfn.XLOOKUP(Table2[[#This Row],[Adjusted Form '#]],[2]BILLED!$D:$D,[2]BILLED!$M:$M,"Not Found")</f>
        <v>9400 1361 0605 3570 1005 93</v>
      </c>
      <c r="X1939" s="17" t="e">
        <f>_xlfn.XLOOKUP(Table2[[#This Row],[Adjusted Form '#]],[2]BILLED!$D:$D,[1]BILLED!$O:$O,"Not Found")</f>
        <v>#REF!</v>
      </c>
      <c r="Y1939" s="17" t="e">
        <f>_xlfn.XLOOKUP(Table2[[#This Row],[Adjusted Form '#]],'[2]REJECTED ORDERS'!$D:$D,'[2]REJECTED ORDERS'!$E:$E)</f>
        <v>#N/A</v>
      </c>
      <c r="Z1939" s="1"/>
      <c r="AA1939" s="1"/>
    </row>
    <row r="1940" spans="1:27" ht="15" customHeight="1" x14ac:dyDescent="0.35">
      <c r="A1940" s="4" t="s">
        <v>2868</v>
      </c>
      <c r="B1940" s="1" t="s">
        <v>876</v>
      </c>
      <c r="C1940" s="11">
        <v>45225</v>
      </c>
      <c r="D1940" s="11" t="s">
        <v>7447</v>
      </c>
      <c r="E1940" s="1" t="s">
        <v>21</v>
      </c>
      <c r="F1940" s="1" t="s">
        <v>7428</v>
      </c>
      <c r="G1940" s="6">
        <f>COUNTIF(F:F,Table2[[#This Row],[Form '#]])</f>
        <v>1</v>
      </c>
      <c r="H1940" s="1" t="s">
        <v>7429</v>
      </c>
      <c r="I1940" s="1" t="s">
        <v>177</v>
      </c>
      <c r="J1940" s="1" t="s">
        <v>75</v>
      </c>
      <c r="K1940" s="1" t="s">
        <v>3853</v>
      </c>
      <c r="L1940" s="1"/>
      <c r="M1940" s="6" t="str">
        <f>IF(Table2[[#This Row],[Corrected Form '#
 (If Duplicated)]]="",Table2[[#This Row],[Form '#]],Table2[[#This Row],[Corrected Form '#
 (If Duplicated)]])</f>
        <v>7818-26865</v>
      </c>
      <c r="N1940" s="1" t="s">
        <v>49</v>
      </c>
      <c r="O1940" s="6" t="str">
        <f>IF(Table2[[#This Row],[POG CONFIRMATION RECEIPT OF ORDER
(DATE &amp; TIME)]]="","No Confirmation","Received Confirmation")</f>
        <v>Received Confirmation</v>
      </c>
      <c r="P1940" s="6">
        <f ca="1">TODAY()-Table2[[#This Row],[DATE SENT TO POG]]</f>
        <v>78</v>
      </c>
      <c r="Q1940" s="6" t="s">
        <v>5803</v>
      </c>
      <c r="R19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0" s="2" t="str">
        <f>_xlfn.XLOOKUP(Table2[[#This Row],[Adjusted Form '#]],'[2]IN PROGRESS'!$D:$D,'[2]IN PROGRESS'!$M:$M,"Not Found")</f>
        <v>Not Found</v>
      </c>
      <c r="U1940" s="2" t="str">
        <f>_xlfn.XLOOKUP(Table2[[#This Row],[Adjusted Form '#]],[1]COMPLETED!$D:$D,[2]COMPLETED!$M:$M,"Not Found")</f>
        <v>Not Found</v>
      </c>
      <c r="V1940" s="17" t="str">
        <f>_xlfn.XLOOKUP(Table2[[#This Row],[Adjusted Form '#]],[2]COMPLETED!$D:$D,[2]COMPLETED!$O:$O,"Not Found")</f>
        <v>Not Found</v>
      </c>
      <c r="W1940" s="2" t="str">
        <f>_xlfn.XLOOKUP(Table2[[#This Row],[Adjusted Form '#]],[2]BILLED!$D:$D,[2]BILLED!$M:$M,"Not Found")</f>
        <v>9400 1112 0620 9384 7034 51</v>
      </c>
      <c r="X1940" s="17" t="e">
        <f>_xlfn.XLOOKUP(Table2[[#This Row],[Adjusted Form '#]],[2]BILLED!$D:$D,[1]BILLED!$O:$O,"Not Found")</f>
        <v>#REF!</v>
      </c>
      <c r="Y1940" s="17" t="e">
        <f>_xlfn.XLOOKUP(Table2[[#This Row],[Adjusted Form '#]],'[2]REJECTED ORDERS'!$D:$D,'[2]REJECTED ORDERS'!$E:$E)</f>
        <v>#N/A</v>
      </c>
      <c r="Z1940" s="1"/>
      <c r="AA1940" s="1"/>
    </row>
    <row r="1941" spans="1:27" ht="15" customHeight="1" x14ac:dyDescent="0.35">
      <c r="A1941" s="4" t="s">
        <v>2869</v>
      </c>
      <c r="B1941" s="1" t="s">
        <v>876</v>
      </c>
      <c r="C1941" s="11">
        <v>45225</v>
      </c>
      <c r="D1941" s="11" t="s">
        <v>7447</v>
      </c>
      <c r="E1941" s="1" t="s">
        <v>21</v>
      </c>
      <c r="F1941" s="1" t="s">
        <v>7430</v>
      </c>
      <c r="G1941" s="6">
        <f>COUNTIF(F:F,Table2[[#This Row],[Form '#]])</f>
        <v>1</v>
      </c>
      <c r="H1941" s="1" t="s">
        <v>7431</v>
      </c>
      <c r="I1941" s="1" t="s">
        <v>758</v>
      </c>
      <c r="J1941" s="1" t="s">
        <v>78</v>
      </c>
      <c r="K1941" s="1" t="s">
        <v>3853</v>
      </c>
      <c r="L1941" s="1"/>
      <c r="M1941" s="6" t="str">
        <f>IF(Table2[[#This Row],[Corrected Form '#
 (If Duplicated)]]="",Table2[[#This Row],[Form '#]],Table2[[#This Row],[Corrected Form '#
 (If Duplicated)]])</f>
        <v>7818-09447</v>
      </c>
      <c r="N1941" s="1" t="s">
        <v>49</v>
      </c>
      <c r="O1941" s="6" t="str">
        <f>IF(Table2[[#This Row],[POG CONFIRMATION RECEIPT OF ORDER
(DATE &amp; TIME)]]="","No Confirmation","Received Confirmation")</f>
        <v>Received Confirmation</v>
      </c>
      <c r="P1941" s="6">
        <f ca="1">TODAY()-Table2[[#This Row],[DATE SENT TO POG]]</f>
        <v>78</v>
      </c>
      <c r="Q1941" s="6" t="s">
        <v>5803</v>
      </c>
      <c r="R19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1" s="2" t="str">
        <f>_xlfn.XLOOKUP(Table2[[#This Row],[Adjusted Form '#]],'[2]IN PROGRESS'!$D:$D,'[2]IN PROGRESS'!$M:$M,"Not Found")</f>
        <v>Not Found</v>
      </c>
      <c r="U1941" s="2" t="str">
        <f>_xlfn.XLOOKUP(Table2[[#This Row],[Adjusted Form '#]],[1]COMPLETED!$D:$D,[2]COMPLETED!$M:$M,"Not Found")</f>
        <v>Not Found</v>
      </c>
      <c r="V1941" s="17" t="str">
        <f>_xlfn.XLOOKUP(Table2[[#This Row],[Adjusted Form '#]],[2]COMPLETED!$D:$D,[2]COMPLETED!$O:$O,"Not Found")</f>
        <v>Not Found</v>
      </c>
      <c r="W1941" s="2" t="str">
        <f>_xlfn.XLOOKUP(Table2[[#This Row],[Adjusted Form '#]],[2]BILLED!$D:$D,[2]BILLED!$M:$M,"Not Found")</f>
        <v>9400 1361 0605 3578 2673 04</v>
      </c>
      <c r="X1941" s="17" t="e">
        <f>_xlfn.XLOOKUP(Table2[[#This Row],[Adjusted Form '#]],[2]BILLED!$D:$D,[1]BILLED!$O:$O,"Not Found")</f>
        <v>#REF!</v>
      </c>
      <c r="Y1941" s="17" t="e">
        <f>_xlfn.XLOOKUP(Table2[[#This Row],[Adjusted Form '#]],'[2]REJECTED ORDERS'!$D:$D,'[2]REJECTED ORDERS'!$E:$E)</f>
        <v>#N/A</v>
      </c>
      <c r="Z1941" s="1"/>
      <c r="AA1941" s="1"/>
    </row>
    <row r="1942" spans="1:27" ht="15" customHeight="1" x14ac:dyDescent="0.35">
      <c r="A1942" s="4" t="s">
        <v>2870</v>
      </c>
      <c r="B1942" s="1" t="s">
        <v>876</v>
      </c>
      <c r="C1942" s="11">
        <v>45225</v>
      </c>
      <c r="D1942" s="11" t="s">
        <v>7447</v>
      </c>
      <c r="E1942" s="1" t="s">
        <v>21</v>
      </c>
      <c r="F1942" s="1" t="s">
        <v>7432</v>
      </c>
      <c r="G1942" s="6">
        <f>COUNTIF(F:F,Table2[[#This Row],[Form '#]])</f>
        <v>1</v>
      </c>
      <c r="H1942" s="1" t="s">
        <v>3767</v>
      </c>
      <c r="I1942" s="1" t="s">
        <v>127</v>
      </c>
      <c r="J1942" s="1" t="s">
        <v>74</v>
      </c>
      <c r="K1942" s="1" t="s">
        <v>4011</v>
      </c>
      <c r="L1942" s="1"/>
      <c r="M1942" s="6" t="str">
        <f>IF(Table2[[#This Row],[Corrected Form '#
 (If Duplicated)]]="",Table2[[#This Row],[Form '#]],Table2[[#This Row],[Corrected Form '#
 (If Duplicated)]])</f>
        <v>7818-19838</v>
      </c>
      <c r="N1942" s="1" t="s">
        <v>49</v>
      </c>
      <c r="O1942" s="6" t="str">
        <f>IF(Table2[[#This Row],[POG CONFIRMATION RECEIPT OF ORDER
(DATE &amp; TIME)]]="","No Confirmation","Received Confirmation")</f>
        <v>Received Confirmation</v>
      </c>
      <c r="P1942" s="6">
        <f ca="1">TODAY()-Table2[[#This Row],[DATE SENT TO POG]]</f>
        <v>78</v>
      </c>
      <c r="Q1942" s="6" t="s">
        <v>5803</v>
      </c>
      <c r="R19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2" s="2" t="str">
        <f>_xlfn.XLOOKUP(Table2[[#This Row],[Adjusted Form '#]],'[2]IN PROGRESS'!$D:$D,'[2]IN PROGRESS'!$M:$M,"Not Found")</f>
        <v>Not Found</v>
      </c>
      <c r="U1942" s="2" t="str">
        <f>_xlfn.XLOOKUP(Table2[[#This Row],[Adjusted Form '#]],[1]COMPLETED!$D:$D,[2]COMPLETED!$M:$M,"Not Found")</f>
        <v>Not Found</v>
      </c>
      <c r="V1942" s="17" t="str">
        <f>_xlfn.XLOOKUP(Table2[[#This Row],[Adjusted Form '#]],[2]COMPLETED!$D:$D,[2]COMPLETED!$O:$O,"Not Found")</f>
        <v>Not Found</v>
      </c>
      <c r="W1942" s="2" t="str">
        <f>_xlfn.XLOOKUP(Table2[[#This Row],[Adjusted Form '#]],[2]BILLED!$D:$D,[2]BILLED!$M:$M,"Not Found")</f>
        <v>9400 1361 0605 3568 0037 38</v>
      </c>
      <c r="X1942" s="17" t="e">
        <f>_xlfn.XLOOKUP(Table2[[#This Row],[Adjusted Form '#]],[2]BILLED!$D:$D,[1]BILLED!$O:$O,"Not Found")</f>
        <v>#REF!</v>
      </c>
      <c r="Y1942" s="17" t="e">
        <f>_xlfn.XLOOKUP(Table2[[#This Row],[Adjusted Form '#]],'[2]REJECTED ORDERS'!$D:$D,'[2]REJECTED ORDERS'!$E:$E)</f>
        <v>#N/A</v>
      </c>
      <c r="Z1942" s="1"/>
      <c r="AA1942" s="1"/>
    </row>
    <row r="1943" spans="1:27" ht="15" customHeight="1" x14ac:dyDescent="0.35">
      <c r="A1943" s="4" t="s">
        <v>2871</v>
      </c>
      <c r="B1943" s="1" t="s">
        <v>876</v>
      </c>
      <c r="C1943" s="11">
        <v>45225</v>
      </c>
      <c r="D1943" s="11" t="s">
        <v>7447</v>
      </c>
      <c r="E1943" s="1" t="s">
        <v>21</v>
      </c>
      <c r="F1943" s="1" t="s">
        <v>7433</v>
      </c>
      <c r="G1943" s="6">
        <f>COUNTIF(F:F,Table2[[#This Row],[Form '#]])</f>
        <v>1</v>
      </c>
      <c r="H1943" s="1" t="s">
        <v>7434</v>
      </c>
      <c r="I1943" s="1" t="s">
        <v>127</v>
      </c>
      <c r="J1943" s="1" t="s">
        <v>76</v>
      </c>
      <c r="K1943" s="1" t="s">
        <v>4011</v>
      </c>
      <c r="L1943" s="1"/>
      <c r="M1943" s="6" t="str">
        <f>IF(Table2[[#This Row],[Corrected Form '#
 (If Duplicated)]]="",Table2[[#This Row],[Form '#]],Table2[[#This Row],[Corrected Form '#
 (If Duplicated)]])</f>
        <v>7818-32909</v>
      </c>
      <c r="N1943" s="1" t="s">
        <v>49</v>
      </c>
      <c r="O1943" s="6" t="str">
        <f>IF(Table2[[#This Row],[POG CONFIRMATION RECEIPT OF ORDER
(DATE &amp; TIME)]]="","No Confirmation","Received Confirmation")</f>
        <v>Received Confirmation</v>
      </c>
      <c r="P1943" s="6">
        <f ca="1">TODAY()-Table2[[#This Row],[DATE SENT TO POG]]</f>
        <v>78</v>
      </c>
      <c r="Q1943" s="6" t="s">
        <v>5803</v>
      </c>
      <c r="R19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3" s="2" t="str">
        <f>_xlfn.XLOOKUP(Table2[[#This Row],[Adjusted Form '#]],'[2]IN PROGRESS'!$D:$D,'[2]IN PROGRESS'!$M:$M,"Not Found")</f>
        <v>Not Found</v>
      </c>
      <c r="U1943" s="2" t="str">
        <f>_xlfn.XLOOKUP(Table2[[#This Row],[Adjusted Form '#]],[1]COMPLETED!$D:$D,[2]COMPLETED!$M:$M,"Not Found")</f>
        <v>Not Found</v>
      </c>
      <c r="V1943" s="17" t="str">
        <f>_xlfn.XLOOKUP(Table2[[#This Row],[Adjusted Form '#]],[2]COMPLETED!$D:$D,[2]COMPLETED!$O:$O,"Not Found")</f>
        <v>Not Found</v>
      </c>
      <c r="W1943" s="2" t="str">
        <f>_xlfn.XLOOKUP(Table2[[#This Row],[Adjusted Form '#]],[2]BILLED!$D:$D,[2]BILLED!$M:$M,"Not Found")</f>
        <v>9400 1361 0605 3571 6646 67</v>
      </c>
      <c r="X1943" s="17" t="e">
        <f>_xlfn.XLOOKUP(Table2[[#This Row],[Adjusted Form '#]],[2]BILLED!$D:$D,[1]BILLED!$O:$O,"Not Found")</f>
        <v>#REF!</v>
      </c>
      <c r="Y1943" s="17" t="e">
        <f>_xlfn.XLOOKUP(Table2[[#This Row],[Adjusted Form '#]],'[2]REJECTED ORDERS'!$D:$D,'[2]REJECTED ORDERS'!$E:$E)</f>
        <v>#N/A</v>
      </c>
      <c r="Z1943" s="1"/>
      <c r="AA1943" s="1"/>
    </row>
    <row r="1944" spans="1:27" ht="15" customHeight="1" x14ac:dyDescent="0.35">
      <c r="A1944" s="4" t="s">
        <v>2872</v>
      </c>
      <c r="B1944" s="1" t="s">
        <v>876</v>
      </c>
      <c r="C1944" s="11">
        <v>45225</v>
      </c>
      <c r="D1944" s="11" t="s">
        <v>7447</v>
      </c>
      <c r="E1944" s="1" t="s">
        <v>21</v>
      </c>
      <c r="F1944" s="1" t="s">
        <v>7435</v>
      </c>
      <c r="G1944" s="6">
        <f>COUNTIF(F:F,Table2[[#This Row],[Form '#]])</f>
        <v>1</v>
      </c>
      <c r="H1944" s="1" t="s">
        <v>7436</v>
      </c>
      <c r="I1944" s="1" t="s">
        <v>3852</v>
      </c>
      <c r="J1944" s="1" t="s">
        <v>80</v>
      </c>
      <c r="K1944" s="1" t="s">
        <v>4011</v>
      </c>
      <c r="L1944" s="1"/>
      <c r="M1944" s="6" t="str">
        <f>IF(Table2[[#This Row],[Corrected Form '#
 (If Duplicated)]]="",Table2[[#This Row],[Form '#]],Table2[[#This Row],[Corrected Form '#
 (If Duplicated)]])</f>
        <v>7818-31217</v>
      </c>
      <c r="N1944" s="1" t="s">
        <v>49</v>
      </c>
      <c r="O1944" s="6" t="str">
        <f>IF(Table2[[#This Row],[POG CONFIRMATION RECEIPT OF ORDER
(DATE &amp; TIME)]]="","No Confirmation","Received Confirmation")</f>
        <v>Received Confirmation</v>
      </c>
      <c r="P1944" s="6">
        <f ca="1">TODAY()-Table2[[#This Row],[DATE SENT TO POG]]</f>
        <v>78</v>
      </c>
      <c r="Q1944" s="6" t="s">
        <v>5803</v>
      </c>
      <c r="R19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4" s="2" t="str">
        <f>_xlfn.XLOOKUP(Table2[[#This Row],[Adjusted Form '#]],'[2]IN PROGRESS'!$D:$D,'[2]IN PROGRESS'!$M:$M,"Not Found")</f>
        <v>Not Found</v>
      </c>
      <c r="U1944" s="2" t="str">
        <f>_xlfn.XLOOKUP(Table2[[#This Row],[Adjusted Form '#]],[1]COMPLETED!$D:$D,[2]COMPLETED!$M:$M,"Not Found")</f>
        <v>Not Found</v>
      </c>
      <c r="V1944" s="17" t="str">
        <f>_xlfn.XLOOKUP(Table2[[#This Row],[Adjusted Form '#]],[2]COMPLETED!$D:$D,[2]COMPLETED!$O:$O,"Not Found")</f>
        <v>Not Found</v>
      </c>
      <c r="W1944" s="2" t="str">
        <f>_xlfn.XLOOKUP(Table2[[#This Row],[Adjusted Form '#]],[2]BILLED!$D:$D,[2]BILLED!$M:$M,"Not Found")</f>
        <v>9400 1361 0605 3570 0280 64</v>
      </c>
      <c r="X1944" s="17" t="e">
        <f>_xlfn.XLOOKUP(Table2[[#This Row],[Adjusted Form '#]],[2]BILLED!$D:$D,[1]BILLED!$O:$O,"Not Found")</f>
        <v>#REF!</v>
      </c>
      <c r="Y1944" s="17" t="e">
        <f>_xlfn.XLOOKUP(Table2[[#This Row],[Adjusted Form '#]],'[2]REJECTED ORDERS'!$D:$D,'[2]REJECTED ORDERS'!$E:$E)</f>
        <v>#N/A</v>
      </c>
      <c r="Z1944" s="1"/>
      <c r="AA1944" s="1"/>
    </row>
    <row r="1945" spans="1:27" ht="15" customHeight="1" x14ac:dyDescent="0.35">
      <c r="A1945" s="4" t="s">
        <v>2874</v>
      </c>
      <c r="B1945" s="1" t="s">
        <v>876</v>
      </c>
      <c r="C1945" s="11">
        <v>45225</v>
      </c>
      <c r="D1945" s="11" t="s">
        <v>7447</v>
      </c>
      <c r="E1945" s="1" t="s">
        <v>21</v>
      </c>
      <c r="F1945" s="1" t="s">
        <v>7437</v>
      </c>
      <c r="G1945" s="6">
        <f>COUNTIF(F:F,Table2[[#This Row],[Form '#]])</f>
        <v>1</v>
      </c>
      <c r="H1945" s="1" t="s">
        <v>7438</v>
      </c>
      <c r="I1945" s="1" t="s">
        <v>3864</v>
      </c>
      <c r="J1945" s="1" t="s">
        <v>78</v>
      </c>
      <c r="K1945" s="1" t="s">
        <v>3879</v>
      </c>
      <c r="L1945" s="1"/>
      <c r="M1945" s="6" t="str">
        <f>IF(Table2[[#This Row],[Corrected Form '#
 (If Duplicated)]]="",Table2[[#This Row],[Form '#]],Table2[[#This Row],[Corrected Form '#
 (If Duplicated)]])</f>
        <v>7818-23511</v>
      </c>
      <c r="N1945" s="1" t="s">
        <v>49</v>
      </c>
      <c r="O1945" s="6" t="str">
        <f>IF(Table2[[#This Row],[POG CONFIRMATION RECEIPT OF ORDER
(DATE &amp; TIME)]]="","No Confirmation","Received Confirmation")</f>
        <v>Received Confirmation</v>
      </c>
      <c r="P1945" s="6">
        <f ca="1">TODAY()-Table2[[#This Row],[DATE SENT TO POG]]</f>
        <v>78</v>
      </c>
      <c r="Q1945" s="6" t="s">
        <v>5803</v>
      </c>
      <c r="R19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5" s="2" t="str">
        <f>_xlfn.XLOOKUP(Table2[[#This Row],[Adjusted Form '#]],'[2]IN PROGRESS'!$D:$D,'[2]IN PROGRESS'!$M:$M,"Not Found")</f>
        <v>Not Found</v>
      </c>
      <c r="U1945" s="2" t="str">
        <f>_xlfn.XLOOKUP(Table2[[#This Row],[Adjusted Form '#]],[1]COMPLETED!$D:$D,[2]COMPLETED!$M:$M,"Not Found")</f>
        <v>Not Found</v>
      </c>
      <c r="V1945" s="17" t="str">
        <f>_xlfn.XLOOKUP(Table2[[#This Row],[Adjusted Form '#]],[2]COMPLETED!$D:$D,[2]COMPLETED!$O:$O,"Not Found")</f>
        <v>Not Found</v>
      </c>
      <c r="W1945" s="2" t="str">
        <f>_xlfn.XLOOKUP(Table2[[#This Row],[Adjusted Form '#]],[2]BILLED!$D:$D,[2]BILLED!$M:$M,"Not Found")</f>
        <v>9400 1361 0605 3570 8935 32</v>
      </c>
      <c r="X1945" s="17" t="e">
        <f>_xlfn.XLOOKUP(Table2[[#This Row],[Adjusted Form '#]],[2]BILLED!$D:$D,[1]BILLED!$O:$O,"Not Found")</f>
        <v>#REF!</v>
      </c>
      <c r="Y1945" s="17" t="e">
        <f>_xlfn.XLOOKUP(Table2[[#This Row],[Adjusted Form '#]],'[2]REJECTED ORDERS'!$D:$D,'[2]REJECTED ORDERS'!$E:$E)</f>
        <v>#N/A</v>
      </c>
      <c r="Z1945" s="1"/>
      <c r="AA1945" s="1"/>
    </row>
    <row r="1946" spans="1:27" ht="15" customHeight="1" x14ac:dyDescent="0.35">
      <c r="A1946" s="4" t="s">
        <v>2876</v>
      </c>
      <c r="B1946" s="1" t="s">
        <v>876</v>
      </c>
      <c r="C1946" s="11">
        <v>45225</v>
      </c>
      <c r="D1946" s="11" t="s">
        <v>7447</v>
      </c>
      <c r="E1946" s="1" t="s">
        <v>21</v>
      </c>
      <c r="F1946" s="1" t="s">
        <v>7439</v>
      </c>
      <c r="G1946" s="6">
        <f>COUNTIF(F:F,Table2[[#This Row],[Form '#]])</f>
        <v>1</v>
      </c>
      <c r="H1946" s="1" t="s">
        <v>7440</v>
      </c>
      <c r="I1946" s="1" t="s">
        <v>127</v>
      </c>
      <c r="J1946" s="1" t="s">
        <v>76</v>
      </c>
      <c r="K1946" s="1" t="s">
        <v>3883</v>
      </c>
      <c r="L1946" s="1"/>
      <c r="M1946" s="6" t="str">
        <f>IF(Table2[[#This Row],[Corrected Form '#
 (If Duplicated)]]="",Table2[[#This Row],[Form '#]],Table2[[#This Row],[Corrected Form '#
 (If Duplicated)]])</f>
        <v>7818-28246</v>
      </c>
      <c r="N1946" s="1" t="s">
        <v>49</v>
      </c>
      <c r="O1946" s="6" t="str">
        <f>IF(Table2[[#This Row],[POG CONFIRMATION RECEIPT OF ORDER
(DATE &amp; TIME)]]="","No Confirmation","Received Confirmation")</f>
        <v>Received Confirmation</v>
      </c>
      <c r="P1946" s="6">
        <f ca="1">TODAY()-Table2[[#This Row],[DATE SENT TO POG]]</f>
        <v>78</v>
      </c>
      <c r="Q1946" s="6" t="s">
        <v>5803</v>
      </c>
      <c r="R19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6" s="2" t="str">
        <f>_xlfn.XLOOKUP(Table2[[#This Row],[Adjusted Form '#]],'[2]IN PROGRESS'!$D:$D,'[2]IN PROGRESS'!$M:$M,"Not Found")</f>
        <v>Not Found</v>
      </c>
      <c r="U1946" s="2" t="str">
        <f>_xlfn.XLOOKUP(Table2[[#This Row],[Adjusted Form '#]],[1]COMPLETED!$D:$D,[2]COMPLETED!$M:$M,"Not Found")</f>
        <v>Not Found</v>
      </c>
      <c r="V1946" s="17" t="str">
        <f>_xlfn.XLOOKUP(Table2[[#This Row],[Adjusted Form '#]],[2]COMPLETED!$D:$D,[2]COMPLETED!$O:$O,"Not Found")</f>
        <v>Not Found</v>
      </c>
      <c r="W1946" s="2" t="str">
        <f>_xlfn.XLOOKUP(Table2[[#This Row],[Adjusted Form '#]],[2]BILLED!$D:$D,[2]BILLED!$M:$M,"Not Found")</f>
        <v>9400 1361 0605 3570 0156 13</v>
      </c>
      <c r="X1946" s="17" t="e">
        <f>_xlfn.XLOOKUP(Table2[[#This Row],[Adjusted Form '#]],[2]BILLED!$D:$D,[1]BILLED!$O:$O,"Not Found")</f>
        <v>#REF!</v>
      </c>
      <c r="Y1946" s="17" t="e">
        <f>_xlfn.XLOOKUP(Table2[[#This Row],[Adjusted Form '#]],'[2]REJECTED ORDERS'!$D:$D,'[2]REJECTED ORDERS'!$E:$E)</f>
        <v>#N/A</v>
      </c>
      <c r="Z1946" s="1"/>
      <c r="AA1946" s="1"/>
    </row>
    <row r="1947" spans="1:27" ht="15" customHeight="1" x14ac:dyDescent="0.35">
      <c r="A1947" s="4" t="s">
        <v>2878</v>
      </c>
      <c r="B1947" s="1" t="s">
        <v>876</v>
      </c>
      <c r="C1947" s="11">
        <v>45225</v>
      </c>
      <c r="D1947" s="11" t="s">
        <v>7447</v>
      </c>
      <c r="E1947" s="1" t="s">
        <v>21</v>
      </c>
      <c r="F1947" s="1" t="s">
        <v>7441</v>
      </c>
      <c r="G1947" s="6">
        <f>COUNTIF(F:F,Table2[[#This Row],[Form '#]])</f>
        <v>1</v>
      </c>
      <c r="H1947" s="1" t="s">
        <v>7442</v>
      </c>
      <c r="I1947" s="1" t="s">
        <v>3852</v>
      </c>
      <c r="J1947" s="1" t="s">
        <v>80</v>
      </c>
      <c r="K1947" s="1" t="s">
        <v>3853</v>
      </c>
      <c r="L1947" s="1"/>
      <c r="M1947" s="6" t="str">
        <f>IF(Table2[[#This Row],[Corrected Form '#
 (If Duplicated)]]="",Table2[[#This Row],[Form '#]],Table2[[#This Row],[Corrected Form '#
 (If Duplicated)]])</f>
        <v>7818-20731</v>
      </c>
      <c r="N1947" s="1" t="s">
        <v>49</v>
      </c>
      <c r="O1947" s="6" t="str">
        <f>IF(Table2[[#This Row],[POG CONFIRMATION RECEIPT OF ORDER
(DATE &amp; TIME)]]="","No Confirmation","Received Confirmation")</f>
        <v>Received Confirmation</v>
      </c>
      <c r="P1947" s="6">
        <f ca="1">TODAY()-Table2[[#This Row],[DATE SENT TO POG]]</f>
        <v>78</v>
      </c>
      <c r="Q1947" s="6" t="s">
        <v>5803</v>
      </c>
      <c r="R19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7" s="2" t="str">
        <f>_xlfn.XLOOKUP(Table2[[#This Row],[Adjusted Form '#]],'[2]IN PROGRESS'!$D:$D,'[2]IN PROGRESS'!$M:$M,"Not Found")</f>
        <v>Not Found</v>
      </c>
      <c r="U1947" s="2" t="str">
        <f>_xlfn.XLOOKUP(Table2[[#This Row],[Adjusted Form '#]],[1]COMPLETED!$D:$D,[2]COMPLETED!$M:$M,"Not Found")</f>
        <v>Not Found</v>
      </c>
      <c r="V1947" s="17" t="str">
        <f>_xlfn.XLOOKUP(Table2[[#This Row],[Adjusted Form '#]],[2]COMPLETED!$D:$D,[2]COMPLETED!$O:$O,"Not Found")</f>
        <v>Not Found</v>
      </c>
      <c r="W1947" s="2" t="str">
        <f>_xlfn.XLOOKUP(Table2[[#This Row],[Adjusted Form '#]],[2]BILLED!$D:$D,[2]BILLED!$M:$M,"Not Found")</f>
        <v>9400 1361 0605 3576 7033 85</v>
      </c>
      <c r="X1947" s="17" t="e">
        <f>_xlfn.XLOOKUP(Table2[[#This Row],[Adjusted Form '#]],[2]BILLED!$D:$D,[1]BILLED!$O:$O,"Not Found")</f>
        <v>#REF!</v>
      </c>
      <c r="Y1947" s="17" t="e">
        <f>_xlfn.XLOOKUP(Table2[[#This Row],[Adjusted Form '#]],'[2]REJECTED ORDERS'!$D:$D,'[2]REJECTED ORDERS'!$E:$E)</f>
        <v>#N/A</v>
      </c>
      <c r="Z1947" s="1"/>
      <c r="AA1947" s="1"/>
    </row>
    <row r="1948" spans="1:27" ht="15" customHeight="1" x14ac:dyDescent="0.35">
      <c r="A1948" s="4" t="s">
        <v>2879</v>
      </c>
      <c r="B1948" s="1" t="s">
        <v>876</v>
      </c>
      <c r="C1948" s="11">
        <v>45225</v>
      </c>
      <c r="D1948" s="11" t="s">
        <v>7447</v>
      </c>
      <c r="E1948" s="1" t="s">
        <v>21</v>
      </c>
      <c r="F1948" s="1" t="s">
        <v>7443</v>
      </c>
      <c r="G1948" s="6">
        <f>COUNTIF(F:F,Table2[[#This Row],[Form '#]])</f>
        <v>1</v>
      </c>
      <c r="H1948" s="1" t="s">
        <v>7445</v>
      </c>
      <c r="I1948" s="1" t="s">
        <v>127</v>
      </c>
      <c r="J1948" s="1" t="s">
        <v>71</v>
      </c>
      <c r="K1948" s="1" t="s">
        <v>3883</v>
      </c>
      <c r="L1948" s="1"/>
      <c r="M1948" s="6" t="str">
        <f>IF(Table2[[#This Row],[Corrected Form '#
 (If Duplicated)]]="",Table2[[#This Row],[Form '#]],Table2[[#This Row],[Corrected Form '#
 (If Duplicated)]])</f>
        <v>7818-22016</v>
      </c>
      <c r="N1948" s="1" t="s">
        <v>49</v>
      </c>
      <c r="O1948" s="6" t="str">
        <f>IF(Table2[[#This Row],[POG CONFIRMATION RECEIPT OF ORDER
(DATE &amp; TIME)]]="","No Confirmation","Received Confirmation")</f>
        <v>Received Confirmation</v>
      </c>
      <c r="P1948" s="6">
        <f ca="1">TODAY()-Table2[[#This Row],[DATE SENT TO POG]]</f>
        <v>78</v>
      </c>
      <c r="Q1948" s="6" t="s">
        <v>5803</v>
      </c>
      <c r="R19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8" s="2" t="str">
        <f>_xlfn.XLOOKUP(Table2[[#This Row],[Adjusted Form '#]],'[2]IN PROGRESS'!$D:$D,'[2]IN PROGRESS'!$M:$M,"Not Found")</f>
        <v>Not Found</v>
      </c>
      <c r="U1948" s="2" t="str">
        <f>_xlfn.XLOOKUP(Table2[[#This Row],[Adjusted Form '#]],[1]COMPLETED!$D:$D,[2]COMPLETED!$M:$M,"Not Found")</f>
        <v>Not Found</v>
      </c>
      <c r="V1948" s="17" t="str">
        <f>_xlfn.XLOOKUP(Table2[[#This Row],[Adjusted Form '#]],[2]COMPLETED!$D:$D,[2]COMPLETED!$O:$O,"Not Found")</f>
        <v>Not Found</v>
      </c>
      <c r="W1948" s="2" t="str">
        <f>_xlfn.XLOOKUP(Table2[[#This Row],[Adjusted Form '#]],[2]BILLED!$D:$D,[2]BILLED!$M:$M,"Not Found")</f>
        <v>9400 1361 0605 3581 5735 84</v>
      </c>
      <c r="X1948" s="17" t="e">
        <f>_xlfn.XLOOKUP(Table2[[#This Row],[Adjusted Form '#]],[2]BILLED!$D:$D,[1]BILLED!$O:$O,"Not Found")</f>
        <v>#REF!</v>
      </c>
      <c r="Y1948" s="17" t="e">
        <f>_xlfn.XLOOKUP(Table2[[#This Row],[Adjusted Form '#]],'[2]REJECTED ORDERS'!$D:$D,'[2]REJECTED ORDERS'!$E:$E)</f>
        <v>#N/A</v>
      </c>
      <c r="Z1948" s="1"/>
      <c r="AA1948" s="1"/>
    </row>
    <row r="1949" spans="1:27" ht="15" customHeight="1" x14ac:dyDescent="0.35">
      <c r="A1949" s="4" t="s">
        <v>2881</v>
      </c>
      <c r="B1949" s="1" t="s">
        <v>876</v>
      </c>
      <c r="C1949" s="11">
        <v>45225</v>
      </c>
      <c r="D1949" s="11" t="s">
        <v>7447</v>
      </c>
      <c r="E1949" s="1" t="s">
        <v>21</v>
      </c>
      <c r="F1949" s="1" t="s">
        <v>7444</v>
      </c>
      <c r="G1949" s="6">
        <f>COUNTIF(F:F,Table2[[#This Row],[Form '#]])</f>
        <v>1</v>
      </c>
      <c r="H1949" s="1" t="s">
        <v>7446</v>
      </c>
      <c r="I1949" s="1" t="s">
        <v>3864</v>
      </c>
      <c r="J1949" s="1" t="s">
        <v>78</v>
      </c>
      <c r="K1949" s="1" t="s">
        <v>3879</v>
      </c>
      <c r="L1949" s="1"/>
      <c r="M1949" s="6" t="str">
        <f>IF(Table2[[#This Row],[Corrected Form '#
 (If Duplicated)]]="",Table2[[#This Row],[Form '#]],Table2[[#This Row],[Corrected Form '#
 (If Duplicated)]])</f>
        <v>7818-26852</v>
      </c>
      <c r="N1949" s="1" t="s">
        <v>49</v>
      </c>
      <c r="O1949" s="6" t="str">
        <f>IF(Table2[[#This Row],[POG CONFIRMATION RECEIPT OF ORDER
(DATE &amp; TIME)]]="","No Confirmation","Received Confirmation")</f>
        <v>Received Confirmation</v>
      </c>
      <c r="P1949" s="6">
        <f ca="1">TODAY()-Table2[[#This Row],[DATE SENT TO POG]]</f>
        <v>78</v>
      </c>
      <c r="Q1949" s="6" t="s">
        <v>5803</v>
      </c>
      <c r="R19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49" s="2" t="str">
        <f>_xlfn.XLOOKUP(Table2[[#This Row],[Adjusted Form '#]],'[2]IN PROGRESS'!$D:$D,'[2]IN PROGRESS'!$M:$M,"Not Found")</f>
        <v>Not Found</v>
      </c>
      <c r="U1949" s="2" t="str">
        <f>_xlfn.XLOOKUP(Table2[[#This Row],[Adjusted Form '#]],[1]COMPLETED!$D:$D,[2]COMPLETED!$M:$M,"Not Found")</f>
        <v>Not Found</v>
      </c>
      <c r="V1949" s="17" t="str">
        <f>_xlfn.XLOOKUP(Table2[[#This Row],[Adjusted Form '#]],[2]COMPLETED!$D:$D,[2]COMPLETED!$O:$O,"Not Found")</f>
        <v>Not Found</v>
      </c>
      <c r="W1949" s="2" t="str">
        <f>_xlfn.XLOOKUP(Table2[[#This Row],[Adjusted Form '#]],[2]BILLED!$D:$D,[2]BILLED!$M:$M,"Not Found")</f>
        <v>9400 1361 0605 3567 9987 76</v>
      </c>
      <c r="X1949" s="17" t="e">
        <f>_xlfn.XLOOKUP(Table2[[#This Row],[Adjusted Form '#]],[2]BILLED!$D:$D,[1]BILLED!$O:$O,"Not Found")</f>
        <v>#REF!</v>
      </c>
      <c r="Y1949" s="17" t="e">
        <f>_xlfn.XLOOKUP(Table2[[#This Row],[Adjusted Form '#]],'[2]REJECTED ORDERS'!$D:$D,'[2]REJECTED ORDERS'!$E:$E)</f>
        <v>#N/A</v>
      </c>
      <c r="Z1949" s="1"/>
      <c r="AA1949" s="1"/>
    </row>
    <row r="1950" spans="1:27" ht="15" customHeight="1" x14ac:dyDescent="0.35">
      <c r="A1950" s="4" t="s">
        <v>2882</v>
      </c>
      <c r="B1950" s="1" t="s">
        <v>4506</v>
      </c>
      <c r="C1950" s="11">
        <v>45225</v>
      </c>
      <c r="E1950" s="1" t="s">
        <v>21</v>
      </c>
      <c r="F1950" s="1" t="s">
        <v>7448</v>
      </c>
      <c r="G1950" s="6">
        <f>COUNTIF(F:F,Table2[[#This Row],[Form '#]])</f>
        <v>1</v>
      </c>
      <c r="H1950" s="1" t="s">
        <v>7049</v>
      </c>
      <c r="I1950" s="1" t="s">
        <v>3852</v>
      </c>
      <c r="J1950" s="1" t="s">
        <v>75</v>
      </c>
      <c r="K1950" s="1" t="s">
        <v>4011</v>
      </c>
      <c r="L1950" s="1"/>
      <c r="M1950" s="6" t="str">
        <f>IF(Table2[[#This Row],[Corrected Form '#
 (If Duplicated)]]="",Table2[[#This Row],[Form '#]],Table2[[#This Row],[Corrected Form '#
 (If Duplicated)]])</f>
        <v>7818-33348</v>
      </c>
      <c r="N1950" s="1" t="s">
        <v>104</v>
      </c>
      <c r="O1950" s="6" t="str">
        <f>IF(Table2[[#This Row],[POG CONFIRMATION RECEIPT OF ORDER
(DATE &amp; TIME)]]="","No Confirmation","Received Confirmation")</f>
        <v>No Confirmation</v>
      </c>
      <c r="P1950" s="6">
        <f ca="1">TODAY()-Table2[[#This Row],[DATE SENT TO POG]]</f>
        <v>78</v>
      </c>
      <c r="Q1950" s="6" t="s">
        <v>5803</v>
      </c>
      <c r="R19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95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950" s="2" t="str">
        <f>_xlfn.XLOOKUP(Table2[[#This Row],[Adjusted Form '#]],'[2]IN PROGRESS'!$D:$D,'[2]IN PROGRESS'!$M:$M,"Not Found")</f>
        <v>Not Found</v>
      </c>
      <c r="U1950" s="2" t="str">
        <f>_xlfn.XLOOKUP(Table2[[#This Row],[Adjusted Form '#]],[1]COMPLETED!$D:$D,[2]COMPLETED!$M:$M,"Not Found")</f>
        <v>Not Found</v>
      </c>
      <c r="V1950" s="17">
        <f>_xlfn.XLOOKUP(Table2[[#This Row],[Adjusted Form '#]],[2]COMPLETED!$D:$D,[2]COMPLETED!$O:$O,"Not Found")</f>
        <v>45264</v>
      </c>
      <c r="W1950" s="2" t="str">
        <f>_xlfn.XLOOKUP(Table2[[#This Row],[Adjusted Form '#]],[2]BILLED!$D:$D,[2]BILLED!$M:$M,"Not Found")</f>
        <v>Not Found</v>
      </c>
      <c r="X1950" s="17" t="str">
        <f>_xlfn.XLOOKUP(Table2[[#This Row],[Adjusted Form '#]],[2]BILLED!$D:$D,[1]BILLED!$O:$O,"Not Found")</f>
        <v>Not Found</v>
      </c>
      <c r="Y1950" s="17" t="e">
        <f>_xlfn.XLOOKUP(Table2[[#This Row],[Adjusted Form '#]],'[2]REJECTED ORDERS'!$D:$D,'[2]REJECTED ORDERS'!$E:$E)</f>
        <v>#N/A</v>
      </c>
      <c r="Z1950" s="1"/>
      <c r="AA1950" s="1"/>
    </row>
    <row r="1951" spans="1:27" ht="15" customHeight="1" x14ac:dyDescent="0.35">
      <c r="A1951" s="4" t="s">
        <v>2883</v>
      </c>
      <c r="B1951" s="1" t="s">
        <v>7278</v>
      </c>
      <c r="C1951" s="11">
        <v>45225</v>
      </c>
      <c r="D1951" s="11" t="s">
        <v>7451</v>
      </c>
      <c r="E1951" s="1" t="s">
        <v>21</v>
      </c>
      <c r="F1951" s="1" t="s">
        <v>7449</v>
      </c>
      <c r="G1951" s="6">
        <f>COUNTIF(F:F,Table2[[#This Row],[Form '#]])</f>
        <v>1</v>
      </c>
      <c r="H1951" s="1" t="s">
        <v>7450</v>
      </c>
      <c r="I1951" s="1" t="s">
        <v>127</v>
      </c>
      <c r="J1951" s="1" t="s">
        <v>76</v>
      </c>
      <c r="K1951" s="1" t="s">
        <v>3919</v>
      </c>
      <c r="L1951" s="1"/>
      <c r="M1951" s="6" t="str">
        <f>IF(Table2[[#This Row],[Corrected Form '#
 (If Duplicated)]]="",Table2[[#This Row],[Form '#]],Table2[[#This Row],[Corrected Form '#
 (If Duplicated)]])</f>
        <v>7818-24441</v>
      </c>
      <c r="N1951" s="1" t="s">
        <v>49</v>
      </c>
      <c r="O1951" s="6" t="str">
        <f>IF(Table2[[#This Row],[POG CONFIRMATION RECEIPT OF ORDER
(DATE &amp; TIME)]]="","No Confirmation","Received Confirmation")</f>
        <v>Received Confirmation</v>
      </c>
      <c r="P1951" s="6">
        <f ca="1">TODAY()-Table2[[#This Row],[DATE SENT TO POG]]</f>
        <v>78</v>
      </c>
      <c r="Q1951" s="6" t="s">
        <v>5803</v>
      </c>
      <c r="R19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1" s="2" t="str">
        <f>_xlfn.XLOOKUP(Table2[[#This Row],[Adjusted Form '#]],'[2]IN PROGRESS'!$D:$D,'[2]IN PROGRESS'!$M:$M,"Not Found")</f>
        <v>Not Found</v>
      </c>
      <c r="U1951" s="2" t="str">
        <f>_xlfn.XLOOKUP(Table2[[#This Row],[Adjusted Form '#]],[1]COMPLETED!$D:$D,[2]COMPLETED!$M:$M,"Not Found")</f>
        <v>Not Found</v>
      </c>
      <c r="V1951" s="17" t="str">
        <f>_xlfn.XLOOKUP(Table2[[#This Row],[Adjusted Form '#]],[2]COMPLETED!$D:$D,[2]COMPLETED!$O:$O,"Not Found")</f>
        <v>Not Found</v>
      </c>
      <c r="W1951" s="2" t="str">
        <f>_xlfn.XLOOKUP(Table2[[#This Row],[Adjusted Form '#]],[2]BILLED!$D:$D,[2]BILLED!$M:$M,"Not Found")</f>
        <v>9400 1112 0620 9384 1997 42</v>
      </c>
      <c r="X1951" s="17" t="e">
        <f>_xlfn.XLOOKUP(Table2[[#This Row],[Adjusted Form '#]],[2]BILLED!$D:$D,[1]BILLED!$O:$O,"Not Found")</f>
        <v>#REF!</v>
      </c>
      <c r="Y1951" s="17" t="e">
        <f>_xlfn.XLOOKUP(Table2[[#This Row],[Adjusted Form '#]],'[2]REJECTED ORDERS'!$D:$D,'[2]REJECTED ORDERS'!$E:$E)</f>
        <v>#N/A</v>
      </c>
      <c r="Z1951" s="1"/>
      <c r="AA1951" s="1"/>
    </row>
    <row r="1952" spans="1:27" ht="15" customHeight="1" x14ac:dyDescent="0.35">
      <c r="A1952" s="4" t="s">
        <v>2885</v>
      </c>
      <c r="B1952" s="1" t="s">
        <v>7278</v>
      </c>
      <c r="C1952" s="11">
        <v>45225</v>
      </c>
      <c r="D1952" s="11" t="s">
        <v>7451</v>
      </c>
      <c r="E1952" s="1" t="s">
        <v>21</v>
      </c>
      <c r="F1952" s="1" t="s">
        <v>7458</v>
      </c>
      <c r="G1952" s="6">
        <f>COUNTIF(F:F,Table2[[#This Row],[Form '#]])</f>
        <v>1</v>
      </c>
      <c r="H1952" s="1" t="s">
        <v>2100</v>
      </c>
      <c r="I1952" s="1" t="s">
        <v>127</v>
      </c>
      <c r="J1952" s="1" t="s">
        <v>76</v>
      </c>
      <c r="K1952" s="1" t="s">
        <v>4011</v>
      </c>
      <c r="L1952" s="1"/>
      <c r="M1952" s="6" t="str">
        <f>IF(Table2[[#This Row],[Corrected Form '#
 (If Duplicated)]]="",Table2[[#This Row],[Form '#]],Table2[[#This Row],[Corrected Form '#
 (If Duplicated)]])</f>
        <v>7818-17036</v>
      </c>
      <c r="N1952" s="1" t="s">
        <v>49</v>
      </c>
      <c r="O1952" s="6" t="str">
        <f>IF(Table2[[#This Row],[POG CONFIRMATION RECEIPT OF ORDER
(DATE &amp; TIME)]]="","No Confirmation","Received Confirmation")</f>
        <v>Received Confirmation</v>
      </c>
      <c r="P1952" s="6">
        <f ca="1">TODAY()-Table2[[#This Row],[DATE SENT TO POG]]</f>
        <v>78</v>
      </c>
      <c r="Q1952" s="6" t="s">
        <v>5803</v>
      </c>
      <c r="R19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2" s="2" t="str">
        <f>_xlfn.XLOOKUP(Table2[[#This Row],[Adjusted Form '#]],'[2]IN PROGRESS'!$D:$D,'[2]IN PROGRESS'!$M:$M,"Not Found")</f>
        <v>Not Found</v>
      </c>
      <c r="U1952" s="2" t="str">
        <f>_xlfn.XLOOKUP(Table2[[#This Row],[Adjusted Form '#]],[1]COMPLETED!$D:$D,[2]COMPLETED!$M:$M,"Not Found")</f>
        <v>Not Found</v>
      </c>
      <c r="V1952" s="17" t="str">
        <f>_xlfn.XLOOKUP(Table2[[#This Row],[Adjusted Form '#]],[2]COMPLETED!$D:$D,[2]COMPLETED!$O:$O,"Not Found")</f>
        <v>Not Found</v>
      </c>
      <c r="W1952" s="2" t="str">
        <f>_xlfn.XLOOKUP(Table2[[#This Row],[Adjusted Form '#]],[2]BILLED!$D:$D,[2]BILLED!$M:$M,"Not Found")</f>
        <v>9400 1112 0620 9365 2876 97</v>
      </c>
      <c r="X1952" s="17" t="e">
        <f>_xlfn.XLOOKUP(Table2[[#This Row],[Adjusted Form '#]],[2]BILLED!$D:$D,[1]BILLED!$O:$O,"Not Found")</f>
        <v>#REF!</v>
      </c>
      <c r="Y1952" s="17" t="e">
        <f>_xlfn.XLOOKUP(Table2[[#This Row],[Adjusted Form '#]],'[2]REJECTED ORDERS'!$D:$D,'[2]REJECTED ORDERS'!$E:$E)</f>
        <v>#N/A</v>
      </c>
      <c r="Z1952" s="1"/>
      <c r="AA1952" s="1"/>
    </row>
    <row r="1953" spans="1:27" ht="15" customHeight="1" x14ac:dyDescent="0.35">
      <c r="A1953" s="4" t="s">
        <v>2886</v>
      </c>
      <c r="B1953" s="1" t="s">
        <v>7452</v>
      </c>
      <c r="C1953" s="11">
        <v>45225</v>
      </c>
      <c r="D1953" s="11" t="s">
        <v>7454</v>
      </c>
      <c r="E1953" s="1" t="s">
        <v>21</v>
      </c>
      <c r="F1953" s="1" t="s">
        <v>7453</v>
      </c>
      <c r="G1953" s="6">
        <f>COUNTIF(F:F,Table2[[#This Row],[Form '#]])</f>
        <v>1</v>
      </c>
      <c r="H1953" s="1" t="s">
        <v>3558</v>
      </c>
      <c r="I1953" s="1" t="s">
        <v>3864</v>
      </c>
      <c r="J1953" s="1" t="s">
        <v>78</v>
      </c>
      <c r="K1953" s="1" t="s">
        <v>3879</v>
      </c>
      <c r="L1953" s="1"/>
      <c r="M1953" s="6" t="str">
        <f>IF(Table2[[#This Row],[Corrected Form '#
 (If Duplicated)]]="",Table2[[#This Row],[Form '#]],Table2[[#This Row],[Corrected Form '#
 (If Duplicated)]])</f>
        <v>7818-17390</v>
      </c>
      <c r="N1953" s="1" t="s">
        <v>49</v>
      </c>
      <c r="O1953" s="6" t="str">
        <f>IF(Table2[[#This Row],[POG CONFIRMATION RECEIPT OF ORDER
(DATE &amp; TIME)]]="","No Confirmation","Received Confirmation")</f>
        <v>Received Confirmation</v>
      </c>
      <c r="P1953" s="6">
        <f ca="1">TODAY()-Table2[[#This Row],[DATE SENT TO POG]]</f>
        <v>78</v>
      </c>
      <c r="Q1953" s="6" t="s">
        <v>5803</v>
      </c>
      <c r="R19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3" s="2" t="str">
        <f>_xlfn.XLOOKUP(Table2[[#This Row],[Adjusted Form '#]],'[2]IN PROGRESS'!$D:$D,'[2]IN PROGRESS'!$M:$M,"Not Found")</f>
        <v>Not Found</v>
      </c>
      <c r="U1953" s="2" t="str">
        <f>_xlfn.XLOOKUP(Table2[[#This Row],[Adjusted Form '#]],[1]COMPLETED!$D:$D,[2]COMPLETED!$M:$M,"Not Found")</f>
        <v>Not Found</v>
      </c>
      <c r="V1953" s="17" t="str">
        <f>_xlfn.XLOOKUP(Table2[[#This Row],[Adjusted Form '#]],[2]COMPLETED!$D:$D,[2]COMPLETED!$O:$O,"Not Found")</f>
        <v>Not Found</v>
      </c>
      <c r="W1953" s="2" t="str">
        <f>_xlfn.XLOOKUP(Table2[[#This Row],[Adjusted Form '#]],[2]BILLED!$D:$D,[2]BILLED!$M:$M,"Not Found")</f>
        <v>9400 1112 0620 9365 2956 09</v>
      </c>
      <c r="X1953" s="17" t="e">
        <f>_xlfn.XLOOKUP(Table2[[#This Row],[Adjusted Form '#]],[2]BILLED!$D:$D,[1]BILLED!$O:$O,"Not Found")</f>
        <v>#REF!</v>
      </c>
      <c r="Y1953" s="17" t="e">
        <f>_xlfn.XLOOKUP(Table2[[#This Row],[Adjusted Form '#]],'[2]REJECTED ORDERS'!$D:$D,'[2]REJECTED ORDERS'!$E:$E)</f>
        <v>#N/A</v>
      </c>
      <c r="Z1953" s="1"/>
      <c r="AA1953" s="1"/>
    </row>
    <row r="1954" spans="1:27" ht="15" customHeight="1" x14ac:dyDescent="0.35">
      <c r="A1954" s="4" t="s">
        <v>2888</v>
      </c>
      <c r="B1954" s="1" t="s">
        <v>3489</v>
      </c>
      <c r="C1954" s="11">
        <v>45226</v>
      </c>
      <c r="E1954" s="1" t="s">
        <v>191</v>
      </c>
      <c r="F1954" s="1" t="s">
        <v>7455</v>
      </c>
      <c r="G1954" s="6">
        <f>COUNTIF(F:F,Table2[[#This Row],[Form '#]])</f>
        <v>1</v>
      </c>
      <c r="H1954" s="1" t="s">
        <v>7456</v>
      </c>
      <c r="I1954" s="1" t="s">
        <v>177</v>
      </c>
      <c r="J1954" s="1" t="s">
        <v>75</v>
      </c>
      <c r="K1954" s="1" t="s">
        <v>3853</v>
      </c>
      <c r="L1954" s="1"/>
      <c r="M1954" s="6" t="str">
        <f>IF(Table2[[#This Row],[Corrected Form '#
 (If Duplicated)]]="",Table2[[#This Row],[Form '#]],Table2[[#This Row],[Corrected Form '#
 (If Duplicated)]])</f>
        <v>7812-01027</v>
      </c>
      <c r="N1954" s="1" t="s">
        <v>49</v>
      </c>
      <c r="O1954" s="6" t="str">
        <f>IF(Table2[[#This Row],[POG CONFIRMATION RECEIPT OF ORDER
(DATE &amp; TIME)]]="","No Confirmation","Received Confirmation")</f>
        <v>No Confirmation</v>
      </c>
      <c r="P1954" s="6">
        <f ca="1">TODAY()-Table2[[#This Row],[DATE SENT TO POG]]</f>
        <v>77</v>
      </c>
      <c r="Q1954" s="6" t="s">
        <v>5803</v>
      </c>
      <c r="R19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4" s="2" t="str">
        <f>_xlfn.XLOOKUP(Table2[[#This Row],[Adjusted Form '#]],'[2]IN PROGRESS'!$D:$D,'[2]IN PROGRESS'!$M:$M,"Not Found")</f>
        <v>Not Found</v>
      </c>
      <c r="U1954" s="2" t="str">
        <f>_xlfn.XLOOKUP(Table2[[#This Row],[Adjusted Form '#]],[1]COMPLETED!$D:$D,[2]COMPLETED!$M:$M,"Not Found")</f>
        <v>Not Found</v>
      </c>
      <c r="V1954" s="17" t="str">
        <f>_xlfn.XLOOKUP(Table2[[#This Row],[Adjusted Form '#]],[2]COMPLETED!$D:$D,[2]COMPLETED!$O:$O,"Not Found")</f>
        <v>Not Found</v>
      </c>
      <c r="W1954" s="2" t="str">
        <f>_xlfn.XLOOKUP(Table2[[#This Row],[Adjusted Form '#]],[2]BILLED!$D:$D,[2]BILLED!$M:$M,"Not Found")</f>
        <v>9400 1112 0620 9384 7845 35</v>
      </c>
      <c r="X1954" s="17" t="e">
        <f>_xlfn.XLOOKUP(Table2[[#This Row],[Adjusted Form '#]],[2]BILLED!$D:$D,[1]BILLED!$O:$O,"Not Found")</f>
        <v>#REF!</v>
      </c>
      <c r="Y1954" s="17" t="e">
        <f>_xlfn.XLOOKUP(Table2[[#This Row],[Adjusted Form '#]],'[2]REJECTED ORDERS'!$D:$D,'[2]REJECTED ORDERS'!$E:$E)</f>
        <v>#N/A</v>
      </c>
      <c r="Z1954" s="1"/>
      <c r="AA1954" s="1"/>
    </row>
    <row r="1955" spans="1:27" ht="15" customHeight="1" x14ac:dyDescent="0.35">
      <c r="A1955" s="4" t="s">
        <v>2889</v>
      </c>
      <c r="B1955" s="1" t="s">
        <v>1512</v>
      </c>
      <c r="C1955" s="11">
        <v>45226</v>
      </c>
      <c r="D1955" s="11" t="s">
        <v>7494</v>
      </c>
      <c r="E1955" s="1" t="s">
        <v>14</v>
      </c>
      <c r="F1955" s="1" t="s">
        <v>7457</v>
      </c>
      <c r="G1955" s="6">
        <f>COUNTIF(F:F,Table2[[#This Row],[Form '#]])</f>
        <v>1</v>
      </c>
      <c r="H1955" s="1" t="s">
        <v>791</v>
      </c>
      <c r="I1955" s="1" t="s">
        <v>3852</v>
      </c>
      <c r="J1955" s="1" t="s">
        <v>80</v>
      </c>
      <c r="K1955" s="1" t="s">
        <v>3853</v>
      </c>
      <c r="L1955" s="1"/>
      <c r="M1955" s="6" t="str">
        <f>IF(Table2[[#This Row],[Corrected Form '#
 (If Duplicated)]]="",Table2[[#This Row],[Form '#]],Table2[[#This Row],[Corrected Form '#
 (If Duplicated)]])</f>
        <v>7810-01552</v>
      </c>
      <c r="N1955" s="1" t="s">
        <v>49</v>
      </c>
      <c r="O1955" s="6" t="str">
        <f>IF(Table2[[#This Row],[POG CONFIRMATION RECEIPT OF ORDER
(DATE &amp; TIME)]]="","No Confirmation","Received Confirmation")</f>
        <v>Received Confirmation</v>
      </c>
      <c r="P1955" s="6">
        <f ca="1">TODAY()-Table2[[#This Row],[DATE SENT TO POG]]</f>
        <v>77</v>
      </c>
      <c r="Q1955" s="6" t="s">
        <v>5803</v>
      </c>
      <c r="R19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5" s="2" t="str">
        <f>_xlfn.XLOOKUP(Table2[[#This Row],[Adjusted Form '#]],'[2]IN PROGRESS'!$D:$D,'[2]IN PROGRESS'!$M:$M,"Not Found")</f>
        <v>Not Found</v>
      </c>
      <c r="U1955" s="2" t="str">
        <f>_xlfn.XLOOKUP(Table2[[#This Row],[Adjusted Form '#]],[1]COMPLETED!$D:$D,[2]COMPLETED!$M:$M,"Not Found")</f>
        <v>Not Found</v>
      </c>
      <c r="V1955" s="17" t="str">
        <f>_xlfn.XLOOKUP(Table2[[#This Row],[Adjusted Form '#]],[2]COMPLETED!$D:$D,[2]COMPLETED!$O:$O,"Not Found")</f>
        <v>Not Found</v>
      </c>
      <c r="W1955" s="2" t="str">
        <f>_xlfn.XLOOKUP(Table2[[#This Row],[Adjusted Form '#]],[2]BILLED!$D:$D,[2]BILLED!$M:$M,"Not Found")</f>
        <v>9400 1112 0620 9365 3837 71</v>
      </c>
      <c r="X1955" s="17" t="e">
        <f>_xlfn.XLOOKUP(Table2[[#This Row],[Adjusted Form '#]],[2]BILLED!$D:$D,[1]BILLED!$O:$O,"Not Found")</f>
        <v>#REF!</v>
      </c>
      <c r="Y1955" s="17" t="e">
        <f>_xlfn.XLOOKUP(Table2[[#This Row],[Adjusted Form '#]],'[2]REJECTED ORDERS'!$D:$D,'[2]REJECTED ORDERS'!$E:$E)</f>
        <v>#N/A</v>
      </c>
      <c r="Z1955" s="1"/>
      <c r="AA1955" s="1"/>
    </row>
    <row r="1956" spans="1:27" ht="15" customHeight="1" x14ac:dyDescent="0.35">
      <c r="A1956" s="4" t="s">
        <v>2890</v>
      </c>
      <c r="B1956" s="1" t="s">
        <v>650</v>
      </c>
      <c r="C1956" s="11">
        <v>45226</v>
      </c>
      <c r="D1956" s="11" t="s">
        <v>7460</v>
      </c>
      <c r="E1956" s="1" t="s">
        <v>73</v>
      </c>
      <c r="F1956" s="1" t="s">
        <v>7459</v>
      </c>
      <c r="G1956" s="6">
        <f>COUNTIF(F:F,Table2[[#This Row],[Form '#]])</f>
        <v>1</v>
      </c>
      <c r="H1956" s="1" t="s">
        <v>2778</v>
      </c>
      <c r="I1956" s="1" t="s">
        <v>177</v>
      </c>
      <c r="J1956" s="1" t="s">
        <v>75</v>
      </c>
      <c r="K1956" s="1" t="s">
        <v>4011</v>
      </c>
      <c r="L1956" s="1"/>
      <c r="M1956" s="6" t="str">
        <f>IF(Table2[[#This Row],[Corrected Form '#
 (If Duplicated)]]="",Table2[[#This Row],[Form '#]],Table2[[#This Row],[Corrected Form '#
 (If Duplicated)]])</f>
        <v>7823-03356</v>
      </c>
      <c r="N1956" s="1" t="s">
        <v>49</v>
      </c>
      <c r="O1956" s="6" t="str">
        <f>IF(Table2[[#This Row],[POG CONFIRMATION RECEIPT OF ORDER
(DATE &amp; TIME)]]="","No Confirmation","Received Confirmation")</f>
        <v>Received Confirmation</v>
      </c>
      <c r="P1956" s="6">
        <f ca="1">TODAY()-Table2[[#This Row],[DATE SENT TO POG]]</f>
        <v>77</v>
      </c>
      <c r="Q1956" s="6" t="s">
        <v>6025</v>
      </c>
      <c r="R19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95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956" s="2" t="str">
        <f>_xlfn.XLOOKUP(Table2[[#This Row],[Adjusted Form '#]],'[2]IN PROGRESS'!$D:$D,'[2]IN PROGRESS'!$M:$M,"Not Found")</f>
        <v>Not Found</v>
      </c>
      <c r="U1956" s="2" t="str">
        <f>_xlfn.XLOOKUP(Table2[[#This Row],[Adjusted Form '#]],[1]COMPLETED!$D:$D,[2]COMPLETED!$M:$M,"Not Found")</f>
        <v>Not Found</v>
      </c>
      <c r="V1956" s="17">
        <f>_xlfn.XLOOKUP(Table2[[#This Row],[Adjusted Form '#]],[2]COMPLETED!$D:$D,[2]COMPLETED!$O:$O,"Not Found")</f>
        <v>45293</v>
      </c>
      <c r="W1956" s="2" t="str">
        <f>_xlfn.XLOOKUP(Table2[[#This Row],[Adjusted Form '#]],[2]BILLED!$D:$D,[2]BILLED!$M:$M,"Not Found")</f>
        <v>Not Found</v>
      </c>
      <c r="X1956" s="17" t="str">
        <f>_xlfn.XLOOKUP(Table2[[#This Row],[Adjusted Form '#]],[2]BILLED!$D:$D,[1]BILLED!$O:$O,"Not Found")</f>
        <v>Not Found</v>
      </c>
      <c r="Y1956" s="17" t="e">
        <f>_xlfn.XLOOKUP(Table2[[#This Row],[Adjusted Form '#]],'[2]REJECTED ORDERS'!$D:$D,'[2]REJECTED ORDERS'!$E:$E)</f>
        <v>#N/A</v>
      </c>
      <c r="Z1956" s="1"/>
      <c r="AA1956" s="1"/>
    </row>
    <row r="1957" spans="1:27" ht="15" customHeight="1" x14ac:dyDescent="0.35">
      <c r="A1957" s="4" t="s">
        <v>2892</v>
      </c>
      <c r="B1957" s="1" t="s">
        <v>7461</v>
      </c>
      <c r="C1957" s="11">
        <v>45226</v>
      </c>
      <c r="E1957" s="1" t="s">
        <v>21</v>
      </c>
      <c r="F1957" s="1" t="s">
        <v>7463</v>
      </c>
      <c r="G1957" s="6">
        <f>COUNTIF(F:F,Table2[[#This Row],[Form '#]])</f>
        <v>1</v>
      </c>
      <c r="H1957" s="1" t="s">
        <v>7462</v>
      </c>
      <c r="I1957" s="1" t="s">
        <v>3852</v>
      </c>
      <c r="J1957" s="1" t="s">
        <v>80</v>
      </c>
      <c r="K1957" s="1" t="s">
        <v>3853</v>
      </c>
      <c r="L1957" s="1"/>
      <c r="M1957" s="6" t="str">
        <f>IF(Table2[[#This Row],[Corrected Form '#
 (If Duplicated)]]="",Table2[[#This Row],[Form '#]],Table2[[#This Row],[Corrected Form '#
 (If Duplicated)]])</f>
        <v>7818-26448</v>
      </c>
      <c r="N1957" s="1" t="s">
        <v>49</v>
      </c>
      <c r="O1957" s="6" t="str">
        <f>IF(Table2[[#This Row],[POG CONFIRMATION RECEIPT OF ORDER
(DATE &amp; TIME)]]="","No Confirmation","Received Confirmation")</f>
        <v>No Confirmation</v>
      </c>
      <c r="P1957" s="6">
        <f ca="1">TODAY()-Table2[[#This Row],[DATE SENT TO POG]]</f>
        <v>77</v>
      </c>
      <c r="Q1957" s="6" t="s">
        <v>5803</v>
      </c>
      <c r="R19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7" s="2" t="str">
        <f>_xlfn.XLOOKUP(Table2[[#This Row],[Adjusted Form '#]],'[2]IN PROGRESS'!$D:$D,'[2]IN PROGRESS'!$M:$M,"Not Found")</f>
        <v>Not Found</v>
      </c>
      <c r="U1957" s="2" t="str">
        <f>_xlfn.XLOOKUP(Table2[[#This Row],[Adjusted Form '#]],[1]COMPLETED!$D:$D,[2]COMPLETED!$M:$M,"Not Found")</f>
        <v>Not Found</v>
      </c>
      <c r="V1957" s="17" t="str">
        <f>_xlfn.XLOOKUP(Table2[[#This Row],[Adjusted Form '#]],[2]COMPLETED!$D:$D,[2]COMPLETED!$O:$O,"Not Found")</f>
        <v>Not Found</v>
      </c>
      <c r="W1957" s="2" t="str">
        <f>_xlfn.XLOOKUP(Table2[[#This Row],[Adjusted Form '#]],[2]BILLED!$D:$D,[2]BILLED!$M:$M,"Not Found")</f>
        <v>9400 1112 0620 9365 5948 56</v>
      </c>
      <c r="X1957" s="17" t="e">
        <f>_xlfn.XLOOKUP(Table2[[#This Row],[Adjusted Form '#]],[2]BILLED!$D:$D,[1]BILLED!$O:$O,"Not Found")</f>
        <v>#REF!</v>
      </c>
      <c r="Y1957" s="17" t="e">
        <f>_xlfn.XLOOKUP(Table2[[#This Row],[Adjusted Form '#]],'[2]REJECTED ORDERS'!$D:$D,'[2]REJECTED ORDERS'!$E:$E)</f>
        <v>#N/A</v>
      </c>
      <c r="Z1957" s="1"/>
      <c r="AA1957" s="1"/>
    </row>
    <row r="1958" spans="1:27" ht="15" customHeight="1" x14ac:dyDescent="0.35">
      <c r="A1958" s="4" t="s">
        <v>2893</v>
      </c>
      <c r="B1958" s="1" t="s">
        <v>7461</v>
      </c>
      <c r="C1958" s="11">
        <v>45226</v>
      </c>
      <c r="E1958" s="1" t="s">
        <v>21</v>
      </c>
      <c r="F1958" s="1" t="s">
        <v>7464</v>
      </c>
      <c r="G1958" s="6">
        <f>COUNTIF(F:F,Table2[[#This Row],[Form '#]])</f>
        <v>1</v>
      </c>
      <c r="H1958" s="1" t="s">
        <v>7465</v>
      </c>
      <c r="I1958" s="1" t="s">
        <v>127</v>
      </c>
      <c r="J1958" s="1" t="s">
        <v>76</v>
      </c>
      <c r="K1958" s="1" t="s">
        <v>3891</v>
      </c>
      <c r="L1958" s="1"/>
      <c r="M1958" s="6" t="str">
        <f>IF(Table2[[#This Row],[Corrected Form '#
 (If Duplicated)]]="",Table2[[#This Row],[Form '#]],Table2[[#This Row],[Corrected Form '#
 (If Duplicated)]])</f>
        <v>7818-19093</v>
      </c>
      <c r="N1958" s="1" t="s">
        <v>49</v>
      </c>
      <c r="O1958" s="6" t="str">
        <f>IF(Table2[[#This Row],[POG CONFIRMATION RECEIPT OF ORDER
(DATE &amp; TIME)]]="","No Confirmation","Received Confirmation")</f>
        <v>No Confirmation</v>
      </c>
      <c r="P1958" s="6">
        <f ca="1">TODAY()-Table2[[#This Row],[DATE SENT TO POG]]</f>
        <v>77</v>
      </c>
      <c r="Q1958" s="6" t="s">
        <v>5803</v>
      </c>
      <c r="R19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8" s="2" t="str">
        <f>_xlfn.XLOOKUP(Table2[[#This Row],[Adjusted Form '#]],'[2]IN PROGRESS'!$D:$D,'[2]IN PROGRESS'!$M:$M,"Not Found")</f>
        <v>Not Found</v>
      </c>
      <c r="U1958" s="2" t="str">
        <f>_xlfn.XLOOKUP(Table2[[#This Row],[Adjusted Form '#]],[1]COMPLETED!$D:$D,[2]COMPLETED!$M:$M,"Not Found")</f>
        <v>Not Found</v>
      </c>
      <c r="V1958" s="17" t="str">
        <f>_xlfn.XLOOKUP(Table2[[#This Row],[Adjusted Form '#]],[2]COMPLETED!$D:$D,[2]COMPLETED!$O:$O,"Not Found")</f>
        <v>Not Found</v>
      </c>
      <c r="W1958" s="2" t="str">
        <f>_xlfn.XLOOKUP(Table2[[#This Row],[Adjusted Form '#]],[2]BILLED!$D:$D,[2]BILLED!$M:$M,"Not Found")</f>
        <v>9400 1112 0620 9365 7458 38</v>
      </c>
      <c r="X1958" s="17" t="e">
        <f>_xlfn.XLOOKUP(Table2[[#This Row],[Adjusted Form '#]],[2]BILLED!$D:$D,[1]BILLED!$O:$O,"Not Found")</f>
        <v>#REF!</v>
      </c>
      <c r="Y1958" s="17" t="e">
        <f>_xlfn.XLOOKUP(Table2[[#This Row],[Adjusted Form '#]],'[2]REJECTED ORDERS'!$D:$D,'[2]REJECTED ORDERS'!$E:$E)</f>
        <v>#N/A</v>
      </c>
      <c r="Z1958" s="1"/>
      <c r="AA1958" s="1"/>
    </row>
    <row r="1959" spans="1:27" ht="15" customHeight="1" x14ac:dyDescent="0.35">
      <c r="A1959" s="4" t="s">
        <v>2894</v>
      </c>
      <c r="B1959" s="1" t="s">
        <v>7461</v>
      </c>
      <c r="C1959" s="11">
        <v>45226</v>
      </c>
      <c r="E1959" s="1" t="s">
        <v>21</v>
      </c>
      <c r="F1959" s="1" t="s">
        <v>7466</v>
      </c>
      <c r="G1959" s="6">
        <f>COUNTIF(F:F,Table2[[#This Row],[Form '#]])</f>
        <v>1</v>
      </c>
      <c r="H1959" s="1" t="s">
        <v>7467</v>
      </c>
      <c r="I1959" s="1" t="s">
        <v>3852</v>
      </c>
      <c r="J1959" s="1" t="s">
        <v>80</v>
      </c>
      <c r="K1959" s="1" t="s">
        <v>3853</v>
      </c>
      <c r="L1959" s="1"/>
      <c r="M1959" s="6" t="str">
        <f>IF(Table2[[#This Row],[Corrected Form '#
 (If Duplicated)]]="",Table2[[#This Row],[Form '#]],Table2[[#This Row],[Corrected Form '#
 (If Duplicated)]])</f>
        <v>7818-26449</v>
      </c>
      <c r="N1959" s="1" t="s">
        <v>49</v>
      </c>
      <c r="O1959" s="6" t="str">
        <f>IF(Table2[[#This Row],[POG CONFIRMATION RECEIPT OF ORDER
(DATE &amp; TIME)]]="","No Confirmation","Received Confirmation")</f>
        <v>No Confirmation</v>
      </c>
      <c r="P1959" s="6">
        <f ca="1">TODAY()-Table2[[#This Row],[DATE SENT TO POG]]</f>
        <v>77</v>
      </c>
      <c r="Q1959" s="6" t="s">
        <v>5803</v>
      </c>
      <c r="R19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59" s="2" t="str">
        <f>_xlfn.XLOOKUP(Table2[[#This Row],[Adjusted Form '#]],'[2]IN PROGRESS'!$D:$D,'[2]IN PROGRESS'!$M:$M,"Not Found")</f>
        <v>Not Found</v>
      </c>
      <c r="U1959" s="2" t="str">
        <f>_xlfn.XLOOKUP(Table2[[#This Row],[Adjusted Form '#]],[1]COMPLETED!$D:$D,[2]COMPLETED!$M:$M,"Not Found")</f>
        <v>Not Found</v>
      </c>
      <c r="V1959" s="17" t="str">
        <f>_xlfn.XLOOKUP(Table2[[#This Row],[Adjusted Form '#]],[2]COMPLETED!$D:$D,[2]COMPLETED!$O:$O,"Not Found")</f>
        <v>Not Found</v>
      </c>
      <c r="W1959" s="2" t="str">
        <f>_xlfn.XLOOKUP(Table2[[#This Row],[Adjusted Form '#]],[2]BILLED!$D:$D,[2]BILLED!$M:$M,"Not Found")</f>
        <v>9400 1112 0620 9384 1124 37</v>
      </c>
      <c r="X1959" s="17" t="e">
        <f>_xlfn.XLOOKUP(Table2[[#This Row],[Adjusted Form '#]],[2]BILLED!$D:$D,[1]BILLED!$O:$O,"Not Found")</f>
        <v>#REF!</v>
      </c>
      <c r="Y1959" s="17" t="e">
        <f>_xlfn.XLOOKUP(Table2[[#This Row],[Adjusted Form '#]],'[2]REJECTED ORDERS'!$D:$D,'[2]REJECTED ORDERS'!$E:$E)</f>
        <v>#N/A</v>
      </c>
      <c r="Z1959" s="1"/>
      <c r="AA1959" s="1"/>
    </row>
    <row r="1960" spans="1:27" ht="15" customHeight="1" x14ac:dyDescent="0.35">
      <c r="A1960" s="4" t="s">
        <v>2896</v>
      </c>
      <c r="B1960" s="1" t="s">
        <v>2906</v>
      </c>
      <c r="C1960" s="11">
        <v>45229</v>
      </c>
      <c r="D1960" s="11" t="s">
        <v>7495</v>
      </c>
      <c r="E1960" s="1" t="s">
        <v>73</v>
      </c>
      <c r="F1960" s="1" t="s">
        <v>7468</v>
      </c>
      <c r="G1960" s="6">
        <f>COUNTIF(F:F,Table2[[#This Row],[Form '#]])</f>
        <v>1</v>
      </c>
      <c r="H1960" s="1" t="s">
        <v>4551</v>
      </c>
      <c r="I1960" s="1" t="s">
        <v>177</v>
      </c>
      <c r="J1960" s="1" t="s">
        <v>75</v>
      </c>
      <c r="K1960" s="1" t="s">
        <v>3853</v>
      </c>
      <c r="L1960" s="1"/>
      <c r="M1960" s="6" t="str">
        <f>IF(Table2[[#This Row],[Corrected Form '#
 (If Duplicated)]]="",Table2[[#This Row],[Form '#]],Table2[[#This Row],[Corrected Form '#
 (If Duplicated)]])</f>
        <v>7823-03161</v>
      </c>
      <c r="N1960" s="1" t="s">
        <v>49</v>
      </c>
      <c r="O1960" s="6" t="str">
        <f>IF(Table2[[#This Row],[POG CONFIRMATION RECEIPT OF ORDER
(DATE &amp; TIME)]]="","No Confirmation","Received Confirmation")</f>
        <v>Received Confirmation</v>
      </c>
      <c r="P1960" s="6">
        <f ca="1">TODAY()-Table2[[#This Row],[DATE SENT TO POG]]</f>
        <v>74</v>
      </c>
      <c r="Q1960" s="6" t="s">
        <v>5803</v>
      </c>
      <c r="R19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0" s="2" t="str">
        <f>_xlfn.XLOOKUP(Table2[[#This Row],[Adjusted Form '#]],'[2]IN PROGRESS'!$D:$D,'[2]IN PROGRESS'!$M:$M,"Not Found")</f>
        <v>Not Found</v>
      </c>
      <c r="U1960" s="2" t="str">
        <f>_xlfn.XLOOKUP(Table2[[#This Row],[Adjusted Form '#]],[1]COMPLETED!$D:$D,[2]COMPLETED!$M:$M,"Not Found")</f>
        <v>Not Found</v>
      </c>
      <c r="V1960" s="17" t="str">
        <f>_xlfn.XLOOKUP(Table2[[#This Row],[Adjusted Form '#]],[2]COMPLETED!$D:$D,[2]COMPLETED!$O:$O,"Not Found")</f>
        <v>Not Found</v>
      </c>
      <c r="W1960" s="2" t="str">
        <f>_xlfn.XLOOKUP(Table2[[#This Row],[Adjusted Form '#]],[2]BILLED!$D:$D,[2]BILLED!$M:$M,"Not Found")</f>
        <v>9400 1361 0605 3629 3304 52</v>
      </c>
      <c r="X1960" s="17" t="e">
        <f>_xlfn.XLOOKUP(Table2[[#This Row],[Adjusted Form '#]],[2]BILLED!$D:$D,[1]BILLED!$O:$O,"Not Found")</f>
        <v>#REF!</v>
      </c>
      <c r="Y1960" s="17" t="e">
        <f>_xlfn.XLOOKUP(Table2[[#This Row],[Adjusted Form '#]],'[2]REJECTED ORDERS'!$D:$D,'[2]REJECTED ORDERS'!$E:$E)</f>
        <v>#N/A</v>
      </c>
      <c r="Z1960" s="1"/>
      <c r="AA1960" s="1"/>
    </row>
    <row r="1961" spans="1:27" ht="15" customHeight="1" x14ac:dyDescent="0.35">
      <c r="A1961" s="4" t="s">
        <v>2898</v>
      </c>
      <c r="B1961" s="1" t="s">
        <v>3019</v>
      </c>
      <c r="C1961" s="11">
        <v>45229</v>
      </c>
      <c r="E1961" s="1" t="s">
        <v>21</v>
      </c>
      <c r="F1961" s="1" t="s">
        <v>6451</v>
      </c>
      <c r="G1961" s="6">
        <f>COUNTIF(F:F,Table2[[#This Row],[Form '#]])</f>
        <v>1</v>
      </c>
      <c r="H1961" s="1" t="s">
        <v>1820</v>
      </c>
      <c r="I1961" s="1" t="s">
        <v>28</v>
      </c>
      <c r="J1961" s="1" t="s">
        <v>69</v>
      </c>
      <c r="K1961" s="1" t="s">
        <v>4011</v>
      </c>
      <c r="L1961" s="1"/>
      <c r="M1961" s="6" t="str">
        <f>IF(Table2[[#This Row],[Corrected Form '#
 (If Duplicated)]]="",Table2[[#This Row],[Form '#]],Table2[[#This Row],[Corrected Form '#
 (If Duplicated)]])</f>
        <v>7818-19728</v>
      </c>
      <c r="N1961" s="1" t="s">
        <v>49</v>
      </c>
      <c r="O1961" s="6" t="str">
        <f>IF(Table2[[#This Row],[POG CONFIRMATION RECEIPT OF ORDER
(DATE &amp; TIME)]]="","No Confirmation","Received Confirmation")</f>
        <v>No Confirmation</v>
      </c>
      <c r="P1961" s="6">
        <f ca="1">TODAY()-Table2[[#This Row],[DATE SENT TO POG]]</f>
        <v>74</v>
      </c>
      <c r="Q1961" s="6" t="s">
        <v>5803</v>
      </c>
      <c r="R19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1" s="2" t="str">
        <f>_xlfn.XLOOKUP(Table2[[#This Row],[Adjusted Form '#]],'[2]IN PROGRESS'!$D:$D,'[2]IN PROGRESS'!$M:$M,"Not Found")</f>
        <v>Not Found</v>
      </c>
      <c r="U1961" s="2" t="str">
        <f>_xlfn.XLOOKUP(Table2[[#This Row],[Adjusted Form '#]],[1]COMPLETED!$D:$D,[2]COMPLETED!$M:$M,"Not Found")</f>
        <v>Not Found</v>
      </c>
      <c r="V1961" s="17" t="str">
        <f>_xlfn.XLOOKUP(Table2[[#This Row],[Adjusted Form '#]],[2]COMPLETED!$D:$D,[2]COMPLETED!$O:$O,"Not Found")</f>
        <v>Not Found</v>
      </c>
      <c r="W1961" s="2" t="str">
        <f>_xlfn.XLOOKUP(Table2[[#This Row],[Adjusted Form '#]],[2]BILLED!$D:$D,[2]BILLED!$M:$M,"Not Found")</f>
        <v>9400 1361 0605 3151 8297 45</v>
      </c>
      <c r="X1961" s="17" t="e">
        <f>_xlfn.XLOOKUP(Table2[[#This Row],[Adjusted Form '#]],[2]BILLED!$D:$D,[1]BILLED!$O:$O,"Not Found")</f>
        <v>#REF!</v>
      </c>
      <c r="Y1961" s="17" t="e">
        <f>_xlfn.XLOOKUP(Table2[[#This Row],[Adjusted Form '#]],'[2]REJECTED ORDERS'!$D:$D,'[2]REJECTED ORDERS'!$E:$E)</f>
        <v>#N/A</v>
      </c>
      <c r="Z1961" s="1"/>
      <c r="AA1961" s="1"/>
    </row>
    <row r="1962" spans="1:27" ht="15" customHeight="1" x14ac:dyDescent="0.35">
      <c r="A1962" s="4" t="s">
        <v>2899</v>
      </c>
      <c r="B1962" s="1" t="s">
        <v>3466</v>
      </c>
      <c r="C1962" s="11">
        <v>45229</v>
      </c>
      <c r="D1962" s="11" t="s">
        <v>7496</v>
      </c>
      <c r="E1962" s="1" t="s">
        <v>191</v>
      </c>
      <c r="F1962" s="1" t="s">
        <v>7469</v>
      </c>
      <c r="G1962" s="6">
        <f>COUNTIF(F:F,Table2[[#This Row],[Form '#]])</f>
        <v>1</v>
      </c>
      <c r="H1962" s="1" t="s">
        <v>1866</v>
      </c>
      <c r="I1962" s="1" t="s">
        <v>127</v>
      </c>
      <c r="J1962" s="1" t="s">
        <v>74</v>
      </c>
      <c r="K1962" s="1" t="s">
        <v>4011</v>
      </c>
      <c r="L1962" s="1"/>
      <c r="M1962" s="6" t="str">
        <f>IF(Table2[[#This Row],[Corrected Form '#
 (If Duplicated)]]="",Table2[[#This Row],[Form '#]],Table2[[#This Row],[Corrected Form '#
 (If Duplicated)]])</f>
        <v>7812-03358</v>
      </c>
      <c r="N1962" s="1" t="s">
        <v>49</v>
      </c>
      <c r="O1962" s="6" t="str">
        <f>IF(Table2[[#This Row],[POG CONFIRMATION RECEIPT OF ORDER
(DATE &amp; TIME)]]="","No Confirmation","Received Confirmation")</f>
        <v>Received Confirmation</v>
      </c>
      <c r="P1962" s="6">
        <f ca="1">TODAY()-Table2[[#This Row],[DATE SENT TO POG]]</f>
        <v>74</v>
      </c>
      <c r="Q1962" s="6" t="s">
        <v>5803</v>
      </c>
      <c r="R19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2" s="2" t="str">
        <f>_xlfn.XLOOKUP(Table2[[#This Row],[Adjusted Form '#]],'[2]IN PROGRESS'!$D:$D,'[2]IN PROGRESS'!$M:$M,"Not Found")</f>
        <v>Not Found</v>
      </c>
      <c r="U1962" s="2" t="str">
        <f>_xlfn.XLOOKUP(Table2[[#This Row],[Adjusted Form '#]],[1]COMPLETED!$D:$D,[2]COMPLETED!$M:$M,"Not Found")</f>
        <v>Not Found</v>
      </c>
      <c r="V1962" s="17" t="str">
        <f>_xlfn.XLOOKUP(Table2[[#This Row],[Adjusted Form '#]],[2]COMPLETED!$D:$D,[2]COMPLETED!$O:$O,"Not Found")</f>
        <v>Not Found</v>
      </c>
      <c r="W1962" s="2" t="str">
        <f>_xlfn.XLOOKUP(Table2[[#This Row],[Adjusted Form '#]],[2]BILLED!$D:$D,[2]BILLED!$M:$M,"Not Found")</f>
        <v>9400 1112 0620 9365 5636 23</v>
      </c>
      <c r="X1962" s="17" t="e">
        <f>_xlfn.XLOOKUP(Table2[[#This Row],[Adjusted Form '#]],[2]BILLED!$D:$D,[1]BILLED!$O:$O,"Not Found")</f>
        <v>#REF!</v>
      </c>
      <c r="Y1962" s="17" t="e">
        <f>_xlfn.XLOOKUP(Table2[[#This Row],[Adjusted Form '#]],'[2]REJECTED ORDERS'!$D:$D,'[2]REJECTED ORDERS'!$E:$E)</f>
        <v>#N/A</v>
      </c>
      <c r="Z1962" s="1"/>
      <c r="AA1962" s="1"/>
    </row>
    <row r="1963" spans="1:27" ht="15" customHeight="1" x14ac:dyDescent="0.35">
      <c r="A1963" s="4" t="s">
        <v>2901</v>
      </c>
      <c r="B1963" s="1" t="s">
        <v>3466</v>
      </c>
      <c r="C1963" s="11">
        <v>45229</v>
      </c>
      <c r="D1963" s="11" t="s">
        <v>7496</v>
      </c>
      <c r="E1963" s="1" t="s">
        <v>191</v>
      </c>
      <c r="F1963" s="1" t="s">
        <v>7470</v>
      </c>
      <c r="G1963" s="6">
        <f>COUNTIF(F:F,Table2[[#This Row],[Form '#]])</f>
        <v>1</v>
      </c>
      <c r="H1963" s="1" t="s">
        <v>3170</v>
      </c>
      <c r="I1963" s="1" t="s">
        <v>177</v>
      </c>
      <c r="J1963" s="1" t="s">
        <v>75</v>
      </c>
      <c r="K1963" s="1" t="s">
        <v>3853</v>
      </c>
      <c r="L1963" s="1"/>
      <c r="M1963" s="6" t="str">
        <f>IF(Table2[[#This Row],[Corrected Form '#
 (If Duplicated)]]="",Table2[[#This Row],[Form '#]],Table2[[#This Row],[Corrected Form '#
 (If Duplicated)]])</f>
        <v>7812-4030</v>
      </c>
      <c r="N1963" s="1" t="s">
        <v>49</v>
      </c>
      <c r="O1963" s="6" t="str">
        <f>IF(Table2[[#This Row],[POG CONFIRMATION RECEIPT OF ORDER
(DATE &amp; TIME)]]="","No Confirmation","Received Confirmation")</f>
        <v>Received Confirmation</v>
      </c>
      <c r="P1963" s="6">
        <f ca="1">TODAY()-Table2[[#This Row],[DATE SENT TO POG]]</f>
        <v>74</v>
      </c>
      <c r="Q1963" s="6" t="s">
        <v>5803</v>
      </c>
      <c r="R19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3" s="2" t="str">
        <f>_xlfn.XLOOKUP(Table2[[#This Row],[Adjusted Form '#]],'[2]IN PROGRESS'!$D:$D,'[2]IN PROGRESS'!$M:$M,"Not Found")</f>
        <v>Not Found</v>
      </c>
      <c r="U1963" s="2" t="str">
        <f>_xlfn.XLOOKUP(Table2[[#This Row],[Adjusted Form '#]],[1]COMPLETED!$D:$D,[2]COMPLETED!$M:$M,"Not Found")</f>
        <v>Not Found</v>
      </c>
      <c r="V1963" s="17" t="str">
        <f>_xlfn.XLOOKUP(Table2[[#This Row],[Adjusted Form '#]],[2]COMPLETED!$D:$D,[2]COMPLETED!$O:$O,"Not Found")</f>
        <v>Not Found</v>
      </c>
      <c r="W1963" s="2" t="str">
        <f>_xlfn.XLOOKUP(Table2[[#This Row],[Adjusted Form '#]],[2]BILLED!$D:$D,[2]BILLED!$M:$M,"Not Found")</f>
        <v>9400 1112 0620 9365 5242 66</v>
      </c>
      <c r="X1963" s="17" t="e">
        <f>_xlfn.XLOOKUP(Table2[[#This Row],[Adjusted Form '#]],[2]BILLED!$D:$D,[1]BILLED!$O:$O,"Not Found")</f>
        <v>#REF!</v>
      </c>
      <c r="Y1963" s="17" t="e">
        <f>_xlfn.XLOOKUP(Table2[[#This Row],[Adjusted Form '#]],'[2]REJECTED ORDERS'!$D:$D,'[2]REJECTED ORDERS'!$E:$E)</f>
        <v>#N/A</v>
      </c>
      <c r="Z1963" s="1"/>
      <c r="AA1963" s="1"/>
    </row>
    <row r="1964" spans="1:27" ht="15" customHeight="1" x14ac:dyDescent="0.35">
      <c r="A1964" s="4" t="s">
        <v>2902</v>
      </c>
      <c r="B1964" s="1" t="s">
        <v>2774</v>
      </c>
      <c r="C1964" s="11">
        <v>45229</v>
      </c>
      <c r="D1964" s="11" t="s">
        <v>7496</v>
      </c>
      <c r="E1964" s="1" t="s">
        <v>21</v>
      </c>
      <c r="F1964" s="1" t="s">
        <v>7471</v>
      </c>
      <c r="G1964" s="6">
        <f>COUNTIF(F:F,Table2[[#This Row],[Form '#]])</f>
        <v>1</v>
      </c>
      <c r="H1964" s="1" t="s">
        <v>3738</v>
      </c>
      <c r="I1964" s="1" t="s">
        <v>127</v>
      </c>
      <c r="J1964" s="1" t="s">
        <v>74</v>
      </c>
      <c r="K1964" s="1" t="s">
        <v>4011</v>
      </c>
      <c r="L1964" s="1"/>
      <c r="M1964" s="6" t="str">
        <f>IF(Table2[[#This Row],[Corrected Form '#
 (If Duplicated)]]="",Table2[[#This Row],[Form '#]],Table2[[#This Row],[Corrected Form '#
 (If Duplicated)]])</f>
        <v>7818-29969</v>
      </c>
      <c r="N1964" s="1" t="s">
        <v>49</v>
      </c>
      <c r="O1964" s="6" t="str">
        <f>IF(Table2[[#This Row],[POG CONFIRMATION RECEIPT OF ORDER
(DATE &amp; TIME)]]="","No Confirmation","Received Confirmation")</f>
        <v>Received Confirmation</v>
      </c>
      <c r="P1964" s="6">
        <f ca="1">TODAY()-Table2[[#This Row],[DATE SENT TO POG]]</f>
        <v>74</v>
      </c>
      <c r="Q1964" s="6" t="s">
        <v>5803</v>
      </c>
      <c r="R19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4" s="2" t="str">
        <f>_xlfn.XLOOKUP(Table2[[#This Row],[Adjusted Form '#]],'[2]IN PROGRESS'!$D:$D,'[2]IN PROGRESS'!$M:$M,"Not Found")</f>
        <v>Not Found</v>
      </c>
      <c r="U1964" s="2" t="str">
        <f>_xlfn.XLOOKUP(Table2[[#This Row],[Adjusted Form '#]],[1]COMPLETED!$D:$D,[2]COMPLETED!$M:$M,"Not Found")</f>
        <v>Not Found</v>
      </c>
      <c r="V1964" s="17" t="str">
        <f>_xlfn.XLOOKUP(Table2[[#This Row],[Adjusted Form '#]],[2]COMPLETED!$D:$D,[2]COMPLETED!$O:$O,"Not Found")</f>
        <v>Not Found</v>
      </c>
      <c r="W1964" s="2" t="str">
        <f>_xlfn.XLOOKUP(Table2[[#This Row],[Adjusted Form '#]],[2]BILLED!$D:$D,[2]BILLED!$M:$M,"Not Found")</f>
        <v>9400 1112 0620 9365 2349 29</v>
      </c>
      <c r="X1964" s="17" t="e">
        <f>_xlfn.XLOOKUP(Table2[[#This Row],[Adjusted Form '#]],[2]BILLED!$D:$D,[1]BILLED!$O:$O,"Not Found")</f>
        <v>#REF!</v>
      </c>
      <c r="Y1964" s="17" t="e">
        <f>_xlfn.XLOOKUP(Table2[[#This Row],[Adjusted Form '#]],'[2]REJECTED ORDERS'!$D:$D,'[2]REJECTED ORDERS'!$E:$E)</f>
        <v>#N/A</v>
      </c>
      <c r="Z1964" s="1"/>
      <c r="AA1964" s="1"/>
    </row>
    <row r="1965" spans="1:27" ht="15" customHeight="1" x14ac:dyDescent="0.35">
      <c r="A1965" s="4" t="s">
        <v>2903</v>
      </c>
      <c r="B1965" s="1" t="s">
        <v>2774</v>
      </c>
      <c r="C1965" s="11">
        <v>45229</v>
      </c>
      <c r="D1965" s="11" t="s">
        <v>7496</v>
      </c>
      <c r="E1965" s="1" t="s">
        <v>21</v>
      </c>
      <c r="F1965" s="1" t="s">
        <v>7472</v>
      </c>
      <c r="G1965" s="6">
        <f>COUNTIF(F:F,Table2[[#This Row],[Form '#]])</f>
        <v>1</v>
      </c>
      <c r="H1965" s="1" t="s">
        <v>7473</v>
      </c>
      <c r="I1965" s="1" t="s">
        <v>3864</v>
      </c>
      <c r="J1965" s="1" t="s">
        <v>78</v>
      </c>
      <c r="K1965" s="1" t="s">
        <v>3879</v>
      </c>
      <c r="L1965" s="1"/>
      <c r="M1965" s="6" t="str">
        <f>IF(Table2[[#This Row],[Corrected Form '#
 (If Duplicated)]]="",Table2[[#This Row],[Form '#]],Table2[[#This Row],[Corrected Form '#
 (If Duplicated)]])</f>
        <v>7818-28243</v>
      </c>
      <c r="N1965" s="1" t="s">
        <v>49</v>
      </c>
      <c r="O1965" s="6" t="str">
        <f>IF(Table2[[#This Row],[POG CONFIRMATION RECEIPT OF ORDER
(DATE &amp; TIME)]]="","No Confirmation","Received Confirmation")</f>
        <v>Received Confirmation</v>
      </c>
      <c r="P1965" s="6">
        <f ca="1">TODAY()-Table2[[#This Row],[DATE SENT TO POG]]</f>
        <v>74</v>
      </c>
      <c r="Q1965" s="6" t="s">
        <v>5803</v>
      </c>
      <c r="R19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5" s="2" t="str">
        <f>_xlfn.XLOOKUP(Table2[[#This Row],[Adjusted Form '#]],'[2]IN PROGRESS'!$D:$D,'[2]IN PROGRESS'!$M:$M,"Not Found")</f>
        <v>Not Found</v>
      </c>
      <c r="U1965" s="2" t="str">
        <f>_xlfn.XLOOKUP(Table2[[#This Row],[Adjusted Form '#]],[1]COMPLETED!$D:$D,[2]COMPLETED!$M:$M,"Not Found")</f>
        <v>Not Found</v>
      </c>
      <c r="V1965" s="17" t="str">
        <f>_xlfn.XLOOKUP(Table2[[#This Row],[Adjusted Form '#]],[2]COMPLETED!$D:$D,[2]COMPLETED!$O:$O,"Not Found")</f>
        <v>Not Found</v>
      </c>
      <c r="W1965" s="2" t="str">
        <f>_xlfn.XLOOKUP(Table2[[#This Row],[Adjusted Form '#]],[2]BILLED!$D:$D,[2]BILLED!$M:$M,"Not Found")</f>
        <v>9400 1361 0605 3655 3231 21</v>
      </c>
      <c r="X1965" s="17" t="e">
        <f>_xlfn.XLOOKUP(Table2[[#This Row],[Adjusted Form '#]],[2]BILLED!$D:$D,[1]BILLED!$O:$O,"Not Found")</f>
        <v>#REF!</v>
      </c>
      <c r="Y1965" s="17" t="e">
        <f>_xlfn.XLOOKUP(Table2[[#This Row],[Adjusted Form '#]],'[2]REJECTED ORDERS'!$D:$D,'[2]REJECTED ORDERS'!$E:$E)</f>
        <v>#N/A</v>
      </c>
      <c r="Z1965" s="1"/>
      <c r="AA1965" s="1"/>
    </row>
    <row r="1966" spans="1:27" ht="15" customHeight="1" x14ac:dyDescent="0.35">
      <c r="A1966" s="4" t="s">
        <v>2904</v>
      </c>
      <c r="B1966" s="1" t="s">
        <v>2774</v>
      </c>
      <c r="C1966" s="11">
        <v>45229</v>
      </c>
      <c r="D1966" s="11" t="s">
        <v>7496</v>
      </c>
      <c r="E1966" s="1" t="s">
        <v>21</v>
      </c>
      <c r="F1966" s="1" t="s">
        <v>7474</v>
      </c>
      <c r="G1966" s="6">
        <f>COUNTIF(F:F,Table2[[#This Row],[Form '#]])</f>
        <v>1</v>
      </c>
      <c r="H1966" s="1" t="s">
        <v>7475</v>
      </c>
      <c r="I1966" s="1" t="s">
        <v>3852</v>
      </c>
      <c r="J1966" s="1" t="s">
        <v>75</v>
      </c>
      <c r="K1966" s="1" t="s">
        <v>3853</v>
      </c>
      <c r="L1966" s="1"/>
      <c r="M1966" s="6" t="str">
        <f>IF(Table2[[#This Row],[Corrected Form '#
 (If Duplicated)]]="",Table2[[#This Row],[Form '#]],Table2[[#This Row],[Corrected Form '#
 (If Duplicated)]])</f>
        <v>7818-26415</v>
      </c>
      <c r="N1966" s="1" t="s">
        <v>49</v>
      </c>
      <c r="O1966" s="6" t="str">
        <f>IF(Table2[[#This Row],[POG CONFIRMATION RECEIPT OF ORDER
(DATE &amp; TIME)]]="","No Confirmation","Received Confirmation")</f>
        <v>Received Confirmation</v>
      </c>
      <c r="P1966" s="6">
        <f ca="1">TODAY()-Table2[[#This Row],[DATE SENT TO POG]]</f>
        <v>74</v>
      </c>
      <c r="Q1966" s="6" t="s">
        <v>5803</v>
      </c>
      <c r="R19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6" s="2" t="str">
        <f>_xlfn.XLOOKUP(Table2[[#This Row],[Adjusted Form '#]],'[2]IN PROGRESS'!$D:$D,'[2]IN PROGRESS'!$M:$M,"Not Found")</f>
        <v>Not Found</v>
      </c>
      <c r="U1966" s="2" t="str">
        <f>_xlfn.XLOOKUP(Table2[[#This Row],[Adjusted Form '#]],[1]COMPLETED!$D:$D,[2]COMPLETED!$M:$M,"Not Found")</f>
        <v>Not Found</v>
      </c>
      <c r="V1966" s="17" t="str">
        <f>_xlfn.XLOOKUP(Table2[[#This Row],[Adjusted Form '#]],[2]COMPLETED!$D:$D,[2]COMPLETED!$O:$O,"Not Found")</f>
        <v>Not Found</v>
      </c>
      <c r="W1966" s="2" t="str">
        <f>_xlfn.XLOOKUP(Table2[[#This Row],[Adjusted Form '#]],[2]BILLED!$D:$D,[2]BILLED!$M:$M,"Not Found")</f>
        <v>9400 1112 0620 9365 2667 91</v>
      </c>
      <c r="X1966" s="17" t="e">
        <f>_xlfn.XLOOKUP(Table2[[#This Row],[Adjusted Form '#]],[2]BILLED!$D:$D,[1]BILLED!$O:$O,"Not Found")</f>
        <v>#REF!</v>
      </c>
      <c r="Y1966" s="17" t="e">
        <f>_xlfn.XLOOKUP(Table2[[#This Row],[Adjusted Form '#]],'[2]REJECTED ORDERS'!$D:$D,'[2]REJECTED ORDERS'!$E:$E)</f>
        <v>#N/A</v>
      </c>
      <c r="Z1966" s="1"/>
      <c r="AA1966" s="1"/>
    </row>
    <row r="1967" spans="1:27" ht="15" customHeight="1" x14ac:dyDescent="0.35">
      <c r="A1967" s="4" t="s">
        <v>2905</v>
      </c>
      <c r="B1967" s="1" t="s">
        <v>2774</v>
      </c>
      <c r="C1967" s="11">
        <v>45229</v>
      </c>
      <c r="D1967" s="11" t="s">
        <v>7496</v>
      </c>
      <c r="E1967" s="1" t="s">
        <v>21</v>
      </c>
      <c r="F1967" s="1" t="s">
        <v>7476</v>
      </c>
      <c r="G1967" s="6">
        <f>COUNTIF(F:F,Table2[[#This Row],[Form '#]])</f>
        <v>1</v>
      </c>
      <c r="H1967" s="1" t="s">
        <v>7477</v>
      </c>
      <c r="I1967" s="1" t="s">
        <v>3852</v>
      </c>
      <c r="J1967" s="1" t="s">
        <v>80</v>
      </c>
      <c r="K1967" s="1" t="s">
        <v>3853</v>
      </c>
      <c r="L1967" s="1"/>
      <c r="M1967" s="6" t="str">
        <f>IF(Table2[[#This Row],[Corrected Form '#
 (If Duplicated)]]="",Table2[[#This Row],[Form '#]],Table2[[#This Row],[Corrected Form '#
 (If Duplicated)]])</f>
        <v>7818-32807</v>
      </c>
      <c r="N1967" s="1" t="s">
        <v>49</v>
      </c>
      <c r="O1967" s="6" t="str">
        <f>IF(Table2[[#This Row],[POG CONFIRMATION RECEIPT OF ORDER
(DATE &amp; TIME)]]="","No Confirmation","Received Confirmation")</f>
        <v>Received Confirmation</v>
      </c>
      <c r="P1967" s="6">
        <f ca="1">TODAY()-Table2[[#This Row],[DATE SENT TO POG]]</f>
        <v>74</v>
      </c>
      <c r="Q1967" s="6" t="s">
        <v>5803</v>
      </c>
      <c r="R19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7" s="2" t="str">
        <f>_xlfn.XLOOKUP(Table2[[#This Row],[Adjusted Form '#]],'[2]IN PROGRESS'!$D:$D,'[2]IN PROGRESS'!$M:$M,"Not Found")</f>
        <v>Not Found</v>
      </c>
      <c r="U1967" s="2" t="str">
        <f>_xlfn.XLOOKUP(Table2[[#This Row],[Adjusted Form '#]],[1]COMPLETED!$D:$D,[2]COMPLETED!$M:$M,"Not Found")</f>
        <v>Not Found</v>
      </c>
      <c r="V1967" s="17" t="str">
        <f>_xlfn.XLOOKUP(Table2[[#This Row],[Adjusted Form '#]],[2]COMPLETED!$D:$D,[2]COMPLETED!$O:$O,"Not Found")</f>
        <v>Not Found</v>
      </c>
      <c r="W1967" s="2" t="str">
        <f>_xlfn.XLOOKUP(Table2[[#This Row],[Adjusted Form '#]],[2]BILLED!$D:$D,[2]BILLED!$M:$M,"Not Found")</f>
        <v>9400 1112 0620 9365 5753 43</v>
      </c>
      <c r="X1967" s="17" t="e">
        <f>_xlfn.XLOOKUP(Table2[[#This Row],[Adjusted Form '#]],[2]BILLED!$D:$D,[1]BILLED!$O:$O,"Not Found")</f>
        <v>#REF!</v>
      </c>
      <c r="Y1967" s="17" t="e">
        <f>_xlfn.XLOOKUP(Table2[[#This Row],[Adjusted Form '#]],'[2]REJECTED ORDERS'!$D:$D,'[2]REJECTED ORDERS'!$E:$E)</f>
        <v>#N/A</v>
      </c>
      <c r="Z1967" s="1"/>
      <c r="AA1967" s="1"/>
    </row>
    <row r="1968" spans="1:27" ht="15" customHeight="1" x14ac:dyDescent="0.35">
      <c r="A1968" s="4" t="s">
        <v>2907</v>
      </c>
      <c r="B1968" s="1" t="s">
        <v>2774</v>
      </c>
      <c r="C1968" s="11">
        <v>45229</v>
      </c>
      <c r="D1968" s="11" t="s">
        <v>7496</v>
      </c>
      <c r="E1968" s="1" t="s">
        <v>21</v>
      </c>
      <c r="F1968" s="1" t="s">
        <v>7478</v>
      </c>
      <c r="G1968" s="6">
        <f>COUNTIF(F:F,Table2[[#This Row],[Form '#]])</f>
        <v>1</v>
      </c>
      <c r="H1968" s="1" t="s">
        <v>7479</v>
      </c>
      <c r="I1968" s="1" t="s">
        <v>127</v>
      </c>
      <c r="J1968" s="1" t="s">
        <v>76</v>
      </c>
      <c r="K1968" s="1" t="s">
        <v>3883</v>
      </c>
      <c r="L1968" s="1"/>
      <c r="M1968" s="6" t="str">
        <f>IF(Table2[[#This Row],[Corrected Form '#
 (If Duplicated)]]="",Table2[[#This Row],[Form '#]],Table2[[#This Row],[Corrected Form '#
 (If Duplicated)]])</f>
        <v>7818-32828</v>
      </c>
      <c r="N1968" s="1" t="s">
        <v>49</v>
      </c>
      <c r="O1968" s="6" t="str">
        <f>IF(Table2[[#This Row],[POG CONFIRMATION RECEIPT OF ORDER
(DATE &amp; TIME)]]="","No Confirmation","Received Confirmation")</f>
        <v>Received Confirmation</v>
      </c>
      <c r="P1968" s="6">
        <f ca="1">TODAY()-Table2[[#This Row],[DATE SENT TO POG]]</f>
        <v>74</v>
      </c>
      <c r="Q1968" s="6" t="s">
        <v>5803</v>
      </c>
      <c r="R19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8" s="2" t="str">
        <f>_xlfn.XLOOKUP(Table2[[#This Row],[Adjusted Form '#]],'[2]IN PROGRESS'!$D:$D,'[2]IN PROGRESS'!$M:$M,"Not Found")</f>
        <v>Not Found</v>
      </c>
      <c r="U1968" s="2" t="str">
        <f>_xlfn.XLOOKUP(Table2[[#This Row],[Adjusted Form '#]],[1]COMPLETED!$D:$D,[2]COMPLETED!$M:$M,"Not Found")</f>
        <v>Not Found</v>
      </c>
      <c r="V1968" s="17" t="str">
        <f>_xlfn.XLOOKUP(Table2[[#This Row],[Adjusted Form '#]],[2]COMPLETED!$D:$D,[2]COMPLETED!$O:$O,"Not Found")</f>
        <v>Not Found</v>
      </c>
      <c r="W1968" s="2" t="str">
        <f>_xlfn.XLOOKUP(Table2[[#This Row],[Adjusted Form '#]],[2]BILLED!$D:$D,[2]BILLED!$M:$M,"Not Found")</f>
        <v>9400 1112 0620 9384 1388 33</v>
      </c>
      <c r="X1968" s="17" t="e">
        <f>_xlfn.XLOOKUP(Table2[[#This Row],[Adjusted Form '#]],[2]BILLED!$D:$D,[1]BILLED!$O:$O,"Not Found")</f>
        <v>#REF!</v>
      </c>
      <c r="Y1968" s="17" t="e">
        <f>_xlfn.XLOOKUP(Table2[[#This Row],[Adjusted Form '#]],'[2]REJECTED ORDERS'!$D:$D,'[2]REJECTED ORDERS'!$E:$E)</f>
        <v>#N/A</v>
      </c>
      <c r="Z1968" s="1"/>
      <c r="AA1968" s="1"/>
    </row>
    <row r="1969" spans="1:27" ht="15" customHeight="1" x14ac:dyDescent="0.35">
      <c r="A1969" s="4" t="s">
        <v>2908</v>
      </c>
      <c r="B1969" s="1" t="s">
        <v>2774</v>
      </c>
      <c r="C1969" s="11">
        <v>45229</v>
      </c>
      <c r="D1969" s="11" t="s">
        <v>7496</v>
      </c>
      <c r="E1969" s="1" t="s">
        <v>21</v>
      </c>
      <c r="F1969" s="1" t="s">
        <v>7480</v>
      </c>
      <c r="G1969" s="6">
        <f>COUNTIF(F:F,Table2[[#This Row],[Form '#]])</f>
        <v>1</v>
      </c>
      <c r="H1969" s="1" t="s">
        <v>7481</v>
      </c>
      <c r="I1969" s="1" t="s">
        <v>3864</v>
      </c>
      <c r="J1969" s="1" t="s">
        <v>78</v>
      </c>
      <c r="K1969" s="1" t="s">
        <v>3879</v>
      </c>
      <c r="L1969" s="1"/>
      <c r="M1969" s="6" t="str">
        <f>IF(Table2[[#This Row],[Corrected Form '#
 (If Duplicated)]]="",Table2[[#This Row],[Form '#]],Table2[[#This Row],[Corrected Form '#
 (If Duplicated)]])</f>
        <v>7818-19148</v>
      </c>
      <c r="N1969" s="1" t="s">
        <v>49</v>
      </c>
      <c r="O1969" s="6" t="str">
        <f>IF(Table2[[#This Row],[POG CONFIRMATION RECEIPT OF ORDER
(DATE &amp; TIME)]]="","No Confirmation","Received Confirmation")</f>
        <v>Received Confirmation</v>
      </c>
      <c r="P1969" s="6">
        <f ca="1">TODAY()-Table2[[#This Row],[DATE SENT TO POG]]</f>
        <v>74</v>
      </c>
      <c r="Q1969" s="6" t="s">
        <v>5803</v>
      </c>
      <c r="R19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69" s="2" t="str">
        <f>_xlfn.XLOOKUP(Table2[[#This Row],[Adjusted Form '#]],'[2]IN PROGRESS'!$D:$D,'[2]IN PROGRESS'!$M:$M,"Not Found")</f>
        <v>Not Found</v>
      </c>
      <c r="U1969" s="2" t="str">
        <f>_xlfn.XLOOKUP(Table2[[#This Row],[Adjusted Form '#]],[1]COMPLETED!$D:$D,[2]COMPLETED!$M:$M,"Not Found")</f>
        <v>Not Found</v>
      </c>
      <c r="V1969" s="17" t="str">
        <f>_xlfn.XLOOKUP(Table2[[#This Row],[Adjusted Form '#]],[2]COMPLETED!$D:$D,[2]COMPLETED!$O:$O,"Not Found")</f>
        <v>Not Found</v>
      </c>
      <c r="W1969" s="2" t="str">
        <f>_xlfn.XLOOKUP(Table2[[#This Row],[Adjusted Form '#]],[2]BILLED!$D:$D,[2]BILLED!$M:$M,"Not Found")</f>
        <v>9400 1112 0620 9365 5311 10</v>
      </c>
      <c r="X1969" s="17" t="e">
        <f>_xlfn.XLOOKUP(Table2[[#This Row],[Adjusted Form '#]],[2]BILLED!$D:$D,[1]BILLED!$O:$O,"Not Found")</f>
        <v>#REF!</v>
      </c>
      <c r="Y1969" s="17" t="e">
        <f>_xlfn.XLOOKUP(Table2[[#This Row],[Adjusted Form '#]],'[2]REJECTED ORDERS'!$D:$D,'[2]REJECTED ORDERS'!$E:$E)</f>
        <v>#N/A</v>
      </c>
      <c r="Z1969" s="1"/>
      <c r="AA1969" s="1"/>
    </row>
    <row r="1970" spans="1:27" ht="15" customHeight="1" x14ac:dyDescent="0.35">
      <c r="A1970" s="4" t="s">
        <v>2909</v>
      </c>
      <c r="B1970" s="1" t="s">
        <v>2774</v>
      </c>
      <c r="C1970" s="11">
        <v>45229</v>
      </c>
      <c r="D1970" s="11" t="s">
        <v>7496</v>
      </c>
      <c r="E1970" s="1" t="s">
        <v>21</v>
      </c>
      <c r="F1970" s="1" t="s">
        <v>7482</v>
      </c>
      <c r="G1970" s="6">
        <f>COUNTIF(F:F,Table2[[#This Row],[Form '#]])</f>
        <v>1</v>
      </c>
      <c r="H1970" s="1" t="s">
        <v>2380</v>
      </c>
      <c r="I1970" s="1" t="s">
        <v>758</v>
      </c>
      <c r="J1970" s="1" t="s">
        <v>78</v>
      </c>
      <c r="K1970" s="1" t="s">
        <v>3853</v>
      </c>
      <c r="L1970" s="1"/>
      <c r="M1970" s="6" t="str">
        <f>IF(Table2[[#This Row],[Corrected Form '#
 (If Duplicated)]]="",Table2[[#This Row],[Form '#]],Table2[[#This Row],[Corrected Form '#
 (If Duplicated)]])</f>
        <v>7818-16223</v>
      </c>
      <c r="N1970" s="1" t="s">
        <v>49</v>
      </c>
      <c r="O1970" s="6" t="str">
        <f>IF(Table2[[#This Row],[POG CONFIRMATION RECEIPT OF ORDER
(DATE &amp; TIME)]]="","No Confirmation","Received Confirmation")</f>
        <v>Received Confirmation</v>
      </c>
      <c r="P1970" s="6">
        <f ca="1">TODAY()-Table2[[#This Row],[DATE SENT TO POG]]</f>
        <v>74</v>
      </c>
      <c r="Q1970" s="6" t="s">
        <v>5803</v>
      </c>
      <c r="R19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0" s="2" t="str">
        <f>_xlfn.XLOOKUP(Table2[[#This Row],[Adjusted Form '#]],'[2]IN PROGRESS'!$D:$D,'[2]IN PROGRESS'!$M:$M,"Not Found")</f>
        <v>Not Found</v>
      </c>
      <c r="U1970" s="2" t="str">
        <f>_xlfn.XLOOKUP(Table2[[#This Row],[Adjusted Form '#]],[1]COMPLETED!$D:$D,[2]COMPLETED!$M:$M,"Not Found")</f>
        <v>Not Found</v>
      </c>
      <c r="V1970" s="17" t="str">
        <f>_xlfn.XLOOKUP(Table2[[#This Row],[Adjusted Form '#]],[2]COMPLETED!$D:$D,[2]COMPLETED!$O:$O,"Not Found")</f>
        <v>Not Found</v>
      </c>
      <c r="W1970" s="2" t="str">
        <f>_xlfn.XLOOKUP(Table2[[#This Row],[Adjusted Form '#]],[2]BILLED!$D:$D,[2]BILLED!$M:$M,"Not Found")</f>
        <v>9400 1112 0620 9365 2477 38</v>
      </c>
      <c r="X1970" s="17" t="e">
        <f>_xlfn.XLOOKUP(Table2[[#This Row],[Adjusted Form '#]],[2]BILLED!$D:$D,[1]BILLED!$O:$O,"Not Found")</f>
        <v>#REF!</v>
      </c>
      <c r="Y1970" s="17" t="e">
        <f>_xlfn.XLOOKUP(Table2[[#This Row],[Adjusted Form '#]],'[2]REJECTED ORDERS'!$D:$D,'[2]REJECTED ORDERS'!$E:$E)</f>
        <v>#N/A</v>
      </c>
      <c r="Z1970" s="1"/>
      <c r="AA1970" s="1"/>
    </row>
    <row r="1971" spans="1:27" ht="15" customHeight="1" x14ac:dyDescent="0.35">
      <c r="A1971" s="4" t="s">
        <v>2910</v>
      </c>
      <c r="B1971" s="1" t="s">
        <v>2774</v>
      </c>
      <c r="C1971" s="11">
        <v>45229</v>
      </c>
      <c r="D1971" s="11" t="s">
        <v>7496</v>
      </c>
      <c r="E1971" s="1" t="s">
        <v>21</v>
      </c>
      <c r="F1971" s="1" t="s">
        <v>7483</v>
      </c>
      <c r="G1971" s="6">
        <f>COUNTIF(F:F,Table2[[#This Row],[Form '#]])</f>
        <v>1</v>
      </c>
      <c r="H1971" s="1" t="s">
        <v>7484</v>
      </c>
      <c r="I1971" s="1" t="s">
        <v>177</v>
      </c>
      <c r="J1971" s="1" t="s">
        <v>75</v>
      </c>
      <c r="K1971" s="1" t="s">
        <v>4011</v>
      </c>
      <c r="L1971" s="1"/>
      <c r="M1971" s="6" t="str">
        <f>IF(Table2[[#This Row],[Corrected Form '#
 (If Duplicated)]]="",Table2[[#This Row],[Form '#]],Table2[[#This Row],[Corrected Form '#
 (If Duplicated)]])</f>
        <v>7818-33350</v>
      </c>
      <c r="N1971" s="1" t="s">
        <v>49</v>
      </c>
      <c r="O1971" s="6" t="str">
        <f>IF(Table2[[#This Row],[POG CONFIRMATION RECEIPT OF ORDER
(DATE &amp; TIME)]]="","No Confirmation","Received Confirmation")</f>
        <v>Received Confirmation</v>
      </c>
      <c r="P1971" s="6">
        <f ca="1">TODAY()-Table2[[#This Row],[DATE SENT TO POG]]</f>
        <v>74</v>
      </c>
      <c r="Q1971" s="6" t="s">
        <v>5803</v>
      </c>
      <c r="R19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1" s="2" t="str">
        <f>_xlfn.XLOOKUP(Table2[[#This Row],[Adjusted Form '#]],'[2]IN PROGRESS'!$D:$D,'[2]IN PROGRESS'!$M:$M,"Not Found")</f>
        <v>Not Found</v>
      </c>
      <c r="U1971" s="2" t="str">
        <f>_xlfn.XLOOKUP(Table2[[#This Row],[Adjusted Form '#]],[1]COMPLETED!$D:$D,[2]COMPLETED!$M:$M,"Not Found")</f>
        <v>Not Found</v>
      </c>
      <c r="V1971" s="17" t="str">
        <f>_xlfn.XLOOKUP(Table2[[#This Row],[Adjusted Form '#]],[2]COMPLETED!$D:$D,[2]COMPLETED!$O:$O,"Not Found")</f>
        <v>Not Found</v>
      </c>
      <c r="W1971" s="2" t="str">
        <f>_xlfn.XLOOKUP(Table2[[#This Row],[Adjusted Form '#]],[2]BILLED!$D:$D,[2]BILLED!$M:$M,"Not Found")</f>
        <v>9400 1361 0605 3631 7453 29</v>
      </c>
      <c r="X1971" s="17" t="e">
        <f>_xlfn.XLOOKUP(Table2[[#This Row],[Adjusted Form '#]],[2]BILLED!$D:$D,[1]BILLED!$O:$O,"Not Found")</f>
        <v>#REF!</v>
      </c>
      <c r="Y1971" s="17" t="e">
        <f>_xlfn.XLOOKUP(Table2[[#This Row],[Adjusted Form '#]],'[2]REJECTED ORDERS'!$D:$D,'[2]REJECTED ORDERS'!$E:$E)</f>
        <v>#N/A</v>
      </c>
      <c r="Z1971" s="1"/>
      <c r="AA1971" s="1"/>
    </row>
    <row r="1972" spans="1:27" ht="15" customHeight="1" x14ac:dyDescent="0.35">
      <c r="A1972" s="4" t="s">
        <v>2913</v>
      </c>
      <c r="B1972" s="1" t="s">
        <v>2774</v>
      </c>
      <c r="C1972" s="11">
        <v>45229</v>
      </c>
      <c r="D1972" s="11" t="s">
        <v>7496</v>
      </c>
      <c r="E1972" s="1" t="s">
        <v>21</v>
      </c>
      <c r="F1972" s="1" t="s">
        <v>7485</v>
      </c>
      <c r="G1972" s="6">
        <f>COUNTIF(F:F,Table2[[#This Row],[Form '#]])</f>
        <v>1</v>
      </c>
      <c r="H1972" s="1" t="s">
        <v>7486</v>
      </c>
      <c r="I1972" s="1" t="s">
        <v>3852</v>
      </c>
      <c r="J1972" s="1" t="s">
        <v>80</v>
      </c>
      <c r="K1972" s="1" t="s">
        <v>3853</v>
      </c>
      <c r="L1972" s="1"/>
      <c r="M1972" s="6" t="str">
        <f>IF(Table2[[#This Row],[Corrected Form '#
 (If Duplicated)]]="",Table2[[#This Row],[Form '#]],Table2[[#This Row],[Corrected Form '#
 (If Duplicated)]])</f>
        <v>7818-25583</v>
      </c>
      <c r="N1972" s="1" t="s">
        <v>49</v>
      </c>
      <c r="O1972" s="6" t="str">
        <f>IF(Table2[[#This Row],[POG CONFIRMATION RECEIPT OF ORDER
(DATE &amp; TIME)]]="","No Confirmation","Received Confirmation")</f>
        <v>Received Confirmation</v>
      </c>
      <c r="P1972" s="6">
        <f ca="1">TODAY()-Table2[[#This Row],[DATE SENT TO POG]]</f>
        <v>74</v>
      </c>
      <c r="Q1972" s="6" t="s">
        <v>5803</v>
      </c>
      <c r="R19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2" s="2" t="str">
        <f>_xlfn.XLOOKUP(Table2[[#This Row],[Adjusted Form '#]],'[2]IN PROGRESS'!$D:$D,'[2]IN PROGRESS'!$M:$M,"Not Found")</f>
        <v>Not Found</v>
      </c>
      <c r="U1972" s="2" t="str">
        <f>_xlfn.XLOOKUP(Table2[[#This Row],[Adjusted Form '#]],[1]COMPLETED!$D:$D,[2]COMPLETED!$M:$M,"Not Found")</f>
        <v>Not Found</v>
      </c>
      <c r="V1972" s="17" t="str">
        <f>_xlfn.XLOOKUP(Table2[[#This Row],[Adjusted Form '#]],[2]COMPLETED!$D:$D,[2]COMPLETED!$O:$O,"Not Found")</f>
        <v>Not Found</v>
      </c>
      <c r="W1972" s="2" t="str">
        <f>_xlfn.XLOOKUP(Table2[[#This Row],[Adjusted Form '#]],[2]BILLED!$D:$D,[2]BILLED!$M:$M,"Not Found")</f>
        <v>9400 1112 0620 9365 7348 32</v>
      </c>
      <c r="X1972" s="17" t="e">
        <f>_xlfn.XLOOKUP(Table2[[#This Row],[Adjusted Form '#]],[2]BILLED!$D:$D,[1]BILLED!$O:$O,"Not Found")</f>
        <v>#REF!</v>
      </c>
      <c r="Y1972" s="17" t="e">
        <f>_xlfn.XLOOKUP(Table2[[#This Row],[Adjusted Form '#]],'[2]REJECTED ORDERS'!$D:$D,'[2]REJECTED ORDERS'!$E:$E)</f>
        <v>#N/A</v>
      </c>
      <c r="Z1972" s="1"/>
      <c r="AA1972" s="1"/>
    </row>
    <row r="1973" spans="1:27" ht="15" customHeight="1" x14ac:dyDescent="0.35">
      <c r="A1973" s="4" t="s">
        <v>2914</v>
      </c>
      <c r="B1973" s="1" t="s">
        <v>2774</v>
      </c>
      <c r="C1973" s="11">
        <v>45229</v>
      </c>
      <c r="D1973" s="11" t="s">
        <v>7496</v>
      </c>
      <c r="E1973" s="1" t="s">
        <v>21</v>
      </c>
      <c r="F1973" s="1" t="s">
        <v>7487</v>
      </c>
      <c r="G1973" s="6">
        <f>COUNTIF(F:F,Table2[[#This Row],[Form '#]])</f>
        <v>1</v>
      </c>
      <c r="H1973" s="1" t="s">
        <v>7488</v>
      </c>
      <c r="I1973" s="1" t="s">
        <v>127</v>
      </c>
      <c r="J1973" s="1" t="s">
        <v>76</v>
      </c>
      <c r="K1973" s="1" t="s">
        <v>4011</v>
      </c>
      <c r="L1973" s="1"/>
      <c r="M1973" s="6" t="str">
        <f>IF(Table2[[#This Row],[Corrected Form '#
 (If Duplicated)]]="",Table2[[#This Row],[Form '#]],Table2[[#This Row],[Corrected Form '#
 (If Duplicated)]])</f>
        <v>7818-32822</v>
      </c>
      <c r="N1973" s="1" t="s">
        <v>49</v>
      </c>
      <c r="O1973" s="6" t="str">
        <f>IF(Table2[[#This Row],[POG CONFIRMATION RECEIPT OF ORDER
(DATE &amp; TIME)]]="","No Confirmation","Received Confirmation")</f>
        <v>Received Confirmation</v>
      </c>
      <c r="P1973" s="6">
        <f ca="1">TODAY()-Table2[[#This Row],[DATE SENT TO POG]]</f>
        <v>74</v>
      </c>
      <c r="Q1973" s="6" t="s">
        <v>5803</v>
      </c>
      <c r="R19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3" s="2" t="str">
        <f>_xlfn.XLOOKUP(Table2[[#This Row],[Adjusted Form '#]],'[2]IN PROGRESS'!$D:$D,'[2]IN PROGRESS'!$M:$M,"Not Found")</f>
        <v>Not Found</v>
      </c>
      <c r="U1973" s="2" t="str">
        <f>_xlfn.XLOOKUP(Table2[[#This Row],[Adjusted Form '#]],[1]COMPLETED!$D:$D,[2]COMPLETED!$M:$M,"Not Found")</f>
        <v>Not Found</v>
      </c>
      <c r="V1973" s="17" t="str">
        <f>_xlfn.XLOOKUP(Table2[[#This Row],[Adjusted Form '#]],[2]COMPLETED!$D:$D,[2]COMPLETED!$O:$O,"Not Found")</f>
        <v>Not Found</v>
      </c>
      <c r="W1973" s="2" t="str">
        <f>_xlfn.XLOOKUP(Table2[[#This Row],[Adjusted Form '#]],[2]BILLED!$D:$D,[2]BILLED!$M:$M,"Not Found")</f>
        <v>9400 1112 0620 9384 1739 02</v>
      </c>
      <c r="X1973" s="17" t="e">
        <f>_xlfn.XLOOKUP(Table2[[#This Row],[Adjusted Form '#]],[2]BILLED!$D:$D,[1]BILLED!$O:$O,"Not Found")</f>
        <v>#REF!</v>
      </c>
      <c r="Y1973" s="17" t="e">
        <f>_xlfn.XLOOKUP(Table2[[#This Row],[Adjusted Form '#]],'[2]REJECTED ORDERS'!$D:$D,'[2]REJECTED ORDERS'!$E:$E)</f>
        <v>#N/A</v>
      </c>
      <c r="Z1973" s="1"/>
      <c r="AA1973" s="1"/>
    </row>
    <row r="1974" spans="1:27" ht="15" customHeight="1" x14ac:dyDescent="0.35">
      <c r="A1974" s="4" t="s">
        <v>2916</v>
      </c>
      <c r="B1974" s="1" t="s">
        <v>2717</v>
      </c>
      <c r="C1974" s="11">
        <v>45229</v>
      </c>
      <c r="D1974" s="11" t="s">
        <v>7497</v>
      </c>
      <c r="E1974" s="1" t="s">
        <v>21</v>
      </c>
      <c r="F1974" s="1" t="s">
        <v>7489</v>
      </c>
      <c r="G1974" s="6">
        <f>COUNTIF(F:F,Table2[[#This Row],[Form '#]])</f>
        <v>1</v>
      </c>
      <c r="H1974" s="1" t="s">
        <v>7217</v>
      </c>
      <c r="I1974" s="1" t="s">
        <v>3852</v>
      </c>
      <c r="J1974" s="1" t="s">
        <v>75</v>
      </c>
      <c r="K1974" s="1" t="s">
        <v>3853</v>
      </c>
      <c r="L1974" s="1"/>
      <c r="M1974" s="6" t="str">
        <f>IF(Table2[[#This Row],[Corrected Form '#
 (If Duplicated)]]="",Table2[[#This Row],[Form '#]],Table2[[#This Row],[Corrected Form '#
 (If Duplicated)]])</f>
        <v>7818-33351</v>
      </c>
      <c r="N1974" s="1" t="s">
        <v>104</v>
      </c>
      <c r="O1974" s="6" t="str">
        <f>IF(Table2[[#This Row],[POG CONFIRMATION RECEIPT OF ORDER
(DATE &amp; TIME)]]="","No Confirmation","Received Confirmation")</f>
        <v>Received Confirmation</v>
      </c>
      <c r="P1974" s="6">
        <f ca="1">TODAY()-Table2[[#This Row],[DATE SENT TO POG]]</f>
        <v>74</v>
      </c>
      <c r="Q1974" s="6" t="s">
        <v>5803</v>
      </c>
      <c r="R19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4" s="2" t="str">
        <f>_xlfn.XLOOKUP(Table2[[#This Row],[Adjusted Form '#]],'[2]IN PROGRESS'!$D:$D,'[2]IN PROGRESS'!$M:$M,"Not Found")</f>
        <v>Not Found</v>
      </c>
      <c r="U1974" s="2" t="str">
        <f>_xlfn.XLOOKUP(Table2[[#This Row],[Adjusted Form '#]],[1]COMPLETED!$D:$D,[2]COMPLETED!$M:$M,"Not Found")</f>
        <v>Not Found</v>
      </c>
      <c r="V1974" s="17" t="str">
        <f>_xlfn.XLOOKUP(Table2[[#This Row],[Adjusted Form '#]],[2]COMPLETED!$D:$D,[2]COMPLETED!$O:$O,"Not Found")</f>
        <v>Not Found</v>
      </c>
      <c r="W1974" s="2" t="str">
        <f>_xlfn.XLOOKUP(Table2[[#This Row],[Adjusted Form '#]],[2]BILLED!$D:$D,[2]BILLED!$M:$M,"Not Found")</f>
        <v>9400 1112 0620 9384 7655 89</v>
      </c>
      <c r="X1974" s="17" t="e">
        <f>_xlfn.XLOOKUP(Table2[[#This Row],[Adjusted Form '#]],[2]BILLED!$D:$D,[1]BILLED!$O:$O,"Not Found")</f>
        <v>#REF!</v>
      </c>
      <c r="Y1974" s="17" t="e">
        <f>_xlfn.XLOOKUP(Table2[[#This Row],[Adjusted Form '#]],'[2]REJECTED ORDERS'!$D:$D,'[2]REJECTED ORDERS'!$E:$E)</f>
        <v>#N/A</v>
      </c>
      <c r="Z1974" s="1"/>
      <c r="AA1974" s="1"/>
    </row>
    <row r="1975" spans="1:27" ht="15" customHeight="1" x14ac:dyDescent="0.35">
      <c r="A1975" s="4" t="s">
        <v>2917</v>
      </c>
      <c r="B1975" s="1" t="s">
        <v>5154</v>
      </c>
      <c r="C1975" s="11">
        <v>45230</v>
      </c>
      <c r="D1975" s="11" t="s">
        <v>7497</v>
      </c>
      <c r="E1975" s="1" t="s">
        <v>191</v>
      </c>
      <c r="F1975" s="1" t="s">
        <v>7490</v>
      </c>
      <c r="G1975" s="6">
        <f>COUNTIF(F:F,Table2[[#This Row],[Form '#]])</f>
        <v>1</v>
      </c>
      <c r="H1975" s="1" t="s">
        <v>1775</v>
      </c>
      <c r="I1975" s="1" t="s">
        <v>3852</v>
      </c>
      <c r="J1975" s="1" t="s">
        <v>80</v>
      </c>
      <c r="K1975" s="1" t="s">
        <v>3853</v>
      </c>
      <c r="L1975" s="1"/>
      <c r="M1975" s="6" t="str">
        <f>IF(Table2[[#This Row],[Corrected Form '#
 (If Duplicated)]]="",Table2[[#This Row],[Form '#]],Table2[[#This Row],[Corrected Form '#
 (If Duplicated)]])</f>
        <v>7812-04902</v>
      </c>
      <c r="N1975" s="1" t="s">
        <v>49</v>
      </c>
      <c r="O1975" s="6" t="str">
        <f>IF(Table2[[#This Row],[POG CONFIRMATION RECEIPT OF ORDER
(DATE &amp; TIME)]]="","No Confirmation","Received Confirmation")</f>
        <v>Received Confirmation</v>
      </c>
      <c r="P1975" s="6">
        <f ca="1">TODAY()-Table2[[#This Row],[DATE SENT TO POG]]</f>
        <v>73</v>
      </c>
      <c r="Q1975" s="6" t="s">
        <v>5803</v>
      </c>
      <c r="R19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5" s="2" t="str">
        <f>_xlfn.XLOOKUP(Table2[[#This Row],[Adjusted Form '#]],'[2]IN PROGRESS'!$D:$D,'[2]IN PROGRESS'!$M:$M,"Not Found")</f>
        <v>Not Found</v>
      </c>
      <c r="U1975" s="2" t="str">
        <f>_xlfn.XLOOKUP(Table2[[#This Row],[Adjusted Form '#]],[1]COMPLETED!$D:$D,[2]COMPLETED!$M:$M,"Not Found")</f>
        <v>Not Found</v>
      </c>
      <c r="V1975" s="17" t="str">
        <f>_xlfn.XLOOKUP(Table2[[#This Row],[Adjusted Form '#]],[2]COMPLETED!$D:$D,[2]COMPLETED!$O:$O,"Not Found")</f>
        <v>Not Found</v>
      </c>
      <c r="W1975" s="2" t="str">
        <f>_xlfn.XLOOKUP(Table2[[#This Row],[Adjusted Form '#]],[2]BILLED!$D:$D,[2]BILLED!$M:$M,"Not Found")</f>
        <v>9400 1112 0620 9384 7210 28</v>
      </c>
      <c r="X1975" s="17" t="e">
        <f>_xlfn.XLOOKUP(Table2[[#This Row],[Adjusted Form '#]],[2]BILLED!$D:$D,[1]BILLED!$O:$O,"Not Found")</f>
        <v>#REF!</v>
      </c>
      <c r="Y1975" s="17" t="e">
        <f>_xlfn.XLOOKUP(Table2[[#This Row],[Adjusted Form '#]],'[2]REJECTED ORDERS'!$D:$D,'[2]REJECTED ORDERS'!$E:$E)</f>
        <v>#N/A</v>
      </c>
      <c r="Z1975" s="1"/>
      <c r="AA1975" s="1"/>
    </row>
    <row r="1976" spans="1:27" ht="15" customHeight="1" x14ac:dyDescent="0.35">
      <c r="A1976" s="4" t="s">
        <v>2919</v>
      </c>
      <c r="B1976" s="1" t="s">
        <v>3686</v>
      </c>
      <c r="C1976" s="11">
        <v>45230</v>
      </c>
      <c r="D1976" s="11" t="s">
        <v>7498</v>
      </c>
      <c r="E1976" s="1" t="s">
        <v>1592</v>
      </c>
      <c r="F1976" s="1" t="s">
        <v>7491</v>
      </c>
      <c r="G1976" s="6">
        <f>COUNTIF(F:F,Table2[[#This Row],[Form '#]])</f>
        <v>1</v>
      </c>
      <c r="H1976" s="1" t="s">
        <v>3616</v>
      </c>
      <c r="I1976" s="1" t="s">
        <v>177</v>
      </c>
      <c r="J1976" s="1" t="s">
        <v>75</v>
      </c>
      <c r="K1976" s="1" t="s">
        <v>3853</v>
      </c>
      <c r="L1976" s="1"/>
      <c r="M1976" s="6" t="str">
        <f>IF(Table2[[#This Row],[Corrected Form '#
 (If Duplicated)]]="",Table2[[#This Row],[Form '#]],Table2[[#This Row],[Corrected Form '#
 (If Duplicated)]])</f>
        <v>7811-00203</v>
      </c>
      <c r="N1976" s="1" t="s">
        <v>49</v>
      </c>
      <c r="O1976" s="6" t="str">
        <f>IF(Table2[[#This Row],[POG CONFIRMATION RECEIPT OF ORDER
(DATE &amp; TIME)]]="","No Confirmation","Received Confirmation")</f>
        <v>Received Confirmation</v>
      </c>
      <c r="P1976" s="6">
        <f ca="1">TODAY()-Table2[[#This Row],[DATE SENT TO POG]]</f>
        <v>73</v>
      </c>
      <c r="Q1976" s="6" t="s">
        <v>5803</v>
      </c>
      <c r="R19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6" s="2" t="str">
        <f>_xlfn.XLOOKUP(Table2[[#This Row],[Adjusted Form '#]],'[2]IN PROGRESS'!$D:$D,'[2]IN PROGRESS'!$M:$M,"Not Found")</f>
        <v>Not Found</v>
      </c>
      <c r="U1976" s="2" t="str">
        <f>_xlfn.XLOOKUP(Table2[[#This Row],[Adjusted Form '#]],[1]COMPLETED!$D:$D,[2]COMPLETED!$M:$M,"Not Found")</f>
        <v>Not Found</v>
      </c>
      <c r="V1976" s="17" t="str">
        <f>_xlfn.XLOOKUP(Table2[[#This Row],[Adjusted Form '#]],[2]COMPLETED!$D:$D,[2]COMPLETED!$O:$O,"Not Found")</f>
        <v>Not Found</v>
      </c>
      <c r="W1976" s="2" t="str">
        <f>_xlfn.XLOOKUP(Table2[[#This Row],[Adjusted Form '#]],[2]BILLED!$D:$D,[2]BILLED!$M:$M,"Not Found")</f>
        <v>9400 1361 0605 3629 3214 81</v>
      </c>
      <c r="X1976" s="17" t="e">
        <f>_xlfn.XLOOKUP(Table2[[#This Row],[Adjusted Form '#]],[2]BILLED!$D:$D,[1]BILLED!$O:$O,"Not Found")</f>
        <v>#REF!</v>
      </c>
      <c r="Y1976" s="17" t="e">
        <f>_xlfn.XLOOKUP(Table2[[#This Row],[Adjusted Form '#]],'[2]REJECTED ORDERS'!$D:$D,'[2]REJECTED ORDERS'!$E:$E)</f>
        <v>#N/A</v>
      </c>
      <c r="Z1976" s="1"/>
      <c r="AA1976" s="1"/>
    </row>
    <row r="1977" spans="1:27" ht="15" customHeight="1" x14ac:dyDescent="0.35">
      <c r="A1977" s="4" t="s">
        <v>2921</v>
      </c>
      <c r="B1977" s="1" t="s">
        <v>888</v>
      </c>
      <c r="C1977" s="11">
        <v>45230</v>
      </c>
      <c r="D1977" s="11" t="s">
        <v>7498</v>
      </c>
      <c r="E1977" s="1" t="s">
        <v>1592</v>
      </c>
      <c r="F1977" s="1" t="s">
        <v>7492</v>
      </c>
      <c r="G1977" s="6">
        <f>COUNTIF(F:F,Table2[[#This Row],[Form '#]])</f>
        <v>1</v>
      </c>
      <c r="H1977" s="1" t="s">
        <v>7493</v>
      </c>
      <c r="I1977" s="1" t="s">
        <v>177</v>
      </c>
      <c r="J1977" s="1" t="s">
        <v>75</v>
      </c>
      <c r="K1977" s="1" t="s">
        <v>4011</v>
      </c>
      <c r="L1977" s="1"/>
      <c r="M1977" s="6" t="str">
        <f>IF(Table2[[#This Row],[Corrected Form '#
 (If Duplicated)]]="",Table2[[#This Row],[Form '#]],Table2[[#This Row],[Corrected Form '#
 (If Duplicated)]])</f>
        <v>7811-00321</v>
      </c>
      <c r="N1977" s="1" t="s">
        <v>49</v>
      </c>
      <c r="O1977" s="6" t="str">
        <f>IF(Table2[[#This Row],[POG CONFIRMATION RECEIPT OF ORDER
(DATE &amp; TIME)]]="","No Confirmation","Received Confirmation")</f>
        <v>Received Confirmation</v>
      </c>
      <c r="P1977" s="6">
        <f ca="1">TODAY()-Table2[[#This Row],[DATE SENT TO POG]]</f>
        <v>73</v>
      </c>
      <c r="Q1977" s="6" t="s">
        <v>5803</v>
      </c>
      <c r="R19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7" s="2" t="str">
        <f>_xlfn.XLOOKUP(Table2[[#This Row],[Adjusted Form '#]],'[2]IN PROGRESS'!$D:$D,'[2]IN PROGRESS'!$M:$M,"Not Found")</f>
        <v>Not Found</v>
      </c>
      <c r="U1977" s="2" t="str">
        <f>_xlfn.XLOOKUP(Table2[[#This Row],[Adjusted Form '#]],[1]COMPLETED!$D:$D,[2]COMPLETED!$M:$M,"Not Found")</f>
        <v>Not Found</v>
      </c>
      <c r="V1977" s="17" t="str">
        <f>_xlfn.XLOOKUP(Table2[[#This Row],[Adjusted Form '#]],[2]COMPLETED!$D:$D,[2]COMPLETED!$O:$O,"Not Found")</f>
        <v>Not Found</v>
      </c>
      <c r="W1977" s="2" t="str">
        <f>_xlfn.XLOOKUP(Table2[[#This Row],[Adjusted Form '#]],[2]BILLED!$D:$D,[2]BILLED!$M:$M,"Not Found")</f>
        <v>9400 1112 0620 9364 0450 90</v>
      </c>
      <c r="X1977" s="17" t="e">
        <f>_xlfn.XLOOKUP(Table2[[#This Row],[Adjusted Form '#]],[2]BILLED!$D:$D,[1]BILLED!$O:$O,"Not Found")</f>
        <v>#REF!</v>
      </c>
      <c r="Y1977" s="17" t="e">
        <f>_xlfn.XLOOKUP(Table2[[#This Row],[Adjusted Form '#]],'[2]REJECTED ORDERS'!$D:$D,'[2]REJECTED ORDERS'!$E:$E)</f>
        <v>#N/A</v>
      </c>
      <c r="Z1977" s="1"/>
      <c r="AA1977" s="1"/>
    </row>
    <row r="1978" spans="1:27" ht="15" customHeight="1" x14ac:dyDescent="0.35">
      <c r="A1978" s="4" t="s">
        <v>2922</v>
      </c>
      <c r="B1978" s="1" t="s">
        <v>2286</v>
      </c>
      <c r="C1978" s="11">
        <v>45230</v>
      </c>
      <c r="D1978" s="11" t="s">
        <v>7509</v>
      </c>
      <c r="E1978" s="1" t="s">
        <v>21</v>
      </c>
      <c r="F1978" s="1" t="s">
        <v>7499</v>
      </c>
      <c r="G1978" s="6">
        <f>COUNTIF(F:F,Table2[[#This Row],[Form '#]])</f>
        <v>1</v>
      </c>
      <c r="H1978" s="1" t="s">
        <v>7500</v>
      </c>
      <c r="I1978" s="1" t="s">
        <v>177</v>
      </c>
      <c r="J1978" s="1" t="s">
        <v>75</v>
      </c>
      <c r="K1978" s="1" t="s">
        <v>3853</v>
      </c>
      <c r="L1978" s="1"/>
      <c r="M1978" s="6" t="str">
        <f>IF(Table2[[#This Row],[Corrected Form '#
 (If Duplicated)]]="",Table2[[#This Row],[Form '#]],Table2[[#This Row],[Corrected Form '#
 (If Duplicated)]])</f>
        <v>7818-21712</v>
      </c>
      <c r="N1978" s="1" t="s">
        <v>49</v>
      </c>
      <c r="O1978" s="6" t="str">
        <f>IF(Table2[[#This Row],[POG CONFIRMATION RECEIPT OF ORDER
(DATE &amp; TIME)]]="","No Confirmation","Received Confirmation")</f>
        <v>Received Confirmation</v>
      </c>
      <c r="P1978" s="6">
        <f ca="1">TODAY()-Table2[[#This Row],[DATE SENT TO POG]]</f>
        <v>73</v>
      </c>
      <c r="Q1978" s="6" t="s">
        <v>5803</v>
      </c>
      <c r="R19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8" s="2" t="str">
        <f>_xlfn.XLOOKUP(Table2[[#This Row],[Adjusted Form '#]],'[2]IN PROGRESS'!$D:$D,'[2]IN PROGRESS'!$M:$M,"Not Found")</f>
        <v>Not Found</v>
      </c>
      <c r="U1978" s="2" t="str">
        <f>_xlfn.XLOOKUP(Table2[[#This Row],[Adjusted Form '#]],[1]COMPLETED!$D:$D,[2]COMPLETED!$M:$M,"Not Found")</f>
        <v>Not Found</v>
      </c>
      <c r="V1978" s="17" t="str">
        <f>_xlfn.XLOOKUP(Table2[[#This Row],[Adjusted Form '#]],[2]COMPLETED!$D:$D,[2]COMPLETED!$O:$O,"Not Found")</f>
        <v>Not Found</v>
      </c>
      <c r="W1978" s="2" t="str">
        <f>_xlfn.XLOOKUP(Table2[[#This Row],[Adjusted Form '#]],[2]BILLED!$D:$D,[2]BILLED!$M:$M,"Not Found")</f>
        <v>9400 1112 0620 9384 7500 66</v>
      </c>
      <c r="X1978" s="17" t="e">
        <f>_xlfn.XLOOKUP(Table2[[#This Row],[Adjusted Form '#]],[2]BILLED!$D:$D,[1]BILLED!$O:$O,"Not Found")</f>
        <v>#REF!</v>
      </c>
      <c r="Y1978" s="17" t="e">
        <f>_xlfn.XLOOKUP(Table2[[#This Row],[Adjusted Form '#]],'[2]REJECTED ORDERS'!$D:$D,'[2]REJECTED ORDERS'!$E:$E)</f>
        <v>#N/A</v>
      </c>
      <c r="Z1978" s="1"/>
      <c r="AA1978" s="1"/>
    </row>
    <row r="1979" spans="1:27" ht="15" customHeight="1" x14ac:dyDescent="0.35">
      <c r="A1979" s="4" t="s">
        <v>2924</v>
      </c>
      <c r="B1979" s="1" t="s">
        <v>2286</v>
      </c>
      <c r="C1979" s="11">
        <v>45230</v>
      </c>
      <c r="D1979" s="11" t="s">
        <v>7509</v>
      </c>
      <c r="E1979" s="1" t="s">
        <v>21</v>
      </c>
      <c r="F1979" s="1" t="s">
        <v>7501</v>
      </c>
      <c r="G1979" s="6">
        <f>COUNTIF(F:F,Table2[[#This Row],[Form '#]])</f>
        <v>1</v>
      </c>
      <c r="H1979" s="1" t="s">
        <v>7502</v>
      </c>
      <c r="I1979" s="1" t="s">
        <v>3852</v>
      </c>
      <c r="J1979" s="1" t="s">
        <v>75</v>
      </c>
      <c r="K1979" s="1" t="s">
        <v>3853</v>
      </c>
      <c r="L1979" s="1"/>
      <c r="M1979" s="6" t="str">
        <f>IF(Table2[[#This Row],[Corrected Form '#
 (If Duplicated)]]="",Table2[[#This Row],[Form '#]],Table2[[#This Row],[Corrected Form '#
 (If Duplicated)]])</f>
        <v>7818-32899</v>
      </c>
      <c r="N1979" s="1" t="s">
        <v>49</v>
      </c>
      <c r="O1979" s="6" t="str">
        <f>IF(Table2[[#This Row],[POG CONFIRMATION RECEIPT OF ORDER
(DATE &amp; TIME)]]="","No Confirmation","Received Confirmation")</f>
        <v>Received Confirmation</v>
      </c>
      <c r="P1979" s="6">
        <f ca="1">TODAY()-Table2[[#This Row],[DATE SENT TO POG]]</f>
        <v>73</v>
      </c>
      <c r="Q1979" s="6" t="s">
        <v>5803</v>
      </c>
      <c r="R19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79" s="2" t="str">
        <f>_xlfn.XLOOKUP(Table2[[#This Row],[Adjusted Form '#]],'[2]IN PROGRESS'!$D:$D,'[2]IN PROGRESS'!$M:$M,"Not Found")</f>
        <v>Not Found</v>
      </c>
      <c r="U1979" s="2" t="str">
        <f>_xlfn.XLOOKUP(Table2[[#This Row],[Adjusted Form '#]],[1]COMPLETED!$D:$D,[2]COMPLETED!$M:$M,"Not Found")</f>
        <v>Not Found</v>
      </c>
      <c r="V1979" s="17" t="str">
        <f>_xlfn.XLOOKUP(Table2[[#This Row],[Adjusted Form '#]],[2]COMPLETED!$D:$D,[2]COMPLETED!$O:$O,"Not Found")</f>
        <v>Not Found</v>
      </c>
      <c r="W1979" s="2" t="str">
        <f>_xlfn.XLOOKUP(Table2[[#This Row],[Adjusted Form '#]],[2]BILLED!$D:$D,[2]BILLED!$M:$M,"Not Found")</f>
        <v>9400 1112 0620 9365 2267 57</v>
      </c>
      <c r="X1979" s="17" t="e">
        <f>_xlfn.XLOOKUP(Table2[[#This Row],[Adjusted Form '#]],[2]BILLED!$D:$D,[1]BILLED!$O:$O,"Not Found")</f>
        <v>#REF!</v>
      </c>
      <c r="Y1979" s="17" t="e">
        <f>_xlfn.XLOOKUP(Table2[[#This Row],[Adjusted Form '#]],'[2]REJECTED ORDERS'!$D:$D,'[2]REJECTED ORDERS'!$E:$E)</f>
        <v>#N/A</v>
      </c>
      <c r="Z1979" s="1"/>
      <c r="AA1979" s="1"/>
    </row>
    <row r="1980" spans="1:27" ht="15" customHeight="1" x14ac:dyDescent="0.35">
      <c r="A1980" s="4" t="s">
        <v>2925</v>
      </c>
      <c r="B1980" s="1" t="s">
        <v>2286</v>
      </c>
      <c r="C1980" s="11">
        <v>45230</v>
      </c>
      <c r="D1980" s="11" t="s">
        <v>7509</v>
      </c>
      <c r="E1980" s="1" t="s">
        <v>21</v>
      </c>
      <c r="F1980" s="1" t="s">
        <v>7503</v>
      </c>
      <c r="G1980" s="6">
        <f>COUNTIF(F:F,Table2[[#This Row],[Form '#]])</f>
        <v>1</v>
      </c>
      <c r="H1980" s="1" t="s">
        <v>7504</v>
      </c>
      <c r="I1980" s="1" t="s">
        <v>3852</v>
      </c>
      <c r="J1980" s="1" t="s">
        <v>80</v>
      </c>
      <c r="K1980" s="1" t="s">
        <v>3853</v>
      </c>
      <c r="L1980" s="1"/>
      <c r="M1980" s="6" t="str">
        <f>IF(Table2[[#This Row],[Corrected Form '#
 (If Duplicated)]]="",Table2[[#This Row],[Form '#]],Table2[[#This Row],[Corrected Form '#
 (If Duplicated)]])</f>
        <v>7818-28227</v>
      </c>
      <c r="N1980" s="1" t="s">
        <v>49</v>
      </c>
      <c r="O1980" s="6" t="str">
        <f>IF(Table2[[#This Row],[POG CONFIRMATION RECEIPT OF ORDER
(DATE &amp; TIME)]]="","No Confirmation","Received Confirmation")</f>
        <v>Received Confirmation</v>
      </c>
      <c r="P1980" s="6">
        <f ca="1">TODAY()-Table2[[#This Row],[DATE SENT TO POG]]</f>
        <v>73</v>
      </c>
      <c r="Q1980" s="6" t="s">
        <v>5803</v>
      </c>
      <c r="R19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0" s="2" t="str">
        <f>_xlfn.XLOOKUP(Table2[[#This Row],[Adjusted Form '#]],'[2]IN PROGRESS'!$D:$D,'[2]IN PROGRESS'!$M:$M,"Not Found")</f>
        <v>Not Found</v>
      </c>
      <c r="U1980" s="2" t="str">
        <f>_xlfn.XLOOKUP(Table2[[#This Row],[Adjusted Form '#]],[1]COMPLETED!$D:$D,[2]COMPLETED!$M:$M,"Not Found")</f>
        <v>Not Found</v>
      </c>
      <c r="V1980" s="17" t="str">
        <f>_xlfn.XLOOKUP(Table2[[#This Row],[Adjusted Form '#]],[2]COMPLETED!$D:$D,[2]COMPLETED!$O:$O,"Not Found")</f>
        <v>Not Found</v>
      </c>
      <c r="W1980" s="2" t="str">
        <f>_xlfn.XLOOKUP(Table2[[#This Row],[Adjusted Form '#]],[2]BILLED!$D:$D,[2]BILLED!$M:$M,"Not Found")</f>
        <v>9400 1361 0605 3647 8081 93</v>
      </c>
      <c r="X1980" s="17" t="e">
        <f>_xlfn.XLOOKUP(Table2[[#This Row],[Adjusted Form '#]],[2]BILLED!$D:$D,[1]BILLED!$O:$O,"Not Found")</f>
        <v>#REF!</v>
      </c>
      <c r="Y1980" s="17" t="e">
        <f>_xlfn.XLOOKUP(Table2[[#This Row],[Adjusted Form '#]],'[2]REJECTED ORDERS'!$D:$D,'[2]REJECTED ORDERS'!$E:$E)</f>
        <v>#N/A</v>
      </c>
      <c r="Z1980" s="1"/>
      <c r="AA1980" s="1"/>
    </row>
    <row r="1981" spans="1:27" ht="15" customHeight="1" x14ac:dyDescent="0.35">
      <c r="A1981" s="4" t="s">
        <v>2927</v>
      </c>
      <c r="B1981" s="1" t="s">
        <v>2286</v>
      </c>
      <c r="C1981" s="11">
        <v>45230</v>
      </c>
      <c r="D1981" s="11" t="s">
        <v>7509</v>
      </c>
      <c r="E1981" s="1" t="s">
        <v>21</v>
      </c>
      <c r="F1981" s="1" t="s">
        <v>7505</v>
      </c>
      <c r="G1981" s="6">
        <f>COUNTIF(F:F,Table2[[#This Row],[Form '#]])</f>
        <v>1</v>
      </c>
      <c r="H1981" s="1" t="s">
        <v>1017</v>
      </c>
      <c r="I1981" s="1" t="s">
        <v>3864</v>
      </c>
      <c r="J1981" s="1" t="s">
        <v>78</v>
      </c>
      <c r="K1981" s="1" t="s">
        <v>3879</v>
      </c>
      <c r="L1981" s="1"/>
      <c r="M1981" s="6" t="str">
        <f>IF(Table2[[#This Row],[Corrected Form '#
 (If Duplicated)]]="",Table2[[#This Row],[Form '#]],Table2[[#This Row],[Corrected Form '#
 (If Duplicated)]])</f>
        <v>7818-15318</v>
      </c>
      <c r="N1981" s="1" t="s">
        <v>49</v>
      </c>
      <c r="O1981" s="6" t="str">
        <f>IF(Table2[[#This Row],[POG CONFIRMATION RECEIPT OF ORDER
(DATE &amp; TIME)]]="","No Confirmation","Received Confirmation")</f>
        <v>Received Confirmation</v>
      </c>
      <c r="P1981" s="6">
        <f ca="1">TODAY()-Table2[[#This Row],[DATE SENT TO POG]]</f>
        <v>73</v>
      </c>
      <c r="Q1981" s="6" t="s">
        <v>5803</v>
      </c>
      <c r="R19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1" s="2" t="str">
        <f>_xlfn.XLOOKUP(Table2[[#This Row],[Adjusted Form '#]],'[2]IN PROGRESS'!$D:$D,'[2]IN PROGRESS'!$M:$M,"Not Found")</f>
        <v>Not Found</v>
      </c>
      <c r="U1981" s="2" t="str">
        <f>_xlfn.XLOOKUP(Table2[[#This Row],[Adjusted Form '#]],[1]COMPLETED!$D:$D,[2]COMPLETED!$M:$M,"Not Found")</f>
        <v>Not Found</v>
      </c>
      <c r="V1981" s="17" t="str">
        <f>_xlfn.XLOOKUP(Table2[[#This Row],[Adjusted Form '#]],[2]COMPLETED!$D:$D,[2]COMPLETED!$O:$O,"Not Found")</f>
        <v>Not Found</v>
      </c>
      <c r="W1981" s="2" t="str">
        <f>_xlfn.XLOOKUP(Table2[[#This Row],[Adjusted Form '#]],[2]BILLED!$D:$D,[2]BILLED!$M:$M,"Not Found")</f>
        <v>9400 1112 0620 9365 2105 89</v>
      </c>
      <c r="X1981" s="17" t="e">
        <f>_xlfn.XLOOKUP(Table2[[#This Row],[Adjusted Form '#]],[2]BILLED!$D:$D,[1]BILLED!$O:$O,"Not Found")</f>
        <v>#REF!</v>
      </c>
      <c r="Y1981" s="17" t="e">
        <f>_xlfn.XLOOKUP(Table2[[#This Row],[Adjusted Form '#]],'[2]REJECTED ORDERS'!$D:$D,'[2]REJECTED ORDERS'!$E:$E)</f>
        <v>#N/A</v>
      </c>
      <c r="Z1981" s="1"/>
      <c r="AA1981" s="1"/>
    </row>
    <row r="1982" spans="1:27" ht="15" customHeight="1" x14ac:dyDescent="0.35">
      <c r="A1982" s="4" t="s">
        <v>2928</v>
      </c>
      <c r="B1982" s="1" t="s">
        <v>2286</v>
      </c>
      <c r="C1982" s="11">
        <v>45230</v>
      </c>
      <c r="D1982" s="11" t="s">
        <v>7509</v>
      </c>
      <c r="E1982" s="1" t="s">
        <v>21</v>
      </c>
      <c r="F1982" s="1" t="s">
        <v>7506</v>
      </c>
      <c r="G1982" s="6">
        <f>COUNTIF(F:F,Table2[[#This Row],[Form '#]])</f>
        <v>1</v>
      </c>
      <c r="H1982" s="1" t="s">
        <v>7507</v>
      </c>
      <c r="I1982" s="1" t="s">
        <v>3852</v>
      </c>
      <c r="J1982" s="1" t="s">
        <v>80</v>
      </c>
      <c r="K1982" s="1" t="s">
        <v>4011</v>
      </c>
      <c r="L1982" s="1"/>
      <c r="M1982" s="6" t="str">
        <f>IF(Table2[[#This Row],[Corrected Form '#
 (If Duplicated)]]="",Table2[[#This Row],[Form '#]],Table2[[#This Row],[Corrected Form '#
 (If Duplicated)]])</f>
        <v>7818-14453</v>
      </c>
      <c r="N1982" s="1" t="s">
        <v>49</v>
      </c>
      <c r="O1982" s="6" t="str">
        <f>IF(Table2[[#This Row],[POG CONFIRMATION RECEIPT OF ORDER
(DATE &amp; TIME)]]="","No Confirmation","Received Confirmation")</f>
        <v>Received Confirmation</v>
      </c>
      <c r="P1982" s="6">
        <f ca="1">TODAY()-Table2[[#This Row],[DATE SENT TO POG]]</f>
        <v>73</v>
      </c>
      <c r="Q1982" s="6" t="s">
        <v>5803</v>
      </c>
      <c r="R19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2" s="2" t="str">
        <f>_xlfn.XLOOKUP(Table2[[#This Row],[Adjusted Form '#]],'[2]IN PROGRESS'!$D:$D,'[2]IN PROGRESS'!$M:$M,"Not Found")</f>
        <v>Not Found</v>
      </c>
      <c r="U1982" s="2" t="str">
        <f>_xlfn.XLOOKUP(Table2[[#This Row],[Adjusted Form '#]],[1]COMPLETED!$D:$D,[2]COMPLETED!$M:$M,"Not Found")</f>
        <v>Not Found</v>
      </c>
      <c r="V1982" s="17" t="str">
        <f>_xlfn.XLOOKUP(Table2[[#This Row],[Adjusted Form '#]],[2]COMPLETED!$D:$D,[2]COMPLETED!$O:$O,"Not Found")</f>
        <v>Not Found</v>
      </c>
      <c r="W1982" s="2" t="str">
        <f>_xlfn.XLOOKUP(Table2[[#This Row],[Adjusted Form '#]],[2]BILLED!$D:$D,[2]BILLED!$M:$M,"Not Found")</f>
        <v>9400 1112 0620 9365 5861 89</v>
      </c>
      <c r="X1982" s="17" t="e">
        <f>_xlfn.XLOOKUP(Table2[[#This Row],[Adjusted Form '#]],[2]BILLED!$D:$D,[1]BILLED!$O:$O,"Not Found")</f>
        <v>#REF!</v>
      </c>
      <c r="Y1982" s="17" t="e">
        <f>_xlfn.XLOOKUP(Table2[[#This Row],[Adjusted Form '#]],'[2]REJECTED ORDERS'!$D:$D,'[2]REJECTED ORDERS'!$E:$E)</f>
        <v>#N/A</v>
      </c>
      <c r="Z1982" s="1"/>
      <c r="AA1982" s="1"/>
    </row>
    <row r="1983" spans="1:27" ht="15" customHeight="1" x14ac:dyDescent="0.35">
      <c r="A1983" s="4" t="s">
        <v>2929</v>
      </c>
      <c r="B1983" s="1" t="s">
        <v>2286</v>
      </c>
      <c r="C1983" s="11">
        <v>45230</v>
      </c>
      <c r="D1983" s="11" t="s">
        <v>7509</v>
      </c>
      <c r="E1983" s="1" t="s">
        <v>21</v>
      </c>
      <c r="F1983" s="1" t="s">
        <v>7508</v>
      </c>
      <c r="G1983" s="6">
        <f>COUNTIF(F:F,Table2[[#This Row],[Form '#]])</f>
        <v>1</v>
      </c>
      <c r="H1983" s="1" t="s">
        <v>3395</v>
      </c>
      <c r="I1983" s="1" t="s">
        <v>28</v>
      </c>
      <c r="J1983" s="1" t="s">
        <v>69</v>
      </c>
      <c r="K1983" s="1" t="s">
        <v>3898</v>
      </c>
      <c r="L1983" s="1"/>
      <c r="M1983" s="6" t="str">
        <f>IF(Table2[[#This Row],[Corrected Form '#
 (If Duplicated)]]="",Table2[[#This Row],[Form '#]],Table2[[#This Row],[Corrected Form '#
 (If Duplicated)]])</f>
        <v>7818-25897</v>
      </c>
      <c r="N1983" s="1" t="s">
        <v>49</v>
      </c>
      <c r="O1983" s="6" t="str">
        <f>IF(Table2[[#This Row],[POG CONFIRMATION RECEIPT OF ORDER
(DATE &amp; TIME)]]="","No Confirmation","Received Confirmation")</f>
        <v>Received Confirmation</v>
      </c>
      <c r="P1983" s="6">
        <f ca="1">TODAY()-Table2[[#This Row],[DATE SENT TO POG]]</f>
        <v>73</v>
      </c>
      <c r="Q1983" s="6" t="s">
        <v>5803</v>
      </c>
      <c r="R19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3" s="2" t="str">
        <f>_xlfn.XLOOKUP(Table2[[#This Row],[Adjusted Form '#]],'[2]IN PROGRESS'!$D:$D,'[2]IN PROGRESS'!$M:$M,"Not Found")</f>
        <v>Not Found</v>
      </c>
      <c r="U1983" s="2" t="str">
        <f>_xlfn.XLOOKUP(Table2[[#This Row],[Adjusted Form '#]],[1]COMPLETED!$D:$D,[2]COMPLETED!$M:$M,"Not Found")</f>
        <v>Not Found</v>
      </c>
      <c r="V1983" s="17" t="str">
        <f>_xlfn.XLOOKUP(Table2[[#This Row],[Adjusted Form '#]],[2]COMPLETED!$D:$D,[2]COMPLETED!$O:$O,"Not Found")</f>
        <v>Not Found</v>
      </c>
      <c r="W1983" s="2" t="str">
        <f>_xlfn.XLOOKUP(Table2[[#This Row],[Adjusted Form '#]],[2]BILLED!$D:$D,[2]BILLED!$M:$M,"Not Found")</f>
        <v>9400 1112 0620 9365 5541 33</v>
      </c>
      <c r="X1983" s="17" t="e">
        <f>_xlfn.XLOOKUP(Table2[[#This Row],[Adjusted Form '#]],[2]BILLED!$D:$D,[1]BILLED!$O:$O,"Not Found")</f>
        <v>#REF!</v>
      </c>
      <c r="Y1983" s="17" t="e">
        <f>_xlfn.XLOOKUP(Table2[[#This Row],[Adjusted Form '#]],'[2]REJECTED ORDERS'!$D:$D,'[2]REJECTED ORDERS'!$E:$E)</f>
        <v>#N/A</v>
      </c>
      <c r="Z1983" s="1"/>
      <c r="AA1983" s="1"/>
    </row>
    <row r="1984" spans="1:27" ht="15" customHeight="1" x14ac:dyDescent="0.35">
      <c r="A1984" s="4" t="s">
        <v>2930</v>
      </c>
      <c r="B1984" s="1" t="s">
        <v>4226</v>
      </c>
      <c r="C1984" s="11">
        <v>45230</v>
      </c>
      <c r="D1984" s="11" t="s">
        <v>7513</v>
      </c>
      <c r="E1984" s="1" t="s">
        <v>21</v>
      </c>
      <c r="F1984" s="1" t="s">
        <v>7510</v>
      </c>
      <c r="G1984" s="6">
        <f>COUNTIF(F:F,Table2[[#This Row],[Form '#]])</f>
        <v>1</v>
      </c>
      <c r="H1984" s="1" t="s">
        <v>1650</v>
      </c>
      <c r="I1984" s="1" t="s">
        <v>3864</v>
      </c>
      <c r="J1984" s="1" t="s">
        <v>78</v>
      </c>
      <c r="K1984" s="1" t="s">
        <v>3879</v>
      </c>
      <c r="L1984" s="1"/>
      <c r="M1984" s="6" t="str">
        <f>IF(Table2[[#This Row],[Corrected Form '#
 (If Duplicated)]]="",Table2[[#This Row],[Form '#]],Table2[[#This Row],[Corrected Form '#
 (If Duplicated)]])</f>
        <v>7818-32900</v>
      </c>
      <c r="N1984" s="1" t="s">
        <v>49</v>
      </c>
      <c r="O1984" s="6" t="str">
        <f>IF(Table2[[#This Row],[POG CONFIRMATION RECEIPT OF ORDER
(DATE &amp; TIME)]]="","No Confirmation","Received Confirmation")</f>
        <v>Received Confirmation</v>
      </c>
      <c r="P1984" s="6">
        <f ca="1">TODAY()-Table2[[#This Row],[DATE SENT TO POG]]</f>
        <v>73</v>
      </c>
      <c r="Q1984" s="6" t="s">
        <v>5803</v>
      </c>
      <c r="R19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4" s="2" t="str">
        <f>_xlfn.XLOOKUP(Table2[[#This Row],[Adjusted Form '#]],'[2]IN PROGRESS'!$D:$D,'[2]IN PROGRESS'!$M:$M,"Not Found")</f>
        <v>Not Found</v>
      </c>
      <c r="U1984" s="2" t="str">
        <f>_xlfn.XLOOKUP(Table2[[#This Row],[Adjusted Form '#]],[1]COMPLETED!$D:$D,[2]COMPLETED!$M:$M,"Not Found")</f>
        <v>Not Found</v>
      </c>
      <c r="V1984" s="17" t="str">
        <f>_xlfn.XLOOKUP(Table2[[#This Row],[Adjusted Form '#]],[2]COMPLETED!$D:$D,[2]COMPLETED!$O:$O,"Not Found")</f>
        <v>Not Found</v>
      </c>
      <c r="W1984" s="2" t="str">
        <f>_xlfn.XLOOKUP(Table2[[#This Row],[Adjusted Form '#]],[2]BILLED!$D:$D,[2]BILLED!$M:$M,"Not Found")</f>
        <v>9400 1361 0605 3638 6358 21</v>
      </c>
      <c r="X1984" s="17" t="e">
        <f>_xlfn.XLOOKUP(Table2[[#This Row],[Adjusted Form '#]],[2]BILLED!$D:$D,[1]BILLED!$O:$O,"Not Found")</f>
        <v>#REF!</v>
      </c>
      <c r="Y1984" s="17" t="e">
        <f>_xlfn.XLOOKUP(Table2[[#This Row],[Adjusted Form '#]],'[2]REJECTED ORDERS'!$D:$D,'[2]REJECTED ORDERS'!$E:$E)</f>
        <v>#N/A</v>
      </c>
      <c r="Z1984" s="1"/>
      <c r="AA1984" s="1"/>
    </row>
    <row r="1985" spans="1:27" ht="15" customHeight="1" x14ac:dyDescent="0.35">
      <c r="A1985" s="4" t="s">
        <v>2931</v>
      </c>
      <c r="B1985" s="1" t="s">
        <v>4226</v>
      </c>
      <c r="C1985" s="11">
        <v>45230</v>
      </c>
      <c r="D1985" s="11" t="s">
        <v>7513</v>
      </c>
      <c r="E1985" s="1" t="s">
        <v>21</v>
      </c>
      <c r="F1985" s="1" t="s">
        <v>7511</v>
      </c>
      <c r="G1985" s="6">
        <f>COUNTIF(F:F,Table2[[#This Row],[Form '#]])</f>
        <v>1</v>
      </c>
      <c r="H1985" s="1" t="s">
        <v>7512</v>
      </c>
      <c r="I1985" s="1" t="s">
        <v>177</v>
      </c>
      <c r="J1985" s="1" t="s">
        <v>75</v>
      </c>
      <c r="K1985" s="1" t="s">
        <v>4011</v>
      </c>
      <c r="L1985" s="1"/>
      <c r="M1985" s="6" t="str">
        <f>IF(Table2[[#This Row],[Corrected Form '#
 (If Duplicated)]]="",Table2[[#This Row],[Form '#]],Table2[[#This Row],[Corrected Form '#
 (If Duplicated)]])</f>
        <v>7818-18059</v>
      </c>
      <c r="N1985" s="1" t="s">
        <v>49</v>
      </c>
      <c r="O1985" s="6" t="str">
        <f>IF(Table2[[#This Row],[POG CONFIRMATION RECEIPT OF ORDER
(DATE &amp; TIME)]]="","No Confirmation","Received Confirmation")</f>
        <v>Received Confirmation</v>
      </c>
      <c r="P1985" s="6">
        <f ca="1">TODAY()-Table2[[#This Row],[DATE SENT TO POG]]</f>
        <v>73</v>
      </c>
      <c r="Q1985" s="6" t="s">
        <v>5803</v>
      </c>
      <c r="R19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5" s="2" t="str">
        <f>_xlfn.XLOOKUP(Table2[[#This Row],[Adjusted Form '#]],'[2]IN PROGRESS'!$D:$D,'[2]IN PROGRESS'!$M:$M,"Not Found")</f>
        <v>Not Found</v>
      </c>
      <c r="U1985" s="2" t="str">
        <f>_xlfn.XLOOKUP(Table2[[#This Row],[Adjusted Form '#]],[1]COMPLETED!$D:$D,[2]COMPLETED!$M:$M,"Not Found")</f>
        <v>Not Found</v>
      </c>
      <c r="V1985" s="17" t="str">
        <f>_xlfn.XLOOKUP(Table2[[#This Row],[Adjusted Form '#]],[2]COMPLETED!$D:$D,[2]COMPLETED!$O:$O,"Not Found")</f>
        <v>Not Found</v>
      </c>
      <c r="W1985" s="2" t="str">
        <f>_xlfn.XLOOKUP(Table2[[#This Row],[Adjusted Form '#]],[2]BILLED!$D:$D,[2]BILLED!$M:$M,"Not Found")</f>
        <v>9400 1361 0605 3632 4397 39</v>
      </c>
      <c r="X1985" s="17" t="e">
        <f>_xlfn.XLOOKUP(Table2[[#This Row],[Adjusted Form '#]],[2]BILLED!$D:$D,[1]BILLED!$O:$O,"Not Found")</f>
        <v>#REF!</v>
      </c>
      <c r="Y1985" s="17" t="e">
        <f>_xlfn.XLOOKUP(Table2[[#This Row],[Adjusted Form '#]],'[2]REJECTED ORDERS'!$D:$D,'[2]REJECTED ORDERS'!$E:$E)</f>
        <v>#N/A</v>
      </c>
      <c r="Z1985" s="1"/>
      <c r="AA1985" s="1"/>
    </row>
    <row r="1986" spans="1:27" ht="15" customHeight="1" x14ac:dyDescent="0.35">
      <c r="A1986" s="4" t="s">
        <v>2932</v>
      </c>
      <c r="B1986" s="1" t="s">
        <v>7514</v>
      </c>
      <c r="C1986" s="11">
        <v>45231</v>
      </c>
      <c r="D1986" s="11" t="s">
        <v>7517</v>
      </c>
      <c r="E1986" s="1" t="s">
        <v>1592</v>
      </c>
      <c r="F1986" s="1" t="s">
        <v>7515</v>
      </c>
      <c r="G1986" s="6">
        <f>COUNTIF(F:F,Table2[[#This Row],[Form '#]])</f>
        <v>1</v>
      </c>
      <c r="H1986" s="1" t="s">
        <v>7516</v>
      </c>
      <c r="I1986" s="1" t="s">
        <v>177</v>
      </c>
      <c r="J1986" s="1" t="s">
        <v>75</v>
      </c>
      <c r="K1986" s="1" t="s">
        <v>4011</v>
      </c>
      <c r="L1986" s="1"/>
      <c r="M1986" s="6" t="str">
        <f>IF(Table2[[#This Row],[Corrected Form '#
 (If Duplicated)]]="",Table2[[#This Row],[Form '#]],Table2[[#This Row],[Corrected Form '#
 (If Duplicated)]])</f>
        <v>7811-00329</v>
      </c>
      <c r="N1986" s="1" t="s">
        <v>49</v>
      </c>
      <c r="O1986" s="6" t="str">
        <f>IF(Table2[[#This Row],[POG CONFIRMATION RECEIPT OF ORDER
(DATE &amp; TIME)]]="","No Confirmation","Received Confirmation")</f>
        <v>Received Confirmation</v>
      </c>
      <c r="P1986" s="6">
        <f ca="1">TODAY()-Table2[[#This Row],[DATE SENT TO POG]]</f>
        <v>72</v>
      </c>
      <c r="Q1986" s="6" t="s">
        <v>5803</v>
      </c>
      <c r="R19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6" s="2" t="str">
        <f>_xlfn.XLOOKUP(Table2[[#This Row],[Adjusted Form '#]],'[2]IN PROGRESS'!$D:$D,'[2]IN PROGRESS'!$M:$M,"Not Found")</f>
        <v>Not Found</v>
      </c>
      <c r="U1986" s="2" t="str">
        <f>_xlfn.XLOOKUP(Table2[[#This Row],[Adjusted Form '#]],[1]COMPLETED!$D:$D,[2]COMPLETED!$M:$M,"Not Found")</f>
        <v>Not Found</v>
      </c>
      <c r="V1986" s="17">
        <f>_xlfn.XLOOKUP(Table2[[#This Row],[Adjusted Form '#]],[2]COMPLETED!$D:$D,[2]COMPLETED!$O:$O,"Not Found")</f>
        <v>45290</v>
      </c>
      <c r="W1986" s="2" t="str">
        <f>_xlfn.XLOOKUP(Table2[[#This Row],[Adjusted Form '#]],[2]BILLED!$D:$D,[2]BILLED!$M:$M,"Not Found")</f>
        <v>9400 1361 0605 3658 5672 18</v>
      </c>
      <c r="X1986" s="17" t="e">
        <f>_xlfn.XLOOKUP(Table2[[#This Row],[Adjusted Form '#]],[2]BILLED!$D:$D,[1]BILLED!$O:$O,"Not Found")</f>
        <v>#REF!</v>
      </c>
      <c r="Y1986" s="17" t="e">
        <f>_xlfn.XLOOKUP(Table2[[#This Row],[Adjusted Form '#]],'[2]REJECTED ORDERS'!$D:$D,'[2]REJECTED ORDERS'!$E:$E)</f>
        <v>#N/A</v>
      </c>
      <c r="Z1986" s="1"/>
      <c r="AA1986" s="1"/>
    </row>
    <row r="1987" spans="1:27" ht="15" customHeight="1" x14ac:dyDescent="0.35">
      <c r="A1987" s="4" t="s">
        <v>2933</v>
      </c>
      <c r="B1987" s="1" t="s">
        <v>837</v>
      </c>
      <c r="C1987" s="11">
        <v>45231</v>
      </c>
      <c r="D1987" s="11" t="s">
        <v>7520</v>
      </c>
      <c r="E1987" s="1" t="s">
        <v>73</v>
      </c>
      <c r="F1987" s="1" t="s">
        <v>7518</v>
      </c>
      <c r="G1987" s="6">
        <f>COUNTIF(F:F,Table2[[#This Row],[Form '#]])</f>
        <v>1</v>
      </c>
      <c r="H1987" s="1" t="s">
        <v>7519</v>
      </c>
      <c r="I1987" s="1" t="s">
        <v>3864</v>
      </c>
      <c r="J1987" s="1" t="s">
        <v>78</v>
      </c>
      <c r="K1987" s="1" t="s">
        <v>3879</v>
      </c>
      <c r="L1987" s="1"/>
      <c r="M1987" s="6" t="str">
        <f>IF(Table2[[#This Row],[Corrected Form '#
 (If Duplicated)]]="",Table2[[#This Row],[Form '#]],Table2[[#This Row],[Corrected Form '#
 (If Duplicated)]])</f>
        <v>7823-01342</v>
      </c>
      <c r="N1987" s="1" t="s">
        <v>49</v>
      </c>
      <c r="O1987" s="6" t="str">
        <f>IF(Table2[[#This Row],[POG CONFIRMATION RECEIPT OF ORDER
(DATE &amp; TIME)]]="","No Confirmation","Received Confirmation")</f>
        <v>Received Confirmation</v>
      </c>
      <c r="P1987" s="6">
        <f ca="1">TODAY()-Table2[[#This Row],[DATE SENT TO POG]]</f>
        <v>72</v>
      </c>
      <c r="Q1987" s="6" t="s">
        <v>5803</v>
      </c>
      <c r="R19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7" s="2" t="str">
        <f>_xlfn.XLOOKUP(Table2[[#This Row],[Adjusted Form '#]],'[2]IN PROGRESS'!$D:$D,'[2]IN PROGRESS'!$M:$M,"Not Found")</f>
        <v>Not Found</v>
      </c>
      <c r="U1987" s="2" t="str">
        <f>_xlfn.XLOOKUP(Table2[[#This Row],[Adjusted Form '#]],[1]COMPLETED!$D:$D,[2]COMPLETED!$M:$M,"Not Found")</f>
        <v>Not Found</v>
      </c>
      <c r="V1987" s="17" t="str">
        <f>_xlfn.XLOOKUP(Table2[[#This Row],[Adjusted Form '#]],[2]COMPLETED!$D:$D,[2]COMPLETED!$O:$O,"Not Found")</f>
        <v>Not Found</v>
      </c>
      <c r="W1987" s="2" t="str">
        <f>_xlfn.XLOOKUP(Table2[[#This Row],[Adjusted Form '#]],[2]BILLED!$D:$D,[2]BILLED!$M:$M,"Not Found")</f>
        <v>9400 1361 0605 3638 6275 50</v>
      </c>
      <c r="X1987" s="17" t="e">
        <f>_xlfn.XLOOKUP(Table2[[#This Row],[Adjusted Form '#]],[2]BILLED!$D:$D,[1]BILLED!$O:$O,"Not Found")</f>
        <v>#REF!</v>
      </c>
      <c r="Y1987" s="17" t="e">
        <f>_xlfn.XLOOKUP(Table2[[#This Row],[Adjusted Form '#]],'[2]REJECTED ORDERS'!$D:$D,'[2]REJECTED ORDERS'!$E:$E)</f>
        <v>#N/A</v>
      </c>
      <c r="Z1987" s="1"/>
      <c r="AA1987" s="1"/>
    </row>
    <row r="1988" spans="1:27" ht="15" customHeight="1" x14ac:dyDescent="0.35">
      <c r="A1988" s="4" t="s">
        <v>2934</v>
      </c>
      <c r="B1988" s="1" t="s">
        <v>2976</v>
      </c>
      <c r="C1988" s="11">
        <v>45231</v>
      </c>
      <c r="D1988" s="11" t="s">
        <v>7522</v>
      </c>
      <c r="E1988" s="1" t="s">
        <v>191</v>
      </c>
      <c r="F1988" s="1" t="s">
        <v>7521</v>
      </c>
      <c r="G1988" s="6">
        <f>COUNTIF(F:F,Table2[[#This Row],[Form '#]])</f>
        <v>1</v>
      </c>
      <c r="H1988" s="1" t="s">
        <v>2294</v>
      </c>
      <c r="I1988" s="1" t="s">
        <v>127</v>
      </c>
      <c r="J1988" s="1" t="s">
        <v>74</v>
      </c>
      <c r="K1988" s="1" t="s">
        <v>3919</v>
      </c>
      <c r="L1988" s="1"/>
      <c r="M1988" s="6" t="str">
        <f>IF(Table2[[#This Row],[Corrected Form '#
 (If Duplicated)]]="",Table2[[#This Row],[Form '#]],Table2[[#This Row],[Corrected Form '#
 (If Duplicated)]])</f>
        <v>7812-04517</v>
      </c>
      <c r="N1988" s="1" t="s">
        <v>49</v>
      </c>
      <c r="O1988" s="6" t="str">
        <f>IF(Table2[[#This Row],[POG CONFIRMATION RECEIPT OF ORDER
(DATE &amp; TIME)]]="","No Confirmation","Received Confirmation")</f>
        <v>Received Confirmation</v>
      </c>
      <c r="P1988" s="6">
        <f ca="1">TODAY()-Table2[[#This Row],[DATE SENT TO POG]]</f>
        <v>72</v>
      </c>
      <c r="Q1988" s="6" t="s">
        <v>5803</v>
      </c>
      <c r="R19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8" s="2" t="str">
        <f>_xlfn.XLOOKUP(Table2[[#This Row],[Adjusted Form '#]],'[2]IN PROGRESS'!$D:$D,'[2]IN PROGRESS'!$M:$M,"Not Found")</f>
        <v>Not Found</v>
      </c>
      <c r="U1988" s="2" t="str">
        <f>_xlfn.XLOOKUP(Table2[[#This Row],[Adjusted Form '#]],[1]COMPLETED!$D:$D,[2]COMPLETED!$M:$M,"Not Found")</f>
        <v>Not Found</v>
      </c>
      <c r="V1988" s="17" t="str">
        <f>_xlfn.XLOOKUP(Table2[[#This Row],[Adjusted Form '#]],[2]COMPLETED!$D:$D,[2]COMPLETED!$O:$O,"Not Found")</f>
        <v>Not Found</v>
      </c>
      <c r="W1988" s="2" t="str">
        <f>_xlfn.XLOOKUP(Table2[[#This Row],[Adjusted Form '#]],[2]BILLED!$D:$D,[2]BILLED!$M:$M,"Not Found")</f>
        <v>9400 1361 0605 3638 6472 37</v>
      </c>
      <c r="X1988" s="17" t="e">
        <f>_xlfn.XLOOKUP(Table2[[#This Row],[Adjusted Form '#]],[2]BILLED!$D:$D,[1]BILLED!$O:$O,"Not Found")</f>
        <v>#REF!</v>
      </c>
      <c r="Y1988" s="17" t="e">
        <f>_xlfn.XLOOKUP(Table2[[#This Row],[Adjusted Form '#]],'[2]REJECTED ORDERS'!$D:$D,'[2]REJECTED ORDERS'!$E:$E)</f>
        <v>#N/A</v>
      </c>
      <c r="Z1988" s="1"/>
      <c r="AA1988" s="1"/>
    </row>
    <row r="1989" spans="1:27" ht="15" customHeight="1" x14ac:dyDescent="0.35">
      <c r="A1989" s="4" t="s">
        <v>2936</v>
      </c>
      <c r="B1989" s="1" t="s">
        <v>3631</v>
      </c>
      <c r="C1989" s="11">
        <v>45231</v>
      </c>
      <c r="D1989" s="11" t="s">
        <v>7529</v>
      </c>
      <c r="E1989" s="1" t="s">
        <v>21</v>
      </c>
      <c r="F1989" s="1" t="s">
        <v>7523</v>
      </c>
      <c r="G1989" s="6">
        <f>COUNTIF(F:F,Table2[[#This Row],[Form '#]])</f>
        <v>1</v>
      </c>
      <c r="H1989" s="1" t="s">
        <v>868</v>
      </c>
      <c r="I1989" s="1" t="s">
        <v>127</v>
      </c>
      <c r="J1989" s="1" t="s">
        <v>76</v>
      </c>
      <c r="K1989" s="1" t="s">
        <v>3919</v>
      </c>
      <c r="L1989" s="1"/>
      <c r="M1989" s="6" t="str">
        <f>IF(Table2[[#This Row],[Corrected Form '#
 (If Duplicated)]]="",Table2[[#This Row],[Form '#]],Table2[[#This Row],[Corrected Form '#
 (If Duplicated)]])</f>
        <v>7818-27407</v>
      </c>
      <c r="N1989" s="1" t="s">
        <v>49</v>
      </c>
      <c r="O1989" s="6" t="str">
        <f>IF(Table2[[#This Row],[POG CONFIRMATION RECEIPT OF ORDER
(DATE &amp; TIME)]]="","No Confirmation","Received Confirmation")</f>
        <v>Received Confirmation</v>
      </c>
      <c r="P1989" s="6">
        <f ca="1">TODAY()-Table2[[#This Row],[DATE SENT TO POG]]</f>
        <v>72</v>
      </c>
      <c r="Q1989" s="6" t="s">
        <v>5803</v>
      </c>
      <c r="R19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89" s="2" t="str">
        <f>_xlfn.XLOOKUP(Table2[[#This Row],[Adjusted Form '#]],'[2]IN PROGRESS'!$D:$D,'[2]IN PROGRESS'!$M:$M,"Not Found")</f>
        <v>Not Found</v>
      </c>
      <c r="U1989" s="2" t="str">
        <f>_xlfn.XLOOKUP(Table2[[#This Row],[Adjusted Form '#]],[1]COMPLETED!$D:$D,[2]COMPLETED!$M:$M,"Not Found")</f>
        <v>Not Found</v>
      </c>
      <c r="V1989" s="17" t="str">
        <f>_xlfn.XLOOKUP(Table2[[#This Row],[Adjusted Form '#]],[2]COMPLETED!$D:$D,[2]COMPLETED!$O:$O,"Not Found")</f>
        <v>Not Found</v>
      </c>
      <c r="W1989" s="2" t="str">
        <f>_xlfn.XLOOKUP(Table2[[#This Row],[Adjusted Form '#]],[2]BILLED!$D:$D,[2]BILLED!$M:$M,"Not Found")</f>
        <v>9400 1361 0605 3642 4743 17</v>
      </c>
      <c r="X1989" s="17" t="e">
        <f>_xlfn.XLOOKUP(Table2[[#This Row],[Adjusted Form '#]],[2]BILLED!$D:$D,[1]BILLED!$O:$O,"Not Found")</f>
        <v>#REF!</v>
      </c>
      <c r="Y1989" s="17" t="e">
        <f>_xlfn.XLOOKUP(Table2[[#This Row],[Adjusted Form '#]],'[2]REJECTED ORDERS'!$D:$D,'[2]REJECTED ORDERS'!$E:$E)</f>
        <v>#N/A</v>
      </c>
      <c r="Z1989" s="1"/>
      <c r="AA1989" s="1"/>
    </row>
    <row r="1990" spans="1:27" ht="15" customHeight="1" x14ac:dyDescent="0.35">
      <c r="A1990" s="4" t="s">
        <v>2937</v>
      </c>
      <c r="B1990" s="1" t="s">
        <v>3631</v>
      </c>
      <c r="C1990" s="11">
        <v>45231</v>
      </c>
      <c r="D1990" s="11" t="s">
        <v>7529</v>
      </c>
      <c r="E1990" s="1" t="s">
        <v>21</v>
      </c>
      <c r="F1990" s="1" t="s">
        <v>7524</v>
      </c>
      <c r="G1990" s="6">
        <f>COUNTIF(F:F,Table2[[#This Row],[Form '#]])</f>
        <v>1</v>
      </c>
      <c r="H1990" s="1" t="s">
        <v>3679</v>
      </c>
      <c r="I1990" s="1" t="s">
        <v>177</v>
      </c>
      <c r="J1990" s="1" t="s">
        <v>75</v>
      </c>
      <c r="K1990" s="1" t="s">
        <v>4011</v>
      </c>
      <c r="L1990" s="1"/>
      <c r="M1990" s="6" t="str">
        <f>IF(Table2[[#This Row],[Corrected Form '#
 (If Duplicated)]]="",Table2[[#This Row],[Form '#]],Table2[[#This Row],[Corrected Form '#
 (If Duplicated)]])</f>
        <v>7818-11452</v>
      </c>
      <c r="N1990" s="1" t="s">
        <v>49</v>
      </c>
      <c r="O1990" s="6" t="str">
        <f>IF(Table2[[#This Row],[POG CONFIRMATION RECEIPT OF ORDER
(DATE &amp; TIME)]]="","No Confirmation","Received Confirmation")</f>
        <v>Received Confirmation</v>
      </c>
      <c r="P1990" s="6">
        <f ca="1">TODAY()-Table2[[#This Row],[DATE SENT TO POG]]</f>
        <v>72</v>
      </c>
      <c r="Q1990" s="6" t="s">
        <v>5803</v>
      </c>
      <c r="R19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0" s="2" t="str">
        <f>_xlfn.XLOOKUP(Table2[[#This Row],[Adjusted Form '#]],'[2]IN PROGRESS'!$D:$D,'[2]IN PROGRESS'!$M:$M,"Not Found")</f>
        <v>Not Found</v>
      </c>
      <c r="U1990" s="2" t="str">
        <f>_xlfn.XLOOKUP(Table2[[#This Row],[Adjusted Form '#]],[1]COMPLETED!$D:$D,[2]COMPLETED!$M:$M,"Not Found")</f>
        <v>Not Found</v>
      </c>
      <c r="V1990" s="17" t="str">
        <f>_xlfn.XLOOKUP(Table2[[#This Row],[Adjusted Form '#]],[2]COMPLETED!$D:$D,[2]COMPLETED!$O:$O,"Not Found")</f>
        <v>Not Found</v>
      </c>
      <c r="W1990" s="2" t="str">
        <f>_xlfn.XLOOKUP(Table2[[#This Row],[Adjusted Form '#]],[2]BILLED!$D:$D,[2]BILLED!$M:$M,"Not Found")</f>
        <v>9400 1361 0605 3631 7096 59</v>
      </c>
      <c r="X1990" s="17" t="e">
        <f>_xlfn.XLOOKUP(Table2[[#This Row],[Adjusted Form '#]],[2]BILLED!$D:$D,[1]BILLED!$O:$O,"Not Found")</f>
        <v>#REF!</v>
      </c>
      <c r="Y1990" s="17" t="e">
        <f>_xlfn.XLOOKUP(Table2[[#This Row],[Adjusted Form '#]],'[2]REJECTED ORDERS'!$D:$D,'[2]REJECTED ORDERS'!$E:$E)</f>
        <v>#N/A</v>
      </c>
      <c r="Z1990" s="1"/>
      <c r="AA1990" s="1"/>
    </row>
    <row r="1991" spans="1:27" ht="15" customHeight="1" x14ac:dyDescent="0.35">
      <c r="A1991" s="4" t="s">
        <v>2938</v>
      </c>
      <c r="B1991" s="1" t="s">
        <v>3631</v>
      </c>
      <c r="C1991" s="11">
        <v>45231</v>
      </c>
      <c r="D1991" s="11" t="s">
        <v>7529</v>
      </c>
      <c r="E1991" s="1" t="s">
        <v>21</v>
      </c>
      <c r="F1991" s="1" t="s">
        <v>7525</v>
      </c>
      <c r="G1991" s="6">
        <f>COUNTIF(F:F,Table2[[#This Row],[Form '#]])</f>
        <v>1</v>
      </c>
      <c r="H1991" s="1" t="s">
        <v>1211</v>
      </c>
      <c r="I1991" s="1" t="s">
        <v>3864</v>
      </c>
      <c r="J1991" s="1" t="s">
        <v>78</v>
      </c>
      <c r="K1991" s="1" t="s">
        <v>3879</v>
      </c>
      <c r="L1991" s="1"/>
      <c r="M1991" s="6" t="str">
        <f>IF(Table2[[#This Row],[Corrected Form '#
 (If Duplicated)]]="",Table2[[#This Row],[Form '#]],Table2[[#This Row],[Corrected Form '#
 (If Duplicated)]])</f>
        <v>7818-31247</v>
      </c>
      <c r="N1991" s="1" t="s">
        <v>49</v>
      </c>
      <c r="O1991" s="6" t="str">
        <f>IF(Table2[[#This Row],[POG CONFIRMATION RECEIPT OF ORDER
(DATE &amp; TIME)]]="","No Confirmation","Received Confirmation")</f>
        <v>Received Confirmation</v>
      </c>
      <c r="P1991" s="6">
        <f ca="1">TODAY()-Table2[[#This Row],[DATE SENT TO POG]]</f>
        <v>72</v>
      </c>
      <c r="Q1991" s="6" t="s">
        <v>5803</v>
      </c>
      <c r="R19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1" s="2" t="str">
        <f>_xlfn.XLOOKUP(Table2[[#This Row],[Adjusted Form '#]],'[2]IN PROGRESS'!$D:$D,'[2]IN PROGRESS'!$M:$M,"Not Found")</f>
        <v>Not Found</v>
      </c>
      <c r="U1991" s="2" t="str">
        <f>_xlfn.XLOOKUP(Table2[[#This Row],[Adjusted Form '#]],[1]COMPLETED!$D:$D,[2]COMPLETED!$M:$M,"Not Found")</f>
        <v>Not Found</v>
      </c>
      <c r="V1991" s="17" t="str">
        <f>_xlfn.XLOOKUP(Table2[[#This Row],[Adjusted Form '#]],[2]COMPLETED!$D:$D,[2]COMPLETED!$O:$O,"Not Found")</f>
        <v>Not Found</v>
      </c>
      <c r="W1991" s="2" t="str">
        <f>_xlfn.XLOOKUP(Table2[[#This Row],[Adjusted Form '#]],[2]BILLED!$D:$D,[2]BILLED!$M:$M,"Not Found")</f>
        <v>9400 1361 0605 3642 5399 93</v>
      </c>
      <c r="X1991" s="17" t="e">
        <f>_xlfn.XLOOKUP(Table2[[#This Row],[Adjusted Form '#]],[2]BILLED!$D:$D,[1]BILLED!$O:$O,"Not Found")</f>
        <v>#REF!</v>
      </c>
      <c r="Y1991" s="17" t="e">
        <f>_xlfn.XLOOKUP(Table2[[#This Row],[Adjusted Form '#]],'[2]REJECTED ORDERS'!$D:$D,'[2]REJECTED ORDERS'!$E:$E)</f>
        <v>#N/A</v>
      </c>
      <c r="Z1991" s="1"/>
      <c r="AA1991" s="1"/>
    </row>
    <row r="1992" spans="1:27" ht="15" customHeight="1" x14ac:dyDescent="0.35">
      <c r="A1992" s="4" t="s">
        <v>2939</v>
      </c>
      <c r="B1992" s="1" t="s">
        <v>3631</v>
      </c>
      <c r="C1992" s="11">
        <v>45231</v>
      </c>
      <c r="D1992" s="11" t="s">
        <v>7529</v>
      </c>
      <c r="E1992" s="1" t="s">
        <v>21</v>
      </c>
      <c r="F1992" s="1" t="s">
        <v>7526</v>
      </c>
      <c r="G1992" s="6">
        <f>COUNTIF(F:F,Table2[[#This Row],[Form '#]])</f>
        <v>1</v>
      </c>
      <c r="H1992" s="1" t="s">
        <v>7527</v>
      </c>
      <c r="I1992" s="1" t="s">
        <v>177</v>
      </c>
      <c r="J1992" s="1" t="s">
        <v>75</v>
      </c>
      <c r="K1992" s="1" t="s">
        <v>3853</v>
      </c>
      <c r="L1992" s="1"/>
      <c r="M1992" s="6" t="str">
        <f>IF(Table2[[#This Row],[Corrected Form '#
 (If Duplicated)]]="",Table2[[#This Row],[Form '#]],Table2[[#This Row],[Corrected Form '#
 (If Duplicated)]])</f>
        <v>7818-2669</v>
      </c>
      <c r="N1992" s="1" t="s">
        <v>49</v>
      </c>
      <c r="O1992" s="6" t="str">
        <f>IF(Table2[[#This Row],[POG CONFIRMATION RECEIPT OF ORDER
(DATE &amp; TIME)]]="","No Confirmation","Received Confirmation")</f>
        <v>Received Confirmation</v>
      </c>
      <c r="P1992" s="6">
        <f ca="1">TODAY()-Table2[[#This Row],[DATE SENT TO POG]]</f>
        <v>72</v>
      </c>
      <c r="Q1992" s="6" t="s">
        <v>5802</v>
      </c>
      <c r="R19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199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1992" s="2" t="str">
        <f>_xlfn.XLOOKUP(Table2[[#This Row],[Adjusted Form '#]],'[2]IN PROGRESS'!$D:$D,'[2]IN PROGRESS'!$M:$M,"Not Found")</f>
        <v>Not Found</v>
      </c>
      <c r="U1992" s="2" t="str">
        <f>_xlfn.XLOOKUP(Table2[[#This Row],[Adjusted Form '#]],[1]COMPLETED!$D:$D,[2]COMPLETED!$M:$M,"Not Found")</f>
        <v>Not Found</v>
      </c>
      <c r="V1992" s="17" t="str">
        <f>_xlfn.XLOOKUP(Table2[[#This Row],[Adjusted Form '#]],[2]COMPLETED!$D:$D,[2]COMPLETED!$O:$O,"Not Found")</f>
        <v>Not Found</v>
      </c>
      <c r="W1992" s="2" t="str">
        <f>_xlfn.XLOOKUP(Table2[[#This Row],[Adjusted Form '#]],[2]BILLED!$D:$D,[2]BILLED!$M:$M,"Not Found")</f>
        <v>Not Found</v>
      </c>
      <c r="X1992" s="17" t="str">
        <f>_xlfn.XLOOKUP(Table2[[#This Row],[Adjusted Form '#]],[2]BILLED!$D:$D,[1]BILLED!$O:$O,"Not Found")</f>
        <v>Not Found</v>
      </c>
      <c r="Y1992" s="17" t="e">
        <f>_xlfn.XLOOKUP(Table2[[#This Row],[Adjusted Form '#]],'[2]REJECTED ORDERS'!$D:$D,'[2]REJECTED ORDERS'!$E:$E)</f>
        <v>#N/A</v>
      </c>
      <c r="Z1992" s="1"/>
      <c r="AA1992" s="1"/>
    </row>
    <row r="1993" spans="1:27" ht="15" customHeight="1" x14ac:dyDescent="0.35">
      <c r="A1993" s="4" t="s">
        <v>2940</v>
      </c>
      <c r="B1993" s="1" t="s">
        <v>1132</v>
      </c>
      <c r="C1993" s="11">
        <v>45231</v>
      </c>
      <c r="D1993" s="11" t="s">
        <v>7530</v>
      </c>
      <c r="E1993" s="1" t="s">
        <v>21</v>
      </c>
      <c r="F1993" s="1" t="s">
        <v>7528</v>
      </c>
      <c r="G1993" s="6">
        <f>COUNTIF(F:F,Table2[[#This Row],[Form '#]])</f>
        <v>1</v>
      </c>
      <c r="H1993" s="1" t="s">
        <v>1885</v>
      </c>
      <c r="I1993" s="1" t="s">
        <v>177</v>
      </c>
      <c r="J1993" s="1" t="s">
        <v>75</v>
      </c>
      <c r="K1993" s="1" t="s">
        <v>4011</v>
      </c>
      <c r="L1993" s="1"/>
      <c r="M1993" s="6" t="str">
        <f>IF(Table2[[#This Row],[Corrected Form '#
 (If Duplicated)]]="",Table2[[#This Row],[Form '#]],Table2[[#This Row],[Corrected Form '#
 (If Duplicated)]])</f>
        <v>7818-29971</v>
      </c>
      <c r="N1993" s="1" t="s">
        <v>49</v>
      </c>
      <c r="O1993" s="6" t="str">
        <f>IF(Table2[[#This Row],[POG CONFIRMATION RECEIPT OF ORDER
(DATE &amp; TIME)]]="","No Confirmation","Received Confirmation")</f>
        <v>Received Confirmation</v>
      </c>
      <c r="P1993" s="6">
        <f ca="1">TODAY()-Table2[[#This Row],[DATE SENT TO POG]]</f>
        <v>72</v>
      </c>
      <c r="Q1993" s="6" t="s">
        <v>5803</v>
      </c>
      <c r="R19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3" s="2" t="str">
        <f>_xlfn.XLOOKUP(Table2[[#This Row],[Adjusted Form '#]],'[2]IN PROGRESS'!$D:$D,'[2]IN PROGRESS'!$M:$M,"Not Found")</f>
        <v>Not Found</v>
      </c>
      <c r="U1993" s="2" t="str">
        <f>_xlfn.XLOOKUP(Table2[[#This Row],[Adjusted Form '#]],[1]COMPLETED!$D:$D,[2]COMPLETED!$M:$M,"Not Found")</f>
        <v>Not Found</v>
      </c>
      <c r="V1993" s="17" t="str">
        <f>_xlfn.XLOOKUP(Table2[[#This Row],[Adjusted Form '#]],[2]COMPLETED!$D:$D,[2]COMPLETED!$O:$O,"Not Found")</f>
        <v>Not Found</v>
      </c>
      <c r="W1993" s="2" t="str">
        <f>_xlfn.XLOOKUP(Table2[[#This Row],[Adjusted Form '#]],[2]BILLED!$D:$D,[2]BILLED!$M:$M,"Not Found")</f>
        <v>9400 1361 0605 3642 5049 39</v>
      </c>
      <c r="X1993" s="17" t="e">
        <f>_xlfn.XLOOKUP(Table2[[#This Row],[Adjusted Form '#]],[2]BILLED!$D:$D,[1]BILLED!$O:$O,"Not Found")</f>
        <v>#REF!</v>
      </c>
      <c r="Y1993" s="17" t="e">
        <f>_xlfn.XLOOKUP(Table2[[#This Row],[Adjusted Form '#]],'[2]REJECTED ORDERS'!$D:$D,'[2]REJECTED ORDERS'!$E:$E)</f>
        <v>#N/A</v>
      </c>
      <c r="Z1993" s="1"/>
      <c r="AA1993" s="1"/>
    </row>
    <row r="1994" spans="1:27" ht="15" customHeight="1" x14ac:dyDescent="0.35">
      <c r="A1994" s="4" t="s">
        <v>2942</v>
      </c>
      <c r="B1994" s="1" t="s">
        <v>692</v>
      </c>
      <c r="C1994" s="11">
        <v>45232</v>
      </c>
      <c r="D1994" s="11" t="s">
        <v>7549</v>
      </c>
      <c r="E1994" s="1" t="s">
        <v>191</v>
      </c>
      <c r="F1994" s="1" t="s">
        <v>7531</v>
      </c>
      <c r="G1994" s="6">
        <f>COUNTIF(F:F,Table2[[#This Row],[Form '#]])</f>
        <v>1</v>
      </c>
      <c r="H1994" s="1" t="s">
        <v>7532</v>
      </c>
      <c r="I1994" s="1" t="s">
        <v>3864</v>
      </c>
      <c r="J1994" s="1" t="s">
        <v>78</v>
      </c>
      <c r="K1994" s="1" t="s">
        <v>3879</v>
      </c>
      <c r="L1994" s="1"/>
      <c r="M1994" s="6" t="str">
        <f>IF(Table2[[#This Row],[Corrected Form '#
 (If Duplicated)]]="",Table2[[#This Row],[Form '#]],Table2[[#This Row],[Corrected Form '#
 (If Duplicated)]])</f>
        <v>7812-04612</v>
      </c>
      <c r="N1994" s="1" t="s">
        <v>49</v>
      </c>
      <c r="O1994" s="6" t="str">
        <f>IF(Table2[[#This Row],[POG CONFIRMATION RECEIPT OF ORDER
(DATE &amp; TIME)]]="","No Confirmation","Received Confirmation")</f>
        <v>Received Confirmation</v>
      </c>
      <c r="P1994" s="6">
        <f ca="1">TODAY()-Table2[[#This Row],[DATE SENT TO POG]]</f>
        <v>71</v>
      </c>
      <c r="Q1994" s="6" t="s">
        <v>5803</v>
      </c>
      <c r="R19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4" s="2" t="str">
        <f>_xlfn.XLOOKUP(Table2[[#This Row],[Adjusted Form '#]],'[2]IN PROGRESS'!$D:$D,'[2]IN PROGRESS'!$M:$M,"Not Found")</f>
        <v>Not Found</v>
      </c>
      <c r="U1994" s="2" t="str">
        <f>_xlfn.XLOOKUP(Table2[[#This Row],[Adjusted Form '#]],[1]COMPLETED!$D:$D,[2]COMPLETED!$M:$M,"Not Found")</f>
        <v>Not Found</v>
      </c>
      <c r="V1994" s="17" t="str">
        <f>_xlfn.XLOOKUP(Table2[[#This Row],[Adjusted Form '#]],[2]COMPLETED!$D:$D,[2]COMPLETED!$O:$O,"Not Found")</f>
        <v>Not Found</v>
      </c>
      <c r="W1994" s="2" t="str">
        <f>_xlfn.XLOOKUP(Table2[[#This Row],[Adjusted Form '#]],[2]BILLED!$D:$D,[2]BILLED!$M:$M,"Not Found")</f>
        <v>9400 1112 0620 9346 4135 41</v>
      </c>
      <c r="X1994" s="17" t="e">
        <f>_xlfn.XLOOKUP(Table2[[#This Row],[Adjusted Form '#]],[2]BILLED!$D:$D,[1]BILLED!$O:$O,"Not Found")</f>
        <v>#REF!</v>
      </c>
      <c r="Y1994" s="17" t="e">
        <f>_xlfn.XLOOKUP(Table2[[#This Row],[Adjusted Form '#]],'[2]REJECTED ORDERS'!$D:$D,'[2]REJECTED ORDERS'!$E:$E)</f>
        <v>#N/A</v>
      </c>
      <c r="Z1994" s="1"/>
      <c r="AA1994" s="1"/>
    </row>
    <row r="1995" spans="1:27" ht="15" customHeight="1" x14ac:dyDescent="0.35">
      <c r="A1995" s="4" t="s">
        <v>2943</v>
      </c>
      <c r="B1995" s="1" t="s">
        <v>3447</v>
      </c>
      <c r="C1995" s="11">
        <v>45232</v>
      </c>
      <c r="D1995" s="11" t="s">
        <v>7550</v>
      </c>
      <c r="E1995" s="1" t="s">
        <v>21</v>
      </c>
      <c r="F1995" s="1" t="s">
        <v>7533</v>
      </c>
      <c r="G1995" s="6">
        <f>COUNTIF(F:F,Table2[[#This Row],[Form '#]])</f>
        <v>1</v>
      </c>
      <c r="H1995" s="1" t="s">
        <v>3320</v>
      </c>
      <c r="I1995" s="1" t="s">
        <v>3852</v>
      </c>
      <c r="J1995" s="1" t="s">
        <v>80</v>
      </c>
      <c r="K1995" s="1" t="s">
        <v>3853</v>
      </c>
      <c r="L1995" s="1"/>
      <c r="M1995" s="6" t="str">
        <f>IF(Table2[[#This Row],[Corrected Form '#
 (If Duplicated)]]="",Table2[[#This Row],[Form '#]],Table2[[#This Row],[Corrected Form '#
 (If Duplicated)]])</f>
        <v>7818-29956</v>
      </c>
      <c r="N1995" s="1" t="s">
        <v>49</v>
      </c>
      <c r="O1995" s="6" t="str">
        <f>IF(Table2[[#This Row],[POG CONFIRMATION RECEIPT OF ORDER
(DATE &amp; TIME)]]="","No Confirmation","Received Confirmation")</f>
        <v>Received Confirmation</v>
      </c>
      <c r="P1995" s="6">
        <f ca="1">TODAY()-Table2[[#This Row],[DATE SENT TO POG]]</f>
        <v>71</v>
      </c>
      <c r="Q1995" s="6" t="s">
        <v>5803</v>
      </c>
      <c r="R19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5" s="2" t="str">
        <f>_xlfn.XLOOKUP(Table2[[#This Row],[Adjusted Form '#]],'[2]IN PROGRESS'!$D:$D,'[2]IN PROGRESS'!$M:$M,"Not Found")</f>
        <v>Not Found</v>
      </c>
      <c r="U1995" s="2" t="str">
        <f>_xlfn.XLOOKUP(Table2[[#This Row],[Adjusted Form '#]],[1]COMPLETED!$D:$D,[2]COMPLETED!$M:$M,"Not Found")</f>
        <v>Not Found</v>
      </c>
      <c r="V1995" s="17" t="str">
        <f>_xlfn.XLOOKUP(Table2[[#This Row],[Adjusted Form '#]],[2]COMPLETED!$D:$D,[2]COMPLETED!$O:$O,"Not Found")</f>
        <v>Not Found</v>
      </c>
      <c r="W1995" s="2" t="str">
        <f>_xlfn.XLOOKUP(Table2[[#This Row],[Adjusted Form '#]],[2]BILLED!$D:$D,[2]BILLED!$M:$M,"Not Found")</f>
        <v>9400 1361 0605 3638 5771 83</v>
      </c>
      <c r="X1995" s="17" t="e">
        <f>_xlfn.XLOOKUP(Table2[[#This Row],[Adjusted Form '#]],[2]BILLED!$D:$D,[1]BILLED!$O:$O,"Not Found")</f>
        <v>#REF!</v>
      </c>
      <c r="Y1995" s="17" t="e">
        <f>_xlfn.XLOOKUP(Table2[[#This Row],[Adjusted Form '#]],'[2]REJECTED ORDERS'!$D:$D,'[2]REJECTED ORDERS'!$E:$E)</f>
        <v>#N/A</v>
      </c>
      <c r="Z1995" s="1"/>
      <c r="AA1995" s="1"/>
    </row>
    <row r="1996" spans="1:27" ht="15" customHeight="1" x14ac:dyDescent="0.35">
      <c r="A1996" s="4" t="s">
        <v>2944</v>
      </c>
      <c r="B1996" s="1" t="s">
        <v>3447</v>
      </c>
      <c r="C1996" s="11">
        <v>45232</v>
      </c>
      <c r="D1996" s="11" t="s">
        <v>7550</v>
      </c>
      <c r="E1996" s="1" t="s">
        <v>21</v>
      </c>
      <c r="F1996" s="1" t="s">
        <v>7534</v>
      </c>
      <c r="G1996" s="6">
        <f>COUNTIF(F:F,Table2[[#This Row],[Form '#]])</f>
        <v>1</v>
      </c>
      <c r="H1996" s="1" t="s">
        <v>3715</v>
      </c>
      <c r="I1996" s="1" t="s">
        <v>3852</v>
      </c>
      <c r="J1996" s="1" t="s">
        <v>80</v>
      </c>
      <c r="K1996" s="1" t="s">
        <v>3853</v>
      </c>
      <c r="L1996" s="1"/>
      <c r="M1996" s="6" t="str">
        <f>IF(Table2[[#This Row],[Corrected Form '#
 (If Duplicated)]]="",Table2[[#This Row],[Form '#]],Table2[[#This Row],[Corrected Form '#
 (If Duplicated)]])</f>
        <v>7818-27706</v>
      </c>
      <c r="N1996" s="1" t="s">
        <v>49</v>
      </c>
      <c r="O1996" s="6" t="str">
        <f>IF(Table2[[#This Row],[POG CONFIRMATION RECEIPT OF ORDER
(DATE &amp; TIME)]]="","No Confirmation","Received Confirmation")</f>
        <v>Received Confirmation</v>
      </c>
      <c r="P1996" s="6">
        <f ca="1">TODAY()-Table2[[#This Row],[DATE SENT TO POG]]</f>
        <v>71</v>
      </c>
      <c r="Q1996" s="6" t="s">
        <v>5803</v>
      </c>
      <c r="R19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6" s="2" t="str">
        <f>_xlfn.XLOOKUP(Table2[[#This Row],[Adjusted Form '#]],'[2]IN PROGRESS'!$D:$D,'[2]IN PROGRESS'!$M:$M,"Not Found")</f>
        <v>Not Found</v>
      </c>
      <c r="U1996" s="2" t="str">
        <f>_xlfn.XLOOKUP(Table2[[#This Row],[Adjusted Form '#]],[1]COMPLETED!$D:$D,[2]COMPLETED!$M:$M,"Not Found")</f>
        <v>Not Found</v>
      </c>
      <c r="V1996" s="17" t="str">
        <f>_xlfn.XLOOKUP(Table2[[#This Row],[Adjusted Form '#]],[2]COMPLETED!$D:$D,[2]COMPLETED!$O:$O,"Not Found")</f>
        <v>Not Found</v>
      </c>
      <c r="W1996" s="2" t="str">
        <f>_xlfn.XLOOKUP(Table2[[#This Row],[Adjusted Form '#]],[2]BILLED!$D:$D,[2]BILLED!$M:$M,"Not Found")</f>
        <v>9400 1361 0605 3647 8188 40</v>
      </c>
      <c r="X1996" s="17" t="e">
        <f>_xlfn.XLOOKUP(Table2[[#This Row],[Adjusted Form '#]],[2]BILLED!$D:$D,[1]BILLED!$O:$O,"Not Found")</f>
        <v>#REF!</v>
      </c>
      <c r="Y1996" s="17" t="e">
        <f>_xlfn.XLOOKUP(Table2[[#This Row],[Adjusted Form '#]],'[2]REJECTED ORDERS'!$D:$D,'[2]REJECTED ORDERS'!$E:$E)</f>
        <v>#N/A</v>
      </c>
      <c r="Z1996" s="1"/>
      <c r="AA1996" s="1"/>
    </row>
    <row r="1997" spans="1:27" ht="15" customHeight="1" x14ac:dyDescent="0.35">
      <c r="A1997" s="4" t="s">
        <v>2946</v>
      </c>
      <c r="B1997" s="1" t="s">
        <v>3447</v>
      </c>
      <c r="C1997" s="11">
        <v>45232</v>
      </c>
      <c r="D1997" s="11" t="s">
        <v>7550</v>
      </c>
      <c r="E1997" s="1" t="s">
        <v>21</v>
      </c>
      <c r="F1997" s="1" t="s">
        <v>7535</v>
      </c>
      <c r="G1997" s="6">
        <f>COUNTIF(F:F,Table2[[#This Row],[Form '#]])</f>
        <v>1</v>
      </c>
      <c r="H1997" s="1" t="s">
        <v>7536</v>
      </c>
      <c r="I1997" s="1" t="s">
        <v>3852</v>
      </c>
      <c r="J1997" s="1" t="s">
        <v>80</v>
      </c>
      <c r="K1997" s="1" t="s">
        <v>3853</v>
      </c>
      <c r="L1997" s="1"/>
      <c r="M1997" s="6" t="str">
        <f>IF(Table2[[#This Row],[Corrected Form '#
 (If Duplicated)]]="",Table2[[#This Row],[Form '#]],Table2[[#This Row],[Corrected Form '#
 (If Duplicated)]])</f>
        <v>7818-26807</v>
      </c>
      <c r="N1997" s="1" t="s">
        <v>49</v>
      </c>
      <c r="O1997" s="6" t="str">
        <f>IF(Table2[[#This Row],[POG CONFIRMATION RECEIPT OF ORDER
(DATE &amp; TIME)]]="","No Confirmation","Received Confirmation")</f>
        <v>Received Confirmation</v>
      </c>
      <c r="P1997" s="6">
        <f ca="1">TODAY()-Table2[[#This Row],[DATE SENT TO POG]]</f>
        <v>71</v>
      </c>
      <c r="Q1997" s="6" t="s">
        <v>5803</v>
      </c>
      <c r="R19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7" s="2" t="str">
        <f>_xlfn.XLOOKUP(Table2[[#This Row],[Adjusted Form '#]],'[2]IN PROGRESS'!$D:$D,'[2]IN PROGRESS'!$M:$M,"Not Found")</f>
        <v>Not Found</v>
      </c>
      <c r="U1997" s="2" t="str">
        <f>_xlfn.XLOOKUP(Table2[[#This Row],[Adjusted Form '#]],[1]COMPLETED!$D:$D,[2]COMPLETED!$M:$M,"Not Found")</f>
        <v>Not Found</v>
      </c>
      <c r="V1997" s="17" t="str">
        <f>_xlfn.XLOOKUP(Table2[[#This Row],[Adjusted Form '#]],[2]COMPLETED!$D:$D,[2]COMPLETED!$O:$O,"Not Found")</f>
        <v>Not Found</v>
      </c>
      <c r="W1997" s="2" t="str">
        <f>_xlfn.XLOOKUP(Table2[[#This Row],[Adjusted Form '#]],[2]BILLED!$D:$D,[2]BILLED!$M:$M,"Not Found")</f>
        <v>9400 1361 0605 3642 5063 39</v>
      </c>
      <c r="X1997" s="17" t="e">
        <f>_xlfn.XLOOKUP(Table2[[#This Row],[Adjusted Form '#]],[2]BILLED!$D:$D,[1]BILLED!$O:$O,"Not Found")</f>
        <v>#REF!</v>
      </c>
      <c r="Y1997" s="17" t="e">
        <f>_xlfn.XLOOKUP(Table2[[#This Row],[Adjusted Form '#]],'[2]REJECTED ORDERS'!$D:$D,'[2]REJECTED ORDERS'!$E:$E)</f>
        <v>#N/A</v>
      </c>
      <c r="Z1997" s="1"/>
      <c r="AA1997" s="1"/>
    </row>
    <row r="1998" spans="1:27" ht="15" customHeight="1" x14ac:dyDescent="0.35">
      <c r="A1998" s="4" t="s">
        <v>2947</v>
      </c>
      <c r="B1998" s="1" t="s">
        <v>3447</v>
      </c>
      <c r="C1998" s="11">
        <v>45232</v>
      </c>
      <c r="D1998" s="11" t="s">
        <v>7550</v>
      </c>
      <c r="E1998" s="1" t="s">
        <v>21</v>
      </c>
      <c r="F1998" s="1" t="s">
        <v>7537</v>
      </c>
      <c r="G1998" s="6">
        <f>COUNTIF(F:F,Table2[[#This Row],[Form '#]])</f>
        <v>1</v>
      </c>
      <c r="H1998" s="1" t="s">
        <v>7538</v>
      </c>
      <c r="I1998" s="1" t="s">
        <v>28</v>
      </c>
      <c r="J1998" s="1" t="s">
        <v>69</v>
      </c>
      <c r="K1998" s="1" t="s">
        <v>3898</v>
      </c>
      <c r="L1998" s="1"/>
      <c r="M1998" s="6" t="str">
        <f>IF(Table2[[#This Row],[Corrected Form '#
 (If Duplicated)]]="",Table2[[#This Row],[Form '#]],Table2[[#This Row],[Corrected Form '#
 (If Duplicated)]])</f>
        <v>7818-14546</v>
      </c>
      <c r="N1998" s="1" t="s">
        <v>49</v>
      </c>
      <c r="O1998" s="6" t="str">
        <f>IF(Table2[[#This Row],[POG CONFIRMATION RECEIPT OF ORDER
(DATE &amp; TIME)]]="","No Confirmation","Received Confirmation")</f>
        <v>Received Confirmation</v>
      </c>
      <c r="P1998" s="6">
        <f ca="1">TODAY()-Table2[[#This Row],[DATE SENT TO POG]]</f>
        <v>71</v>
      </c>
      <c r="Q1998" s="6" t="s">
        <v>5803</v>
      </c>
      <c r="R19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8" s="2" t="str">
        <f>_xlfn.XLOOKUP(Table2[[#This Row],[Adjusted Form '#]],'[2]IN PROGRESS'!$D:$D,'[2]IN PROGRESS'!$M:$M,"Not Found")</f>
        <v>Not Found</v>
      </c>
      <c r="U1998" s="2" t="str">
        <f>_xlfn.XLOOKUP(Table2[[#This Row],[Adjusted Form '#]],[1]COMPLETED!$D:$D,[2]COMPLETED!$M:$M,"Not Found")</f>
        <v>Not Found</v>
      </c>
      <c r="V1998" s="17" t="str">
        <f>_xlfn.XLOOKUP(Table2[[#This Row],[Adjusted Form '#]],[2]COMPLETED!$D:$D,[2]COMPLETED!$O:$O,"Not Found")</f>
        <v>Not Found</v>
      </c>
      <c r="W1998" s="2" t="str">
        <f>_xlfn.XLOOKUP(Table2[[#This Row],[Adjusted Form '#]],[2]BILLED!$D:$D,[2]BILLED!$M:$M,"Not Found")</f>
        <v>9400 1361 0605 3655 3395 04</v>
      </c>
      <c r="X1998" s="17" t="e">
        <f>_xlfn.XLOOKUP(Table2[[#This Row],[Adjusted Form '#]],[2]BILLED!$D:$D,[1]BILLED!$O:$O,"Not Found")</f>
        <v>#REF!</v>
      </c>
      <c r="Y1998" s="17" t="e">
        <f>_xlfn.XLOOKUP(Table2[[#This Row],[Adjusted Form '#]],'[2]REJECTED ORDERS'!$D:$D,'[2]REJECTED ORDERS'!$E:$E)</f>
        <v>#N/A</v>
      </c>
      <c r="Z1998" s="1"/>
      <c r="AA1998" s="1"/>
    </row>
    <row r="1999" spans="1:27" ht="15" customHeight="1" x14ac:dyDescent="0.35">
      <c r="A1999" s="4" t="s">
        <v>2948</v>
      </c>
      <c r="B1999" s="1" t="s">
        <v>3447</v>
      </c>
      <c r="C1999" s="11">
        <v>45232</v>
      </c>
      <c r="D1999" s="11" t="s">
        <v>7550</v>
      </c>
      <c r="E1999" s="1" t="s">
        <v>21</v>
      </c>
      <c r="F1999" s="1" t="s">
        <v>7539</v>
      </c>
      <c r="G1999" s="6">
        <f>COUNTIF(F:F,Table2[[#This Row],[Form '#]])</f>
        <v>1</v>
      </c>
      <c r="H1999" s="1" t="s">
        <v>1507</v>
      </c>
      <c r="I1999" s="1" t="s">
        <v>127</v>
      </c>
      <c r="J1999" s="1" t="s">
        <v>76</v>
      </c>
      <c r="K1999" s="1" t="s">
        <v>3883</v>
      </c>
      <c r="L1999" s="1"/>
      <c r="M1999" s="6" t="str">
        <f>IF(Table2[[#This Row],[Corrected Form '#
 (If Duplicated)]]="",Table2[[#This Row],[Form '#]],Table2[[#This Row],[Corrected Form '#
 (If Duplicated)]])</f>
        <v>7818-26521</v>
      </c>
      <c r="N1999" s="1" t="s">
        <v>49</v>
      </c>
      <c r="O1999" s="6" t="str">
        <f>IF(Table2[[#This Row],[POG CONFIRMATION RECEIPT OF ORDER
(DATE &amp; TIME)]]="","No Confirmation","Received Confirmation")</f>
        <v>Received Confirmation</v>
      </c>
      <c r="P1999" s="6">
        <f ca="1">TODAY()-Table2[[#This Row],[DATE SENT TO POG]]</f>
        <v>71</v>
      </c>
      <c r="Q1999" s="6" t="s">
        <v>5803</v>
      </c>
      <c r="R19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199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1999" s="2" t="str">
        <f>_xlfn.XLOOKUP(Table2[[#This Row],[Adjusted Form '#]],'[2]IN PROGRESS'!$D:$D,'[2]IN PROGRESS'!$M:$M,"Not Found")</f>
        <v>Not Found</v>
      </c>
      <c r="U1999" s="2" t="str">
        <f>_xlfn.XLOOKUP(Table2[[#This Row],[Adjusted Form '#]],[1]COMPLETED!$D:$D,[2]COMPLETED!$M:$M,"Not Found")</f>
        <v>Not Found</v>
      </c>
      <c r="V1999" s="17" t="str">
        <f>_xlfn.XLOOKUP(Table2[[#This Row],[Adjusted Form '#]],[2]COMPLETED!$D:$D,[2]COMPLETED!$O:$O,"Not Found")</f>
        <v>Not Found</v>
      </c>
      <c r="W1999" s="2" t="str">
        <f>_xlfn.XLOOKUP(Table2[[#This Row],[Adjusted Form '#]],[2]BILLED!$D:$D,[2]BILLED!$M:$M,"Not Found")</f>
        <v>9400 1361 0605 3652 6099 45</v>
      </c>
      <c r="X1999" s="17" t="e">
        <f>_xlfn.XLOOKUP(Table2[[#This Row],[Adjusted Form '#]],[2]BILLED!$D:$D,[1]BILLED!$O:$O,"Not Found")</f>
        <v>#REF!</v>
      </c>
      <c r="Y1999" s="17" t="e">
        <f>_xlfn.XLOOKUP(Table2[[#This Row],[Adjusted Form '#]],'[2]REJECTED ORDERS'!$D:$D,'[2]REJECTED ORDERS'!$E:$E)</f>
        <v>#N/A</v>
      </c>
      <c r="Z1999" s="1"/>
      <c r="AA1999" s="1"/>
    </row>
    <row r="2000" spans="1:27" ht="15" customHeight="1" x14ac:dyDescent="0.35">
      <c r="A2000" s="4" t="s">
        <v>2949</v>
      </c>
      <c r="B2000" s="1" t="s">
        <v>3447</v>
      </c>
      <c r="C2000" s="11">
        <v>45232</v>
      </c>
      <c r="D2000" s="11" t="s">
        <v>7550</v>
      </c>
      <c r="E2000" s="1" t="s">
        <v>21</v>
      </c>
      <c r="F2000" s="1" t="s">
        <v>7540</v>
      </c>
      <c r="G2000" s="6">
        <f>COUNTIF(F:F,Table2[[#This Row],[Form '#]])</f>
        <v>1</v>
      </c>
      <c r="H2000" s="1" t="s">
        <v>3565</v>
      </c>
      <c r="I2000" s="1" t="s">
        <v>127</v>
      </c>
      <c r="J2000" s="1" t="s">
        <v>76</v>
      </c>
      <c r="K2000" s="1" t="s">
        <v>3883</v>
      </c>
      <c r="L2000" s="1"/>
      <c r="M2000" s="6" t="str">
        <f>IF(Table2[[#This Row],[Corrected Form '#
 (If Duplicated)]]="",Table2[[#This Row],[Form '#]],Table2[[#This Row],[Corrected Form '#
 (If Duplicated)]])</f>
        <v>7818-30966</v>
      </c>
      <c r="N2000" s="1" t="s">
        <v>49</v>
      </c>
      <c r="O2000" s="6" t="str">
        <f>IF(Table2[[#This Row],[POG CONFIRMATION RECEIPT OF ORDER
(DATE &amp; TIME)]]="","No Confirmation","Received Confirmation")</f>
        <v>Received Confirmation</v>
      </c>
      <c r="P2000" s="6">
        <f ca="1">TODAY()-Table2[[#This Row],[DATE SENT TO POG]]</f>
        <v>71</v>
      </c>
      <c r="Q2000" s="6" t="s">
        <v>5803</v>
      </c>
      <c r="R20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0" s="2" t="str">
        <f>_xlfn.XLOOKUP(Table2[[#This Row],[Adjusted Form '#]],'[2]IN PROGRESS'!$D:$D,'[2]IN PROGRESS'!$M:$M,"Not Found")</f>
        <v>Not Found</v>
      </c>
      <c r="U2000" s="2" t="str">
        <f>_xlfn.XLOOKUP(Table2[[#This Row],[Adjusted Form '#]],[1]COMPLETED!$D:$D,[2]COMPLETED!$M:$M,"Not Found")</f>
        <v>Not Found</v>
      </c>
      <c r="V2000" s="17" t="str">
        <f>_xlfn.XLOOKUP(Table2[[#This Row],[Adjusted Form '#]],[2]COMPLETED!$D:$D,[2]COMPLETED!$O:$O,"Not Found")</f>
        <v>Not Found</v>
      </c>
      <c r="W2000" s="2" t="str">
        <f>_xlfn.XLOOKUP(Table2[[#This Row],[Adjusted Form '#]],[2]BILLED!$D:$D,[2]BILLED!$M:$M,"Not Found")</f>
        <v>9400 1361 0605 3652 6382 59</v>
      </c>
      <c r="X2000" s="17" t="e">
        <f>_xlfn.XLOOKUP(Table2[[#This Row],[Adjusted Form '#]],[2]BILLED!$D:$D,[1]BILLED!$O:$O,"Not Found")</f>
        <v>#REF!</v>
      </c>
      <c r="Y2000" s="17" t="e">
        <f>_xlfn.XLOOKUP(Table2[[#This Row],[Adjusted Form '#]],'[2]REJECTED ORDERS'!$D:$D,'[2]REJECTED ORDERS'!$E:$E)</f>
        <v>#N/A</v>
      </c>
      <c r="Z2000" s="1"/>
      <c r="AA2000" s="1"/>
    </row>
    <row r="2001" spans="1:27" ht="15" customHeight="1" x14ac:dyDescent="0.35">
      <c r="A2001" s="4" t="s">
        <v>2950</v>
      </c>
      <c r="B2001" s="1" t="s">
        <v>3447</v>
      </c>
      <c r="C2001" s="11">
        <v>45232</v>
      </c>
      <c r="D2001" s="11" t="s">
        <v>7550</v>
      </c>
      <c r="E2001" s="1" t="s">
        <v>21</v>
      </c>
      <c r="F2001" s="1" t="s">
        <v>7541</v>
      </c>
      <c r="G2001" s="6">
        <f>COUNTIF(F:F,Table2[[#This Row],[Form '#]])</f>
        <v>1</v>
      </c>
      <c r="H2001" s="1" t="s">
        <v>4915</v>
      </c>
      <c r="I2001" s="1" t="s">
        <v>3864</v>
      </c>
      <c r="J2001" s="1" t="s">
        <v>78</v>
      </c>
      <c r="K2001" s="1" t="s">
        <v>3879</v>
      </c>
      <c r="L2001" s="1"/>
      <c r="M2001" s="6" t="str">
        <f>IF(Table2[[#This Row],[Corrected Form '#
 (If Duplicated)]]="",Table2[[#This Row],[Form '#]],Table2[[#This Row],[Corrected Form '#
 (If Duplicated)]])</f>
        <v>7818-28272</v>
      </c>
      <c r="N2001" s="1" t="s">
        <v>49</v>
      </c>
      <c r="O2001" s="6" t="str">
        <f>IF(Table2[[#This Row],[POG CONFIRMATION RECEIPT OF ORDER
(DATE &amp; TIME)]]="","No Confirmation","Received Confirmation")</f>
        <v>Received Confirmation</v>
      </c>
      <c r="P2001" s="6">
        <f ca="1">TODAY()-Table2[[#This Row],[DATE SENT TO POG]]</f>
        <v>71</v>
      </c>
      <c r="Q2001" s="6" t="s">
        <v>5803</v>
      </c>
      <c r="R20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1" s="2" t="str">
        <f>_xlfn.XLOOKUP(Table2[[#This Row],[Adjusted Form '#]],'[2]IN PROGRESS'!$D:$D,'[2]IN PROGRESS'!$M:$M,"Not Found")</f>
        <v>Not Found</v>
      </c>
      <c r="U2001" s="2" t="str">
        <f>_xlfn.XLOOKUP(Table2[[#This Row],[Adjusted Form '#]],[1]COMPLETED!$D:$D,[2]COMPLETED!$M:$M,"Not Found")</f>
        <v>Not Found</v>
      </c>
      <c r="V2001" s="17" t="str">
        <f>_xlfn.XLOOKUP(Table2[[#This Row],[Adjusted Form '#]],[2]COMPLETED!$D:$D,[2]COMPLETED!$O:$O,"Not Found")</f>
        <v>Not Found</v>
      </c>
      <c r="W2001" s="2" t="str">
        <f>_xlfn.XLOOKUP(Table2[[#This Row],[Adjusted Form '#]],[2]BILLED!$D:$D,[2]BILLED!$M:$M,"Not Found")</f>
        <v>9400 1361 0605 3632 4595 53</v>
      </c>
      <c r="X2001" s="17" t="e">
        <f>_xlfn.XLOOKUP(Table2[[#This Row],[Adjusted Form '#]],[2]BILLED!$D:$D,[1]BILLED!$O:$O,"Not Found")</f>
        <v>#REF!</v>
      </c>
      <c r="Y2001" s="17" t="e">
        <f>_xlfn.XLOOKUP(Table2[[#This Row],[Adjusted Form '#]],'[2]REJECTED ORDERS'!$D:$D,'[2]REJECTED ORDERS'!$E:$E)</f>
        <v>#N/A</v>
      </c>
      <c r="Z2001" s="1"/>
      <c r="AA2001" s="1"/>
    </row>
    <row r="2002" spans="1:27" ht="15" customHeight="1" x14ac:dyDescent="0.35">
      <c r="A2002" s="4" t="s">
        <v>2952</v>
      </c>
      <c r="B2002" s="1" t="s">
        <v>3447</v>
      </c>
      <c r="C2002" s="11">
        <v>45232</v>
      </c>
      <c r="D2002" s="11" t="s">
        <v>7550</v>
      </c>
      <c r="E2002" s="1" t="s">
        <v>21</v>
      </c>
      <c r="F2002" s="1" t="s">
        <v>7542</v>
      </c>
      <c r="G2002" s="6">
        <f>COUNTIF(F:F,Table2[[#This Row],[Form '#]])</f>
        <v>1</v>
      </c>
      <c r="H2002" s="1" t="s">
        <v>1534</v>
      </c>
      <c r="I2002" s="1" t="s">
        <v>3864</v>
      </c>
      <c r="J2002" s="1" t="s">
        <v>78</v>
      </c>
      <c r="K2002" s="1" t="s">
        <v>3879</v>
      </c>
      <c r="L2002" s="1"/>
      <c r="M2002" s="6" t="str">
        <f>IF(Table2[[#This Row],[Corrected Form '#
 (If Duplicated)]]="",Table2[[#This Row],[Form '#]],Table2[[#This Row],[Corrected Form '#
 (If Duplicated)]])</f>
        <v>7818-32818</v>
      </c>
      <c r="N2002" s="1" t="s">
        <v>49</v>
      </c>
      <c r="O2002" s="6" t="str">
        <f>IF(Table2[[#This Row],[POG CONFIRMATION RECEIPT OF ORDER
(DATE &amp; TIME)]]="","No Confirmation","Received Confirmation")</f>
        <v>Received Confirmation</v>
      </c>
      <c r="P2002" s="6">
        <f ca="1">TODAY()-Table2[[#This Row],[DATE SENT TO POG]]</f>
        <v>71</v>
      </c>
      <c r="Q2002" s="6" t="s">
        <v>5803</v>
      </c>
      <c r="R20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2" s="2" t="str">
        <f>_xlfn.XLOOKUP(Table2[[#This Row],[Adjusted Form '#]],'[2]IN PROGRESS'!$D:$D,'[2]IN PROGRESS'!$M:$M,"Not Found")</f>
        <v>Not Found</v>
      </c>
      <c r="U2002" s="2" t="str">
        <f>_xlfn.XLOOKUP(Table2[[#This Row],[Adjusted Form '#]],[1]COMPLETED!$D:$D,[2]COMPLETED!$M:$M,"Not Found")</f>
        <v>Not Found</v>
      </c>
      <c r="V2002" s="17" t="str">
        <f>_xlfn.XLOOKUP(Table2[[#This Row],[Adjusted Form '#]],[2]COMPLETED!$D:$D,[2]COMPLETED!$O:$O,"Not Found")</f>
        <v>Not Found</v>
      </c>
      <c r="W2002" s="2" t="str">
        <f>_xlfn.XLOOKUP(Table2[[#This Row],[Adjusted Form '#]],[2]BILLED!$D:$D,[2]BILLED!$M:$M,"Not Found")</f>
        <v>9400 1361 0605 3647 8266 16</v>
      </c>
      <c r="X2002" s="17" t="e">
        <f>_xlfn.XLOOKUP(Table2[[#This Row],[Adjusted Form '#]],[2]BILLED!$D:$D,[1]BILLED!$O:$O,"Not Found")</f>
        <v>#REF!</v>
      </c>
      <c r="Y2002" s="17" t="e">
        <f>_xlfn.XLOOKUP(Table2[[#This Row],[Adjusted Form '#]],'[2]REJECTED ORDERS'!$D:$D,'[2]REJECTED ORDERS'!$E:$E)</f>
        <v>#N/A</v>
      </c>
      <c r="Z2002" s="1"/>
      <c r="AA2002" s="1"/>
    </row>
    <row r="2003" spans="1:27" ht="15" customHeight="1" x14ac:dyDescent="0.35">
      <c r="A2003" s="4" t="s">
        <v>2953</v>
      </c>
      <c r="B2003" s="1" t="s">
        <v>970</v>
      </c>
      <c r="C2003" s="11">
        <v>45232</v>
      </c>
      <c r="D2003" s="11" t="s">
        <v>7550</v>
      </c>
      <c r="E2003" s="1" t="s">
        <v>73</v>
      </c>
      <c r="F2003" s="1" t="s">
        <v>7543</v>
      </c>
      <c r="G2003" s="6">
        <f>COUNTIF(F:F,Table2[[#This Row],[Form '#]])</f>
        <v>1</v>
      </c>
      <c r="H2003" s="5"/>
      <c r="I2003" s="1" t="s">
        <v>3864</v>
      </c>
      <c r="J2003" s="1" t="s">
        <v>78</v>
      </c>
      <c r="K2003" s="1" t="s">
        <v>3879</v>
      </c>
      <c r="L2003" s="1"/>
      <c r="M2003" s="6" t="str">
        <f>IF(Table2[[#This Row],[Corrected Form '#
 (If Duplicated)]]="",Table2[[#This Row],[Form '#]],Table2[[#This Row],[Corrected Form '#
 (If Duplicated)]])</f>
        <v>7823-03415</v>
      </c>
      <c r="N2003" s="1" t="s">
        <v>49</v>
      </c>
      <c r="O2003" s="6" t="str">
        <f>IF(Table2[[#This Row],[POG CONFIRMATION RECEIPT OF ORDER
(DATE &amp; TIME)]]="","No Confirmation","Received Confirmation")</f>
        <v>Received Confirmation</v>
      </c>
      <c r="P2003" s="6">
        <f ca="1">TODAY()-Table2[[#This Row],[DATE SENT TO POG]]</f>
        <v>71</v>
      </c>
      <c r="Q2003" s="6" t="s">
        <v>5802</v>
      </c>
      <c r="R20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0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03" s="2" t="str">
        <f>_xlfn.XLOOKUP(Table2[[#This Row],[Adjusted Form '#]],'[2]IN PROGRESS'!$D:$D,'[2]IN PROGRESS'!$M:$M,"Not Found")</f>
        <v>Not Found</v>
      </c>
      <c r="U2003" s="2" t="str">
        <f>_xlfn.XLOOKUP(Table2[[#This Row],[Adjusted Form '#]],[1]COMPLETED!$D:$D,[2]COMPLETED!$M:$M,"Not Found")</f>
        <v>Not Found</v>
      </c>
      <c r="V2003" s="17" t="str">
        <f>_xlfn.XLOOKUP(Table2[[#This Row],[Adjusted Form '#]],[2]COMPLETED!$D:$D,[2]COMPLETED!$O:$O,"Not Found")</f>
        <v>Not Found</v>
      </c>
      <c r="W2003" s="2" t="str">
        <f>_xlfn.XLOOKUP(Table2[[#This Row],[Adjusted Form '#]],[2]BILLED!$D:$D,[2]BILLED!$M:$M,"Not Found")</f>
        <v>Not Found</v>
      </c>
      <c r="X2003" s="17" t="str">
        <f>_xlfn.XLOOKUP(Table2[[#This Row],[Adjusted Form '#]],[2]BILLED!$D:$D,[1]BILLED!$O:$O,"Not Found")</f>
        <v>Not Found</v>
      </c>
      <c r="Y2003" s="17" t="e">
        <f>_xlfn.XLOOKUP(Table2[[#This Row],[Adjusted Form '#]],'[2]REJECTED ORDERS'!$D:$D,'[2]REJECTED ORDERS'!$E:$E)</f>
        <v>#N/A</v>
      </c>
      <c r="Z2003" s="1"/>
      <c r="AA2003" s="1"/>
    </row>
    <row r="2004" spans="1:27" ht="15" customHeight="1" x14ac:dyDescent="0.35">
      <c r="A2004" s="4" t="s">
        <v>2955</v>
      </c>
      <c r="B2004" s="1" t="s">
        <v>2774</v>
      </c>
      <c r="C2004" s="11">
        <v>45232</v>
      </c>
      <c r="D2004" s="11" t="s">
        <v>7551</v>
      </c>
      <c r="E2004" s="1" t="s">
        <v>21</v>
      </c>
      <c r="F2004" s="1" t="s">
        <v>7544</v>
      </c>
      <c r="G2004" s="6">
        <f>COUNTIF(F:F,Table2[[#This Row],[Form '#]])</f>
        <v>1</v>
      </c>
      <c r="H2004" s="1" t="s">
        <v>1287</v>
      </c>
      <c r="I2004" s="1" t="s">
        <v>758</v>
      </c>
      <c r="J2004" s="1" t="s">
        <v>78</v>
      </c>
      <c r="K2004" s="1" t="s">
        <v>3853</v>
      </c>
      <c r="L2004" s="1"/>
      <c r="M2004" s="6" t="str">
        <f>IF(Table2[[#This Row],[Corrected Form '#
 (If Duplicated)]]="",Table2[[#This Row],[Form '#]],Table2[[#This Row],[Corrected Form '#
 (If Duplicated)]])</f>
        <v>7818-25810</v>
      </c>
      <c r="N2004" s="1" t="s">
        <v>49</v>
      </c>
      <c r="O2004" s="6" t="str">
        <f>IF(Table2[[#This Row],[POG CONFIRMATION RECEIPT OF ORDER
(DATE &amp; TIME)]]="","No Confirmation","Received Confirmation")</f>
        <v>Received Confirmation</v>
      </c>
      <c r="P2004" s="6">
        <f ca="1">TODAY()-Table2[[#This Row],[DATE SENT TO POG]]</f>
        <v>71</v>
      </c>
      <c r="Q2004" s="6" t="s">
        <v>5803</v>
      </c>
      <c r="R20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4" s="2" t="str">
        <f>_xlfn.XLOOKUP(Table2[[#This Row],[Adjusted Form '#]],'[2]IN PROGRESS'!$D:$D,'[2]IN PROGRESS'!$M:$M,"Not Found")</f>
        <v>Not Found</v>
      </c>
      <c r="U2004" s="2" t="str">
        <f>_xlfn.XLOOKUP(Table2[[#This Row],[Adjusted Form '#]],[1]COMPLETED!$D:$D,[2]COMPLETED!$M:$M,"Not Found")</f>
        <v>Not Found</v>
      </c>
      <c r="V2004" s="17" t="str">
        <f>_xlfn.XLOOKUP(Table2[[#This Row],[Adjusted Form '#]],[2]COMPLETED!$D:$D,[2]COMPLETED!$O:$O,"Not Found")</f>
        <v>Not Found</v>
      </c>
      <c r="W2004" s="2" t="str">
        <f>_xlfn.XLOOKUP(Table2[[#This Row],[Adjusted Form '#]],[2]BILLED!$D:$D,[2]BILLED!$M:$M,"Not Found")</f>
        <v>9400 1361 0605 3646 7193 77</v>
      </c>
      <c r="X2004" s="17" t="e">
        <f>_xlfn.XLOOKUP(Table2[[#This Row],[Adjusted Form '#]],[2]BILLED!$D:$D,[1]BILLED!$O:$O,"Not Found")</f>
        <v>#REF!</v>
      </c>
      <c r="Y2004" s="17" t="e">
        <f>_xlfn.XLOOKUP(Table2[[#This Row],[Adjusted Form '#]],'[2]REJECTED ORDERS'!$D:$D,'[2]REJECTED ORDERS'!$E:$E)</f>
        <v>#N/A</v>
      </c>
      <c r="Z2004" s="1"/>
      <c r="AA2004" s="1"/>
    </row>
    <row r="2005" spans="1:27" ht="15" customHeight="1" x14ac:dyDescent="0.35">
      <c r="A2005" s="4" t="s">
        <v>2956</v>
      </c>
      <c r="B2005" s="1" t="s">
        <v>2774</v>
      </c>
      <c r="C2005" s="11">
        <v>45232</v>
      </c>
      <c r="D2005" s="11" t="s">
        <v>7551</v>
      </c>
      <c r="E2005" s="1" t="s">
        <v>21</v>
      </c>
      <c r="F2005" s="1" t="s">
        <v>7546</v>
      </c>
      <c r="G2005" s="6">
        <f>COUNTIF(F:F,Table2[[#This Row],[Form '#]])</f>
        <v>1</v>
      </c>
      <c r="H2005" s="1" t="s">
        <v>7545</v>
      </c>
      <c r="I2005" s="1" t="s">
        <v>758</v>
      </c>
      <c r="J2005" s="1" t="s">
        <v>78</v>
      </c>
      <c r="K2005" s="1" t="s">
        <v>3853</v>
      </c>
      <c r="L2005" s="1"/>
      <c r="M2005" s="6" t="str">
        <f>IF(Table2[[#This Row],[Corrected Form '#
 (If Duplicated)]]="",Table2[[#This Row],[Form '#]],Table2[[#This Row],[Corrected Form '#
 (If Duplicated)]])</f>
        <v>7818-26990</v>
      </c>
      <c r="N2005" s="1" t="s">
        <v>49</v>
      </c>
      <c r="O2005" s="6" t="str">
        <f>IF(Table2[[#This Row],[POG CONFIRMATION RECEIPT OF ORDER
(DATE &amp; TIME)]]="","No Confirmation","Received Confirmation")</f>
        <v>Received Confirmation</v>
      </c>
      <c r="P2005" s="6">
        <f ca="1">TODAY()-Table2[[#This Row],[DATE SENT TO POG]]</f>
        <v>71</v>
      </c>
      <c r="Q2005" s="6" t="s">
        <v>5803</v>
      </c>
      <c r="R20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5" s="2" t="str">
        <f>_xlfn.XLOOKUP(Table2[[#This Row],[Adjusted Form '#]],'[2]IN PROGRESS'!$D:$D,'[2]IN PROGRESS'!$M:$M,"Not Found")</f>
        <v>Not Found</v>
      </c>
      <c r="U2005" s="2" t="str">
        <f>_xlfn.XLOOKUP(Table2[[#This Row],[Adjusted Form '#]],[1]COMPLETED!$D:$D,[2]COMPLETED!$M:$M,"Not Found")</f>
        <v>Not Found</v>
      </c>
      <c r="V2005" s="17" t="str">
        <f>_xlfn.XLOOKUP(Table2[[#This Row],[Adjusted Form '#]],[2]COMPLETED!$D:$D,[2]COMPLETED!$O:$O,"Not Found")</f>
        <v>Not Found</v>
      </c>
      <c r="W2005" s="2" t="str">
        <f>_xlfn.XLOOKUP(Table2[[#This Row],[Adjusted Form '#]],[2]BILLED!$D:$D,[2]BILLED!$M:$M,"Not Found")</f>
        <v>9400 1361 0605 3632 4733 06</v>
      </c>
      <c r="X2005" s="17" t="e">
        <f>_xlfn.XLOOKUP(Table2[[#This Row],[Adjusted Form '#]],[2]BILLED!$D:$D,[1]BILLED!$O:$O,"Not Found")</f>
        <v>#REF!</v>
      </c>
      <c r="Y2005" s="17" t="e">
        <f>_xlfn.XLOOKUP(Table2[[#This Row],[Adjusted Form '#]],'[2]REJECTED ORDERS'!$D:$D,'[2]REJECTED ORDERS'!$E:$E)</f>
        <v>#N/A</v>
      </c>
      <c r="Z2005" s="1"/>
      <c r="AA2005" s="1"/>
    </row>
    <row r="2006" spans="1:27" ht="15" customHeight="1" x14ac:dyDescent="0.35">
      <c r="A2006" s="4" t="s">
        <v>2958</v>
      </c>
      <c r="B2006" s="1" t="s">
        <v>7547</v>
      </c>
      <c r="C2006" s="11">
        <v>45232</v>
      </c>
      <c r="D2006" s="11" t="s">
        <v>7551</v>
      </c>
      <c r="E2006" s="1" t="s">
        <v>21</v>
      </c>
      <c r="F2006" s="1" t="s">
        <v>7548</v>
      </c>
      <c r="G2006" s="6">
        <f>COUNTIF(F:F,Table2[[#This Row],[Form '#]])</f>
        <v>1</v>
      </c>
      <c r="H2006" s="1" t="s">
        <v>3829</v>
      </c>
      <c r="I2006" s="1" t="s">
        <v>3852</v>
      </c>
      <c r="J2006" s="1" t="s">
        <v>80</v>
      </c>
      <c r="K2006" s="1" t="s">
        <v>4011</v>
      </c>
      <c r="L2006" s="1"/>
      <c r="M2006" s="6" t="str">
        <f>IF(Table2[[#This Row],[Corrected Form '#
 (If Duplicated)]]="",Table2[[#This Row],[Form '#]],Table2[[#This Row],[Corrected Form '#
 (If Duplicated)]])</f>
        <v>7818-31650</v>
      </c>
      <c r="N2006" s="1" t="s">
        <v>49</v>
      </c>
      <c r="O2006" s="6" t="str">
        <f>IF(Table2[[#This Row],[POG CONFIRMATION RECEIPT OF ORDER
(DATE &amp; TIME)]]="","No Confirmation","Received Confirmation")</f>
        <v>Received Confirmation</v>
      </c>
      <c r="P2006" s="6">
        <f ca="1">TODAY()-Table2[[#This Row],[DATE SENT TO POG]]</f>
        <v>71</v>
      </c>
      <c r="Q2006" s="6" t="s">
        <v>5803</v>
      </c>
      <c r="R20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6" s="2" t="str">
        <f>_xlfn.XLOOKUP(Table2[[#This Row],[Adjusted Form '#]],'[2]IN PROGRESS'!$D:$D,'[2]IN PROGRESS'!$M:$M,"Not Found")</f>
        <v>Not Found</v>
      </c>
      <c r="U2006" s="2" t="str">
        <f>_xlfn.XLOOKUP(Table2[[#This Row],[Adjusted Form '#]],[1]COMPLETED!$D:$D,[2]COMPLETED!$M:$M,"Not Found")</f>
        <v>Not Found</v>
      </c>
      <c r="V2006" s="17" t="str">
        <f>_xlfn.XLOOKUP(Table2[[#This Row],[Adjusted Form '#]],[2]COMPLETED!$D:$D,[2]COMPLETED!$O:$O,"Not Found")</f>
        <v>Not Found</v>
      </c>
      <c r="W2006" s="2" t="str">
        <f>_xlfn.XLOOKUP(Table2[[#This Row],[Adjusted Form '#]],[2]BILLED!$D:$D,[2]BILLED!$M:$M,"Not Found")</f>
        <v>9400 1361 0605 3647 8483 11</v>
      </c>
      <c r="X2006" s="17" t="e">
        <f>_xlfn.XLOOKUP(Table2[[#This Row],[Adjusted Form '#]],[2]BILLED!$D:$D,[1]BILLED!$O:$O,"Not Found")</f>
        <v>#REF!</v>
      </c>
      <c r="Y2006" s="17" t="str">
        <f>_xlfn.XLOOKUP(Table2[[#This Row],[Adjusted Form '#]],'[2]REJECTED ORDERS'!$D:$D,'[2]REJECTED ORDERS'!$E:$E)</f>
        <v>FORM NOT SIGNED</v>
      </c>
      <c r="Z2006" s="1"/>
      <c r="AA2006" s="1"/>
    </row>
    <row r="2007" spans="1:27" ht="15" customHeight="1" x14ac:dyDescent="0.35">
      <c r="A2007" s="4" t="s">
        <v>2959</v>
      </c>
      <c r="B2007" s="1" t="s">
        <v>7552</v>
      </c>
      <c r="C2007" s="11">
        <v>45233</v>
      </c>
      <c r="D2007" s="11" t="s">
        <v>7600</v>
      </c>
      <c r="E2007" s="1" t="s">
        <v>14</v>
      </c>
      <c r="F2007" s="1" t="s">
        <v>7553</v>
      </c>
      <c r="G2007" s="6">
        <f>COUNTIF(F:F,Table2[[#This Row],[Form '#]])</f>
        <v>1</v>
      </c>
      <c r="H2007" s="1" t="s">
        <v>7554</v>
      </c>
      <c r="I2007" s="1" t="s">
        <v>28</v>
      </c>
      <c r="J2007" s="1" t="s">
        <v>69</v>
      </c>
      <c r="K2007" s="1" t="s">
        <v>4011</v>
      </c>
      <c r="L2007" s="1"/>
      <c r="M2007" s="6" t="str">
        <f>IF(Table2[[#This Row],[Corrected Form '#
 (If Duplicated)]]="",Table2[[#This Row],[Form '#]],Table2[[#This Row],[Corrected Form '#
 (If Duplicated)]])</f>
        <v>7810-02210</v>
      </c>
      <c r="N2007" s="1" t="s">
        <v>49</v>
      </c>
      <c r="O2007" s="6" t="str">
        <f>IF(Table2[[#This Row],[POG CONFIRMATION RECEIPT OF ORDER
(DATE &amp; TIME)]]="","No Confirmation","Received Confirmation")</f>
        <v>Received Confirmation</v>
      </c>
      <c r="P2007" s="6">
        <f ca="1">TODAY()-Table2[[#This Row],[DATE SENT TO POG]]</f>
        <v>70</v>
      </c>
      <c r="Q2007" s="6" t="s">
        <v>5803</v>
      </c>
      <c r="R20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7" s="2" t="str">
        <f>_xlfn.XLOOKUP(Table2[[#This Row],[Adjusted Form '#]],'[2]IN PROGRESS'!$D:$D,'[2]IN PROGRESS'!$M:$M,"Not Found")</f>
        <v>Not Found</v>
      </c>
      <c r="U2007" s="2" t="str">
        <f>_xlfn.XLOOKUP(Table2[[#This Row],[Adjusted Form '#]],[1]COMPLETED!$D:$D,[2]COMPLETED!$M:$M,"Not Found")</f>
        <v>Not Found</v>
      </c>
      <c r="V2007" s="17" t="str">
        <f>_xlfn.XLOOKUP(Table2[[#This Row],[Adjusted Form '#]],[2]COMPLETED!$D:$D,[2]COMPLETED!$O:$O,"Not Found")</f>
        <v>Not Found</v>
      </c>
      <c r="W2007" s="2" t="str">
        <f>_xlfn.XLOOKUP(Table2[[#This Row],[Adjusted Form '#]],[2]BILLED!$D:$D,[2]BILLED!$M:$M,"Not Found")</f>
        <v>9400 1361 0605 3632 4497 07</v>
      </c>
      <c r="X2007" s="17" t="e">
        <f>_xlfn.XLOOKUP(Table2[[#This Row],[Adjusted Form '#]],[2]BILLED!$D:$D,[1]BILLED!$O:$O,"Not Found")</f>
        <v>#REF!</v>
      </c>
      <c r="Y2007" s="17" t="e">
        <f>_xlfn.XLOOKUP(Table2[[#This Row],[Adjusted Form '#]],'[2]REJECTED ORDERS'!$D:$D,'[2]REJECTED ORDERS'!$E:$E)</f>
        <v>#N/A</v>
      </c>
      <c r="Z2007" s="1"/>
      <c r="AA2007" s="1"/>
    </row>
    <row r="2008" spans="1:27" ht="15" customHeight="1" x14ac:dyDescent="0.35">
      <c r="A2008" s="4" t="s">
        <v>2960</v>
      </c>
      <c r="B2008" s="1" t="s">
        <v>7134</v>
      </c>
      <c r="C2008" s="11">
        <v>45233</v>
      </c>
      <c r="D2008" s="11" t="s">
        <v>7601</v>
      </c>
      <c r="E2008" s="1" t="s">
        <v>191</v>
      </c>
      <c r="F2008" s="1" t="s">
        <v>7555</v>
      </c>
      <c r="G2008" s="6">
        <f>COUNTIF(F:F,Table2[[#This Row],[Form '#]])</f>
        <v>1</v>
      </c>
      <c r="H2008" s="1" t="s">
        <v>3689</v>
      </c>
      <c r="I2008" s="1" t="s">
        <v>127</v>
      </c>
      <c r="J2008" s="1" t="s">
        <v>74</v>
      </c>
      <c r="K2008" s="1" t="s">
        <v>4011</v>
      </c>
      <c r="L2008" s="1"/>
      <c r="M2008" s="6" t="str">
        <f>IF(Table2[[#This Row],[Corrected Form '#
 (If Duplicated)]]="",Table2[[#This Row],[Form '#]],Table2[[#This Row],[Corrected Form '#
 (If Duplicated)]])</f>
        <v>7812-01990</v>
      </c>
      <c r="N2008" s="1" t="s">
        <v>49</v>
      </c>
      <c r="O2008" s="6" t="str">
        <f>IF(Table2[[#This Row],[POG CONFIRMATION RECEIPT OF ORDER
(DATE &amp; TIME)]]="","No Confirmation","Received Confirmation")</f>
        <v>Received Confirmation</v>
      </c>
      <c r="P2008" s="6">
        <f ca="1">TODAY()-Table2[[#This Row],[DATE SENT TO POG]]</f>
        <v>70</v>
      </c>
      <c r="Q2008" s="6" t="s">
        <v>5803</v>
      </c>
      <c r="R20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8" s="2" t="str">
        <f>_xlfn.XLOOKUP(Table2[[#This Row],[Adjusted Form '#]],'[2]IN PROGRESS'!$D:$D,'[2]IN PROGRESS'!$M:$M,"Not Found")</f>
        <v>Not Found</v>
      </c>
      <c r="U2008" s="2" t="str">
        <f>_xlfn.XLOOKUP(Table2[[#This Row],[Adjusted Form '#]],[1]COMPLETED!$D:$D,[2]COMPLETED!$M:$M,"Not Found")</f>
        <v>Not Found</v>
      </c>
      <c r="V2008" s="17" t="str">
        <f>_xlfn.XLOOKUP(Table2[[#This Row],[Adjusted Form '#]],[2]COMPLETED!$D:$D,[2]COMPLETED!$O:$O,"Not Found")</f>
        <v>Not Found</v>
      </c>
      <c r="W2008" s="2" t="str">
        <f>_xlfn.XLOOKUP(Table2[[#This Row],[Adjusted Form '#]],[2]BILLED!$D:$D,[2]BILLED!$M:$M,"Not Found")</f>
        <v>9400 1361 0605 3633 3008 61</v>
      </c>
      <c r="X2008" s="17" t="e">
        <f>_xlfn.XLOOKUP(Table2[[#This Row],[Adjusted Form '#]],[2]BILLED!$D:$D,[1]BILLED!$O:$O,"Not Found")</f>
        <v>#REF!</v>
      </c>
      <c r="Y2008" s="17" t="e">
        <f>_xlfn.XLOOKUP(Table2[[#This Row],[Adjusted Form '#]],'[2]REJECTED ORDERS'!$D:$D,'[2]REJECTED ORDERS'!$E:$E)</f>
        <v>#N/A</v>
      </c>
      <c r="Z2008" s="1"/>
      <c r="AA2008" s="1"/>
    </row>
    <row r="2009" spans="1:27" ht="15" customHeight="1" x14ac:dyDescent="0.35">
      <c r="A2009" s="4" t="s">
        <v>2961</v>
      </c>
      <c r="B2009" s="1" t="s">
        <v>2918</v>
      </c>
      <c r="C2009" s="11">
        <v>45233</v>
      </c>
      <c r="D2009" s="11" t="s">
        <v>7602</v>
      </c>
      <c r="E2009" s="1" t="s">
        <v>191</v>
      </c>
      <c r="F2009" s="1" t="s">
        <v>7556</v>
      </c>
      <c r="G2009" s="6">
        <f>COUNTIF(F:F,Table2[[#This Row],[Form '#]])</f>
        <v>1</v>
      </c>
      <c r="H2009" s="1" t="s">
        <v>7557</v>
      </c>
      <c r="I2009" s="1" t="s">
        <v>177</v>
      </c>
      <c r="J2009" s="1" t="s">
        <v>75</v>
      </c>
      <c r="K2009" s="1" t="s">
        <v>3853</v>
      </c>
      <c r="L2009" s="1"/>
      <c r="M2009" s="6" t="str">
        <f>IF(Table2[[#This Row],[Corrected Form '#
 (If Duplicated)]]="",Table2[[#This Row],[Form '#]],Table2[[#This Row],[Corrected Form '#
 (If Duplicated)]])</f>
        <v>7812-04585</v>
      </c>
      <c r="N2009" s="1" t="s">
        <v>49</v>
      </c>
      <c r="O2009" s="6" t="str">
        <f>IF(Table2[[#This Row],[POG CONFIRMATION RECEIPT OF ORDER
(DATE &amp; TIME)]]="","No Confirmation","Received Confirmation")</f>
        <v>Received Confirmation</v>
      </c>
      <c r="P2009" s="6">
        <f ca="1">TODAY()-Table2[[#This Row],[DATE SENT TO POG]]</f>
        <v>70</v>
      </c>
      <c r="Q2009" s="6" t="s">
        <v>5803</v>
      </c>
      <c r="R20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0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09" s="2" t="str">
        <f>_xlfn.XLOOKUP(Table2[[#This Row],[Adjusted Form '#]],'[2]IN PROGRESS'!$D:$D,'[2]IN PROGRESS'!$M:$M,"Not Found")</f>
        <v>Not Found</v>
      </c>
      <c r="U2009" s="2" t="str">
        <f>_xlfn.XLOOKUP(Table2[[#This Row],[Adjusted Form '#]],[1]COMPLETED!$D:$D,[2]COMPLETED!$M:$M,"Not Found")</f>
        <v>Not Found</v>
      </c>
      <c r="V2009" s="17" t="str">
        <f>_xlfn.XLOOKUP(Table2[[#This Row],[Adjusted Form '#]],[2]COMPLETED!$D:$D,[2]COMPLETED!$O:$O,"Not Found")</f>
        <v>Not Found</v>
      </c>
      <c r="W2009" s="2" t="str">
        <f>_xlfn.XLOOKUP(Table2[[#This Row],[Adjusted Form '#]],[2]BILLED!$D:$D,[2]BILLED!$M:$M,"Not Found")</f>
        <v>9400 1361 0605 3647 7577 50</v>
      </c>
      <c r="X2009" s="17" t="e">
        <f>_xlfn.XLOOKUP(Table2[[#This Row],[Adjusted Form '#]],[2]BILLED!$D:$D,[1]BILLED!$O:$O,"Not Found")</f>
        <v>#REF!</v>
      </c>
      <c r="Y2009" s="17" t="e">
        <f>_xlfn.XLOOKUP(Table2[[#This Row],[Adjusted Form '#]],'[2]REJECTED ORDERS'!$D:$D,'[2]REJECTED ORDERS'!$E:$E)</f>
        <v>#N/A</v>
      </c>
      <c r="Z2009" s="1"/>
      <c r="AA2009" s="1"/>
    </row>
    <row r="2010" spans="1:27" ht="15" customHeight="1" x14ac:dyDescent="0.35">
      <c r="A2010" s="4" t="s">
        <v>2962</v>
      </c>
      <c r="B2010" s="1" t="s">
        <v>3048</v>
      </c>
      <c r="C2010" s="11">
        <v>45236</v>
      </c>
      <c r="D2010" s="11" t="s">
        <v>7603</v>
      </c>
      <c r="E2010" s="1" t="s">
        <v>21</v>
      </c>
      <c r="F2010" s="1" t="s">
        <v>7558</v>
      </c>
      <c r="G2010" s="6">
        <f>COUNTIF(F:F,Table2[[#This Row],[Form '#]])</f>
        <v>1</v>
      </c>
      <c r="H2010" s="1" t="s">
        <v>2378</v>
      </c>
      <c r="I2010" s="1" t="s">
        <v>3852</v>
      </c>
      <c r="J2010" s="1" t="s">
        <v>80</v>
      </c>
      <c r="K2010" s="1" t="s">
        <v>3853</v>
      </c>
      <c r="L2010" s="1"/>
      <c r="M2010" s="6" t="str">
        <f>IF(Table2[[#This Row],[Corrected Form '#
 (If Duplicated)]]="",Table2[[#This Row],[Form '#]],Table2[[#This Row],[Corrected Form '#
 (If Duplicated)]])</f>
        <v>7818-29974</v>
      </c>
      <c r="N2010" s="1" t="s">
        <v>49</v>
      </c>
      <c r="O2010" s="6" t="str">
        <f>IF(Table2[[#This Row],[POG CONFIRMATION RECEIPT OF ORDER
(DATE &amp; TIME)]]="","No Confirmation","Received Confirmation")</f>
        <v>Received Confirmation</v>
      </c>
      <c r="P2010" s="6">
        <f ca="1">TODAY()-Table2[[#This Row],[DATE SENT TO POG]]</f>
        <v>67</v>
      </c>
      <c r="Q2010" s="6" t="s">
        <v>5803</v>
      </c>
      <c r="R20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0" s="2" t="str">
        <f>_xlfn.XLOOKUP(Table2[[#This Row],[Adjusted Form '#]],'[2]IN PROGRESS'!$D:$D,'[2]IN PROGRESS'!$M:$M,"Not Found")</f>
        <v>Not Found</v>
      </c>
      <c r="U2010" s="2" t="str">
        <f>_xlfn.XLOOKUP(Table2[[#This Row],[Adjusted Form '#]],[1]COMPLETED!$D:$D,[2]COMPLETED!$M:$M,"Not Found")</f>
        <v>Not Found</v>
      </c>
      <c r="V2010" s="17" t="str">
        <f>_xlfn.XLOOKUP(Table2[[#This Row],[Adjusted Form '#]],[2]COMPLETED!$D:$D,[2]COMPLETED!$O:$O,"Not Found")</f>
        <v>Not Found</v>
      </c>
      <c r="W2010" s="2" t="str">
        <f>_xlfn.XLOOKUP(Table2[[#This Row],[Adjusted Form '#]],[2]BILLED!$D:$D,[2]BILLED!$M:$M,"Not Found")</f>
        <v>9400 1361 0605 3652 6172 16</v>
      </c>
      <c r="X2010" s="17" t="e">
        <f>_xlfn.XLOOKUP(Table2[[#This Row],[Adjusted Form '#]],[2]BILLED!$D:$D,[1]BILLED!$O:$O,"Not Found")</f>
        <v>#REF!</v>
      </c>
      <c r="Y2010" s="17" t="e">
        <f>_xlfn.XLOOKUP(Table2[[#This Row],[Adjusted Form '#]],'[2]REJECTED ORDERS'!$D:$D,'[2]REJECTED ORDERS'!$E:$E)</f>
        <v>#N/A</v>
      </c>
      <c r="Z2010" s="1"/>
      <c r="AA2010" s="1"/>
    </row>
    <row r="2011" spans="1:27" ht="15" customHeight="1" x14ac:dyDescent="0.35">
      <c r="A2011" s="4" t="s">
        <v>2964</v>
      </c>
      <c r="B2011" s="1" t="s">
        <v>3048</v>
      </c>
      <c r="C2011" s="11">
        <v>45236</v>
      </c>
      <c r="D2011" s="11" t="s">
        <v>7603</v>
      </c>
      <c r="E2011" s="1" t="s">
        <v>21</v>
      </c>
      <c r="F2011" s="1" t="s">
        <v>7559</v>
      </c>
      <c r="G2011" s="6">
        <f>COUNTIF(F:F,Table2[[#This Row],[Form '#]])</f>
        <v>1</v>
      </c>
      <c r="H2011" s="1" t="s">
        <v>7560</v>
      </c>
      <c r="I2011" s="1" t="s">
        <v>3864</v>
      </c>
      <c r="J2011" s="1" t="s">
        <v>78</v>
      </c>
      <c r="K2011" s="1" t="s">
        <v>3879</v>
      </c>
      <c r="L2011" s="1"/>
      <c r="M2011" s="6" t="str">
        <f>IF(Table2[[#This Row],[Corrected Form '#
 (If Duplicated)]]="",Table2[[#This Row],[Form '#]],Table2[[#This Row],[Corrected Form '#
 (If Duplicated)]])</f>
        <v>7818-33355</v>
      </c>
      <c r="N2011" s="1" t="s">
        <v>49</v>
      </c>
      <c r="O2011" s="6" t="str">
        <f>IF(Table2[[#This Row],[POG CONFIRMATION RECEIPT OF ORDER
(DATE &amp; TIME)]]="","No Confirmation","Received Confirmation")</f>
        <v>Received Confirmation</v>
      </c>
      <c r="P2011" s="6">
        <f ca="1">TODAY()-Table2[[#This Row],[DATE SENT TO POG]]</f>
        <v>67</v>
      </c>
      <c r="Q2011" s="6" t="s">
        <v>5803</v>
      </c>
      <c r="R20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1" s="2" t="str">
        <f>_xlfn.XLOOKUP(Table2[[#This Row],[Adjusted Form '#]],'[2]IN PROGRESS'!$D:$D,'[2]IN PROGRESS'!$M:$M,"Not Found")</f>
        <v>Not Found</v>
      </c>
      <c r="U2011" s="2" t="str">
        <f>_xlfn.XLOOKUP(Table2[[#This Row],[Adjusted Form '#]],[1]COMPLETED!$D:$D,[2]COMPLETED!$M:$M,"Not Found")</f>
        <v>Not Found</v>
      </c>
      <c r="V2011" s="17" t="str">
        <f>_xlfn.XLOOKUP(Table2[[#This Row],[Adjusted Form '#]],[2]COMPLETED!$D:$D,[2]COMPLETED!$O:$O,"Not Found")</f>
        <v>Not Found</v>
      </c>
      <c r="W2011" s="2" t="str">
        <f>_xlfn.XLOOKUP(Table2[[#This Row],[Adjusted Form '#]],[2]BILLED!$D:$D,[2]BILLED!$M:$M,"Not Found")</f>
        <v>9400 1112 0620 9349 7040 28</v>
      </c>
      <c r="X2011" s="17" t="e">
        <f>_xlfn.XLOOKUP(Table2[[#This Row],[Adjusted Form '#]],[2]BILLED!$D:$D,[1]BILLED!$O:$O,"Not Found")</f>
        <v>#REF!</v>
      </c>
      <c r="Y2011" s="17" t="e">
        <f>_xlfn.XLOOKUP(Table2[[#This Row],[Adjusted Form '#]],'[2]REJECTED ORDERS'!$D:$D,'[2]REJECTED ORDERS'!$E:$E)</f>
        <v>#N/A</v>
      </c>
      <c r="Z2011" s="1"/>
      <c r="AA2011" s="1"/>
    </row>
    <row r="2012" spans="1:27" ht="15" customHeight="1" x14ac:dyDescent="0.35">
      <c r="A2012" s="4" t="s">
        <v>2966</v>
      </c>
      <c r="B2012" s="1" t="s">
        <v>3048</v>
      </c>
      <c r="C2012" s="11">
        <v>45236</v>
      </c>
      <c r="D2012" s="11" t="s">
        <v>7603</v>
      </c>
      <c r="E2012" s="1" t="s">
        <v>21</v>
      </c>
      <c r="F2012" s="1" t="s">
        <v>7561</v>
      </c>
      <c r="G2012" s="6">
        <f>COUNTIF(F:F,Table2[[#This Row],[Form '#]])</f>
        <v>1</v>
      </c>
      <c r="H2012" s="1" t="s">
        <v>3588</v>
      </c>
      <c r="I2012" s="1" t="s">
        <v>3864</v>
      </c>
      <c r="J2012" s="1" t="s">
        <v>78</v>
      </c>
      <c r="K2012" s="1" t="s">
        <v>3879</v>
      </c>
      <c r="L2012" s="1"/>
      <c r="M2012" s="6" t="str">
        <f>IF(Table2[[#This Row],[Corrected Form '#
 (If Duplicated)]]="",Table2[[#This Row],[Form '#]],Table2[[#This Row],[Corrected Form '#
 (If Duplicated)]])</f>
        <v>7818-29555</v>
      </c>
      <c r="N2012" s="1" t="s">
        <v>49</v>
      </c>
      <c r="O2012" s="6" t="str">
        <f>IF(Table2[[#This Row],[POG CONFIRMATION RECEIPT OF ORDER
(DATE &amp; TIME)]]="","No Confirmation","Received Confirmation")</f>
        <v>Received Confirmation</v>
      </c>
      <c r="P2012" s="6">
        <f ca="1">TODAY()-Table2[[#This Row],[DATE SENT TO POG]]</f>
        <v>67</v>
      </c>
      <c r="Q2012" s="6" t="s">
        <v>5803</v>
      </c>
      <c r="R20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2" s="2" t="str">
        <f>_xlfn.XLOOKUP(Table2[[#This Row],[Adjusted Form '#]],'[2]IN PROGRESS'!$D:$D,'[2]IN PROGRESS'!$M:$M,"Not Found")</f>
        <v>Not Found</v>
      </c>
      <c r="U2012" s="2" t="str">
        <f>_xlfn.XLOOKUP(Table2[[#This Row],[Adjusted Form '#]],[1]COMPLETED!$D:$D,[2]COMPLETED!$M:$M,"Not Found")</f>
        <v>Not Found</v>
      </c>
      <c r="V2012" s="17" t="str">
        <f>_xlfn.XLOOKUP(Table2[[#This Row],[Adjusted Form '#]],[2]COMPLETED!$D:$D,[2]COMPLETED!$O:$O,"Not Found")</f>
        <v>Not Found</v>
      </c>
      <c r="W2012" s="2" t="str">
        <f>_xlfn.XLOOKUP(Table2[[#This Row],[Adjusted Form '#]],[2]BILLED!$D:$D,[2]BILLED!$M:$M,"Not Found")</f>
        <v>9400 1361 0605 3629 2686 87</v>
      </c>
      <c r="X2012" s="17" t="e">
        <f>_xlfn.XLOOKUP(Table2[[#This Row],[Adjusted Form '#]],[2]BILLED!$D:$D,[1]BILLED!$O:$O,"Not Found")</f>
        <v>#REF!</v>
      </c>
      <c r="Y2012" s="17" t="e">
        <f>_xlfn.XLOOKUP(Table2[[#This Row],[Adjusted Form '#]],'[2]REJECTED ORDERS'!$D:$D,'[2]REJECTED ORDERS'!$E:$E)</f>
        <v>#N/A</v>
      </c>
      <c r="Z2012" s="1"/>
      <c r="AA2012" s="1"/>
    </row>
    <row r="2013" spans="1:27" ht="15" customHeight="1" x14ac:dyDescent="0.35">
      <c r="A2013" s="4" t="s">
        <v>2967</v>
      </c>
      <c r="B2013" s="1" t="s">
        <v>3048</v>
      </c>
      <c r="C2013" s="11">
        <v>45236</v>
      </c>
      <c r="D2013" s="11" t="s">
        <v>7603</v>
      </c>
      <c r="E2013" s="1" t="s">
        <v>21</v>
      </c>
      <c r="F2013" s="1" t="s">
        <v>7562</v>
      </c>
      <c r="G2013" s="6">
        <f>COUNTIF(F:F,Table2[[#This Row],[Form '#]])</f>
        <v>1</v>
      </c>
      <c r="H2013" s="1" t="s">
        <v>7563</v>
      </c>
      <c r="I2013" s="1" t="s">
        <v>3852</v>
      </c>
      <c r="J2013" s="1" t="s">
        <v>75</v>
      </c>
      <c r="K2013" s="1" t="s">
        <v>3853</v>
      </c>
      <c r="L2013" s="1"/>
      <c r="M2013" s="6" t="str">
        <f>IF(Table2[[#This Row],[Corrected Form '#
 (If Duplicated)]]="",Table2[[#This Row],[Form '#]],Table2[[#This Row],[Corrected Form '#
 (If Duplicated)]])</f>
        <v>7818-21950</v>
      </c>
      <c r="N2013" s="1" t="s">
        <v>49</v>
      </c>
      <c r="O2013" s="6" t="str">
        <f>IF(Table2[[#This Row],[POG CONFIRMATION RECEIPT OF ORDER
(DATE &amp; TIME)]]="","No Confirmation","Received Confirmation")</f>
        <v>Received Confirmation</v>
      </c>
      <c r="P2013" s="6">
        <f ca="1">TODAY()-Table2[[#This Row],[DATE SENT TO POG]]</f>
        <v>67</v>
      </c>
      <c r="Q2013" s="6" t="s">
        <v>5803</v>
      </c>
      <c r="R20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3" s="2" t="str">
        <f>_xlfn.XLOOKUP(Table2[[#This Row],[Adjusted Form '#]],'[2]IN PROGRESS'!$D:$D,'[2]IN PROGRESS'!$M:$M,"Not Found")</f>
        <v>Not Found</v>
      </c>
      <c r="U2013" s="2" t="str">
        <f>_xlfn.XLOOKUP(Table2[[#This Row],[Adjusted Form '#]],[1]COMPLETED!$D:$D,[2]COMPLETED!$M:$M,"Not Found")</f>
        <v>Not Found</v>
      </c>
      <c r="V2013" s="17" t="str">
        <f>_xlfn.XLOOKUP(Table2[[#This Row],[Adjusted Form '#]],[2]COMPLETED!$D:$D,[2]COMPLETED!$O:$O,"Not Found")</f>
        <v>Not Found</v>
      </c>
      <c r="W2013" s="2" t="str">
        <f>_xlfn.XLOOKUP(Table2[[#This Row],[Adjusted Form '#]],[2]BILLED!$D:$D,[2]BILLED!$M:$M,"Not Found")</f>
        <v>9400 1361 0605 3631 8950 00</v>
      </c>
      <c r="X2013" s="17" t="e">
        <f>_xlfn.XLOOKUP(Table2[[#This Row],[Adjusted Form '#]],[2]BILLED!$D:$D,[1]BILLED!$O:$O,"Not Found")</f>
        <v>#REF!</v>
      </c>
      <c r="Y2013" s="17" t="e">
        <f>_xlfn.XLOOKUP(Table2[[#This Row],[Adjusted Form '#]],'[2]REJECTED ORDERS'!$D:$D,'[2]REJECTED ORDERS'!$E:$E)</f>
        <v>#N/A</v>
      </c>
      <c r="Z2013" s="1"/>
      <c r="AA2013" s="1"/>
    </row>
    <row r="2014" spans="1:27" ht="15" customHeight="1" x14ac:dyDescent="0.35">
      <c r="A2014" s="4" t="s">
        <v>2968</v>
      </c>
      <c r="B2014" s="1" t="s">
        <v>3048</v>
      </c>
      <c r="C2014" s="11">
        <v>45236</v>
      </c>
      <c r="D2014" s="11" t="s">
        <v>7603</v>
      </c>
      <c r="E2014" s="1" t="s">
        <v>21</v>
      </c>
      <c r="F2014" s="1" t="s">
        <v>7564</v>
      </c>
      <c r="G2014" s="6">
        <f>COUNTIF(F:F,Table2[[#This Row],[Form '#]])</f>
        <v>1</v>
      </c>
      <c r="H2014" s="1" t="s">
        <v>7565</v>
      </c>
      <c r="I2014" s="1" t="s">
        <v>3852</v>
      </c>
      <c r="J2014" s="1" t="s">
        <v>80</v>
      </c>
      <c r="K2014" s="1" t="s">
        <v>3853</v>
      </c>
      <c r="L2014" s="1"/>
      <c r="M2014" s="6" t="str">
        <f>IF(Table2[[#This Row],[Corrected Form '#
 (If Duplicated)]]="",Table2[[#This Row],[Form '#]],Table2[[#This Row],[Corrected Form '#
 (If Duplicated)]])</f>
        <v>7818-28682</v>
      </c>
      <c r="N2014" s="1" t="s">
        <v>49</v>
      </c>
      <c r="O2014" s="6" t="str">
        <f>IF(Table2[[#This Row],[POG CONFIRMATION RECEIPT OF ORDER
(DATE &amp; TIME)]]="","No Confirmation","Received Confirmation")</f>
        <v>Received Confirmation</v>
      </c>
      <c r="P2014" s="6">
        <f ca="1">TODAY()-Table2[[#This Row],[DATE SENT TO POG]]</f>
        <v>67</v>
      </c>
      <c r="Q2014" s="6" t="s">
        <v>5803</v>
      </c>
      <c r="R20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4" s="2" t="str">
        <f>_xlfn.XLOOKUP(Table2[[#This Row],[Adjusted Form '#]],'[2]IN PROGRESS'!$D:$D,'[2]IN PROGRESS'!$M:$M,"Not Found")</f>
        <v>Not Found</v>
      </c>
      <c r="U2014" s="2" t="str">
        <f>_xlfn.XLOOKUP(Table2[[#This Row],[Adjusted Form '#]],[1]COMPLETED!$D:$D,[2]COMPLETED!$M:$M,"Not Found")</f>
        <v>Not Found</v>
      </c>
      <c r="V2014" s="17" t="str">
        <f>_xlfn.XLOOKUP(Table2[[#This Row],[Adjusted Form '#]],[2]COMPLETED!$D:$D,[2]COMPLETED!$O:$O,"Not Found")</f>
        <v>Not Found</v>
      </c>
      <c r="W2014" s="2" t="str">
        <f>_xlfn.XLOOKUP(Table2[[#This Row],[Adjusted Form '#]],[2]BILLED!$D:$D,[2]BILLED!$M:$M,"Not Found")</f>
        <v>9400 1361 0605 3647 7884 02</v>
      </c>
      <c r="X2014" s="17" t="e">
        <f>_xlfn.XLOOKUP(Table2[[#This Row],[Adjusted Form '#]],[2]BILLED!$D:$D,[1]BILLED!$O:$O,"Not Found")</f>
        <v>#REF!</v>
      </c>
      <c r="Y2014" s="17" t="e">
        <f>_xlfn.XLOOKUP(Table2[[#This Row],[Adjusted Form '#]],'[2]REJECTED ORDERS'!$D:$D,'[2]REJECTED ORDERS'!$E:$E)</f>
        <v>#N/A</v>
      </c>
      <c r="Z2014" s="1"/>
      <c r="AA2014" s="1"/>
    </row>
    <row r="2015" spans="1:27" ht="15" customHeight="1" x14ac:dyDescent="0.35">
      <c r="A2015" s="4" t="s">
        <v>2969</v>
      </c>
      <c r="B2015" s="1" t="s">
        <v>3048</v>
      </c>
      <c r="C2015" s="11">
        <v>45236</v>
      </c>
      <c r="D2015" s="11" t="s">
        <v>7603</v>
      </c>
      <c r="E2015" s="1" t="s">
        <v>21</v>
      </c>
      <c r="F2015" s="1" t="s">
        <v>7566</v>
      </c>
      <c r="G2015" s="6">
        <f>COUNTIF(F:F,Table2[[#This Row],[Form '#]])</f>
        <v>1</v>
      </c>
      <c r="H2015" s="1" t="s">
        <v>535</v>
      </c>
      <c r="I2015" s="1" t="s">
        <v>3852</v>
      </c>
      <c r="J2015" s="1" t="s">
        <v>80</v>
      </c>
      <c r="K2015" s="1" t="s">
        <v>3853</v>
      </c>
      <c r="L2015" s="1"/>
      <c r="M2015" s="6" t="str">
        <f>IF(Table2[[#This Row],[Corrected Form '#
 (If Duplicated)]]="",Table2[[#This Row],[Form '#]],Table2[[#This Row],[Corrected Form '#
 (If Duplicated)]])</f>
        <v>7818-33356</v>
      </c>
      <c r="N2015" s="1" t="s">
        <v>49</v>
      </c>
      <c r="O2015" s="6" t="str">
        <f>IF(Table2[[#This Row],[POG CONFIRMATION RECEIPT OF ORDER
(DATE &amp; TIME)]]="","No Confirmation","Received Confirmation")</f>
        <v>Received Confirmation</v>
      </c>
      <c r="P2015" s="6">
        <f ca="1">TODAY()-Table2[[#This Row],[DATE SENT TO POG]]</f>
        <v>67</v>
      </c>
      <c r="Q2015" s="6" t="s">
        <v>5803</v>
      </c>
      <c r="R20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5" s="2" t="str">
        <f>_xlfn.XLOOKUP(Table2[[#This Row],[Adjusted Form '#]],'[2]IN PROGRESS'!$D:$D,'[2]IN PROGRESS'!$M:$M,"Not Found")</f>
        <v>Not Found</v>
      </c>
      <c r="U2015" s="2" t="str">
        <f>_xlfn.XLOOKUP(Table2[[#This Row],[Adjusted Form '#]],[1]COMPLETED!$D:$D,[2]COMPLETED!$M:$M,"Not Found")</f>
        <v>Not Found</v>
      </c>
      <c r="V2015" s="17" t="str">
        <f>_xlfn.XLOOKUP(Table2[[#This Row],[Adjusted Form '#]],[2]COMPLETED!$D:$D,[2]COMPLETED!$O:$O,"Not Found")</f>
        <v>Not Found</v>
      </c>
      <c r="W2015" s="2" t="str">
        <f>_xlfn.XLOOKUP(Table2[[#This Row],[Adjusted Form '#]],[2]BILLED!$D:$D,[2]BILLED!$M:$M,"Not Found")</f>
        <v>9400 1361 0605 3673 6086 75</v>
      </c>
      <c r="X2015" s="17" t="e">
        <f>_xlfn.XLOOKUP(Table2[[#This Row],[Adjusted Form '#]],[2]BILLED!$D:$D,[1]BILLED!$O:$O,"Not Found")</f>
        <v>#REF!</v>
      </c>
      <c r="Y2015" s="17" t="e">
        <f>_xlfn.XLOOKUP(Table2[[#This Row],[Adjusted Form '#]],'[2]REJECTED ORDERS'!$D:$D,'[2]REJECTED ORDERS'!$E:$E)</f>
        <v>#N/A</v>
      </c>
      <c r="Z2015" s="1"/>
      <c r="AA2015" s="1"/>
    </row>
    <row r="2016" spans="1:27" ht="15" customHeight="1" x14ac:dyDescent="0.35">
      <c r="A2016" s="4" t="s">
        <v>2970</v>
      </c>
      <c r="B2016" s="1" t="s">
        <v>514</v>
      </c>
      <c r="C2016" s="11">
        <v>45236</v>
      </c>
      <c r="E2016" s="1" t="s">
        <v>21</v>
      </c>
      <c r="F2016" s="1" t="s">
        <v>7567</v>
      </c>
      <c r="G2016" s="6">
        <f>COUNTIF(F:F,Table2[[#This Row],[Form '#]])</f>
        <v>1</v>
      </c>
      <c r="H2016" s="1" t="s">
        <v>2203</v>
      </c>
      <c r="I2016" s="1" t="s">
        <v>3864</v>
      </c>
      <c r="J2016" s="1" t="s">
        <v>78</v>
      </c>
      <c r="K2016" s="1" t="s">
        <v>3879</v>
      </c>
      <c r="L2016" s="1"/>
      <c r="M2016" s="6" t="str">
        <f>IF(Table2[[#This Row],[Corrected Form '#
 (If Duplicated)]]="",Table2[[#This Row],[Form '#]],Table2[[#This Row],[Corrected Form '#
 (If Duplicated)]])</f>
        <v>7818-33354</v>
      </c>
      <c r="N2016" s="1" t="s">
        <v>49</v>
      </c>
      <c r="O2016" s="6" t="str">
        <f>IF(Table2[[#This Row],[POG CONFIRMATION RECEIPT OF ORDER
(DATE &amp; TIME)]]="","No Confirmation","Received Confirmation")</f>
        <v>No Confirmation</v>
      </c>
      <c r="P2016" s="6">
        <f ca="1">TODAY()-Table2[[#This Row],[DATE SENT TO POG]]</f>
        <v>67</v>
      </c>
      <c r="Q2016" s="6" t="s">
        <v>5803</v>
      </c>
      <c r="R20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6" s="2" t="str">
        <f>_xlfn.XLOOKUP(Table2[[#This Row],[Adjusted Form '#]],'[2]IN PROGRESS'!$D:$D,'[2]IN PROGRESS'!$M:$M,"Not Found")</f>
        <v>Not Found</v>
      </c>
      <c r="U2016" s="2" t="str">
        <f>_xlfn.XLOOKUP(Table2[[#This Row],[Adjusted Form '#]],[1]COMPLETED!$D:$D,[2]COMPLETED!$M:$M,"Not Found")</f>
        <v>Not Found</v>
      </c>
      <c r="V2016" s="17" t="str">
        <f>_xlfn.XLOOKUP(Table2[[#This Row],[Adjusted Form '#]],[2]COMPLETED!$D:$D,[2]COMPLETED!$O:$O,"Not Found")</f>
        <v>Not Found</v>
      </c>
      <c r="W2016" s="2" t="str">
        <f>_xlfn.XLOOKUP(Table2[[#This Row],[Adjusted Form '#]],[2]BILLED!$D:$D,[2]BILLED!$M:$M,"Not Found")</f>
        <v>9400 1361 0605 3646 7137 02</v>
      </c>
      <c r="X2016" s="17" t="e">
        <f>_xlfn.XLOOKUP(Table2[[#This Row],[Adjusted Form '#]],[2]BILLED!$D:$D,[1]BILLED!$O:$O,"Not Found")</f>
        <v>#REF!</v>
      </c>
      <c r="Y2016" s="17" t="e">
        <f>_xlfn.XLOOKUP(Table2[[#This Row],[Adjusted Form '#]],'[2]REJECTED ORDERS'!$D:$D,'[2]REJECTED ORDERS'!$E:$E)</f>
        <v>#N/A</v>
      </c>
      <c r="Z2016" s="1"/>
      <c r="AA2016" s="1"/>
    </row>
    <row r="2017" spans="1:27" ht="15" customHeight="1" x14ac:dyDescent="0.35">
      <c r="A2017" s="4" t="s">
        <v>2971</v>
      </c>
      <c r="B2017" s="1" t="s">
        <v>801</v>
      </c>
      <c r="C2017" s="11">
        <v>45236</v>
      </c>
      <c r="D2017" s="11" t="s">
        <v>7604</v>
      </c>
      <c r="E2017" s="1" t="s">
        <v>191</v>
      </c>
      <c r="F2017" s="1" t="s">
        <v>7568</v>
      </c>
      <c r="G2017" s="6">
        <f>COUNTIF(F:F,Table2[[#This Row],[Form '#]])</f>
        <v>1</v>
      </c>
      <c r="H2017" s="1" t="s">
        <v>1953</v>
      </c>
      <c r="I2017" s="1" t="s">
        <v>177</v>
      </c>
      <c r="J2017" s="1" t="s">
        <v>75</v>
      </c>
      <c r="K2017" s="1" t="s">
        <v>4011</v>
      </c>
      <c r="L2017" s="1"/>
      <c r="M2017" s="6" t="str">
        <f>IF(Table2[[#This Row],[Corrected Form '#
 (If Duplicated)]]="",Table2[[#This Row],[Form '#]],Table2[[#This Row],[Corrected Form '#
 (If Duplicated)]])</f>
        <v>7812-4020</v>
      </c>
      <c r="N2017" s="1" t="s">
        <v>49</v>
      </c>
      <c r="O2017" s="6" t="str">
        <f>IF(Table2[[#This Row],[POG CONFIRMATION RECEIPT OF ORDER
(DATE &amp; TIME)]]="","No Confirmation","Received Confirmation")</f>
        <v>Received Confirmation</v>
      </c>
      <c r="P2017" s="6">
        <f ca="1">TODAY()-Table2[[#This Row],[DATE SENT TO POG]]</f>
        <v>67</v>
      </c>
      <c r="Q2017" s="6" t="s">
        <v>5803</v>
      </c>
      <c r="R20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7" s="2" t="str">
        <f>_xlfn.XLOOKUP(Table2[[#This Row],[Adjusted Form '#]],'[2]IN PROGRESS'!$D:$D,'[2]IN PROGRESS'!$M:$M,"Not Found")</f>
        <v>Not Found</v>
      </c>
      <c r="U2017" s="2" t="str">
        <f>_xlfn.XLOOKUP(Table2[[#This Row],[Adjusted Form '#]],[1]COMPLETED!$D:$D,[2]COMPLETED!$M:$M,"Not Found")</f>
        <v>Not Found</v>
      </c>
      <c r="V2017" s="17" t="str">
        <f>_xlfn.XLOOKUP(Table2[[#This Row],[Adjusted Form '#]],[2]COMPLETED!$D:$D,[2]COMPLETED!$O:$O,"Not Found")</f>
        <v>Not Found</v>
      </c>
      <c r="W2017" s="2" t="str">
        <f>_xlfn.XLOOKUP(Table2[[#This Row],[Adjusted Form '#]],[2]BILLED!$D:$D,[2]BILLED!$M:$M,"Not Found")</f>
        <v>9400 1361 0605 3632 4893 76</v>
      </c>
      <c r="X2017" s="17" t="e">
        <f>_xlfn.XLOOKUP(Table2[[#This Row],[Adjusted Form '#]],[2]BILLED!$D:$D,[1]BILLED!$O:$O,"Not Found")</f>
        <v>#REF!</v>
      </c>
      <c r="Y2017" s="17" t="e">
        <f>_xlfn.XLOOKUP(Table2[[#This Row],[Adjusted Form '#]],'[2]REJECTED ORDERS'!$D:$D,'[2]REJECTED ORDERS'!$E:$E)</f>
        <v>#N/A</v>
      </c>
      <c r="Z2017" s="1"/>
      <c r="AA2017" s="1"/>
    </row>
    <row r="2018" spans="1:27" ht="15" customHeight="1" x14ac:dyDescent="0.35">
      <c r="A2018" s="4" t="s">
        <v>2973</v>
      </c>
      <c r="B2018" s="1" t="s">
        <v>1430</v>
      </c>
      <c r="C2018" s="11">
        <v>45236</v>
      </c>
      <c r="D2018" s="11" t="s">
        <v>7569</v>
      </c>
      <c r="E2018" s="1" t="s">
        <v>21</v>
      </c>
      <c r="F2018" s="1" t="s">
        <v>7570</v>
      </c>
      <c r="G2018" s="6">
        <f>COUNTIF(F:F,Table2[[#This Row],[Form '#]])</f>
        <v>1</v>
      </c>
      <c r="H2018" s="1" t="s">
        <v>1903</v>
      </c>
      <c r="I2018" s="1" t="s">
        <v>3852</v>
      </c>
      <c r="J2018" s="1" t="s">
        <v>80</v>
      </c>
      <c r="K2018" s="1" t="s">
        <v>4011</v>
      </c>
      <c r="L2018" s="1"/>
      <c r="M2018" s="6" t="str">
        <f>IF(Table2[[#This Row],[Corrected Form '#
 (If Duplicated)]]="",Table2[[#This Row],[Form '#]],Table2[[#This Row],[Corrected Form '#
 (If Duplicated)]])</f>
        <v>7818-25894</v>
      </c>
      <c r="N2018" s="1" t="s">
        <v>49</v>
      </c>
      <c r="O2018" s="6" t="str">
        <f>IF(Table2[[#This Row],[POG CONFIRMATION RECEIPT OF ORDER
(DATE &amp; TIME)]]="","No Confirmation","Received Confirmation")</f>
        <v>Received Confirmation</v>
      </c>
      <c r="P2018" s="6">
        <f ca="1">TODAY()-Table2[[#This Row],[DATE SENT TO POG]]</f>
        <v>67</v>
      </c>
      <c r="Q2018" s="6" t="s">
        <v>5803</v>
      </c>
      <c r="R20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8" s="2" t="str">
        <f>_xlfn.XLOOKUP(Table2[[#This Row],[Adjusted Form '#]],'[2]IN PROGRESS'!$D:$D,'[2]IN PROGRESS'!$M:$M,"Not Found")</f>
        <v>Not Found</v>
      </c>
      <c r="U2018" s="2" t="str">
        <f>_xlfn.XLOOKUP(Table2[[#This Row],[Adjusted Form '#]],[1]COMPLETED!$D:$D,[2]COMPLETED!$M:$M,"Not Found")</f>
        <v>Not Found</v>
      </c>
      <c r="V2018" s="17" t="str">
        <f>_xlfn.XLOOKUP(Table2[[#This Row],[Adjusted Form '#]],[2]COMPLETED!$D:$D,[2]COMPLETED!$O:$O,"Not Found")</f>
        <v>Not Found</v>
      </c>
      <c r="W2018" s="2" t="str">
        <f>_xlfn.XLOOKUP(Table2[[#This Row],[Adjusted Form '#]],[2]BILLED!$D:$D,[2]BILLED!$M:$M,"Not Found")</f>
        <v>9400 1361 0605 3629 3522 87</v>
      </c>
      <c r="X2018" s="17" t="e">
        <f>_xlfn.XLOOKUP(Table2[[#This Row],[Adjusted Form '#]],[2]BILLED!$D:$D,[1]BILLED!$O:$O,"Not Found")</f>
        <v>#REF!</v>
      </c>
      <c r="Y2018" s="17" t="e">
        <f>_xlfn.XLOOKUP(Table2[[#This Row],[Adjusted Form '#]],'[2]REJECTED ORDERS'!$D:$D,'[2]REJECTED ORDERS'!$E:$E)</f>
        <v>#N/A</v>
      </c>
      <c r="Z2018" s="1"/>
      <c r="AA2018" s="1"/>
    </row>
    <row r="2019" spans="1:27" ht="15" customHeight="1" x14ac:dyDescent="0.35">
      <c r="A2019" s="4" t="s">
        <v>2975</v>
      </c>
      <c r="B2019" s="1" t="s">
        <v>1430</v>
      </c>
      <c r="C2019" s="11">
        <v>45236</v>
      </c>
      <c r="D2019" s="11" t="s">
        <v>7569</v>
      </c>
      <c r="E2019" s="1" t="s">
        <v>21</v>
      </c>
      <c r="F2019" s="1" t="s">
        <v>7571</v>
      </c>
      <c r="G2019" s="6">
        <f>COUNTIF(F:F,Table2[[#This Row],[Form '#]])</f>
        <v>1</v>
      </c>
      <c r="H2019" s="1" t="s">
        <v>7592</v>
      </c>
      <c r="I2019" s="1" t="s">
        <v>127</v>
      </c>
      <c r="J2019" s="1" t="s">
        <v>74</v>
      </c>
      <c r="K2019" s="1" t="s">
        <v>4011</v>
      </c>
      <c r="L2019" s="1"/>
      <c r="M2019" s="6" t="str">
        <f>IF(Table2[[#This Row],[Corrected Form '#
 (If Duplicated)]]="",Table2[[#This Row],[Form '#]],Table2[[#This Row],[Corrected Form '#
 (If Duplicated)]])</f>
        <v>7818-32202</v>
      </c>
      <c r="N2019" s="1" t="s">
        <v>49</v>
      </c>
      <c r="O2019" s="6" t="str">
        <f>IF(Table2[[#This Row],[POG CONFIRMATION RECEIPT OF ORDER
(DATE &amp; TIME)]]="","No Confirmation","Received Confirmation")</f>
        <v>Received Confirmation</v>
      </c>
      <c r="P2019" s="6">
        <f ca="1">TODAY()-Table2[[#This Row],[DATE SENT TO POG]]</f>
        <v>67</v>
      </c>
      <c r="Q2019" s="6" t="s">
        <v>5803</v>
      </c>
      <c r="R20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1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19" s="2" t="str">
        <f>_xlfn.XLOOKUP(Table2[[#This Row],[Adjusted Form '#]],'[2]IN PROGRESS'!$D:$D,'[2]IN PROGRESS'!$M:$M,"Not Found")</f>
        <v>Not Found</v>
      </c>
      <c r="U2019" s="2" t="str">
        <f>_xlfn.XLOOKUP(Table2[[#This Row],[Adjusted Form '#]],[1]COMPLETED!$D:$D,[2]COMPLETED!$M:$M,"Not Found")</f>
        <v>Not Found</v>
      </c>
      <c r="V2019" s="17" t="str">
        <f>_xlfn.XLOOKUP(Table2[[#This Row],[Adjusted Form '#]],[2]COMPLETED!$D:$D,[2]COMPLETED!$O:$O,"Not Found")</f>
        <v>Not Found</v>
      </c>
      <c r="W2019" s="2" t="str">
        <f>_xlfn.XLOOKUP(Table2[[#This Row],[Adjusted Form '#]],[2]BILLED!$D:$D,[2]BILLED!$M:$M,"Not Found")</f>
        <v>9400 1361 0605 3642 5380 95</v>
      </c>
      <c r="X2019" s="17" t="e">
        <f>_xlfn.XLOOKUP(Table2[[#This Row],[Adjusted Form '#]],[2]BILLED!$D:$D,[1]BILLED!$O:$O,"Not Found")</f>
        <v>#REF!</v>
      </c>
      <c r="Y2019" s="17" t="e">
        <f>_xlfn.XLOOKUP(Table2[[#This Row],[Adjusted Form '#]],'[2]REJECTED ORDERS'!$D:$D,'[2]REJECTED ORDERS'!$E:$E)</f>
        <v>#N/A</v>
      </c>
      <c r="Z2019" s="1"/>
      <c r="AA2019" s="1"/>
    </row>
    <row r="2020" spans="1:27" ht="15" customHeight="1" x14ac:dyDescent="0.35">
      <c r="A2020" s="4" t="s">
        <v>2977</v>
      </c>
      <c r="B2020" s="1" t="s">
        <v>1430</v>
      </c>
      <c r="C2020" s="11">
        <v>45236</v>
      </c>
      <c r="D2020" s="11" t="s">
        <v>7569</v>
      </c>
      <c r="E2020" s="1" t="s">
        <v>21</v>
      </c>
      <c r="F2020" s="1" t="s">
        <v>7572</v>
      </c>
      <c r="G2020" s="6">
        <f>COUNTIF(F:F,Table2[[#This Row],[Form '#]])</f>
        <v>1</v>
      </c>
      <c r="H2020" s="1" t="s">
        <v>7593</v>
      </c>
      <c r="I2020" s="1" t="s">
        <v>3864</v>
      </c>
      <c r="J2020" s="1" t="s">
        <v>78</v>
      </c>
      <c r="K2020" s="1" t="s">
        <v>3879</v>
      </c>
      <c r="L2020" s="1"/>
      <c r="M2020" s="6" t="str">
        <f>IF(Table2[[#This Row],[Corrected Form '#
 (If Duplicated)]]="",Table2[[#This Row],[Form '#]],Table2[[#This Row],[Corrected Form '#
 (If Duplicated)]])</f>
        <v>7818-10947</v>
      </c>
      <c r="N2020" s="1" t="s">
        <v>49</v>
      </c>
      <c r="O2020" s="6" t="str">
        <f>IF(Table2[[#This Row],[POG CONFIRMATION RECEIPT OF ORDER
(DATE &amp; TIME)]]="","No Confirmation","Received Confirmation")</f>
        <v>Received Confirmation</v>
      </c>
      <c r="P2020" s="6">
        <f ca="1">TODAY()-Table2[[#This Row],[DATE SENT TO POG]]</f>
        <v>67</v>
      </c>
      <c r="Q2020" s="6" t="s">
        <v>5803</v>
      </c>
      <c r="R20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0" s="2" t="str">
        <f>_xlfn.XLOOKUP(Table2[[#This Row],[Adjusted Form '#]],'[2]IN PROGRESS'!$D:$D,'[2]IN PROGRESS'!$M:$M,"Not Found")</f>
        <v>Not Found</v>
      </c>
      <c r="U2020" s="2" t="str">
        <f>_xlfn.XLOOKUP(Table2[[#This Row],[Adjusted Form '#]],[1]COMPLETED!$D:$D,[2]COMPLETED!$M:$M,"Not Found")</f>
        <v>Not Found</v>
      </c>
      <c r="V2020" s="17" t="str">
        <f>_xlfn.XLOOKUP(Table2[[#This Row],[Adjusted Form '#]],[2]COMPLETED!$D:$D,[2]COMPLETED!$O:$O,"Not Found")</f>
        <v>Not Found</v>
      </c>
      <c r="W2020" s="2" t="str">
        <f>_xlfn.XLOOKUP(Table2[[#This Row],[Adjusted Form '#]],[2]BILLED!$D:$D,[2]BILLED!$M:$M,"Not Found")</f>
        <v>9400 1361 0605 3631 8830 69</v>
      </c>
      <c r="X2020" s="17" t="e">
        <f>_xlfn.XLOOKUP(Table2[[#This Row],[Adjusted Form '#]],[2]BILLED!$D:$D,[1]BILLED!$O:$O,"Not Found")</f>
        <v>#REF!</v>
      </c>
      <c r="Y2020" s="17" t="e">
        <f>_xlfn.XLOOKUP(Table2[[#This Row],[Adjusted Form '#]],'[2]REJECTED ORDERS'!$D:$D,'[2]REJECTED ORDERS'!$E:$E)</f>
        <v>#N/A</v>
      </c>
      <c r="Z2020" s="1"/>
      <c r="AA2020" s="1"/>
    </row>
    <row r="2021" spans="1:27" ht="15" customHeight="1" x14ac:dyDescent="0.35">
      <c r="A2021" s="4" t="s">
        <v>2978</v>
      </c>
      <c r="B2021" s="1" t="s">
        <v>1430</v>
      </c>
      <c r="C2021" s="11">
        <v>45236</v>
      </c>
      <c r="D2021" s="11" t="s">
        <v>7569</v>
      </c>
      <c r="E2021" s="1" t="s">
        <v>21</v>
      </c>
      <c r="F2021" s="1" t="s">
        <v>7573</v>
      </c>
      <c r="G2021" s="6">
        <f>COUNTIF(F:F,Table2[[#This Row],[Form '#]])</f>
        <v>1</v>
      </c>
      <c r="H2021" s="1" t="s">
        <v>540</v>
      </c>
      <c r="I2021" s="1" t="s">
        <v>127</v>
      </c>
      <c r="J2021" s="1" t="s">
        <v>76</v>
      </c>
      <c r="K2021" s="1" t="s">
        <v>3883</v>
      </c>
      <c r="L2021" s="1"/>
      <c r="M2021" s="6" t="str">
        <f>IF(Table2[[#This Row],[Corrected Form '#
 (If Duplicated)]]="",Table2[[#This Row],[Form '#]],Table2[[#This Row],[Corrected Form '#
 (If Duplicated)]])</f>
        <v>7818-32802</v>
      </c>
      <c r="N2021" s="1" t="s">
        <v>49</v>
      </c>
      <c r="O2021" s="6" t="str">
        <f>IF(Table2[[#This Row],[POG CONFIRMATION RECEIPT OF ORDER
(DATE &amp; TIME)]]="","No Confirmation","Received Confirmation")</f>
        <v>Received Confirmation</v>
      </c>
      <c r="P2021" s="6">
        <f ca="1">TODAY()-Table2[[#This Row],[DATE SENT TO POG]]</f>
        <v>67</v>
      </c>
      <c r="Q2021" s="6" t="s">
        <v>5803</v>
      </c>
      <c r="R20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1" s="2" t="str">
        <f>_xlfn.XLOOKUP(Table2[[#This Row],[Adjusted Form '#]],'[2]IN PROGRESS'!$D:$D,'[2]IN PROGRESS'!$M:$M,"Not Found")</f>
        <v>Not Found</v>
      </c>
      <c r="U2021" s="2" t="str">
        <f>_xlfn.XLOOKUP(Table2[[#This Row],[Adjusted Form '#]],[1]COMPLETED!$D:$D,[2]COMPLETED!$M:$M,"Not Found")</f>
        <v>Not Found</v>
      </c>
      <c r="V2021" s="17" t="str">
        <f>_xlfn.XLOOKUP(Table2[[#This Row],[Adjusted Form '#]],[2]COMPLETED!$D:$D,[2]COMPLETED!$O:$O,"Not Found")</f>
        <v>Not Found</v>
      </c>
      <c r="W2021" s="2" t="str">
        <f>_xlfn.XLOOKUP(Table2[[#This Row],[Adjusted Form '#]],[2]BILLED!$D:$D,[2]BILLED!$M:$M,"Not Found")</f>
        <v>9400 1361 0605 3631 9151 80</v>
      </c>
      <c r="X2021" s="17" t="e">
        <f>_xlfn.XLOOKUP(Table2[[#This Row],[Adjusted Form '#]],[2]BILLED!$D:$D,[1]BILLED!$O:$O,"Not Found")</f>
        <v>#REF!</v>
      </c>
      <c r="Y2021" s="17" t="e">
        <f>_xlfn.XLOOKUP(Table2[[#This Row],[Adjusted Form '#]],'[2]REJECTED ORDERS'!$D:$D,'[2]REJECTED ORDERS'!$E:$E)</f>
        <v>#N/A</v>
      </c>
      <c r="Z2021" s="1"/>
      <c r="AA2021" s="1"/>
    </row>
    <row r="2022" spans="1:27" ht="15" customHeight="1" x14ac:dyDescent="0.35">
      <c r="A2022" s="4" t="s">
        <v>2979</v>
      </c>
      <c r="B2022" s="1" t="s">
        <v>1430</v>
      </c>
      <c r="C2022" s="11">
        <v>45236</v>
      </c>
      <c r="D2022" s="11" t="s">
        <v>7569</v>
      </c>
      <c r="E2022" s="1" t="s">
        <v>21</v>
      </c>
      <c r="F2022" s="1" t="s">
        <v>7574</v>
      </c>
      <c r="G2022" s="6">
        <f>COUNTIF(F:F,Table2[[#This Row],[Form '#]])</f>
        <v>1</v>
      </c>
      <c r="H2022" s="1" t="s">
        <v>7594</v>
      </c>
      <c r="I2022" s="1" t="s">
        <v>177</v>
      </c>
      <c r="J2022" s="1" t="s">
        <v>75</v>
      </c>
      <c r="K2022" s="1" t="s">
        <v>3853</v>
      </c>
      <c r="L2022" s="1"/>
      <c r="M2022" s="6" t="str">
        <f>IF(Table2[[#This Row],[Corrected Form '#
 (If Duplicated)]]="",Table2[[#This Row],[Form '#]],Table2[[#This Row],[Corrected Form '#
 (If Duplicated)]])</f>
        <v>7818-27088</v>
      </c>
      <c r="N2022" s="1" t="s">
        <v>49</v>
      </c>
      <c r="O2022" s="6" t="str">
        <f>IF(Table2[[#This Row],[POG CONFIRMATION RECEIPT OF ORDER
(DATE &amp; TIME)]]="","No Confirmation","Received Confirmation")</f>
        <v>Received Confirmation</v>
      </c>
      <c r="P2022" s="6">
        <f ca="1">TODAY()-Table2[[#This Row],[DATE SENT TO POG]]</f>
        <v>67</v>
      </c>
      <c r="Q2022" s="6" t="s">
        <v>5803</v>
      </c>
      <c r="R20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2" s="2" t="str">
        <f>_xlfn.XLOOKUP(Table2[[#This Row],[Adjusted Form '#]],'[2]IN PROGRESS'!$D:$D,'[2]IN PROGRESS'!$M:$M,"Not Found")</f>
        <v>Not Found</v>
      </c>
      <c r="U2022" s="2" t="str">
        <f>_xlfn.XLOOKUP(Table2[[#This Row],[Adjusted Form '#]],[1]COMPLETED!$D:$D,[2]COMPLETED!$M:$M,"Not Found")</f>
        <v>Not Found</v>
      </c>
      <c r="V2022" s="17" t="str">
        <f>_xlfn.XLOOKUP(Table2[[#This Row],[Adjusted Form '#]],[2]COMPLETED!$D:$D,[2]COMPLETED!$O:$O,"Not Found")</f>
        <v>Not Found</v>
      </c>
      <c r="W2022" s="2" t="str">
        <f>_xlfn.XLOOKUP(Table2[[#This Row],[Adjusted Form '#]],[2]BILLED!$D:$D,[2]BILLED!$M:$M,"Not Found")</f>
        <v>9400 1361 0605 3629 2352 38</v>
      </c>
      <c r="X2022" s="17" t="e">
        <f>_xlfn.XLOOKUP(Table2[[#This Row],[Adjusted Form '#]],[2]BILLED!$D:$D,[1]BILLED!$O:$O,"Not Found")</f>
        <v>#REF!</v>
      </c>
      <c r="Y2022" s="17" t="e">
        <f>_xlfn.XLOOKUP(Table2[[#This Row],[Adjusted Form '#]],'[2]REJECTED ORDERS'!$D:$D,'[2]REJECTED ORDERS'!$E:$E)</f>
        <v>#N/A</v>
      </c>
      <c r="Z2022" s="1"/>
      <c r="AA2022" s="1"/>
    </row>
    <row r="2023" spans="1:27" ht="15" customHeight="1" x14ac:dyDescent="0.35">
      <c r="A2023" s="4" t="s">
        <v>2980</v>
      </c>
      <c r="B2023" s="1" t="s">
        <v>1430</v>
      </c>
      <c r="C2023" s="11">
        <v>45236</v>
      </c>
      <c r="D2023" s="11" t="s">
        <v>7569</v>
      </c>
      <c r="E2023" s="1" t="s">
        <v>21</v>
      </c>
      <c r="F2023" s="1" t="s">
        <v>7575</v>
      </c>
      <c r="G2023" s="6">
        <f>COUNTIF(F:F,Table2[[#This Row],[Form '#]])</f>
        <v>1</v>
      </c>
      <c r="H2023" s="1" t="s">
        <v>3563</v>
      </c>
      <c r="I2023" s="1" t="s">
        <v>3852</v>
      </c>
      <c r="J2023" s="1" t="s">
        <v>80</v>
      </c>
      <c r="K2023" s="1" t="s">
        <v>3853</v>
      </c>
      <c r="L2023" s="1"/>
      <c r="M2023" s="6" t="str">
        <f>IF(Table2[[#This Row],[Corrected Form '#
 (If Duplicated)]]="",Table2[[#This Row],[Form '#]],Table2[[#This Row],[Corrected Form '#
 (If Duplicated)]])</f>
        <v>7818-26558</v>
      </c>
      <c r="N2023" s="1" t="s">
        <v>49</v>
      </c>
      <c r="O2023" s="6" t="str">
        <f>IF(Table2[[#This Row],[POG CONFIRMATION RECEIPT OF ORDER
(DATE &amp; TIME)]]="","No Confirmation","Received Confirmation")</f>
        <v>Received Confirmation</v>
      </c>
      <c r="P2023" s="6">
        <f ca="1">TODAY()-Table2[[#This Row],[DATE SENT TO POG]]</f>
        <v>67</v>
      </c>
      <c r="Q2023" s="6" t="s">
        <v>5803</v>
      </c>
      <c r="R20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3" s="2" t="str">
        <f>_xlfn.XLOOKUP(Table2[[#This Row],[Adjusted Form '#]],'[2]IN PROGRESS'!$D:$D,'[2]IN PROGRESS'!$M:$M,"Not Found")</f>
        <v>Not Found</v>
      </c>
      <c r="U2023" s="2" t="str">
        <f>_xlfn.XLOOKUP(Table2[[#This Row],[Adjusted Form '#]],[1]COMPLETED!$D:$D,[2]COMPLETED!$M:$M,"Not Found")</f>
        <v>Not Found</v>
      </c>
      <c r="V2023" s="17" t="str">
        <f>_xlfn.XLOOKUP(Table2[[#This Row],[Adjusted Form '#]],[2]COMPLETED!$D:$D,[2]COMPLETED!$O:$O,"Not Found")</f>
        <v>Not Found</v>
      </c>
      <c r="W2023" s="2" t="str">
        <f>_xlfn.XLOOKUP(Table2[[#This Row],[Adjusted Form '#]],[2]BILLED!$D:$D,[2]BILLED!$M:$M,"Not Found")</f>
        <v>9400 1361 0605 3631 6977 41</v>
      </c>
      <c r="X2023" s="17" t="e">
        <f>_xlfn.XLOOKUP(Table2[[#This Row],[Adjusted Form '#]],[2]BILLED!$D:$D,[1]BILLED!$O:$O,"Not Found")</f>
        <v>#REF!</v>
      </c>
      <c r="Y2023" s="17" t="e">
        <f>_xlfn.XLOOKUP(Table2[[#This Row],[Adjusted Form '#]],'[2]REJECTED ORDERS'!$D:$D,'[2]REJECTED ORDERS'!$E:$E)</f>
        <v>#N/A</v>
      </c>
      <c r="Z2023" s="1"/>
      <c r="AA2023" s="1"/>
    </row>
    <row r="2024" spans="1:27" ht="15" customHeight="1" x14ac:dyDescent="0.35">
      <c r="A2024" s="4" t="s">
        <v>2981</v>
      </c>
      <c r="B2024" s="1" t="s">
        <v>1144</v>
      </c>
      <c r="C2024" s="11">
        <v>45236</v>
      </c>
      <c r="D2024" s="11" t="s">
        <v>7576</v>
      </c>
      <c r="E2024" s="1" t="s">
        <v>21</v>
      </c>
      <c r="F2024" s="1" t="s">
        <v>7577</v>
      </c>
      <c r="G2024" s="6">
        <f>COUNTIF(F:F,Table2[[#This Row],[Form '#]])</f>
        <v>1</v>
      </c>
      <c r="H2024" s="1" t="s">
        <v>7595</v>
      </c>
      <c r="I2024" s="1" t="s">
        <v>28</v>
      </c>
      <c r="J2024" s="1" t="s">
        <v>69</v>
      </c>
      <c r="K2024" s="1" t="s">
        <v>4011</v>
      </c>
      <c r="L2024" s="1"/>
      <c r="M2024" s="6" t="str">
        <f>IF(Table2[[#This Row],[Corrected Form '#
 (If Duplicated)]]="",Table2[[#This Row],[Form '#]],Table2[[#This Row],[Corrected Form '#
 (If Duplicated)]])</f>
        <v>7818-26665</v>
      </c>
      <c r="N2024" s="1" t="s">
        <v>49</v>
      </c>
      <c r="O2024" s="6" t="str">
        <f>IF(Table2[[#This Row],[POG CONFIRMATION RECEIPT OF ORDER
(DATE &amp; TIME)]]="","No Confirmation","Received Confirmation")</f>
        <v>Received Confirmation</v>
      </c>
      <c r="P2024" s="6">
        <f ca="1">TODAY()-Table2[[#This Row],[DATE SENT TO POG]]</f>
        <v>67</v>
      </c>
      <c r="Q2024" s="6" t="s">
        <v>5803</v>
      </c>
      <c r="R20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4" s="2" t="str">
        <f>_xlfn.XLOOKUP(Table2[[#This Row],[Adjusted Form '#]],'[2]IN PROGRESS'!$D:$D,'[2]IN PROGRESS'!$M:$M,"Not Found")</f>
        <v>Not Found</v>
      </c>
      <c r="U2024" s="2" t="str">
        <f>_xlfn.XLOOKUP(Table2[[#This Row],[Adjusted Form '#]],[1]COMPLETED!$D:$D,[2]COMPLETED!$M:$M,"Not Found")</f>
        <v>Not Found</v>
      </c>
      <c r="V2024" s="17" t="str">
        <f>_xlfn.XLOOKUP(Table2[[#This Row],[Adjusted Form '#]],[2]COMPLETED!$D:$D,[2]COMPLETED!$O:$O,"Not Found")</f>
        <v>Not Found</v>
      </c>
      <c r="W2024" s="2" t="str">
        <f>_xlfn.XLOOKUP(Table2[[#This Row],[Adjusted Form '#]],[2]BILLED!$D:$D,[2]BILLED!$M:$M,"Not Found")</f>
        <v>9400 1361 0605 3629 3445 96</v>
      </c>
      <c r="X2024" s="17" t="e">
        <f>_xlfn.XLOOKUP(Table2[[#This Row],[Adjusted Form '#]],[2]BILLED!$D:$D,[1]BILLED!$O:$O,"Not Found")</f>
        <v>#REF!</v>
      </c>
      <c r="Y2024" s="17" t="e">
        <f>_xlfn.XLOOKUP(Table2[[#This Row],[Adjusted Form '#]],'[2]REJECTED ORDERS'!$D:$D,'[2]REJECTED ORDERS'!$E:$E)</f>
        <v>#N/A</v>
      </c>
      <c r="Z2024" s="1"/>
      <c r="AA2024" s="1"/>
    </row>
    <row r="2025" spans="1:27" ht="15" customHeight="1" x14ac:dyDescent="0.35">
      <c r="A2025" s="4" t="s">
        <v>2983</v>
      </c>
      <c r="B2025" s="1" t="s">
        <v>697</v>
      </c>
      <c r="C2025" s="11">
        <v>45237</v>
      </c>
      <c r="D2025" s="11" t="s">
        <v>7578</v>
      </c>
      <c r="E2025" s="1" t="s">
        <v>21</v>
      </c>
      <c r="F2025" s="1" t="s">
        <v>7579</v>
      </c>
      <c r="G2025" s="6">
        <f>COUNTIF(F:F,Table2[[#This Row],[Form '#]])</f>
        <v>1</v>
      </c>
      <c r="H2025" s="1" t="s">
        <v>1297</v>
      </c>
      <c r="I2025" s="1" t="s">
        <v>3864</v>
      </c>
      <c r="J2025" s="1" t="s">
        <v>78</v>
      </c>
      <c r="K2025" s="1" t="s">
        <v>3879</v>
      </c>
      <c r="L2025" s="1"/>
      <c r="M2025" s="6" t="str">
        <f>IF(Table2[[#This Row],[Corrected Form '#
 (If Duplicated)]]="",Table2[[#This Row],[Form '#]],Table2[[#This Row],[Corrected Form '#
 (If Duplicated)]])</f>
        <v>7818-28180</v>
      </c>
      <c r="N2025" s="1" t="s">
        <v>49</v>
      </c>
      <c r="O2025" s="6" t="str">
        <f>IF(Table2[[#This Row],[POG CONFIRMATION RECEIPT OF ORDER
(DATE &amp; TIME)]]="","No Confirmation","Received Confirmation")</f>
        <v>Received Confirmation</v>
      </c>
      <c r="P2025" s="6">
        <f ca="1">TODAY()-Table2[[#This Row],[DATE SENT TO POG]]</f>
        <v>66</v>
      </c>
      <c r="Q2025" s="6" t="s">
        <v>5803</v>
      </c>
      <c r="R20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5" s="2" t="str">
        <f>_xlfn.XLOOKUP(Table2[[#This Row],[Adjusted Form '#]],'[2]IN PROGRESS'!$D:$D,'[2]IN PROGRESS'!$M:$M,"Not Found")</f>
        <v>Not Found</v>
      </c>
      <c r="U2025" s="2" t="str">
        <f>_xlfn.XLOOKUP(Table2[[#This Row],[Adjusted Form '#]],[1]COMPLETED!$D:$D,[2]COMPLETED!$M:$M,"Not Found")</f>
        <v>Not Found</v>
      </c>
      <c r="V2025" s="17" t="str">
        <f>_xlfn.XLOOKUP(Table2[[#This Row],[Adjusted Form '#]],[2]COMPLETED!$D:$D,[2]COMPLETED!$O:$O,"Not Found")</f>
        <v>Not Found</v>
      </c>
      <c r="W2025" s="2" t="str">
        <f>_xlfn.XLOOKUP(Table2[[#This Row],[Adjusted Form '#]],[2]BILLED!$D:$D,[2]BILLED!$M:$M,"Not Found")</f>
        <v>9400 1361 0605 3655 3299 87</v>
      </c>
      <c r="X2025" s="17" t="e">
        <f>_xlfn.XLOOKUP(Table2[[#This Row],[Adjusted Form '#]],[2]BILLED!$D:$D,[1]BILLED!$O:$O,"Not Found")</f>
        <v>#REF!</v>
      </c>
      <c r="Y2025" s="17" t="e">
        <f>_xlfn.XLOOKUP(Table2[[#This Row],[Adjusted Form '#]],'[2]REJECTED ORDERS'!$D:$D,'[2]REJECTED ORDERS'!$E:$E)</f>
        <v>#N/A</v>
      </c>
      <c r="Z2025" s="1"/>
      <c r="AA2025" s="1"/>
    </row>
    <row r="2026" spans="1:27" ht="15" customHeight="1" x14ac:dyDescent="0.35">
      <c r="A2026" s="4" t="s">
        <v>2984</v>
      </c>
      <c r="B2026" s="1" t="s">
        <v>1484</v>
      </c>
      <c r="C2026" s="11">
        <v>45237</v>
      </c>
      <c r="D2026" s="11" t="s">
        <v>7578</v>
      </c>
      <c r="E2026" s="1" t="s">
        <v>21</v>
      </c>
      <c r="F2026" s="1" t="s">
        <v>7580</v>
      </c>
      <c r="G2026" s="6">
        <f>COUNTIF(F:F,Table2[[#This Row],[Form '#]])</f>
        <v>1</v>
      </c>
      <c r="H2026" s="1" t="s">
        <v>1471</v>
      </c>
      <c r="I2026" s="1" t="s">
        <v>177</v>
      </c>
      <c r="J2026" s="1" t="s">
        <v>75</v>
      </c>
      <c r="K2026" s="1" t="s">
        <v>3853</v>
      </c>
      <c r="L2026" s="1"/>
      <c r="M2026" s="6" t="str">
        <f>IF(Table2[[#This Row],[Corrected Form '#
 (If Duplicated)]]="",Table2[[#This Row],[Form '#]],Table2[[#This Row],[Corrected Form '#
 (If Duplicated)]])</f>
        <v>7818-18060</v>
      </c>
      <c r="N2026" s="1" t="s">
        <v>49</v>
      </c>
      <c r="O2026" s="6" t="str">
        <f>IF(Table2[[#This Row],[POG CONFIRMATION RECEIPT OF ORDER
(DATE &amp; TIME)]]="","No Confirmation","Received Confirmation")</f>
        <v>Received Confirmation</v>
      </c>
      <c r="P2026" s="6">
        <f ca="1">TODAY()-Table2[[#This Row],[DATE SENT TO POG]]</f>
        <v>66</v>
      </c>
      <c r="Q2026" s="6" t="s">
        <v>5803</v>
      </c>
      <c r="R20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6" s="2" t="str">
        <f>_xlfn.XLOOKUP(Table2[[#This Row],[Adjusted Form '#]],'[2]IN PROGRESS'!$D:$D,'[2]IN PROGRESS'!$M:$M,"Not Found")</f>
        <v>Not Found</v>
      </c>
      <c r="U2026" s="2" t="str">
        <f>_xlfn.XLOOKUP(Table2[[#This Row],[Adjusted Form '#]],[1]COMPLETED!$D:$D,[2]COMPLETED!$M:$M,"Not Found")</f>
        <v>Not Found</v>
      </c>
      <c r="V2026" s="17" t="str">
        <f>_xlfn.XLOOKUP(Table2[[#This Row],[Adjusted Form '#]],[2]COMPLETED!$D:$D,[2]COMPLETED!$O:$O,"Not Found")</f>
        <v>Not Found</v>
      </c>
      <c r="W2026" s="2" t="str">
        <f>_xlfn.XLOOKUP(Table2[[#This Row],[Adjusted Form '#]],[2]BILLED!$D:$D,[2]BILLED!$M:$M,"Not Found")</f>
        <v>9400 1361 0605 3629 2596 54</v>
      </c>
      <c r="X2026" s="17" t="e">
        <f>_xlfn.XLOOKUP(Table2[[#This Row],[Adjusted Form '#]],[2]BILLED!$D:$D,[1]BILLED!$O:$O,"Not Found")</f>
        <v>#REF!</v>
      </c>
      <c r="Y2026" s="17" t="e">
        <f>_xlfn.XLOOKUP(Table2[[#This Row],[Adjusted Form '#]],'[2]REJECTED ORDERS'!$D:$D,'[2]REJECTED ORDERS'!$E:$E)</f>
        <v>#N/A</v>
      </c>
      <c r="Z2026" s="1"/>
      <c r="AA2026" s="1"/>
    </row>
    <row r="2027" spans="1:27" ht="15" customHeight="1" x14ac:dyDescent="0.35">
      <c r="A2027" s="4" t="s">
        <v>2985</v>
      </c>
      <c r="B2027" s="1" t="s">
        <v>1484</v>
      </c>
      <c r="C2027" s="11">
        <v>45237</v>
      </c>
      <c r="D2027" s="11" t="s">
        <v>7578</v>
      </c>
      <c r="E2027" s="1" t="s">
        <v>21</v>
      </c>
      <c r="F2027" s="1" t="s">
        <v>7581</v>
      </c>
      <c r="G2027" s="6">
        <f>COUNTIF(F:F,Table2[[#This Row],[Form '#]])</f>
        <v>1</v>
      </c>
      <c r="H2027" s="1" t="s">
        <v>4945</v>
      </c>
      <c r="I2027" s="1" t="s">
        <v>3852</v>
      </c>
      <c r="J2027" s="1" t="s">
        <v>80</v>
      </c>
      <c r="K2027" s="1" t="s">
        <v>3853</v>
      </c>
      <c r="L2027" s="1"/>
      <c r="M2027" s="6" t="str">
        <f>IF(Table2[[#This Row],[Corrected Form '#
 (If Duplicated)]]="",Table2[[#This Row],[Form '#]],Table2[[#This Row],[Corrected Form '#
 (If Duplicated)]])</f>
        <v>7818-23253</v>
      </c>
      <c r="N2027" s="1" t="s">
        <v>49</v>
      </c>
      <c r="O2027" s="6" t="str">
        <f>IF(Table2[[#This Row],[POG CONFIRMATION RECEIPT OF ORDER
(DATE &amp; TIME)]]="","No Confirmation","Received Confirmation")</f>
        <v>Received Confirmation</v>
      </c>
      <c r="P2027" s="6">
        <f ca="1">TODAY()-Table2[[#This Row],[DATE SENT TO POG]]</f>
        <v>66</v>
      </c>
      <c r="Q2027" s="6" t="s">
        <v>5803</v>
      </c>
      <c r="R20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7" s="2" t="str">
        <f>_xlfn.XLOOKUP(Table2[[#This Row],[Adjusted Form '#]],'[2]IN PROGRESS'!$D:$D,'[2]IN PROGRESS'!$M:$M,"Not Found")</f>
        <v>Not Found</v>
      </c>
      <c r="U2027" s="2" t="str">
        <f>_xlfn.XLOOKUP(Table2[[#This Row],[Adjusted Form '#]],[1]COMPLETED!$D:$D,[2]COMPLETED!$M:$M,"Not Found")</f>
        <v>Not Found</v>
      </c>
      <c r="V2027" s="17" t="str">
        <f>_xlfn.XLOOKUP(Table2[[#This Row],[Adjusted Form '#]],[2]COMPLETED!$D:$D,[2]COMPLETED!$O:$O,"Not Found")</f>
        <v>Not Found</v>
      </c>
      <c r="W2027" s="2" t="str">
        <f>_xlfn.XLOOKUP(Table2[[#This Row],[Adjusted Form '#]],[2]BILLED!$D:$D,[2]BILLED!$M:$M,"Not Found")</f>
        <v>9400 1361 0605 3632 5001 25</v>
      </c>
      <c r="X2027" s="17" t="e">
        <f>_xlfn.XLOOKUP(Table2[[#This Row],[Adjusted Form '#]],[2]BILLED!$D:$D,[1]BILLED!$O:$O,"Not Found")</f>
        <v>#REF!</v>
      </c>
      <c r="Y2027" s="17" t="e">
        <f>_xlfn.XLOOKUP(Table2[[#This Row],[Adjusted Form '#]],'[2]REJECTED ORDERS'!$D:$D,'[2]REJECTED ORDERS'!$E:$E)</f>
        <v>#N/A</v>
      </c>
      <c r="Z2027" s="1"/>
      <c r="AA2027" s="1"/>
    </row>
    <row r="2028" spans="1:27" ht="15" customHeight="1" x14ac:dyDescent="0.35">
      <c r="A2028" s="4" t="s">
        <v>2987</v>
      </c>
      <c r="B2028" s="1" t="s">
        <v>1484</v>
      </c>
      <c r="C2028" s="11">
        <v>45237</v>
      </c>
      <c r="D2028" s="11" t="s">
        <v>7578</v>
      </c>
      <c r="E2028" s="1" t="s">
        <v>21</v>
      </c>
      <c r="F2028" s="1" t="s">
        <v>7582</v>
      </c>
      <c r="G2028" s="6">
        <f>COUNTIF(F:F,Table2[[#This Row],[Form '#]])</f>
        <v>1</v>
      </c>
      <c r="H2028" s="1" t="s">
        <v>720</v>
      </c>
      <c r="I2028" s="1" t="s">
        <v>127</v>
      </c>
      <c r="J2028" s="1" t="s">
        <v>71</v>
      </c>
      <c r="K2028" s="1" t="s">
        <v>3883</v>
      </c>
      <c r="L2028" s="1"/>
      <c r="M2028" s="6" t="str">
        <f>IF(Table2[[#This Row],[Corrected Form '#
 (If Duplicated)]]="",Table2[[#This Row],[Form '#]],Table2[[#This Row],[Corrected Form '#
 (If Duplicated)]])</f>
        <v>7818-18061</v>
      </c>
      <c r="N2028" s="1" t="s">
        <v>49</v>
      </c>
      <c r="O2028" s="6" t="str">
        <f>IF(Table2[[#This Row],[POG CONFIRMATION RECEIPT OF ORDER
(DATE &amp; TIME)]]="","No Confirmation","Received Confirmation")</f>
        <v>Received Confirmation</v>
      </c>
      <c r="P2028" s="6">
        <f ca="1">TODAY()-Table2[[#This Row],[DATE SENT TO POG]]</f>
        <v>66</v>
      </c>
      <c r="Q2028" s="6" t="s">
        <v>5803</v>
      </c>
      <c r="R20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8" s="2" t="str">
        <f>_xlfn.XLOOKUP(Table2[[#This Row],[Adjusted Form '#]],'[2]IN PROGRESS'!$D:$D,'[2]IN PROGRESS'!$M:$M,"Not Found")</f>
        <v>Not Found</v>
      </c>
      <c r="U2028" s="2" t="str">
        <f>_xlfn.XLOOKUP(Table2[[#This Row],[Adjusted Form '#]],[1]COMPLETED!$D:$D,[2]COMPLETED!$M:$M,"Not Found")</f>
        <v>Not Found</v>
      </c>
      <c r="V2028" s="17" t="str">
        <f>_xlfn.XLOOKUP(Table2[[#This Row],[Adjusted Form '#]],[2]COMPLETED!$D:$D,[2]COMPLETED!$O:$O,"Not Found")</f>
        <v>Not Found</v>
      </c>
      <c r="W2028" s="2" t="str">
        <f>_xlfn.XLOOKUP(Table2[[#This Row],[Adjusted Form '#]],[2]BILLED!$D:$D,[2]BILLED!$M:$M,"Not Found")</f>
        <v>9400 1361 0605 3646 7260 16</v>
      </c>
      <c r="X2028" s="17" t="e">
        <f>_xlfn.XLOOKUP(Table2[[#This Row],[Adjusted Form '#]],[2]BILLED!$D:$D,[1]BILLED!$O:$O,"Not Found")</f>
        <v>#REF!</v>
      </c>
      <c r="Y2028" s="17" t="e">
        <f>_xlfn.XLOOKUP(Table2[[#This Row],[Adjusted Form '#]],'[2]REJECTED ORDERS'!$D:$D,'[2]REJECTED ORDERS'!$E:$E)</f>
        <v>#N/A</v>
      </c>
      <c r="Z2028" s="1"/>
      <c r="AA2028" s="1"/>
    </row>
    <row r="2029" spans="1:27" ht="15" customHeight="1" x14ac:dyDescent="0.35">
      <c r="A2029" s="4" t="s">
        <v>2988</v>
      </c>
      <c r="B2029" s="1" t="s">
        <v>1484</v>
      </c>
      <c r="C2029" s="11">
        <v>45237</v>
      </c>
      <c r="D2029" s="11" t="s">
        <v>7578</v>
      </c>
      <c r="E2029" s="1" t="s">
        <v>21</v>
      </c>
      <c r="F2029" s="1" t="s">
        <v>7583</v>
      </c>
      <c r="G2029" s="6">
        <f>COUNTIF(F:F,Table2[[#This Row],[Form '#]])</f>
        <v>1</v>
      </c>
      <c r="H2029" s="1" t="s">
        <v>2724</v>
      </c>
      <c r="I2029" s="1" t="s">
        <v>3852</v>
      </c>
      <c r="J2029" s="1" t="s">
        <v>80</v>
      </c>
      <c r="K2029" s="1" t="s">
        <v>3853</v>
      </c>
      <c r="L2029" s="1"/>
      <c r="M2029" s="6" t="str">
        <f>IF(Table2[[#This Row],[Corrected Form '#
 (If Duplicated)]]="",Table2[[#This Row],[Form '#]],Table2[[#This Row],[Corrected Form '#
 (If Duplicated)]])</f>
        <v>7818-20841</v>
      </c>
      <c r="N2029" s="1" t="s">
        <v>49</v>
      </c>
      <c r="O2029" s="6" t="str">
        <f>IF(Table2[[#This Row],[POG CONFIRMATION RECEIPT OF ORDER
(DATE &amp; TIME)]]="","No Confirmation","Received Confirmation")</f>
        <v>Received Confirmation</v>
      </c>
      <c r="P2029" s="6">
        <f ca="1">TODAY()-Table2[[#This Row],[DATE SENT TO POG]]</f>
        <v>66</v>
      </c>
      <c r="Q2029" s="6" t="s">
        <v>5803</v>
      </c>
      <c r="R20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2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29" s="2" t="str">
        <f>_xlfn.XLOOKUP(Table2[[#This Row],[Adjusted Form '#]],'[2]IN PROGRESS'!$D:$D,'[2]IN PROGRESS'!$M:$M,"Not Found")</f>
        <v>Not Found</v>
      </c>
      <c r="U2029" s="2" t="str">
        <f>_xlfn.XLOOKUP(Table2[[#This Row],[Adjusted Form '#]],[1]COMPLETED!$D:$D,[2]COMPLETED!$M:$M,"Not Found")</f>
        <v>Not Found</v>
      </c>
      <c r="V2029" s="17" t="str">
        <f>_xlfn.XLOOKUP(Table2[[#This Row],[Adjusted Form '#]],[2]COMPLETED!$D:$D,[2]COMPLETED!$O:$O,"Not Found")</f>
        <v>Not Found</v>
      </c>
      <c r="W2029" s="2" t="str">
        <f>_xlfn.XLOOKUP(Table2[[#This Row],[Adjusted Form '#]],[2]BILLED!$D:$D,[2]BILLED!$M:$M,"Not Found")</f>
        <v>9400 1361 0605 3652 6265 22</v>
      </c>
      <c r="X2029" s="17" t="e">
        <f>_xlfn.XLOOKUP(Table2[[#This Row],[Adjusted Form '#]],[2]BILLED!$D:$D,[1]BILLED!$O:$O,"Not Found")</f>
        <v>#REF!</v>
      </c>
      <c r="Y2029" s="17" t="e">
        <f>_xlfn.XLOOKUP(Table2[[#This Row],[Adjusted Form '#]],'[2]REJECTED ORDERS'!$D:$D,'[2]REJECTED ORDERS'!$E:$E)</f>
        <v>#N/A</v>
      </c>
      <c r="Z2029" s="1"/>
      <c r="AA2029" s="1"/>
    </row>
    <row r="2030" spans="1:27" ht="15" customHeight="1" x14ac:dyDescent="0.35">
      <c r="A2030" s="4" t="s">
        <v>2989</v>
      </c>
      <c r="B2030" s="1" t="s">
        <v>3086</v>
      </c>
      <c r="C2030" s="11">
        <v>45237</v>
      </c>
      <c r="D2030" s="11" t="s">
        <v>7578</v>
      </c>
      <c r="E2030" s="1" t="s">
        <v>64</v>
      </c>
      <c r="F2030" s="1" t="s">
        <v>7584</v>
      </c>
      <c r="G2030" s="6">
        <f>COUNTIF(F:F,Table2[[#This Row],[Form '#]])</f>
        <v>1</v>
      </c>
      <c r="H2030" s="1" t="s">
        <v>1367</v>
      </c>
      <c r="I2030" s="1" t="s">
        <v>3852</v>
      </c>
      <c r="J2030" s="1" t="s">
        <v>75</v>
      </c>
      <c r="K2030" s="1" t="s">
        <v>4011</v>
      </c>
      <c r="L2030" s="1"/>
      <c r="M2030" s="6" t="str">
        <f>IF(Table2[[#This Row],[Corrected Form '#
 (If Duplicated)]]="",Table2[[#This Row],[Form '#]],Table2[[#This Row],[Corrected Form '#
 (If Duplicated)]])</f>
        <v>7824-00476</v>
      </c>
      <c r="N2030" s="1" t="s">
        <v>49</v>
      </c>
      <c r="O2030" s="6" t="str">
        <f>IF(Table2[[#This Row],[POG CONFIRMATION RECEIPT OF ORDER
(DATE &amp; TIME)]]="","No Confirmation","Received Confirmation")</f>
        <v>Received Confirmation</v>
      </c>
      <c r="P2030" s="6">
        <f ca="1">TODAY()-Table2[[#This Row],[DATE SENT TO POG]]</f>
        <v>66</v>
      </c>
      <c r="Q2030" s="6" t="s">
        <v>5803</v>
      </c>
      <c r="R20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0" s="2" t="str">
        <f>_xlfn.XLOOKUP(Table2[[#This Row],[Adjusted Form '#]],'[2]IN PROGRESS'!$D:$D,'[2]IN PROGRESS'!$M:$M,"Not Found")</f>
        <v>Not Found</v>
      </c>
      <c r="U2030" s="2" t="str">
        <f>_xlfn.XLOOKUP(Table2[[#This Row],[Adjusted Form '#]],[1]COMPLETED!$D:$D,[2]COMPLETED!$M:$M,"Not Found")</f>
        <v>Not Found</v>
      </c>
      <c r="V2030" s="17" t="str">
        <f>_xlfn.XLOOKUP(Table2[[#This Row],[Adjusted Form '#]],[2]COMPLETED!$D:$D,[2]COMPLETED!$O:$O,"Not Found")</f>
        <v>Not Found</v>
      </c>
      <c r="W2030" s="2" t="str">
        <f>_xlfn.XLOOKUP(Table2[[#This Row],[Adjusted Form '#]],[2]BILLED!$D:$D,[2]BILLED!$M:$M,"Not Found")</f>
        <v>9400 1361 0605 3638 7006 35</v>
      </c>
      <c r="X2030" s="17" t="e">
        <f>_xlfn.XLOOKUP(Table2[[#This Row],[Adjusted Form '#]],[2]BILLED!$D:$D,[1]BILLED!$O:$O,"Not Found")</f>
        <v>#REF!</v>
      </c>
      <c r="Y2030" s="17" t="e">
        <f>_xlfn.XLOOKUP(Table2[[#This Row],[Adjusted Form '#]],'[2]REJECTED ORDERS'!$D:$D,'[2]REJECTED ORDERS'!$E:$E)</f>
        <v>#N/A</v>
      </c>
      <c r="Z2030" s="1"/>
      <c r="AA2030" s="1"/>
    </row>
    <row r="2031" spans="1:27" ht="15" customHeight="1" x14ac:dyDescent="0.35">
      <c r="A2031" s="4" t="s">
        <v>2990</v>
      </c>
      <c r="B2031" s="1" t="s">
        <v>3086</v>
      </c>
      <c r="C2031" s="11">
        <v>45237</v>
      </c>
      <c r="D2031" s="11" t="s">
        <v>7585</v>
      </c>
      <c r="E2031" s="1" t="s">
        <v>64</v>
      </c>
      <c r="F2031" s="1" t="s">
        <v>7586</v>
      </c>
      <c r="G2031" s="6">
        <f>COUNTIF(F:F,Table2[[#This Row],[Form '#]])</f>
        <v>1</v>
      </c>
      <c r="H2031" s="1" t="s">
        <v>7596</v>
      </c>
      <c r="I2031" s="1" t="s">
        <v>3852</v>
      </c>
      <c r="J2031" s="1" t="s">
        <v>80</v>
      </c>
      <c r="K2031" s="1" t="s">
        <v>3853</v>
      </c>
      <c r="L2031" s="1"/>
      <c r="M2031" s="6" t="str">
        <f>IF(Table2[[#This Row],[Corrected Form '#
 (If Duplicated)]]="",Table2[[#This Row],[Form '#]],Table2[[#This Row],[Corrected Form '#
 (If Duplicated)]])</f>
        <v>7824-00402</v>
      </c>
      <c r="N2031" s="1" t="s">
        <v>49</v>
      </c>
      <c r="O2031" s="6" t="str">
        <f>IF(Table2[[#This Row],[POG CONFIRMATION RECEIPT OF ORDER
(DATE &amp; TIME)]]="","No Confirmation","Received Confirmation")</f>
        <v>Received Confirmation</v>
      </c>
      <c r="P2031" s="6">
        <f ca="1">TODAY()-Table2[[#This Row],[DATE SENT TO POG]]</f>
        <v>66</v>
      </c>
      <c r="Q2031" s="6" t="s">
        <v>5803</v>
      </c>
      <c r="R20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1" s="2" t="str">
        <f>_xlfn.XLOOKUP(Table2[[#This Row],[Adjusted Form '#]],'[2]IN PROGRESS'!$D:$D,'[2]IN PROGRESS'!$M:$M,"Not Found")</f>
        <v>Not Found</v>
      </c>
      <c r="U2031" s="2" t="str">
        <f>_xlfn.XLOOKUP(Table2[[#This Row],[Adjusted Form '#]],[1]COMPLETED!$D:$D,[2]COMPLETED!$M:$M,"Not Found")</f>
        <v>Not Found</v>
      </c>
      <c r="V2031" s="17" t="str">
        <f>_xlfn.XLOOKUP(Table2[[#This Row],[Adjusted Form '#]],[2]COMPLETED!$D:$D,[2]COMPLETED!$O:$O,"Not Found")</f>
        <v>Not Found</v>
      </c>
      <c r="W2031" s="2" t="str">
        <f>_xlfn.XLOOKUP(Table2[[#This Row],[Adjusted Form '#]],[2]BILLED!$D:$D,[2]BILLED!$M:$M,"Not Found")</f>
        <v>9400 1361 0605 3629 2264 89</v>
      </c>
      <c r="X2031" s="17" t="e">
        <f>_xlfn.XLOOKUP(Table2[[#This Row],[Adjusted Form '#]],[2]BILLED!$D:$D,[1]BILLED!$O:$O,"Not Found")</f>
        <v>#REF!</v>
      </c>
      <c r="Y2031" s="17" t="e">
        <f>_xlfn.XLOOKUP(Table2[[#This Row],[Adjusted Form '#]],'[2]REJECTED ORDERS'!$D:$D,'[2]REJECTED ORDERS'!$E:$E)</f>
        <v>#N/A</v>
      </c>
      <c r="Z2031" s="1"/>
      <c r="AA2031" s="1"/>
    </row>
    <row r="2032" spans="1:27" ht="15" customHeight="1" x14ac:dyDescent="0.35">
      <c r="A2032" s="4" t="s">
        <v>2991</v>
      </c>
      <c r="B2032" s="1" t="s">
        <v>3086</v>
      </c>
      <c r="C2032" s="11">
        <v>45237</v>
      </c>
      <c r="D2032" s="11" t="s">
        <v>7585</v>
      </c>
      <c r="E2032" s="1" t="s">
        <v>64</v>
      </c>
      <c r="F2032" s="1" t="s">
        <v>7587</v>
      </c>
      <c r="G2032" s="6">
        <f>COUNTIF(F:F,Table2[[#This Row],[Form '#]])</f>
        <v>1</v>
      </c>
      <c r="H2032" s="1" t="s">
        <v>3408</v>
      </c>
      <c r="I2032" s="1" t="s">
        <v>3852</v>
      </c>
      <c r="J2032" s="1" t="s">
        <v>80</v>
      </c>
      <c r="K2032" s="1" t="s">
        <v>3853</v>
      </c>
      <c r="L2032" s="1"/>
      <c r="M2032" s="6" t="str">
        <f>IF(Table2[[#This Row],[Corrected Form '#
 (If Duplicated)]]="",Table2[[#This Row],[Form '#]],Table2[[#This Row],[Corrected Form '#
 (If Duplicated)]])</f>
        <v>7824-00474</v>
      </c>
      <c r="N2032" s="1" t="s">
        <v>49</v>
      </c>
      <c r="O2032" s="6" t="str">
        <f>IF(Table2[[#This Row],[POG CONFIRMATION RECEIPT OF ORDER
(DATE &amp; TIME)]]="","No Confirmation","Received Confirmation")</f>
        <v>Received Confirmation</v>
      </c>
      <c r="P2032" s="6">
        <f ca="1">TODAY()-Table2[[#This Row],[DATE SENT TO POG]]</f>
        <v>66</v>
      </c>
      <c r="Q2032" s="6" t="s">
        <v>5803</v>
      </c>
      <c r="R20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2" s="2" t="str">
        <f>_xlfn.XLOOKUP(Table2[[#This Row],[Adjusted Form '#]],'[2]IN PROGRESS'!$D:$D,'[2]IN PROGRESS'!$M:$M,"Not Found")</f>
        <v>Not Found</v>
      </c>
      <c r="U2032" s="2" t="str">
        <f>_xlfn.XLOOKUP(Table2[[#This Row],[Adjusted Form '#]],[1]COMPLETED!$D:$D,[2]COMPLETED!$M:$M,"Not Found")</f>
        <v>Not Found</v>
      </c>
      <c r="V2032" s="17" t="str">
        <f>_xlfn.XLOOKUP(Table2[[#This Row],[Adjusted Form '#]],[2]COMPLETED!$D:$D,[2]COMPLETED!$O:$O,"Not Found")</f>
        <v>Not Found</v>
      </c>
      <c r="W2032" s="2" t="str">
        <f>_xlfn.XLOOKUP(Table2[[#This Row],[Adjusted Form '#]],[2]BILLED!$D:$D,[2]BILLED!$M:$M,"Not Found")</f>
        <v>9400 1361 0605 3658 5425 98</v>
      </c>
      <c r="X2032" s="17" t="e">
        <f>_xlfn.XLOOKUP(Table2[[#This Row],[Adjusted Form '#]],[2]BILLED!$D:$D,[1]BILLED!$O:$O,"Not Found")</f>
        <v>#REF!</v>
      </c>
      <c r="Y2032" s="17" t="e">
        <f>_xlfn.XLOOKUP(Table2[[#This Row],[Adjusted Form '#]],'[2]REJECTED ORDERS'!$D:$D,'[2]REJECTED ORDERS'!$E:$E)</f>
        <v>#N/A</v>
      </c>
      <c r="Z2032" s="1"/>
      <c r="AA2032" s="1"/>
    </row>
    <row r="2033" spans="1:27" ht="15" customHeight="1" x14ac:dyDescent="0.35">
      <c r="A2033" s="4" t="s">
        <v>2992</v>
      </c>
      <c r="B2033" s="1" t="s">
        <v>3086</v>
      </c>
      <c r="C2033" s="11">
        <v>45237</v>
      </c>
      <c r="D2033" s="11" t="s">
        <v>7585</v>
      </c>
      <c r="E2033" s="1" t="s">
        <v>64</v>
      </c>
      <c r="F2033" s="1" t="s">
        <v>7588</v>
      </c>
      <c r="G2033" s="6">
        <f>COUNTIF(F:F,Table2[[#This Row],[Form '#]])</f>
        <v>1</v>
      </c>
      <c r="H2033" s="1" t="s">
        <v>7597</v>
      </c>
      <c r="I2033" s="1" t="s">
        <v>3852</v>
      </c>
      <c r="J2033" s="1" t="s">
        <v>80</v>
      </c>
      <c r="K2033" s="1" t="s">
        <v>3853</v>
      </c>
      <c r="L2033" s="1"/>
      <c r="M2033" s="6" t="str">
        <f>IF(Table2[[#This Row],[Corrected Form '#
 (If Duplicated)]]="",Table2[[#This Row],[Form '#]],Table2[[#This Row],[Corrected Form '#
 (If Duplicated)]])</f>
        <v>7824-00473</v>
      </c>
      <c r="N2033" s="1" t="s">
        <v>49</v>
      </c>
      <c r="O2033" s="6" t="str">
        <f>IF(Table2[[#This Row],[POG CONFIRMATION RECEIPT OF ORDER
(DATE &amp; TIME)]]="","No Confirmation","Received Confirmation")</f>
        <v>Received Confirmation</v>
      </c>
      <c r="P2033" s="6">
        <f ca="1">TODAY()-Table2[[#This Row],[DATE SENT TO POG]]</f>
        <v>66</v>
      </c>
      <c r="Q2033" s="6" t="s">
        <v>5803</v>
      </c>
      <c r="R20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3" s="2" t="str">
        <f>_xlfn.XLOOKUP(Table2[[#This Row],[Adjusted Form '#]],'[2]IN PROGRESS'!$D:$D,'[2]IN PROGRESS'!$M:$M,"Not Found")</f>
        <v>Not Found</v>
      </c>
      <c r="U2033" s="2" t="str">
        <f>_xlfn.XLOOKUP(Table2[[#This Row],[Adjusted Form '#]],[1]COMPLETED!$D:$D,[2]COMPLETED!$M:$M,"Not Found")</f>
        <v>Not Found</v>
      </c>
      <c r="V2033" s="17" t="str">
        <f>_xlfn.XLOOKUP(Table2[[#This Row],[Adjusted Form '#]],[2]COMPLETED!$D:$D,[2]COMPLETED!$O:$O,"Not Found")</f>
        <v>Not Found</v>
      </c>
      <c r="W2033" s="2" t="str">
        <f>_xlfn.XLOOKUP(Table2[[#This Row],[Adjusted Form '#]],[2]BILLED!$D:$D,[2]BILLED!$M:$M,"Not Found")</f>
        <v>9400 1361 0605 3638 5895 13</v>
      </c>
      <c r="X2033" s="17" t="e">
        <f>_xlfn.XLOOKUP(Table2[[#This Row],[Adjusted Form '#]],[2]BILLED!$D:$D,[1]BILLED!$O:$O,"Not Found")</f>
        <v>#REF!</v>
      </c>
      <c r="Y2033" s="17" t="e">
        <f>_xlfn.XLOOKUP(Table2[[#This Row],[Adjusted Form '#]],'[2]REJECTED ORDERS'!$D:$D,'[2]REJECTED ORDERS'!$E:$E)</f>
        <v>#N/A</v>
      </c>
      <c r="Z2033" s="1"/>
      <c r="AA2033" s="1"/>
    </row>
    <row r="2034" spans="1:27" ht="15" customHeight="1" x14ac:dyDescent="0.35">
      <c r="A2034" s="4" t="s">
        <v>2994</v>
      </c>
      <c r="B2034" s="1" t="s">
        <v>3086</v>
      </c>
      <c r="C2034" s="11">
        <v>45237</v>
      </c>
      <c r="D2034" s="11" t="s">
        <v>7585</v>
      </c>
      <c r="E2034" s="1" t="s">
        <v>64</v>
      </c>
      <c r="F2034" s="1" t="s">
        <v>7589</v>
      </c>
      <c r="G2034" s="6">
        <f>COUNTIF(F:F,Table2[[#This Row],[Form '#]])</f>
        <v>1</v>
      </c>
      <c r="H2034" s="1" t="s">
        <v>7598</v>
      </c>
      <c r="I2034" s="1" t="s">
        <v>3852</v>
      </c>
      <c r="J2034" s="1" t="s">
        <v>80</v>
      </c>
      <c r="K2034" s="1" t="s">
        <v>3853</v>
      </c>
      <c r="L2034" s="1"/>
      <c r="M2034" s="6" t="str">
        <f>IF(Table2[[#This Row],[Corrected Form '#
 (If Duplicated)]]="",Table2[[#This Row],[Form '#]],Table2[[#This Row],[Corrected Form '#
 (If Duplicated)]])</f>
        <v>7824-00477</v>
      </c>
      <c r="N2034" s="1" t="s">
        <v>49</v>
      </c>
      <c r="O2034" s="6" t="str">
        <f>IF(Table2[[#This Row],[POG CONFIRMATION RECEIPT OF ORDER
(DATE &amp; TIME)]]="","No Confirmation","Received Confirmation")</f>
        <v>Received Confirmation</v>
      </c>
      <c r="P2034" s="6">
        <f ca="1">TODAY()-Table2[[#This Row],[DATE SENT TO POG]]</f>
        <v>66</v>
      </c>
      <c r="Q2034" s="6" t="s">
        <v>5803</v>
      </c>
      <c r="R20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4" s="2" t="str">
        <f>_xlfn.XLOOKUP(Table2[[#This Row],[Adjusted Form '#]],'[2]IN PROGRESS'!$D:$D,'[2]IN PROGRESS'!$M:$M,"Not Found")</f>
        <v>Not Found</v>
      </c>
      <c r="U2034" s="2" t="str">
        <f>_xlfn.XLOOKUP(Table2[[#This Row],[Adjusted Form '#]],[1]COMPLETED!$D:$D,[2]COMPLETED!$M:$M,"Not Found")</f>
        <v>Not Found</v>
      </c>
      <c r="V2034" s="17" t="str">
        <f>_xlfn.XLOOKUP(Table2[[#This Row],[Adjusted Form '#]],[2]COMPLETED!$D:$D,[2]COMPLETED!$O:$O,"Not Found")</f>
        <v>Not Found</v>
      </c>
      <c r="W2034" s="2" t="str">
        <f>_xlfn.XLOOKUP(Table2[[#This Row],[Adjusted Form '#]],[2]BILLED!$D:$D,[2]BILLED!$M:$M,"Not Found")</f>
        <v>9400 1112 0620 9349 7858 81</v>
      </c>
      <c r="X2034" s="17" t="e">
        <f>_xlfn.XLOOKUP(Table2[[#This Row],[Adjusted Form '#]],[2]BILLED!$D:$D,[1]BILLED!$O:$O,"Not Found")</f>
        <v>#REF!</v>
      </c>
      <c r="Y2034" s="17" t="e">
        <f>_xlfn.XLOOKUP(Table2[[#This Row],[Adjusted Form '#]],'[2]REJECTED ORDERS'!$D:$D,'[2]REJECTED ORDERS'!$E:$E)</f>
        <v>#N/A</v>
      </c>
      <c r="Z2034" s="1"/>
      <c r="AA2034" s="1"/>
    </row>
    <row r="2035" spans="1:27" ht="15" customHeight="1" x14ac:dyDescent="0.35">
      <c r="A2035" s="4" t="s">
        <v>2995</v>
      </c>
      <c r="B2035" s="1" t="s">
        <v>3611</v>
      </c>
      <c r="C2035" s="11">
        <v>45237</v>
      </c>
      <c r="D2035" s="11" t="s">
        <v>7590</v>
      </c>
      <c r="E2035" s="1" t="s">
        <v>73</v>
      </c>
      <c r="F2035" s="1" t="s">
        <v>7591</v>
      </c>
      <c r="G2035" s="6">
        <f>COUNTIF(F:F,Table2[[#This Row],[Form '#]])</f>
        <v>1</v>
      </c>
      <c r="H2035" s="1" t="s">
        <v>7599</v>
      </c>
      <c r="I2035" s="1" t="s">
        <v>177</v>
      </c>
      <c r="J2035" s="1" t="s">
        <v>75</v>
      </c>
      <c r="K2035" s="1" t="s">
        <v>4011</v>
      </c>
      <c r="L2035" s="1"/>
      <c r="M2035" s="6" t="str">
        <f>IF(Table2[[#This Row],[Corrected Form '#
 (If Duplicated)]]="",Table2[[#This Row],[Form '#]],Table2[[#This Row],[Corrected Form '#
 (If Duplicated)]])</f>
        <v>7823-03162</v>
      </c>
      <c r="N2035" s="1" t="s">
        <v>49</v>
      </c>
      <c r="O2035" s="6" t="str">
        <f>IF(Table2[[#This Row],[POG CONFIRMATION RECEIPT OF ORDER
(DATE &amp; TIME)]]="","No Confirmation","Received Confirmation")</f>
        <v>Received Confirmation</v>
      </c>
      <c r="P2035" s="6">
        <f ca="1">TODAY()-Table2[[#This Row],[DATE SENT TO POG]]</f>
        <v>66</v>
      </c>
      <c r="Q2035" s="6" t="s">
        <v>5803</v>
      </c>
      <c r="R20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5" s="2" t="str">
        <f>_xlfn.XLOOKUP(Table2[[#This Row],[Adjusted Form '#]],'[2]IN PROGRESS'!$D:$D,'[2]IN PROGRESS'!$M:$M,"Not Found")</f>
        <v>Not Found</v>
      </c>
      <c r="U2035" s="2" t="str">
        <f>_xlfn.XLOOKUP(Table2[[#This Row],[Adjusted Form '#]],[1]COMPLETED!$D:$D,[2]COMPLETED!$M:$M,"Not Found")</f>
        <v>Not Found</v>
      </c>
      <c r="V2035" s="17" t="str">
        <f>_xlfn.XLOOKUP(Table2[[#This Row],[Adjusted Form '#]],[2]COMPLETED!$D:$D,[2]COMPLETED!$O:$O,"Not Found")</f>
        <v>Not Found</v>
      </c>
      <c r="W2035" s="2" t="str">
        <f>_xlfn.XLOOKUP(Table2[[#This Row],[Adjusted Form '#]],[2]BILLED!$D:$D,[2]BILLED!$M:$M,"Not Found")</f>
        <v>9400 1361 0605 3638 6010 00</v>
      </c>
      <c r="X2035" s="17" t="e">
        <f>_xlfn.XLOOKUP(Table2[[#This Row],[Adjusted Form '#]],[2]BILLED!$D:$D,[1]BILLED!$O:$O,"Not Found")</f>
        <v>#REF!</v>
      </c>
      <c r="Y2035" s="17" t="e">
        <f>_xlfn.XLOOKUP(Table2[[#This Row],[Adjusted Form '#]],'[2]REJECTED ORDERS'!$D:$D,'[2]REJECTED ORDERS'!$E:$E)</f>
        <v>#N/A</v>
      </c>
      <c r="Z2035" s="1"/>
      <c r="AA2035" s="1"/>
    </row>
    <row r="2036" spans="1:27" ht="15" customHeight="1" x14ac:dyDescent="0.35">
      <c r="A2036" s="4" t="s">
        <v>2996</v>
      </c>
      <c r="B2036" s="1" t="s">
        <v>2509</v>
      </c>
      <c r="C2036" s="11">
        <v>45237</v>
      </c>
      <c r="D2036" s="11" t="s">
        <v>7607</v>
      </c>
      <c r="E2036" s="1" t="s">
        <v>73</v>
      </c>
      <c r="F2036" s="1" t="s">
        <v>7605</v>
      </c>
      <c r="G2036" s="6">
        <f>COUNTIF(F:F,Table2[[#This Row],[Form '#]])</f>
        <v>1</v>
      </c>
      <c r="H2036" s="1" t="s">
        <v>7606</v>
      </c>
      <c r="I2036" s="1" t="s">
        <v>3852</v>
      </c>
      <c r="J2036" s="1" t="s">
        <v>80</v>
      </c>
      <c r="K2036" s="1" t="s">
        <v>3853</v>
      </c>
      <c r="L2036" s="1"/>
      <c r="M2036" s="6" t="str">
        <f>IF(Table2[[#This Row],[Corrected Form '#
 (If Duplicated)]]="",Table2[[#This Row],[Form '#]],Table2[[#This Row],[Corrected Form '#
 (If Duplicated)]])</f>
        <v>7823-03338</v>
      </c>
      <c r="N2036" s="1" t="s">
        <v>49</v>
      </c>
      <c r="O2036" s="6" t="str">
        <f>IF(Table2[[#This Row],[POG CONFIRMATION RECEIPT OF ORDER
(DATE &amp; TIME)]]="","No Confirmation","Received Confirmation")</f>
        <v>Received Confirmation</v>
      </c>
      <c r="P2036" s="6">
        <f ca="1">TODAY()-Table2[[#This Row],[DATE SENT TO POG]]</f>
        <v>66</v>
      </c>
      <c r="Q2036" s="6" t="s">
        <v>5803</v>
      </c>
      <c r="R20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6" s="2" t="str">
        <f>_xlfn.XLOOKUP(Table2[[#This Row],[Adjusted Form '#]],'[2]IN PROGRESS'!$D:$D,'[2]IN PROGRESS'!$M:$M,"Not Found")</f>
        <v>Not Found</v>
      </c>
      <c r="U2036" s="2" t="str">
        <f>_xlfn.XLOOKUP(Table2[[#This Row],[Adjusted Form '#]],[1]COMPLETED!$D:$D,[2]COMPLETED!$M:$M,"Not Found")</f>
        <v>Not Found</v>
      </c>
      <c r="V2036" s="17" t="str">
        <f>_xlfn.XLOOKUP(Table2[[#This Row],[Adjusted Form '#]],[2]COMPLETED!$D:$D,[2]COMPLETED!$O:$O,"Not Found")</f>
        <v>Not Found</v>
      </c>
      <c r="W2036" s="2" t="str">
        <f>_xlfn.XLOOKUP(Table2[[#This Row],[Adjusted Form '#]],[2]BILLED!$D:$D,[2]BILLED!$M:$M,"Not Found")</f>
        <v>9400 1361 0605 3642 5289 28</v>
      </c>
      <c r="X2036" s="17" t="e">
        <f>_xlfn.XLOOKUP(Table2[[#This Row],[Adjusted Form '#]],[2]BILLED!$D:$D,[1]BILLED!$O:$O,"Not Found")</f>
        <v>#REF!</v>
      </c>
      <c r="Y2036" s="17" t="e">
        <f>_xlfn.XLOOKUP(Table2[[#This Row],[Adjusted Form '#]],'[2]REJECTED ORDERS'!$D:$D,'[2]REJECTED ORDERS'!$E:$E)</f>
        <v>#N/A</v>
      </c>
      <c r="Z2036" s="1"/>
      <c r="AA2036" s="1"/>
    </row>
    <row r="2037" spans="1:27" ht="15" customHeight="1" x14ac:dyDescent="0.35">
      <c r="A2037" s="4" t="s">
        <v>2997</v>
      </c>
      <c r="B2037" s="1" t="s">
        <v>7608</v>
      </c>
      <c r="C2037" s="11">
        <v>45238</v>
      </c>
      <c r="D2037" s="11" t="s">
        <v>7613</v>
      </c>
      <c r="E2037" s="1" t="s">
        <v>191</v>
      </c>
      <c r="F2037" s="1" t="s">
        <v>7609</v>
      </c>
      <c r="G2037" s="6">
        <f>COUNTIF(F:F,Table2[[#This Row],[Form '#]])</f>
        <v>1</v>
      </c>
      <c r="H2037" s="1" t="s">
        <v>3665</v>
      </c>
      <c r="I2037" s="1" t="s">
        <v>758</v>
      </c>
      <c r="J2037" s="1" t="s">
        <v>78</v>
      </c>
      <c r="K2037" s="1" t="s">
        <v>3853</v>
      </c>
      <c r="L2037" s="1"/>
      <c r="M2037" s="6" t="str">
        <f>IF(Table2[[#This Row],[Corrected Form '#
 (If Duplicated)]]="",Table2[[#This Row],[Form '#]],Table2[[#This Row],[Corrected Form '#
 (If Duplicated)]])</f>
        <v>7812-00380</v>
      </c>
      <c r="N2037" s="1" t="s">
        <v>49</v>
      </c>
      <c r="O2037" s="6" t="str">
        <f>IF(Table2[[#This Row],[POG CONFIRMATION RECEIPT OF ORDER
(DATE &amp; TIME)]]="","No Confirmation","Received Confirmation")</f>
        <v>Received Confirmation</v>
      </c>
      <c r="P2037" s="6">
        <f ca="1">TODAY()-Table2[[#This Row],[DATE SENT TO POG]]</f>
        <v>65</v>
      </c>
      <c r="Q2037" s="6" t="s">
        <v>5802</v>
      </c>
      <c r="R20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3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37" s="6" t="str">
        <f>_xlfn.XLOOKUP(Table2[[#This Row],[Adjusted Form '#]],'[2]IN PROGRESS'!$D:$D,'[2]IN PROGRESS'!$M:$M,"Not Found")</f>
        <v>Not Found</v>
      </c>
      <c r="U2037" s="6" t="str">
        <f>_xlfn.XLOOKUP(Table2[[#This Row],[Adjusted Form '#]],[1]COMPLETED!$D:$D,[2]COMPLETED!$M:$M,"Not Found")</f>
        <v>Not Found</v>
      </c>
      <c r="V2037" s="13" t="str">
        <f>_xlfn.XLOOKUP(Table2[[#This Row],[Adjusted Form '#]],[2]COMPLETED!$D:$D,[2]COMPLETED!$O:$O,"Not Found")</f>
        <v>Not Found</v>
      </c>
      <c r="W2037" s="6" t="str">
        <f>_xlfn.XLOOKUP(Table2[[#This Row],[Adjusted Form '#]],[2]BILLED!$D:$D,[2]BILLED!$M:$M,"Not Found")</f>
        <v>Not Found</v>
      </c>
      <c r="X2037" s="13" t="str">
        <f>_xlfn.XLOOKUP(Table2[[#This Row],[Adjusted Form '#]],[2]BILLED!$D:$D,[1]BILLED!$O:$O,"Not Found")</f>
        <v>Not Found</v>
      </c>
      <c r="Y2037" s="13" t="e">
        <f>_xlfn.XLOOKUP(Table2[[#This Row],[Adjusted Form '#]],'[2]REJECTED ORDERS'!$D:$D,'[2]REJECTED ORDERS'!$E:$E)</f>
        <v>#N/A</v>
      </c>
      <c r="Z2037" s="1"/>
      <c r="AA2037" s="1"/>
    </row>
    <row r="2038" spans="1:27" ht="15" customHeight="1" x14ac:dyDescent="0.35">
      <c r="A2038" s="4" t="s">
        <v>2998</v>
      </c>
      <c r="B2038" s="1" t="s">
        <v>7608</v>
      </c>
      <c r="C2038" s="11">
        <v>45238</v>
      </c>
      <c r="D2038" s="11" t="s">
        <v>7613</v>
      </c>
      <c r="E2038" s="1" t="s">
        <v>191</v>
      </c>
      <c r="F2038" s="1" t="s">
        <v>7610</v>
      </c>
      <c r="G2038" s="6">
        <f>COUNTIF(F:F,Table2[[#This Row],[Form '#]])</f>
        <v>1</v>
      </c>
      <c r="H2038" s="1" t="s">
        <v>2068</v>
      </c>
      <c r="I2038" s="1" t="s">
        <v>177</v>
      </c>
      <c r="J2038" s="1" t="s">
        <v>75</v>
      </c>
      <c r="K2038" s="1" t="s">
        <v>4011</v>
      </c>
      <c r="L2038" s="1"/>
      <c r="M2038" s="6" t="str">
        <f>IF(Table2[[#This Row],[Corrected Form '#
 (If Duplicated)]]="",Table2[[#This Row],[Form '#]],Table2[[#This Row],[Corrected Form '#
 (If Duplicated)]])</f>
        <v>7812-03097</v>
      </c>
      <c r="N2038" s="1" t="s">
        <v>49</v>
      </c>
      <c r="O2038" s="6" t="str">
        <f>IF(Table2[[#This Row],[POG CONFIRMATION RECEIPT OF ORDER
(DATE &amp; TIME)]]="","No Confirmation","Received Confirmation")</f>
        <v>Received Confirmation</v>
      </c>
      <c r="P2038" s="6">
        <f ca="1">TODAY()-Table2[[#This Row],[DATE SENT TO POG]]</f>
        <v>65</v>
      </c>
      <c r="Q2038" s="6" t="s">
        <v>5802</v>
      </c>
      <c r="R20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3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38" s="6" t="str">
        <f>_xlfn.XLOOKUP(Table2[[#This Row],[Adjusted Form '#]],'[2]IN PROGRESS'!$D:$D,'[2]IN PROGRESS'!$M:$M,"Not Found")</f>
        <v>Not Found</v>
      </c>
      <c r="U2038" s="6" t="str">
        <f>_xlfn.XLOOKUP(Table2[[#This Row],[Adjusted Form '#]],[1]COMPLETED!$D:$D,[2]COMPLETED!$M:$M,"Not Found")</f>
        <v>Not Found</v>
      </c>
      <c r="V2038" s="13" t="str">
        <f>_xlfn.XLOOKUP(Table2[[#This Row],[Adjusted Form '#]],[2]COMPLETED!$D:$D,[2]COMPLETED!$O:$O,"Not Found")</f>
        <v>Not Found</v>
      </c>
      <c r="W2038" s="6" t="str">
        <f>_xlfn.XLOOKUP(Table2[[#This Row],[Adjusted Form '#]],[2]BILLED!$D:$D,[2]BILLED!$M:$M,"Not Found")</f>
        <v>Not Found</v>
      </c>
      <c r="X2038" s="13" t="str">
        <f>_xlfn.XLOOKUP(Table2[[#This Row],[Adjusted Form '#]],[2]BILLED!$D:$D,[1]BILLED!$O:$O,"Not Found")</f>
        <v>Not Found</v>
      </c>
      <c r="Y2038" s="13" t="e">
        <f>_xlfn.XLOOKUP(Table2[[#This Row],[Adjusted Form '#]],'[2]REJECTED ORDERS'!$D:$D,'[2]REJECTED ORDERS'!$E:$E)</f>
        <v>#N/A</v>
      </c>
      <c r="Z2038" s="1"/>
      <c r="AA2038" s="1"/>
    </row>
    <row r="2039" spans="1:27" ht="15" customHeight="1" x14ac:dyDescent="0.35">
      <c r="A2039" s="4" t="s">
        <v>2999</v>
      </c>
      <c r="B2039" s="1" t="s">
        <v>7608</v>
      </c>
      <c r="C2039" s="11">
        <v>45238</v>
      </c>
      <c r="D2039" s="11" t="s">
        <v>7613</v>
      </c>
      <c r="E2039" s="1" t="s">
        <v>191</v>
      </c>
      <c r="F2039" s="1" t="s">
        <v>7611</v>
      </c>
      <c r="G2039" s="6">
        <f>COUNTIF(F:F,Table2[[#This Row],[Form '#]])</f>
        <v>1</v>
      </c>
      <c r="H2039" s="1" t="s">
        <v>3619</v>
      </c>
      <c r="I2039" s="1" t="s">
        <v>106</v>
      </c>
      <c r="J2039" s="1" t="s">
        <v>72</v>
      </c>
      <c r="K2039" s="1" t="s">
        <v>4011</v>
      </c>
      <c r="L2039" s="1"/>
      <c r="M2039" s="6" t="str">
        <f>IF(Table2[[#This Row],[Corrected Form '#
 (If Duplicated)]]="",Table2[[#This Row],[Form '#]],Table2[[#This Row],[Corrected Form '#
 (If Duplicated)]])</f>
        <v>7812-04584</v>
      </c>
      <c r="N2039" s="1" t="s">
        <v>49</v>
      </c>
      <c r="O2039" s="6" t="str">
        <f>IF(Table2[[#This Row],[POG CONFIRMATION RECEIPT OF ORDER
(DATE &amp; TIME)]]="","No Confirmation","Received Confirmation")</f>
        <v>Received Confirmation</v>
      </c>
      <c r="P2039" s="6">
        <f ca="1">TODAY()-Table2[[#This Row],[DATE SENT TO POG]]</f>
        <v>65</v>
      </c>
      <c r="Q2039" s="6" t="s">
        <v>5803</v>
      </c>
      <c r="R20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3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39" s="6" t="str">
        <f>_xlfn.XLOOKUP(Table2[[#This Row],[Adjusted Form '#]],'[2]IN PROGRESS'!$D:$D,'[2]IN PROGRESS'!$M:$M,"Not Found")</f>
        <v>Not Found</v>
      </c>
      <c r="U2039" s="6" t="str">
        <f>_xlfn.XLOOKUP(Table2[[#This Row],[Adjusted Form '#]],[1]COMPLETED!$D:$D,[2]COMPLETED!$M:$M,"Not Found")</f>
        <v>Not Found</v>
      </c>
      <c r="V2039" s="13" t="str">
        <f>_xlfn.XLOOKUP(Table2[[#This Row],[Adjusted Form '#]],[2]COMPLETED!$D:$D,[2]COMPLETED!$O:$O,"Not Found")</f>
        <v>Not Found</v>
      </c>
      <c r="W2039" s="6" t="str">
        <f>_xlfn.XLOOKUP(Table2[[#This Row],[Adjusted Form '#]],[2]BILLED!$D:$D,[2]BILLED!$M:$M,"Not Found")</f>
        <v>9400 1361 0605 3642 5361 21</v>
      </c>
      <c r="X2039" s="13" t="e">
        <f>_xlfn.XLOOKUP(Table2[[#This Row],[Adjusted Form '#]],[2]BILLED!$D:$D,[1]BILLED!$O:$O,"Not Found")</f>
        <v>#REF!</v>
      </c>
      <c r="Y2039" s="13" t="e">
        <f>_xlfn.XLOOKUP(Table2[[#This Row],[Adjusted Form '#]],'[2]REJECTED ORDERS'!$D:$D,'[2]REJECTED ORDERS'!$E:$E)</f>
        <v>#N/A</v>
      </c>
      <c r="Z2039" s="1"/>
      <c r="AA2039" s="1"/>
    </row>
    <row r="2040" spans="1:27" ht="15" customHeight="1" x14ac:dyDescent="0.35">
      <c r="A2040" s="4" t="s">
        <v>3000</v>
      </c>
      <c r="B2040" s="1" t="s">
        <v>7608</v>
      </c>
      <c r="C2040" s="11">
        <v>45238</v>
      </c>
      <c r="D2040" s="11" t="s">
        <v>7613</v>
      </c>
      <c r="E2040" s="1" t="s">
        <v>191</v>
      </c>
      <c r="F2040" s="1" t="s">
        <v>7612</v>
      </c>
      <c r="G2040" s="6">
        <f>COUNTIF(F:F,Table2[[#This Row],[Form '#]])</f>
        <v>1</v>
      </c>
      <c r="H2040" s="1" t="s">
        <v>1874</v>
      </c>
      <c r="I2040" s="1" t="s">
        <v>127</v>
      </c>
      <c r="J2040" s="1" t="s">
        <v>76</v>
      </c>
      <c r="K2040" s="1" t="s">
        <v>4011</v>
      </c>
      <c r="L2040" s="1"/>
      <c r="M2040" s="6" t="str">
        <f>IF(Table2[[#This Row],[Corrected Form '#
 (If Duplicated)]]="",Table2[[#This Row],[Form '#]],Table2[[#This Row],[Corrected Form '#
 (If Duplicated)]])</f>
        <v>7812-04560</v>
      </c>
      <c r="N2040" s="1" t="s">
        <v>49</v>
      </c>
      <c r="O2040" s="6" t="str">
        <f>IF(Table2[[#This Row],[POG CONFIRMATION RECEIPT OF ORDER
(DATE &amp; TIME)]]="","No Confirmation","Received Confirmation")</f>
        <v>Received Confirmation</v>
      </c>
      <c r="P2040" s="6">
        <f ca="1">TODAY()-Table2[[#This Row],[DATE SENT TO POG]]</f>
        <v>65</v>
      </c>
      <c r="Q2040" s="6" t="s">
        <v>5803</v>
      </c>
      <c r="R20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0" s="6" t="str">
        <f>_xlfn.XLOOKUP(Table2[[#This Row],[Adjusted Form '#]],'[2]IN PROGRESS'!$D:$D,'[2]IN PROGRESS'!$M:$M,"Not Found")</f>
        <v>Not Found</v>
      </c>
      <c r="U2040" s="6" t="str">
        <f>_xlfn.XLOOKUP(Table2[[#This Row],[Adjusted Form '#]],[1]COMPLETED!$D:$D,[2]COMPLETED!$M:$M,"Not Found")</f>
        <v>Not Found</v>
      </c>
      <c r="V2040" s="13" t="str">
        <f>_xlfn.XLOOKUP(Table2[[#This Row],[Adjusted Form '#]],[2]COMPLETED!$D:$D,[2]COMPLETED!$O:$O,"Not Found")</f>
        <v>Not Found</v>
      </c>
      <c r="W2040" s="6" t="str">
        <f>_xlfn.XLOOKUP(Table2[[#This Row],[Adjusted Form '#]],[2]BILLED!$D:$D,[2]BILLED!$M:$M,"Not Found")</f>
        <v>9400 1361 0605 3638 6091 12</v>
      </c>
      <c r="X2040" s="13" t="e">
        <f>_xlfn.XLOOKUP(Table2[[#This Row],[Adjusted Form '#]],[2]BILLED!$D:$D,[1]BILLED!$O:$O,"Not Found")</f>
        <v>#REF!</v>
      </c>
      <c r="Y2040" s="13" t="e">
        <f>_xlfn.XLOOKUP(Table2[[#This Row],[Adjusted Form '#]],'[2]REJECTED ORDERS'!$D:$D,'[2]REJECTED ORDERS'!$E:$E)</f>
        <v>#N/A</v>
      </c>
      <c r="Z2040" s="1"/>
      <c r="AA2040" s="1"/>
    </row>
    <row r="2041" spans="1:27" ht="15" customHeight="1" x14ac:dyDescent="0.35">
      <c r="A2041" s="4" t="s">
        <v>3002</v>
      </c>
      <c r="B2041" s="1" t="s">
        <v>7614</v>
      </c>
      <c r="C2041" s="11">
        <v>45238</v>
      </c>
      <c r="D2041" s="11" t="s">
        <v>7617</v>
      </c>
      <c r="E2041" s="1" t="s">
        <v>21</v>
      </c>
      <c r="F2041" s="1" t="s">
        <v>7615</v>
      </c>
      <c r="G2041" s="6">
        <f>COUNTIF(F:F,Table2[[#This Row],[Form '#]])</f>
        <v>1</v>
      </c>
      <c r="H2041" s="1" t="s">
        <v>7616</v>
      </c>
      <c r="I2041" s="1" t="s">
        <v>3852</v>
      </c>
      <c r="J2041" s="1" t="s">
        <v>80</v>
      </c>
      <c r="K2041" s="1" t="s">
        <v>3853</v>
      </c>
      <c r="L2041" s="1"/>
      <c r="M2041" s="6" t="str">
        <f>IF(Table2[[#This Row],[Corrected Form '#
 (If Duplicated)]]="",Table2[[#This Row],[Form '#]],Table2[[#This Row],[Corrected Form '#
 (If Duplicated)]])</f>
        <v>7818-28032</v>
      </c>
      <c r="N2041" s="1" t="s">
        <v>49</v>
      </c>
      <c r="O2041" s="6" t="str">
        <f>IF(Table2[[#This Row],[POG CONFIRMATION RECEIPT OF ORDER
(DATE &amp; TIME)]]="","No Confirmation","Received Confirmation")</f>
        <v>Received Confirmation</v>
      </c>
      <c r="P2041" s="6">
        <f ca="1">TODAY()-Table2[[#This Row],[DATE SENT TO POG]]</f>
        <v>65</v>
      </c>
      <c r="Q2041" s="6" t="s">
        <v>5803</v>
      </c>
      <c r="R20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1" s="6" t="str">
        <f>_xlfn.XLOOKUP(Table2[[#This Row],[Adjusted Form '#]],'[2]IN PROGRESS'!$D:$D,'[2]IN PROGRESS'!$M:$M,"Not Found")</f>
        <v>Not Found</v>
      </c>
      <c r="U2041" s="6" t="str">
        <f>_xlfn.XLOOKUP(Table2[[#This Row],[Adjusted Form '#]],[1]COMPLETED!$D:$D,[2]COMPLETED!$M:$M,"Not Found")</f>
        <v>Not Found</v>
      </c>
      <c r="V2041" s="13" t="str">
        <f>_xlfn.XLOOKUP(Table2[[#This Row],[Adjusted Form '#]],[2]COMPLETED!$D:$D,[2]COMPLETED!$O:$O,"Not Found")</f>
        <v>Not Found</v>
      </c>
      <c r="W2041" s="6" t="str">
        <f>_xlfn.XLOOKUP(Table2[[#This Row],[Adjusted Form '#]],[2]BILLED!$D:$D,[2]BILLED!$M:$M,"Not Found")</f>
        <v>9400 1361 0605 3672 2385 45</v>
      </c>
      <c r="X2041" s="13" t="e">
        <f>_xlfn.XLOOKUP(Table2[[#This Row],[Adjusted Form '#]],[2]BILLED!$D:$D,[1]BILLED!$O:$O,"Not Found")</f>
        <v>#REF!</v>
      </c>
      <c r="Y2041" s="13" t="e">
        <f>_xlfn.XLOOKUP(Table2[[#This Row],[Adjusted Form '#]],'[2]REJECTED ORDERS'!$D:$D,'[2]REJECTED ORDERS'!$E:$E)</f>
        <v>#N/A</v>
      </c>
      <c r="Z2041" s="1"/>
      <c r="AA2041" s="1"/>
    </row>
    <row r="2042" spans="1:27" ht="15" customHeight="1" x14ac:dyDescent="0.35">
      <c r="A2042" s="4" t="s">
        <v>3003</v>
      </c>
      <c r="B2042" s="1" t="s">
        <v>1208</v>
      </c>
      <c r="C2042" s="11">
        <v>45239</v>
      </c>
      <c r="D2042" s="11" t="s">
        <v>7635</v>
      </c>
      <c r="E2042" s="1" t="s">
        <v>21</v>
      </c>
      <c r="F2042" s="1" t="s">
        <v>7618</v>
      </c>
      <c r="G2042" s="6">
        <f>COUNTIF(F:F,Table2[[#This Row],[Form '#]])</f>
        <v>1</v>
      </c>
      <c r="H2042" s="1" t="s">
        <v>716</v>
      </c>
      <c r="I2042" s="1" t="s">
        <v>758</v>
      </c>
      <c r="J2042" s="1" t="s">
        <v>78</v>
      </c>
      <c r="K2042" s="1" t="s">
        <v>3853</v>
      </c>
      <c r="L2042" s="1"/>
      <c r="M2042" s="6" t="str">
        <f>IF(Table2[[#This Row],[Corrected Form '#
 (If Duplicated)]]="",Table2[[#This Row],[Form '#]],Table2[[#This Row],[Corrected Form '#
 (If Duplicated)]])</f>
        <v>7818-16911</v>
      </c>
      <c r="N2042" s="1" t="s">
        <v>49</v>
      </c>
      <c r="O2042" s="6" t="str">
        <f>IF(Table2[[#This Row],[POG CONFIRMATION RECEIPT OF ORDER
(DATE &amp; TIME)]]="","No Confirmation","Received Confirmation")</f>
        <v>Received Confirmation</v>
      </c>
      <c r="P2042" s="6">
        <f ca="1">TODAY()-Table2[[#This Row],[DATE SENT TO POG]]</f>
        <v>64</v>
      </c>
      <c r="Q2042" s="6" t="s">
        <v>5803</v>
      </c>
      <c r="R20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2" s="6" t="str">
        <f>_xlfn.XLOOKUP(Table2[[#This Row],[Adjusted Form '#]],'[2]IN PROGRESS'!$D:$D,'[2]IN PROGRESS'!$M:$M,"Not Found")</f>
        <v>Not Found</v>
      </c>
      <c r="U2042" s="6" t="str">
        <f>_xlfn.XLOOKUP(Table2[[#This Row],[Adjusted Form '#]],[1]COMPLETED!$D:$D,[2]COMPLETED!$M:$M,"Not Found")</f>
        <v>Not Found</v>
      </c>
      <c r="V2042" s="13" t="str">
        <f>_xlfn.XLOOKUP(Table2[[#This Row],[Adjusted Form '#]],[2]COMPLETED!$D:$D,[2]COMPLETED!$O:$O,"Not Found")</f>
        <v>Not Found</v>
      </c>
      <c r="W2042" s="6" t="str">
        <f>_xlfn.XLOOKUP(Table2[[#This Row],[Adjusted Form '#]],[2]BILLED!$D:$D,[2]BILLED!$M:$M,"Not Found")</f>
        <v>9400 1361 0605 3658 5762 27</v>
      </c>
      <c r="X2042" s="13" t="e">
        <f>_xlfn.XLOOKUP(Table2[[#This Row],[Adjusted Form '#]],[2]BILLED!$D:$D,[1]BILLED!$O:$O,"Not Found")</f>
        <v>#REF!</v>
      </c>
      <c r="Y2042" s="13" t="e">
        <f>_xlfn.XLOOKUP(Table2[[#This Row],[Adjusted Form '#]],'[2]REJECTED ORDERS'!$D:$D,'[2]REJECTED ORDERS'!$E:$E)</f>
        <v>#N/A</v>
      </c>
      <c r="Z2042" s="1"/>
      <c r="AA2042" s="1"/>
    </row>
    <row r="2043" spans="1:27" ht="15" customHeight="1" x14ac:dyDescent="0.35">
      <c r="A2043" s="4" t="s">
        <v>3005</v>
      </c>
      <c r="B2043" s="1" t="s">
        <v>1208</v>
      </c>
      <c r="C2043" s="11">
        <v>45239</v>
      </c>
      <c r="D2043" s="11" t="s">
        <v>7635</v>
      </c>
      <c r="E2043" s="1" t="s">
        <v>21</v>
      </c>
      <c r="F2043" s="1" t="s">
        <v>7619</v>
      </c>
      <c r="G2043" s="6">
        <f>COUNTIF(F:F,Table2[[#This Row],[Form '#]])</f>
        <v>1</v>
      </c>
      <c r="H2043" s="1" t="s">
        <v>3706</v>
      </c>
      <c r="I2043" s="1" t="s">
        <v>3864</v>
      </c>
      <c r="J2043" s="1" t="s">
        <v>78</v>
      </c>
      <c r="K2043" s="1" t="s">
        <v>3879</v>
      </c>
      <c r="L2043" s="1"/>
      <c r="M2043" s="6" t="str">
        <f>IF(Table2[[#This Row],[Corrected Form '#
 (If Duplicated)]]="",Table2[[#This Row],[Form '#]],Table2[[#This Row],[Corrected Form '#
 (If Duplicated)]])</f>
        <v>7818-28151</v>
      </c>
      <c r="N2043" s="1" t="s">
        <v>49</v>
      </c>
      <c r="O2043" s="6" t="str">
        <f>IF(Table2[[#This Row],[POG CONFIRMATION RECEIPT OF ORDER
(DATE &amp; TIME)]]="","No Confirmation","Received Confirmation")</f>
        <v>Received Confirmation</v>
      </c>
      <c r="P2043" s="6">
        <f ca="1">TODAY()-Table2[[#This Row],[DATE SENT TO POG]]</f>
        <v>64</v>
      </c>
      <c r="Q2043" s="6" t="s">
        <v>5803</v>
      </c>
      <c r="R20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3" s="6" t="str">
        <f>_xlfn.XLOOKUP(Table2[[#This Row],[Adjusted Form '#]],'[2]IN PROGRESS'!$D:$D,'[2]IN PROGRESS'!$M:$M,"Not Found")</f>
        <v>Not Found</v>
      </c>
      <c r="U2043" s="6" t="str">
        <f>_xlfn.XLOOKUP(Table2[[#This Row],[Adjusted Form '#]],[1]COMPLETED!$D:$D,[2]COMPLETED!$M:$M,"Not Found")</f>
        <v>Not Found</v>
      </c>
      <c r="V2043" s="13" t="str">
        <f>_xlfn.XLOOKUP(Table2[[#This Row],[Adjusted Form '#]],[2]COMPLETED!$D:$D,[2]COMPLETED!$O:$O,"Not Found")</f>
        <v>Not Found</v>
      </c>
      <c r="W2043" s="6" t="str">
        <f>_xlfn.XLOOKUP(Table2[[#This Row],[Adjusted Form '#]],[2]BILLED!$D:$D,[2]BILLED!$M:$M,"Not Found")</f>
        <v>9400 1361 0605 3658 6361 74</v>
      </c>
      <c r="X2043" s="13" t="e">
        <f>_xlfn.XLOOKUP(Table2[[#This Row],[Adjusted Form '#]],[2]BILLED!$D:$D,[1]BILLED!$O:$O,"Not Found")</f>
        <v>#REF!</v>
      </c>
      <c r="Y2043" s="13" t="e">
        <f>_xlfn.XLOOKUP(Table2[[#This Row],[Adjusted Form '#]],'[2]REJECTED ORDERS'!$D:$D,'[2]REJECTED ORDERS'!$E:$E)</f>
        <v>#N/A</v>
      </c>
      <c r="Z2043" s="1"/>
      <c r="AA2043" s="1"/>
    </row>
    <row r="2044" spans="1:27" ht="15" customHeight="1" x14ac:dyDescent="0.35">
      <c r="A2044" s="4" t="s">
        <v>3006</v>
      </c>
      <c r="B2044" s="1" t="s">
        <v>1208</v>
      </c>
      <c r="C2044" s="11">
        <v>45239</v>
      </c>
      <c r="D2044" s="11" t="s">
        <v>7635</v>
      </c>
      <c r="E2044" s="1" t="s">
        <v>21</v>
      </c>
      <c r="F2044" s="1" t="s">
        <v>7620</v>
      </c>
      <c r="G2044" s="6">
        <f>COUNTIF(F:F,Table2[[#This Row],[Form '#]])</f>
        <v>1</v>
      </c>
      <c r="H2044" s="1" t="s">
        <v>7621</v>
      </c>
      <c r="I2044" s="1" t="s">
        <v>127</v>
      </c>
      <c r="J2044" s="1" t="s">
        <v>74</v>
      </c>
      <c r="K2044" s="1" t="s">
        <v>4011</v>
      </c>
      <c r="L2044" s="1"/>
      <c r="M2044" s="6" t="str">
        <f>IF(Table2[[#This Row],[Corrected Form '#
 (If Duplicated)]]="",Table2[[#This Row],[Form '#]],Table2[[#This Row],[Corrected Form '#
 (If Duplicated)]])</f>
        <v>7818-11367</v>
      </c>
      <c r="N2044" s="1" t="s">
        <v>49</v>
      </c>
      <c r="O2044" s="6" t="str">
        <f>IF(Table2[[#This Row],[POG CONFIRMATION RECEIPT OF ORDER
(DATE &amp; TIME)]]="","No Confirmation","Received Confirmation")</f>
        <v>Received Confirmation</v>
      </c>
      <c r="P2044" s="6">
        <f ca="1">TODAY()-Table2[[#This Row],[DATE SENT TO POG]]</f>
        <v>64</v>
      </c>
      <c r="Q2044" s="6" t="s">
        <v>5803</v>
      </c>
      <c r="R20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4" s="6" t="str">
        <f>_xlfn.XLOOKUP(Table2[[#This Row],[Adjusted Form '#]],'[2]IN PROGRESS'!$D:$D,'[2]IN PROGRESS'!$M:$M,"Not Found")</f>
        <v>Not Found</v>
      </c>
      <c r="U2044" s="6" t="str">
        <f>_xlfn.XLOOKUP(Table2[[#This Row],[Adjusted Form '#]],[1]COMPLETED!$D:$D,[2]COMPLETED!$M:$M,"Not Found")</f>
        <v>Not Found</v>
      </c>
      <c r="V2044" s="13" t="str">
        <f>_xlfn.XLOOKUP(Table2[[#This Row],[Adjusted Form '#]],[2]COMPLETED!$D:$D,[2]COMPLETED!$O:$O,"Not Found")</f>
        <v>Not Found</v>
      </c>
      <c r="W2044" s="6" t="str">
        <f>_xlfn.XLOOKUP(Table2[[#This Row],[Adjusted Form '#]],[2]BILLED!$D:$D,[2]BILLED!$M:$M,"Not Found")</f>
        <v>9400 1361 0605 3658 5604 93</v>
      </c>
      <c r="X2044" s="13" t="e">
        <f>_xlfn.XLOOKUP(Table2[[#This Row],[Adjusted Form '#]],[2]BILLED!$D:$D,[1]BILLED!$O:$O,"Not Found")</f>
        <v>#REF!</v>
      </c>
      <c r="Y2044" s="13" t="e">
        <f>_xlfn.XLOOKUP(Table2[[#This Row],[Adjusted Form '#]],'[2]REJECTED ORDERS'!$D:$D,'[2]REJECTED ORDERS'!$E:$E)</f>
        <v>#N/A</v>
      </c>
      <c r="Z2044" s="1"/>
      <c r="AA2044" s="1"/>
    </row>
    <row r="2045" spans="1:27" ht="15" customHeight="1" x14ac:dyDescent="0.35">
      <c r="A2045" s="4" t="s">
        <v>3008</v>
      </c>
      <c r="B2045" s="1" t="s">
        <v>1208</v>
      </c>
      <c r="C2045" s="11">
        <v>45239</v>
      </c>
      <c r="D2045" s="11" t="s">
        <v>7635</v>
      </c>
      <c r="E2045" s="1" t="s">
        <v>21</v>
      </c>
      <c r="F2045" s="1" t="s">
        <v>7622</v>
      </c>
      <c r="G2045" s="6">
        <f>COUNTIF(F:F,Table2[[#This Row],[Form '#]])</f>
        <v>1</v>
      </c>
      <c r="H2045" s="1" t="s">
        <v>3590</v>
      </c>
      <c r="I2045" s="1" t="s">
        <v>127</v>
      </c>
      <c r="J2045" s="1" t="s">
        <v>74</v>
      </c>
      <c r="K2045" s="1" t="s">
        <v>3891</v>
      </c>
      <c r="L2045" s="1"/>
      <c r="M2045" s="6" t="str">
        <f>IF(Table2[[#This Row],[Corrected Form '#
 (If Duplicated)]]="",Table2[[#This Row],[Form '#]],Table2[[#This Row],[Corrected Form '#
 (If Duplicated)]])</f>
        <v>7818-33347</v>
      </c>
      <c r="N2045" s="1" t="s">
        <v>49</v>
      </c>
      <c r="O2045" s="6" t="str">
        <f>IF(Table2[[#This Row],[POG CONFIRMATION RECEIPT OF ORDER
(DATE &amp; TIME)]]="","No Confirmation","Received Confirmation")</f>
        <v>Received Confirmation</v>
      </c>
      <c r="P2045" s="6">
        <f ca="1">TODAY()-Table2[[#This Row],[DATE SENT TO POG]]</f>
        <v>64</v>
      </c>
      <c r="Q2045" s="6" t="s">
        <v>5803</v>
      </c>
      <c r="R20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5" s="6" t="str">
        <f>_xlfn.XLOOKUP(Table2[[#This Row],[Adjusted Form '#]],'[2]IN PROGRESS'!$D:$D,'[2]IN PROGRESS'!$M:$M,"Not Found")</f>
        <v>Not Found</v>
      </c>
      <c r="U2045" s="6" t="str">
        <f>_xlfn.XLOOKUP(Table2[[#This Row],[Adjusted Form '#]],[1]COMPLETED!$D:$D,[2]COMPLETED!$M:$M,"Not Found")</f>
        <v>Not Found</v>
      </c>
      <c r="V2045" s="13" t="str">
        <f>_xlfn.XLOOKUP(Table2[[#This Row],[Adjusted Form '#]],[2]COMPLETED!$D:$D,[2]COMPLETED!$O:$O,"Not Found")</f>
        <v>Not Found</v>
      </c>
      <c r="W2045" s="6" t="str">
        <f>_xlfn.XLOOKUP(Table2[[#This Row],[Adjusted Form '#]],[2]BILLED!$D:$D,[2]BILLED!$M:$M,"Not Found")</f>
        <v>9400 1361 0605 3690 8075 32</v>
      </c>
      <c r="X2045" s="13" t="e">
        <f>_xlfn.XLOOKUP(Table2[[#This Row],[Adjusted Form '#]],[2]BILLED!$D:$D,[1]BILLED!$O:$O,"Not Found")</f>
        <v>#REF!</v>
      </c>
      <c r="Y2045" s="13" t="e">
        <f>_xlfn.XLOOKUP(Table2[[#This Row],[Adjusted Form '#]],'[2]REJECTED ORDERS'!$D:$D,'[2]REJECTED ORDERS'!$E:$E)</f>
        <v>#N/A</v>
      </c>
      <c r="Z2045" s="1"/>
      <c r="AA2045" s="1"/>
    </row>
    <row r="2046" spans="1:27" ht="15" customHeight="1" x14ac:dyDescent="0.35">
      <c r="A2046" s="4" t="s">
        <v>3009</v>
      </c>
      <c r="B2046" s="1" t="s">
        <v>1208</v>
      </c>
      <c r="C2046" s="11">
        <v>45239</v>
      </c>
      <c r="D2046" s="11" t="s">
        <v>7635</v>
      </c>
      <c r="E2046" s="1" t="s">
        <v>21</v>
      </c>
      <c r="F2046" s="1" t="s">
        <v>7623</v>
      </c>
      <c r="G2046" s="6">
        <f>COUNTIF(F:F,Table2[[#This Row],[Form '#]])</f>
        <v>1</v>
      </c>
      <c r="H2046" s="1" t="s">
        <v>7624</v>
      </c>
      <c r="I2046" s="1" t="s">
        <v>177</v>
      </c>
      <c r="J2046" s="1" t="s">
        <v>75</v>
      </c>
      <c r="K2046" s="1" t="s">
        <v>3853</v>
      </c>
      <c r="L2046" s="1"/>
      <c r="M2046" s="6" t="str">
        <f>IF(Table2[[#This Row],[Corrected Form '#
 (If Duplicated)]]="",Table2[[#This Row],[Form '#]],Table2[[#This Row],[Corrected Form '#
 (If Duplicated)]])</f>
        <v>7818-33204</v>
      </c>
      <c r="N2046" s="1" t="s">
        <v>49</v>
      </c>
      <c r="O2046" s="6" t="str">
        <f>IF(Table2[[#This Row],[POG CONFIRMATION RECEIPT OF ORDER
(DATE &amp; TIME)]]="","No Confirmation","Received Confirmation")</f>
        <v>Received Confirmation</v>
      </c>
      <c r="P2046" s="6">
        <f ca="1">TODAY()-Table2[[#This Row],[DATE SENT TO POG]]</f>
        <v>64</v>
      </c>
      <c r="Q2046" s="6" t="s">
        <v>5803</v>
      </c>
      <c r="R20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6" s="6" t="str">
        <f>_xlfn.XLOOKUP(Table2[[#This Row],[Adjusted Form '#]],'[2]IN PROGRESS'!$D:$D,'[2]IN PROGRESS'!$M:$M,"Not Found")</f>
        <v>Not Found</v>
      </c>
      <c r="U2046" s="6" t="str">
        <f>_xlfn.XLOOKUP(Table2[[#This Row],[Adjusted Form '#]],[1]COMPLETED!$D:$D,[2]COMPLETED!$M:$M,"Not Found")</f>
        <v>Not Found</v>
      </c>
      <c r="V2046" s="13" t="str">
        <f>_xlfn.XLOOKUP(Table2[[#This Row],[Adjusted Form '#]],[2]COMPLETED!$D:$D,[2]COMPLETED!$O:$O,"Not Found")</f>
        <v>Not Found</v>
      </c>
      <c r="W2046" s="6" t="str">
        <f>_xlfn.XLOOKUP(Table2[[#This Row],[Adjusted Form '#]],[2]BILLED!$D:$D,[2]BILLED!$M:$M,"Not Found")</f>
        <v>9400 1361 0605 3672 2497 32</v>
      </c>
      <c r="X2046" s="13" t="e">
        <f>_xlfn.XLOOKUP(Table2[[#This Row],[Adjusted Form '#]],[2]BILLED!$D:$D,[1]BILLED!$O:$O,"Not Found")</f>
        <v>#REF!</v>
      </c>
      <c r="Y2046" s="13" t="e">
        <f>_xlfn.XLOOKUP(Table2[[#This Row],[Adjusted Form '#]],'[2]REJECTED ORDERS'!$D:$D,'[2]REJECTED ORDERS'!$E:$E)</f>
        <v>#N/A</v>
      </c>
      <c r="Z2046" s="1"/>
      <c r="AA2046" s="1"/>
    </row>
    <row r="2047" spans="1:27" ht="15" customHeight="1" x14ac:dyDescent="0.35">
      <c r="A2047" s="4" t="s">
        <v>3010</v>
      </c>
      <c r="B2047" s="1" t="s">
        <v>1208</v>
      </c>
      <c r="C2047" s="11">
        <v>45239</v>
      </c>
      <c r="D2047" s="11" t="s">
        <v>7635</v>
      </c>
      <c r="E2047" s="1" t="s">
        <v>21</v>
      </c>
      <c r="F2047" s="1" t="s">
        <v>7625</v>
      </c>
      <c r="G2047" s="6">
        <f>COUNTIF(F:F,Table2[[#This Row],[Form '#]])</f>
        <v>1</v>
      </c>
      <c r="H2047" s="1" t="s">
        <v>3662</v>
      </c>
      <c r="I2047" s="1" t="s">
        <v>3852</v>
      </c>
      <c r="J2047" s="1" t="s">
        <v>75</v>
      </c>
      <c r="K2047" s="1" t="s">
        <v>4011</v>
      </c>
      <c r="L2047" s="1"/>
      <c r="M2047" s="6" t="str">
        <f>IF(Table2[[#This Row],[Corrected Form '#
 (If Duplicated)]]="",Table2[[#This Row],[Form '#]],Table2[[#This Row],[Corrected Form '#
 (If Duplicated)]])</f>
        <v>7818-29976</v>
      </c>
      <c r="N2047" s="1" t="s">
        <v>49</v>
      </c>
      <c r="O2047" s="6" t="str">
        <f>IF(Table2[[#This Row],[POG CONFIRMATION RECEIPT OF ORDER
(DATE &amp; TIME)]]="","No Confirmation","Received Confirmation")</f>
        <v>Received Confirmation</v>
      </c>
      <c r="P2047" s="6">
        <f ca="1">TODAY()-Table2[[#This Row],[DATE SENT TO POG]]</f>
        <v>64</v>
      </c>
      <c r="Q2047" s="6" t="s">
        <v>5803</v>
      </c>
      <c r="R20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7" s="6" t="str">
        <f>_xlfn.XLOOKUP(Table2[[#This Row],[Adjusted Form '#]],'[2]IN PROGRESS'!$D:$D,'[2]IN PROGRESS'!$M:$M,"Not Found")</f>
        <v>Not Found</v>
      </c>
      <c r="U2047" s="6" t="str">
        <f>_xlfn.XLOOKUP(Table2[[#This Row],[Adjusted Form '#]],[1]COMPLETED!$D:$D,[2]COMPLETED!$M:$M,"Not Found")</f>
        <v>Not Found</v>
      </c>
      <c r="V2047" s="13" t="str">
        <f>_xlfn.XLOOKUP(Table2[[#This Row],[Adjusted Form '#]],[2]COMPLETED!$D:$D,[2]COMPLETED!$O:$O,"Not Found")</f>
        <v>Not Found</v>
      </c>
      <c r="W2047" s="6" t="str">
        <f>_xlfn.XLOOKUP(Table2[[#This Row],[Adjusted Form '#]],[2]BILLED!$D:$D,[2]BILLED!$M:$M,"Not Found")</f>
        <v>9400 1361 0605 3659 7898 48</v>
      </c>
      <c r="X2047" s="13" t="e">
        <f>_xlfn.XLOOKUP(Table2[[#This Row],[Adjusted Form '#]],[2]BILLED!$D:$D,[1]BILLED!$O:$O,"Not Found")</f>
        <v>#REF!</v>
      </c>
      <c r="Y2047" s="13" t="e">
        <f>_xlfn.XLOOKUP(Table2[[#This Row],[Adjusted Form '#]],'[2]REJECTED ORDERS'!$D:$D,'[2]REJECTED ORDERS'!$E:$E)</f>
        <v>#N/A</v>
      </c>
      <c r="Z2047" s="1"/>
      <c r="AA2047" s="1"/>
    </row>
    <row r="2048" spans="1:27" ht="15" customHeight="1" x14ac:dyDescent="0.35">
      <c r="A2048" s="4" t="s">
        <v>3012</v>
      </c>
      <c r="B2048" s="1" t="s">
        <v>1208</v>
      </c>
      <c r="C2048" s="11">
        <v>45239</v>
      </c>
      <c r="D2048" s="11" t="s">
        <v>7635</v>
      </c>
      <c r="E2048" s="1" t="s">
        <v>21</v>
      </c>
      <c r="F2048" s="1" t="s">
        <v>7626</v>
      </c>
      <c r="G2048" s="6">
        <f>COUNTIF(F:F,Table2[[#This Row],[Form '#]])</f>
        <v>1</v>
      </c>
      <c r="H2048" s="1" t="s">
        <v>832</v>
      </c>
      <c r="I2048" s="1" t="s">
        <v>3852</v>
      </c>
      <c r="J2048" s="1" t="s">
        <v>80</v>
      </c>
      <c r="K2048" s="1" t="s">
        <v>3853</v>
      </c>
      <c r="L2048" s="1"/>
      <c r="M2048" s="6" t="str">
        <f>IF(Table2[[#This Row],[Corrected Form '#
 (If Duplicated)]]="",Table2[[#This Row],[Form '#]],Table2[[#This Row],[Corrected Form '#
 (If Duplicated)]])</f>
        <v>7818-31053</v>
      </c>
      <c r="N2048" s="1" t="s">
        <v>49</v>
      </c>
      <c r="O2048" s="6" t="str">
        <f>IF(Table2[[#This Row],[POG CONFIRMATION RECEIPT OF ORDER
(DATE &amp; TIME)]]="","No Confirmation","Received Confirmation")</f>
        <v>Received Confirmation</v>
      </c>
      <c r="P2048" s="6">
        <f ca="1">TODAY()-Table2[[#This Row],[DATE SENT TO POG]]</f>
        <v>64</v>
      </c>
      <c r="Q2048" s="6" t="s">
        <v>5803</v>
      </c>
      <c r="R20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8" s="6" t="str">
        <f>_xlfn.XLOOKUP(Table2[[#This Row],[Adjusted Form '#]],'[2]IN PROGRESS'!$D:$D,'[2]IN PROGRESS'!$M:$M,"Not Found")</f>
        <v>Not Found</v>
      </c>
      <c r="U2048" s="6" t="str">
        <f>_xlfn.XLOOKUP(Table2[[#This Row],[Adjusted Form '#]],[1]COMPLETED!$D:$D,[2]COMPLETED!$M:$M,"Not Found")</f>
        <v>Not Found</v>
      </c>
      <c r="V2048" s="13" t="str">
        <f>_xlfn.XLOOKUP(Table2[[#This Row],[Adjusted Form '#]],[2]COMPLETED!$D:$D,[2]COMPLETED!$O:$O,"Not Found")</f>
        <v>Not Found</v>
      </c>
      <c r="W2048" s="6" t="str">
        <f>_xlfn.XLOOKUP(Table2[[#This Row],[Adjusted Form '#]],[2]BILLED!$D:$D,[2]BILLED!$M:$M,"Not Found")</f>
        <v>9400 1361 0605 3658 9739 34</v>
      </c>
      <c r="X2048" s="13" t="e">
        <f>_xlfn.XLOOKUP(Table2[[#This Row],[Adjusted Form '#]],[2]BILLED!$D:$D,[1]BILLED!$O:$O,"Not Found")</f>
        <v>#REF!</v>
      </c>
      <c r="Y2048" s="13" t="e">
        <f>_xlfn.XLOOKUP(Table2[[#This Row],[Adjusted Form '#]],'[2]REJECTED ORDERS'!$D:$D,'[2]REJECTED ORDERS'!$E:$E)</f>
        <v>#N/A</v>
      </c>
      <c r="Z2048" s="1"/>
      <c r="AA2048" s="1"/>
    </row>
    <row r="2049" spans="1:27" ht="15" customHeight="1" x14ac:dyDescent="0.35">
      <c r="A2049" s="4" t="s">
        <v>3013</v>
      </c>
      <c r="B2049" s="1" t="s">
        <v>1208</v>
      </c>
      <c r="C2049" s="11">
        <v>45239</v>
      </c>
      <c r="D2049" s="11" t="s">
        <v>7635</v>
      </c>
      <c r="E2049" s="1" t="s">
        <v>21</v>
      </c>
      <c r="F2049" s="1" t="s">
        <v>7627</v>
      </c>
      <c r="G2049" s="6">
        <f>COUNTIF(F:F,Table2[[#This Row],[Form '#]])</f>
        <v>1</v>
      </c>
      <c r="H2049" s="1" t="s">
        <v>3450</v>
      </c>
      <c r="I2049" s="1" t="s">
        <v>127</v>
      </c>
      <c r="J2049" s="1" t="s">
        <v>76</v>
      </c>
      <c r="K2049" s="1" t="s">
        <v>3891</v>
      </c>
      <c r="L2049" s="1"/>
      <c r="M2049" s="6" t="str">
        <f>IF(Table2[[#This Row],[Corrected Form '#
 (If Duplicated)]]="",Table2[[#This Row],[Form '#]],Table2[[#This Row],[Corrected Form '#
 (If Duplicated)]])</f>
        <v>7818-29965</v>
      </c>
      <c r="N2049" s="1" t="s">
        <v>49</v>
      </c>
      <c r="O2049" s="6" t="str">
        <f>IF(Table2[[#This Row],[POG CONFIRMATION RECEIPT OF ORDER
(DATE &amp; TIME)]]="","No Confirmation","Received Confirmation")</f>
        <v>Received Confirmation</v>
      </c>
      <c r="P2049" s="6">
        <f ca="1">TODAY()-Table2[[#This Row],[DATE SENT TO POG]]</f>
        <v>64</v>
      </c>
      <c r="Q2049" s="6" t="s">
        <v>5803</v>
      </c>
      <c r="R20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49" s="6" t="str">
        <f>_xlfn.XLOOKUP(Table2[[#This Row],[Adjusted Form '#]],'[2]IN PROGRESS'!$D:$D,'[2]IN PROGRESS'!$M:$M,"Not Found")</f>
        <v>Not Found</v>
      </c>
      <c r="U2049" s="6" t="str">
        <f>_xlfn.XLOOKUP(Table2[[#This Row],[Adjusted Form '#]],[1]COMPLETED!$D:$D,[2]COMPLETED!$M:$M,"Not Found")</f>
        <v>Not Found</v>
      </c>
      <c r="V2049" s="13" t="str">
        <f>_xlfn.XLOOKUP(Table2[[#This Row],[Adjusted Form '#]],[2]COMPLETED!$D:$D,[2]COMPLETED!$O:$O,"Not Found")</f>
        <v>Not Found</v>
      </c>
      <c r="W2049" s="6" t="str">
        <f>_xlfn.XLOOKUP(Table2[[#This Row],[Adjusted Form '#]],[2]BILLED!$D:$D,[2]BILLED!$M:$M,"Not Found")</f>
        <v>9400 1361 0605 3672 3681 36</v>
      </c>
      <c r="X2049" s="13" t="e">
        <f>_xlfn.XLOOKUP(Table2[[#This Row],[Adjusted Form '#]],[2]BILLED!$D:$D,[1]BILLED!$O:$O,"Not Found")</f>
        <v>#REF!</v>
      </c>
      <c r="Y2049" s="13" t="e">
        <f>_xlfn.XLOOKUP(Table2[[#This Row],[Adjusted Form '#]],'[2]REJECTED ORDERS'!$D:$D,'[2]REJECTED ORDERS'!$E:$E)</f>
        <v>#N/A</v>
      </c>
      <c r="Z2049" s="1"/>
      <c r="AA2049" s="1"/>
    </row>
    <row r="2050" spans="1:27" ht="15" customHeight="1" x14ac:dyDescent="0.35">
      <c r="A2050" s="4" t="s">
        <v>3015</v>
      </c>
      <c r="B2050" s="1" t="s">
        <v>1208</v>
      </c>
      <c r="C2050" s="11">
        <v>45239</v>
      </c>
      <c r="D2050" s="11" t="s">
        <v>7635</v>
      </c>
      <c r="E2050" s="1" t="s">
        <v>21</v>
      </c>
      <c r="F2050" s="1" t="s">
        <v>7628</v>
      </c>
      <c r="G2050" s="6">
        <f>COUNTIF(F:F,Table2[[#This Row],[Form '#]])</f>
        <v>1</v>
      </c>
      <c r="H2050" s="1" t="s">
        <v>827</v>
      </c>
      <c r="I2050" s="1" t="s">
        <v>3864</v>
      </c>
      <c r="J2050" s="1" t="s">
        <v>78</v>
      </c>
      <c r="K2050" s="1" t="s">
        <v>3879</v>
      </c>
      <c r="L2050" s="1"/>
      <c r="M2050" s="6" t="str">
        <f>IF(Table2[[#This Row],[Corrected Form '#
 (If Duplicated)]]="",Table2[[#This Row],[Form '#]],Table2[[#This Row],[Corrected Form '#
 (If Duplicated)]])</f>
        <v>7818-29836</v>
      </c>
      <c r="N2050" s="1" t="s">
        <v>49</v>
      </c>
      <c r="O2050" s="6" t="str">
        <f>IF(Table2[[#This Row],[POG CONFIRMATION RECEIPT OF ORDER
(DATE &amp; TIME)]]="","No Confirmation","Received Confirmation")</f>
        <v>Received Confirmation</v>
      </c>
      <c r="P2050" s="6">
        <f ca="1">TODAY()-Table2[[#This Row],[DATE SENT TO POG]]</f>
        <v>64</v>
      </c>
      <c r="Q2050" s="6" t="s">
        <v>5803</v>
      </c>
      <c r="R20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5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50" s="6" t="str">
        <f>_xlfn.XLOOKUP(Table2[[#This Row],[Adjusted Form '#]],'[2]IN PROGRESS'!$D:$D,'[2]IN PROGRESS'!$M:$M,"Not Found")</f>
        <v>Not Found</v>
      </c>
      <c r="U2050" s="6" t="str">
        <f>_xlfn.XLOOKUP(Table2[[#This Row],[Adjusted Form '#]],[1]COMPLETED!$D:$D,[2]COMPLETED!$M:$M,"Not Found")</f>
        <v>Not Found</v>
      </c>
      <c r="V2050" s="13" t="str">
        <f>_xlfn.XLOOKUP(Table2[[#This Row],[Adjusted Form '#]],[2]COMPLETED!$D:$D,[2]COMPLETED!$O:$O,"Not Found")</f>
        <v>Not Found</v>
      </c>
      <c r="W2050" s="6" t="str">
        <f>_xlfn.XLOOKUP(Table2[[#This Row],[Adjusted Form '#]],[2]BILLED!$D:$D,[2]BILLED!$M:$M,"Not Found")</f>
        <v>9400 1361 0605 3659 7957 40</v>
      </c>
      <c r="X2050" s="13" t="e">
        <f>_xlfn.XLOOKUP(Table2[[#This Row],[Adjusted Form '#]],[2]BILLED!$D:$D,[1]BILLED!$O:$O,"Not Found")</f>
        <v>#REF!</v>
      </c>
      <c r="Y2050" s="13" t="e">
        <f>_xlfn.XLOOKUP(Table2[[#This Row],[Adjusted Form '#]],'[2]REJECTED ORDERS'!$D:$D,'[2]REJECTED ORDERS'!$E:$E)</f>
        <v>#N/A</v>
      </c>
      <c r="Z2050" s="1"/>
      <c r="AA2050" s="1"/>
    </row>
    <row r="2051" spans="1:27" ht="15" customHeight="1" x14ac:dyDescent="0.35">
      <c r="A2051" s="4" t="s">
        <v>3016</v>
      </c>
      <c r="B2051" s="1" t="s">
        <v>1514</v>
      </c>
      <c r="C2051" s="11">
        <v>45239</v>
      </c>
      <c r="D2051" s="11" t="s">
        <v>7636</v>
      </c>
      <c r="E2051" s="1" t="s">
        <v>191</v>
      </c>
      <c r="F2051" s="1" t="s">
        <v>7631</v>
      </c>
      <c r="G2051" s="6">
        <f>COUNTIF(F:F,Table2[[#This Row],[Form '#]])</f>
        <v>1</v>
      </c>
      <c r="H2051" s="1" t="s">
        <v>7629</v>
      </c>
      <c r="I2051" s="1" t="s">
        <v>3852</v>
      </c>
      <c r="J2051" s="1" t="s">
        <v>80</v>
      </c>
      <c r="K2051" s="1" t="s">
        <v>4011</v>
      </c>
      <c r="L2051" s="1"/>
      <c r="M2051" s="6" t="str">
        <f>IF(Table2[[#This Row],[Corrected Form '#
 (If Duplicated)]]="",Table2[[#This Row],[Form '#]],Table2[[#This Row],[Corrected Form '#
 (If Duplicated)]])</f>
        <v>7812-00806</v>
      </c>
      <c r="N2051" s="1" t="s">
        <v>49</v>
      </c>
      <c r="O2051" s="6" t="str">
        <f>IF(Table2[[#This Row],[POG CONFIRMATION RECEIPT OF ORDER
(DATE &amp; TIME)]]="","No Confirmation","Received Confirmation")</f>
        <v>Received Confirmation</v>
      </c>
      <c r="P2051" s="6">
        <f ca="1">TODAY()-Table2[[#This Row],[DATE SENT TO POG]]</f>
        <v>64</v>
      </c>
      <c r="Q2051" s="6" t="s">
        <v>5802</v>
      </c>
      <c r="R20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5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51" s="6" t="str">
        <f>_xlfn.XLOOKUP(Table2[[#This Row],[Adjusted Form '#]],'[2]IN PROGRESS'!$D:$D,'[2]IN PROGRESS'!$M:$M,"Not Found")</f>
        <v>Not Found</v>
      </c>
      <c r="U2051" s="6" t="str">
        <f>_xlfn.XLOOKUP(Table2[[#This Row],[Adjusted Form '#]],[1]COMPLETED!$D:$D,[2]COMPLETED!$M:$M,"Not Found")</f>
        <v>Not Found</v>
      </c>
      <c r="V2051" s="13" t="str">
        <f>_xlfn.XLOOKUP(Table2[[#This Row],[Adjusted Form '#]],[2]COMPLETED!$D:$D,[2]COMPLETED!$O:$O,"Not Found")</f>
        <v>Not Found</v>
      </c>
      <c r="W2051" s="6" t="str">
        <f>_xlfn.XLOOKUP(Table2[[#This Row],[Adjusted Form '#]],[2]BILLED!$D:$D,[2]BILLED!$M:$M,"Not Found")</f>
        <v>Not Found</v>
      </c>
      <c r="X2051" s="13" t="str">
        <f>_xlfn.XLOOKUP(Table2[[#This Row],[Adjusted Form '#]],[2]BILLED!$D:$D,[1]BILLED!$O:$O,"Not Found")</f>
        <v>Not Found</v>
      </c>
      <c r="Y2051" s="13" t="e">
        <f>_xlfn.XLOOKUP(Table2[[#This Row],[Adjusted Form '#]],'[2]REJECTED ORDERS'!$D:$D,'[2]REJECTED ORDERS'!$E:$E)</f>
        <v>#N/A</v>
      </c>
      <c r="Z2051" s="1"/>
      <c r="AA2051" s="1"/>
    </row>
    <row r="2052" spans="1:27" ht="15" customHeight="1" x14ac:dyDescent="0.35">
      <c r="A2052" s="4" t="s">
        <v>3017</v>
      </c>
      <c r="B2052" s="1" t="s">
        <v>1514</v>
      </c>
      <c r="C2052" s="11">
        <v>45239</v>
      </c>
      <c r="D2052" s="11" t="s">
        <v>7636</v>
      </c>
      <c r="E2052" s="1" t="s">
        <v>191</v>
      </c>
      <c r="F2052" s="1" t="s">
        <v>7630</v>
      </c>
      <c r="G2052" s="6">
        <f>COUNTIF(F:F,Table2[[#This Row],[Form '#]])</f>
        <v>1</v>
      </c>
      <c r="H2052" s="1" t="s">
        <v>2754</v>
      </c>
      <c r="I2052" s="1" t="s">
        <v>177</v>
      </c>
      <c r="J2052" s="1" t="s">
        <v>75</v>
      </c>
      <c r="K2052" s="1" t="s">
        <v>4011</v>
      </c>
      <c r="L2052" s="1"/>
      <c r="M2052" s="6" t="str">
        <f>IF(Table2[[#This Row],[Corrected Form '#
 (If Duplicated)]]="",Table2[[#This Row],[Form '#]],Table2[[#This Row],[Corrected Form '#
 (If Duplicated)]])</f>
        <v>7812-04586</v>
      </c>
      <c r="N2052" s="1" t="s">
        <v>49</v>
      </c>
      <c r="O2052" s="6" t="str">
        <f>IF(Table2[[#This Row],[POG CONFIRMATION RECEIPT OF ORDER
(DATE &amp; TIME)]]="","No Confirmation","Received Confirmation")</f>
        <v>Received Confirmation</v>
      </c>
      <c r="P2052" s="6">
        <f ca="1">TODAY()-Table2[[#This Row],[DATE SENT TO POG]]</f>
        <v>64</v>
      </c>
      <c r="Q2052" s="6" t="s">
        <v>5803</v>
      </c>
      <c r="R20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5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52" s="6" t="str">
        <f>_xlfn.XLOOKUP(Table2[[#This Row],[Adjusted Form '#]],'[2]IN PROGRESS'!$D:$D,'[2]IN PROGRESS'!$M:$M,"Not Found")</f>
        <v>Not Found</v>
      </c>
      <c r="U2052" s="6" t="str">
        <f>_xlfn.XLOOKUP(Table2[[#This Row],[Adjusted Form '#]],[1]COMPLETED!$D:$D,[2]COMPLETED!$M:$M,"Not Found")</f>
        <v>Not Found</v>
      </c>
      <c r="V2052" s="13" t="e">
        <f>_xlfn.XLOOKUP(Table2[[#This Row],[Adjusted Form '#]],[2]COMPLETED!$D:$D,[2]COMPLETED!$O:$O,"Not Found")</f>
        <v>#N/A</v>
      </c>
      <c r="W2052" s="6" t="str">
        <f>_xlfn.XLOOKUP(Table2[[#This Row],[Adjusted Form '#]],[2]BILLED!$D:$D,[2]BILLED!$M:$M,"Not Found")</f>
        <v>Not Found</v>
      </c>
      <c r="X2052" s="13" t="str">
        <f>_xlfn.XLOOKUP(Table2[[#This Row],[Adjusted Form '#]],[2]BILLED!$D:$D,[1]BILLED!$O:$O,"Not Found")</f>
        <v>Not Found</v>
      </c>
      <c r="Y2052" s="13" t="e">
        <f>_xlfn.XLOOKUP(Table2[[#This Row],[Adjusted Form '#]],'[2]REJECTED ORDERS'!$D:$D,'[2]REJECTED ORDERS'!$E:$E)</f>
        <v>#N/A</v>
      </c>
      <c r="Z2052" s="1"/>
      <c r="AA2052" s="1"/>
    </row>
    <row r="2053" spans="1:27" ht="15" customHeight="1" x14ac:dyDescent="0.35">
      <c r="A2053" s="4" t="s">
        <v>3018</v>
      </c>
      <c r="B2053" s="1" t="s">
        <v>4246</v>
      </c>
      <c r="C2053" s="11">
        <v>45239</v>
      </c>
      <c r="D2053" s="11" t="s">
        <v>7637</v>
      </c>
      <c r="E2053" s="1" t="s">
        <v>21</v>
      </c>
      <c r="F2053" s="1" t="s">
        <v>7632</v>
      </c>
      <c r="G2053" s="6">
        <f>COUNTIF(F:F,Table2[[#This Row],[Form '#]])</f>
        <v>1</v>
      </c>
      <c r="H2053" s="1" t="s">
        <v>3554</v>
      </c>
      <c r="I2053" s="1" t="s">
        <v>127</v>
      </c>
      <c r="J2053" s="1" t="s">
        <v>74</v>
      </c>
      <c r="K2053" s="1" t="s">
        <v>3883</v>
      </c>
      <c r="L2053" s="1"/>
      <c r="M2053" s="6" t="str">
        <f>IF(Table2[[#This Row],[Corrected Form '#
 (If Duplicated)]]="",Table2[[#This Row],[Form '#]],Table2[[#This Row],[Corrected Form '#
 (If Duplicated)]])</f>
        <v>7818-25803</v>
      </c>
      <c r="N2053" s="1" t="s">
        <v>49</v>
      </c>
      <c r="O2053" s="6" t="str">
        <f>IF(Table2[[#This Row],[POG CONFIRMATION RECEIPT OF ORDER
(DATE &amp; TIME)]]="","No Confirmation","Received Confirmation")</f>
        <v>Received Confirmation</v>
      </c>
      <c r="P2053" s="6">
        <f ca="1">TODAY()-Table2[[#This Row],[DATE SENT TO POG]]</f>
        <v>64</v>
      </c>
      <c r="Q2053" s="6" t="s">
        <v>5803</v>
      </c>
      <c r="R20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5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53" s="6" t="str">
        <f>_xlfn.XLOOKUP(Table2[[#This Row],[Adjusted Form '#]],'[2]IN PROGRESS'!$D:$D,'[2]IN PROGRESS'!$M:$M,"Not Found")</f>
        <v>Not Found</v>
      </c>
      <c r="U2053" s="6" t="str">
        <f>_xlfn.XLOOKUP(Table2[[#This Row],[Adjusted Form '#]],[1]COMPLETED!$D:$D,[2]COMPLETED!$M:$M,"Not Found")</f>
        <v>Not Found</v>
      </c>
      <c r="V2053" s="13" t="str">
        <f>_xlfn.XLOOKUP(Table2[[#This Row],[Adjusted Form '#]],[2]COMPLETED!$D:$D,[2]COMPLETED!$O:$O,"Not Found")</f>
        <v>Not Found</v>
      </c>
      <c r="W2053" s="6" t="str">
        <f>_xlfn.XLOOKUP(Table2[[#This Row],[Adjusted Form '#]],[2]BILLED!$D:$D,[2]BILLED!$M:$M,"Not Found")</f>
        <v>9400 1361 0605 3658 5537 16</v>
      </c>
      <c r="X2053" s="13" t="e">
        <f>_xlfn.XLOOKUP(Table2[[#This Row],[Adjusted Form '#]],[2]BILLED!$D:$D,[1]BILLED!$O:$O,"Not Found")</f>
        <v>#REF!</v>
      </c>
      <c r="Y2053" s="13" t="e">
        <f>_xlfn.XLOOKUP(Table2[[#This Row],[Adjusted Form '#]],'[2]REJECTED ORDERS'!$D:$D,'[2]REJECTED ORDERS'!$E:$E)</f>
        <v>#N/A</v>
      </c>
      <c r="Z2053" s="1"/>
      <c r="AA2053" s="1"/>
    </row>
    <row r="2054" spans="1:27" ht="15" customHeight="1" x14ac:dyDescent="0.35">
      <c r="A2054" s="4" t="s">
        <v>3020</v>
      </c>
      <c r="B2054" s="1" t="s">
        <v>4246</v>
      </c>
      <c r="C2054" s="11">
        <v>45239</v>
      </c>
      <c r="D2054" s="11" t="s">
        <v>7637</v>
      </c>
      <c r="E2054" s="1" t="s">
        <v>21</v>
      </c>
      <c r="F2054" s="1" t="s">
        <v>7633</v>
      </c>
      <c r="G2054" s="6">
        <f>COUNTIF(F:F,Table2[[#This Row],[Form '#]])</f>
        <v>1</v>
      </c>
      <c r="H2054" s="1" t="s">
        <v>7634</v>
      </c>
      <c r="I2054" s="1" t="s">
        <v>3852</v>
      </c>
      <c r="J2054" s="1" t="s">
        <v>80</v>
      </c>
      <c r="K2054" s="1" t="s">
        <v>3853</v>
      </c>
      <c r="L2054" s="1"/>
      <c r="M2054" s="6" t="str">
        <f>IF(Table2[[#This Row],[Corrected Form '#
 (If Duplicated)]]="",Table2[[#This Row],[Form '#]],Table2[[#This Row],[Corrected Form '#
 (If Duplicated)]])</f>
        <v>7818-28225</v>
      </c>
      <c r="N2054" s="1" t="s">
        <v>49</v>
      </c>
      <c r="O2054" s="6" t="str">
        <f>IF(Table2[[#This Row],[POG CONFIRMATION RECEIPT OF ORDER
(DATE &amp; TIME)]]="","No Confirmation","Received Confirmation")</f>
        <v>Received Confirmation</v>
      </c>
      <c r="P2054" s="6">
        <f ca="1">TODAY()-Table2[[#This Row],[DATE SENT TO POG]]</f>
        <v>64</v>
      </c>
      <c r="Q2054" s="6" t="s">
        <v>5803</v>
      </c>
      <c r="R20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5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54" s="6" t="str">
        <f>_xlfn.XLOOKUP(Table2[[#This Row],[Adjusted Form '#]],'[2]IN PROGRESS'!$D:$D,'[2]IN PROGRESS'!$M:$M,"Not Found")</f>
        <v>Not Found</v>
      </c>
      <c r="U2054" s="6" t="str">
        <f>_xlfn.XLOOKUP(Table2[[#This Row],[Adjusted Form '#]],[1]COMPLETED!$D:$D,[2]COMPLETED!$M:$M,"Not Found")</f>
        <v>Not Found</v>
      </c>
      <c r="V2054" s="13" t="str">
        <f>_xlfn.XLOOKUP(Table2[[#This Row],[Adjusted Form '#]],[2]COMPLETED!$D:$D,[2]COMPLETED!$O:$O,"Not Found")</f>
        <v>Not Found</v>
      </c>
      <c r="W2054" s="6" t="str">
        <f>_xlfn.XLOOKUP(Table2[[#This Row],[Adjusted Form '#]],[2]BILLED!$D:$D,[2]BILLED!$M:$M,"Not Found")</f>
        <v>9400 1361 0605 3658 7873 95</v>
      </c>
      <c r="X2054" s="13" t="e">
        <f>_xlfn.XLOOKUP(Table2[[#This Row],[Adjusted Form '#]],[2]BILLED!$D:$D,[1]BILLED!$O:$O,"Not Found")</f>
        <v>#REF!</v>
      </c>
      <c r="Y2054" s="13" t="e">
        <f>_xlfn.XLOOKUP(Table2[[#This Row],[Adjusted Form '#]],'[2]REJECTED ORDERS'!$D:$D,'[2]REJECTED ORDERS'!$E:$E)</f>
        <v>#N/A</v>
      </c>
      <c r="Z2054" s="1"/>
      <c r="AA2054" s="1"/>
    </row>
    <row r="2055" spans="1:27" ht="15" customHeight="1" x14ac:dyDescent="0.35">
      <c r="A2055" s="4" t="s">
        <v>3021</v>
      </c>
      <c r="B2055" s="1" t="s">
        <v>504</v>
      </c>
      <c r="C2055" s="11">
        <v>45243</v>
      </c>
      <c r="D2055" s="11" t="s">
        <v>7656</v>
      </c>
      <c r="E2055" s="1" t="s">
        <v>21</v>
      </c>
      <c r="F2055" s="1" t="s">
        <v>7638</v>
      </c>
      <c r="G2055" s="6">
        <f>COUNTIF(F:F,Table2[[#This Row],[Form '#]])</f>
        <v>1</v>
      </c>
      <c r="H2055" s="1" t="s">
        <v>2249</v>
      </c>
      <c r="I2055" s="1" t="s">
        <v>177</v>
      </c>
      <c r="J2055" s="1" t="s">
        <v>75</v>
      </c>
      <c r="K2055" s="1" t="s">
        <v>4011</v>
      </c>
      <c r="L2055" s="1"/>
      <c r="M2055" s="6" t="str">
        <f>IF(Table2[[#This Row],[Corrected Form '#
 (If Duplicated)]]="",Table2[[#This Row],[Form '#]],Table2[[#This Row],[Corrected Form '#
 (If Duplicated)]])</f>
        <v>7818-14913</v>
      </c>
      <c r="N2055" s="1" t="s">
        <v>49</v>
      </c>
      <c r="O2055" s="6" t="str">
        <f>IF(Table2[[#This Row],[POG CONFIRMATION RECEIPT OF ORDER
(DATE &amp; TIME)]]="","No Confirmation","Received Confirmation")</f>
        <v>Received Confirmation</v>
      </c>
      <c r="P2055" s="6">
        <f ca="1">TODAY()-Table2[[#This Row],[DATE SENT TO POG]]</f>
        <v>60</v>
      </c>
      <c r="Q2055" s="6" t="s">
        <v>5803</v>
      </c>
      <c r="R20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5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55" s="6" t="str">
        <f>_xlfn.XLOOKUP(Table2[[#This Row],[Adjusted Form '#]],'[2]IN PROGRESS'!$D:$D,'[2]IN PROGRESS'!$M:$M,"Not Found")</f>
        <v>Not Found</v>
      </c>
      <c r="U2055" s="6" t="str">
        <f>_xlfn.XLOOKUP(Table2[[#This Row],[Adjusted Form '#]],[1]COMPLETED!$D:$D,[2]COMPLETED!$M:$M,"Not Found")</f>
        <v>Not Found</v>
      </c>
      <c r="V2055" s="13" t="str">
        <f>_xlfn.XLOOKUP(Table2[[#This Row],[Adjusted Form '#]],[2]COMPLETED!$D:$D,[2]COMPLETED!$O:$O,"Not Found")</f>
        <v>Not Found</v>
      </c>
      <c r="W2055" s="6" t="str">
        <f>_xlfn.XLOOKUP(Table2[[#This Row],[Adjusted Form '#]],[2]BILLED!$D:$D,[2]BILLED!$M:$M,"Not Found")</f>
        <v>9400 1361 0605 3675 5401 64</v>
      </c>
      <c r="X2055" s="13" t="e">
        <f>_xlfn.XLOOKUP(Table2[[#This Row],[Adjusted Form '#]],[2]BILLED!$D:$D,[1]BILLED!$O:$O,"Not Found")</f>
        <v>#REF!</v>
      </c>
      <c r="Y2055" s="13" t="e">
        <f>_xlfn.XLOOKUP(Table2[[#This Row],[Adjusted Form '#]],'[2]REJECTED ORDERS'!$D:$D,'[2]REJECTED ORDERS'!$E:$E)</f>
        <v>#N/A</v>
      </c>
      <c r="Z2055" s="1"/>
      <c r="AA2055" s="1"/>
    </row>
    <row r="2056" spans="1:27" ht="15" customHeight="1" x14ac:dyDescent="0.35">
      <c r="A2056" s="4" t="s">
        <v>3023</v>
      </c>
      <c r="B2056" s="1" t="s">
        <v>504</v>
      </c>
      <c r="C2056" s="11">
        <v>45243</v>
      </c>
      <c r="D2056" s="11" t="s">
        <v>7656</v>
      </c>
      <c r="E2056" s="1" t="s">
        <v>21</v>
      </c>
      <c r="F2056" s="1" t="s">
        <v>7639</v>
      </c>
      <c r="G2056" s="6">
        <f>COUNTIF(F:F,Table2[[#This Row],[Form '#]])</f>
        <v>1</v>
      </c>
      <c r="H2056" s="1" t="s">
        <v>7640</v>
      </c>
      <c r="I2056" s="1" t="s">
        <v>3852</v>
      </c>
      <c r="J2056" s="1" t="s">
        <v>80</v>
      </c>
      <c r="K2056" s="1" t="s">
        <v>3853</v>
      </c>
      <c r="L2056" s="1"/>
      <c r="M2056" s="6" t="str">
        <f>IF(Table2[[#This Row],[Corrected Form '#
 (If Duplicated)]]="",Table2[[#This Row],[Form '#]],Table2[[#This Row],[Corrected Form '#
 (If Duplicated)]])</f>
        <v>7818-28242</v>
      </c>
      <c r="N2056" s="1" t="s">
        <v>49</v>
      </c>
      <c r="O2056" s="6" t="str">
        <f>IF(Table2[[#This Row],[POG CONFIRMATION RECEIPT OF ORDER
(DATE &amp; TIME)]]="","No Confirmation","Received Confirmation")</f>
        <v>Received Confirmation</v>
      </c>
      <c r="P2056" s="6">
        <f ca="1">TODAY()-Table2[[#This Row],[DATE SENT TO POG]]</f>
        <v>60</v>
      </c>
      <c r="Q2056" s="6" t="s">
        <v>5803</v>
      </c>
      <c r="R20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5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56" s="6" t="str">
        <f>_xlfn.XLOOKUP(Table2[[#This Row],[Adjusted Form '#]],'[2]IN PROGRESS'!$D:$D,'[2]IN PROGRESS'!$M:$M,"Not Found")</f>
        <v>Not Found</v>
      </c>
      <c r="U2056" s="6" t="str">
        <f>_xlfn.XLOOKUP(Table2[[#This Row],[Adjusted Form '#]],[1]COMPLETED!$D:$D,[2]COMPLETED!$M:$M,"Not Found")</f>
        <v>Not Found</v>
      </c>
      <c r="V2056" s="13" t="str">
        <f>_xlfn.XLOOKUP(Table2[[#This Row],[Adjusted Form '#]],[2]COMPLETED!$D:$D,[2]COMPLETED!$O:$O,"Not Found")</f>
        <v>Not Found</v>
      </c>
      <c r="W2056" s="6" t="str">
        <f>_xlfn.XLOOKUP(Table2[[#This Row],[Adjusted Form '#]],[2]BILLED!$D:$D,[2]BILLED!$M:$M,"Not Found")</f>
        <v>9400 1361 0605 3661 7948 30</v>
      </c>
      <c r="X2056" s="13" t="e">
        <f>_xlfn.XLOOKUP(Table2[[#This Row],[Adjusted Form '#]],[2]BILLED!$D:$D,[1]BILLED!$O:$O,"Not Found")</f>
        <v>#REF!</v>
      </c>
      <c r="Y2056" s="13" t="e">
        <f>_xlfn.XLOOKUP(Table2[[#This Row],[Adjusted Form '#]],'[2]REJECTED ORDERS'!$D:$D,'[2]REJECTED ORDERS'!$E:$E)</f>
        <v>#N/A</v>
      </c>
      <c r="Z2056" s="1"/>
      <c r="AA2056" s="1"/>
    </row>
    <row r="2057" spans="1:27" ht="15" customHeight="1" x14ac:dyDescent="0.35">
      <c r="A2057" s="4" t="s">
        <v>3024</v>
      </c>
      <c r="B2057" s="1" t="s">
        <v>504</v>
      </c>
      <c r="C2057" s="11">
        <v>45243</v>
      </c>
      <c r="D2057" s="11" t="s">
        <v>7656</v>
      </c>
      <c r="E2057" s="1" t="s">
        <v>21</v>
      </c>
      <c r="F2057" s="1" t="s">
        <v>7641</v>
      </c>
      <c r="G2057" s="6">
        <f>COUNTIF(F:F,Table2[[#This Row],[Form '#]])</f>
        <v>1</v>
      </c>
      <c r="H2057" s="1" t="s">
        <v>7642</v>
      </c>
      <c r="I2057" s="1" t="s">
        <v>3852</v>
      </c>
      <c r="J2057" s="1" t="s">
        <v>75</v>
      </c>
      <c r="K2057" s="1" t="s">
        <v>3853</v>
      </c>
      <c r="L2057" s="1"/>
      <c r="M2057" s="6" t="str">
        <f>IF(Table2[[#This Row],[Corrected Form '#
 (If Duplicated)]]="",Table2[[#This Row],[Form '#]],Table2[[#This Row],[Corrected Form '#
 (If Duplicated)]])</f>
        <v>7818-16892</v>
      </c>
      <c r="N2057" s="1" t="s">
        <v>49</v>
      </c>
      <c r="O2057" s="6" t="str">
        <f>IF(Table2[[#This Row],[POG CONFIRMATION RECEIPT OF ORDER
(DATE &amp; TIME)]]="","No Confirmation","Received Confirmation")</f>
        <v>Received Confirmation</v>
      </c>
      <c r="P2057" s="6">
        <f ca="1">TODAY()-Table2[[#This Row],[DATE SENT TO POG]]</f>
        <v>60</v>
      </c>
      <c r="Q2057" s="6" t="s">
        <v>5803</v>
      </c>
      <c r="R20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5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57" s="6" t="str">
        <f>_xlfn.XLOOKUP(Table2[[#This Row],[Adjusted Form '#]],'[2]IN PROGRESS'!$D:$D,'[2]IN PROGRESS'!$M:$M,"Not Found")</f>
        <v>Not Found</v>
      </c>
      <c r="U2057" s="6" t="str">
        <f>_xlfn.XLOOKUP(Table2[[#This Row],[Adjusted Form '#]],[1]COMPLETED!$D:$D,[2]COMPLETED!$M:$M,"Not Found")</f>
        <v>Not Found</v>
      </c>
      <c r="V2057" s="13" t="str">
        <f>_xlfn.XLOOKUP(Table2[[#This Row],[Adjusted Form '#]],[2]COMPLETED!$D:$D,[2]COMPLETED!$O:$O,"Not Found")</f>
        <v>Not Found</v>
      </c>
      <c r="W2057" s="6" t="str">
        <f>_xlfn.XLOOKUP(Table2[[#This Row],[Adjusted Form '#]],[2]BILLED!$D:$D,[2]BILLED!$M:$M,"Not Found")</f>
        <v>9400 1361 0605 3658 6555 95</v>
      </c>
      <c r="X2057" s="13" t="e">
        <f>_xlfn.XLOOKUP(Table2[[#This Row],[Adjusted Form '#]],[2]BILLED!$D:$D,[1]BILLED!$O:$O,"Not Found")</f>
        <v>#REF!</v>
      </c>
      <c r="Y2057" s="13" t="e">
        <f>_xlfn.XLOOKUP(Table2[[#This Row],[Adjusted Form '#]],'[2]REJECTED ORDERS'!$D:$D,'[2]REJECTED ORDERS'!$E:$E)</f>
        <v>#N/A</v>
      </c>
      <c r="Z2057" s="1"/>
      <c r="AA2057" s="1"/>
    </row>
    <row r="2058" spans="1:27" ht="15" customHeight="1" x14ac:dyDescent="0.35">
      <c r="A2058" s="4" t="s">
        <v>3025</v>
      </c>
      <c r="B2058" s="1" t="s">
        <v>504</v>
      </c>
      <c r="C2058" s="11">
        <v>45243</v>
      </c>
      <c r="D2058" s="11" t="s">
        <v>7656</v>
      </c>
      <c r="E2058" s="1" t="s">
        <v>21</v>
      </c>
      <c r="F2058" s="1" t="s">
        <v>7643</v>
      </c>
      <c r="G2058" s="6">
        <f>COUNTIF(F:F,Table2[[#This Row],[Form '#]])</f>
        <v>1</v>
      </c>
      <c r="H2058" s="1" t="s">
        <v>7644</v>
      </c>
      <c r="I2058" s="1" t="s">
        <v>127</v>
      </c>
      <c r="J2058" s="1" t="s">
        <v>76</v>
      </c>
      <c r="K2058" s="1" t="s">
        <v>4011</v>
      </c>
      <c r="L2058" s="1"/>
      <c r="M2058" s="6" t="str">
        <f>IF(Table2[[#This Row],[Corrected Form '#
 (If Duplicated)]]="",Table2[[#This Row],[Form '#]],Table2[[#This Row],[Corrected Form '#
 (If Duplicated)]])</f>
        <v>7818-27733</v>
      </c>
      <c r="N2058" s="1" t="s">
        <v>49</v>
      </c>
      <c r="O2058" s="6" t="str">
        <f>IF(Table2[[#This Row],[POG CONFIRMATION RECEIPT OF ORDER
(DATE &amp; TIME)]]="","No Confirmation","Received Confirmation")</f>
        <v>Received Confirmation</v>
      </c>
      <c r="P2058" s="6">
        <f ca="1">TODAY()-Table2[[#This Row],[DATE SENT TO POG]]</f>
        <v>60</v>
      </c>
      <c r="Q2058" s="6" t="s">
        <v>5803</v>
      </c>
      <c r="R20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5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58" s="6" t="str">
        <f>_xlfn.XLOOKUP(Table2[[#This Row],[Adjusted Form '#]],'[2]IN PROGRESS'!$D:$D,'[2]IN PROGRESS'!$M:$M,"Not Found")</f>
        <v>Not Found</v>
      </c>
      <c r="U2058" s="6" t="str">
        <f>_xlfn.XLOOKUP(Table2[[#This Row],[Adjusted Form '#]],[1]COMPLETED!$D:$D,[2]COMPLETED!$M:$M,"Not Found")</f>
        <v>Not Found</v>
      </c>
      <c r="V2058" s="13">
        <f>_xlfn.XLOOKUP(Table2[[#This Row],[Adjusted Form '#]],[2]COMPLETED!$D:$D,[2]COMPLETED!$O:$O,"Not Found")</f>
        <v>45262</v>
      </c>
      <c r="W2058" s="6" t="str">
        <f>_xlfn.XLOOKUP(Table2[[#This Row],[Adjusted Form '#]],[2]BILLED!$D:$D,[2]BILLED!$M:$M,"Not Found")</f>
        <v>Not Found</v>
      </c>
      <c r="X2058" s="13" t="str">
        <f>_xlfn.XLOOKUP(Table2[[#This Row],[Adjusted Form '#]],[2]BILLED!$D:$D,[1]BILLED!$O:$O,"Not Found")</f>
        <v>Not Found</v>
      </c>
      <c r="Y2058" s="13" t="e">
        <f>_xlfn.XLOOKUP(Table2[[#This Row],[Adjusted Form '#]],'[2]REJECTED ORDERS'!$D:$D,'[2]REJECTED ORDERS'!$E:$E)</f>
        <v>#N/A</v>
      </c>
      <c r="Z2058" s="1"/>
      <c r="AA2058" s="1"/>
    </row>
    <row r="2059" spans="1:27" ht="15" customHeight="1" x14ac:dyDescent="0.35">
      <c r="A2059" s="4" t="s">
        <v>3027</v>
      </c>
      <c r="B2059" s="1" t="s">
        <v>504</v>
      </c>
      <c r="C2059" s="11">
        <v>45243</v>
      </c>
      <c r="D2059" s="11" t="s">
        <v>7656</v>
      </c>
      <c r="E2059" s="1" t="s">
        <v>21</v>
      </c>
      <c r="F2059" s="1" t="s">
        <v>7645</v>
      </c>
      <c r="G2059" s="6">
        <f>COUNTIF(F:F,Table2[[#This Row],[Form '#]])</f>
        <v>1</v>
      </c>
      <c r="H2059" s="1" t="s">
        <v>2473</v>
      </c>
      <c r="I2059" s="1" t="s">
        <v>177</v>
      </c>
      <c r="J2059" s="1" t="s">
        <v>75</v>
      </c>
      <c r="K2059" s="1" t="s">
        <v>3853</v>
      </c>
      <c r="L2059" s="1"/>
      <c r="M2059" s="6" t="str">
        <f>IF(Table2[[#This Row],[Corrected Form '#
 (If Duplicated)]]="",Table2[[#This Row],[Form '#]],Table2[[#This Row],[Corrected Form '#
 (If Duplicated)]])</f>
        <v>7818-26044</v>
      </c>
      <c r="N2059" s="1" t="s">
        <v>49</v>
      </c>
      <c r="O2059" s="6" t="str">
        <f>IF(Table2[[#This Row],[POG CONFIRMATION RECEIPT OF ORDER
(DATE &amp; TIME)]]="","No Confirmation","Received Confirmation")</f>
        <v>Received Confirmation</v>
      </c>
      <c r="P2059" s="6">
        <f ca="1">TODAY()-Table2[[#This Row],[DATE SENT TO POG]]</f>
        <v>60</v>
      </c>
      <c r="Q2059" s="6" t="s">
        <v>5803</v>
      </c>
      <c r="R20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5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59" s="6" t="str">
        <f>_xlfn.XLOOKUP(Table2[[#This Row],[Adjusted Form '#]],'[2]IN PROGRESS'!$D:$D,'[2]IN PROGRESS'!$M:$M,"Not Found")</f>
        <v>Not Found</v>
      </c>
      <c r="U2059" s="6" t="str">
        <f>_xlfn.XLOOKUP(Table2[[#This Row],[Adjusted Form '#]],[1]COMPLETED!$D:$D,[2]COMPLETED!$M:$M,"Not Found")</f>
        <v>Not Found</v>
      </c>
      <c r="V2059" s="13" t="str">
        <f>_xlfn.XLOOKUP(Table2[[#This Row],[Adjusted Form '#]],[2]COMPLETED!$D:$D,[2]COMPLETED!$O:$O,"Not Found")</f>
        <v>Not Found</v>
      </c>
      <c r="W2059" s="6" t="str">
        <f>_xlfn.XLOOKUP(Table2[[#This Row],[Adjusted Form '#]],[2]BILLED!$D:$D,[2]BILLED!$M:$M,"Not Found")</f>
        <v>9400 1361 0605 3658 6438 13</v>
      </c>
      <c r="X2059" s="13" t="e">
        <f>_xlfn.XLOOKUP(Table2[[#This Row],[Adjusted Form '#]],[2]BILLED!$D:$D,[1]BILLED!$O:$O,"Not Found")</f>
        <v>#REF!</v>
      </c>
      <c r="Y2059" s="13" t="e">
        <f>_xlfn.XLOOKUP(Table2[[#This Row],[Adjusted Form '#]],'[2]REJECTED ORDERS'!$D:$D,'[2]REJECTED ORDERS'!$E:$E)</f>
        <v>#N/A</v>
      </c>
      <c r="Z2059" s="1"/>
      <c r="AA2059" s="1"/>
    </row>
    <row r="2060" spans="1:27" ht="15" customHeight="1" x14ac:dyDescent="0.35">
      <c r="A2060" s="4" t="s">
        <v>3029</v>
      </c>
      <c r="B2060" s="1" t="s">
        <v>504</v>
      </c>
      <c r="C2060" s="11">
        <v>45243</v>
      </c>
      <c r="D2060" s="11" t="s">
        <v>7656</v>
      </c>
      <c r="E2060" s="1" t="s">
        <v>21</v>
      </c>
      <c r="F2060" s="1" t="s">
        <v>7646</v>
      </c>
      <c r="G2060" s="6">
        <f>COUNTIF(F:F,Table2[[#This Row],[Form '#]])</f>
        <v>1</v>
      </c>
      <c r="H2060" s="1" t="s">
        <v>7647</v>
      </c>
      <c r="I2060" s="1" t="s">
        <v>3864</v>
      </c>
      <c r="J2060" s="1" t="s">
        <v>78</v>
      </c>
      <c r="K2060" s="1" t="s">
        <v>3879</v>
      </c>
      <c r="L2060" s="1"/>
      <c r="M2060" s="6" t="str">
        <f>IF(Table2[[#This Row],[Corrected Form '#
 (If Duplicated)]]="",Table2[[#This Row],[Form '#]],Table2[[#This Row],[Corrected Form '#
 (If Duplicated)]])</f>
        <v>7818-11704</v>
      </c>
      <c r="N2060" s="1" t="s">
        <v>49</v>
      </c>
      <c r="O2060" s="6" t="str">
        <f>IF(Table2[[#This Row],[POG CONFIRMATION RECEIPT OF ORDER
(DATE &amp; TIME)]]="","No Confirmation","Received Confirmation")</f>
        <v>Received Confirmation</v>
      </c>
      <c r="P2060" s="6">
        <f ca="1">TODAY()-Table2[[#This Row],[DATE SENT TO POG]]</f>
        <v>60</v>
      </c>
      <c r="Q2060" s="6" t="s">
        <v>5803</v>
      </c>
      <c r="R20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0" s="6" t="str">
        <f>_xlfn.XLOOKUP(Table2[[#This Row],[Adjusted Form '#]],'[2]IN PROGRESS'!$D:$D,'[2]IN PROGRESS'!$M:$M,"Not Found")</f>
        <v>Not Found</v>
      </c>
      <c r="U2060" s="6" t="str">
        <f>_xlfn.XLOOKUP(Table2[[#This Row],[Adjusted Form '#]],[1]COMPLETED!$D:$D,[2]COMPLETED!$M:$M,"Not Found")</f>
        <v>Not Found</v>
      </c>
      <c r="V2060" s="13" t="str">
        <f>_xlfn.XLOOKUP(Table2[[#This Row],[Adjusted Form '#]],[2]COMPLETED!$D:$D,[2]COMPLETED!$O:$O,"Not Found")</f>
        <v>Not Found</v>
      </c>
      <c r="W2060" s="6" t="str">
        <f>_xlfn.XLOOKUP(Table2[[#This Row],[Adjusted Form '#]],[2]BILLED!$D:$D,[2]BILLED!$M:$M,"Not Found")</f>
        <v>9400 1361 0605 3690 8075 32</v>
      </c>
      <c r="X2060" s="13" t="e">
        <f>_xlfn.XLOOKUP(Table2[[#This Row],[Adjusted Form '#]],[2]BILLED!$D:$D,[1]BILLED!$O:$O,"Not Found")</f>
        <v>#REF!</v>
      </c>
      <c r="Y2060" s="13" t="e">
        <f>_xlfn.XLOOKUP(Table2[[#This Row],[Adjusted Form '#]],'[2]REJECTED ORDERS'!$D:$D,'[2]REJECTED ORDERS'!$E:$E)</f>
        <v>#N/A</v>
      </c>
      <c r="Z2060" s="1"/>
      <c r="AA2060" s="1"/>
    </row>
    <row r="2061" spans="1:27" ht="15" customHeight="1" x14ac:dyDescent="0.35">
      <c r="A2061" s="4" t="s">
        <v>3030</v>
      </c>
      <c r="B2061" s="1" t="s">
        <v>504</v>
      </c>
      <c r="C2061" s="11">
        <v>45243</v>
      </c>
      <c r="D2061" s="11" t="s">
        <v>7656</v>
      </c>
      <c r="E2061" s="1" t="s">
        <v>21</v>
      </c>
      <c r="F2061" s="1" t="s">
        <v>7648</v>
      </c>
      <c r="G2061" s="6">
        <f>COUNTIF(F:F,Table2[[#This Row],[Form '#]])</f>
        <v>1</v>
      </c>
      <c r="H2061" s="1" t="s">
        <v>7649</v>
      </c>
      <c r="I2061" s="1" t="s">
        <v>127</v>
      </c>
      <c r="J2061" s="1" t="s">
        <v>76</v>
      </c>
      <c r="K2061" s="1" t="s">
        <v>3883</v>
      </c>
      <c r="L2061" s="1"/>
      <c r="M2061" s="6" t="str">
        <f>IF(Table2[[#This Row],[Corrected Form '#
 (If Duplicated)]]="",Table2[[#This Row],[Form '#]],Table2[[#This Row],[Corrected Form '#
 (If Duplicated)]])</f>
        <v>7818-08650</v>
      </c>
      <c r="N2061" s="1" t="s">
        <v>49</v>
      </c>
      <c r="O2061" s="6" t="str">
        <f>IF(Table2[[#This Row],[POG CONFIRMATION RECEIPT OF ORDER
(DATE &amp; TIME)]]="","No Confirmation","Received Confirmation")</f>
        <v>Received Confirmation</v>
      </c>
      <c r="P2061" s="6">
        <f ca="1">TODAY()-Table2[[#This Row],[DATE SENT TO POG]]</f>
        <v>60</v>
      </c>
      <c r="Q2061" s="6" t="s">
        <v>5803</v>
      </c>
      <c r="R20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1" s="6" t="str">
        <f>_xlfn.XLOOKUP(Table2[[#This Row],[Adjusted Form '#]],'[2]IN PROGRESS'!$D:$D,'[2]IN PROGRESS'!$M:$M,"Not Found")</f>
        <v>Not Found</v>
      </c>
      <c r="U2061" s="6" t="str">
        <f>_xlfn.XLOOKUP(Table2[[#This Row],[Adjusted Form '#]],[1]COMPLETED!$D:$D,[2]COMPLETED!$M:$M,"Not Found")</f>
        <v>Not Found</v>
      </c>
      <c r="V2061" s="13" t="str">
        <f>_xlfn.XLOOKUP(Table2[[#This Row],[Adjusted Form '#]],[2]COMPLETED!$D:$D,[2]COMPLETED!$O:$O,"Not Found")</f>
        <v>Not Found</v>
      </c>
      <c r="W2061" s="6" t="str">
        <f>_xlfn.XLOOKUP(Table2[[#This Row],[Adjusted Form '#]],[2]BILLED!$D:$D,[2]BILLED!$M:$M,"Not Found")</f>
        <v>9400 1361 0605 3659 7125 70</v>
      </c>
      <c r="X2061" s="13" t="e">
        <f>_xlfn.XLOOKUP(Table2[[#This Row],[Adjusted Form '#]],[2]BILLED!$D:$D,[1]BILLED!$O:$O,"Not Found")</f>
        <v>#REF!</v>
      </c>
      <c r="Y2061" s="13" t="e">
        <f>_xlfn.XLOOKUP(Table2[[#This Row],[Adjusted Form '#]],'[2]REJECTED ORDERS'!$D:$D,'[2]REJECTED ORDERS'!$E:$E)</f>
        <v>#N/A</v>
      </c>
      <c r="Z2061" s="1"/>
      <c r="AA2061" s="1"/>
    </row>
    <row r="2062" spans="1:27" ht="15" customHeight="1" x14ac:dyDescent="0.35">
      <c r="A2062" s="4" t="s">
        <v>3032</v>
      </c>
      <c r="B2062" s="1" t="s">
        <v>504</v>
      </c>
      <c r="C2062" s="11">
        <v>45243</v>
      </c>
      <c r="D2062" s="11" t="s">
        <v>7656</v>
      </c>
      <c r="E2062" s="1" t="s">
        <v>21</v>
      </c>
      <c r="F2062" s="1" t="s">
        <v>7650</v>
      </c>
      <c r="G2062" s="6">
        <f>COUNTIF(F:F,Table2[[#This Row],[Form '#]])</f>
        <v>1</v>
      </c>
      <c r="H2062" s="1" t="s">
        <v>3694</v>
      </c>
      <c r="I2062" s="1" t="s">
        <v>28</v>
      </c>
      <c r="J2062" s="1" t="s">
        <v>69</v>
      </c>
      <c r="K2062" s="1" t="s">
        <v>4011</v>
      </c>
      <c r="L2062" s="1"/>
      <c r="M2062" s="6" t="str">
        <f>IF(Table2[[#This Row],[Corrected Form '#
 (If Duplicated)]]="",Table2[[#This Row],[Form '#]],Table2[[#This Row],[Corrected Form '#
 (If Duplicated)]])</f>
        <v>7818-22932</v>
      </c>
      <c r="N2062" s="1" t="s">
        <v>49</v>
      </c>
      <c r="O2062" s="6" t="str">
        <f>IF(Table2[[#This Row],[POG CONFIRMATION RECEIPT OF ORDER
(DATE &amp; TIME)]]="","No Confirmation","Received Confirmation")</f>
        <v>Received Confirmation</v>
      </c>
      <c r="P2062" s="6">
        <f ca="1">TODAY()-Table2[[#This Row],[DATE SENT TO POG]]</f>
        <v>60</v>
      </c>
      <c r="Q2062" s="6" t="s">
        <v>5803</v>
      </c>
      <c r="R20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2" s="6" t="str">
        <f>_xlfn.XLOOKUP(Table2[[#This Row],[Adjusted Form '#]],'[2]IN PROGRESS'!$D:$D,'[2]IN PROGRESS'!$M:$M,"Not Found")</f>
        <v>Not Found</v>
      </c>
      <c r="U2062" s="6" t="str">
        <f>_xlfn.XLOOKUP(Table2[[#This Row],[Adjusted Form '#]],[1]COMPLETED!$D:$D,[2]COMPLETED!$M:$M,"Not Found")</f>
        <v>Not Found</v>
      </c>
      <c r="V2062" s="13" t="str">
        <f>_xlfn.XLOOKUP(Table2[[#This Row],[Adjusted Form '#]],[2]COMPLETED!$D:$D,[2]COMPLETED!$O:$O,"Not Found")</f>
        <v>Not Found</v>
      </c>
      <c r="W2062" s="6" t="str">
        <f>_xlfn.XLOOKUP(Table2[[#This Row],[Adjusted Form '#]],[2]BILLED!$D:$D,[2]BILLED!$M:$M,"Not Found")</f>
        <v>9400 1361 0605 3658 7778 08</v>
      </c>
      <c r="X2062" s="13" t="e">
        <f>_xlfn.XLOOKUP(Table2[[#This Row],[Adjusted Form '#]],[2]BILLED!$D:$D,[1]BILLED!$O:$O,"Not Found")</f>
        <v>#REF!</v>
      </c>
      <c r="Y2062" s="13" t="e">
        <f>_xlfn.XLOOKUP(Table2[[#This Row],[Adjusted Form '#]],'[2]REJECTED ORDERS'!$D:$D,'[2]REJECTED ORDERS'!$E:$E)</f>
        <v>#N/A</v>
      </c>
      <c r="Z2062" s="1"/>
      <c r="AA2062" s="1"/>
    </row>
    <row r="2063" spans="1:27" ht="15" customHeight="1" x14ac:dyDescent="0.35">
      <c r="A2063" s="4" t="s">
        <v>3033</v>
      </c>
      <c r="B2063" s="1" t="s">
        <v>504</v>
      </c>
      <c r="C2063" s="11">
        <v>45243</v>
      </c>
      <c r="D2063" s="11" t="s">
        <v>7656</v>
      </c>
      <c r="E2063" s="1" t="s">
        <v>21</v>
      </c>
      <c r="F2063" s="1" t="s">
        <v>7651</v>
      </c>
      <c r="G2063" s="6">
        <f>COUNTIF(F:F,Table2[[#This Row],[Form '#]])</f>
        <v>1</v>
      </c>
      <c r="H2063" s="1" t="s">
        <v>7652</v>
      </c>
      <c r="I2063" s="1" t="s">
        <v>177</v>
      </c>
      <c r="J2063" s="1" t="s">
        <v>75</v>
      </c>
      <c r="K2063" s="1" t="s">
        <v>3853</v>
      </c>
      <c r="L2063" s="1"/>
      <c r="M2063" s="6" t="str">
        <f>IF(Table2[[#This Row],[Corrected Form '#
 (If Duplicated)]]="",Table2[[#This Row],[Form '#]],Table2[[#This Row],[Corrected Form '#
 (If Duplicated)]])</f>
        <v>7818-25911</v>
      </c>
      <c r="N2063" s="1" t="s">
        <v>49</v>
      </c>
      <c r="O2063" s="6" t="str">
        <f>IF(Table2[[#This Row],[POG CONFIRMATION RECEIPT OF ORDER
(DATE &amp; TIME)]]="","No Confirmation","Received Confirmation")</f>
        <v>Received Confirmation</v>
      </c>
      <c r="P2063" s="6">
        <f ca="1">TODAY()-Table2[[#This Row],[DATE SENT TO POG]]</f>
        <v>60</v>
      </c>
      <c r="Q2063" s="6" t="s">
        <v>5803</v>
      </c>
      <c r="R20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3" s="6" t="str">
        <f>_xlfn.XLOOKUP(Table2[[#This Row],[Adjusted Form '#]],'[2]IN PROGRESS'!$D:$D,'[2]IN PROGRESS'!$M:$M,"Not Found")</f>
        <v>Not Found</v>
      </c>
      <c r="U2063" s="6" t="str">
        <f>_xlfn.XLOOKUP(Table2[[#This Row],[Adjusted Form '#]],[1]COMPLETED!$D:$D,[2]COMPLETED!$M:$M,"Not Found")</f>
        <v>Not Found</v>
      </c>
      <c r="V2063" s="13" t="str">
        <f>_xlfn.XLOOKUP(Table2[[#This Row],[Adjusted Form '#]],[2]COMPLETED!$D:$D,[2]COMPLETED!$O:$O,"Not Found")</f>
        <v>Not Found</v>
      </c>
      <c r="W2063" s="6" t="str">
        <f>_xlfn.XLOOKUP(Table2[[#This Row],[Adjusted Form '#]],[2]BILLED!$D:$D,[2]BILLED!$M:$M,"Not Found")</f>
        <v>9400 1361 0605 3658 7710 66</v>
      </c>
      <c r="X2063" s="13" t="e">
        <f>_xlfn.XLOOKUP(Table2[[#This Row],[Adjusted Form '#]],[2]BILLED!$D:$D,[1]BILLED!$O:$O,"Not Found")</f>
        <v>#REF!</v>
      </c>
      <c r="Y2063" s="13" t="e">
        <f>_xlfn.XLOOKUP(Table2[[#This Row],[Adjusted Form '#]],'[2]REJECTED ORDERS'!$D:$D,'[2]REJECTED ORDERS'!$E:$E)</f>
        <v>#N/A</v>
      </c>
      <c r="Z2063" s="1"/>
      <c r="AA2063" s="1"/>
    </row>
    <row r="2064" spans="1:27" ht="15" customHeight="1" x14ac:dyDescent="0.35">
      <c r="A2064" s="4" t="s">
        <v>3034</v>
      </c>
      <c r="B2064" s="1" t="s">
        <v>3447</v>
      </c>
      <c r="C2064" s="11">
        <v>45243</v>
      </c>
      <c r="D2064" s="11" t="s">
        <v>7655</v>
      </c>
      <c r="E2064" s="1" t="s">
        <v>21</v>
      </c>
      <c r="F2064" s="1" t="s">
        <v>7653</v>
      </c>
      <c r="G2064" s="6">
        <f>COUNTIF(F:F,Table2[[#This Row],[Form '#]])</f>
        <v>1</v>
      </c>
      <c r="H2064" s="1" t="s">
        <v>301</v>
      </c>
      <c r="I2064" s="1" t="s">
        <v>127</v>
      </c>
      <c r="J2064" s="1" t="s">
        <v>76</v>
      </c>
      <c r="K2064" s="1" t="s">
        <v>3883</v>
      </c>
      <c r="L2064" s="1"/>
      <c r="M2064" s="6" t="str">
        <f>IF(Table2[[#This Row],[Corrected Form '#
 (If Duplicated)]]="",Table2[[#This Row],[Form '#]],Table2[[#This Row],[Corrected Form '#
 (If Duplicated)]])</f>
        <v>7818-33363</v>
      </c>
      <c r="N2064" s="1" t="s">
        <v>49</v>
      </c>
      <c r="O2064" s="6" t="str">
        <f>IF(Table2[[#This Row],[POG CONFIRMATION RECEIPT OF ORDER
(DATE &amp; TIME)]]="","No Confirmation","Received Confirmation")</f>
        <v>Received Confirmation</v>
      </c>
      <c r="P2064" s="6">
        <f ca="1">TODAY()-Table2[[#This Row],[DATE SENT TO POG]]</f>
        <v>60</v>
      </c>
      <c r="Q2064" s="6" t="s">
        <v>5803</v>
      </c>
      <c r="R20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4" s="6" t="str">
        <f>_xlfn.XLOOKUP(Table2[[#This Row],[Adjusted Form '#]],'[2]IN PROGRESS'!$D:$D,'[2]IN PROGRESS'!$M:$M,"Not Found")</f>
        <v>Not Found</v>
      </c>
      <c r="U2064" s="6" t="str">
        <f>_xlfn.XLOOKUP(Table2[[#This Row],[Adjusted Form '#]],[1]COMPLETED!$D:$D,[2]COMPLETED!$M:$M,"Not Found")</f>
        <v>Not Found</v>
      </c>
      <c r="V2064" s="13" t="str">
        <f>_xlfn.XLOOKUP(Table2[[#This Row],[Adjusted Form '#]],[2]COMPLETED!$D:$D,[2]COMPLETED!$O:$O,"Not Found")</f>
        <v>Not Found</v>
      </c>
      <c r="W2064" s="6" t="str">
        <f>_xlfn.XLOOKUP(Table2[[#This Row],[Adjusted Form '#]],[2]BILLED!$D:$D,[2]BILLED!$M:$M,"Not Found")</f>
        <v>9400 1361 0605 3659 7833 65</v>
      </c>
      <c r="X2064" s="13" t="e">
        <f>_xlfn.XLOOKUP(Table2[[#This Row],[Adjusted Form '#]],[2]BILLED!$D:$D,[1]BILLED!$O:$O,"Not Found")</f>
        <v>#REF!</v>
      </c>
      <c r="Y2064" s="13" t="e">
        <f>_xlfn.XLOOKUP(Table2[[#This Row],[Adjusted Form '#]],'[2]REJECTED ORDERS'!$D:$D,'[2]REJECTED ORDERS'!$E:$E)</f>
        <v>#N/A</v>
      </c>
      <c r="Z2064" s="1"/>
      <c r="AA2064" s="1"/>
    </row>
    <row r="2065" spans="1:27" ht="15" customHeight="1" x14ac:dyDescent="0.35">
      <c r="A2065" s="4" t="s">
        <v>3035</v>
      </c>
      <c r="B2065" s="1" t="s">
        <v>3447</v>
      </c>
      <c r="C2065" s="11">
        <v>45243</v>
      </c>
      <c r="D2065" s="11" t="s">
        <v>7655</v>
      </c>
      <c r="E2065" s="1" t="s">
        <v>21</v>
      </c>
      <c r="F2065" s="1" t="s">
        <v>7654</v>
      </c>
      <c r="G2065" s="6">
        <f>COUNTIF(F:F,Table2[[#This Row],[Form '#]])</f>
        <v>1</v>
      </c>
      <c r="H2065" s="1" t="s">
        <v>1135</v>
      </c>
      <c r="I2065" s="1" t="s">
        <v>127</v>
      </c>
      <c r="J2065" s="1" t="s">
        <v>71</v>
      </c>
      <c r="K2065" s="1" t="s">
        <v>3883</v>
      </c>
      <c r="L2065" s="1"/>
      <c r="M2065" s="6" t="str">
        <f>IF(Table2[[#This Row],[Corrected Form '#
 (If Duplicated)]]="",Table2[[#This Row],[Form '#]],Table2[[#This Row],[Corrected Form '#
 (If Duplicated)]])</f>
        <v>7818-33364</v>
      </c>
      <c r="N2065" s="1" t="s">
        <v>49</v>
      </c>
      <c r="O2065" s="6" t="str">
        <f>IF(Table2[[#This Row],[POG CONFIRMATION RECEIPT OF ORDER
(DATE &amp; TIME)]]="","No Confirmation","Received Confirmation")</f>
        <v>Received Confirmation</v>
      </c>
      <c r="P2065" s="6">
        <f ca="1">TODAY()-Table2[[#This Row],[DATE SENT TO POG]]</f>
        <v>60</v>
      </c>
      <c r="Q2065" s="6" t="s">
        <v>5803</v>
      </c>
      <c r="R20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5" s="6" t="str">
        <f>_xlfn.XLOOKUP(Table2[[#This Row],[Adjusted Form '#]],'[2]IN PROGRESS'!$D:$D,'[2]IN PROGRESS'!$M:$M,"Not Found")</f>
        <v>Not Found</v>
      </c>
      <c r="U2065" s="6" t="str">
        <f>_xlfn.XLOOKUP(Table2[[#This Row],[Adjusted Form '#]],[1]COMPLETED!$D:$D,[2]COMPLETED!$M:$M,"Not Found")</f>
        <v>Not Found</v>
      </c>
      <c r="V2065" s="13" t="str">
        <f>_xlfn.XLOOKUP(Table2[[#This Row],[Adjusted Form '#]],[2]COMPLETED!$D:$D,[2]COMPLETED!$O:$O,"Not Found")</f>
        <v>Not Found</v>
      </c>
      <c r="W2065" s="6" t="str">
        <f>_xlfn.XLOOKUP(Table2[[#This Row],[Adjusted Form '#]],[2]BILLED!$D:$D,[2]BILLED!$M:$M,"Not Found")</f>
        <v>9400 1361 0605 3690 7378 91</v>
      </c>
      <c r="X2065" s="13" t="e">
        <f>_xlfn.XLOOKUP(Table2[[#This Row],[Adjusted Form '#]],[2]BILLED!$D:$D,[1]BILLED!$O:$O,"Not Found")</f>
        <v>#REF!</v>
      </c>
      <c r="Y2065" s="13" t="e">
        <f>_xlfn.XLOOKUP(Table2[[#This Row],[Adjusted Form '#]],'[2]REJECTED ORDERS'!$D:$D,'[2]REJECTED ORDERS'!$E:$E)</f>
        <v>#N/A</v>
      </c>
      <c r="Z2065" s="1"/>
      <c r="AA2065" s="1"/>
    </row>
    <row r="2066" spans="1:27" ht="15" customHeight="1" x14ac:dyDescent="0.35">
      <c r="A2066" s="4" t="s">
        <v>3036</v>
      </c>
      <c r="B2066" s="1" t="s">
        <v>2035</v>
      </c>
      <c r="C2066" s="11">
        <v>45243</v>
      </c>
      <c r="D2066" s="11" t="s">
        <v>7658</v>
      </c>
      <c r="E2066" s="1" t="s">
        <v>73</v>
      </c>
      <c r="F2066" s="1" t="s">
        <v>7657</v>
      </c>
      <c r="G2066" s="6">
        <f>COUNTIF(F:F,Table2[[#This Row],[Form '#]])</f>
        <v>1</v>
      </c>
      <c r="H2066" s="1" t="s">
        <v>2153</v>
      </c>
      <c r="I2066" s="1" t="s">
        <v>3852</v>
      </c>
      <c r="J2066" s="1" t="s">
        <v>80</v>
      </c>
      <c r="K2066" s="1" t="s">
        <v>3853</v>
      </c>
      <c r="L2066" s="1"/>
      <c r="M2066" s="6" t="str">
        <f>IF(Table2[[#This Row],[Corrected Form '#
 (If Duplicated)]]="",Table2[[#This Row],[Form '#]],Table2[[#This Row],[Corrected Form '#
 (If Duplicated)]])</f>
        <v>7823-02820</v>
      </c>
      <c r="N2066" s="1" t="s">
        <v>49</v>
      </c>
      <c r="O2066" s="6" t="str">
        <f>IF(Table2[[#This Row],[POG CONFIRMATION RECEIPT OF ORDER
(DATE &amp; TIME)]]="","No Confirmation","Received Confirmation")</f>
        <v>Received Confirmation</v>
      </c>
      <c r="P2066" s="6">
        <f ca="1">TODAY()-Table2[[#This Row],[DATE SENT TO POG]]</f>
        <v>60</v>
      </c>
      <c r="Q2066" s="6" t="s">
        <v>5803</v>
      </c>
      <c r="R20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6" s="6" t="str">
        <f>_xlfn.XLOOKUP(Table2[[#This Row],[Adjusted Form '#]],'[2]IN PROGRESS'!$D:$D,'[2]IN PROGRESS'!$M:$M,"Not Found")</f>
        <v>Not Found</v>
      </c>
      <c r="U2066" s="6" t="str">
        <f>_xlfn.XLOOKUP(Table2[[#This Row],[Adjusted Form '#]],[1]COMPLETED!$D:$D,[2]COMPLETED!$M:$M,"Not Found")</f>
        <v>Not Found</v>
      </c>
      <c r="V2066" s="13" t="str">
        <f>_xlfn.XLOOKUP(Table2[[#This Row],[Adjusted Form '#]],[2]COMPLETED!$D:$D,[2]COMPLETED!$O:$O,"Not Found")</f>
        <v>Not Found</v>
      </c>
      <c r="W2066" s="6" t="str">
        <f>_xlfn.XLOOKUP(Table2[[#This Row],[Adjusted Form '#]],[2]BILLED!$D:$D,[2]BILLED!$M:$M,"Not Found")</f>
        <v>9400 1361 0605 3661 8130 36</v>
      </c>
      <c r="X2066" s="13" t="e">
        <f>_xlfn.XLOOKUP(Table2[[#This Row],[Adjusted Form '#]],[2]BILLED!$D:$D,[1]BILLED!$O:$O,"Not Found")</f>
        <v>#REF!</v>
      </c>
      <c r="Y2066" s="13" t="e">
        <f>_xlfn.XLOOKUP(Table2[[#This Row],[Adjusted Form '#]],'[2]REJECTED ORDERS'!$D:$D,'[2]REJECTED ORDERS'!$E:$E)</f>
        <v>#N/A</v>
      </c>
      <c r="Z2066" s="1"/>
      <c r="AA2066" s="1"/>
    </row>
    <row r="2067" spans="1:27" ht="15" customHeight="1" x14ac:dyDescent="0.35">
      <c r="A2067" s="4" t="s">
        <v>3037</v>
      </c>
      <c r="B2067" s="1" t="s">
        <v>1031</v>
      </c>
      <c r="C2067" s="11">
        <v>45243</v>
      </c>
      <c r="D2067" s="11" t="s">
        <v>7660</v>
      </c>
      <c r="E2067" s="1" t="s">
        <v>191</v>
      </c>
      <c r="F2067" s="1" t="s">
        <v>7659</v>
      </c>
      <c r="G2067" s="6">
        <f>COUNTIF(F:F,Table2[[#This Row],[Form '#]])</f>
        <v>1</v>
      </c>
      <c r="H2067" s="1" t="s">
        <v>2138</v>
      </c>
      <c r="I2067" s="1" t="s">
        <v>127</v>
      </c>
      <c r="J2067" s="1" t="s">
        <v>76</v>
      </c>
      <c r="K2067" s="1" t="s">
        <v>4011</v>
      </c>
      <c r="L2067" s="1"/>
      <c r="M2067" s="6" t="str">
        <f>IF(Table2[[#This Row],[Corrected Form '#
 (If Duplicated)]]="",Table2[[#This Row],[Form '#]],Table2[[#This Row],[Corrected Form '#
 (If Duplicated)]])</f>
        <v>7812-04507</v>
      </c>
      <c r="N2067" s="1" t="s">
        <v>49</v>
      </c>
      <c r="O2067" s="6" t="str">
        <f>IF(Table2[[#This Row],[POG CONFIRMATION RECEIPT OF ORDER
(DATE &amp; TIME)]]="","No Confirmation","Received Confirmation")</f>
        <v>Received Confirmation</v>
      </c>
      <c r="P2067" s="6">
        <f ca="1">TODAY()-Table2[[#This Row],[DATE SENT TO POG]]</f>
        <v>60</v>
      </c>
      <c r="Q2067" s="6" t="s">
        <v>5803</v>
      </c>
      <c r="R20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7" s="6" t="str">
        <f>_xlfn.XLOOKUP(Table2[[#This Row],[Adjusted Form '#]],'[2]IN PROGRESS'!$D:$D,'[2]IN PROGRESS'!$M:$M,"Not Found")</f>
        <v>Not Found</v>
      </c>
      <c r="U2067" s="6" t="str">
        <f>_xlfn.XLOOKUP(Table2[[#This Row],[Adjusted Form '#]],[1]COMPLETED!$D:$D,[2]COMPLETED!$M:$M,"Not Found")</f>
        <v>Not Found</v>
      </c>
      <c r="V2067" s="13" t="str">
        <f>_xlfn.XLOOKUP(Table2[[#This Row],[Adjusted Form '#]],[2]COMPLETED!$D:$D,[2]COMPLETED!$O:$O,"Not Found")</f>
        <v>Not Found</v>
      </c>
      <c r="W2067" s="6" t="str">
        <f>_xlfn.XLOOKUP(Table2[[#This Row],[Adjusted Form '#]],[2]BILLED!$D:$D,[2]BILLED!$M:$M,"Not Found")</f>
        <v>9400 1112 0620 9370 4690 02</v>
      </c>
      <c r="X2067" s="13" t="e">
        <f>_xlfn.XLOOKUP(Table2[[#This Row],[Adjusted Form '#]],[2]BILLED!$D:$D,[1]BILLED!$O:$O,"Not Found")</f>
        <v>#REF!</v>
      </c>
      <c r="Y2067" s="13" t="e">
        <f>_xlfn.XLOOKUP(Table2[[#This Row],[Adjusted Form '#]],'[2]REJECTED ORDERS'!$D:$D,'[2]REJECTED ORDERS'!$E:$E)</f>
        <v>#N/A</v>
      </c>
      <c r="Z2067" s="1"/>
      <c r="AA2067" s="1"/>
    </row>
    <row r="2068" spans="1:27" ht="15" customHeight="1" x14ac:dyDescent="0.35">
      <c r="A2068" s="4" t="s">
        <v>3038</v>
      </c>
      <c r="B2068" s="1" t="s">
        <v>2335</v>
      </c>
      <c r="C2068" s="11">
        <v>45244</v>
      </c>
      <c r="D2068" s="11" t="s">
        <v>7662</v>
      </c>
      <c r="E2068" s="1" t="s">
        <v>191</v>
      </c>
      <c r="F2068" s="1" t="s">
        <v>7661</v>
      </c>
      <c r="G2068" s="6">
        <f>COUNTIF(F:F,Table2[[#This Row],[Form '#]])</f>
        <v>1</v>
      </c>
      <c r="H2068" s="1" t="s">
        <v>2136</v>
      </c>
      <c r="I2068" s="1" t="s">
        <v>177</v>
      </c>
      <c r="J2068" s="1" t="s">
        <v>75</v>
      </c>
      <c r="K2068" s="1" t="s">
        <v>3853</v>
      </c>
      <c r="L2068" s="1"/>
      <c r="M2068" s="6" t="str">
        <f>IF(Table2[[#This Row],[Corrected Form '#
 (If Duplicated)]]="",Table2[[#This Row],[Form '#]],Table2[[#This Row],[Corrected Form '#
 (If Duplicated)]])</f>
        <v>7812-02598</v>
      </c>
      <c r="N2068" s="1" t="s">
        <v>49</v>
      </c>
      <c r="O2068" s="6" t="str">
        <f>IF(Table2[[#This Row],[POG CONFIRMATION RECEIPT OF ORDER
(DATE &amp; TIME)]]="","No Confirmation","Received Confirmation")</f>
        <v>Received Confirmation</v>
      </c>
      <c r="P2068" s="6">
        <f ca="1">TODAY()-Table2[[#This Row],[DATE SENT TO POG]]</f>
        <v>59</v>
      </c>
      <c r="Q2068" s="6" t="s">
        <v>5803</v>
      </c>
      <c r="R20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8" s="6" t="str">
        <f>_xlfn.XLOOKUP(Table2[[#This Row],[Adjusted Form '#]],'[2]IN PROGRESS'!$D:$D,'[2]IN PROGRESS'!$M:$M,"Not Found")</f>
        <v>Not Found</v>
      </c>
      <c r="U2068" s="6" t="str">
        <f>_xlfn.XLOOKUP(Table2[[#This Row],[Adjusted Form '#]],[1]COMPLETED!$D:$D,[2]COMPLETED!$M:$M,"Not Found")</f>
        <v>Not Found</v>
      </c>
      <c r="V2068" s="13" t="str">
        <f>_xlfn.XLOOKUP(Table2[[#This Row],[Adjusted Form '#]],[2]COMPLETED!$D:$D,[2]COMPLETED!$O:$O,"Not Found")</f>
        <v>Not Found</v>
      </c>
      <c r="W2068" s="6" t="str">
        <f>_xlfn.XLOOKUP(Table2[[#This Row],[Adjusted Form '#]],[2]BILLED!$D:$D,[2]BILLED!$M:$M,"Not Found")</f>
        <v>9400 1361 0605 3676 0037 43</v>
      </c>
      <c r="X2068" s="13" t="e">
        <f>_xlfn.XLOOKUP(Table2[[#This Row],[Adjusted Form '#]],[2]BILLED!$D:$D,[1]BILLED!$O:$O,"Not Found")</f>
        <v>#REF!</v>
      </c>
      <c r="Y2068" s="13" t="e">
        <f>_xlfn.XLOOKUP(Table2[[#This Row],[Adjusted Form '#]],'[2]REJECTED ORDERS'!$D:$D,'[2]REJECTED ORDERS'!$E:$E)</f>
        <v>#N/A</v>
      </c>
      <c r="Z2068" s="1"/>
      <c r="AA2068" s="1"/>
    </row>
    <row r="2069" spans="1:27" ht="15" customHeight="1" x14ac:dyDescent="0.35">
      <c r="A2069" s="4" t="s">
        <v>3039</v>
      </c>
      <c r="B2069" s="1" t="s">
        <v>2019</v>
      </c>
      <c r="C2069" s="11">
        <v>45245</v>
      </c>
      <c r="D2069" s="11" t="s">
        <v>7663</v>
      </c>
      <c r="E2069" s="1" t="s">
        <v>73</v>
      </c>
      <c r="F2069" s="1" t="s">
        <v>7247</v>
      </c>
      <c r="G2069" s="6">
        <f>COUNTIF(F:F,Table2[[#This Row],[Form '#]])</f>
        <v>2</v>
      </c>
      <c r="H2069" s="1" t="s">
        <v>3578</v>
      </c>
      <c r="I2069" s="1" t="s">
        <v>3852</v>
      </c>
      <c r="J2069" s="1" t="s">
        <v>80</v>
      </c>
      <c r="K2069" s="1" t="s">
        <v>3853</v>
      </c>
      <c r="L2069" s="1"/>
      <c r="M2069" s="6" t="str">
        <f>IF(Table2[[#This Row],[Corrected Form '#
 (If Duplicated)]]="",Table2[[#This Row],[Form '#]],Table2[[#This Row],[Corrected Form '#
 (If Duplicated)]])</f>
        <v>7823-03172</v>
      </c>
      <c r="N2069" s="1" t="s">
        <v>49</v>
      </c>
      <c r="O2069" s="6" t="str">
        <f>IF(Table2[[#This Row],[POG CONFIRMATION RECEIPT OF ORDER
(DATE &amp; TIME)]]="","No Confirmation","Received Confirmation")</f>
        <v>Received Confirmation</v>
      </c>
      <c r="P2069" s="6">
        <f ca="1">TODAY()-Table2[[#This Row],[DATE SENT TO POG]]</f>
        <v>58</v>
      </c>
      <c r="Q2069" s="6" t="s">
        <v>5803</v>
      </c>
      <c r="R20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6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69" s="6" t="str">
        <f>_xlfn.XLOOKUP(Table2[[#This Row],[Adjusted Form '#]],'[2]IN PROGRESS'!$D:$D,'[2]IN PROGRESS'!$M:$M,"Not Found")</f>
        <v>Not Found</v>
      </c>
      <c r="U2069" s="6" t="str">
        <f>_xlfn.XLOOKUP(Table2[[#This Row],[Adjusted Form '#]],[1]COMPLETED!$D:$D,[2]COMPLETED!$M:$M,"Not Found")</f>
        <v>Not Found</v>
      </c>
      <c r="V2069" s="13" t="str">
        <f>_xlfn.XLOOKUP(Table2[[#This Row],[Adjusted Form '#]],[2]COMPLETED!$D:$D,[2]COMPLETED!$O:$O,"Not Found")</f>
        <v>Not Found</v>
      </c>
      <c r="W2069" s="6" t="str">
        <f>_xlfn.XLOOKUP(Table2[[#This Row],[Adjusted Form '#]],[2]BILLED!$D:$D,[2]BILLED!$M:$M,"Not Found")</f>
        <v>9400 1361 0605 3517 5525 84</v>
      </c>
      <c r="X2069" s="13" t="e">
        <f>_xlfn.XLOOKUP(Table2[[#This Row],[Adjusted Form '#]],[2]BILLED!$D:$D,[1]BILLED!$O:$O,"Not Found")</f>
        <v>#REF!</v>
      </c>
      <c r="Y2069" s="13" t="e">
        <f>_xlfn.XLOOKUP(Table2[[#This Row],[Adjusted Form '#]],'[2]REJECTED ORDERS'!$D:$D,'[2]REJECTED ORDERS'!$E:$E)</f>
        <v>#N/A</v>
      </c>
      <c r="Z2069" s="1"/>
      <c r="AA2069" s="1"/>
    </row>
    <row r="2070" spans="1:27" ht="15" customHeight="1" x14ac:dyDescent="0.35">
      <c r="A2070" s="4" t="s">
        <v>3041</v>
      </c>
      <c r="B2070" s="1" t="s">
        <v>343</v>
      </c>
      <c r="C2070" s="11">
        <v>45245</v>
      </c>
      <c r="D2070" s="11" t="s">
        <v>7665</v>
      </c>
      <c r="E2070" s="1" t="s">
        <v>191</v>
      </c>
      <c r="F2070" s="1" t="s">
        <v>7664</v>
      </c>
      <c r="G2070" s="6">
        <f>COUNTIF(F:F,Table2[[#This Row],[Form '#]])</f>
        <v>1</v>
      </c>
      <c r="H2070" s="1" t="s">
        <v>3924</v>
      </c>
      <c r="I2070" s="1" t="s">
        <v>3852</v>
      </c>
      <c r="J2070" s="1" t="s">
        <v>80</v>
      </c>
      <c r="K2070" s="1" t="s">
        <v>3853</v>
      </c>
      <c r="L2070" s="1"/>
      <c r="M2070" s="6" t="str">
        <f>IF(Table2[[#This Row],[Corrected Form '#
 (If Duplicated)]]="",Table2[[#This Row],[Form '#]],Table2[[#This Row],[Corrected Form '#
 (If Duplicated)]])</f>
        <v>7812-02843</v>
      </c>
      <c r="N2070" s="1" t="s">
        <v>49</v>
      </c>
      <c r="O2070" s="6" t="str">
        <f>IF(Table2[[#This Row],[POG CONFIRMATION RECEIPT OF ORDER
(DATE &amp; TIME)]]="","No Confirmation","Received Confirmation")</f>
        <v>Received Confirmation</v>
      </c>
      <c r="P2070" s="6">
        <f ca="1">TODAY()-Table2[[#This Row],[DATE SENT TO POG]]</f>
        <v>58</v>
      </c>
      <c r="Q2070" s="6" t="s">
        <v>5802</v>
      </c>
      <c r="R20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7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70" s="6" t="str">
        <f>_xlfn.XLOOKUP(Table2[[#This Row],[Adjusted Form '#]],'[2]IN PROGRESS'!$D:$D,'[2]IN PROGRESS'!$M:$M,"Not Found")</f>
        <v>Not Found</v>
      </c>
      <c r="U2070" s="6" t="str">
        <f>_xlfn.XLOOKUP(Table2[[#This Row],[Adjusted Form '#]],[1]COMPLETED!$D:$D,[2]COMPLETED!$M:$M,"Not Found")</f>
        <v>Not Found</v>
      </c>
      <c r="V2070" s="13" t="str">
        <f>_xlfn.XLOOKUP(Table2[[#This Row],[Adjusted Form '#]],[2]COMPLETED!$D:$D,[2]COMPLETED!$O:$O,"Not Found")</f>
        <v>Not Found</v>
      </c>
      <c r="W2070" s="6" t="str">
        <f>_xlfn.XLOOKUP(Table2[[#This Row],[Adjusted Form '#]],[2]BILLED!$D:$D,[2]BILLED!$M:$M,"Not Found")</f>
        <v>Not Found</v>
      </c>
      <c r="X2070" s="13" t="str">
        <f>_xlfn.XLOOKUP(Table2[[#This Row],[Adjusted Form '#]],[2]BILLED!$D:$D,[1]BILLED!$O:$O,"Not Found")</f>
        <v>Not Found</v>
      </c>
      <c r="Y2070" s="13" t="e">
        <f>_xlfn.XLOOKUP(Table2[[#This Row],[Adjusted Form '#]],'[2]REJECTED ORDERS'!$D:$D,'[2]REJECTED ORDERS'!$E:$E)</f>
        <v>#N/A</v>
      </c>
      <c r="Z2070" s="1"/>
      <c r="AA2070" s="1"/>
    </row>
    <row r="2071" spans="1:27" ht="15" customHeight="1" x14ac:dyDescent="0.35">
      <c r="A2071" s="4" t="s">
        <v>3042</v>
      </c>
      <c r="B2071" s="1" t="s">
        <v>2772</v>
      </c>
      <c r="C2071" s="11">
        <v>45245</v>
      </c>
      <c r="D2071" s="11" t="s">
        <v>7668</v>
      </c>
      <c r="E2071" s="1" t="s">
        <v>14</v>
      </c>
      <c r="F2071" s="1" t="s">
        <v>7666</v>
      </c>
      <c r="G2071" s="6">
        <f>COUNTIF(F:F,Table2[[#This Row],[Form '#]])</f>
        <v>1</v>
      </c>
      <c r="H2071" s="1" t="s">
        <v>7667</v>
      </c>
      <c r="I2071" s="1" t="s">
        <v>127</v>
      </c>
      <c r="J2071" s="1" t="s">
        <v>74</v>
      </c>
      <c r="K2071" s="1" t="s">
        <v>3919</v>
      </c>
      <c r="L2071" s="1"/>
      <c r="M2071" s="6" t="str">
        <f>IF(Table2[[#This Row],[Corrected Form '#
 (If Duplicated)]]="",Table2[[#This Row],[Form '#]],Table2[[#This Row],[Corrected Form '#
 (If Duplicated)]])</f>
        <v>7810-0042</v>
      </c>
      <c r="N2071" s="1" t="s">
        <v>49</v>
      </c>
      <c r="O2071" s="6" t="str">
        <f>IF(Table2[[#This Row],[POG CONFIRMATION RECEIPT OF ORDER
(DATE &amp; TIME)]]="","No Confirmation","Received Confirmation")</f>
        <v>Received Confirmation</v>
      </c>
      <c r="P2071" s="6">
        <f ca="1">TODAY()-Table2[[#This Row],[DATE SENT TO POG]]</f>
        <v>58</v>
      </c>
      <c r="Q2071" s="6" t="s">
        <v>5802</v>
      </c>
      <c r="R20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7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71" s="6" t="str">
        <f>_xlfn.XLOOKUP(Table2[[#This Row],[Adjusted Form '#]],'[2]IN PROGRESS'!$D:$D,'[2]IN PROGRESS'!$M:$M,"Not Found")</f>
        <v>Not Found</v>
      </c>
      <c r="U2071" s="6" t="str">
        <f>_xlfn.XLOOKUP(Table2[[#This Row],[Adjusted Form '#]],[1]COMPLETED!$D:$D,[2]COMPLETED!$M:$M,"Not Found")</f>
        <v>Not Found</v>
      </c>
      <c r="V2071" s="13" t="str">
        <f>_xlfn.XLOOKUP(Table2[[#This Row],[Adjusted Form '#]],[2]COMPLETED!$D:$D,[2]COMPLETED!$O:$O,"Not Found")</f>
        <v>Not Found</v>
      </c>
      <c r="W2071" s="6" t="str">
        <f>_xlfn.XLOOKUP(Table2[[#This Row],[Adjusted Form '#]],[2]BILLED!$D:$D,[2]BILLED!$M:$M,"Not Found")</f>
        <v>Not Found</v>
      </c>
      <c r="X2071" s="13" t="str">
        <f>_xlfn.XLOOKUP(Table2[[#This Row],[Adjusted Form '#]],[2]BILLED!$D:$D,[1]BILLED!$O:$O,"Not Found")</f>
        <v>Not Found</v>
      </c>
      <c r="Y2071" s="13" t="e">
        <f>_xlfn.XLOOKUP(Table2[[#This Row],[Adjusted Form '#]],'[2]REJECTED ORDERS'!$D:$D,'[2]REJECTED ORDERS'!$E:$E)</f>
        <v>#N/A</v>
      </c>
      <c r="Z2071" s="1"/>
      <c r="AA2071" s="1"/>
    </row>
    <row r="2072" spans="1:27" ht="15" customHeight="1" x14ac:dyDescent="0.35">
      <c r="A2072" s="4" t="s">
        <v>3043</v>
      </c>
      <c r="B2072" s="1" t="s">
        <v>1532</v>
      </c>
      <c r="C2072" s="11">
        <v>45245</v>
      </c>
      <c r="D2072" s="11" t="s">
        <v>7682</v>
      </c>
      <c r="E2072" s="1" t="s">
        <v>21</v>
      </c>
      <c r="F2072" s="1" t="s">
        <v>7669</v>
      </c>
      <c r="G2072" s="6">
        <f>COUNTIF(F:F,Table2[[#This Row],[Form '#]])</f>
        <v>1</v>
      </c>
      <c r="H2072" s="1" t="s">
        <v>3598</v>
      </c>
      <c r="I2072" s="1" t="s">
        <v>127</v>
      </c>
      <c r="J2072" s="1" t="s">
        <v>76</v>
      </c>
      <c r="K2072" s="1" t="s">
        <v>4011</v>
      </c>
      <c r="L2072" s="1"/>
      <c r="M2072" s="6" t="str">
        <f>IF(Table2[[#This Row],[Corrected Form '#
 (If Duplicated)]]="",Table2[[#This Row],[Form '#]],Table2[[#This Row],[Corrected Form '#
 (If Duplicated)]])</f>
        <v>7818-14058</v>
      </c>
      <c r="N2072" s="1" t="s">
        <v>49</v>
      </c>
      <c r="O2072" s="6" t="str">
        <f>IF(Table2[[#This Row],[POG CONFIRMATION RECEIPT OF ORDER
(DATE &amp; TIME)]]="","No Confirmation","Received Confirmation")</f>
        <v>Received Confirmation</v>
      </c>
      <c r="P2072" s="6">
        <f ca="1">TODAY()-Table2[[#This Row],[DATE SENT TO POG]]</f>
        <v>58</v>
      </c>
      <c r="Q2072" s="6" t="s">
        <v>5803</v>
      </c>
      <c r="R20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2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2" s="6" t="str">
        <f>_xlfn.XLOOKUP(Table2[[#This Row],[Adjusted Form '#]],'[2]IN PROGRESS'!$D:$D,'[2]IN PROGRESS'!$M:$M,"Not Found")</f>
        <v>Not Found</v>
      </c>
      <c r="U2072" s="6" t="str">
        <f>_xlfn.XLOOKUP(Table2[[#This Row],[Adjusted Form '#]],[1]COMPLETED!$D:$D,[2]COMPLETED!$M:$M,"Not Found")</f>
        <v>Not Found</v>
      </c>
      <c r="V2072" s="13" t="str">
        <f>_xlfn.XLOOKUP(Table2[[#This Row],[Adjusted Form '#]],[2]COMPLETED!$D:$D,[2]COMPLETED!$O:$O,"Not Found")</f>
        <v>Not Found</v>
      </c>
      <c r="W2072" s="6" t="str">
        <f>_xlfn.XLOOKUP(Table2[[#This Row],[Adjusted Form '#]],[2]BILLED!$D:$D,[2]BILLED!$M:$M,"Not Found")</f>
        <v>9400 1361 0605 3679 5795 59</v>
      </c>
      <c r="X2072" s="13" t="e">
        <f>_xlfn.XLOOKUP(Table2[[#This Row],[Adjusted Form '#]],[2]BILLED!$D:$D,[1]BILLED!$O:$O,"Not Found")</f>
        <v>#REF!</v>
      </c>
      <c r="Y2072" s="13" t="e">
        <f>_xlfn.XLOOKUP(Table2[[#This Row],[Adjusted Form '#]],'[2]REJECTED ORDERS'!$D:$D,'[2]REJECTED ORDERS'!$E:$E)</f>
        <v>#N/A</v>
      </c>
      <c r="Z2072" s="1"/>
      <c r="AA2072" s="1"/>
    </row>
    <row r="2073" spans="1:27" ht="15" customHeight="1" x14ac:dyDescent="0.35">
      <c r="A2073" s="4" t="s">
        <v>3045</v>
      </c>
      <c r="B2073" s="1" t="s">
        <v>1532</v>
      </c>
      <c r="C2073" s="11">
        <v>45245</v>
      </c>
      <c r="D2073" s="11" t="s">
        <v>7682</v>
      </c>
      <c r="E2073" s="1" t="s">
        <v>21</v>
      </c>
      <c r="F2073" s="1" t="s">
        <v>7670</v>
      </c>
      <c r="G2073" s="6">
        <f>COUNTIF(F:F,Table2[[#This Row],[Form '#]])</f>
        <v>1</v>
      </c>
      <c r="H2073" s="1" t="s">
        <v>7671</v>
      </c>
      <c r="I2073" s="1" t="s">
        <v>3864</v>
      </c>
      <c r="J2073" s="1" t="s">
        <v>78</v>
      </c>
      <c r="K2073" s="1" t="s">
        <v>3879</v>
      </c>
      <c r="L2073" s="1"/>
      <c r="M2073" s="6" t="str">
        <f>IF(Table2[[#This Row],[Corrected Form '#
 (If Duplicated)]]="",Table2[[#This Row],[Form '#]],Table2[[#This Row],[Corrected Form '#
 (If Duplicated)]])</f>
        <v>7818-32916</v>
      </c>
      <c r="N2073" s="1" t="s">
        <v>49</v>
      </c>
      <c r="O2073" s="6" t="str">
        <f>IF(Table2[[#This Row],[POG CONFIRMATION RECEIPT OF ORDER
(DATE &amp; TIME)]]="","No Confirmation","Received Confirmation")</f>
        <v>Received Confirmation</v>
      </c>
      <c r="P2073" s="6">
        <f ca="1">TODAY()-Table2[[#This Row],[DATE SENT TO POG]]</f>
        <v>58</v>
      </c>
      <c r="Q2073" s="6" t="s">
        <v>5803</v>
      </c>
      <c r="R20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3" s="6" t="str">
        <f>_xlfn.XLOOKUP(Table2[[#This Row],[Adjusted Form '#]],'[2]IN PROGRESS'!$D:$D,'[2]IN PROGRESS'!$M:$M,"Not Found")</f>
        <v>Not Found</v>
      </c>
      <c r="U2073" s="6" t="str">
        <f>_xlfn.XLOOKUP(Table2[[#This Row],[Adjusted Form '#]],[1]COMPLETED!$D:$D,[2]COMPLETED!$M:$M,"Not Found")</f>
        <v>Not Found</v>
      </c>
      <c r="V2073" s="13" t="str">
        <f>_xlfn.XLOOKUP(Table2[[#This Row],[Adjusted Form '#]],[2]COMPLETED!$D:$D,[2]COMPLETED!$O:$O,"Not Found")</f>
        <v>Not Found</v>
      </c>
      <c r="W2073" s="6" t="str">
        <f>_xlfn.XLOOKUP(Table2[[#This Row],[Adjusted Form '#]],[2]BILLED!$D:$D,[2]BILLED!$M:$M,"Not Found")</f>
        <v>9400 1361 0605 3683 8495 18</v>
      </c>
      <c r="X2073" s="13" t="e">
        <f>_xlfn.XLOOKUP(Table2[[#This Row],[Adjusted Form '#]],[2]BILLED!$D:$D,[1]BILLED!$O:$O,"Not Found")</f>
        <v>#REF!</v>
      </c>
      <c r="Y2073" s="13" t="e">
        <f>_xlfn.XLOOKUP(Table2[[#This Row],[Adjusted Form '#]],'[2]REJECTED ORDERS'!$D:$D,'[2]REJECTED ORDERS'!$E:$E)</f>
        <v>#N/A</v>
      </c>
      <c r="Z2073" s="1"/>
      <c r="AA2073" s="1"/>
    </row>
    <row r="2074" spans="1:27" ht="15" customHeight="1" x14ac:dyDescent="0.35">
      <c r="A2074" s="4" t="s">
        <v>3046</v>
      </c>
      <c r="B2074" s="1" t="s">
        <v>1532</v>
      </c>
      <c r="C2074" s="11">
        <v>45245</v>
      </c>
      <c r="D2074" s="11" t="s">
        <v>7682</v>
      </c>
      <c r="E2074" s="1" t="s">
        <v>21</v>
      </c>
      <c r="F2074" s="1" t="s">
        <v>7672</v>
      </c>
      <c r="G2074" s="6">
        <f>COUNTIF(F:F,Table2[[#This Row],[Form '#]])</f>
        <v>1</v>
      </c>
      <c r="H2074" s="1" t="s">
        <v>1569</v>
      </c>
      <c r="I2074" s="1" t="s">
        <v>127</v>
      </c>
      <c r="J2074" s="1" t="s">
        <v>76</v>
      </c>
      <c r="K2074" s="1" t="s">
        <v>3919</v>
      </c>
      <c r="L2074" s="1"/>
      <c r="M2074" s="6" t="str">
        <f>IF(Table2[[#This Row],[Corrected Form '#
 (If Duplicated)]]="",Table2[[#This Row],[Form '#]],Table2[[#This Row],[Corrected Form '#
 (If Duplicated)]])</f>
        <v>7818-29559</v>
      </c>
      <c r="N2074" s="1" t="s">
        <v>49</v>
      </c>
      <c r="O2074" s="6" t="str">
        <f>IF(Table2[[#This Row],[POG CONFIRMATION RECEIPT OF ORDER
(DATE &amp; TIME)]]="","No Confirmation","Received Confirmation")</f>
        <v>Received Confirmation</v>
      </c>
      <c r="P2074" s="6">
        <f ca="1">TODAY()-Table2[[#This Row],[DATE SENT TO POG]]</f>
        <v>58</v>
      </c>
      <c r="Q2074" s="6" t="s">
        <v>5803</v>
      </c>
      <c r="R20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4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4" s="6" t="str">
        <f>_xlfn.XLOOKUP(Table2[[#This Row],[Adjusted Form '#]],'[2]IN PROGRESS'!$D:$D,'[2]IN PROGRESS'!$M:$M,"Not Found")</f>
        <v>Not Found</v>
      </c>
      <c r="U2074" s="6" t="str">
        <f>_xlfn.XLOOKUP(Table2[[#This Row],[Adjusted Form '#]],[1]COMPLETED!$D:$D,[2]COMPLETED!$M:$M,"Not Found")</f>
        <v>Not Found</v>
      </c>
      <c r="V2074" s="13" t="str">
        <f>_xlfn.XLOOKUP(Table2[[#This Row],[Adjusted Form '#]],[2]COMPLETED!$D:$D,[2]COMPLETED!$O:$O,"Not Found")</f>
        <v>Not Found</v>
      </c>
      <c r="W2074" s="6" t="str">
        <f>_xlfn.XLOOKUP(Table2[[#This Row],[Adjusted Form '#]],[2]BILLED!$D:$D,[2]BILLED!$M:$M,"Not Found")</f>
        <v>9400 1361 0605 3682 6494 47</v>
      </c>
      <c r="X2074" s="13" t="e">
        <f>_xlfn.XLOOKUP(Table2[[#This Row],[Adjusted Form '#]],[2]BILLED!$D:$D,[1]BILLED!$O:$O,"Not Found")</f>
        <v>#REF!</v>
      </c>
      <c r="Y2074" s="13" t="e">
        <f>_xlfn.XLOOKUP(Table2[[#This Row],[Adjusted Form '#]],'[2]REJECTED ORDERS'!$D:$D,'[2]REJECTED ORDERS'!$E:$E)</f>
        <v>#N/A</v>
      </c>
      <c r="Z2074" s="1"/>
      <c r="AA2074" s="1"/>
    </row>
    <row r="2075" spans="1:27" ht="15" customHeight="1" x14ac:dyDescent="0.35">
      <c r="A2075" s="4" t="s">
        <v>3047</v>
      </c>
      <c r="B2075" s="1" t="s">
        <v>7673</v>
      </c>
      <c r="C2075" s="11">
        <v>45245</v>
      </c>
      <c r="D2075" s="11" t="s">
        <v>7683</v>
      </c>
      <c r="E2075" s="1" t="s">
        <v>21</v>
      </c>
      <c r="F2075" s="1" t="s">
        <v>7674</v>
      </c>
      <c r="G2075" s="6">
        <f>COUNTIF(F:F,Table2[[#This Row],[Form '#]])</f>
        <v>1</v>
      </c>
      <c r="H2075" s="1" t="s">
        <v>1966</v>
      </c>
      <c r="I2075" s="1" t="s">
        <v>758</v>
      </c>
      <c r="J2075" s="1" t="s">
        <v>78</v>
      </c>
      <c r="K2075" s="1" t="s">
        <v>3853</v>
      </c>
      <c r="L2075" s="1"/>
      <c r="M2075" s="6" t="str">
        <f>IF(Table2[[#This Row],[Corrected Form '#
 (If Duplicated)]]="",Table2[[#This Row],[Form '#]],Table2[[#This Row],[Corrected Form '#
 (If Duplicated)]])</f>
        <v>7818-29968</v>
      </c>
      <c r="N2075" s="1" t="s">
        <v>49</v>
      </c>
      <c r="O2075" s="6" t="str">
        <f>IF(Table2[[#This Row],[POG CONFIRMATION RECEIPT OF ORDER
(DATE &amp; TIME)]]="","No Confirmation","Received Confirmation")</f>
        <v>Received Confirmation</v>
      </c>
      <c r="P2075" s="6">
        <f ca="1">TODAY()-Table2[[#This Row],[DATE SENT TO POG]]</f>
        <v>58</v>
      </c>
      <c r="Q2075" s="6" t="s">
        <v>5803</v>
      </c>
      <c r="R20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5" s="6" t="str">
        <f>_xlfn.XLOOKUP(Table2[[#This Row],[Adjusted Form '#]],'[2]IN PROGRESS'!$D:$D,'[2]IN PROGRESS'!$M:$M,"Not Found")</f>
        <v>Not Found</v>
      </c>
      <c r="U2075" s="6" t="str">
        <f>_xlfn.XLOOKUP(Table2[[#This Row],[Adjusted Form '#]],[1]COMPLETED!$D:$D,[2]COMPLETED!$M:$M,"Not Found")</f>
        <v>Not Found</v>
      </c>
      <c r="V2075" s="13" t="str">
        <f>_xlfn.XLOOKUP(Table2[[#This Row],[Adjusted Form '#]],[2]COMPLETED!$D:$D,[2]COMPLETED!$O:$O,"Not Found")</f>
        <v>Not Found</v>
      </c>
      <c r="W2075" s="6" t="str">
        <f>_xlfn.XLOOKUP(Table2[[#This Row],[Adjusted Form '#]],[2]BILLED!$D:$D,[2]BILLED!$M:$M,"Not Found")</f>
        <v>9400 1361 0605 3675 9069 91</v>
      </c>
      <c r="X2075" s="13" t="e">
        <f>_xlfn.XLOOKUP(Table2[[#This Row],[Adjusted Form '#]],[2]BILLED!$D:$D,[1]BILLED!$O:$O,"Not Found")</f>
        <v>#REF!</v>
      </c>
      <c r="Y2075" s="13" t="e">
        <f>_xlfn.XLOOKUP(Table2[[#This Row],[Adjusted Form '#]],'[2]REJECTED ORDERS'!$D:$D,'[2]REJECTED ORDERS'!$E:$E)</f>
        <v>#N/A</v>
      </c>
      <c r="Z2075" s="1"/>
      <c r="AA2075" s="1"/>
    </row>
    <row r="2076" spans="1:27" ht="15" customHeight="1" x14ac:dyDescent="0.35">
      <c r="A2076" s="4" t="s">
        <v>3049</v>
      </c>
      <c r="B2076" s="1" t="s">
        <v>7673</v>
      </c>
      <c r="C2076" s="11">
        <v>45245</v>
      </c>
      <c r="D2076" s="11" t="s">
        <v>7683</v>
      </c>
      <c r="E2076" s="1" t="s">
        <v>21</v>
      </c>
      <c r="F2076" s="1" t="s">
        <v>7675</v>
      </c>
      <c r="G2076" s="6">
        <f>COUNTIF(F:F,Table2[[#This Row],[Form '#]])</f>
        <v>1</v>
      </c>
      <c r="H2076" s="1" t="s">
        <v>183</v>
      </c>
      <c r="I2076" s="1" t="s">
        <v>127</v>
      </c>
      <c r="J2076" s="1" t="s">
        <v>76</v>
      </c>
      <c r="K2076" s="1" t="s">
        <v>3919</v>
      </c>
      <c r="L2076" s="1"/>
      <c r="M2076" s="6" t="str">
        <f>IF(Table2[[#This Row],[Corrected Form '#
 (If Duplicated)]]="",Table2[[#This Row],[Form '#]],Table2[[#This Row],[Corrected Form '#
 (If Duplicated)]])</f>
        <v>7818-14708</v>
      </c>
      <c r="N2076" s="1" t="s">
        <v>49</v>
      </c>
      <c r="O2076" s="6" t="str">
        <f>IF(Table2[[#This Row],[POG CONFIRMATION RECEIPT OF ORDER
(DATE &amp; TIME)]]="","No Confirmation","Received Confirmation")</f>
        <v>Received Confirmation</v>
      </c>
      <c r="P2076" s="6">
        <f ca="1">TODAY()-Table2[[#This Row],[DATE SENT TO POG]]</f>
        <v>58</v>
      </c>
      <c r="Q2076" s="6" t="s">
        <v>5803</v>
      </c>
      <c r="R20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6" s="6" t="str">
        <f>_xlfn.XLOOKUP(Table2[[#This Row],[Adjusted Form '#]],'[2]IN PROGRESS'!$D:$D,'[2]IN PROGRESS'!$M:$M,"Not Found")</f>
        <v>Not Found</v>
      </c>
      <c r="U2076" s="6" t="str">
        <f>_xlfn.XLOOKUP(Table2[[#This Row],[Adjusted Form '#]],[1]COMPLETED!$D:$D,[2]COMPLETED!$M:$M,"Not Found")</f>
        <v>Not Found</v>
      </c>
      <c r="V2076" s="13" t="str">
        <f>_xlfn.XLOOKUP(Table2[[#This Row],[Adjusted Form '#]],[2]COMPLETED!$D:$D,[2]COMPLETED!$O:$O,"Not Found")</f>
        <v>Not Found</v>
      </c>
      <c r="W2076" s="6" t="str">
        <f>_xlfn.XLOOKUP(Table2[[#This Row],[Adjusted Form '#]],[2]BILLED!$D:$D,[2]BILLED!$M:$M,"Not Found")</f>
        <v>9400 1361 0605 3682 6347 19</v>
      </c>
      <c r="X2076" s="13" t="e">
        <f>_xlfn.XLOOKUP(Table2[[#This Row],[Adjusted Form '#]],[2]BILLED!$D:$D,[1]BILLED!$O:$O,"Not Found")</f>
        <v>#REF!</v>
      </c>
      <c r="Y2076" s="13" t="e">
        <f>_xlfn.XLOOKUP(Table2[[#This Row],[Adjusted Form '#]],'[2]REJECTED ORDERS'!$D:$D,'[2]REJECTED ORDERS'!$E:$E)</f>
        <v>#N/A</v>
      </c>
      <c r="Z2076" s="1"/>
      <c r="AA2076" s="1"/>
    </row>
    <row r="2077" spans="1:27" ht="15" customHeight="1" x14ac:dyDescent="0.35">
      <c r="A2077" s="4" t="s">
        <v>3050</v>
      </c>
      <c r="B2077" s="1" t="s">
        <v>7673</v>
      </c>
      <c r="C2077" s="11">
        <v>45245</v>
      </c>
      <c r="D2077" s="11" t="s">
        <v>7683</v>
      </c>
      <c r="E2077" s="1" t="s">
        <v>21</v>
      </c>
      <c r="F2077" s="1" t="s">
        <v>7676</v>
      </c>
      <c r="G2077" s="6">
        <f>COUNTIF(F:F,Table2[[#This Row],[Form '#]])</f>
        <v>1</v>
      </c>
      <c r="H2077" s="1" t="s">
        <v>7677</v>
      </c>
      <c r="I2077" s="1" t="s">
        <v>127</v>
      </c>
      <c r="J2077" s="1" t="s">
        <v>74</v>
      </c>
      <c r="K2077" s="1" t="s">
        <v>3891</v>
      </c>
      <c r="L2077" s="1"/>
      <c r="M2077" s="6" t="str">
        <f>IF(Table2[[#This Row],[Corrected Form '#
 (If Duplicated)]]="",Table2[[#This Row],[Form '#]],Table2[[#This Row],[Corrected Form '#
 (If Duplicated)]])</f>
        <v>7818-30702</v>
      </c>
      <c r="N2077" s="1" t="s">
        <v>49</v>
      </c>
      <c r="O2077" s="6" t="str">
        <f>IF(Table2[[#This Row],[POG CONFIRMATION RECEIPT OF ORDER
(DATE &amp; TIME)]]="","No Confirmation","Received Confirmation")</f>
        <v>Received Confirmation</v>
      </c>
      <c r="P2077" s="6">
        <f ca="1">TODAY()-Table2[[#This Row],[DATE SENT TO POG]]</f>
        <v>58</v>
      </c>
      <c r="Q2077" s="6" t="s">
        <v>5803</v>
      </c>
      <c r="R20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7" s="6" t="str">
        <f>_xlfn.XLOOKUP(Table2[[#This Row],[Adjusted Form '#]],'[2]IN PROGRESS'!$D:$D,'[2]IN PROGRESS'!$M:$M,"Not Found")</f>
        <v>Not Found</v>
      </c>
      <c r="U2077" s="6" t="str">
        <f>_xlfn.XLOOKUP(Table2[[#This Row],[Adjusted Form '#]],[1]COMPLETED!$D:$D,[2]COMPLETED!$M:$M,"Not Found")</f>
        <v>Not Found</v>
      </c>
      <c r="V2077" s="13" t="str">
        <f>_xlfn.XLOOKUP(Table2[[#This Row],[Adjusted Form '#]],[2]COMPLETED!$D:$D,[2]COMPLETED!$O:$O,"Not Found")</f>
        <v>Not Found</v>
      </c>
      <c r="W2077" s="6" t="str">
        <f>_xlfn.XLOOKUP(Table2[[#This Row],[Adjusted Form '#]],[2]BILLED!$D:$D,[2]BILLED!$M:$M,"Not Found")</f>
        <v>9400 1361 0605 3675 9559 20</v>
      </c>
      <c r="X2077" s="13" t="e">
        <f>_xlfn.XLOOKUP(Table2[[#This Row],[Adjusted Form '#]],[2]BILLED!$D:$D,[1]BILLED!$O:$O,"Not Found")</f>
        <v>#REF!</v>
      </c>
      <c r="Y2077" s="13" t="e">
        <f>_xlfn.XLOOKUP(Table2[[#This Row],[Adjusted Form '#]],'[2]REJECTED ORDERS'!$D:$D,'[2]REJECTED ORDERS'!$E:$E)</f>
        <v>#N/A</v>
      </c>
      <c r="Z2077" s="1"/>
      <c r="AA2077" s="1"/>
    </row>
    <row r="2078" spans="1:27" ht="15" customHeight="1" x14ac:dyDescent="0.35">
      <c r="A2078" s="4" t="s">
        <v>3051</v>
      </c>
      <c r="B2078" s="1" t="s">
        <v>7673</v>
      </c>
      <c r="C2078" s="11">
        <v>45245</v>
      </c>
      <c r="D2078" s="11" t="s">
        <v>7683</v>
      </c>
      <c r="E2078" s="1" t="s">
        <v>21</v>
      </c>
      <c r="F2078" s="1" t="s">
        <v>7678</v>
      </c>
      <c r="G2078" s="6">
        <f>COUNTIF(F:F,Table2[[#This Row],[Form '#]])</f>
        <v>1</v>
      </c>
      <c r="H2078" s="1" t="s">
        <v>7679</v>
      </c>
      <c r="I2078" s="1" t="s">
        <v>28</v>
      </c>
      <c r="J2078" s="1" t="s">
        <v>69</v>
      </c>
      <c r="K2078" s="1" t="s">
        <v>4011</v>
      </c>
      <c r="L2078" s="1"/>
      <c r="M2078" s="6" t="str">
        <f>IF(Table2[[#This Row],[Corrected Form '#
 (If Duplicated)]]="",Table2[[#This Row],[Form '#]],Table2[[#This Row],[Corrected Form '#
 (If Duplicated)]])</f>
        <v>7818-30965</v>
      </c>
      <c r="N2078" s="1" t="s">
        <v>49</v>
      </c>
      <c r="O2078" s="6" t="str">
        <f>IF(Table2[[#This Row],[POG CONFIRMATION RECEIPT OF ORDER
(DATE &amp; TIME)]]="","No Confirmation","Received Confirmation")</f>
        <v>Received Confirmation</v>
      </c>
      <c r="P2078" s="6">
        <f ca="1">TODAY()-Table2[[#This Row],[DATE SENT TO POG]]</f>
        <v>58</v>
      </c>
      <c r="Q2078" s="6" t="s">
        <v>5803</v>
      </c>
      <c r="R20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8" s="6" t="str">
        <f>_xlfn.XLOOKUP(Table2[[#This Row],[Adjusted Form '#]],'[2]IN PROGRESS'!$D:$D,'[2]IN PROGRESS'!$M:$M,"Not Found")</f>
        <v>Not Found</v>
      </c>
      <c r="U2078" s="6" t="str">
        <f>_xlfn.XLOOKUP(Table2[[#This Row],[Adjusted Form '#]],[1]COMPLETED!$D:$D,[2]COMPLETED!$M:$M,"Not Found")</f>
        <v>Not Found</v>
      </c>
      <c r="V2078" s="13" t="str">
        <f>_xlfn.XLOOKUP(Table2[[#This Row],[Adjusted Form '#]],[2]COMPLETED!$D:$D,[2]COMPLETED!$O:$O,"Not Found")</f>
        <v>Not Found</v>
      </c>
      <c r="W2078" s="6" t="str">
        <f>_xlfn.XLOOKUP(Table2[[#This Row],[Adjusted Form '#]],[2]BILLED!$D:$D,[2]BILLED!$M:$M,"Not Found")</f>
        <v>9400 1361 0605 3682 6425 30</v>
      </c>
      <c r="X2078" s="13" t="e">
        <f>_xlfn.XLOOKUP(Table2[[#This Row],[Adjusted Form '#]],[2]BILLED!$D:$D,[1]BILLED!$O:$O,"Not Found")</f>
        <v>#REF!</v>
      </c>
      <c r="Y2078" s="13" t="e">
        <f>_xlfn.XLOOKUP(Table2[[#This Row],[Adjusted Form '#]],'[2]REJECTED ORDERS'!$D:$D,'[2]REJECTED ORDERS'!$E:$E)</f>
        <v>#N/A</v>
      </c>
      <c r="Z2078" s="1"/>
      <c r="AA2078" s="1"/>
    </row>
    <row r="2079" spans="1:27" ht="15" customHeight="1" x14ac:dyDescent="0.35">
      <c r="A2079" s="4" t="s">
        <v>3052</v>
      </c>
      <c r="B2079" s="1" t="s">
        <v>7673</v>
      </c>
      <c r="C2079" s="11">
        <v>45245</v>
      </c>
      <c r="D2079" s="11" t="s">
        <v>7683</v>
      </c>
      <c r="E2079" s="1" t="s">
        <v>21</v>
      </c>
      <c r="F2079" s="1" t="s">
        <v>7680</v>
      </c>
      <c r="G2079" s="6">
        <f>COUNTIF(F:F,Table2[[#This Row],[Form '#]])</f>
        <v>1</v>
      </c>
      <c r="H2079" s="1" t="s">
        <v>7681</v>
      </c>
      <c r="I2079" s="1" t="s">
        <v>3852</v>
      </c>
      <c r="J2079" s="1" t="s">
        <v>80</v>
      </c>
      <c r="K2079" s="1" t="s">
        <v>4011</v>
      </c>
      <c r="L2079" s="1"/>
      <c r="M2079" s="6" t="str">
        <f>IF(Table2[[#This Row],[Corrected Form '#
 (If Duplicated)]]="",Table2[[#This Row],[Form '#]],Table2[[#This Row],[Corrected Form '#
 (If Duplicated)]])</f>
        <v>7818-26924</v>
      </c>
      <c r="N2079" s="1" t="s">
        <v>49</v>
      </c>
      <c r="O2079" s="6" t="str">
        <f>IF(Table2[[#This Row],[POG CONFIRMATION RECEIPT OF ORDER
(DATE &amp; TIME)]]="","No Confirmation","Received Confirmation")</f>
        <v>Received Confirmation</v>
      </c>
      <c r="P2079" s="6">
        <f ca="1">TODAY()-Table2[[#This Row],[DATE SENT TO POG]]</f>
        <v>58</v>
      </c>
      <c r="Q2079" s="6" t="s">
        <v>5803</v>
      </c>
      <c r="R20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7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79" s="6" t="str">
        <f>_xlfn.XLOOKUP(Table2[[#This Row],[Adjusted Form '#]],'[2]IN PROGRESS'!$D:$D,'[2]IN PROGRESS'!$M:$M,"Not Found")</f>
        <v>Not Found</v>
      </c>
      <c r="U2079" s="6" t="str">
        <f>_xlfn.XLOOKUP(Table2[[#This Row],[Adjusted Form '#]],[1]COMPLETED!$D:$D,[2]COMPLETED!$M:$M,"Not Found")</f>
        <v>Not Found</v>
      </c>
      <c r="V2079" s="13" t="str">
        <f>_xlfn.XLOOKUP(Table2[[#This Row],[Adjusted Form '#]],[2]COMPLETED!$D:$D,[2]COMPLETED!$O:$O,"Not Found")</f>
        <v>Not Found</v>
      </c>
      <c r="W2079" s="6" t="str">
        <f>_xlfn.XLOOKUP(Table2[[#This Row],[Adjusted Form '#]],[2]BILLED!$D:$D,[2]BILLED!$M:$M,"Not Found")</f>
        <v>9400 1361 0605 3675 9710 05</v>
      </c>
      <c r="X2079" s="13" t="e">
        <f>_xlfn.XLOOKUP(Table2[[#This Row],[Adjusted Form '#]],[2]BILLED!$D:$D,[1]BILLED!$O:$O,"Not Found")</f>
        <v>#REF!</v>
      </c>
      <c r="Y2079" s="13" t="e">
        <f>_xlfn.XLOOKUP(Table2[[#This Row],[Adjusted Form '#]],'[2]REJECTED ORDERS'!$D:$D,'[2]REJECTED ORDERS'!$E:$E)</f>
        <v>#N/A</v>
      </c>
      <c r="Z2079" s="1"/>
      <c r="AA2079" s="1"/>
    </row>
    <row r="2080" spans="1:27" ht="15" customHeight="1" x14ac:dyDescent="0.35">
      <c r="A2080" s="4" t="s">
        <v>3053</v>
      </c>
      <c r="B2080" s="1" t="s">
        <v>3527</v>
      </c>
      <c r="C2080" s="11">
        <v>45246</v>
      </c>
      <c r="D2080" s="11" t="s">
        <v>7687</v>
      </c>
      <c r="E2080" s="1" t="s">
        <v>191</v>
      </c>
      <c r="F2080" s="1" t="s">
        <v>7684</v>
      </c>
      <c r="G2080" s="6">
        <f>COUNTIF(F:F,Table2[[#This Row],[Form '#]])</f>
        <v>1</v>
      </c>
      <c r="H2080" s="1" t="s">
        <v>3717</v>
      </c>
      <c r="I2080" s="1" t="s">
        <v>28</v>
      </c>
      <c r="J2080" s="1" t="s">
        <v>69</v>
      </c>
      <c r="K2080" s="1" t="s">
        <v>3898</v>
      </c>
      <c r="L2080" s="1"/>
      <c r="M2080" s="6" t="str">
        <f>IF(Table2[[#This Row],[Corrected Form '#
 (If Duplicated)]]="",Table2[[#This Row],[Form '#]],Table2[[#This Row],[Corrected Form '#
 (If Duplicated)]])</f>
        <v>7812-04727</v>
      </c>
      <c r="N2080" s="1" t="s">
        <v>49</v>
      </c>
      <c r="O2080" s="6" t="str">
        <f>IF(Table2[[#This Row],[POG CONFIRMATION RECEIPT OF ORDER
(DATE &amp; TIME)]]="","No Confirmation","Received Confirmation")</f>
        <v>Received Confirmation</v>
      </c>
      <c r="P2080" s="6">
        <f ca="1">TODAY()-Table2[[#This Row],[DATE SENT TO POG]]</f>
        <v>57</v>
      </c>
      <c r="Q2080" s="6" t="s">
        <v>5803</v>
      </c>
      <c r="R20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8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80" s="6" t="str">
        <f>_xlfn.XLOOKUP(Table2[[#This Row],[Adjusted Form '#]],'[2]IN PROGRESS'!$D:$D,'[2]IN PROGRESS'!$M:$M,"Not Found")</f>
        <v>Not Found</v>
      </c>
      <c r="U2080" s="6" t="str">
        <f>_xlfn.XLOOKUP(Table2[[#This Row],[Adjusted Form '#]],[1]COMPLETED!$D:$D,[2]COMPLETED!$M:$M,"Not Found")</f>
        <v>Not Found</v>
      </c>
      <c r="V2080" s="13" t="str">
        <f>_xlfn.XLOOKUP(Table2[[#This Row],[Adjusted Form '#]],[2]COMPLETED!$D:$D,[2]COMPLETED!$O:$O,"Not Found")</f>
        <v>Not Found</v>
      </c>
      <c r="W2080" s="6" t="str">
        <f>_xlfn.XLOOKUP(Table2[[#This Row],[Adjusted Form '#]],[2]BILLED!$D:$D,[2]BILLED!$M:$M,"Not Found")</f>
        <v>9400 1361 0605 3675 9278 66</v>
      </c>
      <c r="X2080" s="13" t="e">
        <f>_xlfn.XLOOKUP(Table2[[#This Row],[Adjusted Form '#]],[2]BILLED!$D:$D,[1]BILLED!$O:$O,"Not Found")</f>
        <v>#REF!</v>
      </c>
      <c r="Y2080" s="13" t="e">
        <f>_xlfn.XLOOKUP(Table2[[#This Row],[Adjusted Form '#]],'[2]REJECTED ORDERS'!$D:$D,'[2]REJECTED ORDERS'!$E:$E)</f>
        <v>#N/A</v>
      </c>
      <c r="Z2080" s="1"/>
      <c r="AA2080" s="1"/>
    </row>
    <row r="2081" spans="1:27" ht="15" customHeight="1" x14ac:dyDescent="0.35">
      <c r="A2081" s="4" t="s">
        <v>3055</v>
      </c>
      <c r="B2081" s="1" t="s">
        <v>3527</v>
      </c>
      <c r="C2081" s="11">
        <v>45246</v>
      </c>
      <c r="D2081" s="11" t="s">
        <v>7687</v>
      </c>
      <c r="E2081" s="1" t="s">
        <v>191</v>
      </c>
      <c r="F2081" s="1" t="s">
        <v>7685</v>
      </c>
      <c r="G2081" s="6">
        <f>COUNTIF(F:F,Table2[[#This Row],[Form '#]])</f>
        <v>1</v>
      </c>
      <c r="H2081" s="1" t="s">
        <v>7686</v>
      </c>
      <c r="I2081" s="1" t="s">
        <v>177</v>
      </c>
      <c r="J2081" s="1" t="s">
        <v>75</v>
      </c>
      <c r="K2081" s="1" t="s">
        <v>3853</v>
      </c>
      <c r="L2081" s="1"/>
      <c r="M2081" s="6" t="str">
        <f>IF(Table2[[#This Row],[Corrected Form '#
 (If Duplicated)]]="",Table2[[#This Row],[Form '#]],Table2[[#This Row],[Corrected Form '#
 (If Duplicated)]])</f>
        <v>7812-04616</v>
      </c>
      <c r="N2081" s="1" t="s">
        <v>49</v>
      </c>
      <c r="O2081" s="6" t="str">
        <f>IF(Table2[[#This Row],[POG CONFIRMATION RECEIPT OF ORDER
(DATE &amp; TIME)]]="","No Confirmation","Received Confirmation")</f>
        <v>Received Confirmation</v>
      </c>
      <c r="P2081" s="6">
        <f ca="1">TODAY()-Table2[[#This Row],[DATE SENT TO POG]]</f>
        <v>57</v>
      </c>
      <c r="Q2081" s="6" t="s">
        <v>5803</v>
      </c>
      <c r="R20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8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81" s="6" t="str">
        <f>_xlfn.XLOOKUP(Table2[[#This Row],[Adjusted Form '#]],'[2]IN PROGRESS'!$D:$D,'[2]IN PROGRESS'!$M:$M,"Not Found")</f>
        <v>Not Found</v>
      </c>
      <c r="U2081" s="6" t="str">
        <f>_xlfn.XLOOKUP(Table2[[#This Row],[Adjusted Form '#]],[1]COMPLETED!$D:$D,[2]COMPLETED!$M:$M,"Not Found")</f>
        <v>Not Found</v>
      </c>
      <c r="V2081" s="13" t="str">
        <f>_xlfn.XLOOKUP(Table2[[#This Row],[Adjusted Form '#]],[2]COMPLETED!$D:$D,[2]COMPLETED!$O:$O,"Not Found")</f>
        <v>Not Found</v>
      </c>
      <c r="W2081" s="6" t="str">
        <f>_xlfn.XLOOKUP(Table2[[#This Row],[Adjusted Form '#]],[2]BILLED!$D:$D,[2]BILLED!$M:$M,"Not Found")</f>
        <v>9400 1361 0605 3675 9168 15</v>
      </c>
      <c r="X2081" s="13" t="e">
        <f>_xlfn.XLOOKUP(Table2[[#This Row],[Adjusted Form '#]],[2]BILLED!$D:$D,[1]BILLED!$O:$O,"Not Found")</f>
        <v>#REF!</v>
      </c>
      <c r="Y2081" s="13" t="e">
        <f>_xlfn.XLOOKUP(Table2[[#This Row],[Adjusted Form '#]],'[2]REJECTED ORDERS'!$D:$D,'[2]REJECTED ORDERS'!$E:$E)</f>
        <v>#N/A</v>
      </c>
      <c r="Z2081" s="1"/>
      <c r="AA2081" s="1"/>
    </row>
    <row r="2082" spans="1:27" ht="15" customHeight="1" x14ac:dyDescent="0.35">
      <c r="A2082" s="4" t="s">
        <v>3058</v>
      </c>
      <c r="B2082" s="1" t="s">
        <v>692</v>
      </c>
      <c r="C2082" s="11">
        <v>45246</v>
      </c>
      <c r="E2082" s="1" t="s">
        <v>73</v>
      </c>
      <c r="F2082" s="1" t="s">
        <v>7688</v>
      </c>
      <c r="G2082" s="6">
        <f>COUNTIF(F:F,Table2[[#This Row],[Form '#]])</f>
        <v>1</v>
      </c>
      <c r="H2082" s="1" t="s">
        <v>7689</v>
      </c>
      <c r="I2082" s="1" t="s">
        <v>3864</v>
      </c>
      <c r="J2082" s="1" t="s">
        <v>78</v>
      </c>
      <c r="K2082" s="1" t="s">
        <v>3879</v>
      </c>
      <c r="L2082" s="1"/>
      <c r="M2082" s="6" t="str">
        <f>IF(Table2[[#This Row],[Corrected Form '#
 (If Duplicated)]]="",Table2[[#This Row],[Form '#]],Table2[[#This Row],[Corrected Form '#
 (If Duplicated)]])</f>
        <v>7823-03413</v>
      </c>
      <c r="N2082" s="1" t="s">
        <v>49</v>
      </c>
      <c r="O2082" s="6" t="str">
        <f>IF(Table2[[#This Row],[POG CONFIRMATION RECEIPT OF ORDER
(DATE &amp; TIME)]]="","No Confirmation","Received Confirmation")</f>
        <v>No Confirmation</v>
      </c>
      <c r="P2082" s="6">
        <f ca="1">TODAY()-Table2[[#This Row],[DATE SENT TO POG]]</f>
        <v>57</v>
      </c>
      <c r="Q2082" s="6" t="s">
        <v>5802</v>
      </c>
      <c r="R20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8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82" s="6" t="str">
        <f>_xlfn.XLOOKUP(Table2[[#This Row],[Adjusted Form '#]],'[2]IN PROGRESS'!$D:$D,'[2]IN PROGRESS'!$M:$M,"Not Found")</f>
        <v>Not Found</v>
      </c>
      <c r="U2082" s="6" t="str">
        <f>_xlfn.XLOOKUP(Table2[[#This Row],[Adjusted Form '#]],[1]COMPLETED!$D:$D,[2]COMPLETED!$M:$M,"Not Found")</f>
        <v>Not Found</v>
      </c>
      <c r="V2082" s="13" t="str">
        <f>_xlfn.XLOOKUP(Table2[[#This Row],[Adjusted Form '#]],[2]COMPLETED!$D:$D,[2]COMPLETED!$O:$O,"Not Found")</f>
        <v>Not Found</v>
      </c>
      <c r="W2082" s="6" t="str">
        <f>_xlfn.XLOOKUP(Table2[[#This Row],[Adjusted Form '#]],[2]BILLED!$D:$D,[2]BILLED!$M:$M,"Not Found")</f>
        <v>Not Found</v>
      </c>
      <c r="X2082" s="13" t="str">
        <f>_xlfn.XLOOKUP(Table2[[#This Row],[Adjusted Form '#]],[2]BILLED!$D:$D,[1]BILLED!$O:$O,"Not Found")</f>
        <v>Not Found</v>
      </c>
      <c r="Y2082" s="13" t="e">
        <f>_xlfn.XLOOKUP(Table2[[#This Row],[Adjusted Form '#]],'[2]REJECTED ORDERS'!$D:$D,'[2]REJECTED ORDERS'!$E:$E)</f>
        <v>#N/A</v>
      </c>
      <c r="Z2082" s="1"/>
      <c r="AA2082" s="1"/>
    </row>
    <row r="2083" spans="1:27" ht="15" customHeight="1" x14ac:dyDescent="0.35">
      <c r="A2083" s="4" t="s">
        <v>3060</v>
      </c>
      <c r="B2083" s="1" t="s">
        <v>3646</v>
      </c>
      <c r="C2083" s="11">
        <v>45246</v>
      </c>
      <c r="D2083" s="11" t="s">
        <v>7694</v>
      </c>
      <c r="E2083" s="1" t="s">
        <v>21</v>
      </c>
      <c r="F2083" s="1" t="s">
        <v>7690</v>
      </c>
      <c r="G2083" s="6">
        <f>COUNTIF(F:F,Table2[[#This Row],[Form '#]])</f>
        <v>1</v>
      </c>
      <c r="H2083" s="1" t="s">
        <v>3452</v>
      </c>
      <c r="I2083" s="1" t="s">
        <v>127</v>
      </c>
      <c r="J2083" s="1" t="s">
        <v>76</v>
      </c>
      <c r="K2083" s="1" t="s">
        <v>3891</v>
      </c>
      <c r="L2083" s="1"/>
      <c r="M2083" s="6" t="str">
        <f>IF(Table2[[#This Row],[Corrected Form '#
 (If Duplicated)]]="",Table2[[#This Row],[Form '#]],Table2[[#This Row],[Corrected Form '#
 (If Duplicated)]])</f>
        <v>7818-33353</v>
      </c>
      <c r="N2083" s="1" t="s">
        <v>49</v>
      </c>
      <c r="O2083" s="6" t="str">
        <f>IF(Table2[[#This Row],[POG CONFIRMATION RECEIPT OF ORDER
(DATE &amp; TIME)]]="","No Confirmation","Received Confirmation")</f>
        <v>Received Confirmation</v>
      </c>
      <c r="P2083" s="6">
        <f ca="1">TODAY()-Table2[[#This Row],[DATE SENT TO POG]]</f>
        <v>57</v>
      </c>
      <c r="Q2083" s="6" t="s">
        <v>5803</v>
      </c>
      <c r="R20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83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83" s="6" t="str">
        <f>_xlfn.XLOOKUP(Table2[[#This Row],[Adjusted Form '#]],'[2]IN PROGRESS'!$D:$D,'[2]IN PROGRESS'!$M:$M,"Not Found")</f>
        <v>Not Found</v>
      </c>
      <c r="U2083" s="6" t="str">
        <f>_xlfn.XLOOKUP(Table2[[#This Row],[Adjusted Form '#]],[1]COMPLETED!$D:$D,[2]COMPLETED!$M:$M,"Not Found")</f>
        <v>Not Found</v>
      </c>
      <c r="V2083" s="13" t="str">
        <f>_xlfn.XLOOKUP(Table2[[#This Row],[Adjusted Form '#]],[2]COMPLETED!$D:$D,[2]COMPLETED!$O:$O,"Not Found")</f>
        <v>Not Found</v>
      </c>
      <c r="W2083" s="6" t="str">
        <f>_xlfn.XLOOKUP(Table2[[#This Row],[Adjusted Form '#]],[2]BILLED!$D:$D,[2]BILLED!$M:$M,"Not Found")</f>
        <v>9400 1361 0605 3675 9383 74</v>
      </c>
      <c r="X2083" s="13" t="e">
        <f>_xlfn.XLOOKUP(Table2[[#This Row],[Adjusted Form '#]],[2]BILLED!$D:$D,[1]BILLED!$O:$O,"Not Found")</f>
        <v>#REF!</v>
      </c>
      <c r="Y2083" s="13" t="e">
        <f>_xlfn.XLOOKUP(Table2[[#This Row],[Adjusted Form '#]],'[2]REJECTED ORDERS'!$D:$D,'[2]REJECTED ORDERS'!$E:$E)</f>
        <v>#N/A</v>
      </c>
      <c r="Z2083" s="1"/>
      <c r="AA2083" s="1"/>
    </row>
    <row r="2084" spans="1:27" ht="15" customHeight="1" x14ac:dyDescent="0.35">
      <c r="A2084" s="4" t="s">
        <v>3061</v>
      </c>
      <c r="B2084" s="1" t="s">
        <v>2911</v>
      </c>
      <c r="C2084" s="11">
        <v>45246</v>
      </c>
      <c r="D2084" s="11" t="s">
        <v>7694</v>
      </c>
      <c r="E2084" s="1" t="s">
        <v>21</v>
      </c>
      <c r="F2084" s="1" t="s">
        <v>7691</v>
      </c>
      <c r="G2084" s="6">
        <f>COUNTIF(F:F,Table2[[#This Row],[Form '#]])</f>
        <v>1</v>
      </c>
      <c r="H2084" s="1" t="s">
        <v>7692</v>
      </c>
      <c r="I2084" s="1" t="s">
        <v>3852</v>
      </c>
      <c r="J2084" s="1" t="s">
        <v>80</v>
      </c>
      <c r="K2084" s="1" t="s">
        <v>3853</v>
      </c>
      <c r="L2084" s="1"/>
      <c r="M2084" s="6" t="str">
        <f>IF(Table2[[#This Row],[Corrected Form '#
 (If Duplicated)]]="",Table2[[#This Row],[Form '#]],Table2[[#This Row],[Corrected Form '#
 (If Duplicated)]])</f>
        <v>7818-18229</v>
      </c>
      <c r="N2084" s="1" t="s">
        <v>49</v>
      </c>
      <c r="O2084" s="6" t="str">
        <f>IF(Table2[[#This Row],[POG CONFIRMATION RECEIPT OF ORDER
(DATE &amp; TIME)]]="","No Confirmation","Received Confirmation")</f>
        <v>Received Confirmation</v>
      </c>
      <c r="P2084" s="6">
        <f ca="1">TODAY()-Table2[[#This Row],[DATE SENT TO POG]]</f>
        <v>57</v>
      </c>
      <c r="Q2084" s="6" t="s">
        <v>5803</v>
      </c>
      <c r="R20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8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84" s="6" t="str">
        <f>_xlfn.XLOOKUP(Table2[[#This Row],[Adjusted Form '#]],'[2]IN PROGRESS'!$D:$D,'[2]IN PROGRESS'!$M:$M,"Not Found")</f>
        <v>Not Found</v>
      </c>
      <c r="U2084" s="6" t="str">
        <f>_xlfn.XLOOKUP(Table2[[#This Row],[Adjusted Form '#]],[1]COMPLETED!$D:$D,[2]COMPLETED!$M:$M,"Not Found")</f>
        <v>Not Found</v>
      </c>
      <c r="V2084" s="13">
        <f>_xlfn.XLOOKUP(Table2[[#This Row],[Adjusted Form '#]],[2]COMPLETED!$D:$D,[2]COMPLETED!$O:$O,"Not Found")</f>
        <v>45271</v>
      </c>
      <c r="W2084" s="6" t="str">
        <f>_xlfn.XLOOKUP(Table2[[#This Row],[Adjusted Form '#]],[2]BILLED!$D:$D,[2]BILLED!$M:$M,"Not Found")</f>
        <v>Not Found</v>
      </c>
      <c r="X2084" s="13" t="str">
        <f>_xlfn.XLOOKUP(Table2[[#This Row],[Adjusted Form '#]],[2]BILLED!$D:$D,[1]BILLED!$O:$O,"Not Found")</f>
        <v>Not Found</v>
      </c>
      <c r="Y2084" s="13" t="e">
        <f>_xlfn.XLOOKUP(Table2[[#This Row],[Adjusted Form '#]],'[2]REJECTED ORDERS'!$D:$D,'[2]REJECTED ORDERS'!$E:$E)</f>
        <v>#N/A</v>
      </c>
      <c r="Z2084" s="1"/>
      <c r="AA2084" s="1"/>
    </row>
    <row r="2085" spans="1:27" ht="15" customHeight="1" x14ac:dyDescent="0.35">
      <c r="A2085" s="4" t="s">
        <v>3062</v>
      </c>
      <c r="B2085" s="1" t="s">
        <v>2911</v>
      </c>
      <c r="C2085" s="11">
        <v>45246</v>
      </c>
      <c r="D2085" s="11" t="s">
        <v>7694</v>
      </c>
      <c r="E2085" s="1" t="s">
        <v>21</v>
      </c>
      <c r="F2085" s="1" t="s">
        <v>7693</v>
      </c>
      <c r="G2085" s="6">
        <f>COUNTIF(F:F,Table2[[#This Row],[Form '#]])</f>
        <v>1</v>
      </c>
      <c r="H2085" s="1" t="s">
        <v>4517</v>
      </c>
      <c r="I2085" s="1" t="s">
        <v>3864</v>
      </c>
      <c r="J2085" s="1" t="s">
        <v>78</v>
      </c>
      <c r="K2085" s="1" t="s">
        <v>3879</v>
      </c>
      <c r="L2085" s="1"/>
      <c r="M2085" s="6" t="str">
        <f>IF(Table2[[#This Row],[Corrected Form '#
 (If Duplicated)]]="",Table2[[#This Row],[Form '#]],Table2[[#This Row],[Corrected Form '#
 (If Duplicated)]])</f>
        <v>7818-12332</v>
      </c>
      <c r="N2085" s="1" t="s">
        <v>49</v>
      </c>
      <c r="O2085" s="6" t="str">
        <f>IF(Table2[[#This Row],[POG CONFIRMATION RECEIPT OF ORDER
(DATE &amp; TIME)]]="","No Confirmation","Received Confirmation")</f>
        <v>Received Confirmation</v>
      </c>
      <c r="P2085" s="6">
        <f ca="1">TODAY()-Table2[[#This Row],[DATE SENT TO POG]]</f>
        <v>57</v>
      </c>
      <c r="Q2085" s="6" t="s">
        <v>5803</v>
      </c>
      <c r="R20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85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85" s="6" t="str">
        <f>_xlfn.XLOOKUP(Table2[[#This Row],[Adjusted Form '#]],'[2]IN PROGRESS'!$D:$D,'[2]IN PROGRESS'!$M:$M,"Not Found")</f>
        <v>Not Found</v>
      </c>
      <c r="U2085" s="6" t="str">
        <f>_xlfn.XLOOKUP(Table2[[#This Row],[Adjusted Form '#]],[1]COMPLETED!$D:$D,[2]COMPLETED!$M:$M,"Not Found")</f>
        <v>Not Found</v>
      </c>
      <c r="V2085" s="13" t="str">
        <f>_xlfn.XLOOKUP(Table2[[#This Row],[Adjusted Form '#]],[2]COMPLETED!$D:$D,[2]COMPLETED!$O:$O,"Not Found")</f>
        <v>Not Found</v>
      </c>
      <c r="W2085" s="6" t="str">
        <f>_xlfn.XLOOKUP(Table2[[#This Row],[Adjusted Form '#]],[2]BILLED!$D:$D,[2]BILLED!$M:$M,"Not Found")</f>
        <v>9400 1361 0605 3675 9824 83</v>
      </c>
      <c r="X2085" s="13" t="e">
        <f>_xlfn.XLOOKUP(Table2[[#This Row],[Adjusted Form '#]],[2]BILLED!$D:$D,[1]BILLED!$O:$O,"Not Found")</f>
        <v>#REF!</v>
      </c>
      <c r="Y2085" s="13" t="e">
        <f>_xlfn.XLOOKUP(Table2[[#This Row],[Adjusted Form '#]],'[2]REJECTED ORDERS'!$D:$D,'[2]REJECTED ORDERS'!$E:$E)</f>
        <v>#N/A</v>
      </c>
      <c r="Z2085" s="1"/>
      <c r="AA2085" s="1"/>
    </row>
    <row r="2086" spans="1:27" ht="15" customHeight="1" x14ac:dyDescent="0.35">
      <c r="A2086" s="4" t="s">
        <v>3064</v>
      </c>
      <c r="B2086" s="1" t="s">
        <v>4473</v>
      </c>
      <c r="C2086" s="11">
        <v>45246</v>
      </c>
      <c r="D2086" s="11" t="s">
        <v>7697</v>
      </c>
      <c r="E2086" s="1" t="s">
        <v>21</v>
      </c>
      <c r="F2086" s="1" t="s">
        <v>7695</v>
      </c>
      <c r="G2086" s="6">
        <f>COUNTIF(F:F,Table2[[#This Row],[Form '#]])</f>
        <v>1</v>
      </c>
      <c r="H2086" s="1" t="s">
        <v>594</v>
      </c>
      <c r="I2086" s="1" t="s">
        <v>3852</v>
      </c>
      <c r="J2086" s="1" t="s">
        <v>80</v>
      </c>
      <c r="K2086" s="1" t="s">
        <v>3853</v>
      </c>
      <c r="L2086" s="1"/>
      <c r="M2086" s="6" t="str">
        <f>IF(Table2[[#This Row],[Corrected Form '#
 (If Duplicated)]]="",Table2[[#This Row],[Form '#]],Table2[[#This Row],[Corrected Form '#
 (If Duplicated)]])</f>
        <v>7818-15035</v>
      </c>
      <c r="N2086" s="1" t="s">
        <v>49</v>
      </c>
      <c r="O2086" s="6" t="str">
        <f>IF(Table2[[#This Row],[POG CONFIRMATION RECEIPT OF ORDER
(DATE &amp; TIME)]]="","No Confirmation","Received Confirmation")</f>
        <v>Received Confirmation</v>
      </c>
      <c r="P2086" s="6">
        <f ca="1">TODAY()-Table2[[#This Row],[DATE SENT TO POG]]</f>
        <v>57</v>
      </c>
      <c r="Q2086" s="6" t="s">
        <v>5803</v>
      </c>
      <c r="R20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8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86" s="6" t="str">
        <f>_xlfn.XLOOKUP(Table2[[#This Row],[Adjusted Form '#]],'[2]IN PROGRESS'!$D:$D,'[2]IN PROGRESS'!$M:$M,"Not Found")</f>
        <v>Not Found</v>
      </c>
      <c r="U2086" s="6" t="str">
        <f>_xlfn.XLOOKUP(Table2[[#This Row],[Adjusted Form '#]],[1]COMPLETED!$D:$D,[2]COMPLETED!$M:$M,"Not Found")</f>
        <v>Not Found</v>
      </c>
      <c r="V2086" s="13">
        <f>_xlfn.XLOOKUP(Table2[[#This Row],[Adjusted Form '#]],[2]COMPLETED!$D:$D,[2]COMPLETED!$O:$O,"Not Found")</f>
        <v>45271</v>
      </c>
      <c r="W2086" s="6" t="str">
        <f>_xlfn.XLOOKUP(Table2[[#This Row],[Adjusted Form '#]],[2]BILLED!$D:$D,[2]BILLED!$M:$M,"Not Found")</f>
        <v>Not Found</v>
      </c>
      <c r="X2086" s="13" t="str">
        <f>_xlfn.XLOOKUP(Table2[[#This Row],[Adjusted Form '#]],[2]BILLED!$D:$D,[1]BILLED!$O:$O,"Not Found")</f>
        <v>Not Found</v>
      </c>
      <c r="Y2086" s="13" t="e">
        <f>_xlfn.XLOOKUP(Table2[[#This Row],[Adjusted Form '#]],'[2]REJECTED ORDERS'!$D:$D,'[2]REJECTED ORDERS'!$E:$E)</f>
        <v>#N/A</v>
      </c>
      <c r="Z2086" s="1"/>
      <c r="AA2086" s="1"/>
    </row>
    <row r="2087" spans="1:27" ht="15" customHeight="1" x14ac:dyDescent="0.35">
      <c r="A2087" s="4" t="s">
        <v>3066</v>
      </c>
      <c r="B2087" s="1" t="s">
        <v>4473</v>
      </c>
      <c r="C2087" s="11">
        <v>45246</v>
      </c>
      <c r="D2087" s="11" t="s">
        <v>7697</v>
      </c>
      <c r="E2087" s="1" t="s">
        <v>21</v>
      </c>
      <c r="F2087" s="1" t="s">
        <v>7696</v>
      </c>
      <c r="G2087" s="6">
        <f>COUNTIF(F:F,Table2[[#This Row],[Form '#]])</f>
        <v>1</v>
      </c>
      <c r="H2087" s="1" t="s">
        <v>956</v>
      </c>
      <c r="I2087" s="1" t="s">
        <v>127</v>
      </c>
      <c r="J2087" s="1" t="s">
        <v>71</v>
      </c>
      <c r="K2087" s="1" t="s">
        <v>3883</v>
      </c>
      <c r="L2087" s="1"/>
      <c r="M2087" s="6" t="str">
        <f>IF(Table2[[#This Row],[Corrected Form '#
 (If Duplicated)]]="",Table2[[#This Row],[Form '#]],Table2[[#This Row],[Corrected Form '#
 (If Duplicated)]])</f>
        <v>7818-29952</v>
      </c>
      <c r="N2087" s="1" t="s">
        <v>49</v>
      </c>
      <c r="O2087" s="6" t="str">
        <f>IF(Table2[[#This Row],[POG CONFIRMATION RECEIPT OF ORDER
(DATE &amp; TIME)]]="","No Confirmation","Received Confirmation")</f>
        <v>Received Confirmation</v>
      </c>
      <c r="P2087" s="6">
        <f ca="1">TODAY()-Table2[[#This Row],[DATE SENT TO POG]]</f>
        <v>57</v>
      </c>
      <c r="Q2087" s="6" t="s">
        <v>5803</v>
      </c>
      <c r="R20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87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87" s="6" t="str">
        <f>_xlfn.XLOOKUP(Table2[[#This Row],[Adjusted Form '#]],'[2]IN PROGRESS'!$D:$D,'[2]IN PROGRESS'!$M:$M,"Not Found")</f>
        <v>Not Found</v>
      </c>
      <c r="U2087" s="6" t="str">
        <f>_xlfn.XLOOKUP(Table2[[#This Row],[Adjusted Form '#]],[1]COMPLETED!$D:$D,[2]COMPLETED!$M:$M,"Not Found")</f>
        <v>Not Found</v>
      </c>
      <c r="V2087" s="13" t="str">
        <f>_xlfn.XLOOKUP(Table2[[#This Row],[Adjusted Form '#]],[2]COMPLETED!$D:$D,[2]COMPLETED!$O:$O,"Not Found")</f>
        <v>Not Found</v>
      </c>
      <c r="W2087" s="6" t="str">
        <f>_xlfn.XLOOKUP(Table2[[#This Row],[Adjusted Form '#]],[2]BILLED!$D:$D,[2]BILLED!$M:$M,"Not Found")</f>
        <v>9400 1361 0605 3690 9748 76</v>
      </c>
      <c r="X2087" s="13" t="e">
        <f>_xlfn.XLOOKUP(Table2[[#This Row],[Adjusted Form '#]],[2]BILLED!$D:$D,[1]BILLED!$O:$O,"Not Found")</f>
        <v>#REF!</v>
      </c>
      <c r="Y2087" s="13" t="e">
        <f>_xlfn.XLOOKUP(Table2[[#This Row],[Adjusted Form '#]],'[2]REJECTED ORDERS'!$D:$D,'[2]REJECTED ORDERS'!$E:$E)</f>
        <v>#N/A</v>
      </c>
      <c r="Z2087" s="1"/>
      <c r="AA2087" s="1"/>
    </row>
    <row r="2088" spans="1:27" ht="15" customHeight="1" x14ac:dyDescent="0.35">
      <c r="A2088" s="4" t="s">
        <v>3068</v>
      </c>
      <c r="B2088" s="1" t="s">
        <v>1705</v>
      </c>
      <c r="C2088" s="11">
        <v>45247</v>
      </c>
      <c r="D2088" s="11" t="s">
        <v>7709</v>
      </c>
      <c r="E2088" s="1" t="s">
        <v>21</v>
      </c>
      <c r="F2088" s="1" t="s">
        <v>7698</v>
      </c>
      <c r="G2088" s="6">
        <f>COUNTIF(F:F,Table2[[#This Row],[Form '#]])</f>
        <v>1</v>
      </c>
      <c r="H2088" s="1" t="s">
        <v>7699</v>
      </c>
      <c r="I2088" s="1" t="s">
        <v>177</v>
      </c>
      <c r="J2088" s="1" t="s">
        <v>75</v>
      </c>
      <c r="K2088" s="1" t="s">
        <v>3853</v>
      </c>
      <c r="L2088" s="1"/>
      <c r="M2088" s="6" t="str">
        <f>IF(Table2[[#This Row],[Corrected Form '#
 (If Duplicated)]]="",Table2[[#This Row],[Form '#]],Table2[[#This Row],[Corrected Form '#
 (If Duplicated)]])</f>
        <v>7818-29505</v>
      </c>
      <c r="N2088" s="1" t="s">
        <v>49</v>
      </c>
      <c r="O2088" s="6" t="str">
        <f>IF(Table2[[#This Row],[POG CONFIRMATION RECEIPT OF ORDER
(DATE &amp; TIME)]]="","No Confirmation","Received Confirmation")</f>
        <v>Received Confirmation</v>
      </c>
      <c r="P2088" s="6">
        <f ca="1">TODAY()-Table2[[#This Row],[DATE SENT TO POG]]</f>
        <v>56</v>
      </c>
      <c r="Q2088" s="6" t="s">
        <v>5803</v>
      </c>
      <c r="R20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8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88" s="6" t="str">
        <f>_xlfn.XLOOKUP(Table2[[#This Row],[Adjusted Form '#]],'[2]IN PROGRESS'!$D:$D,'[2]IN PROGRESS'!$M:$M,"Not Found")</f>
        <v>Not Found</v>
      </c>
      <c r="U2088" s="6" t="str">
        <f>_xlfn.XLOOKUP(Table2[[#This Row],[Adjusted Form '#]],[1]COMPLETED!$D:$D,[2]COMPLETED!$M:$M,"Not Found")</f>
        <v>Not Found</v>
      </c>
      <c r="V2088" s="13">
        <f>_xlfn.XLOOKUP(Table2[[#This Row],[Adjusted Form '#]],[2]COMPLETED!$D:$D,[2]COMPLETED!$O:$O,"Not Found")</f>
        <v>45271</v>
      </c>
      <c r="W2088" s="6" t="str">
        <f>_xlfn.XLOOKUP(Table2[[#This Row],[Adjusted Form '#]],[2]BILLED!$D:$D,[2]BILLED!$M:$M,"Not Found")</f>
        <v>Not Found</v>
      </c>
      <c r="X2088" s="13" t="str">
        <f>_xlfn.XLOOKUP(Table2[[#This Row],[Adjusted Form '#]],[2]BILLED!$D:$D,[1]BILLED!$O:$O,"Not Found")</f>
        <v>Not Found</v>
      </c>
      <c r="Y2088" s="13" t="e">
        <f>_xlfn.XLOOKUP(Table2[[#This Row],[Adjusted Form '#]],'[2]REJECTED ORDERS'!$D:$D,'[2]REJECTED ORDERS'!$E:$E)</f>
        <v>#N/A</v>
      </c>
      <c r="Z2088" s="1"/>
      <c r="AA2088" s="1"/>
    </row>
    <row r="2089" spans="1:27" ht="15" customHeight="1" x14ac:dyDescent="0.35">
      <c r="A2089" s="4" t="s">
        <v>3070</v>
      </c>
      <c r="B2089" s="1" t="s">
        <v>970</v>
      </c>
      <c r="C2089" s="11">
        <v>45247</v>
      </c>
      <c r="D2089" s="11" t="s">
        <v>7710</v>
      </c>
      <c r="E2089" s="1" t="s">
        <v>191</v>
      </c>
      <c r="F2089" s="1" t="s">
        <v>7700</v>
      </c>
      <c r="G2089" s="6">
        <f>COUNTIF(F:F,Table2[[#This Row],[Form '#]])</f>
        <v>1</v>
      </c>
      <c r="H2089" s="1" t="s">
        <v>3486</v>
      </c>
      <c r="I2089" s="1" t="s">
        <v>127</v>
      </c>
      <c r="J2089" s="1" t="s">
        <v>74</v>
      </c>
      <c r="K2089" s="1" t="s">
        <v>4011</v>
      </c>
      <c r="L2089" s="1"/>
      <c r="M2089" s="6" t="str">
        <f>IF(Table2[[#This Row],[Corrected Form '#
 (If Duplicated)]]="",Table2[[#This Row],[Form '#]],Table2[[#This Row],[Corrected Form '#
 (If Duplicated)]])</f>
        <v>7812-04595</v>
      </c>
      <c r="N2089" s="1" t="s">
        <v>49</v>
      </c>
      <c r="O2089" s="6" t="str">
        <f>IF(Table2[[#This Row],[POG CONFIRMATION RECEIPT OF ORDER
(DATE &amp; TIME)]]="","No Confirmation","Received Confirmation")</f>
        <v>Received Confirmation</v>
      </c>
      <c r="P2089" s="6">
        <f ca="1">TODAY()-Table2[[#This Row],[DATE SENT TO POG]]</f>
        <v>56</v>
      </c>
      <c r="Q2089" s="6" t="s">
        <v>5803</v>
      </c>
      <c r="R20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8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89" s="6" t="str">
        <f>_xlfn.XLOOKUP(Table2[[#This Row],[Adjusted Form '#]],'[2]IN PROGRESS'!$D:$D,'[2]IN PROGRESS'!$M:$M,"Not Found")</f>
        <v>Not Found</v>
      </c>
      <c r="U2089" s="6" t="str">
        <f>_xlfn.XLOOKUP(Table2[[#This Row],[Adjusted Form '#]],[1]COMPLETED!$D:$D,[2]COMPLETED!$M:$M,"Not Found")</f>
        <v>Not Found</v>
      </c>
      <c r="V2089" s="13" t="str">
        <f>_xlfn.XLOOKUP(Table2[[#This Row],[Adjusted Form '#]],[2]COMPLETED!$D:$D,[2]COMPLETED!$O:$O,"Not Found")</f>
        <v>Not Found</v>
      </c>
      <c r="W2089" s="6" t="str">
        <f>_xlfn.XLOOKUP(Table2[[#This Row],[Adjusted Form '#]],[2]BILLED!$D:$D,[2]BILLED!$M:$M,"Not Found")</f>
        <v>9400 1361 0605 3675 8971 52</v>
      </c>
      <c r="X2089" s="13" t="e">
        <f>_xlfn.XLOOKUP(Table2[[#This Row],[Adjusted Form '#]],[2]BILLED!$D:$D,[1]BILLED!$O:$O,"Not Found")</f>
        <v>#REF!</v>
      </c>
      <c r="Y2089" s="13" t="e">
        <f>_xlfn.XLOOKUP(Table2[[#This Row],[Adjusted Form '#]],'[2]REJECTED ORDERS'!$D:$D,'[2]REJECTED ORDERS'!$E:$E)</f>
        <v>#N/A</v>
      </c>
      <c r="Z2089" s="1"/>
      <c r="AA2089" s="1"/>
    </row>
    <row r="2090" spans="1:27" ht="15" customHeight="1" x14ac:dyDescent="0.35">
      <c r="A2090" s="4" t="s">
        <v>3072</v>
      </c>
      <c r="B2090" s="1" t="s">
        <v>970</v>
      </c>
      <c r="C2090" s="11">
        <v>45247</v>
      </c>
      <c r="D2090" s="11" t="s">
        <v>7710</v>
      </c>
      <c r="E2090" s="1" t="s">
        <v>191</v>
      </c>
      <c r="F2090" s="1" t="s">
        <v>7701</v>
      </c>
      <c r="G2090" s="6">
        <f>COUNTIF(F:F,Table2[[#This Row],[Form '#]])</f>
        <v>1</v>
      </c>
      <c r="H2090" s="1" t="s">
        <v>3487</v>
      </c>
      <c r="I2090" s="1" t="s">
        <v>127</v>
      </c>
      <c r="J2090" s="1" t="s">
        <v>74</v>
      </c>
      <c r="K2090" s="1" t="s">
        <v>4011</v>
      </c>
      <c r="L2090" s="1"/>
      <c r="M2090" s="6" t="str">
        <f>IF(Table2[[#This Row],[Corrected Form '#
 (If Duplicated)]]="",Table2[[#This Row],[Form '#]],Table2[[#This Row],[Corrected Form '#
 (If Duplicated)]])</f>
        <v>7812-04594</v>
      </c>
      <c r="N2090" s="1" t="s">
        <v>49</v>
      </c>
      <c r="O2090" s="6" t="str">
        <f>IF(Table2[[#This Row],[POG CONFIRMATION RECEIPT OF ORDER
(DATE &amp; TIME)]]="","No Confirmation","Received Confirmation")</f>
        <v>Received Confirmation</v>
      </c>
      <c r="P2090" s="6">
        <f ca="1">TODAY()-Table2[[#This Row],[DATE SENT TO POG]]</f>
        <v>56</v>
      </c>
      <c r="Q2090" s="6" t="s">
        <v>5803</v>
      </c>
      <c r="R20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90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90" s="6" t="str">
        <f>_xlfn.XLOOKUP(Table2[[#This Row],[Adjusted Form '#]],'[2]IN PROGRESS'!$D:$D,'[2]IN PROGRESS'!$M:$M,"Not Found")</f>
        <v>Not Found</v>
      </c>
      <c r="U2090" s="6" t="str">
        <f>_xlfn.XLOOKUP(Table2[[#This Row],[Adjusted Form '#]],[1]COMPLETED!$D:$D,[2]COMPLETED!$M:$M,"Not Found")</f>
        <v>Not Found</v>
      </c>
      <c r="V2090" s="13" t="str">
        <f>_xlfn.XLOOKUP(Table2[[#This Row],[Adjusted Form '#]],[2]COMPLETED!$D:$D,[2]COMPLETED!$O:$O,"Not Found")</f>
        <v>Not Found</v>
      </c>
      <c r="W2090" s="6" t="str">
        <f>_xlfn.XLOOKUP(Table2[[#This Row],[Adjusted Form '#]],[2]BILLED!$D:$D,[2]BILLED!$M:$M,"Not Found")</f>
        <v>9400 1361 0605 3675 8711 69</v>
      </c>
      <c r="X2090" s="13" t="e">
        <f>_xlfn.XLOOKUP(Table2[[#This Row],[Adjusted Form '#]],[2]BILLED!$D:$D,[1]BILLED!$O:$O,"Not Found")</f>
        <v>#REF!</v>
      </c>
      <c r="Y2090" s="13" t="e">
        <f>_xlfn.XLOOKUP(Table2[[#This Row],[Adjusted Form '#]],'[2]REJECTED ORDERS'!$D:$D,'[2]REJECTED ORDERS'!$E:$E)</f>
        <v>#N/A</v>
      </c>
      <c r="Z2090" s="1"/>
      <c r="AA2090" s="1"/>
    </row>
    <row r="2091" spans="1:27" ht="15" customHeight="1" x14ac:dyDescent="0.35">
      <c r="A2091" s="4" t="s">
        <v>3074</v>
      </c>
      <c r="B2091" s="1" t="s">
        <v>1532</v>
      </c>
      <c r="C2091" s="11">
        <v>45247</v>
      </c>
      <c r="D2091" s="11" t="s">
        <v>7710</v>
      </c>
      <c r="E2091" s="1" t="s">
        <v>21</v>
      </c>
      <c r="F2091" s="1" t="s">
        <v>7702</v>
      </c>
      <c r="G2091" s="6">
        <f>COUNTIF(F:F,Table2[[#This Row],[Form '#]])</f>
        <v>1</v>
      </c>
      <c r="H2091" s="1" t="s">
        <v>2022</v>
      </c>
      <c r="I2091" s="1" t="s">
        <v>3864</v>
      </c>
      <c r="J2091" s="1" t="s">
        <v>78</v>
      </c>
      <c r="K2091" s="1" t="s">
        <v>3879</v>
      </c>
      <c r="L2091" s="1"/>
      <c r="M2091" s="6" t="str">
        <f>IF(Table2[[#This Row],[Corrected Form '#
 (If Duplicated)]]="",Table2[[#This Row],[Form '#]],Table2[[#This Row],[Corrected Form '#
 (If Duplicated)]])</f>
        <v>7818-18937</v>
      </c>
      <c r="N2091" s="1" t="s">
        <v>49</v>
      </c>
      <c r="O2091" s="6" t="str">
        <f>IF(Table2[[#This Row],[POG CONFIRMATION RECEIPT OF ORDER
(DATE &amp; TIME)]]="","No Confirmation","Received Confirmation")</f>
        <v>Received Confirmation</v>
      </c>
      <c r="P2091" s="6">
        <f ca="1">TODAY()-Table2[[#This Row],[DATE SENT TO POG]]</f>
        <v>56</v>
      </c>
      <c r="Q2091" s="6" t="s">
        <v>5803</v>
      </c>
      <c r="R20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9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91" s="6" t="str">
        <f>_xlfn.XLOOKUP(Table2[[#This Row],[Adjusted Form '#]],'[2]IN PROGRESS'!$D:$D,'[2]IN PROGRESS'!$M:$M,"Not Found")</f>
        <v>Not Found</v>
      </c>
      <c r="U2091" s="6" t="str">
        <f>_xlfn.XLOOKUP(Table2[[#This Row],[Adjusted Form '#]],[1]COMPLETED!$D:$D,[2]COMPLETED!$M:$M,"Not Found")</f>
        <v>Not Found</v>
      </c>
      <c r="V2091" s="13">
        <f>_xlfn.XLOOKUP(Table2[[#This Row],[Adjusted Form '#]],[2]COMPLETED!$D:$D,[2]COMPLETED!$O:$O,"Not Found")</f>
        <v>45276</v>
      </c>
      <c r="W2091" s="6" t="str">
        <f>_xlfn.XLOOKUP(Table2[[#This Row],[Adjusted Form '#]],[2]BILLED!$D:$D,[2]BILLED!$M:$M,"Not Found")</f>
        <v>Not Found</v>
      </c>
      <c r="X2091" s="13" t="str">
        <f>_xlfn.XLOOKUP(Table2[[#This Row],[Adjusted Form '#]],[2]BILLED!$D:$D,[1]BILLED!$O:$O,"Not Found")</f>
        <v>Not Found</v>
      </c>
      <c r="Y2091" s="13" t="str">
        <f>_xlfn.XLOOKUP(Table2[[#This Row],[Adjusted Form '#]],'[2]REJECTED ORDERS'!$D:$D,'[2]REJECTED ORDERS'!$E:$E)</f>
        <v>FORM NOT SIGNED</v>
      </c>
      <c r="Z2091" s="1"/>
      <c r="AA2091" s="1"/>
    </row>
    <row r="2092" spans="1:27" ht="15" customHeight="1" x14ac:dyDescent="0.35">
      <c r="A2092" s="4" t="s">
        <v>3075</v>
      </c>
      <c r="B2092" s="1" t="s">
        <v>1532</v>
      </c>
      <c r="C2092" s="11">
        <v>45247</v>
      </c>
      <c r="D2092" s="11" t="s">
        <v>7710</v>
      </c>
      <c r="E2092" s="1" t="s">
        <v>21</v>
      </c>
      <c r="F2092" s="1" t="s">
        <v>7703</v>
      </c>
      <c r="G2092" s="6">
        <f>COUNTIF(F:F,Table2[[#This Row],[Form '#]])</f>
        <v>1</v>
      </c>
      <c r="H2092" s="1" t="s">
        <v>7704</v>
      </c>
      <c r="I2092" s="1" t="s">
        <v>127</v>
      </c>
      <c r="J2092" s="1" t="s">
        <v>76</v>
      </c>
      <c r="K2092" s="1" t="s">
        <v>4011</v>
      </c>
      <c r="L2092" s="1"/>
      <c r="M2092" s="6" t="str">
        <f>IF(Table2[[#This Row],[Corrected Form '#
 (If Duplicated)]]="",Table2[[#This Row],[Form '#]],Table2[[#This Row],[Corrected Form '#
 (If Duplicated)]])</f>
        <v>7818-09325</v>
      </c>
      <c r="N2092" s="1" t="s">
        <v>49</v>
      </c>
      <c r="O2092" s="6" t="str">
        <f>IF(Table2[[#This Row],[POG CONFIRMATION RECEIPT OF ORDER
(DATE &amp; TIME)]]="","No Confirmation","Received Confirmation")</f>
        <v>Received Confirmation</v>
      </c>
      <c r="P2092" s="6">
        <f ca="1">TODAY()-Table2[[#This Row],[DATE SENT TO POG]]</f>
        <v>56</v>
      </c>
      <c r="Q2092" s="6" t="s">
        <v>5803</v>
      </c>
      <c r="R20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9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92" s="6" t="str">
        <f>_xlfn.XLOOKUP(Table2[[#This Row],[Adjusted Form '#]],'[2]IN PROGRESS'!$D:$D,'[2]IN PROGRESS'!$M:$M,"Not Found")</f>
        <v>Not Found</v>
      </c>
      <c r="U2092" s="6" t="str">
        <f>_xlfn.XLOOKUP(Table2[[#This Row],[Adjusted Form '#]],[1]COMPLETED!$D:$D,[2]COMPLETED!$M:$M,"Not Found")</f>
        <v>Not Found</v>
      </c>
      <c r="V2092" s="13">
        <f>_xlfn.XLOOKUP(Table2[[#This Row],[Adjusted Form '#]],[2]COMPLETED!$D:$D,[2]COMPLETED!$O:$O,"Not Found")</f>
        <v>45277</v>
      </c>
      <c r="W2092" s="6" t="str">
        <f>_xlfn.XLOOKUP(Table2[[#This Row],[Adjusted Form '#]],[2]BILLED!$D:$D,[2]BILLED!$M:$M,"Not Found")</f>
        <v>Not Found</v>
      </c>
      <c r="X2092" s="13" t="str">
        <f>_xlfn.XLOOKUP(Table2[[#This Row],[Adjusted Form '#]],[2]BILLED!$D:$D,[1]BILLED!$O:$O,"Not Found")</f>
        <v>Not Found</v>
      </c>
      <c r="Y2092" s="13" t="str">
        <f>_xlfn.XLOOKUP(Table2[[#This Row],[Adjusted Form '#]],'[2]REJECTED ORDERS'!$D:$D,'[2]REJECTED ORDERS'!$E:$E)</f>
        <v>FORM NOT SIGNED</v>
      </c>
      <c r="Z2092" s="1"/>
      <c r="AA2092" s="1"/>
    </row>
    <row r="2093" spans="1:27" ht="15" customHeight="1" x14ac:dyDescent="0.35">
      <c r="A2093" s="4" t="s">
        <v>3076</v>
      </c>
      <c r="B2093" s="1" t="s">
        <v>1532</v>
      </c>
      <c r="C2093" s="11">
        <v>45247</v>
      </c>
      <c r="D2093" s="11" t="s">
        <v>7710</v>
      </c>
      <c r="E2093" s="1" t="s">
        <v>21</v>
      </c>
      <c r="F2093" s="1" t="s">
        <v>7705</v>
      </c>
      <c r="G2093" s="6">
        <f>COUNTIF(F:F,Table2[[#This Row],[Form '#]])</f>
        <v>1</v>
      </c>
      <c r="H2093" s="1" t="s">
        <v>7706</v>
      </c>
      <c r="I2093" s="1" t="s">
        <v>106</v>
      </c>
      <c r="J2093" s="1" t="s">
        <v>72</v>
      </c>
      <c r="K2093" s="1" t="s">
        <v>4530</v>
      </c>
      <c r="L2093" s="1"/>
      <c r="M2093" s="6" t="str">
        <f>IF(Table2[[#This Row],[Corrected Form '#
 (If Duplicated)]]="",Table2[[#This Row],[Form '#]],Table2[[#This Row],[Corrected Form '#
 (If Duplicated)]])</f>
        <v>7818-28702</v>
      </c>
      <c r="N2093" s="1" t="s">
        <v>49</v>
      </c>
      <c r="O2093" s="6" t="str">
        <f>IF(Table2[[#This Row],[POG CONFIRMATION RECEIPT OF ORDER
(DATE &amp; TIME)]]="","No Confirmation","Received Confirmation")</f>
        <v>Received Confirmation</v>
      </c>
      <c r="P2093" s="6">
        <f ca="1">TODAY()-Table2[[#This Row],[DATE SENT TO POG]]</f>
        <v>56</v>
      </c>
      <c r="Q2093" s="6" t="s">
        <v>6025</v>
      </c>
      <c r="R20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9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93" s="6" t="str">
        <f>_xlfn.XLOOKUP(Table2[[#This Row],[Adjusted Form '#]],'[2]IN PROGRESS'!$D:$D,'[2]IN PROGRESS'!$M:$M,"Not Found")</f>
        <v>Not Found</v>
      </c>
      <c r="U2093" s="6" t="str">
        <f>_xlfn.XLOOKUP(Table2[[#This Row],[Adjusted Form '#]],[1]COMPLETED!$D:$D,[2]COMPLETED!$M:$M,"Not Found")</f>
        <v>Not Found</v>
      </c>
      <c r="V2093" s="13">
        <f>_xlfn.XLOOKUP(Table2[[#This Row],[Adjusted Form '#]],[2]COMPLETED!$D:$D,[2]COMPLETED!$O:$O,"Not Found")</f>
        <v>45293</v>
      </c>
      <c r="W2093" s="6" t="str">
        <f>_xlfn.XLOOKUP(Table2[[#This Row],[Adjusted Form '#]],[2]BILLED!$D:$D,[2]BILLED!$M:$M,"Not Found")</f>
        <v>Not Found</v>
      </c>
      <c r="X2093" s="13" t="str">
        <f>_xlfn.XLOOKUP(Table2[[#This Row],[Adjusted Form '#]],[2]BILLED!$D:$D,[1]BILLED!$O:$O,"Not Found")</f>
        <v>Not Found</v>
      </c>
      <c r="Y2093" s="13" t="str">
        <f>_xlfn.XLOOKUP(Table2[[#This Row],[Adjusted Form '#]],'[2]REJECTED ORDERS'!$D:$D,'[2]REJECTED ORDERS'!$E:$E)</f>
        <v>FORM NOT SIGNED</v>
      </c>
      <c r="Z2093" s="1"/>
      <c r="AA2093" s="1"/>
    </row>
    <row r="2094" spans="1:27" ht="15" customHeight="1" x14ac:dyDescent="0.35">
      <c r="A2094" s="4" t="s">
        <v>3077</v>
      </c>
      <c r="B2094" s="1" t="s">
        <v>1532</v>
      </c>
      <c r="C2094" s="11">
        <v>45247</v>
      </c>
      <c r="D2094" s="11" t="s">
        <v>7710</v>
      </c>
      <c r="E2094" s="1" t="s">
        <v>21</v>
      </c>
      <c r="F2094" s="1" t="s">
        <v>7707</v>
      </c>
      <c r="G2094" s="6">
        <f>COUNTIF(F:F,Table2[[#This Row],[Form '#]])</f>
        <v>1</v>
      </c>
      <c r="H2094" s="1" t="s">
        <v>1276</v>
      </c>
      <c r="I2094" s="1" t="s">
        <v>127</v>
      </c>
      <c r="J2094" s="1" t="s">
        <v>76</v>
      </c>
      <c r="K2094" s="1" t="s">
        <v>3883</v>
      </c>
      <c r="L2094" s="1"/>
      <c r="M2094" s="6" t="str">
        <f>IF(Table2[[#This Row],[Corrected Form '#
 (If Duplicated)]]="",Table2[[#This Row],[Form '#]],Table2[[#This Row],[Corrected Form '#
 (If Duplicated)]])</f>
        <v>7818-27780</v>
      </c>
      <c r="N2094" s="1" t="s">
        <v>49</v>
      </c>
      <c r="O2094" s="6" t="str">
        <f>IF(Table2[[#This Row],[POG CONFIRMATION RECEIPT OF ORDER
(DATE &amp; TIME)]]="","No Confirmation","Received Confirmation")</f>
        <v>Received Confirmation</v>
      </c>
      <c r="P2094" s="6">
        <f ca="1">TODAY()-Table2[[#This Row],[DATE SENT TO POG]]</f>
        <v>56</v>
      </c>
      <c r="Q2094" s="6" t="s">
        <v>5803</v>
      </c>
      <c r="R20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9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94" s="6" t="str">
        <f>_xlfn.XLOOKUP(Table2[[#This Row],[Adjusted Form '#]],'[2]IN PROGRESS'!$D:$D,'[2]IN PROGRESS'!$M:$M,"Not Found")</f>
        <v>Not Found</v>
      </c>
      <c r="U2094" s="6" t="str">
        <f>_xlfn.XLOOKUP(Table2[[#This Row],[Adjusted Form '#]],[1]COMPLETED!$D:$D,[2]COMPLETED!$M:$M,"Not Found")</f>
        <v>Not Found</v>
      </c>
      <c r="V2094" s="13">
        <f>_xlfn.XLOOKUP(Table2[[#This Row],[Adjusted Form '#]],[2]COMPLETED!$D:$D,[2]COMPLETED!$O:$O,"Not Found")</f>
        <v>45275</v>
      </c>
      <c r="W2094" s="6" t="str">
        <f>_xlfn.XLOOKUP(Table2[[#This Row],[Adjusted Form '#]],[2]BILLED!$D:$D,[2]BILLED!$M:$M,"Not Found")</f>
        <v>Not Found</v>
      </c>
      <c r="X2094" s="13" t="str">
        <f>_xlfn.XLOOKUP(Table2[[#This Row],[Adjusted Form '#]],[2]BILLED!$D:$D,[1]BILLED!$O:$O,"Not Found")</f>
        <v>Not Found</v>
      </c>
      <c r="Y2094" s="13" t="str">
        <f>_xlfn.XLOOKUP(Table2[[#This Row],[Adjusted Form '#]],'[2]REJECTED ORDERS'!$D:$D,'[2]REJECTED ORDERS'!$E:$E)</f>
        <v>FORM NOT SIGNED</v>
      </c>
      <c r="Z2094" s="1"/>
      <c r="AA2094" s="1"/>
    </row>
    <row r="2095" spans="1:27" ht="15" customHeight="1" x14ac:dyDescent="0.35">
      <c r="A2095" s="4" t="s">
        <v>3079</v>
      </c>
      <c r="B2095" s="1" t="s">
        <v>1532</v>
      </c>
      <c r="C2095" s="11">
        <v>45247</v>
      </c>
      <c r="D2095" s="11" t="s">
        <v>7710</v>
      </c>
      <c r="E2095" s="1" t="s">
        <v>21</v>
      </c>
      <c r="F2095" s="1" t="s">
        <v>7708</v>
      </c>
      <c r="G2095" s="6">
        <f>COUNTIF(F:F,Table2[[#This Row],[Form '#]])</f>
        <v>1</v>
      </c>
      <c r="H2095" s="1" t="s">
        <v>3660</v>
      </c>
      <c r="I2095" s="1" t="s">
        <v>3852</v>
      </c>
      <c r="J2095" s="1" t="s">
        <v>80</v>
      </c>
      <c r="K2095" s="1" t="s">
        <v>3853</v>
      </c>
      <c r="L2095" s="1"/>
      <c r="M2095" s="6" t="str">
        <f>IF(Table2[[#This Row],[Corrected Form '#
 (If Duplicated)]]="",Table2[[#This Row],[Form '#]],Table2[[#This Row],[Corrected Form '#
 (If Duplicated)]])</f>
        <v>7818-15319</v>
      </c>
      <c r="N2095" s="1" t="s">
        <v>49</v>
      </c>
      <c r="O2095" s="6" t="str">
        <f>IF(Table2[[#This Row],[POG CONFIRMATION RECEIPT OF ORDER
(DATE &amp; TIME)]]="","No Confirmation","Received Confirmation")</f>
        <v>Received Confirmation</v>
      </c>
      <c r="P2095" s="6">
        <f ca="1">TODAY()-Table2[[#This Row],[DATE SENT TO POG]]</f>
        <v>56</v>
      </c>
      <c r="Q2095" s="6" t="s">
        <v>5803</v>
      </c>
      <c r="R20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9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95" s="6" t="str">
        <f>_xlfn.XLOOKUP(Table2[[#This Row],[Adjusted Form '#]],'[2]IN PROGRESS'!$D:$D,'[2]IN PROGRESS'!$M:$M,"Not Found")</f>
        <v>Not Found</v>
      </c>
      <c r="U2095" s="6" t="str">
        <f>_xlfn.XLOOKUP(Table2[[#This Row],[Adjusted Form '#]],[1]COMPLETED!$D:$D,[2]COMPLETED!$M:$M,"Not Found")</f>
        <v>Not Found</v>
      </c>
      <c r="V2095" s="13">
        <f>_xlfn.XLOOKUP(Table2[[#This Row],[Adjusted Form '#]],[2]COMPLETED!$D:$D,[2]COMPLETED!$O:$O,"Not Found")</f>
        <v>45271</v>
      </c>
      <c r="W2095" s="6" t="str">
        <f>_xlfn.XLOOKUP(Table2[[#This Row],[Adjusted Form '#]],[2]BILLED!$D:$D,[2]BILLED!$M:$M,"Not Found")</f>
        <v>Not Found</v>
      </c>
      <c r="X2095" s="13" t="str">
        <f>_xlfn.XLOOKUP(Table2[[#This Row],[Adjusted Form '#]],[2]BILLED!$D:$D,[1]BILLED!$O:$O,"Not Found")</f>
        <v>Not Found</v>
      </c>
      <c r="Y2095" s="13" t="str">
        <f>_xlfn.XLOOKUP(Table2[[#This Row],[Adjusted Form '#]],'[2]REJECTED ORDERS'!$D:$D,'[2]REJECTED ORDERS'!$E:$E)</f>
        <v>FORM NOT SIGNED</v>
      </c>
      <c r="Z2095" s="1"/>
      <c r="AA2095" s="1"/>
    </row>
    <row r="2096" spans="1:27" ht="15" customHeight="1" x14ac:dyDescent="0.35">
      <c r="A2096" s="4" t="s">
        <v>3080</v>
      </c>
      <c r="B2096" s="1" t="s">
        <v>4518</v>
      </c>
      <c r="C2096" s="11">
        <v>45248</v>
      </c>
      <c r="D2096" s="11" t="s">
        <v>7713</v>
      </c>
      <c r="E2096" s="1" t="s">
        <v>1592</v>
      </c>
      <c r="F2096" s="1" t="s">
        <v>7711</v>
      </c>
      <c r="G2096" s="6">
        <f>COUNTIF(F:F,Table2[[#This Row],[Form '#]])</f>
        <v>1</v>
      </c>
      <c r="H2096" s="1" t="s">
        <v>7712</v>
      </c>
      <c r="I2096" s="1" t="s">
        <v>3852</v>
      </c>
      <c r="J2096" s="1" t="s">
        <v>75</v>
      </c>
      <c r="K2096" s="1" t="s">
        <v>3853</v>
      </c>
      <c r="L2096" s="1"/>
      <c r="M2096" s="6" t="str">
        <f>IF(Table2[[#This Row],[Corrected Form '#
 (If Duplicated)]]="",Table2[[#This Row],[Form '#]],Table2[[#This Row],[Corrected Form '#
 (If Duplicated)]])</f>
        <v>7811-00315</v>
      </c>
      <c r="N2096" s="1" t="s">
        <v>49</v>
      </c>
      <c r="O2096" s="6" t="str">
        <f>IF(Table2[[#This Row],[POG CONFIRMATION RECEIPT OF ORDER
(DATE &amp; TIME)]]="","No Confirmation","Received Confirmation")</f>
        <v>Received Confirmation</v>
      </c>
      <c r="P2096" s="6">
        <f ca="1">TODAY()-Table2[[#This Row],[DATE SENT TO POG]]</f>
        <v>55</v>
      </c>
      <c r="Q2096" s="6" t="s">
        <v>5803</v>
      </c>
      <c r="R20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96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96" s="6" t="str">
        <f>_xlfn.XLOOKUP(Table2[[#This Row],[Adjusted Form '#]],'[2]IN PROGRESS'!$D:$D,'[2]IN PROGRESS'!$M:$M,"Not Found")</f>
        <v>Not Found</v>
      </c>
      <c r="U2096" s="6" t="str">
        <f>_xlfn.XLOOKUP(Table2[[#This Row],[Adjusted Form '#]],[1]COMPLETED!$D:$D,[2]COMPLETED!$M:$M,"Not Found")</f>
        <v>Not Found</v>
      </c>
      <c r="V2096" s="13" t="str">
        <f>_xlfn.XLOOKUP(Table2[[#This Row],[Adjusted Form '#]],[2]COMPLETED!$D:$D,[2]COMPLETED!$O:$O,"Not Found")</f>
        <v>Not Found</v>
      </c>
      <c r="W2096" s="6" t="str">
        <f>_xlfn.XLOOKUP(Table2[[#This Row],[Adjusted Form '#]],[2]BILLED!$D:$D,[2]BILLED!$M:$M,"Not Found")</f>
        <v>9400 1361 0605 3690 9588 69</v>
      </c>
      <c r="X2096" s="13" t="e">
        <f>_xlfn.XLOOKUP(Table2[[#This Row],[Adjusted Form '#]],[2]BILLED!$D:$D,[1]BILLED!$O:$O,"Not Found")</f>
        <v>#REF!</v>
      </c>
      <c r="Y2096" s="13" t="e">
        <f>_xlfn.XLOOKUP(Table2[[#This Row],[Adjusted Form '#]],'[2]REJECTED ORDERS'!$D:$D,'[2]REJECTED ORDERS'!$E:$E)</f>
        <v>#N/A</v>
      </c>
      <c r="Z2096" s="1"/>
      <c r="AA2096" s="1"/>
    </row>
    <row r="2097" spans="1:27" ht="15" customHeight="1" x14ac:dyDescent="0.35">
      <c r="A2097" s="4" t="s">
        <v>3081</v>
      </c>
      <c r="B2097" s="1" t="s">
        <v>1484</v>
      </c>
      <c r="C2097" s="11">
        <v>45250</v>
      </c>
      <c r="D2097" s="11" t="s">
        <v>7717</v>
      </c>
      <c r="E2097" s="1" t="s">
        <v>21</v>
      </c>
      <c r="F2097" s="1" t="s">
        <v>7714</v>
      </c>
      <c r="G2097" s="6">
        <f>COUNTIF(F:F,Table2[[#This Row],[Form '#]])</f>
        <v>1</v>
      </c>
      <c r="H2097" s="1" t="s">
        <v>918</v>
      </c>
      <c r="I2097" s="1" t="s">
        <v>758</v>
      </c>
      <c r="J2097" s="1" t="s">
        <v>78</v>
      </c>
      <c r="K2097" s="1" t="s">
        <v>3853</v>
      </c>
      <c r="L2097" s="1"/>
      <c r="M2097" s="6" t="str">
        <f>IF(Table2[[#This Row],[Corrected Form '#
 (If Duplicated)]]="",Table2[[#This Row],[Form '#]],Table2[[#This Row],[Corrected Form '#
 (If Duplicated)]])</f>
        <v>7818-16918</v>
      </c>
      <c r="N2097" s="1" t="s">
        <v>49</v>
      </c>
      <c r="O2097" s="6" t="str">
        <f>IF(Table2[[#This Row],[POG CONFIRMATION RECEIPT OF ORDER
(DATE &amp; TIME)]]="","No Confirmation","Received Confirmation")</f>
        <v>Received Confirmation</v>
      </c>
      <c r="P2097" s="6">
        <f ca="1">TODAY()-Table2[[#This Row],[DATE SENT TO POG]]</f>
        <v>53</v>
      </c>
      <c r="Q2097" s="6" t="s">
        <v>5803</v>
      </c>
      <c r="R20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9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97" s="6" t="str">
        <f>_xlfn.XLOOKUP(Table2[[#This Row],[Adjusted Form '#]],'[2]IN PROGRESS'!$D:$D,'[2]IN PROGRESS'!$M:$M,"Not Found")</f>
        <v>Not Found</v>
      </c>
      <c r="U2097" s="6" t="str">
        <f>_xlfn.XLOOKUP(Table2[[#This Row],[Adjusted Form '#]],[1]COMPLETED!$D:$D,[2]COMPLETED!$M:$M,"Not Found")</f>
        <v>Not Found</v>
      </c>
      <c r="V2097" s="13">
        <f>_xlfn.XLOOKUP(Table2[[#This Row],[Adjusted Form '#]],[2]COMPLETED!$D:$D,[2]COMPLETED!$O:$O,"Not Found")</f>
        <v>45262</v>
      </c>
      <c r="W2097" s="6" t="str">
        <f>_xlfn.XLOOKUP(Table2[[#This Row],[Adjusted Form '#]],[2]BILLED!$D:$D,[2]BILLED!$M:$M,"Not Found")</f>
        <v>Not Found</v>
      </c>
      <c r="X2097" s="13" t="str">
        <f>_xlfn.XLOOKUP(Table2[[#This Row],[Adjusted Form '#]],[2]BILLED!$D:$D,[1]BILLED!$O:$O,"Not Found")</f>
        <v>Not Found</v>
      </c>
      <c r="Y2097" s="13" t="e">
        <f>_xlfn.XLOOKUP(Table2[[#This Row],[Adjusted Form '#]],'[2]REJECTED ORDERS'!$D:$D,'[2]REJECTED ORDERS'!$E:$E)</f>
        <v>#N/A</v>
      </c>
      <c r="Z2097" s="1"/>
      <c r="AA2097" s="1"/>
    </row>
    <row r="2098" spans="1:27" ht="15" customHeight="1" x14ac:dyDescent="0.35">
      <c r="A2098" s="4" t="s">
        <v>3082</v>
      </c>
      <c r="B2098" s="1" t="s">
        <v>1484</v>
      </c>
      <c r="C2098" s="11">
        <v>45250</v>
      </c>
      <c r="D2098" s="11" t="s">
        <v>7717</v>
      </c>
      <c r="E2098" s="1" t="s">
        <v>21</v>
      </c>
      <c r="F2098" s="1" t="s">
        <v>7715</v>
      </c>
      <c r="G2098" s="6">
        <f>COUNTIF(F:F,Table2[[#This Row],[Form '#]])</f>
        <v>1</v>
      </c>
      <c r="H2098" s="1" t="s">
        <v>2260</v>
      </c>
      <c r="I2098" s="1" t="s">
        <v>3852</v>
      </c>
      <c r="J2098" s="1" t="s">
        <v>80</v>
      </c>
      <c r="K2098" s="1" t="s">
        <v>3853</v>
      </c>
      <c r="L2098" s="1"/>
      <c r="M2098" s="6" t="str">
        <f>IF(Table2[[#This Row],[Corrected Form '#
 (If Duplicated)]]="",Table2[[#This Row],[Form '#]],Table2[[#This Row],[Corrected Form '#
 (If Duplicated)]])</f>
        <v>7818-10450</v>
      </c>
      <c r="N2098" s="1" t="s">
        <v>49</v>
      </c>
      <c r="O2098" s="6" t="str">
        <f>IF(Table2[[#This Row],[POG CONFIRMATION RECEIPT OF ORDER
(DATE &amp; TIME)]]="","No Confirmation","Received Confirmation")</f>
        <v>Received Confirmation</v>
      </c>
      <c r="P2098" s="6">
        <f ca="1">TODAY()-Table2[[#This Row],[DATE SENT TO POG]]</f>
        <v>53</v>
      </c>
      <c r="Q2098" s="6" t="s">
        <v>5803</v>
      </c>
      <c r="R20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098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098" s="6" t="str">
        <f>_xlfn.XLOOKUP(Table2[[#This Row],[Adjusted Form '#]],'[2]IN PROGRESS'!$D:$D,'[2]IN PROGRESS'!$M:$M,"Not Found")</f>
        <v>Not Found</v>
      </c>
      <c r="U2098" s="6" t="str">
        <f>_xlfn.XLOOKUP(Table2[[#This Row],[Adjusted Form '#]],[1]COMPLETED!$D:$D,[2]COMPLETED!$M:$M,"Not Found")</f>
        <v>Not Found</v>
      </c>
      <c r="V2098" s="13" t="str">
        <f>_xlfn.XLOOKUP(Table2[[#This Row],[Adjusted Form '#]],[2]COMPLETED!$D:$D,[2]COMPLETED!$O:$O,"Not Found")</f>
        <v>Not Found</v>
      </c>
      <c r="W2098" s="6" t="str">
        <f>_xlfn.XLOOKUP(Table2[[#This Row],[Adjusted Form '#]],[2]BILLED!$D:$D,[2]BILLED!$M:$M,"Not Found")</f>
        <v>9400 1361 0605 3718 4841 96</v>
      </c>
      <c r="X2098" s="13" t="e">
        <f>_xlfn.XLOOKUP(Table2[[#This Row],[Adjusted Form '#]],[2]BILLED!$D:$D,[1]BILLED!$O:$O,"Not Found")</f>
        <v>#REF!</v>
      </c>
      <c r="Y2098" s="13" t="e">
        <f>_xlfn.XLOOKUP(Table2[[#This Row],[Adjusted Form '#]],'[2]REJECTED ORDERS'!$D:$D,'[2]REJECTED ORDERS'!$E:$E)</f>
        <v>#N/A</v>
      </c>
      <c r="Z2098" s="1"/>
      <c r="AA2098" s="1"/>
    </row>
    <row r="2099" spans="1:27" ht="15" customHeight="1" x14ac:dyDescent="0.35">
      <c r="A2099" s="4" t="s">
        <v>3083</v>
      </c>
      <c r="B2099" s="1" t="s">
        <v>1484</v>
      </c>
      <c r="C2099" s="11">
        <v>45250</v>
      </c>
      <c r="D2099" s="11" t="s">
        <v>7717</v>
      </c>
      <c r="E2099" s="1" t="s">
        <v>21</v>
      </c>
      <c r="F2099" s="1" t="s">
        <v>7716</v>
      </c>
      <c r="G2099" s="6">
        <f>COUNTIF(F:F,Table2[[#This Row],[Form '#]])</f>
        <v>1</v>
      </c>
      <c r="H2099" s="1" t="s">
        <v>1261</v>
      </c>
      <c r="I2099" s="1" t="s">
        <v>758</v>
      </c>
      <c r="J2099" s="1" t="s">
        <v>78</v>
      </c>
      <c r="K2099" s="1" t="s">
        <v>3853</v>
      </c>
      <c r="L2099" s="1"/>
      <c r="M2099" s="6" t="str">
        <f>IF(Table2[[#This Row],[Corrected Form '#
 (If Duplicated)]]="",Table2[[#This Row],[Form '#]],Table2[[#This Row],[Corrected Form '#
 (If Duplicated)]])</f>
        <v>7818-27613</v>
      </c>
      <c r="N2099" s="1" t="s">
        <v>49</v>
      </c>
      <c r="O2099" s="6" t="str">
        <f>IF(Table2[[#This Row],[POG CONFIRMATION RECEIPT OF ORDER
(DATE &amp; TIME)]]="","No Confirmation","Received Confirmation")</f>
        <v>Received Confirmation</v>
      </c>
      <c r="P2099" s="6">
        <f ca="1">TODAY()-Table2[[#This Row],[DATE SENT TO POG]]</f>
        <v>53</v>
      </c>
      <c r="Q2099" s="6" t="s">
        <v>5803</v>
      </c>
      <c r="R20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09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099" s="6" t="str">
        <f>_xlfn.XLOOKUP(Table2[[#This Row],[Adjusted Form '#]],'[2]IN PROGRESS'!$D:$D,'[2]IN PROGRESS'!$M:$M,"Not Found")</f>
        <v>Not Found</v>
      </c>
      <c r="U2099" s="6" t="str">
        <f>_xlfn.XLOOKUP(Table2[[#This Row],[Adjusted Form '#]],[1]COMPLETED!$D:$D,[2]COMPLETED!$M:$M,"Not Found")</f>
        <v>Not Found</v>
      </c>
      <c r="V2099" s="13">
        <f>_xlfn.XLOOKUP(Table2[[#This Row],[Adjusted Form '#]],[2]COMPLETED!$D:$D,[2]COMPLETED!$O:$O,"Not Found")</f>
        <v>45262</v>
      </c>
      <c r="W2099" s="6" t="str">
        <f>_xlfn.XLOOKUP(Table2[[#This Row],[Adjusted Form '#]],[2]BILLED!$D:$D,[2]BILLED!$M:$M,"Not Found")</f>
        <v>Not Found</v>
      </c>
      <c r="X2099" s="13" t="str">
        <f>_xlfn.XLOOKUP(Table2[[#This Row],[Adjusted Form '#]],[2]BILLED!$D:$D,[1]BILLED!$O:$O,"Not Found")</f>
        <v>Not Found</v>
      </c>
      <c r="Y2099" s="13" t="e">
        <f>_xlfn.XLOOKUP(Table2[[#This Row],[Adjusted Form '#]],'[2]REJECTED ORDERS'!$D:$D,'[2]REJECTED ORDERS'!$E:$E)</f>
        <v>#N/A</v>
      </c>
      <c r="Z2099" s="1"/>
      <c r="AA2099" s="1"/>
    </row>
    <row r="2100" spans="1:27" ht="15" customHeight="1" x14ac:dyDescent="0.35">
      <c r="A2100" s="4" t="s">
        <v>3084</v>
      </c>
      <c r="B2100" s="1" t="s">
        <v>3446</v>
      </c>
      <c r="C2100" s="11">
        <v>45250</v>
      </c>
      <c r="E2100" s="1" t="s">
        <v>21</v>
      </c>
      <c r="F2100" s="1" t="s">
        <v>7718</v>
      </c>
      <c r="G2100" s="6">
        <f>COUNTIF(F:F,Table2[[#This Row],[Form '#]])</f>
        <v>1</v>
      </c>
      <c r="H2100" s="1" t="s">
        <v>7061</v>
      </c>
      <c r="I2100" s="1" t="s">
        <v>127</v>
      </c>
      <c r="J2100" s="1" t="s">
        <v>76</v>
      </c>
      <c r="K2100" s="1" t="s">
        <v>3891</v>
      </c>
      <c r="L2100" s="1"/>
      <c r="M2100" s="6" t="str">
        <f>IF(Table2[[#This Row],[Corrected Form '#
 (If Duplicated)]]="",Table2[[#This Row],[Form '#]],Table2[[#This Row],[Corrected Form '#
 (If Duplicated)]])</f>
        <v>7818-33654</v>
      </c>
      <c r="N2100" s="1" t="s">
        <v>49</v>
      </c>
      <c r="O2100" s="6" t="str">
        <f>IF(Table2[[#This Row],[POG CONFIRMATION RECEIPT OF ORDER
(DATE &amp; TIME)]]="","No Confirmation","Received Confirmation")</f>
        <v>No Confirmation</v>
      </c>
      <c r="P2100" s="6">
        <f ca="1">TODAY()-Table2[[#This Row],[DATE SENT TO POG]]</f>
        <v>53</v>
      </c>
      <c r="Q2100" s="6" t="s">
        <v>5803</v>
      </c>
      <c r="R21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0" s="6" t="str">
        <f>_xlfn.XLOOKUP(Table2[[#This Row],[Adjusted Form '#]],'[2]IN PROGRESS'!$D:$D,'[2]IN PROGRESS'!$M:$M,"Not Found")</f>
        <v>Not Found</v>
      </c>
      <c r="U2100" s="6" t="str">
        <f>_xlfn.XLOOKUP(Table2[[#This Row],[Adjusted Form '#]],[1]COMPLETED!$D:$D,[2]COMPLETED!$M:$M,"Not Found")</f>
        <v>Not Found</v>
      </c>
      <c r="V2100" s="13">
        <f>_xlfn.XLOOKUP(Table2[[#This Row],[Adjusted Form '#]],[2]COMPLETED!$D:$D,[2]COMPLETED!$O:$O,"Not Found")</f>
        <v>45275</v>
      </c>
      <c r="W2100" s="6" t="str">
        <f>_xlfn.XLOOKUP(Table2[[#This Row],[Adjusted Form '#]],[2]BILLED!$D:$D,[2]BILLED!$M:$M,"Not Found")</f>
        <v>Not Found</v>
      </c>
      <c r="X2100" s="13" t="str">
        <f>_xlfn.XLOOKUP(Table2[[#This Row],[Adjusted Form '#]],[2]BILLED!$D:$D,[1]BILLED!$O:$O,"Not Found")</f>
        <v>Not Found</v>
      </c>
      <c r="Y2100" s="13" t="e">
        <f>_xlfn.XLOOKUP(Table2[[#This Row],[Adjusted Form '#]],'[2]REJECTED ORDERS'!$D:$D,'[2]REJECTED ORDERS'!$E:$E)</f>
        <v>#N/A</v>
      </c>
      <c r="Z2100" s="1"/>
      <c r="AA2100" s="1"/>
    </row>
    <row r="2101" spans="1:27" ht="15" customHeight="1" x14ac:dyDescent="0.35">
      <c r="A2101" s="4" t="s">
        <v>3085</v>
      </c>
      <c r="B2101" s="1" t="s">
        <v>1166</v>
      </c>
      <c r="C2101" s="11">
        <v>45250</v>
      </c>
      <c r="D2101" s="11" t="s">
        <v>7721</v>
      </c>
      <c r="E2101" s="1" t="s">
        <v>21</v>
      </c>
      <c r="F2101" s="1" t="s">
        <v>7719</v>
      </c>
      <c r="G2101" s="6">
        <f>COUNTIF(F:F,Table2[[#This Row],[Form '#]])</f>
        <v>1</v>
      </c>
      <c r="H2101" s="1" t="s">
        <v>3638</v>
      </c>
      <c r="I2101" s="1" t="s">
        <v>3852</v>
      </c>
      <c r="J2101" s="1" t="s">
        <v>80</v>
      </c>
      <c r="K2101" s="1" t="s">
        <v>3853</v>
      </c>
      <c r="L2101" s="1"/>
      <c r="M2101" s="6" t="str">
        <f>IF(Table2[[#This Row],[Corrected Form '#
 (If Duplicated)]]="",Table2[[#This Row],[Form '#]],Table2[[#This Row],[Corrected Form '#
 (If Duplicated)]])</f>
        <v>7818-23257</v>
      </c>
      <c r="N2101" s="1" t="s">
        <v>49</v>
      </c>
      <c r="O2101" s="6" t="str">
        <f>IF(Table2[[#This Row],[POG CONFIRMATION RECEIPT OF ORDER
(DATE &amp; TIME)]]="","No Confirmation","Received Confirmation")</f>
        <v>Received Confirmation</v>
      </c>
      <c r="P2101" s="6">
        <f ca="1">TODAY()-Table2[[#This Row],[DATE SENT TO POG]]</f>
        <v>53</v>
      </c>
      <c r="Q2101" s="6" t="s">
        <v>5803</v>
      </c>
      <c r="R21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101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101" s="6" t="str">
        <f>_xlfn.XLOOKUP(Table2[[#This Row],[Adjusted Form '#]],'[2]IN PROGRESS'!$D:$D,'[2]IN PROGRESS'!$M:$M,"Not Found")</f>
        <v>Not Found</v>
      </c>
      <c r="U2101" s="6" t="str">
        <f>_xlfn.XLOOKUP(Table2[[#This Row],[Adjusted Form '#]],[1]COMPLETED!$D:$D,[2]COMPLETED!$M:$M,"Not Found")</f>
        <v>Not Found</v>
      </c>
      <c r="V2101" s="13" t="str">
        <f>_xlfn.XLOOKUP(Table2[[#This Row],[Adjusted Form '#]],[2]COMPLETED!$D:$D,[2]COMPLETED!$O:$O,"Not Found")</f>
        <v>Not Found</v>
      </c>
      <c r="W2101" s="6" t="str">
        <f>_xlfn.XLOOKUP(Table2[[#This Row],[Adjusted Form '#]],[2]BILLED!$D:$D,[2]BILLED!$M:$M,"Not Found")</f>
        <v>9400 1361 0605 3690 9665 81</v>
      </c>
      <c r="X2101" s="13" t="e">
        <f>_xlfn.XLOOKUP(Table2[[#This Row],[Adjusted Form '#]],[2]BILLED!$D:$D,[1]BILLED!$O:$O,"Not Found")</f>
        <v>#REF!</v>
      </c>
      <c r="Y2101" s="13" t="e">
        <f>_xlfn.XLOOKUP(Table2[[#This Row],[Adjusted Form '#]],'[2]REJECTED ORDERS'!$D:$D,'[2]REJECTED ORDERS'!$E:$E)</f>
        <v>#N/A</v>
      </c>
      <c r="Z2101" s="1"/>
      <c r="AA2101" s="1"/>
    </row>
    <row r="2102" spans="1:27" ht="15" customHeight="1" x14ac:dyDescent="0.35">
      <c r="A2102" s="4" t="s">
        <v>3087</v>
      </c>
      <c r="B2102" s="1" t="s">
        <v>1166</v>
      </c>
      <c r="C2102" s="11">
        <v>45250</v>
      </c>
      <c r="D2102" s="11" t="s">
        <v>7721</v>
      </c>
      <c r="E2102" s="1" t="s">
        <v>21</v>
      </c>
      <c r="F2102" s="1" t="s">
        <v>7720</v>
      </c>
      <c r="G2102" s="6">
        <f>COUNTIF(F:F,Table2[[#This Row],[Form '#]])</f>
        <v>1</v>
      </c>
      <c r="H2102" s="1" t="s">
        <v>2255</v>
      </c>
      <c r="I2102" s="1" t="s">
        <v>177</v>
      </c>
      <c r="J2102" s="1" t="s">
        <v>75</v>
      </c>
      <c r="K2102" s="1" t="s">
        <v>3853</v>
      </c>
      <c r="L2102" s="1"/>
      <c r="M2102" s="6" t="str">
        <f>IF(Table2[[#This Row],[Corrected Form '#
 (If Duplicated)]]="",Table2[[#This Row],[Form '#]],Table2[[#This Row],[Corrected Form '#
 (If Duplicated)]])</f>
        <v>7818-07813</v>
      </c>
      <c r="N2102" s="1" t="s">
        <v>49</v>
      </c>
      <c r="O2102" s="6" t="str">
        <f>IF(Table2[[#This Row],[POG CONFIRMATION RECEIPT OF ORDER
(DATE &amp; TIME)]]="","No Confirmation","Received Confirmation")</f>
        <v>Received Confirmation</v>
      </c>
      <c r="P2102" s="6">
        <f ca="1">TODAY()-Table2[[#This Row],[DATE SENT TO POG]]</f>
        <v>53</v>
      </c>
      <c r="Q2102" s="6" t="s">
        <v>5803</v>
      </c>
      <c r="R21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2" s="6" t="str">
        <f>_xlfn.XLOOKUP(Table2[[#This Row],[Adjusted Form '#]],'[2]IN PROGRESS'!$D:$D,'[2]IN PROGRESS'!$M:$M,"Not Found")</f>
        <v>Not Found</v>
      </c>
      <c r="U2102" s="6" t="str">
        <f>_xlfn.XLOOKUP(Table2[[#This Row],[Adjusted Form '#]],[1]COMPLETED!$D:$D,[2]COMPLETED!$M:$M,"Not Found")</f>
        <v>Not Found</v>
      </c>
      <c r="V2102" s="13">
        <f>_xlfn.XLOOKUP(Table2[[#This Row],[Adjusted Form '#]],[2]COMPLETED!$D:$D,[2]COMPLETED!$O:$O,"Not Found")</f>
        <v>45271</v>
      </c>
      <c r="W2102" s="6" t="str">
        <f>_xlfn.XLOOKUP(Table2[[#This Row],[Adjusted Form '#]],[2]BILLED!$D:$D,[2]BILLED!$M:$M,"Not Found")</f>
        <v>Not Found</v>
      </c>
      <c r="X2102" s="13" t="str">
        <f>_xlfn.XLOOKUP(Table2[[#This Row],[Adjusted Form '#]],[2]BILLED!$D:$D,[1]BILLED!$O:$O,"Not Found")</f>
        <v>Not Found</v>
      </c>
      <c r="Y2102" s="13" t="e">
        <f>_xlfn.XLOOKUP(Table2[[#This Row],[Adjusted Form '#]],'[2]REJECTED ORDERS'!$D:$D,'[2]REJECTED ORDERS'!$E:$E)</f>
        <v>#N/A</v>
      </c>
      <c r="Z2102" s="1"/>
      <c r="AA2102" s="1"/>
    </row>
    <row r="2103" spans="1:27" ht="15" customHeight="1" x14ac:dyDescent="0.35">
      <c r="A2103" s="4" t="s">
        <v>3089</v>
      </c>
      <c r="B2103" s="1" t="s">
        <v>7722</v>
      </c>
      <c r="C2103" s="11">
        <v>45250</v>
      </c>
      <c r="D2103" s="11" t="s">
        <v>7724</v>
      </c>
      <c r="E2103" s="1" t="s">
        <v>21</v>
      </c>
      <c r="F2103" s="1" t="s">
        <v>7723</v>
      </c>
      <c r="G2103" s="6">
        <f>COUNTIF(F:F,Table2[[#This Row],[Form '#]])</f>
        <v>1</v>
      </c>
      <c r="H2103" s="1" t="s">
        <v>178</v>
      </c>
      <c r="I2103" s="1" t="s">
        <v>106</v>
      </c>
      <c r="J2103" s="1" t="s">
        <v>72</v>
      </c>
      <c r="K2103" s="1" t="s">
        <v>4011</v>
      </c>
      <c r="L2103" s="1"/>
      <c r="M2103" s="6" t="str">
        <f>IF(Table2[[#This Row],[Corrected Form '#
 (If Duplicated)]]="",Table2[[#This Row],[Form '#]],Table2[[#This Row],[Corrected Form '#
 (If Duplicated)]])</f>
        <v>7818-22399</v>
      </c>
      <c r="N2103" s="1" t="s">
        <v>49</v>
      </c>
      <c r="O2103" s="6" t="str">
        <f>IF(Table2[[#This Row],[POG CONFIRMATION RECEIPT OF ORDER
(DATE &amp; TIME)]]="","No Confirmation","Received Confirmation")</f>
        <v>Received Confirmation</v>
      </c>
      <c r="P2103" s="6">
        <f ca="1">TODAY()-Table2[[#This Row],[DATE SENT TO POG]]</f>
        <v>53</v>
      </c>
      <c r="Q2103" s="6" t="s">
        <v>5803</v>
      </c>
      <c r="R21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3" s="6" t="str">
        <f>_xlfn.XLOOKUP(Table2[[#This Row],[Adjusted Form '#]],'[2]IN PROGRESS'!$D:$D,'[2]IN PROGRESS'!$M:$M,"Not Found")</f>
        <v>Not Found</v>
      </c>
      <c r="U2103" s="6" t="str">
        <f>_xlfn.XLOOKUP(Table2[[#This Row],[Adjusted Form '#]],[1]COMPLETED!$D:$D,[2]COMPLETED!$M:$M,"Not Found")</f>
        <v>Not Found</v>
      </c>
      <c r="V2103" s="13">
        <f>_xlfn.XLOOKUP(Table2[[#This Row],[Adjusted Form '#]],[2]COMPLETED!$D:$D,[2]COMPLETED!$O:$O,"Not Found")</f>
        <v>45275</v>
      </c>
      <c r="W2103" s="6" t="str">
        <f>_xlfn.XLOOKUP(Table2[[#This Row],[Adjusted Form '#]],[2]BILLED!$D:$D,[2]BILLED!$M:$M,"Not Found")</f>
        <v>Not Found</v>
      </c>
      <c r="X2103" s="13" t="str">
        <f>_xlfn.XLOOKUP(Table2[[#This Row],[Adjusted Form '#]],[2]BILLED!$D:$D,[1]BILLED!$O:$O,"Not Found")</f>
        <v>Not Found</v>
      </c>
      <c r="Y2103" s="13" t="e">
        <f>_xlfn.XLOOKUP(Table2[[#This Row],[Adjusted Form '#]],'[2]REJECTED ORDERS'!$D:$D,'[2]REJECTED ORDERS'!$E:$E)</f>
        <v>#N/A</v>
      </c>
      <c r="Z2103" s="1"/>
      <c r="AA2103" s="1"/>
    </row>
    <row r="2104" spans="1:27" ht="15" customHeight="1" x14ac:dyDescent="0.35">
      <c r="A2104" s="4" t="s">
        <v>3090</v>
      </c>
      <c r="B2104" s="1" t="s">
        <v>7725</v>
      </c>
      <c r="C2104" s="11">
        <v>45250</v>
      </c>
      <c r="D2104" s="11" t="s">
        <v>7731</v>
      </c>
      <c r="E2104" s="1" t="s">
        <v>21</v>
      </c>
      <c r="F2104" s="1" t="s">
        <v>7726</v>
      </c>
      <c r="G2104" s="6">
        <f>COUNTIF(F:F,Table2[[#This Row],[Form '#]])</f>
        <v>1</v>
      </c>
      <c r="H2104" s="1" t="s">
        <v>7727</v>
      </c>
      <c r="I2104" s="1" t="s">
        <v>3864</v>
      </c>
      <c r="J2104" s="1" t="s">
        <v>78</v>
      </c>
      <c r="K2104" s="1" t="s">
        <v>3879</v>
      </c>
      <c r="L2104" s="1"/>
      <c r="M2104" s="6" t="str">
        <f>IF(Table2[[#This Row],[Corrected Form '#
 (If Duplicated)]]="",Table2[[#This Row],[Form '#]],Table2[[#This Row],[Corrected Form '#
 (If Duplicated)]])</f>
        <v>7818-18885</v>
      </c>
      <c r="N2104" s="1" t="s">
        <v>49</v>
      </c>
      <c r="O2104" s="6" t="str">
        <f>IF(Table2[[#This Row],[POG CONFIRMATION RECEIPT OF ORDER
(DATE &amp; TIME)]]="","No Confirmation","Received Confirmation")</f>
        <v>Received Confirmation</v>
      </c>
      <c r="P2104" s="6">
        <f ca="1">TODAY()-Table2[[#This Row],[DATE SENT TO POG]]</f>
        <v>53</v>
      </c>
      <c r="Q2104" s="6" t="s">
        <v>5803</v>
      </c>
      <c r="R21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4" s="6" t="str">
        <f>_xlfn.XLOOKUP(Table2[[#This Row],[Adjusted Form '#]],'[2]IN PROGRESS'!$D:$D,'[2]IN PROGRESS'!$M:$M,"Not Found")</f>
        <v>Not Found</v>
      </c>
      <c r="U2104" s="6" t="str">
        <f>_xlfn.XLOOKUP(Table2[[#This Row],[Adjusted Form '#]],[1]COMPLETED!$D:$D,[2]COMPLETED!$M:$M,"Not Found")</f>
        <v>Not Found</v>
      </c>
      <c r="V2104" s="13">
        <f>_xlfn.XLOOKUP(Table2[[#This Row],[Adjusted Form '#]],[2]COMPLETED!$D:$D,[2]COMPLETED!$O:$O,"Not Found")</f>
        <v>45264</v>
      </c>
      <c r="W2104" s="6" t="str">
        <f>_xlfn.XLOOKUP(Table2[[#This Row],[Adjusted Form '#]],[2]BILLED!$D:$D,[2]BILLED!$M:$M,"Not Found")</f>
        <v>Not Found</v>
      </c>
      <c r="X2104" s="13" t="str">
        <f>_xlfn.XLOOKUP(Table2[[#This Row],[Adjusted Form '#]],[2]BILLED!$D:$D,[1]BILLED!$O:$O,"Not Found")</f>
        <v>Not Found</v>
      </c>
      <c r="Y2104" s="13" t="e">
        <f>_xlfn.XLOOKUP(Table2[[#This Row],[Adjusted Form '#]],'[2]REJECTED ORDERS'!$D:$D,'[2]REJECTED ORDERS'!$E:$E)</f>
        <v>#N/A</v>
      </c>
      <c r="Z2104" s="1"/>
      <c r="AA2104" s="1"/>
    </row>
    <row r="2105" spans="1:27" ht="15" customHeight="1" x14ac:dyDescent="0.35">
      <c r="A2105" s="4" t="s">
        <v>3092</v>
      </c>
      <c r="B2105" s="1" t="s">
        <v>2609</v>
      </c>
      <c r="C2105" s="11">
        <v>45251</v>
      </c>
      <c r="E2105" s="1" t="s">
        <v>73</v>
      </c>
      <c r="F2105" s="1" t="s">
        <v>7728</v>
      </c>
      <c r="G2105" s="6">
        <f>COUNTIF(F:F,Table2[[#This Row],[Form '#]])</f>
        <v>1</v>
      </c>
      <c r="H2105" s="1" t="s">
        <v>7729</v>
      </c>
      <c r="I2105" s="1" t="s">
        <v>3864</v>
      </c>
      <c r="J2105" s="1" t="s">
        <v>78</v>
      </c>
      <c r="K2105" s="1" t="s">
        <v>3879</v>
      </c>
      <c r="L2105" s="1"/>
      <c r="M2105" s="6" t="str">
        <f>IF(Table2[[#This Row],[Corrected Form '#
 (If Duplicated)]]="",Table2[[#This Row],[Form '#]],Table2[[#This Row],[Corrected Form '#
 (If Duplicated)]])</f>
        <v>7823-03102</v>
      </c>
      <c r="N2105" s="1" t="s">
        <v>49</v>
      </c>
      <c r="O2105" s="6" t="str">
        <f>IF(Table2[[#This Row],[POG CONFIRMATION RECEIPT OF ORDER
(DATE &amp; TIME)]]="","No Confirmation","Received Confirmation")</f>
        <v>No Confirmation</v>
      </c>
      <c r="P2105" s="6">
        <f ca="1">TODAY()-Table2[[#This Row],[DATE SENT TO POG]]</f>
        <v>52</v>
      </c>
      <c r="Q2105" s="6" t="s">
        <v>5803</v>
      </c>
      <c r="R21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5" s="6" t="str">
        <f>_xlfn.XLOOKUP(Table2[[#This Row],[Adjusted Form '#]],'[2]IN PROGRESS'!$D:$D,'[2]IN PROGRESS'!$M:$M,"Not Found")</f>
        <v>Not Found</v>
      </c>
      <c r="U2105" s="6" t="str">
        <f>_xlfn.XLOOKUP(Table2[[#This Row],[Adjusted Form '#]],[1]COMPLETED!$D:$D,[2]COMPLETED!$M:$M,"Not Found")</f>
        <v>Not Found</v>
      </c>
      <c r="V2105" s="13">
        <f>_xlfn.XLOOKUP(Table2[[#This Row],[Adjusted Form '#]],[2]COMPLETED!$D:$D,[2]COMPLETED!$O:$O,"Not Found")</f>
        <v>45262</v>
      </c>
      <c r="W2105" s="6" t="str">
        <f>_xlfn.XLOOKUP(Table2[[#This Row],[Adjusted Form '#]],[2]BILLED!$D:$D,[2]BILLED!$M:$M,"Not Found")</f>
        <v>Not Found</v>
      </c>
      <c r="X2105" s="13" t="str">
        <f>_xlfn.XLOOKUP(Table2[[#This Row],[Adjusted Form '#]],[2]BILLED!$D:$D,[1]BILLED!$O:$O,"Not Found")</f>
        <v>Not Found</v>
      </c>
      <c r="Y2105" s="13" t="e">
        <f>_xlfn.XLOOKUP(Table2[[#This Row],[Adjusted Form '#]],'[2]REJECTED ORDERS'!$D:$D,'[2]REJECTED ORDERS'!$E:$E)</f>
        <v>#N/A</v>
      </c>
      <c r="Z2105" s="1"/>
      <c r="AA2105" s="1"/>
    </row>
    <row r="2106" spans="1:27" ht="15" customHeight="1" x14ac:dyDescent="0.35">
      <c r="A2106" s="4" t="s">
        <v>3093</v>
      </c>
      <c r="B2106" s="1" t="s">
        <v>1039</v>
      </c>
      <c r="C2106" s="11">
        <v>45251</v>
      </c>
      <c r="E2106" s="1" t="s">
        <v>73</v>
      </c>
      <c r="F2106" s="1" t="s">
        <v>7730</v>
      </c>
      <c r="G2106" s="6">
        <f>COUNTIF(F:F,Table2[[#This Row],[Form '#]])</f>
        <v>1</v>
      </c>
      <c r="H2106" s="1" t="s">
        <v>7748</v>
      </c>
      <c r="I2106" s="1" t="s">
        <v>3891</v>
      </c>
      <c r="J2106" s="1" t="s">
        <v>3891</v>
      </c>
      <c r="K2106" s="1" t="s">
        <v>3891</v>
      </c>
      <c r="L2106" s="1"/>
      <c r="M2106" s="6" t="str">
        <f>IF(Table2[[#This Row],[Corrected Form '#
 (If Duplicated)]]="",Table2[[#This Row],[Form '#]],Table2[[#This Row],[Corrected Form '#
 (If Duplicated)]])</f>
        <v>7823-03201</v>
      </c>
      <c r="N2106" s="1" t="s">
        <v>49</v>
      </c>
      <c r="O2106" s="6" t="str">
        <f>IF(Table2[[#This Row],[POG CONFIRMATION RECEIPT OF ORDER
(DATE &amp; TIME)]]="","No Confirmation","Received Confirmation")</f>
        <v>No Confirmation</v>
      </c>
      <c r="P2106" s="6">
        <f ca="1">TODAY()-Table2[[#This Row],[DATE SENT TO POG]]</f>
        <v>52</v>
      </c>
      <c r="Q2106" s="6" t="s">
        <v>5803</v>
      </c>
      <c r="R21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6" s="6" t="str">
        <f>_xlfn.XLOOKUP(Table2[[#This Row],[Adjusted Form '#]],'[2]IN PROGRESS'!$D:$D,'[2]IN PROGRESS'!$M:$M,"Not Found")</f>
        <v>Not Found</v>
      </c>
      <c r="U2106" s="6" t="str">
        <f>_xlfn.XLOOKUP(Table2[[#This Row],[Adjusted Form '#]],[1]COMPLETED!$D:$D,[2]COMPLETED!$M:$M,"Not Found")</f>
        <v>Not Found</v>
      </c>
      <c r="V2106" s="13">
        <f>_xlfn.XLOOKUP(Table2[[#This Row],[Adjusted Form '#]],[2]COMPLETED!$D:$D,[2]COMPLETED!$O:$O,"Not Found")</f>
        <v>45264</v>
      </c>
      <c r="W2106" s="6" t="str">
        <f>_xlfn.XLOOKUP(Table2[[#This Row],[Adjusted Form '#]],[2]BILLED!$D:$D,[2]BILLED!$M:$M,"Not Found")</f>
        <v>Not Found</v>
      </c>
      <c r="X2106" s="13" t="str">
        <f>_xlfn.XLOOKUP(Table2[[#This Row],[Adjusted Form '#]],[2]BILLED!$D:$D,[1]BILLED!$O:$O,"Not Found")</f>
        <v>Not Found</v>
      </c>
      <c r="Y2106" s="13" t="e">
        <f>_xlfn.XLOOKUP(Table2[[#This Row],[Adjusted Form '#]],'[2]REJECTED ORDERS'!$D:$D,'[2]REJECTED ORDERS'!$E:$E)</f>
        <v>#N/A</v>
      </c>
      <c r="Z2106" s="1"/>
      <c r="AA2106" s="1"/>
    </row>
    <row r="2107" spans="1:27" ht="15" customHeight="1" x14ac:dyDescent="0.35">
      <c r="A2107" s="4" t="s">
        <v>3094</v>
      </c>
      <c r="B2107" s="1" t="s">
        <v>3091</v>
      </c>
      <c r="C2107" s="11">
        <v>45251</v>
      </c>
      <c r="D2107" s="11" t="s">
        <v>7742</v>
      </c>
      <c r="E2107" s="1" t="s">
        <v>73</v>
      </c>
      <c r="F2107" s="1" t="s">
        <v>7732</v>
      </c>
      <c r="G2107" s="6">
        <f>COUNTIF(F:F,Table2[[#This Row],[Form '#]])</f>
        <v>1</v>
      </c>
      <c r="H2107" s="1" t="s">
        <v>2926</v>
      </c>
      <c r="I2107" s="1" t="s">
        <v>3852</v>
      </c>
      <c r="J2107" s="1" t="s">
        <v>80</v>
      </c>
      <c r="K2107" s="1" t="s">
        <v>3853</v>
      </c>
      <c r="L2107" s="1"/>
      <c r="M2107" s="6" t="str">
        <f>IF(Table2[[#This Row],[Corrected Form '#
 (If Duplicated)]]="",Table2[[#This Row],[Form '#]],Table2[[#This Row],[Corrected Form '#
 (If Duplicated)]])</f>
        <v>7823-02821</v>
      </c>
      <c r="N2107" s="1" t="s">
        <v>49</v>
      </c>
      <c r="O2107" s="6" t="str">
        <f>IF(Table2[[#This Row],[POG CONFIRMATION RECEIPT OF ORDER
(DATE &amp; TIME)]]="","No Confirmation","Received Confirmation")</f>
        <v>Received Confirmation</v>
      </c>
      <c r="P2107" s="6">
        <f ca="1">TODAY()-Table2[[#This Row],[DATE SENT TO POG]]</f>
        <v>52</v>
      </c>
      <c r="Q2107" s="6" t="s">
        <v>5803</v>
      </c>
      <c r="R21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7" s="6" t="str">
        <f>_xlfn.XLOOKUP(Table2[[#This Row],[Adjusted Form '#]],'[2]IN PROGRESS'!$D:$D,'[2]IN PROGRESS'!$M:$M,"Not Found")</f>
        <v>Not Found</v>
      </c>
      <c r="U2107" s="6" t="str">
        <f>_xlfn.XLOOKUP(Table2[[#This Row],[Adjusted Form '#]],[1]COMPLETED!$D:$D,[2]COMPLETED!$M:$M,"Not Found")</f>
        <v>Not Found</v>
      </c>
      <c r="V2107" s="13">
        <f>_xlfn.XLOOKUP(Table2[[#This Row],[Adjusted Form '#]],[2]COMPLETED!$D:$D,[2]COMPLETED!$O:$O,"Not Found")</f>
        <v>45271</v>
      </c>
      <c r="W2107" s="6" t="str">
        <f>_xlfn.XLOOKUP(Table2[[#This Row],[Adjusted Form '#]],[2]BILLED!$D:$D,[2]BILLED!$M:$M,"Not Found")</f>
        <v>Not Found</v>
      </c>
      <c r="X2107" s="13" t="str">
        <f>_xlfn.XLOOKUP(Table2[[#This Row],[Adjusted Form '#]],[2]BILLED!$D:$D,[1]BILLED!$O:$O,"Not Found")</f>
        <v>Not Found</v>
      </c>
      <c r="Y2107" s="13" t="e">
        <f>_xlfn.XLOOKUP(Table2[[#This Row],[Adjusted Form '#]],'[2]REJECTED ORDERS'!$D:$D,'[2]REJECTED ORDERS'!$E:$E)</f>
        <v>#N/A</v>
      </c>
      <c r="Z2107" s="1"/>
      <c r="AA2107" s="1"/>
    </row>
    <row r="2108" spans="1:27" ht="15" customHeight="1" x14ac:dyDescent="0.35">
      <c r="A2108" s="4" t="s">
        <v>3095</v>
      </c>
      <c r="B2108" s="1" t="s">
        <v>3474</v>
      </c>
      <c r="C2108" s="11">
        <v>45251</v>
      </c>
      <c r="D2108" s="11" t="s">
        <v>7742</v>
      </c>
      <c r="E2108" s="1" t="s">
        <v>21</v>
      </c>
      <c r="F2108" s="1" t="s">
        <v>7733</v>
      </c>
      <c r="G2108" s="6">
        <f>COUNTIF(F:F,Table2[[#This Row],[Form '#]])</f>
        <v>1</v>
      </c>
      <c r="H2108" s="1" t="s">
        <v>3733</v>
      </c>
      <c r="I2108" s="1" t="s">
        <v>3864</v>
      </c>
      <c r="J2108" s="1" t="s">
        <v>78</v>
      </c>
      <c r="K2108" s="1" t="s">
        <v>3879</v>
      </c>
      <c r="L2108" s="1"/>
      <c r="M2108" s="6" t="str">
        <f>IF(Table2[[#This Row],[Corrected Form '#
 (If Duplicated)]]="",Table2[[#This Row],[Form '#]],Table2[[#This Row],[Corrected Form '#
 (If Duplicated)]])</f>
        <v>7818-29977</v>
      </c>
      <c r="N2108" s="1" t="s">
        <v>49</v>
      </c>
      <c r="O2108" s="6" t="str">
        <f>IF(Table2[[#This Row],[POG CONFIRMATION RECEIPT OF ORDER
(DATE &amp; TIME)]]="","No Confirmation","Received Confirmation")</f>
        <v>Received Confirmation</v>
      </c>
      <c r="P2108" s="6">
        <f ca="1">TODAY()-Table2[[#This Row],[DATE SENT TO POG]]</f>
        <v>52</v>
      </c>
      <c r="Q2108" s="6" t="s">
        <v>5803</v>
      </c>
      <c r="R21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8" s="6" t="str">
        <f>_xlfn.XLOOKUP(Table2[[#This Row],[Adjusted Form '#]],'[2]IN PROGRESS'!$D:$D,'[2]IN PROGRESS'!$M:$M,"Not Found")</f>
        <v>Not Found</v>
      </c>
      <c r="U2108" s="6" t="str">
        <f>_xlfn.XLOOKUP(Table2[[#This Row],[Adjusted Form '#]],[1]COMPLETED!$D:$D,[2]COMPLETED!$M:$M,"Not Found")</f>
        <v>Not Found</v>
      </c>
      <c r="V2108" s="13">
        <f>_xlfn.XLOOKUP(Table2[[#This Row],[Adjusted Form '#]],[2]COMPLETED!$D:$D,[2]COMPLETED!$O:$O,"Not Found")</f>
        <v>45262</v>
      </c>
      <c r="W2108" s="6" t="str">
        <f>_xlfn.XLOOKUP(Table2[[#This Row],[Adjusted Form '#]],[2]BILLED!$D:$D,[2]BILLED!$M:$M,"Not Found")</f>
        <v>Not Found</v>
      </c>
      <c r="X2108" s="13" t="str">
        <f>_xlfn.XLOOKUP(Table2[[#This Row],[Adjusted Form '#]],[2]BILLED!$D:$D,[1]BILLED!$O:$O,"Not Found")</f>
        <v>Not Found</v>
      </c>
      <c r="Y2108" s="13" t="e">
        <f>_xlfn.XLOOKUP(Table2[[#This Row],[Adjusted Form '#]],'[2]REJECTED ORDERS'!$D:$D,'[2]REJECTED ORDERS'!$E:$E)</f>
        <v>#N/A</v>
      </c>
      <c r="Z2108" s="1"/>
      <c r="AA2108" s="1"/>
    </row>
    <row r="2109" spans="1:27" ht="15" customHeight="1" x14ac:dyDescent="0.35">
      <c r="A2109" s="4" t="s">
        <v>3096</v>
      </c>
      <c r="B2109" s="1" t="s">
        <v>3474</v>
      </c>
      <c r="C2109" s="11">
        <v>45251</v>
      </c>
      <c r="D2109" s="11" t="s">
        <v>7742</v>
      </c>
      <c r="E2109" s="1" t="s">
        <v>21</v>
      </c>
      <c r="F2109" s="1" t="s">
        <v>7734</v>
      </c>
      <c r="G2109" s="6">
        <f>COUNTIF(F:F,Table2[[#This Row],[Form '#]])</f>
        <v>1</v>
      </c>
      <c r="H2109" s="1" t="s">
        <v>7735</v>
      </c>
      <c r="I2109" s="1" t="s">
        <v>177</v>
      </c>
      <c r="J2109" s="1" t="s">
        <v>75</v>
      </c>
      <c r="K2109" s="1" t="s">
        <v>3853</v>
      </c>
      <c r="L2109" s="1"/>
      <c r="M2109" s="6" t="str">
        <f>IF(Table2[[#This Row],[Corrected Form '#
 (If Duplicated)]]="",Table2[[#This Row],[Form '#]],Table2[[#This Row],[Corrected Form '#
 (If Duplicated)]])</f>
        <v>7818-18371</v>
      </c>
      <c r="N2109" s="1" t="s">
        <v>49</v>
      </c>
      <c r="O2109" s="6" t="str">
        <f>IF(Table2[[#This Row],[POG CONFIRMATION RECEIPT OF ORDER
(DATE &amp; TIME)]]="","No Confirmation","Received Confirmation")</f>
        <v>Received Confirmation</v>
      </c>
      <c r="P2109" s="6">
        <f ca="1">TODAY()-Table2[[#This Row],[DATE SENT TO POG]]</f>
        <v>52</v>
      </c>
      <c r="Q2109" s="6" t="s">
        <v>5803</v>
      </c>
      <c r="R21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0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09" s="6" t="str">
        <f>_xlfn.XLOOKUP(Table2[[#This Row],[Adjusted Form '#]],'[2]IN PROGRESS'!$D:$D,'[2]IN PROGRESS'!$M:$M,"Not Found")</f>
        <v>Not Found</v>
      </c>
      <c r="U2109" s="6" t="str">
        <f>_xlfn.XLOOKUP(Table2[[#This Row],[Adjusted Form '#]],[1]COMPLETED!$D:$D,[2]COMPLETED!$M:$M,"Not Found")</f>
        <v>Not Found</v>
      </c>
      <c r="V2109" s="13">
        <f>_xlfn.XLOOKUP(Table2[[#This Row],[Adjusted Form '#]],[2]COMPLETED!$D:$D,[2]COMPLETED!$O:$O,"Not Found")</f>
        <v>45271</v>
      </c>
      <c r="W2109" s="6" t="str">
        <f>_xlfn.XLOOKUP(Table2[[#This Row],[Adjusted Form '#]],[2]BILLED!$D:$D,[2]BILLED!$M:$M,"Not Found")</f>
        <v>Not Found</v>
      </c>
      <c r="X2109" s="13" t="str">
        <f>_xlfn.XLOOKUP(Table2[[#This Row],[Adjusted Form '#]],[2]BILLED!$D:$D,[1]BILLED!$O:$O,"Not Found")</f>
        <v>Not Found</v>
      </c>
      <c r="Y2109" s="13" t="e">
        <f>_xlfn.XLOOKUP(Table2[[#This Row],[Adjusted Form '#]],'[2]REJECTED ORDERS'!$D:$D,'[2]REJECTED ORDERS'!$E:$E)</f>
        <v>#N/A</v>
      </c>
      <c r="Z2109" s="1"/>
      <c r="AA2109" s="1"/>
    </row>
    <row r="2110" spans="1:27" ht="15" customHeight="1" x14ac:dyDescent="0.35">
      <c r="A2110" s="4" t="s">
        <v>3098</v>
      </c>
      <c r="B2110" s="1" t="s">
        <v>3474</v>
      </c>
      <c r="C2110" s="11">
        <v>45251</v>
      </c>
      <c r="D2110" s="11" t="s">
        <v>7742</v>
      </c>
      <c r="E2110" s="1" t="s">
        <v>21</v>
      </c>
      <c r="F2110" s="1" t="s">
        <v>7736</v>
      </c>
      <c r="G2110" s="6">
        <f>COUNTIF(F:F,Table2[[#This Row],[Form '#]])</f>
        <v>1</v>
      </c>
      <c r="H2110" s="1" t="s">
        <v>767</v>
      </c>
      <c r="I2110" s="1" t="s">
        <v>3852</v>
      </c>
      <c r="J2110" s="1" t="s">
        <v>75</v>
      </c>
      <c r="K2110" s="1" t="s">
        <v>3853</v>
      </c>
      <c r="L2110" s="1"/>
      <c r="M2110" s="6" t="str">
        <f>IF(Table2[[#This Row],[Corrected Form '#
 (If Duplicated)]]="",Table2[[#This Row],[Form '#]],Table2[[#This Row],[Corrected Form '#
 (If Duplicated)]])</f>
        <v>7818-14652</v>
      </c>
      <c r="N2110" s="1" t="s">
        <v>49</v>
      </c>
      <c r="O2110" s="6" t="str">
        <f>IF(Table2[[#This Row],[POG CONFIRMATION RECEIPT OF ORDER
(DATE &amp; TIME)]]="","No Confirmation","Received Confirmation")</f>
        <v>Received Confirmation</v>
      </c>
      <c r="P2110" s="6">
        <f ca="1">TODAY()-Table2[[#This Row],[DATE SENT TO POG]]</f>
        <v>52</v>
      </c>
      <c r="Q2110" s="6" t="s">
        <v>5803</v>
      </c>
      <c r="R21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0" s="6" t="str">
        <f>_xlfn.XLOOKUP(Table2[[#This Row],[Adjusted Form '#]],'[2]IN PROGRESS'!$D:$D,'[2]IN PROGRESS'!$M:$M,"Not Found")</f>
        <v>Not Found</v>
      </c>
      <c r="U2110" s="6" t="str">
        <f>_xlfn.XLOOKUP(Table2[[#This Row],[Adjusted Form '#]],[1]COMPLETED!$D:$D,[2]COMPLETED!$M:$M,"Not Found")</f>
        <v>Not Found</v>
      </c>
      <c r="V2110" s="13">
        <f>_xlfn.XLOOKUP(Table2[[#This Row],[Adjusted Form '#]],[2]COMPLETED!$D:$D,[2]COMPLETED!$O:$O,"Not Found")</f>
        <v>45264</v>
      </c>
      <c r="W2110" s="6" t="str">
        <f>_xlfn.XLOOKUP(Table2[[#This Row],[Adjusted Form '#]],[2]BILLED!$D:$D,[2]BILLED!$M:$M,"Not Found")</f>
        <v>Not Found</v>
      </c>
      <c r="X2110" s="13" t="str">
        <f>_xlfn.XLOOKUP(Table2[[#This Row],[Adjusted Form '#]],[2]BILLED!$D:$D,[1]BILLED!$O:$O,"Not Found")</f>
        <v>Not Found</v>
      </c>
      <c r="Y2110" s="13" t="e">
        <f>_xlfn.XLOOKUP(Table2[[#This Row],[Adjusted Form '#]],'[2]REJECTED ORDERS'!$D:$D,'[2]REJECTED ORDERS'!$E:$E)</f>
        <v>#N/A</v>
      </c>
      <c r="Z2110" s="1"/>
      <c r="AA2110" s="1"/>
    </row>
    <row r="2111" spans="1:27" ht="15" customHeight="1" x14ac:dyDescent="0.35">
      <c r="A2111" s="4" t="s">
        <v>3100</v>
      </c>
      <c r="B2111" s="1" t="s">
        <v>3474</v>
      </c>
      <c r="C2111" s="11">
        <v>45251</v>
      </c>
      <c r="D2111" s="11" t="s">
        <v>7742</v>
      </c>
      <c r="E2111" s="1" t="s">
        <v>21</v>
      </c>
      <c r="F2111" s="1" t="s">
        <v>7737</v>
      </c>
      <c r="G2111" s="6">
        <f>COUNTIF(F:F,Table2[[#This Row],[Form '#]])</f>
        <v>1</v>
      </c>
      <c r="H2111" s="1" t="s">
        <v>3557</v>
      </c>
      <c r="I2111" s="1" t="s">
        <v>28</v>
      </c>
      <c r="J2111" s="1" t="s">
        <v>69</v>
      </c>
      <c r="K2111" s="1" t="s">
        <v>4011</v>
      </c>
      <c r="L2111" s="1"/>
      <c r="M2111" s="6" t="str">
        <f>IF(Table2[[#This Row],[Corrected Form '#
 (If Duplicated)]]="",Table2[[#This Row],[Form '#]],Table2[[#This Row],[Corrected Form '#
 (If Duplicated)]])</f>
        <v>7818-33361</v>
      </c>
      <c r="N2111" s="1" t="s">
        <v>49</v>
      </c>
      <c r="O2111" s="6" t="str">
        <f>IF(Table2[[#This Row],[POG CONFIRMATION RECEIPT OF ORDER
(DATE &amp; TIME)]]="","No Confirmation","Received Confirmation")</f>
        <v>Received Confirmation</v>
      </c>
      <c r="P2111" s="6">
        <f ca="1">TODAY()-Table2[[#This Row],[DATE SENT TO POG]]</f>
        <v>52</v>
      </c>
      <c r="Q2111" s="6" t="s">
        <v>5803</v>
      </c>
      <c r="R21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1" s="6" t="str">
        <f>_xlfn.XLOOKUP(Table2[[#This Row],[Adjusted Form '#]],'[2]IN PROGRESS'!$D:$D,'[2]IN PROGRESS'!$M:$M,"Not Found")</f>
        <v>Not Found</v>
      </c>
      <c r="U2111" s="6" t="str">
        <f>_xlfn.XLOOKUP(Table2[[#This Row],[Adjusted Form '#]],[1]COMPLETED!$D:$D,[2]COMPLETED!$M:$M,"Not Found")</f>
        <v>Not Found</v>
      </c>
      <c r="V2111" s="13">
        <f>_xlfn.XLOOKUP(Table2[[#This Row],[Adjusted Form '#]],[2]COMPLETED!$D:$D,[2]COMPLETED!$O:$O,"Not Found")</f>
        <v>45262</v>
      </c>
      <c r="W2111" s="6" t="str">
        <f>_xlfn.XLOOKUP(Table2[[#This Row],[Adjusted Form '#]],[2]BILLED!$D:$D,[2]BILLED!$M:$M,"Not Found")</f>
        <v>Not Found</v>
      </c>
      <c r="X2111" s="13" t="str">
        <f>_xlfn.XLOOKUP(Table2[[#This Row],[Adjusted Form '#]],[2]BILLED!$D:$D,[1]BILLED!$O:$O,"Not Found")</f>
        <v>Not Found</v>
      </c>
      <c r="Y2111" s="13" t="e">
        <f>_xlfn.XLOOKUP(Table2[[#This Row],[Adjusted Form '#]],'[2]REJECTED ORDERS'!$D:$D,'[2]REJECTED ORDERS'!$E:$E)</f>
        <v>#N/A</v>
      </c>
      <c r="Z2111" s="1"/>
      <c r="AA2111" s="1"/>
    </row>
    <row r="2112" spans="1:27" ht="15" customHeight="1" x14ac:dyDescent="0.35">
      <c r="A2112" s="4" t="s">
        <v>3101</v>
      </c>
      <c r="B2112" s="1" t="s">
        <v>3603</v>
      </c>
      <c r="C2112" s="11">
        <v>45251</v>
      </c>
      <c r="D2112" s="11" t="s">
        <v>7743</v>
      </c>
      <c r="E2112" s="1" t="s">
        <v>191</v>
      </c>
      <c r="F2112" s="1" t="s">
        <v>7738</v>
      </c>
      <c r="G2112" s="6">
        <f>COUNTIF(F:F,Table2[[#This Row],[Form '#]])</f>
        <v>1</v>
      </c>
      <c r="H2112" s="1" t="s">
        <v>7739</v>
      </c>
      <c r="I2112" s="1" t="s">
        <v>3864</v>
      </c>
      <c r="J2112" s="1" t="s">
        <v>78</v>
      </c>
      <c r="K2112" s="1" t="s">
        <v>3879</v>
      </c>
      <c r="L2112" s="1"/>
      <c r="M2112" s="6" t="str">
        <f>IF(Table2[[#This Row],[Corrected Form '#
 (If Duplicated)]]="",Table2[[#This Row],[Form '#]],Table2[[#This Row],[Corrected Form '#
 (If Duplicated)]])</f>
        <v>7812-3774</v>
      </c>
      <c r="N2112" s="1" t="s">
        <v>49</v>
      </c>
      <c r="O2112" s="6" t="str">
        <f>IF(Table2[[#This Row],[POG CONFIRMATION RECEIPT OF ORDER
(DATE &amp; TIME)]]="","No Confirmation","Received Confirmation")</f>
        <v>Received Confirmation</v>
      </c>
      <c r="P2112" s="6">
        <f ca="1">TODAY()-Table2[[#This Row],[DATE SENT TO POG]]</f>
        <v>52</v>
      </c>
      <c r="Q2112" s="6" t="s">
        <v>5803</v>
      </c>
      <c r="R21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2" s="6" t="str">
        <f>_xlfn.XLOOKUP(Table2[[#This Row],[Adjusted Form '#]],'[2]IN PROGRESS'!$D:$D,'[2]IN PROGRESS'!$M:$M,"Not Found")</f>
        <v>Not Found</v>
      </c>
      <c r="U2112" s="6" t="str">
        <f>_xlfn.XLOOKUP(Table2[[#This Row],[Adjusted Form '#]],[1]COMPLETED!$D:$D,[2]COMPLETED!$M:$M,"Not Found")</f>
        <v>Not Found</v>
      </c>
      <c r="V2112" s="13">
        <f>_xlfn.XLOOKUP(Table2[[#This Row],[Adjusted Form '#]],[2]COMPLETED!$D:$D,[2]COMPLETED!$O:$O,"Not Found")</f>
        <v>45264</v>
      </c>
      <c r="W2112" s="6" t="str">
        <f>_xlfn.XLOOKUP(Table2[[#This Row],[Adjusted Form '#]],[2]BILLED!$D:$D,[2]BILLED!$M:$M,"Not Found")</f>
        <v>Not Found</v>
      </c>
      <c r="X2112" s="13" t="str">
        <f>_xlfn.XLOOKUP(Table2[[#This Row],[Adjusted Form '#]],[2]BILLED!$D:$D,[1]BILLED!$O:$O,"Not Found")</f>
        <v>Not Found</v>
      </c>
      <c r="Y2112" s="13" t="e">
        <f>_xlfn.XLOOKUP(Table2[[#This Row],[Adjusted Form '#]],'[2]REJECTED ORDERS'!$D:$D,'[2]REJECTED ORDERS'!$E:$E)</f>
        <v>#N/A</v>
      </c>
      <c r="Z2112" s="1"/>
      <c r="AA2112" s="1"/>
    </row>
    <row r="2113" spans="1:27" ht="15" customHeight="1" x14ac:dyDescent="0.35">
      <c r="A2113" s="4" t="s">
        <v>3103</v>
      </c>
      <c r="B2113" s="1" t="s">
        <v>3603</v>
      </c>
      <c r="C2113" s="11">
        <v>45251</v>
      </c>
      <c r="D2113" s="11" t="s">
        <v>7743</v>
      </c>
      <c r="E2113" s="1" t="s">
        <v>191</v>
      </c>
      <c r="F2113" s="1" t="s">
        <v>7740</v>
      </c>
      <c r="G2113" s="6">
        <f>COUNTIF(F:F,Table2[[#This Row],[Form '#]])</f>
        <v>1</v>
      </c>
      <c r="H2113" s="1" t="s">
        <v>7741</v>
      </c>
      <c r="I2113" s="1" t="s">
        <v>3852</v>
      </c>
      <c r="J2113" s="1" t="s">
        <v>75</v>
      </c>
      <c r="K2113" s="1" t="s">
        <v>4011</v>
      </c>
      <c r="L2113" s="1"/>
      <c r="M2113" s="6" t="str">
        <f>IF(Table2[[#This Row],[Corrected Form '#
 (If Duplicated)]]="",Table2[[#This Row],[Form '#]],Table2[[#This Row],[Corrected Form '#
 (If Duplicated)]])</f>
        <v>7812-04561</v>
      </c>
      <c r="N2113" s="1" t="s">
        <v>49</v>
      </c>
      <c r="O2113" s="6" t="str">
        <f>IF(Table2[[#This Row],[POG CONFIRMATION RECEIPT OF ORDER
(DATE &amp; TIME)]]="","No Confirmation","Received Confirmation")</f>
        <v>Received Confirmation</v>
      </c>
      <c r="P2113" s="6">
        <f ca="1">TODAY()-Table2[[#This Row],[DATE SENT TO POG]]</f>
        <v>52</v>
      </c>
      <c r="Q2113" s="6" t="s">
        <v>6025</v>
      </c>
      <c r="R21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3" s="6" t="str">
        <f>_xlfn.XLOOKUP(Table2[[#This Row],[Adjusted Form '#]],'[2]IN PROGRESS'!$D:$D,'[2]IN PROGRESS'!$M:$M,"Not Found")</f>
        <v>Not Found</v>
      </c>
      <c r="U2113" s="6" t="str">
        <f>_xlfn.XLOOKUP(Table2[[#This Row],[Adjusted Form '#]],[1]COMPLETED!$D:$D,[2]COMPLETED!$M:$M,"Not Found")</f>
        <v>Not Found</v>
      </c>
      <c r="V2113" s="13">
        <f>_xlfn.XLOOKUP(Table2[[#This Row],[Adjusted Form '#]],[2]COMPLETED!$D:$D,[2]COMPLETED!$O:$O,"Not Found")</f>
        <v>45262</v>
      </c>
      <c r="W2113" s="6" t="str">
        <f>_xlfn.XLOOKUP(Table2[[#This Row],[Adjusted Form '#]],[2]BILLED!$D:$D,[2]BILLED!$M:$M,"Not Found")</f>
        <v>Not Found</v>
      </c>
      <c r="X2113" s="13" t="str">
        <f>_xlfn.XLOOKUP(Table2[[#This Row],[Adjusted Form '#]],[2]BILLED!$D:$D,[1]BILLED!$O:$O,"Not Found")</f>
        <v>Not Found</v>
      </c>
      <c r="Y2113" s="13" t="e">
        <f>_xlfn.XLOOKUP(Table2[[#This Row],[Adjusted Form '#]],'[2]REJECTED ORDERS'!$D:$D,'[2]REJECTED ORDERS'!$E:$E)</f>
        <v>#N/A</v>
      </c>
      <c r="Z2113" s="1"/>
      <c r="AA2113" s="1"/>
    </row>
    <row r="2114" spans="1:27" ht="15" customHeight="1" x14ac:dyDescent="0.35">
      <c r="A2114" s="4" t="s">
        <v>3104</v>
      </c>
      <c r="B2114" s="1" t="s">
        <v>7744</v>
      </c>
      <c r="C2114" s="11">
        <v>45251</v>
      </c>
      <c r="D2114" s="11" t="s">
        <v>7793</v>
      </c>
      <c r="E2114" s="1" t="s">
        <v>21</v>
      </c>
      <c r="F2114" s="1" t="s">
        <v>7745</v>
      </c>
      <c r="G2114" s="6">
        <f>COUNTIF(F:F,Table2[[#This Row],[Form '#]])</f>
        <v>1</v>
      </c>
      <c r="H2114" s="1" t="s">
        <v>7746</v>
      </c>
      <c r="I2114" s="1" t="s">
        <v>127</v>
      </c>
      <c r="J2114" s="1" t="s">
        <v>71</v>
      </c>
      <c r="K2114" s="1" t="s">
        <v>4011</v>
      </c>
      <c r="L2114" s="1"/>
      <c r="M2114" s="6" t="str">
        <f>IF(Table2[[#This Row],[Corrected Form '#
 (If Duplicated)]]="",Table2[[#This Row],[Form '#]],Table2[[#This Row],[Corrected Form '#
 (If Duplicated)]])</f>
        <v>7818-00259</v>
      </c>
      <c r="N2114" s="1" t="s">
        <v>49</v>
      </c>
      <c r="O2114" s="6" t="str">
        <f>IF(Table2[[#This Row],[POG CONFIRMATION RECEIPT OF ORDER
(DATE &amp; TIME)]]="","No Confirmation","Received Confirmation")</f>
        <v>Received Confirmation</v>
      </c>
      <c r="P2114" s="6">
        <f ca="1">TODAY()-Table2[[#This Row],[DATE SENT TO POG]]</f>
        <v>52</v>
      </c>
      <c r="Q2114" s="6" t="s">
        <v>6025</v>
      </c>
      <c r="R21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4" s="6" t="str">
        <f>_xlfn.XLOOKUP(Table2[[#This Row],[Adjusted Form '#]],'[2]IN PROGRESS'!$D:$D,'[2]IN PROGRESS'!$M:$M,"Not Found")</f>
        <v>Not Found</v>
      </c>
      <c r="U2114" s="6" t="str">
        <f>_xlfn.XLOOKUP(Table2[[#This Row],[Adjusted Form '#]],[1]COMPLETED!$D:$D,[2]COMPLETED!$M:$M,"Not Found")</f>
        <v>Not Found</v>
      </c>
      <c r="V2114" s="13">
        <f>_xlfn.XLOOKUP(Table2[[#This Row],[Adjusted Form '#]],[2]COMPLETED!$D:$D,[2]COMPLETED!$O:$O,"Not Found")</f>
        <v>45262</v>
      </c>
      <c r="W2114" s="6" t="str">
        <f>_xlfn.XLOOKUP(Table2[[#This Row],[Adjusted Form '#]],[2]BILLED!$D:$D,[2]BILLED!$M:$M,"Not Found")</f>
        <v>Not Found</v>
      </c>
      <c r="X2114" s="13" t="str">
        <f>_xlfn.XLOOKUP(Table2[[#This Row],[Adjusted Form '#]],[2]BILLED!$D:$D,[1]BILLED!$O:$O,"Not Found")</f>
        <v>Not Found</v>
      </c>
      <c r="Y2114" s="13" t="e">
        <f>_xlfn.XLOOKUP(Table2[[#This Row],[Adjusted Form '#]],'[2]REJECTED ORDERS'!$D:$D,'[2]REJECTED ORDERS'!$E:$E)</f>
        <v>#N/A</v>
      </c>
      <c r="Z2114" s="1"/>
      <c r="AA2114" s="1"/>
    </row>
    <row r="2115" spans="1:27" ht="15" customHeight="1" x14ac:dyDescent="0.35">
      <c r="A2115" s="4" t="s">
        <v>3105</v>
      </c>
      <c r="B2115" s="1" t="s">
        <v>7744</v>
      </c>
      <c r="C2115" s="11">
        <v>45251</v>
      </c>
      <c r="D2115" s="11" t="s">
        <v>7793</v>
      </c>
      <c r="E2115" s="1" t="s">
        <v>21</v>
      </c>
      <c r="F2115" s="1" t="s">
        <v>7747</v>
      </c>
      <c r="G2115" s="6">
        <f>COUNTIF(F:F,Table2[[#This Row],[Form '#]])</f>
        <v>1</v>
      </c>
      <c r="H2115" s="1" t="s">
        <v>2082</v>
      </c>
      <c r="I2115" s="1" t="s">
        <v>177</v>
      </c>
      <c r="J2115" s="1" t="s">
        <v>75</v>
      </c>
      <c r="K2115" s="1" t="s">
        <v>4011</v>
      </c>
      <c r="L2115" s="1"/>
      <c r="M2115" s="6" t="str">
        <f>IF(Table2[[#This Row],[Corrected Form '#
 (If Duplicated)]]="",Table2[[#This Row],[Form '#]],Table2[[#This Row],[Corrected Form '#
 (If Duplicated)]])</f>
        <v>7818-17941</v>
      </c>
      <c r="N2115" s="1" t="s">
        <v>49</v>
      </c>
      <c r="O2115" s="6" t="str">
        <f>IF(Table2[[#This Row],[POG CONFIRMATION RECEIPT OF ORDER
(DATE &amp; TIME)]]="","No Confirmation","Received Confirmation")</f>
        <v>Received Confirmation</v>
      </c>
      <c r="P2115" s="6">
        <f ca="1">TODAY()-Table2[[#This Row],[DATE SENT TO POG]]</f>
        <v>52</v>
      </c>
      <c r="Q2115" s="6" t="s">
        <v>6025</v>
      </c>
      <c r="R21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5" s="6" t="str">
        <f>_xlfn.XLOOKUP(Table2[[#This Row],[Adjusted Form '#]],'[2]IN PROGRESS'!$D:$D,'[2]IN PROGRESS'!$M:$M,"Not Found")</f>
        <v>Not Found</v>
      </c>
      <c r="U2115" s="6" t="str">
        <f>_xlfn.XLOOKUP(Table2[[#This Row],[Adjusted Form '#]],[1]COMPLETED!$D:$D,[2]COMPLETED!$M:$M,"Not Found")</f>
        <v>Not Found</v>
      </c>
      <c r="V2115" s="13">
        <f>_xlfn.XLOOKUP(Table2[[#This Row],[Adjusted Form '#]],[2]COMPLETED!$D:$D,[2]COMPLETED!$O:$O,"Not Found")</f>
        <v>45262</v>
      </c>
      <c r="W2115" s="6" t="str">
        <f>_xlfn.XLOOKUP(Table2[[#This Row],[Adjusted Form '#]],[2]BILLED!$D:$D,[2]BILLED!$M:$M,"Not Found")</f>
        <v>Not Found</v>
      </c>
      <c r="X2115" s="13" t="str">
        <f>_xlfn.XLOOKUP(Table2[[#This Row],[Adjusted Form '#]],[2]BILLED!$D:$D,[1]BILLED!$O:$O,"Not Found")</f>
        <v>Not Found</v>
      </c>
      <c r="Y2115" s="13" t="e">
        <f>_xlfn.XLOOKUP(Table2[[#This Row],[Adjusted Form '#]],'[2]REJECTED ORDERS'!$D:$D,'[2]REJECTED ORDERS'!$E:$E)</f>
        <v>#N/A</v>
      </c>
      <c r="Z2115" s="1"/>
      <c r="AA2115" s="1"/>
    </row>
    <row r="2116" spans="1:27" ht="15" customHeight="1" x14ac:dyDescent="0.35">
      <c r="A2116" s="4" t="s">
        <v>3106</v>
      </c>
      <c r="B2116" s="1" t="s">
        <v>1591</v>
      </c>
      <c r="C2116" s="11">
        <v>45252</v>
      </c>
      <c r="D2116" s="11" t="s">
        <v>7794</v>
      </c>
      <c r="E2116" s="1" t="s">
        <v>21</v>
      </c>
      <c r="F2116" s="1" t="s">
        <v>7749</v>
      </c>
      <c r="G2116" s="6">
        <f>COUNTIF(F:F,Table2[[#This Row],[Form '#]])</f>
        <v>1</v>
      </c>
      <c r="H2116" s="1" t="s">
        <v>7750</v>
      </c>
      <c r="I2116" s="1" t="s">
        <v>3891</v>
      </c>
      <c r="J2116" s="1" t="s">
        <v>3891</v>
      </c>
      <c r="K2116" s="1" t="s">
        <v>3891</v>
      </c>
      <c r="L2116" s="1"/>
      <c r="M2116" s="6" t="str">
        <f>IF(Table2[[#This Row],[Corrected Form '#
 (If Duplicated)]]="",Table2[[#This Row],[Form '#]],Table2[[#This Row],[Corrected Form '#
 (If Duplicated)]])</f>
        <v>7818-31612</v>
      </c>
      <c r="N2116" s="1" t="s">
        <v>49</v>
      </c>
      <c r="O2116" s="6" t="str">
        <f>IF(Table2[[#This Row],[POG CONFIRMATION RECEIPT OF ORDER
(DATE &amp; TIME)]]="","No Confirmation","Received Confirmation")</f>
        <v>Received Confirmation</v>
      </c>
      <c r="P2116" s="6">
        <f ca="1">TODAY()-Table2[[#This Row],[DATE SENT TO POG]]</f>
        <v>51</v>
      </c>
      <c r="Q2116" s="6" t="s">
        <v>5803</v>
      </c>
      <c r="R21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6" s="6" t="str">
        <f>_xlfn.XLOOKUP(Table2[[#This Row],[Adjusted Form '#]],'[2]IN PROGRESS'!$D:$D,'[2]IN PROGRESS'!$M:$M,"Not Found")</f>
        <v>Not Found</v>
      </c>
      <c r="U2116" s="6" t="str">
        <f>_xlfn.XLOOKUP(Table2[[#This Row],[Adjusted Form '#]],[1]COMPLETED!$D:$D,[2]COMPLETED!$M:$M,"Not Found")</f>
        <v>Not Found</v>
      </c>
      <c r="V2116" s="13">
        <f>_xlfn.XLOOKUP(Table2[[#This Row],[Adjusted Form '#]],[2]COMPLETED!$D:$D,[2]COMPLETED!$O:$O,"Not Found")</f>
        <v>45264</v>
      </c>
      <c r="W2116" s="6" t="str">
        <f>_xlfn.XLOOKUP(Table2[[#This Row],[Adjusted Form '#]],[2]BILLED!$D:$D,[2]BILLED!$M:$M,"Not Found")</f>
        <v>Not Found</v>
      </c>
      <c r="X2116" s="13" t="str">
        <f>_xlfn.XLOOKUP(Table2[[#This Row],[Adjusted Form '#]],[2]BILLED!$D:$D,[1]BILLED!$O:$O,"Not Found")</f>
        <v>Not Found</v>
      </c>
      <c r="Y2116" s="13" t="e">
        <f>_xlfn.XLOOKUP(Table2[[#This Row],[Adjusted Form '#]],'[2]REJECTED ORDERS'!$D:$D,'[2]REJECTED ORDERS'!$E:$E)</f>
        <v>#N/A</v>
      </c>
      <c r="Z2116" s="1"/>
      <c r="AA2116" s="1"/>
    </row>
    <row r="2117" spans="1:27" ht="15" customHeight="1" x14ac:dyDescent="0.35">
      <c r="A2117" s="4" t="s">
        <v>3107</v>
      </c>
      <c r="B2117" s="1" t="s">
        <v>1591</v>
      </c>
      <c r="C2117" s="11">
        <v>45252</v>
      </c>
      <c r="D2117" s="11" t="s">
        <v>7794</v>
      </c>
      <c r="E2117" s="1" t="s">
        <v>21</v>
      </c>
      <c r="F2117" s="1" t="s">
        <v>7751</v>
      </c>
      <c r="G2117" s="6">
        <f>COUNTIF(F:F,Table2[[#This Row],[Form '#]])</f>
        <v>1</v>
      </c>
      <c r="H2117" s="1" t="s">
        <v>7752</v>
      </c>
      <c r="I2117" s="1" t="s">
        <v>3852</v>
      </c>
      <c r="J2117" s="1" t="s">
        <v>75</v>
      </c>
      <c r="K2117" s="1" t="s">
        <v>4011</v>
      </c>
      <c r="L2117" s="1"/>
      <c r="M2117" s="6" t="str">
        <f>IF(Table2[[#This Row],[Corrected Form '#
 (If Duplicated)]]="",Table2[[#This Row],[Form '#]],Table2[[#This Row],[Corrected Form '#
 (If Duplicated)]])</f>
        <v>7818-11366</v>
      </c>
      <c r="N2117" s="1" t="s">
        <v>49</v>
      </c>
      <c r="O2117" s="6" t="str">
        <f>IF(Table2[[#This Row],[POG CONFIRMATION RECEIPT OF ORDER
(DATE &amp; TIME)]]="","No Confirmation","Received Confirmation")</f>
        <v>Received Confirmation</v>
      </c>
      <c r="P2117" s="6">
        <f ca="1">TODAY()-Table2[[#This Row],[DATE SENT TO POG]]</f>
        <v>51</v>
      </c>
      <c r="Q2117" s="6" t="s">
        <v>5803</v>
      </c>
      <c r="R21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7" s="6" t="str">
        <f>_xlfn.XLOOKUP(Table2[[#This Row],[Adjusted Form '#]],'[2]IN PROGRESS'!$D:$D,'[2]IN PROGRESS'!$M:$M,"Not Found")</f>
        <v>Not Found</v>
      </c>
      <c r="U2117" s="6" t="str">
        <f>_xlfn.XLOOKUP(Table2[[#This Row],[Adjusted Form '#]],[1]COMPLETED!$D:$D,[2]COMPLETED!$M:$M,"Not Found")</f>
        <v>Not Found</v>
      </c>
      <c r="V2117" s="13">
        <f>_xlfn.XLOOKUP(Table2[[#This Row],[Adjusted Form '#]],[2]COMPLETED!$D:$D,[2]COMPLETED!$O:$O,"Not Found")</f>
        <v>45268</v>
      </c>
      <c r="W2117" s="6" t="str">
        <f>_xlfn.XLOOKUP(Table2[[#This Row],[Adjusted Form '#]],[2]BILLED!$D:$D,[2]BILLED!$M:$M,"Not Found")</f>
        <v>Not Found</v>
      </c>
      <c r="X2117" s="13" t="str">
        <f>_xlfn.XLOOKUP(Table2[[#This Row],[Adjusted Form '#]],[2]BILLED!$D:$D,[1]BILLED!$O:$O,"Not Found")</f>
        <v>Not Found</v>
      </c>
      <c r="Y2117" s="13" t="e">
        <f>_xlfn.XLOOKUP(Table2[[#This Row],[Adjusted Form '#]],'[2]REJECTED ORDERS'!$D:$D,'[2]REJECTED ORDERS'!$E:$E)</f>
        <v>#N/A</v>
      </c>
      <c r="Z2117" s="1"/>
      <c r="AA2117" s="1"/>
    </row>
    <row r="2118" spans="1:27" ht="15" customHeight="1" x14ac:dyDescent="0.35">
      <c r="A2118" s="4" t="s">
        <v>3108</v>
      </c>
      <c r="B2118" s="1" t="s">
        <v>1591</v>
      </c>
      <c r="C2118" s="11">
        <v>45252</v>
      </c>
      <c r="D2118" s="11" t="s">
        <v>7794</v>
      </c>
      <c r="E2118" s="1" t="s">
        <v>21</v>
      </c>
      <c r="F2118" s="1" t="s">
        <v>7753</v>
      </c>
      <c r="G2118" s="6">
        <f>COUNTIF(F:F,Table2[[#This Row],[Form '#]])</f>
        <v>1</v>
      </c>
      <c r="H2118" s="1" t="s">
        <v>7754</v>
      </c>
      <c r="I2118" s="1" t="s">
        <v>3852</v>
      </c>
      <c r="J2118" s="1" t="s">
        <v>80</v>
      </c>
      <c r="K2118" s="1" t="s">
        <v>3853</v>
      </c>
      <c r="L2118" s="1"/>
      <c r="M2118" s="6" t="str">
        <f>IF(Table2[[#This Row],[Corrected Form '#
 (If Duplicated)]]="",Table2[[#This Row],[Form '#]],Table2[[#This Row],[Corrected Form '#
 (If Duplicated)]])</f>
        <v>7818-22629</v>
      </c>
      <c r="N2118" s="1" t="s">
        <v>49</v>
      </c>
      <c r="O2118" s="6" t="str">
        <f>IF(Table2[[#This Row],[POG CONFIRMATION RECEIPT OF ORDER
(DATE &amp; TIME)]]="","No Confirmation","Received Confirmation")</f>
        <v>Received Confirmation</v>
      </c>
      <c r="P2118" s="6">
        <f ca="1">TODAY()-Table2[[#This Row],[DATE SENT TO POG]]</f>
        <v>51</v>
      </c>
      <c r="Q2118" s="6" t="s">
        <v>5803</v>
      </c>
      <c r="R21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8" s="6" t="str">
        <f>_xlfn.XLOOKUP(Table2[[#This Row],[Adjusted Form '#]],'[2]IN PROGRESS'!$D:$D,'[2]IN PROGRESS'!$M:$M,"Not Found")</f>
        <v>Not Found</v>
      </c>
      <c r="U2118" s="6" t="str">
        <f>_xlfn.XLOOKUP(Table2[[#This Row],[Adjusted Form '#]],[1]COMPLETED!$D:$D,[2]COMPLETED!$M:$M,"Not Found")</f>
        <v>Not Found</v>
      </c>
      <c r="V2118" s="13">
        <f>_xlfn.XLOOKUP(Table2[[#This Row],[Adjusted Form '#]],[2]COMPLETED!$D:$D,[2]COMPLETED!$O:$O,"Not Found")</f>
        <v>45271</v>
      </c>
      <c r="W2118" s="6" t="str">
        <f>_xlfn.XLOOKUP(Table2[[#This Row],[Adjusted Form '#]],[2]BILLED!$D:$D,[2]BILLED!$M:$M,"Not Found")</f>
        <v>Not Found</v>
      </c>
      <c r="X2118" s="13" t="str">
        <f>_xlfn.XLOOKUP(Table2[[#This Row],[Adjusted Form '#]],[2]BILLED!$D:$D,[1]BILLED!$O:$O,"Not Found")</f>
        <v>Not Found</v>
      </c>
      <c r="Y2118" s="13" t="e">
        <f>_xlfn.XLOOKUP(Table2[[#This Row],[Adjusted Form '#]],'[2]REJECTED ORDERS'!$D:$D,'[2]REJECTED ORDERS'!$E:$E)</f>
        <v>#N/A</v>
      </c>
      <c r="Z2118" s="1"/>
      <c r="AA2118" s="1"/>
    </row>
    <row r="2119" spans="1:27" ht="15" customHeight="1" x14ac:dyDescent="0.35">
      <c r="A2119" s="4" t="s">
        <v>3109</v>
      </c>
      <c r="B2119" s="1" t="s">
        <v>1591</v>
      </c>
      <c r="C2119" s="11">
        <v>45252</v>
      </c>
      <c r="D2119" s="11" t="s">
        <v>7794</v>
      </c>
      <c r="E2119" s="1" t="s">
        <v>21</v>
      </c>
      <c r="F2119" s="1" t="s">
        <v>7755</v>
      </c>
      <c r="G2119" s="6">
        <f>COUNTIF(F:F,Table2[[#This Row],[Form '#]])</f>
        <v>1</v>
      </c>
      <c r="H2119" s="1" t="s">
        <v>7756</v>
      </c>
      <c r="I2119" s="1" t="s">
        <v>177</v>
      </c>
      <c r="J2119" s="1" t="s">
        <v>75</v>
      </c>
      <c r="K2119" s="1" t="s">
        <v>3853</v>
      </c>
      <c r="L2119" s="1"/>
      <c r="M2119" s="6" t="str">
        <f>IF(Table2[[#This Row],[Corrected Form '#
 (If Duplicated)]]="",Table2[[#This Row],[Form '#]],Table2[[#This Row],[Corrected Form '#
 (If Duplicated)]])</f>
        <v>7818-22700</v>
      </c>
      <c r="N2119" s="1" t="s">
        <v>49</v>
      </c>
      <c r="O2119" s="6" t="str">
        <f>IF(Table2[[#This Row],[POG CONFIRMATION RECEIPT OF ORDER
(DATE &amp; TIME)]]="","No Confirmation","Received Confirmation")</f>
        <v>Received Confirmation</v>
      </c>
      <c r="P2119" s="6">
        <f ca="1">TODAY()-Table2[[#This Row],[DATE SENT TO POG]]</f>
        <v>51</v>
      </c>
      <c r="Q2119" s="6" t="s">
        <v>5803</v>
      </c>
      <c r="R21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1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19" s="6" t="str">
        <f>_xlfn.XLOOKUP(Table2[[#This Row],[Adjusted Form '#]],'[2]IN PROGRESS'!$D:$D,'[2]IN PROGRESS'!$M:$M,"Not Found")</f>
        <v>Not Found</v>
      </c>
      <c r="U2119" s="6" t="str">
        <f>_xlfn.XLOOKUP(Table2[[#This Row],[Adjusted Form '#]],[1]COMPLETED!$D:$D,[2]COMPLETED!$M:$M,"Not Found")</f>
        <v>Not Found</v>
      </c>
      <c r="V2119" s="13">
        <f>_xlfn.XLOOKUP(Table2[[#This Row],[Adjusted Form '#]],[2]COMPLETED!$D:$D,[2]COMPLETED!$O:$O,"Not Found")</f>
        <v>45271</v>
      </c>
      <c r="W2119" s="6" t="str">
        <f>_xlfn.XLOOKUP(Table2[[#This Row],[Adjusted Form '#]],[2]BILLED!$D:$D,[2]BILLED!$M:$M,"Not Found")</f>
        <v>Not Found</v>
      </c>
      <c r="X2119" s="13" t="str">
        <f>_xlfn.XLOOKUP(Table2[[#This Row],[Adjusted Form '#]],[2]BILLED!$D:$D,[1]BILLED!$O:$O,"Not Found")</f>
        <v>Not Found</v>
      </c>
      <c r="Y2119" s="13" t="e">
        <f>_xlfn.XLOOKUP(Table2[[#This Row],[Adjusted Form '#]],'[2]REJECTED ORDERS'!$D:$D,'[2]REJECTED ORDERS'!$E:$E)</f>
        <v>#N/A</v>
      </c>
      <c r="Z2119" s="1"/>
      <c r="AA2119" s="1"/>
    </row>
    <row r="2120" spans="1:27" ht="15" customHeight="1" x14ac:dyDescent="0.35">
      <c r="A2120" s="4" t="s">
        <v>3110</v>
      </c>
      <c r="B2120" s="1" t="s">
        <v>1591</v>
      </c>
      <c r="C2120" s="11">
        <v>45252</v>
      </c>
      <c r="D2120" s="11" t="s">
        <v>7794</v>
      </c>
      <c r="E2120" s="1" t="s">
        <v>21</v>
      </c>
      <c r="F2120" s="1" t="s">
        <v>7757</v>
      </c>
      <c r="G2120" s="6">
        <f>COUNTIF(F:F,Table2[[#This Row],[Form '#]])</f>
        <v>1</v>
      </c>
      <c r="H2120" s="1" t="s">
        <v>7758</v>
      </c>
      <c r="I2120" s="1" t="s">
        <v>3852</v>
      </c>
      <c r="J2120" s="1" t="s">
        <v>80</v>
      </c>
      <c r="K2120" s="1" t="s">
        <v>3853</v>
      </c>
      <c r="L2120" s="1"/>
      <c r="M2120" s="6" t="str">
        <f>IF(Table2[[#This Row],[Corrected Form '#
 (If Duplicated)]]="",Table2[[#This Row],[Form '#]],Table2[[#This Row],[Corrected Form '#
 (If Duplicated)]])</f>
        <v>7818-33202</v>
      </c>
      <c r="N2120" s="1" t="s">
        <v>49</v>
      </c>
      <c r="O2120" s="6" t="str">
        <f>IF(Table2[[#This Row],[POG CONFIRMATION RECEIPT OF ORDER
(DATE &amp; TIME)]]="","No Confirmation","Received Confirmation")</f>
        <v>Received Confirmation</v>
      </c>
      <c r="P2120" s="6">
        <f ca="1">TODAY()-Table2[[#This Row],[DATE SENT TO POG]]</f>
        <v>51</v>
      </c>
      <c r="Q2120" s="6" t="s">
        <v>5803</v>
      </c>
      <c r="R21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0" s="6" t="str">
        <f>_xlfn.XLOOKUP(Table2[[#This Row],[Adjusted Form '#]],'[2]IN PROGRESS'!$D:$D,'[2]IN PROGRESS'!$M:$M,"Not Found")</f>
        <v>Not Found</v>
      </c>
      <c r="U2120" s="6" t="str">
        <f>_xlfn.XLOOKUP(Table2[[#This Row],[Adjusted Form '#]],[1]COMPLETED!$D:$D,[2]COMPLETED!$M:$M,"Not Found")</f>
        <v>Not Found</v>
      </c>
      <c r="V2120" s="13">
        <f>_xlfn.XLOOKUP(Table2[[#This Row],[Adjusted Form '#]],[2]COMPLETED!$D:$D,[2]COMPLETED!$O:$O,"Not Found")</f>
        <v>45271</v>
      </c>
      <c r="W2120" s="6" t="str">
        <f>_xlfn.XLOOKUP(Table2[[#This Row],[Adjusted Form '#]],[2]BILLED!$D:$D,[2]BILLED!$M:$M,"Not Found")</f>
        <v>Not Found</v>
      </c>
      <c r="X2120" s="13" t="str">
        <f>_xlfn.XLOOKUP(Table2[[#This Row],[Adjusted Form '#]],[2]BILLED!$D:$D,[1]BILLED!$O:$O,"Not Found")</f>
        <v>Not Found</v>
      </c>
      <c r="Y2120" s="13" t="e">
        <f>_xlfn.XLOOKUP(Table2[[#This Row],[Adjusted Form '#]],'[2]REJECTED ORDERS'!$D:$D,'[2]REJECTED ORDERS'!$E:$E)</f>
        <v>#N/A</v>
      </c>
      <c r="Z2120" s="1"/>
      <c r="AA2120" s="1"/>
    </row>
    <row r="2121" spans="1:27" ht="15" customHeight="1" x14ac:dyDescent="0.35">
      <c r="A2121" s="4" t="s">
        <v>3111</v>
      </c>
      <c r="B2121" s="1" t="s">
        <v>1591</v>
      </c>
      <c r="C2121" s="11">
        <v>45252</v>
      </c>
      <c r="D2121" s="11" t="s">
        <v>7794</v>
      </c>
      <c r="E2121" s="1" t="s">
        <v>21</v>
      </c>
      <c r="F2121" s="1" t="s">
        <v>7759</v>
      </c>
      <c r="G2121" s="6">
        <f>COUNTIF(F:F,Table2[[#This Row],[Form '#]])</f>
        <v>1</v>
      </c>
      <c r="H2121" s="1" t="s">
        <v>3645</v>
      </c>
      <c r="I2121" s="1" t="s">
        <v>3852</v>
      </c>
      <c r="J2121" s="1" t="s">
        <v>80</v>
      </c>
      <c r="K2121" s="1" t="s">
        <v>3853</v>
      </c>
      <c r="L2121" s="1"/>
      <c r="M2121" s="6" t="str">
        <f>IF(Table2[[#This Row],[Corrected Form '#
 (If Duplicated)]]="",Table2[[#This Row],[Form '#]],Table2[[#This Row],[Corrected Form '#
 (If Duplicated)]])</f>
        <v>7818-33201</v>
      </c>
      <c r="N2121" s="1" t="s">
        <v>49</v>
      </c>
      <c r="O2121" s="6" t="str">
        <f>IF(Table2[[#This Row],[POG CONFIRMATION RECEIPT OF ORDER
(DATE &amp; TIME)]]="","No Confirmation","Received Confirmation")</f>
        <v>Received Confirmation</v>
      </c>
      <c r="P2121" s="6">
        <f ca="1">TODAY()-Table2[[#This Row],[DATE SENT TO POG]]</f>
        <v>51</v>
      </c>
      <c r="Q2121" s="6" t="s">
        <v>5803</v>
      </c>
      <c r="R21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1" s="6" t="str">
        <f>_xlfn.XLOOKUP(Table2[[#This Row],[Adjusted Form '#]],'[2]IN PROGRESS'!$D:$D,'[2]IN PROGRESS'!$M:$M,"Not Found")</f>
        <v>Not Found</v>
      </c>
      <c r="U2121" s="6" t="str">
        <f>_xlfn.XLOOKUP(Table2[[#This Row],[Adjusted Form '#]],[1]COMPLETED!$D:$D,[2]COMPLETED!$M:$M,"Not Found")</f>
        <v>Not Found</v>
      </c>
      <c r="V2121" s="13">
        <f>_xlfn.XLOOKUP(Table2[[#This Row],[Adjusted Form '#]],[2]COMPLETED!$D:$D,[2]COMPLETED!$O:$O,"Not Found")</f>
        <v>45271</v>
      </c>
      <c r="W2121" s="6" t="str">
        <f>_xlfn.XLOOKUP(Table2[[#This Row],[Adjusted Form '#]],[2]BILLED!$D:$D,[2]BILLED!$M:$M,"Not Found")</f>
        <v>Not Found</v>
      </c>
      <c r="X2121" s="13" t="str">
        <f>_xlfn.XLOOKUP(Table2[[#This Row],[Adjusted Form '#]],[2]BILLED!$D:$D,[1]BILLED!$O:$O,"Not Found")</f>
        <v>Not Found</v>
      </c>
      <c r="Y2121" s="13" t="e">
        <f>_xlfn.XLOOKUP(Table2[[#This Row],[Adjusted Form '#]],'[2]REJECTED ORDERS'!$D:$D,'[2]REJECTED ORDERS'!$E:$E)</f>
        <v>#N/A</v>
      </c>
      <c r="Z2121" s="1"/>
      <c r="AA2121" s="1"/>
    </row>
    <row r="2122" spans="1:27" ht="15" customHeight="1" x14ac:dyDescent="0.35">
      <c r="A2122" s="4" t="s">
        <v>3113</v>
      </c>
      <c r="B2122" s="1" t="s">
        <v>1591</v>
      </c>
      <c r="C2122" s="11">
        <v>45252</v>
      </c>
      <c r="D2122" s="11" t="s">
        <v>7794</v>
      </c>
      <c r="E2122" s="1" t="s">
        <v>21</v>
      </c>
      <c r="F2122" s="1" t="s">
        <v>7760</v>
      </c>
      <c r="G2122" s="6">
        <f>COUNTIF(F:F,Table2[[#This Row],[Form '#]])</f>
        <v>1</v>
      </c>
      <c r="H2122" s="1" t="s">
        <v>1964</v>
      </c>
      <c r="I2122" s="1" t="s">
        <v>177</v>
      </c>
      <c r="J2122" s="1" t="s">
        <v>75</v>
      </c>
      <c r="K2122" s="1" t="s">
        <v>3853</v>
      </c>
      <c r="L2122" s="1"/>
      <c r="M2122" s="6" t="str">
        <f>IF(Table2[[#This Row],[Corrected Form '#
 (If Duplicated)]]="",Table2[[#This Row],[Form '#]],Table2[[#This Row],[Corrected Form '#
 (If Duplicated)]])</f>
        <v>7818-23367</v>
      </c>
      <c r="N2122" s="1" t="s">
        <v>49</v>
      </c>
      <c r="O2122" s="6" t="str">
        <f>IF(Table2[[#This Row],[POG CONFIRMATION RECEIPT OF ORDER
(DATE &amp; TIME)]]="","No Confirmation","Received Confirmation")</f>
        <v>Received Confirmation</v>
      </c>
      <c r="P2122" s="6">
        <f ca="1">TODAY()-Table2[[#This Row],[DATE SENT TO POG]]</f>
        <v>51</v>
      </c>
      <c r="Q2122" s="6" t="s">
        <v>5803</v>
      </c>
      <c r="R21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2" s="6" t="str">
        <f>_xlfn.XLOOKUP(Table2[[#This Row],[Adjusted Form '#]],'[2]IN PROGRESS'!$D:$D,'[2]IN PROGRESS'!$M:$M,"Not Found")</f>
        <v>Not Found</v>
      </c>
      <c r="U2122" s="6" t="str">
        <f>_xlfn.XLOOKUP(Table2[[#This Row],[Adjusted Form '#]],[1]COMPLETED!$D:$D,[2]COMPLETED!$M:$M,"Not Found")</f>
        <v>Not Found</v>
      </c>
      <c r="V2122" s="13">
        <f>_xlfn.XLOOKUP(Table2[[#This Row],[Adjusted Form '#]],[2]COMPLETED!$D:$D,[2]COMPLETED!$O:$O,"Not Found")</f>
        <v>45271</v>
      </c>
      <c r="W2122" s="6" t="str">
        <f>_xlfn.XLOOKUP(Table2[[#This Row],[Adjusted Form '#]],[2]BILLED!$D:$D,[2]BILLED!$M:$M,"Not Found")</f>
        <v>Not Found</v>
      </c>
      <c r="X2122" s="13" t="str">
        <f>_xlfn.XLOOKUP(Table2[[#This Row],[Adjusted Form '#]],[2]BILLED!$D:$D,[1]BILLED!$O:$O,"Not Found")</f>
        <v>Not Found</v>
      </c>
      <c r="Y2122" s="13" t="e">
        <f>_xlfn.XLOOKUP(Table2[[#This Row],[Adjusted Form '#]],'[2]REJECTED ORDERS'!$D:$D,'[2]REJECTED ORDERS'!$E:$E)</f>
        <v>#N/A</v>
      </c>
      <c r="Z2122" s="1"/>
      <c r="AA2122" s="1"/>
    </row>
    <row r="2123" spans="1:27" ht="15" customHeight="1" x14ac:dyDescent="0.35">
      <c r="A2123" s="4" t="s">
        <v>3114</v>
      </c>
      <c r="B2123" s="1" t="s">
        <v>1591</v>
      </c>
      <c r="C2123" s="11">
        <v>45252</v>
      </c>
      <c r="D2123" s="11" t="s">
        <v>7794</v>
      </c>
      <c r="E2123" s="1" t="s">
        <v>21</v>
      </c>
      <c r="F2123" s="1" t="s">
        <v>7761</v>
      </c>
      <c r="G2123" s="6">
        <f>COUNTIF(F:F,Table2[[#This Row],[Form '#]])</f>
        <v>1</v>
      </c>
      <c r="H2123" s="1" t="s">
        <v>1279</v>
      </c>
      <c r="I2123" s="1" t="s">
        <v>3852</v>
      </c>
      <c r="J2123" s="1" t="s">
        <v>75</v>
      </c>
      <c r="K2123" s="1" t="s">
        <v>4011</v>
      </c>
      <c r="L2123" s="1"/>
      <c r="M2123" s="6" t="str">
        <f>IF(Table2[[#This Row],[Corrected Form '#
 (If Duplicated)]]="",Table2[[#This Row],[Form '#]],Table2[[#This Row],[Corrected Form '#
 (If Duplicated)]])</f>
        <v>7818-26986</v>
      </c>
      <c r="N2123" s="1" t="s">
        <v>49</v>
      </c>
      <c r="O2123" s="6" t="str">
        <f>IF(Table2[[#This Row],[POG CONFIRMATION RECEIPT OF ORDER
(DATE &amp; TIME)]]="","No Confirmation","Received Confirmation")</f>
        <v>Received Confirmation</v>
      </c>
      <c r="P2123" s="6">
        <f ca="1">TODAY()-Table2[[#This Row],[DATE SENT TO POG]]</f>
        <v>51</v>
      </c>
      <c r="Q2123" s="6" t="s">
        <v>5803</v>
      </c>
      <c r="R21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3" s="6" t="str">
        <f>_xlfn.XLOOKUP(Table2[[#This Row],[Adjusted Form '#]],'[2]IN PROGRESS'!$D:$D,'[2]IN PROGRESS'!$M:$M,"Not Found")</f>
        <v>Not Found</v>
      </c>
      <c r="U2123" s="6" t="str">
        <f>_xlfn.XLOOKUP(Table2[[#This Row],[Adjusted Form '#]],[1]COMPLETED!$D:$D,[2]COMPLETED!$M:$M,"Not Found")</f>
        <v>Not Found</v>
      </c>
      <c r="V2123" s="13">
        <f>_xlfn.XLOOKUP(Table2[[#This Row],[Adjusted Form '#]],[2]COMPLETED!$D:$D,[2]COMPLETED!$O:$O,"Not Found")</f>
        <v>45266</v>
      </c>
      <c r="W2123" s="6" t="str">
        <f>_xlfn.XLOOKUP(Table2[[#This Row],[Adjusted Form '#]],[2]BILLED!$D:$D,[2]BILLED!$M:$M,"Not Found")</f>
        <v>Not Found</v>
      </c>
      <c r="X2123" s="13" t="str">
        <f>_xlfn.XLOOKUP(Table2[[#This Row],[Adjusted Form '#]],[2]BILLED!$D:$D,[1]BILLED!$O:$O,"Not Found")</f>
        <v>Not Found</v>
      </c>
      <c r="Y2123" s="13" t="e">
        <f>_xlfn.XLOOKUP(Table2[[#This Row],[Adjusted Form '#]],'[2]REJECTED ORDERS'!$D:$D,'[2]REJECTED ORDERS'!$E:$E)</f>
        <v>#N/A</v>
      </c>
      <c r="Z2123" s="1"/>
      <c r="AA2123" s="1"/>
    </row>
    <row r="2124" spans="1:27" ht="15" customHeight="1" x14ac:dyDescent="0.35">
      <c r="A2124" s="4" t="s">
        <v>3116</v>
      </c>
      <c r="B2124" s="1" t="s">
        <v>1591</v>
      </c>
      <c r="C2124" s="11">
        <v>45252</v>
      </c>
      <c r="D2124" s="11" t="s">
        <v>7794</v>
      </c>
      <c r="E2124" s="1" t="s">
        <v>21</v>
      </c>
      <c r="F2124" s="1" t="s">
        <v>7762</v>
      </c>
      <c r="G2124" s="6">
        <f>COUNTIF(F:F,Table2[[#This Row],[Form '#]])</f>
        <v>1</v>
      </c>
      <c r="H2124" s="1" t="s">
        <v>2920</v>
      </c>
      <c r="I2124" s="1" t="s">
        <v>3864</v>
      </c>
      <c r="J2124" s="1" t="s">
        <v>78</v>
      </c>
      <c r="K2124" s="1" t="s">
        <v>7763</v>
      </c>
      <c r="L2124" s="1"/>
      <c r="M2124" s="6" t="str">
        <f>IF(Table2[[#This Row],[Corrected Form '#
 (If Duplicated)]]="",Table2[[#This Row],[Form '#]],Table2[[#This Row],[Corrected Form '#
 (If Duplicated)]])</f>
        <v>7818-25188</v>
      </c>
      <c r="N2124" s="1" t="s">
        <v>49</v>
      </c>
      <c r="O2124" s="6" t="str">
        <f>IF(Table2[[#This Row],[POG CONFIRMATION RECEIPT OF ORDER
(DATE &amp; TIME)]]="","No Confirmation","Received Confirmation")</f>
        <v>Received Confirmation</v>
      </c>
      <c r="P2124" s="6">
        <f ca="1">TODAY()-Table2[[#This Row],[DATE SENT TO POG]]</f>
        <v>51</v>
      </c>
      <c r="Q2124" s="6" t="s">
        <v>5803</v>
      </c>
      <c r="R21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4" s="6" t="str">
        <f>_xlfn.XLOOKUP(Table2[[#This Row],[Adjusted Form '#]],'[2]IN PROGRESS'!$D:$D,'[2]IN PROGRESS'!$M:$M,"Not Found")</f>
        <v>Not Found</v>
      </c>
      <c r="U2124" s="6" t="str">
        <f>_xlfn.XLOOKUP(Table2[[#This Row],[Adjusted Form '#]],[1]COMPLETED!$D:$D,[2]COMPLETED!$M:$M,"Not Found")</f>
        <v>Not Found</v>
      </c>
      <c r="V2124" s="13">
        <f>_xlfn.XLOOKUP(Table2[[#This Row],[Adjusted Form '#]],[2]COMPLETED!$D:$D,[2]COMPLETED!$O:$O,"Not Found")</f>
        <v>45264</v>
      </c>
      <c r="W2124" s="6" t="str">
        <f>_xlfn.XLOOKUP(Table2[[#This Row],[Adjusted Form '#]],[2]BILLED!$D:$D,[2]BILLED!$M:$M,"Not Found")</f>
        <v>Not Found</v>
      </c>
      <c r="X2124" s="13" t="str">
        <f>_xlfn.XLOOKUP(Table2[[#This Row],[Adjusted Form '#]],[2]BILLED!$D:$D,[1]BILLED!$O:$O,"Not Found")</f>
        <v>Not Found</v>
      </c>
      <c r="Y2124" s="13" t="e">
        <f>_xlfn.XLOOKUP(Table2[[#This Row],[Adjusted Form '#]],'[2]REJECTED ORDERS'!$D:$D,'[2]REJECTED ORDERS'!$E:$E)</f>
        <v>#N/A</v>
      </c>
      <c r="Z2124" s="1"/>
      <c r="AA2124" s="1"/>
    </row>
    <row r="2125" spans="1:27" ht="15" customHeight="1" x14ac:dyDescent="0.35">
      <c r="A2125" s="4" t="s">
        <v>3117</v>
      </c>
      <c r="B2125" s="1" t="s">
        <v>1591</v>
      </c>
      <c r="C2125" s="11">
        <v>45252</v>
      </c>
      <c r="D2125" s="11" t="s">
        <v>7794</v>
      </c>
      <c r="E2125" s="1" t="s">
        <v>21</v>
      </c>
      <c r="F2125" s="1" t="s">
        <v>7764</v>
      </c>
      <c r="G2125" s="6">
        <f>COUNTIF(F:F,Table2[[#This Row],[Form '#]])</f>
        <v>1</v>
      </c>
      <c r="H2125" s="1" t="s">
        <v>2670</v>
      </c>
      <c r="I2125" s="1" t="s">
        <v>758</v>
      </c>
      <c r="J2125" s="1" t="s">
        <v>78</v>
      </c>
      <c r="K2125" s="1" t="s">
        <v>3853</v>
      </c>
      <c r="L2125" s="1"/>
      <c r="M2125" s="6" t="str">
        <f>IF(Table2[[#This Row],[Corrected Form '#
 (If Duplicated)]]="",Table2[[#This Row],[Form '#]],Table2[[#This Row],[Corrected Form '#
 (If Duplicated)]])</f>
        <v>7818-33360</v>
      </c>
      <c r="N2125" s="1" t="s">
        <v>49</v>
      </c>
      <c r="O2125" s="6" t="str">
        <f>IF(Table2[[#This Row],[POG CONFIRMATION RECEIPT OF ORDER
(DATE &amp; TIME)]]="","No Confirmation","Received Confirmation")</f>
        <v>Received Confirmation</v>
      </c>
      <c r="P2125" s="6">
        <f ca="1">TODAY()-Table2[[#This Row],[DATE SENT TO POG]]</f>
        <v>51</v>
      </c>
      <c r="Q2125" s="6" t="s">
        <v>5803</v>
      </c>
      <c r="R21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5" s="6" t="str">
        <f>_xlfn.XLOOKUP(Table2[[#This Row],[Adjusted Form '#]],'[2]IN PROGRESS'!$D:$D,'[2]IN PROGRESS'!$M:$M,"Not Found")</f>
        <v>Not Found</v>
      </c>
      <c r="U2125" s="6" t="str">
        <f>_xlfn.XLOOKUP(Table2[[#This Row],[Adjusted Form '#]],[1]COMPLETED!$D:$D,[2]COMPLETED!$M:$M,"Not Found")</f>
        <v>Not Found</v>
      </c>
      <c r="V2125" s="13">
        <f>_xlfn.XLOOKUP(Table2[[#This Row],[Adjusted Form '#]],[2]COMPLETED!$D:$D,[2]COMPLETED!$O:$O,"Not Found")</f>
        <v>45265</v>
      </c>
      <c r="W2125" s="6" t="str">
        <f>_xlfn.XLOOKUP(Table2[[#This Row],[Adjusted Form '#]],[2]BILLED!$D:$D,[2]BILLED!$M:$M,"Not Found")</f>
        <v>Not Found</v>
      </c>
      <c r="X2125" s="13" t="str">
        <f>_xlfn.XLOOKUP(Table2[[#This Row],[Adjusted Form '#]],[2]BILLED!$D:$D,[1]BILLED!$O:$O,"Not Found")</f>
        <v>Not Found</v>
      </c>
      <c r="Y2125" s="13" t="e">
        <f>_xlfn.XLOOKUP(Table2[[#This Row],[Adjusted Form '#]],'[2]REJECTED ORDERS'!$D:$D,'[2]REJECTED ORDERS'!$E:$E)</f>
        <v>#N/A</v>
      </c>
      <c r="Z2125" s="1"/>
      <c r="AA2125" s="1"/>
    </row>
    <row r="2126" spans="1:27" ht="15" customHeight="1" x14ac:dyDescent="0.35">
      <c r="A2126" s="4" t="s">
        <v>3119</v>
      </c>
      <c r="B2126" s="1" t="s">
        <v>4131</v>
      </c>
      <c r="C2126" s="11">
        <v>45252</v>
      </c>
      <c r="D2126" s="11" t="s">
        <v>7801</v>
      </c>
      <c r="E2126" s="1" t="s">
        <v>21</v>
      </c>
      <c r="F2126" s="1" t="s">
        <v>7765</v>
      </c>
      <c r="G2126" s="6">
        <f>COUNTIF(F:F,Table2[[#This Row],[Form '#]])</f>
        <v>1</v>
      </c>
      <c r="H2126" s="1" t="s">
        <v>4627</v>
      </c>
      <c r="I2126" s="1" t="s">
        <v>3852</v>
      </c>
      <c r="J2126" s="1" t="s">
        <v>75</v>
      </c>
      <c r="K2126" s="1" t="s">
        <v>3853</v>
      </c>
      <c r="L2126" s="1"/>
      <c r="M2126" s="6" t="str">
        <f>IF(Table2[[#This Row],[Corrected Form '#
 (If Duplicated)]]="",Table2[[#This Row],[Form '#]],Table2[[#This Row],[Corrected Form '#
 (If Duplicated)]])</f>
        <v>7818-32805</v>
      </c>
      <c r="N2126" s="1" t="s">
        <v>49</v>
      </c>
      <c r="O2126" s="6" t="str">
        <f>IF(Table2[[#This Row],[POG CONFIRMATION RECEIPT OF ORDER
(DATE &amp; TIME)]]="","No Confirmation","Received Confirmation")</f>
        <v>Received Confirmation</v>
      </c>
      <c r="P2126" s="6">
        <f ca="1">TODAY()-Table2[[#This Row],[DATE SENT TO POG]]</f>
        <v>51</v>
      </c>
      <c r="Q2126" s="6" t="s">
        <v>5803</v>
      </c>
      <c r="R21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6" s="6" t="str">
        <f>_xlfn.XLOOKUP(Table2[[#This Row],[Adjusted Form '#]],'[2]IN PROGRESS'!$D:$D,'[2]IN PROGRESS'!$M:$M,"Not Found")</f>
        <v>Not Found</v>
      </c>
      <c r="U2126" s="6" t="str">
        <f>_xlfn.XLOOKUP(Table2[[#This Row],[Adjusted Form '#]],[1]COMPLETED!$D:$D,[2]COMPLETED!$M:$M,"Not Found")</f>
        <v>Not Found</v>
      </c>
      <c r="V2126" s="13">
        <f>_xlfn.XLOOKUP(Table2[[#This Row],[Adjusted Form '#]],[2]COMPLETED!$D:$D,[2]COMPLETED!$O:$O,"Not Found")</f>
        <v>45264</v>
      </c>
      <c r="W2126" s="6" t="str">
        <f>_xlfn.XLOOKUP(Table2[[#This Row],[Adjusted Form '#]],[2]BILLED!$D:$D,[2]BILLED!$M:$M,"Not Found")</f>
        <v>Not Found</v>
      </c>
      <c r="X2126" s="13" t="str">
        <f>_xlfn.XLOOKUP(Table2[[#This Row],[Adjusted Form '#]],[2]BILLED!$D:$D,[1]BILLED!$O:$O,"Not Found")</f>
        <v>Not Found</v>
      </c>
      <c r="Y2126" s="13" t="e">
        <f>_xlfn.XLOOKUP(Table2[[#This Row],[Adjusted Form '#]],'[2]REJECTED ORDERS'!$D:$D,'[2]REJECTED ORDERS'!$E:$E)</f>
        <v>#N/A</v>
      </c>
      <c r="Z2126" s="1"/>
      <c r="AA2126" s="1"/>
    </row>
    <row r="2127" spans="1:27" ht="15" customHeight="1" x14ac:dyDescent="0.35">
      <c r="A2127" s="4" t="s">
        <v>3120</v>
      </c>
      <c r="B2127" s="1" t="s">
        <v>2627</v>
      </c>
      <c r="C2127" s="11">
        <v>45257</v>
      </c>
      <c r="D2127" s="11" t="s">
        <v>7802</v>
      </c>
      <c r="E2127" s="1" t="s">
        <v>21</v>
      </c>
      <c r="F2127" s="1" t="s">
        <v>7766</v>
      </c>
      <c r="G2127" s="6">
        <f>COUNTIF(F:F,Table2[[#This Row],[Form '#]])</f>
        <v>1</v>
      </c>
      <c r="H2127" s="1" t="s">
        <v>690</v>
      </c>
      <c r="I2127" s="1" t="s">
        <v>127</v>
      </c>
      <c r="J2127" s="1" t="s">
        <v>76</v>
      </c>
      <c r="K2127" s="1" t="s">
        <v>4011</v>
      </c>
      <c r="L2127" s="1"/>
      <c r="M2127" s="6" t="str">
        <f>IF(Table2[[#This Row],[Corrected Form '#
 (If Duplicated)]]="",Table2[[#This Row],[Form '#]],Table2[[#This Row],[Corrected Form '#
 (If Duplicated)]])</f>
        <v>7818-33660</v>
      </c>
      <c r="N2127" s="1" t="s">
        <v>49</v>
      </c>
      <c r="O2127" s="6" t="str">
        <f>IF(Table2[[#This Row],[POG CONFIRMATION RECEIPT OF ORDER
(DATE &amp; TIME)]]="","No Confirmation","Received Confirmation")</f>
        <v>Received Confirmation</v>
      </c>
      <c r="P2127" s="6">
        <f ca="1">TODAY()-Table2[[#This Row],[DATE SENT TO POG]]</f>
        <v>46</v>
      </c>
      <c r="Q2127" s="6" t="s">
        <v>5803</v>
      </c>
      <c r="R21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7" s="6" t="str">
        <f>_xlfn.XLOOKUP(Table2[[#This Row],[Adjusted Form '#]],'[2]IN PROGRESS'!$D:$D,'[2]IN PROGRESS'!$M:$M,"Not Found")</f>
        <v>Not Found</v>
      </c>
      <c r="U2127" s="6" t="str">
        <f>_xlfn.XLOOKUP(Table2[[#This Row],[Adjusted Form '#]],[1]COMPLETED!$D:$D,[2]COMPLETED!$M:$M,"Not Found")</f>
        <v>Not Found</v>
      </c>
      <c r="V2127" s="13">
        <f>_xlfn.XLOOKUP(Table2[[#This Row],[Adjusted Form '#]],[2]COMPLETED!$D:$D,[2]COMPLETED!$O:$O,"Not Found")</f>
        <v>45264</v>
      </c>
      <c r="W2127" s="6" t="str">
        <f>_xlfn.XLOOKUP(Table2[[#This Row],[Adjusted Form '#]],[2]BILLED!$D:$D,[2]BILLED!$M:$M,"Not Found")</f>
        <v>Not Found</v>
      </c>
      <c r="X2127" s="13" t="str">
        <f>_xlfn.XLOOKUP(Table2[[#This Row],[Adjusted Form '#]],[2]BILLED!$D:$D,[1]BILLED!$O:$O,"Not Found")</f>
        <v>Not Found</v>
      </c>
      <c r="Y2127" s="13" t="e">
        <f>_xlfn.XLOOKUP(Table2[[#This Row],[Adjusted Form '#]],'[2]REJECTED ORDERS'!$D:$D,'[2]REJECTED ORDERS'!$E:$E)</f>
        <v>#N/A</v>
      </c>
      <c r="Z2127" s="1"/>
      <c r="AA2127" s="1"/>
    </row>
    <row r="2128" spans="1:27" ht="15" customHeight="1" x14ac:dyDescent="0.35">
      <c r="A2128" s="4" t="s">
        <v>3122</v>
      </c>
      <c r="B2128" s="1" t="s">
        <v>390</v>
      </c>
      <c r="C2128" s="11">
        <v>45257</v>
      </c>
      <c r="D2128" s="11" t="s">
        <v>7785</v>
      </c>
      <c r="E2128" s="1" t="s">
        <v>21</v>
      </c>
      <c r="F2128" s="1" t="s">
        <v>7767</v>
      </c>
      <c r="G2128" s="6">
        <f>COUNTIF(F:F,Table2[[#This Row],[Form '#]])</f>
        <v>1</v>
      </c>
      <c r="H2128" s="1" t="s">
        <v>7768</v>
      </c>
      <c r="I2128" s="1" t="s">
        <v>3864</v>
      </c>
      <c r="J2128" s="1" t="s">
        <v>78</v>
      </c>
      <c r="K2128" s="1" t="s">
        <v>3879</v>
      </c>
      <c r="L2128" s="1"/>
      <c r="M2128" s="6" t="str">
        <f>IF(Table2[[#This Row],[Corrected Form '#
 (If Duplicated)]]="",Table2[[#This Row],[Form '#]],Table2[[#This Row],[Corrected Form '#
 (If Duplicated)]])</f>
        <v>7818-01955</v>
      </c>
      <c r="N2128" s="1" t="s">
        <v>49</v>
      </c>
      <c r="O2128" s="6" t="str">
        <f>IF(Table2[[#This Row],[POG CONFIRMATION RECEIPT OF ORDER
(DATE &amp; TIME)]]="","No Confirmation","Received Confirmation")</f>
        <v>Received Confirmation</v>
      </c>
      <c r="P2128" s="6">
        <f ca="1">TODAY()-Table2[[#This Row],[DATE SENT TO POG]]</f>
        <v>46</v>
      </c>
      <c r="Q2128" s="6" t="s">
        <v>5802</v>
      </c>
      <c r="R21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8" s="6" t="str">
        <f>_xlfn.XLOOKUP(Table2[[#This Row],[Adjusted Form '#]],'[2]IN PROGRESS'!$D:$D,'[2]IN PROGRESS'!$M:$M,"Not Found")</f>
        <v>Not Found</v>
      </c>
      <c r="U2128" s="6" t="str">
        <f>_xlfn.XLOOKUP(Table2[[#This Row],[Adjusted Form '#]],[1]COMPLETED!$D:$D,[2]COMPLETED!$M:$M,"Not Found")</f>
        <v>Not Found</v>
      </c>
      <c r="V2128" s="13" t="str">
        <f>_xlfn.XLOOKUP(Table2[[#This Row],[Adjusted Form '#]],[2]COMPLETED!$D:$D,[2]COMPLETED!$O:$O,"Not Found")</f>
        <v>Not Found</v>
      </c>
      <c r="W2128" s="6" t="str">
        <f>_xlfn.XLOOKUP(Table2[[#This Row],[Adjusted Form '#]],[2]BILLED!$D:$D,[2]BILLED!$M:$M,"Not Found")</f>
        <v>Not Found</v>
      </c>
      <c r="X2128" s="13" t="str">
        <f>_xlfn.XLOOKUP(Table2[[#This Row],[Adjusted Form '#]],[2]BILLED!$D:$D,[1]BILLED!$O:$O,"Not Found")</f>
        <v>Not Found</v>
      </c>
      <c r="Y2128" s="13" t="e">
        <f>_xlfn.XLOOKUP(Table2[[#This Row],[Adjusted Form '#]],'[2]REJECTED ORDERS'!$D:$D,'[2]REJECTED ORDERS'!$E:$E)</f>
        <v>#N/A</v>
      </c>
      <c r="Z2128" s="1"/>
      <c r="AA2128" s="1"/>
    </row>
    <row r="2129" spans="1:27" ht="15" customHeight="1" x14ac:dyDescent="0.35">
      <c r="A2129" s="4" t="s">
        <v>3123</v>
      </c>
      <c r="B2129" s="1" t="s">
        <v>390</v>
      </c>
      <c r="C2129" s="11">
        <v>45257</v>
      </c>
      <c r="D2129" s="11" t="s">
        <v>7785</v>
      </c>
      <c r="E2129" s="1" t="s">
        <v>21</v>
      </c>
      <c r="F2129" s="1" t="s">
        <v>7769</v>
      </c>
      <c r="G2129" s="6">
        <f>COUNTIF(F:F,Table2[[#This Row],[Form '#]])</f>
        <v>1</v>
      </c>
      <c r="H2129" s="1" t="s">
        <v>486</v>
      </c>
      <c r="I2129" s="1" t="s">
        <v>127</v>
      </c>
      <c r="J2129" s="1" t="s">
        <v>76</v>
      </c>
      <c r="K2129" s="1" t="s">
        <v>3891</v>
      </c>
      <c r="L2129" s="1"/>
      <c r="M2129" s="6" t="str">
        <f>IF(Table2[[#This Row],[Corrected Form '#
 (If Duplicated)]]="",Table2[[#This Row],[Form '#]],Table2[[#This Row],[Corrected Form '#
 (If Duplicated)]])</f>
        <v>7818-19015</v>
      </c>
      <c r="N2129" s="1" t="s">
        <v>49</v>
      </c>
      <c r="O2129" s="6" t="str">
        <f>IF(Table2[[#This Row],[POG CONFIRMATION RECEIPT OF ORDER
(DATE &amp; TIME)]]="","No Confirmation","Received Confirmation")</f>
        <v>Received Confirmation</v>
      </c>
      <c r="P2129" s="6">
        <f ca="1">TODAY()-Table2[[#This Row],[DATE SENT TO POG]]</f>
        <v>46</v>
      </c>
      <c r="Q2129" s="6" t="s">
        <v>5803</v>
      </c>
      <c r="R21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2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29" s="6" t="str">
        <f>_xlfn.XLOOKUP(Table2[[#This Row],[Adjusted Form '#]],'[2]IN PROGRESS'!$D:$D,'[2]IN PROGRESS'!$M:$M,"Not Found")</f>
        <v>Not Found</v>
      </c>
      <c r="U2129" s="6" t="str">
        <f>_xlfn.XLOOKUP(Table2[[#This Row],[Adjusted Form '#]],[1]COMPLETED!$D:$D,[2]COMPLETED!$M:$M,"Not Found")</f>
        <v>Not Found</v>
      </c>
      <c r="V2129" s="13">
        <f>_xlfn.XLOOKUP(Table2[[#This Row],[Adjusted Form '#]],[2]COMPLETED!$D:$D,[2]COMPLETED!$O:$O,"Not Found")</f>
        <v>45264</v>
      </c>
      <c r="W2129" s="6" t="str">
        <f>_xlfn.XLOOKUP(Table2[[#This Row],[Adjusted Form '#]],[2]BILLED!$D:$D,[2]BILLED!$M:$M,"Not Found")</f>
        <v>Not Found</v>
      </c>
      <c r="X2129" s="13" t="str">
        <f>_xlfn.XLOOKUP(Table2[[#This Row],[Adjusted Form '#]],[2]BILLED!$D:$D,[1]BILLED!$O:$O,"Not Found")</f>
        <v>Not Found</v>
      </c>
      <c r="Y2129" s="13" t="e">
        <f>_xlfn.XLOOKUP(Table2[[#This Row],[Adjusted Form '#]],'[2]REJECTED ORDERS'!$D:$D,'[2]REJECTED ORDERS'!$E:$E)</f>
        <v>#N/A</v>
      </c>
      <c r="Z2129" s="1"/>
      <c r="AA2129" s="1"/>
    </row>
    <row r="2130" spans="1:27" ht="15" customHeight="1" x14ac:dyDescent="0.35">
      <c r="A2130" s="4" t="s">
        <v>3125</v>
      </c>
      <c r="B2130" s="1" t="s">
        <v>390</v>
      </c>
      <c r="C2130" s="11">
        <v>45257</v>
      </c>
      <c r="D2130" s="11" t="s">
        <v>7785</v>
      </c>
      <c r="E2130" s="1" t="s">
        <v>21</v>
      </c>
      <c r="F2130" s="1" t="s">
        <v>7770</v>
      </c>
      <c r="G2130" s="6">
        <f>COUNTIF(F:F,Table2[[#This Row],[Form '#]])</f>
        <v>1</v>
      </c>
      <c r="H2130" s="1" t="s">
        <v>7771</v>
      </c>
      <c r="I2130" s="1" t="s">
        <v>177</v>
      </c>
      <c r="J2130" s="1" t="s">
        <v>75</v>
      </c>
      <c r="K2130" s="1" t="s">
        <v>3853</v>
      </c>
      <c r="L2130" s="1"/>
      <c r="M2130" s="6" t="str">
        <f>IF(Table2[[#This Row],[Corrected Form '#
 (If Duplicated)]]="",Table2[[#This Row],[Form '#]],Table2[[#This Row],[Corrected Form '#
 (If Duplicated)]])</f>
        <v>7818-27313</v>
      </c>
      <c r="N2130" s="1" t="s">
        <v>49</v>
      </c>
      <c r="O2130" s="6" t="str">
        <f>IF(Table2[[#This Row],[POG CONFIRMATION RECEIPT OF ORDER
(DATE &amp; TIME)]]="","No Confirmation","Received Confirmation")</f>
        <v>Received Confirmation</v>
      </c>
      <c r="P2130" s="6">
        <f ca="1">TODAY()-Table2[[#This Row],[DATE SENT TO POG]]</f>
        <v>46</v>
      </c>
      <c r="Q2130" s="6" t="s">
        <v>5803</v>
      </c>
      <c r="R21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0" s="6" t="str">
        <f>_xlfn.XLOOKUP(Table2[[#This Row],[Adjusted Form '#]],'[2]IN PROGRESS'!$D:$D,'[2]IN PROGRESS'!$M:$M,"Not Found")</f>
        <v>Not Found</v>
      </c>
      <c r="U2130" s="6" t="str">
        <f>_xlfn.XLOOKUP(Table2[[#This Row],[Adjusted Form '#]],[1]COMPLETED!$D:$D,[2]COMPLETED!$M:$M,"Not Found")</f>
        <v>Not Found</v>
      </c>
      <c r="V2130" s="13">
        <f>_xlfn.XLOOKUP(Table2[[#This Row],[Adjusted Form '#]],[2]COMPLETED!$D:$D,[2]COMPLETED!$O:$O,"Not Found")</f>
        <v>45272</v>
      </c>
      <c r="W2130" s="6" t="str">
        <f>_xlfn.XLOOKUP(Table2[[#This Row],[Adjusted Form '#]],[2]BILLED!$D:$D,[2]BILLED!$M:$M,"Not Found")</f>
        <v>Not Found</v>
      </c>
      <c r="X2130" s="13" t="str">
        <f>_xlfn.XLOOKUP(Table2[[#This Row],[Adjusted Form '#]],[2]BILLED!$D:$D,[1]BILLED!$O:$O,"Not Found")</f>
        <v>Not Found</v>
      </c>
      <c r="Y2130" s="13" t="e">
        <f>_xlfn.XLOOKUP(Table2[[#This Row],[Adjusted Form '#]],'[2]REJECTED ORDERS'!$D:$D,'[2]REJECTED ORDERS'!$E:$E)</f>
        <v>#N/A</v>
      </c>
      <c r="Z2130" s="1"/>
      <c r="AA2130" s="1"/>
    </row>
    <row r="2131" spans="1:27" ht="15" customHeight="1" x14ac:dyDescent="0.35">
      <c r="A2131" s="4" t="s">
        <v>3126</v>
      </c>
      <c r="B2131" s="1" t="s">
        <v>390</v>
      </c>
      <c r="C2131" s="11">
        <v>45257</v>
      </c>
      <c r="D2131" s="11" t="s">
        <v>7785</v>
      </c>
      <c r="E2131" s="1" t="s">
        <v>21</v>
      </c>
      <c r="F2131" s="1" t="s">
        <v>7773</v>
      </c>
      <c r="G2131" s="6">
        <f>COUNTIF(F:F,Table2[[#This Row],[Form '#]])</f>
        <v>1</v>
      </c>
      <c r="H2131" s="1" t="s">
        <v>7772</v>
      </c>
      <c r="I2131" s="1" t="s">
        <v>127</v>
      </c>
      <c r="J2131" s="1" t="s">
        <v>76</v>
      </c>
      <c r="K2131" s="1" t="s">
        <v>4011</v>
      </c>
      <c r="L2131" s="1"/>
      <c r="M2131" s="6" t="str">
        <f>IF(Table2[[#This Row],[Corrected Form '#
 (If Duplicated)]]="",Table2[[#This Row],[Form '#]],Table2[[#This Row],[Corrected Form '#
 (If Duplicated)]])</f>
        <v>7818-27745</v>
      </c>
      <c r="N2131" s="1" t="s">
        <v>49</v>
      </c>
      <c r="O2131" s="6" t="str">
        <f>IF(Table2[[#This Row],[POG CONFIRMATION RECEIPT OF ORDER
(DATE &amp; TIME)]]="","No Confirmation","Received Confirmation")</f>
        <v>Received Confirmation</v>
      </c>
      <c r="P2131" s="6">
        <f ca="1">TODAY()-Table2[[#This Row],[DATE SENT TO POG]]</f>
        <v>46</v>
      </c>
      <c r="Q2131" s="6" t="s">
        <v>5803</v>
      </c>
      <c r="R21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1" s="6" t="str">
        <f>_xlfn.XLOOKUP(Table2[[#This Row],[Adjusted Form '#]],'[2]IN PROGRESS'!$D:$D,'[2]IN PROGRESS'!$M:$M,"Not Found")</f>
        <v>Not Found</v>
      </c>
      <c r="U2131" s="6" t="str">
        <f>_xlfn.XLOOKUP(Table2[[#This Row],[Adjusted Form '#]],[1]COMPLETED!$D:$D,[2]COMPLETED!$M:$M,"Not Found")</f>
        <v>Not Found</v>
      </c>
      <c r="V2131" s="13">
        <f>_xlfn.XLOOKUP(Table2[[#This Row],[Adjusted Form '#]],[2]COMPLETED!$D:$D,[2]COMPLETED!$O:$O,"Not Found")</f>
        <v>45268</v>
      </c>
      <c r="W2131" s="6" t="str">
        <f>_xlfn.XLOOKUP(Table2[[#This Row],[Adjusted Form '#]],[2]BILLED!$D:$D,[2]BILLED!$M:$M,"Not Found")</f>
        <v>Not Found</v>
      </c>
      <c r="X2131" s="13" t="str">
        <f>_xlfn.XLOOKUP(Table2[[#This Row],[Adjusted Form '#]],[2]BILLED!$D:$D,[1]BILLED!$O:$O,"Not Found")</f>
        <v>Not Found</v>
      </c>
      <c r="Y2131" s="13" t="e">
        <f>_xlfn.XLOOKUP(Table2[[#This Row],[Adjusted Form '#]],'[2]REJECTED ORDERS'!$D:$D,'[2]REJECTED ORDERS'!$E:$E)</f>
        <v>#N/A</v>
      </c>
      <c r="Z2131" s="1"/>
      <c r="AA2131" s="1"/>
    </row>
    <row r="2132" spans="1:27" ht="15" customHeight="1" x14ac:dyDescent="0.35">
      <c r="A2132" s="4" t="s">
        <v>3128</v>
      </c>
      <c r="B2132" s="1" t="s">
        <v>390</v>
      </c>
      <c r="C2132" s="11">
        <v>45257</v>
      </c>
      <c r="D2132" s="11" t="s">
        <v>7785</v>
      </c>
      <c r="E2132" s="1" t="s">
        <v>21</v>
      </c>
      <c r="F2132" s="1" t="s">
        <v>7774</v>
      </c>
      <c r="G2132" s="6">
        <f>COUNTIF(F:F,Table2[[#This Row],[Form '#]])</f>
        <v>1</v>
      </c>
      <c r="H2132" s="1" t="s">
        <v>268</v>
      </c>
      <c r="I2132" s="1" t="s">
        <v>177</v>
      </c>
      <c r="J2132" s="1" t="s">
        <v>75</v>
      </c>
      <c r="K2132" s="1" t="s">
        <v>3853</v>
      </c>
      <c r="L2132" s="1"/>
      <c r="M2132" s="6" t="str">
        <f>IF(Table2[[#This Row],[Corrected Form '#
 (If Duplicated)]]="",Table2[[#This Row],[Form '#]],Table2[[#This Row],[Corrected Form '#
 (If Duplicated)]])</f>
        <v>7818-01884</v>
      </c>
      <c r="N2132" s="1" t="s">
        <v>49</v>
      </c>
      <c r="O2132" s="6" t="str">
        <f>IF(Table2[[#This Row],[POG CONFIRMATION RECEIPT OF ORDER
(DATE &amp; TIME)]]="","No Confirmation","Received Confirmation")</f>
        <v>Received Confirmation</v>
      </c>
      <c r="P2132" s="6">
        <f ca="1">TODAY()-Table2[[#This Row],[DATE SENT TO POG]]</f>
        <v>46</v>
      </c>
      <c r="Q2132" s="6" t="s">
        <v>5803</v>
      </c>
      <c r="R21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2" s="6" t="str">
        <f>_xlfn.XLOOKUP(Table2[[#This Row],[Adjusted Form '#]],'[2]IN PROGRESS'!$D:$D,'[2]IN PROGRESS'!$M:$M,"Not Found")</f>
        <v>Not Found</v>
      </c>
      <c r="U2132" s="6" t="str">
        <f>_xlfn.XLOOKUP(Table2[[#This Row],[Adjusted Form '#]],[1]COMPLETED!$D:$D,[2]COMPLETED!$M:$M,"Not Found")</f>
        <v>Not Found</v>
      </c>
      <c r="V2132" s="13">
        <f>_xlfn.XLOOKUP(Table2[[#This Row],[Adjusted Form '#]],[2]COMPLETED!$D:$D,[2]COMPLETED!$O:$O,"Not Found")</f>
        <v>45271</v>
      </c>
      <c r="W2132" s="6" t="str">
        <f>_xlfn.XLOOKUP(Table2[[#This Row],[Adjusted Form '#]],[2]BILLED!$D:$D,[2]BILLED!$M:$M,"Not Found")</f>
        <v>Not Found</v>
      </c>
      <c r="X2132" s="13" t="str">
        <f>_xlfn.XLOOKUP(Table2[[#This Row],[Adjusted Form '#]],[2]BILLED!$D:$D,[1]BILLED!$O:$O,"Not Found")</f>
        <v>Not Found</v>
      </c>
      <c r="Y2132" s="13" t="e">
        <f>_xlfn.XLOOKUP(Table2[[#This Row],[Adjusted Form '#]],'[2]REJECTED ORDERS'!$D:$D,'[2]REJECTED ORDERS'!$E:$E)</f>
        <v>#N/A</v>
      </c>
      <c r="Z2132" s="1"/>
      <c r="AA2132" s="1"/>
    </row>
    <row r="2133" spans="1:27" ht="15" customHeight="1" x14ac:dyDescent="0.35">
      <c r="A2133" s="4" t="s">
        <v>3129</v>
      </c>
      <c r="B2133" s="1" t="s">
        <v>390</v>
      </c>
      <c r="C2133" s="11">
        <v>45257</v>
      </c>
      <c r="D2133" s="11" t="s">
        <v>7785</v>
      </c>
      <c r="E2133" s="1" t="s">
        <v>21</v>
      </c>
      <c r="F2133" s="1" t="s">
        <v>7775</v>
      </c>
      <c r="G2133" s="6">
        <f>COUNTIF(F:F,Table2[[#This Row],[Form '#]])</f>
        <v>1</v>
      </c>
      <c r="H2133" s="1" t="s">
        <v>7776</v>
      </c>
      <c r="I2133" s="1" t="s">
        <v>28</v>
      </c>
      <c r="J2133" s="1" t="s">
        <v>69</v>
      </c>
      <c r="K2133" s="1" t="s">
        <v>4011</v>
      </c>
      <c r="L2133" s="1"/>
      <c r="M2133" s="6" t="str">
        <f>IF(Table2[[#This Row],[Corrected Form '#
 (If Duplicated)]]="",Table2[[#This Row],[Form '#]],Table2[[#This Row],[Corrected Form '#
 (If Duplicated)]])</f>
        <v>7818-10429</v>
      </c>
      <c r="N2133" s="1" t="s">
        <v>49</v>
      </c>
      <c r="O2133" s="6" t="str">
        <f>IF(Table2[[#This Row],[POG CONFIRMATION RECEIPT OF ORDER
(DATE &amp; TIME)]]="","No Confirmation","Received Confirmation")</f>
        <v>Received Confirmation</v>
      </c>
      <c r="P2133" s="6">
        <f ca="1">TODAY()-Table2[[#This Row],[DATE SENT TO POG]]</f>
        <v>46</v>
      </c>
      <c r="Q2133" s="6" t="s">
        <v>5803</v>
      </c>
      <c r="R21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3" s="6" t="str">
        <f>_xlfn.XLOOKUP(Table2[[#This Row],[Adjusted Form '#]],'[2]IN PROGRESS'!$D:$D,'[2]IN PROGRESS'!$M:$M,"Not Found")</f>
        <v>Not Found</v>
      </c>
      <c r="U2133" s="6" t="str">
        <f>_xlfn.XLOOKUP(Table2[[#This Row],[Adjusted Form '#]],[1]COMPLETED!$D:$D,[2]COMPLETED!$M:$M,"Not Found")</f>
        <v>Not Found</v>
      </c>
      <c r="V2133" s="13">
        <f>_xlfn.XLOOKUP(Table2[[#This Row],[Adjusted Form '#]],[2]COMPLETED!$D:$D,[2]COMPLETED!$O:$O,"Not Found")</f>
        <v>45265</v>
      </c>
      <c r="W2133" s="6" t="str">
        <f>_xlfn.XLOOKUP(Table2[[#This Row],[Adjusted Form '#]],[2]BILLED!$D:$D,[2]BILLED!$M:$M,"Not Found")</f>
        <v>Not Found</v>
      </c>
      <c r="X2133" s="13" t="str">
        <f>_xlfn.XLOOKUP(Table2[[#This Row],[Adjusted Form '#]],[2]BILLED!$D:$D,[1]BILLED!$O:$O,"Not Found")</f>
        <v>Not Found</v>
      </c>
      <c r="Y2133" s="13" t="e">
        <f>_xlfn.XLOOKUP(Table2[[#This Row],[Adjusted Form '#]],'[2]REJECTED ORDERS'!$D:$D,'[2]REJECTED ORDERS'!$E:$E)</f>
        <v>#N/A</v>
      </c>
      <c r="Z2133" s="1"/>
      <c r="AA2133" s="1"/>
    </row>
    <row r="2134" spans="1:27" ht="15" customHeight="1" x14ac:dyDescent="0.35">
      <c r="A2134" s="4" t="s">
        <v>3130</v>
      </c>
      <c r="B2134" s="1" t="s">
        <v>390</v>
      </c>
      <c r="C2134" s="11">
        <v>45257</v>
      </c>
      <c r="D2134" s="11" t="s">
        <v>7785</v>
      </c>
      <c r="E2134" s="1" t="s">
        <v>21</v>
      </c>
      <c r="F2134" s="1" t="s">
        <v>7777</v>
      </c>
      <c r="G2134" s="6">
        <f>COUNTIF(F:F,Table2[[#This Row],[Form '#]])</f>
        <v>1</v>
      </c>
      <c r="H2134" s="1" t="s">
        <v>7778</v>
      </c>
      <c r="I2134" s="1" t="s">
        <v>177</v>
      </c>
      <c r="J2134" s="1" t="s">
        <v>75</v>
      </c>
      <c r="K2134" s="1" t="s">
        <v>3853</v>
      </c>
      <c r="L2134" s="1"/>
      <c r="M2134" s="6" t="str">
        <f>IF(Table2[[#This Row],[Corrected Form '#
 (If Duplicated)]]="",Table2[[#This Row],[Form '#]],Table2[[#This Row],[Corrected Form '#
 (If Duplicated)]])</f>
        <v>7818-27348</v>
      </c>
      <c r="N2134" s="1" t="s">
        <v>49</v>
      </c>
      <c r="O2134" s="6" t="str">
        <f>IF(Table2[[#This Row],[POG CONFIRMATION RECEIPT OF ORDER
(DATE &amp; TIME)]]="","No Confirmation","Received Confirmation")</f>
        <v>Received Confirmation</v>
      </c>
      <c r="P2134" s="6">
        <f ca="1">TODAY()-Table2[[#This Row],[DATE SENT TO POG]]</f>
        <v>46</v>
      </c>
      <c r="Q2134" s="6" t="s">
        <v>5803</v>
      </c>
      <c r="R21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4" s="6" t="str">
        <f>_xlfn.XLOOKUP(Table2[[#This Row],[Adjusted Form '#]],'[2]IN PROGRESS'!$D:$D,'[2]IN PROGRESS'!$M:$M,"Not Found")</f>
        <v>Not Found</v>
      </c>
      <c r="U2134" s="6" t="str">
        <f>_xlfn.XLOOKUP(Table2[[#This Row],[Adjusted Form '#]],[1]COMPLETED!$D:$D,[2]COMPLETED!$M:$M,"Not Found")</f>
        <v>Not Found</v>
      </c>
      <c r="V2134" s="13">
        <f>_xlfn.XLOOKUP(Table2[[#This Row],[Adjusted Form '#]],[2]COMPLETED!$D:$D,[2]COMPLETED!$O:$O,"Not Found")</f>
        <v>45271</v>
      </c>
      <c r="W2134" s="6" t="str">
        <f>_xlfn.XLOOKUP(Table2[[#This Row],[Adjusted Form '#]],[2]BILLED!$D:$D,[2]BILLED!$M:$M,"Not Found")</f>
        <v>Not Found</v>
      </c>
      <c r="X2134" s="13" t="str">
        <f>_xlfn.XLOOKUP(Table2[[#This Row],[Adjusted Form '#]],[2]BILLED!$D:$D,[1]BILLED!$O:$O,"Not Found")</f>
        <v>Not Found</v>
      </c>
      <c r="Y2134" s="13" t="e">
        <f>_xlfn.XLOOKUP(Table2[[#This Row],[Adjusted Form '#]],'[2]REJECTED ORDERS'!$D:$D,'[2]REJECTED ORDERS'!$E:$E)</f>
        <v>#N/A</v>
      </c>
      <c r="Z2134" s="1"/>
      <c r="AA2134" s="1"/>
    </row>
    <row r="2135" spans="1:27" ht="15" customHeight="1" x14ac:dyDescent="0.35">
      <c r="A2135" s="4" t="s">
        <v>3132</v>
      </c>
      <c r="B2135" s="1" t="s">
        <v>390</v>
      </c>
      <c r="C2135" s="11">
        <v>45257</v>
      </c>
      <c r="D2135" s="11" t="s">
        <v>7785</v>
      </c>
      <c r="E2135" s="1" t="s">
        <v>21</v>
      </c>
      <c r="F2135" s="1" t="s">
        <v>7779</v>
      </c>
      <c r="G2135" s="6">
        <f>COUNTIF(F:F,Table2[[#This Row],[Form '#]])</f>
        <v>1</v>
      </c>
      <c r="H2135" s="1" t="s">
        <v>7780</v>
      </c>
      <c r="I2135" s="1" t="s">
        <v>127</v>
      </c>
      <c r="J2135" s="1" t="s">
        <v>71</v>
      </c>
      <c r="K2135" s="1" t="s">
        <v>3891</v>
      </c>
      <c r="L2135" s="1"/>
      <c r="M2135" s="6" t="str">
        <f>IF(Table2[[#This Row],[Corrected Form '#
 (If Duplicated)]]="",Table2[[#This Row],[Form '#]],Table2[[#This Row],[Corrected Form '#
 (If Duplicated)]])</f>
        <v>7818-30919</v>
      </c>
      <c r="N2135" s="1" t="s">
        <v>49</v>
      </c>
      <c r="O2135" s="6" t="str">
        <f>IF(Table2[[#This Row],[POG CONFIRMATION RECEIPT OF ORDER
(DATE &amp; TIME)]]="","No Confirmation","Received Confirmation")</f>
        <v>Received Confirmation</v>
      </c>
      <c r="P2135" s="6">
        <f ca="1">TODAY()-Table2[[#This Row],[DATE SENT TO POG]]</f>
        <v>46</v>
      </c>
      <c r="Q2135" s="6" t="s">
        <v>5803</v>
      </c>
      <c r="R21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5" s="6" t="str">
        <f>_xlfn.XLOOKUP(Table2[[#This Row],[Adjusted Form '#]],'[2]IN PROGRESS'!$D:$D,'[2]IN PROGRESS'!$M:$M,"Not Found")</f>
        <v>Not Found</v>
      </c>
      <c r="U2135" s="6" t="str">
        <f>_xlfn.XLOOKUP(Table2[[#This Row],[Adjusted Form '#]],[1]COMPLETED!$D:$D,[2]COMPLETED!$M:$M,"Not Found")</f>
        <v>Not Found</v>
      </c>
      <c r="V2135" s="13">
        <f>_xlfn.XLOOKUP(Table2[[#This Row],[Adjusted Form '#]],[2]COMPLETED!$D:$D,[2]COMPLETED!$O:$O,"Not Found")</f>
        <v>45265</v>
      </c>
      <c r="W2135" s="6" t="str">
        <f>_xlfn.XLOOKUP(Table2[[#This Row],[Adjusted Form '#]],[2]BILLED!$D:$D,[2]BILLED!$M:$M,"Not Found")</f>
        <v>Not Found</v>
      </c>
      <c r="X2135" s="13" t="str">
        <f>_xlfn.XLOOKUP(Table2[[#This Row],[Adjusted Form '#]],[2]BILLED!$D:$D,[1]BILLED!$O:$O,"Not Found")</f>
        <v>Not Found</v>
      </c>
      <c r="Y2135" s="13" t="e">
        <f>_xlfn.XLOOKUP(Table2[[#This Row],[Adjusted Form '#]],'[2]REJECTED ORDERS'!$D:$D,'[2]REJECTED ORDERS'!$E:$E)</f>
        <v>#N/A</v>
      </c>
      <c r="Z2135" s="1"/>
      <c r="AA2135" s="1"/>
    </row>
    <row r="2136" spans="1:27" ht="15" customHeight="1" x14ac:dyDescent="0.35">
      <c r="A2136" s="4" t="s">
        <v>3133</v>
      </c>
      <c r="B2136" s="1" t="s">
        <v>390</v>
      </c>
      <c r="C2136" s="11">
        <v>45257</v>
      </c>
      <c r="D2136" s="11" t="s">
        <v>7785</v>
      </c>
      <c r="E2136" s="1" t="s">
        <v>21</v>
      </c>
      <c r="F2136" s="1" t="s">
        <v>7781</v>
      </c>
      <c r="G2136" s="6">
        <f>COUNTIF(F:F,Table2[[#This Row],[Form '#]])</f>
        <v>1</v>
      </c>
      <c r="H2136" s="1" t="s">
        <v>7782</v>
      </c>
      <c r="I2136" s="1" t="s">
        <v>177</v>
      </c>
      <c r="J2136" s="1" t="s">
        <v>75</v>
      </c>
      <c r="K2136" s="1" t="s">
        <v>3853</v>
      </c>
      <c r="L2136" s="1"/>
      <c r="M2136" s="6" t="str">
        <f>IF(Table2[[#This Row],[Corrected Form '#
 (If Duplicated)]]="",Table2[[#This Row],[Form '#]],Table2[[#This Row],[Corrected Form '#
 (If Duplicated)]])</f>
        <v>7818-25305</v>
      </c>
      <c r="N2136" s="1" t="s">
        <v>49</v>
      </c>
      <c r="O2136" s="6" t="str">
        <f>IF(Table2[[#This Row],[POG CONFIRMATION RECEIPT OF ORDER
(DATE &amp; TIME)]]="","No Confirmation","Received Confirmation")</f>
        <v>Received Confirmation</v>
      </c>
      <c r="P2136" s="6">
        <f ca="1">TODAY()-Table2[[#This Row],[DATE SENT TO POG]]</f>
        <v>46</v>
      </c>
      <c r="Q2136" s="6" t="s">
        <v>5803</v>
      </c>
      <c r="R21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6" s="6" t="str">
        <f>_xlfn.XLOOKUP(Table2[[#This Row],[Adjusted Form '#]],'[2]IN PROGRESS'!$D:$D,'[2]IN PROGRESS'!$M:$M,"Not Found")</f>
        <v>Not Found</v>
      </c>
      <c r="U2136" s="6" t="str">
        <f>_xlfn.XLOOKUP(Table2[[#This Row],[Adjusted Form '#]],[1]COMPLETED!$D:$D,[2]COMPLETED!$M:$M,"Not Found")</f>
        <v>Not Found</v>
      </c>
      <c r="V2136" s="13">
        <f>_xlfn.XLOOKUP(Table2[[#This Row],[Adjusted Form '#]],[2]COMPLETED!$D:$D,[2]COMPLETED!$O:$O,"Not Found")</f>
        <v>45271</v>
      </c>
      <c r="W2136" s="6" t="str">
        <f>_xlfn.XLOOKUP(Table2[[#This Row],[Adjusted Form '#]],[2]BILLED!$D:$D,[2]BILLED!$M:$M,"Not Found")</f>
        <v>Not Found</v>
      </c>
      <c r="X2136" s="13" t="str">
        <f>_xlfn.XLOOKUP(Table2[[#This Row],[Adjusted Form '#]],[2]BILLED!$D:$D,[1]BILLED!$O:$O,"Not Found")</f>
        <v>Not Found</v>
      </c>
      <c r="Y2136" s="13" t="e">
        <f>_xlfn.XLOOKUP(Table2[[#This Row],[Adjusted Form '#]],'[2]REJECTED ORDERS'!$D:$D,'[2]REJECTED ORDERS'!$E:$E)</f>
        <v>#N/A</v>
      </c>
      <c r="Z2136" s="1"/>
      <c r="AA2136" s="1"/>
    </row>
    <row r="2137" spans="1:27" ht="15" customHeight="1" x14ac:dyDescent="0.35">
      <c r="A2137" s="4" t="s">
        <v>3134</v>
      </c>
      <c r="B2137" s="1" t="s">
        <v>1663</v>
      </c>
      <c r="C2137" s="11">
        <v>45257</v>
      </c>
      <c r="D2137" s="11" t="s">
        <v>7784</v>
      </c>
      <c r="E2137" s="1" t="s">
        <v>73</v>
      </c>
      <c r="F2137" s="1" t="s">
        <v>7783</v>
      </c>
      <c r="G2137" s="6">
        <f>COUNTIF(F:F,Table2[[#This Row],[Form '#]])</f>
        <v>1</v>
      </c>
      <c r="H2137" s="1" t="s">
        <v>3627</v>
      </c>
      <c r="I2137" s="1" t="s">
        <v>127</v>
      </c>
      <c r="J2137" s="1" t="s">
        <v>76</v>
      </c>
      <c r="K2137" s="1" t="s">
        <v>3891</v>
      </c>
      <c r="L2137" s="1"/>
      <c r="M2137" s="6" t="str">
        <f>IF(Table2[[#This Row],[Corrected Form '#
 (If Duplicated)]]="",Table2[[#This Row],[Form '#]],Table2[[#This Row],[Corrected Form '#
 (If Duplicated)]])</f>
        <v>7823-02668</v>
      </c>
      <c r="N2137" s="1" t="s">
        <v>49</v>
      </c>
      <c r="O2137" s="6" t="str">
        <f>IF(Table2[[#This Row],[POG CONFIRMATION RECEIPT OF ORDER
(DATE &amp; TIME)]]="","No Confirmation","Received Confirmation")</f>
        <v>Received Confirmation</v>
      </c>
      <c r="P2137" s="6">
        <f ca="1">TODAY()-Table2[[#This Row],[DATE SENT TO POG]]</f>
        <v>46</v>
      </c>
      <c r="Q2137" s="6" t="s">
        <v>5803</v>
      </c>
      <c r="R21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7" s="6" t="str">
        <f>_xlfn.XLOOKUP(Table2[[#This Row],[Adjusted Form '#]],'[2]IN PROGRESS'!$D:$D,'[2]IN PROGRESS'!$M:$M,"Not Found")</f>
        <v>Not Found</v>
      </c>
      <c r="U2137" s="6" t="str">
        <f>_xlfn.XLOOKUP(Table2[[#This Row],[Adjusted Form '#]],[1]COMPLETED!$D:$D,[2]COMPLETED!$M:$M,"Not Found")</f>
        <v>Not Found</v>
      </c>
      <c r="V2137" s="13">
        <f>_xlfn.XLOOKUP(Table2[[#This Row],[Adjusted Form '#]],[2]COMPLETED!$D:$D,[2]COMPLETED!$O:$O,"Not Found")</f>
        <v>45265</v>
      </c>
      <c r="W2137" s="6" t="str">
        <f>_xlfn.XLOOKUP(Table2[[#This Row],[Adjusted Form '#]],[2]BILLED!$D:$D,[2]BILLED!$M:$M,"Not Found")</f>
        <v>Not Found</v>
      </c>
      <c r="X2137" s="13" t="str">
        <f>_xlfn.XLOOKUP(Table2[[#This Row],[Adjusted Form '#]],[2]BILLED!$D:$D,[1]BILLED!$O:$O,"Not Found")</f>
        <v>Not Found</v>
      </c>
      <c r="Y2137" s="13" t="e">
        <f>_xlfn.XLOOKUP(Table2[[#This Row],[Adjusted Form '#]],'[2]REJECTED ORDERS'!$D:$D,'[2]REJECTED ORDERS'!$E:$E)</f>
        <v>#N/A</v>
      </c>
      <c r="Z2137" s="1"/>
      <c r="AA2137" s="1"/>
    </row>
    <row r="2138" spans="1:27" ht="15" customHeight="1" x14ac:dyDescent="0.35">
      <c r="A2138" s="4" t="s">
        <v>3135</v>
      </c>
      <c r="B2138" s="1" t="s">
        <v>1798</v>
      </c>
      <c r="C2138" s="11">
        <v>45257</v>
      </c>
      <c r="D2138" s="11" t="s">
        <v>7792</v>
      </c>
      <c r="E2138" s="1" t="s">
        <v>64</v>
      </c>
      <c r="F2138" s="1" t="s">
        <v>7786</v>
      </c>
      <c r="G2138" s="6">
        <f>COUNTIF(F:F,Table2[[#This Row],[Form '#]])</f>
        <v>1</v>
      </c>
      <c r="H2138" s="1" t="s">
        <v>1251</v>
      </c>
      <c r="I2138" s="1" t="s">
        <v>3852</v>
      </c>
      <c r="J2138" s="1" t="s">
        <v>80</v>
      </c>
      <c r="K2138" s="1" t="s">
        <v>3853</v>
      </c>
      <c r="L2138" s="1"/>
      <c r="M2138" s="6" t="str">
        <f>IF(Table2[[#This Row],[Corrected Form '#
 (If Duplicated)]]="",Table2[[#This Row],[Form '#]],Table2[[#This Row],[Corrected Form '#
 (If Duplicated)]])</f>
        <v>7824-00478</v>
      </c>
      <c r="N2138" s="1" t="s">
        <v>49</v>
      </c>
      <c r="O2138" s="6" t="str">
        <f>IF(Table2[[#This Row],[POG CONFIRMATION RECEIPT OF ORDER
(DATE &amp; TIME)]]="","No Confirmation","Received Confirmation")</f>
        <v>Received Confirmation</v>
      </c>
      <c r="P2138" s="6">
        <f ca="1">TODAY()-Table2[[#This Row],[DATE SENT TO POG]]</f>
        <v>46</v>
      </c>
      <c r="Q2138" s="6" t="s">
        <v>5803</v>
      </c>
      <c r="R21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8" s="6" t="str">
        <f>_xlfn.XLOOKUP(Table2[[#This Row],[Adjusted Form '#]],'[2]IN PROGRESS'!$D:$D,'[2]IN PROGRESS'!$M:$M,"Not Found")</f>
        <v>Not Found</v>
      </c>
      <c r="U2138" s="6" t="str">
        <f>_xlfn.XLOOKUP(Table2[[#This Row],[Adjusted Form '#]],[1]COMPLETED!$D:$D,[2]COMPLETED!$M:$M,"Not Found")</f>
        <v>Not Found</v>
      </c>
      <c r="V2138" s="13">
        <f>_xlfn.XLOOKUP(Table2[[#This Row],[Adjusted Form '#]],[2]COMPLETED!$D:$D,[2]COMPLETED!$O:$O,"Not Found")</f>
        <v>45271</v>
      </c>
      <c r="W2138" s="6" t="str">
        <f>_xlfn.XLOOKUP(Table2[[#This Row],[Adjusted Form '#]],[2]BILLED!$D:$D,[2]BILLED!$M:$M,"Not Found")</f>
        <v>Not Found</v>
      </c>
      <c r="X2138" s="13" t="str">
        <f>_xlfn.XLOOKUP(Table2[[#This Row],[Adjusted Form '#]],[2]BILLED!$D:$D,[1]BILLED!$O:$O,"Not Found")</f>
        <v>Not Found</v>
      </c>
      <c r="Y2138" s="13" t="e">
        <f>_xlfn.XLOOKUP(Table2[[#This Row],[Adjusted Form '#]],'[2]REJECTED ORDERS'!$D:$D,'[2]REJECTED ORDERS'!$E:$E)</f>
        <v>#N/A</v>
      </c>
      <c r="Z2138" s="1"/>
      <c r="AA2138" s="1"/>
    </row>
    <row r="2139" spans="1:27" ht="15" customHeight="1" x14ac:dyDescent="0.35">
      <c r="A2139" s="4" t="s">
        <v>3136</v>
      </c>
      <c r="B2139" s="1" t="s">
        <v>1798</v>
      </c>
      <c r="C2139" s="11">
        <v>45257</v>
      </c>
      <c r="D2139" s="11" t="s">
        <v>7792</v>
      </c>
      <c r="E2139" s="1" t="s">
        <v>64</v>
      </c>
      <c r="F2139" s="1" t="s">
        <v>7787</v>
      </c>
      <c r="G2139" s="6">
        <f>COUNTIF(F:F,Table2[[#This Row],[Form '#]])</f>
        <v>1</v>
      </c>
      <c r="H2139" s="1" t="s">
        <v>7788</v>
      </c>
      <c r="I2139" s="1" t="s">
        <v>3864</v>
      </c>
      <c r="J2139" s="1" t="s">
        <v>78</v>
      </c>
      <c r="K2139" s="1" t="s">
        <v>3879</v>
      </c>
      <c r="L2139" s="1"/>
      <c r="M2139" s="6" t="str">
        <f>IF(Table2[[#This Row],[Corrected Form '#
 (If Duplicated)]]="",Table2[[#This Row],[Form '#]],Table2[[#This Row],[Corrected Form '#
 (If Duplicated)]])</f>
        <v>7824-00466</v>
      </c>
      <c r="N2139" s="1" t="s">
        <v>49</v>
      </c>
      <c r="O2139" s="6" t="str">
        <f>IF(Table2[[#This Row],[POG CONFIRMATION RECEIPT OF ORDER
(DATE &amp; TIME)]]="","No Confirmation","Received Confirmation")</f>
        <v>Received Confirmation</v>
      </c>
      <c r="P2139" s="6">
        <f ca="1">TODAY()-Table2[[#This Row],[DATE SENT TO POG]]</f>
        <v>46</v>
      </c>
      <c r="Q2139" s="6" t="s">
        <v>5803</v>
      </c>
      <c r="R21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3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39" s="6" t="str">
        <f>_xlfn.XLOOKUP(Table2[[#This Row],[Adjusted Form '#]],'[2]IN PROGRESS'!$D:$D,'[2]IN PROGRESS'!$M:$M,"Not Found")</f>
        <v>Not Found</v>
      </c>
      <c r="U2139" s="6" t="str">
        <f>_xlfn.XLOOKUP(Table2[[#This Row],[Adjusted Form '#]],[1]COMPLETED!$D:$D,[2]COMPLETED!$M:$M,"Not Found")</f>
        <v>Not Found</v>
      </c>
      <c r="V2139" s="13">
        <f>_xlfn.XLOOKUP(Table2[[#This Row],[Adjusted Form '#]],[2]COMPLETED!$D:$D,[2]COMPLETED!$O:$O,"Not Found")</f>
        <v>45265</v>
      </c>
      <c r="W2139" s="6" t="str">
        <f>_xlfn.XLOOKUP(Table2[[#This Row],[Adjusted Form '#]],[2]BILLED!$D:$D,[2]BILLED!$M:$M,"Not Found")</f>
        <v>Not Found</v>
      </c>
      <c r="X2139" s="13" t="str">
        <f>_xlfn.XLOOKUP(Table2[[#This Row],[Adjusted Form '#]],[2]BILLED!$D:$D,[1]BILLED!$O:$O,"Not Found")</f>
        <v>Not Found</v>
      </c>
      <c r="Y2139" s="13" t="e">
        <f>_xlfn.XLOOKUP(Table2[[#This Row],[Adjusted Form '#]],'[2]REJECTED ORDERS'!$D:$D,'[2]REJECTED ORDERS'!$E:$E)</f>
        <v>#N/A</v>
      </c>
      <c r="Z2139" s="1"/>
      <c r="AA2139" s="1"/>
    </row>
    <row r="2140" spans="1:27" ht="15" customHeight="1" x14ac:dyDescent="0.35">
      <c r="A2140" s="4" t="s">
        <v>3137</v>
      </c>
      <c r="B2140" s="1" t="s">
        <v>1798</v>
      </c>
      <c r="C2140" s="11">
        <v>45257</v>
      </c>
      <c r="D2140" s="11" t="s">
        <v>7792</v>
      </c>
      <c r="E2140" s="1" t="s">
        <v>64</v>
      </c>
      <c r="F2140" s="1" t="s">
        <v>7789</v>
      </c>
      <c r="G2140" s="6">
        <f>COUNTIF(F:F,Table2[[#This Row],[Form '#]])</f>
        <v>1</v>
      </c>
      <c r="H2140" s="1" t="s">
        <v>3406</v>
      </c>
      <c r="I2140" s="1" t="s">
        <v>3852</v>
      </c>
      <c r="J2140" s="1" t="s">
        <v>80</v>
      </c>
      <c r="K2140" s="1" t="s">
        <v>4011</v>
      </c>
      <c r="L2140" s="1"/>
      <c r="M2140" s="6" t="str">
        <f>IF(Table2[[#This Row],[Corrected Form '#
 (If Duplicated)]]="",Table2[[#This Row],[Form '#]],Table2[[#This Row],[Corrected Form '#
 (If Duplicated)]])</f>
        <v>7824-00470</v>
      </c>
      <c r="N2140" s="1" t="s">
        <v>49</v>
      </c>
      <c r="O2140" s="6" t="str">
        <f>IF(Table2[[#This Row],[POG CONFIRMATION RECEIPT OF ORDER
(DATE &amp; TIME)]]="","No Confirmation","Received Confirmation")</f>
        <v>Received Confirmation</v>
      </c>
      <c r="P2140" s="6">
        <f ca="1">TODAY()-Table2[[#This Row],[DATE SENT TO POG]]</f>
        <v>46</v>
      </c>
      <c r="Q2140" s="6" t="s">
        <v>5803</v>
      </c>
      <c r="R21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0" s="6" t="str">
        <f>_xlfn.XLOOKUP(Table2[[#This Row],[Adjusted Form '#]],'[2]IN PROGRESS'!$D:$D,'[2]IN PROGRESS'!$M:$M,"Not Found")</f>
        <v>Not Found</v>
      </c>
      <c r="U2140" s="6" t="str">
        <f>_xlfn.XLOOKUP(Table2[[#This Row],[Adjusted Form '#]],[1]COMPLETED!$D:$D,[2]COMPLETED!$M:$M,"Not Found")</f>
        <v>Not Found</v>
      </c>
      <c r="V2140" s="13">
        <f>_xlfn.XLOOKUP(Table2[[#This Row],[Adjusted Form '#]],[2]COMPLETED!$D:$D,[2]COMPLETED!$O:$O,"Not Found")</f>
        <v>45265</v>
      </c>
      <c r="W2140" s="6" t="str">
        <f>_xlfn.XLOOKUP(Table2[[#This Row],[Adjusted Form '#]],[2]BILLED!$D:$D,[2]BILLED!$M:$M,"Not Found")</f>
        <v>Not Found</v>
      </c>
      <c r="X2140" s="13" t="str">
        <f>_xlfn.XLOOKUP(Table2[[#This Row],[Adjusted Form '#]],[2]BILLED!$D:$D,[1]BILLED!$O:$O,"Not Found")</f>
        <v>Not Found</v>
      </c>
      <c r="Y2140" s="13" t="e">
        <f>_xlfn.XLOOKUP(Table2[[#This Row],[Adjusted Form '#]],'[2]REJECTED ORDERS'!$D:$D,'[2]REJECTED ORDERS'!$E:$E)</f>
        <v>#N/A</v>
      </c>
      <c r="Z2140" s="1"/>
      <c r="AA2140" s="1"/>
    </row>
    <row r="2141" spans="1:27" ht="15" customHeight="1" x14ac:dyDescent="0.35">
      <c r="A2141" s="4" t="s">
        <v>3138</v>
      </c>
      <c r="B2141" s="1" t="s">
        <v>1798</v>
      </c>
      <c r="C2141" s="11">
        <v>45257</v>
      </c>
      <c r="D2141" s="11" t="s">
        <v>7792</v>
      </c>
      <c r="E2141" s="1" t="s">
        <v>64</v>
      </c>
      <c r="F2141" s="1" t="s">
        <v>7790</v>
      </c>
      <c r="G2141" s="6">
        <f>COUNTIF(F:F,Table2[[#This Row],[Form '#]])</f>
        <v>1</v>
      </c>
      <c r="H2141" s="1" t="s">
        <v>7791</v>
      </c>
      <c r="I2141" s="1" t="s">
        <v>3864</v>
      </c>
      <c r="J2141" s="1" t="s">
        <v>78</v>
      </c>
      <c r="K2141" s="1" t="s">
        <v>3879</v>
      </c>
      <c r="L2141" s="1"/>
      <c r="M2141" s="6" t="str">
        <f>IF(Table2[[#This Row],[Corrected Form '#
 (If Duplicated)]]="",Table2[[#This Row],[Form '#]],Table2[[#This Row],[Corrected Form '#
 (If Duplicated)]])</f>
        <v>7824-00464</v>
      </c>
      <c r="N2141" s="1" t="s">
        <v>49</v>
      </c>
      <c r="O2141" s="6" t="str">
        <f>IF(Table2[[#This Row],[POG CONFIRMATION RECEIPT OF ORDER
(DATE &amp; TIME)]]="","No Confirmation","Received Confirmation")</f>
        <v>Received Confirmation</v>
      </c>
      <c r="P2141" s="6">
        <f ca="1">TODAY()-Table2[[#This Row],[DATE SENT TO POG]]</f>
        <v>46</v>
      </c>
      <c r="Q2141" s="6" t="s">
        <v>5803</v>
      </c>
      <c r="R21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1" s="6" t="str">
        <f>_xlfn.XLOOKUP(Table2[[#This Row],[Adjusted Form '#]],'[2]IN PROGRESS'!$D:$D,'[2]IN PROGRESS'!$M:$M,"Not Found")</f>
        <v>Not Found</v>
      </c>
      <c r="U2141" s="6" t="str">
        <f>_xlfn.XLOOKUP(Table2[[#This Row],[Adjusted Form '#]],[1]COMPLETED!$D:$D,[2]COMPLETED!$M:$M,"Not Found")</f>
        <v>Not Found</v>
      </c>
      <c r="V2141" s="13">
        <f>_xlfn.XLOOKUP(Table2[[#This Row],[Adjusted Form '#]],[2]COMPLETED!$D:$D,[2]COMPLETED!$O:$O,"Not Found")</f>
        <v>45272</v>
      </c>
      <c r="W2141" s="6" t="str">
        <f>_xlfn.XLOOKUP(Table2[[#This Row],[Adjusted Form '#]],[2]BILLED!$D:$D,[2]BILLED!$M:$M,"Not Found")</f>
        <v>Not Found</v>
      </c>
      <c r="X2141" s="13" t="str">
        <f>_xlfn.XLOOKUP(Table2[[#This Row],[Adjusted Form '#]],[2]BILLED!$D:$D,[1]BILLED!$O:$O,"Not Found")</f>
        <v>Not Found</v>
      </c>
      <c r="Y2141" s="13" t="e">
        <f>_xlfn.XLOOKUP(Table2[[#This Row],[Adjusted Form '#]],'[2]REJECTED ORDERS'!$D:$D,'[2]REJECTED ORDERS'!$E:$E)</f>
        <v>#N/A</v>
      </c>
      <c r="Z2141" s="1"/>
      <c r="AA2141" s="1"/>
    </row>
    <row r="2142" spans="1:27" ht="15" customHeight="1" x14ac:dyDescent="0.35">
      <c r="A2142" s="4" t="s">
        <v>3139</v>
      </c>
      <c r="B2142" s="1" t="s">
        <v>7795</v>
      </c>
      <c r="C2142" s="11">
        <v>45257</v>
      </c>
      <c r="D2142" s="11" t="s">
        <v>7802</v>
      </c>
      <c r="E2142" s="1" t="s">
        <v>21</v>
      </c>
      <c r="F2142" s="1" t="s">
        <v>7796</v>
      </c>
      <c r="G2142" s="6">
        <f>COUNTIF(F:F,Table2[[#This Row],[Form '#]])</f>
        <v>1</v>
      </c>
      <c r="H2142" s="1" t="s">
        <v>7797</v>
      </c>
      <c r="I2142" s="1" t="s">
        <v>3852</v>
      </c>
      <c r="J2142" s="1" t="s">
        <v>80</v>
      </c>
      <c r="K2142" s="1" t="s">
        <v>3853</v>
      </c>
      <c r="L2142" s="1"/>
      <c r="M2142" s="6" t="str">
        <f>IF(Table2[[#This Row],[Corrected Form '#
 (If Duplicated)]]="",Table2[[#This Row],[Form '#]],Table2[[#This Row],[Corrected Form '#
 (If Duplicated)]])</f>
        <v>7818-26894</v>
      </c>
      <c r="N2142" s="1" t="s">
        <v>49</v>
      </c>
      <c r="O2142" s="6" t="str">
        <f>IF(Table2[[#This Row],[POG CONFIRMATION RECEIPT OF ORDER
(DATE &amp; TIME)]]="","No Confirmation","Received Confirmation")</f>
        <v>Received Confirmation</v>
      </c>
      <c r="P2142" s="6">
        <f ca="1">TODAY()-Table2[[#This Row],[DATE SENT TO POG]]</f>
        <v>46</v>
      </c>
      <c r="Q2142" s="6" t="s">
        <v>5803</v>
      </c>
      <c r="R21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2" s="6" t="str">
        <f>_xlfn.XLOOKUP(Table2[[#This Row],[Adjusted Form '#]],'[2]IN PROGRESS'!$D:$D,'[2]IN PROGRESS'!$M:$M,"Not Found")</f>
        <v>Not Found</v>
      </c>
      <c r="U2142" s="6" t="str">
        <f>_xlfn.XLOOKUP(Table2[[#This Row],[Adjusted Form '#]],[1]COMPLETED!$D:$D,[2]COMPLETED!$M:$M,"Not Found")</f>
        <v>Not Found</v>
      </c>
      <c r="V2142" s="13">
        <f>_xlfn.XLOOKUP(Table2[[#This Row],[Adjusted Form '#]],[2]COMPLETED!$D:$D,[2]COMPLETED!$O:$O,"Not Found")</f>
        <v>45271</v>
      </c>
      <c r="W2142" s="6" t="str">
        <f>_xlfn.XLOOKUP(Table2[[#This Row],[Adjusted Form '#]],[2]BILLED!$D:$D,[2]BILLED!$M:$M,"Not Found")</f>
        <v>Not Found</v>
      </c>
      <c r="X2142" s="13" t="str">
        <f>_xlfn.XLOOKUP(Table2[[#This Row],[Adjusted Form '#]],[2]BILLED!$D:$D,[1]BILLED!$O:$O,"Not Found")</f>
        <v>Not Found</v>
      </c>
      <c r="Y2142" s="13" t="e">
        <f>_xlfn.XLOOKUP(Table2[[#This Row],[Adjusted Form '#]],'[2]REJECTED ORDERS'!$D:$D,'[2]REJECTED ORDERS'!$E:$E)</f>
        <v>#N/A</v>
      </c>
      <c r="Z2142" s="1"/>
      <c r="AA2142" s="1"/>
    </row>
    <row r="2143" spans="1:27" ht="15" customHeight="1" x14ac:dyDescent="0.35">
      <c r="A2143" s="4" t="s">
        <v>3140</v>
      </c>
      <c r="B2143" s="1" t="s">
        <v>7795</v>
      </c>
      <c r="C2143" s="11">
        <v>45257</v>
      </c>
      <c r="D2143" s="11" t="s">
        <v>7802</v>
      </c>
      <c r="E2143" s="1" t="s">
        <v>21</v>
      </c>
      <c r="F2143" s="1" t="s">
        <v>7798</v>
      </c>
      <c r="G2143" s="6">
        <f>COUNTIF(F:F,Table2[[#This Row],[Form '#]])</f>
        <v>1</v>
      </c>
      <c r="H2143" s="1" t="s">
        <v>7799</v>
      </c>
      <c r="I2143" s="1" t="s">
        <v>127</v>
      </c>
      <c r="J2143" s="1" t="s">
        <v>76</v>
      </c>
      <c r="K2143" s="1" t="s">
        <v>3891</v>
      </c>
      <c r="L2143" s="1"/>
      <c r="M2143" s="6" t="str">
        <f>IF(Table2[[#This Row],[Corrected Form '#
 (If Duplicated)]]="",Table2[[#This Row],[Form '#]],Table2[[#This Row],[Corrected Form '#
 (If Duplicated)]])</f>
        <v>7818-15290</v>
      </c>
      <c r="N2143" s="1" t="s">
        <v>49</v>
      </c>
      <c r="O2143" s="6" t="str">
        <f>IF(Table2[[#This Row],[POG CONFIRMATION RECEIPT OF ORDER
(DATE &amp; TIME)]]="","No Confirmation","Received Confirmation")</f>
        <v>Received Confirmation</v>
      </c>
      <c r="P2143" s="6">
        <f ca="1">TODAY()-Table2[[#This Row],[DATE SENT TO POG]]</f>
        <v>46</v>
      </c>
      <c r="Q2143" s="6" t="s">
        <v>5803</v>
      </c>
      <c r="R21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3" s="6" t="str">
        <f>_xlfn.XLOOKUP(Table2[[#This Row],[Adjusted Form '#]],'[2]IN PROGRESS'!$D:$D,'[2]IN PROGRESS'!$M:$M,"Not Found")</f>
        <v>Not Found</v>
      </c>
      <c r="U2143" s="6" t="str">
        <f>_xlfn.XLOOKUP(Table2[[#This Row],[Adjusted Form '#]],[1]COMPLETED!$D:$D,[2]COMPLETED!$M:$M,"Not Found")</f>
        <v>Not Found</v>
      </c>
      <c r="V2143" s="13">
        <f>_xlfn.XLOOKUP(Table2[[#This Row],[Adjusted Form '#]],[2]COMPLETED!$D:$D,[2]COMPLETED!$O:$O,"Not Found")</f>
        <v>45264</v>
      </c>
      <c r="W2143" s="6" t="str">
        <f>_xlfn.XLOOKUP(Table2[[#This Row],[Adjusted Form '#]],[2]BILLED!$D:$D,[2]BILLED!$M:$M,"Not Found")</f>
        <v>Not Found</v>
      </c>
      <c r="X2143" s="13" t="str">
        <f>_xlfn.XLOOKUP(Table2[[#This Row],[Adjusted Form '#]],[2]BILLED!$D:$D,[1]BILLED!$O:$O,"Not Found")</f>
        <v>Not Found</v>
      </c>
      <c r="Y2143" s="13" t="e">
        <f>_xlfn.XLOOKUP(Table2[[#This Row],[Adjusted Form '#]],'[2]REJECTED ORDERS'!$D:$D,'[2]REJECTED ORDERS'!$E:$E)</f>
        <v>#N/A</v>
      </c>
      <c r="Z2143" s="1"/>
      <c r="AA2143" s="1"/>
    </row>
    <row r="2144" spans="1:27" ht="15" customHeight="1" x14ac:dyDescent="0.35">
      <c r="A2144" s="4" t="s">
        <v>3141</v>
      </c>
      <c r="B2144" s="1" t="s">
        <v>7795</v>
      </c>
      <c r="C2144" s="11">
        <v>45257</v>
      </c>
      <c r="D2144" s="11" t="s">
        <v>7802</v>
      </c>
      <c r="E2144" s="1" t="s">
        <v>21</v>
      </c>
      <c r="F2144" s="1" t="s">
        <v>7800</v>
      </c>
      <c r="G2144" s="6">
        <f>COUNTIF(F:F,Table2[[#This Row],[Form '#]])</f>
        <v>1</v>
      </c>
      <c r="H2144" s="1" t="s">
        <v>3618</v>
      </c>
      <c r="I2144" s="1" t="s">
        <v>3852</v>
      </c>
      <c r="J2144" s="1" t="s">
        <v>80</v>
      </c>
      <c r="K2144" s="1" t="s">
        <v>3853</v>
      </c>
      <c r="L2144" s="1"/>
      <c r="M2144" s="6" t="str">
        <f>IF(Table2[[#This Row],[Corrected Form '#
 (If Duplicated)]]="",Table2[[#This Row],[Form '#]],Table2[[#This Row],[Corrected Form '#
 (If Duplicated)]])</f>
        <v>7818-28463</v>
      </c>
      <c r="N2144" s="1" t="s">
        <v>49</v>
      </c>
      <c r="O2144" s="6" t="str">
        <f>IF(Table2[[#This Row],[POG CONFIRMATION RECEIPT OF ORDER
(DATE &amp; TIME)]]="","No Confirmation","Received Confirmation")</f>
        <v>Received Confirmation</v>
      </c>
      <c r="P2144" s="6">
        <f ca="1">TODAY()-Table2[[#This Row],[DATE SENT TO POG]]</f>
        <v>46</v>
      </c>
      <c r="Q2144" s="6" t="s">
        <v>5803</v>
      </c>
      <c r="R21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4" s="6" t="str">
        <f>_xlfn.XLOOKUP(Table2[[#This Row],[Adjusted Form '#]],'[2]IN PROGRESS'!$D:$D,'[2]IN PROGRESS'!$M:$M,"Not Found")</f>
        <v>Not Found</v>
      </c>
      <c r="U2144" s="6" t="str">
        <f>_xlfn.XLOOKUP(Table2[[#This Row],[Adjusted Form '#]],[1]COMPLETED!$D:$D,[2]COMPLETED!$M:$M,"Not Found")</f>
        <v>Not Found</v>
      </c>
      <c r="V2144" s="13">
        <f>_xlfn.XLOOKUP(Table2[[#This Row],[Adjusted Form '#]],[2]COMPLETED!$D:$D,[2]COMPLETED!$O:$O,"Not Found")</f>
        <v>45270</v>
      </c>
      <c r="W2144" s="6" t="str">
        <f>_xlfn.XLOOKUP(Table2[[#This Row],[Adjusted Form '#]],[2]BILLED!$D:$D,[2]BILLED!$M:$M,"Not Found")</f>
        <v>Not Found</v>
      </c>
      <c r="X2144" s="13" t="str">
        <f>_xlfn.XLOOKUP(Table2[[#This Row],[Adjusted Form '#]],[2]BILLED!$D:$D,[1]BILLED!$O:$O,"Not Found")</f>
        <v>Not Found</v>
      </c>
      <c r="Y2144" s="13" t="e">
        <f>_xlfn.XLOOKUP(Table2[[#This Row],[Adjusted Form '#]],'[2]REJECTED ORDERS'!$D:$D,'[2]REJECTED ORDERS'!$E:$E)</f>
        <v>#N/A</v>
      </c>
      <c r="Z2144" s="1"/>
      <c r="AA2144" s="1"/>
    </row>
    <row r="2145" spans="1:27" ht="15" customHeight="1" x14ac:dyDescent="0.35">
      <c r="A2145" s="4" t="s">
        <v>3143</v>
      </c>
      <c r="B2145" s="1" t="s">
        <v>3489</v>
      </c>
      <c r="C2145" s="11">
        <v>45258</v>
      </c>
      <c r="D2145" s="11" t="s">
        <v>7806</v>
      </c>
      <c r="E2145" s="1" t="s">
        <v>73</v>
      </c>
      <c r="F2145" s="1" t="s">
        <v>7803</v>
      </c>
      <c r="G2145" s="6">
        <f>COUNTIF(F:F,Table2[[#This Row],[Form '#]])</f>
        <v>1</v>
      </c>
      <c r="H2145" s="1" t="s">
        <v>7804</v>
      </c>
      <c r="I2145" s="1" t="s">
        <v>177</v>
      </c>
      <c r="J2145" s="1" t="s">
        <v>75</v>
      </c>
      <c r="K2145" s="1" t="s">
        <v>3853</v>
      </c>
      <c r="L2145" s="1"/>
      <c r="M2145" s="6" t="str">
        <f>IF(Table2[[#This Row],[Corrected Form '#
 (If Duplicated)]]="",Table2[[#This Row],[Form '#]],Table2[[#This Row],[Corrected Form '#
 (If Duplicated)]])</f>
        <v>7823-03347</v>
      </c>
      <c r="N2145" s="1" t="s">
        <v>49</v>
      </c>
      <c r="O2145" s="6" t="str">
        <f>IF(Table2[[#This Row],[POG CONFIRMATION RECEIPT OF ORDER
(DATE &amp; TIME)]]="","No Confirmation","Received Confirmation")</f>
        <v>Received Confirmation</v>
      </c>
      <c r="P2145" s="6">
        <f ca="1">TODAY()-Table2[[#This Row],[DATE SENT TO POG]]</f>
        <v>45</v>
      </c>
      <c r="Q2145" s="6" t="s">
        <v>5803</v>
      </c>
      <c r="R21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5" s="6" t="str">
        <f>_xlfn.XLOOKUP(Table2[[#This Row],[Adjusted Form '#]],'[2]IN PROGRESS'!$D:$D,'[2]IN PROGRESS'!$M:$M,"Not Found")</f>
        <v>Not Found</v>
      </c>
      <c r="U2145" s="6" t="str">
        <f>_xlfn.XLOOKUP(Table2[[#This Row],[Adjusted Form '#]],[1]COMPLETED!$D:$D,[2]COMPLETED!$M:$M,"Not Found")</f>
        <v>Not Found</v>
      </c>
      <c r="V2145" s="13">
        <f>_xlfn.XLOOKUP(Table2[[#This Row],[Adjusted Form '#]],[2]COMPLETED!$D:$D,[2]COMPLETED!$O:$O,"Not Found")</f>
        <v>45271</v>
      </c>
      <c r="W2145" s="6" t="str">
        <f>_xlfn.XLOOKUP(Table2[[#This Row],[Adjusted Form '#]],[2]BILLED!$D:$D,[2]BILLED!$M:$M,"Not Found")</f>
        <v>Not Found</v>
      </c>
      <c r="X2145" s="13" t="str">
        <f>_xlfn.XLOOKUP(Table2[[#This Row],[Adjusted Form '#]],[2]BILLED!$D:$D,[1]BILLED!$O:$O,"Not Found")</f>
        <v>Not Found</v>
      </c>
      <c r="Y2145" s="13" t="e">
        <f>_xlfn.XLOOKUP(Table2[[#This Row],[Adjusted Form '#]],'[2]REJECTED ORDERS'!$D:$D,'[2]REJECTED ORDERS'!$E:$E)</f>
        <v>#N/A</v>
      </c>
      <c r="Z2145" s="1"/>
      <c r="AA2145" s="1"/>
    </row>
    <row r="2146" spans="1:27" ht="15" customHeight="1" x14ac:dyDescent="0.35">
      <c r="A2146" s="4" t="s">
        <v>3144</v>
      </c>
      <c r="B2146" s="1" t="s">
        <v>7019</v>
      </c>
      <c r="C2146" s="11">
        <v>45258</v>
      </c>
      <c r="D2146" s="11" t="s">
        <v>7807</v>
      </c>
      <c r="E2146" s="1" t="s">
        <v>191</v>
      </c>
      <c r="F2146" s="1" t="s">
        <v>7805</v>
      </c>
      <c r="G2146" s="6">
        <f>COUNTIF(F:F,Table2[[#This Row],[Form '#]])</f>
        <v>1</v>
      </c>
      <c r="H2146" s="1" t="s">
        <v>3654</v>
      </c>
      <c r="I2146" s="1" t="s">
        <v>3864</v>
      </c>
      <c r="J2146" s="1" t="s">
        <v>78</v>
      </c>
      <c r="K2146" s="1" t="s">
        <v>3879</v>
      </c>
      <c r="L2146" s="1"/>
      <c r="M2146" s="6" t="str">
        <f>IF(Table2[[#This Row],[Corrected Form '#
 (If Duplicated)]]="",Table2[[#This Row],[Form '#]],Table2[[#This Row],[Corrected Form '#
 (If Duplicated)]])</f>
        <v>7812-04513</v>
      </c>
      <c r="N2146" s="1" t="s">
        <v>49</v>
      </c>
      <c r="O2146" s="6" t="str">
        <f>IF(Table2[[#This Row],[POG CONFIRMATION RECEIPT OF ORDER
(DATE &amp; TIME)]]="","No Confirmation","Received Confirmation")</f>
        <v>Received Confirmation</v>
      </c>
      <c r="P2146" s="6">
        <f ca="1">TODAY()-Table2[[#This Row],[DATE SENT TO POG]]</f>
        <v>45</v>
      </c>
      <c r="Q2146" s="6" t="s">
        <v>5803</v>
      </c>
      <c r="R21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6" s="6" t="str">
        <f>_xlfn.XLOOKUP(Table2[[#This Row],[Adjusted Form '#]],'[2]IN PROGRESS'!$D:$D,'[2]IN PROGRESS'!$M:$M,"Not Found")</f>
        <v>Not Found</v>
      </c>
      <c r="U2146" s="6" t="str">
        <f>_xlfn.XLOOKUP(Table2[[#This Row],[Adjusted Form '#]],[1]COMPLETED!$D:$D,[2]COMPLETED!$M:$M,"Not Found")</f>
        <v>Not Found</v>
      </c>
      <c r="V2146" s="13">
        <f>_xlfn.XLOOKUP(Table2[[#This Row],[Adjusted Form '#]],[2]COMPLETED!$D:$D,[2]COMPLETED!$O:$O,"Not Found")</f>
        <v>45265</v>
      </c>
      <c r="W2146" s="6" t="str">
        <f>_xlfn.XLOOKUP(Table2[[#This Row],[Adjusted Form '#]],[2]BILLED!$D:$D,[2]BILLED!$M:$M,"Not Found")</f>
        <v>Not Found</v>
      </c>
      <c r="X2146" s="13" t="str">
        <f>_xlfn.XLOOKUP(Table2[[#This Row],[Adjusted Form '#]],[2]BILLED!$D:$D,[1]BILLED!$O:$O,"Not Found")</f>
        <v>Not Found</v>
      </c>
      <c r="Y2146" s="13" t="e">
        <f>_xlfn.XLOOKUP(Table2[[#This Row],[Adjusted Form '#]],'[2]REJECTED ORDERS'!$D:$D,'[2]REJECTED ORDERS'!$E:$E)</f>
        <v>#N/A</v>
      </c>
      <c r="Z2146" s="1"/>
      <c r="AA2146" s="1"/>
    </row>
    <row r="2147" spans="1:27" ht="15" customHeight="1" x14ac:dyDescent="0.35">
      <c r="A2147" s="4" t="s">
        <v>3145</v>
      </c>
      <c r="B2147" s="1" t="s">
        <v>1913</v>
      </c>
      <c r="C2147" s="11">
        <v>45258</v>
      </c>
      <c r="D2147" s="11" t="s">
        <v>7812</v>
      </c>
      <c r="E2147" s="1" t="s">
        <v>191</v>
      </c>
      <c r="F2147" s="1" t="s">
        <v>7808</v>
      </c>
      <c r="G2147" s="6">
        <f>COUNTIF(F:F,Table2[[#This Row],[Form '#]])</f>
        <v>1</v>
      </c>
      <c r="H2147" s="1" t="s">
        <v>7809</v>
      </c>
      <c r="I2147" s="1" t="s">
        <v>3852</v>
      </c>
      <c r="J2147" s="1" t="s">
        <v>80</v>
      </c>
      <c r="K2147" s="1" t="s">
        <v>3853</v>
      </c>
      <c r="L2147" s="1"/>
      <c r="M2147" s="6" t="str">
        <f>IF(Table2[[#This Row],[Corrected Form '#
 (If Duplicated)]]="",Table2[[#This Row],[Form '#]],Table2[[#This Row],[Corrected Form '#
 (If Duplicated)]])</f>
        <v>7812-04621</v>
      </c>
      <c r="N2147" s="1" t="s">
        <v>49</v>
      </c>
      <c r="O2147" s="6" t="str">
        <f>IF(Table2[[#This Row],[POG CONFIRMATION RECEIPT OF ORDER
(DATE &amp; TIME)]]="","No Confirmation","Received Confirmation")</f>
        <v>Received Confirmation</v>
      </c>
      <c r="P2147" s="6">
        <f ca="1">TODAY()-Table2[[#This Row],[DATE SENT TO POG]]</f>
        <v>45</v>
      </c>
      <c r="Q2147" s="6" t="s">
        <v>5803</v>
      </c>
      <c r="R21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7" s="6" t="str">
        <f>_xlfn.XLOOKUP(Table2[[#This Row],[Adjusted Form '#]],'[2]IN PROGRESS'!$D:$D,'[2]IN PROGRESS'!$M:$M,"Not Found")</f>
        <v>Not Found</v>
      </c>
      <c r="U2147" s="6" t="str">
        <f>_xlfn.XLOOKUP(Table2[[#This Row],[Adjusted Form '#]],[1]COMPLETED!$D:$D,[2]COMPLETED!$M:$M,"Not Found")</f>
        <v>Not Found</v>
      </c>
      <c r="V2147" s="13">
        <f>_xlfn.XLOOKUP(Table2[[#This Row],[Adjusted Form '#]],[2]COMPLETED!$D:$D,[2]COMPLETED!$O:$O,"Not Found")</f>
        <v>45271</v>
      </c>
      <c r="W2147" s="6" t="str">
        <f>_xlfn.XLOOKUP(Table2[[#This Row],[Adjusted Form '#]],[2]BILLED!$D:$D,[2]BILLED!$M:$M,"Not Found")</f>
        <v>Not Found</v>
      </c>
      <c r="X2147" s="13" t="str">
        <f>_xlfn.XLOOKUP(Table2[[#This Row],[Adjusted Form '#]],[2]BILLED!$D:$D,[1]BILLED!$O:$O,"Not Found")</f>
        <v>Not Found</v>
      </c>
      <c r="Y2147" s="13" t="e">
        <f>_xlfn.XLOOKUP(Table2[[#This Row],[Adjusted Form '#]],'[2]REJECTED ORDERS'!$D:$D,'[2]REJECTED ORDERS'!$E:$E)</f>
        <v>#N/A</v>
      </c>
      <c r="Z2147" s="1"/>
      <c r="AA2147" s="1"/>
    </row>
    <row r="2148" spans="1:27" ht="15" customHeight="1" x14ac:dyDescent="0.35">
      <c r="A2148" s="4" t="s">
        <v>3146</v>
      </c>
      <c r="B2148" s="1" t="s">
        <v>1913</v>
      </c>
      <c r="C2148" s="11">
        <v>45258</v>
      </c>
      <c r="D2148" s="11" t="s">
        <v>7812</v>
      </c>
      <c r="E2148" s="1" t="s">
        <v>191</v>
      </c>
      <c r="F2148" s="1" t="s">
        <v>7810</v>
      </c>
      <c r="G2148" s="6">
        <f>COUNTIF(F:F,Table2[[#This Row],[Form '#]])</f>
        <v>1</v>
      </c>
      <c r="H2148" s="1" t="s">
        <v>7811</v>
      </c>
      <c r="I2148" s="1" t="s">
        <v>127</v>
      </c>
      <c r="J2148" s="1" t="s">
        <v>74</v>
      </c>
      <c r="K2148" s="1" t="s">
        <v>4011</v>
      </c>
      <c r="L2148" s="1"/>
      <c r="M2148" s="6" t="str">
        <f>IF(Table2[[#This Row],[Corrected Form '#
 (If Duplicated)]]="",Table2[[#This Row],[Form '#]],Table2[[#This Row],[Corrected Form '#
 (If Duplicated)]])</f>
        <v>7812-00398</v>
      </c>
      <c r="N2148" s="1" t="s">
        <v>49</v>
      </c>
      <c r="O2148" s="6" t="str">
        <f>IF(Table2[[#This Row],[POG CONFIRMATION RECEIPT OF ORDER
(DATE &amp; TIME)]]="","No Confirmation","Received Confirmation")</f>
        <v>Received Confirmation</v>
      </c>
      <c r="P2148" s="6">
        <f ca="1">TODAY()-Table2[[#This Row],[DATE SENT TO POG]]</f>
        <v>45</v>
      </c>
      <c r="Q2148" s="6" t="s">
        <v>5803</v>
      </c>
      <c r="R21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8" s="6" t="str">
        <f>_xlfn.XLOOKUP(Table2[[#This Row],[Adjusted Form '#]],'[2]IN PROGRESS'!$D:$D,'[2]IN PROGRESS'!$M:$M,"Not Found")</f>
        <v>Not Found</v>
      </c>
      <c r="U2148" s="6" t="str">
        <f>_xlfn.XLOOKUP(Table2[[#This Row],[Adjusted Form '#]],[1]COMPLETED!$D:$D,[2]COMPLETED!$M:$M,"Not Found")</f>
        <v>Not Found</v>
      </c>
      <c r="V2148" s="13">
        <f>_xlfn.XLOOKUP(Table2[[#This Row],[Adjusted Form '#]],[2]COMPLETED!$D:$D,[2]COMPLETED!$O:$O,"Not Found")</f>
        <v>45267</v>
      </c>
      <c r="W2148" s="6" t="str">
        <f>_xlfn.XLOOKUP(Table2[[#This Row],[Adjusted Form '#]],[2]BILLED!$D:$D,[2]BILLED!$M:$M,"Not Found")</f>
        <v>Not Found</v>
      </c>
      <c r="X2148" s="13" t="str">
        <f>_xlfn.XLOOKUP(Table2[[#This Row],[Adjusted Form '#]],[2]BILLED!$D:$D,[1]BILLED!$O:$O,"Not Found")</f>
        <v>Not Found</v>
      </c>
      <c r="Y2148" s="13" t="e">
        <f>_xlfn.XLOOKUP(Table2[[#This Row],[Adjusted Form '#]],'[2]REJECTED ORDERS'!$D:$D,'[2]REJECTED ORDERS'!$E:$E)</f>
        <v>#N/A</v>
      </c>
      <c r="Z2148" s="1"/>
      <c r="AA2148" s="1"/>
    </row>
    <row r="2149" spans="1:27" ht="15" customHeight="1" x14ac:dyDescent="0.35">
      <c r="A2149" s="4" t="s">
        <v>3148</v>
      </c>
      <c r="B2149" s="1" t="s">
        <v>1928</v>
      </c>
      <c r="C2149" s="11">
        <v>45259</v>
      </c>
      <c r="E2149" s="1" t="s">
        <v>73</v>
      </c>
      <c r="F2149" s="1" t="s">
        <v>7815</v>
      </c>
      <c r="G2149" s="6">
        <f>COUNTIF(F:F,Table2[[#This Row],[Form '#]])</f>
        <v>1</v>
      </c>
      <c r="H2149" s="1" t="s">
        <v>7816</v>
      </c>
      <c r="I2149" s="1" t="s">
        <v>127</v>
      </c>
      <c r="J2149" s="1" t="s">
        <v>74</v>
      </c>
      <c r="K2149" s="1" t="s">
        <v>3891</v>
      </c>
      <c r="L2149" s="1"/>
      <c r="M2149" s="6" t="str">
        <f>IF(Table2[[#This Row],[Corrected Form '#
 (If Duplicated)]]="",Table2[[#This Row],[Form '#]],Table2[[#This Row],[Corrected Form '#
 (If Duplicated)]])</f>
        <v>7823-02710</v>
      </c>
      <c r="N2149" s="1" t="s">
        <v>49</v>
      </c>
      <c r="O2149" s="6" t="str">
        <f>IF(Table2[[#This Row],[POG CONFIRMATION RECEIPT OF ORDER
(DATE &amp; TIME)]]="","No Confirmation","Received Confirmation")</f>
        <v>No Confirmation</v>
      </c>
      <c r="P2149" s="6">
        <f ca="1">TODAY()-Table2[[#This Row],[DATE SENT TO POG]]</f>
        <v>44</v>
      </c>
      <c r="Q2149" s="6" t="s">
        <v>5802</v>
      </c>
      <c r="R21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4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49" s="6" t="str">
        <f>_xlfn.XLOOKUP(Table2[[#This Row],[Adjusted Form '#]],'[2]IN PROGRESS'!$D:$D,'[2]IN PROGRESS'!$M:$M,"Not Found")</f>
        <v>Not Found</v>
      </c>
      <c r="U2149" s="6" t="str">
        <f>_xlfn.XLOOKUP(Table2[[#This Row],[Adjusted Form '#]],[1]COMPLETED!$D:$D,[2]COMPLETED!$M:$M,"Not Found")</f>
        <v>Not Found</v>
      </c>
      <c r="V2149" s="13" t="str">
        <f>_xlfn.XLOOKUP(Table2[[#This Row],[Adjusted Form '#]],[2]COMPLETED!$D:$D,[2]COMPLETED!$O:$O,"Not Found")</f>
        <v>Not Found</v>
      </c>
      <c r="W2149" s="6" t="str">
        <f>_xlfn.XLOOKUP(Table2[[#This Row],[Adjusted Form '#]],[2]BILLED!$D:$D,[2]BILLED!$M:$M,"Not Found")</f>
        <v>Not Found</v>
      </c>
      <c r="X2149" s="13" t="str">
        <f>_xlfn.XLOOKUP(Table2[[#This Row],[Adjusted Form '#]],[2]BILLED!$D:$D,[1]BILLED!$O:$O,"Not Found")</f>
        <v>Not Found</v>
      </c>
      <c r="Y2149" s="13" t="e">
        <f>_xlfn.XLOOKUP(Table2[[#This Row],[Adjusted Form '#]],'[2]REJECTED ORDERS'!$D:$D,'[2]REJECTED ORDERS'!$E:$E)</f>
        <v>#N/A</v>
      </c>
      <c r="Z2149" s="1"/>
      <c r="AA2149" s="1"/>
    </row>
    <row r="2150" spans="1:27" ht="15" customHeight="1" x14ac:dyDescent="0.35">
      <c r="A2150" s="4" t="s">
        <v>3149</v>
      </c>
      <c r="B2150" s="1" t="s">
        <v>1928</v>
      </c>
      <c r="C2150" s="11">
        <v>45259</v>
      </c>
      <c r="E2150" s="1" t="s">
        <v>73</v>
      </c>
      <c r="F2150" s="1" t="s">
        <v>7817</v>
      </c>
      <c r="G2150" s="6">
        <f>COUNTIF(F:F,Table2[[#This Row],[Form '#]])</f>
        <v>1</v>
      </c>
      <c r="H2150" s="1" t="s">
        <v>7818</v>
      </c>
      <c r="I2150" s="1" t="s">
        <v>127</v>
      </c>
      <c r="J2150" s="1" t="s">
        <v>76</v>
      </c>
      <c r="K2150" s="1" t="s">
        <v>4011</v>
      </c>
      <c r="L2150" s="1"/>
      <c r="M2150" s="6" t="str">
        <f>IF(Table2[[#This Row],[Corrected Form '#
 (If Duplicated)]]="",Table2[[#This Row],[Form '#]],Table2[[#This Row],[Corrected Form '#
 (If Duplicated)]])</f>
        <v>7823-02708</v>
      </c>
      <c r="N2150" s="1" t="s">
        <v>49</v>
      </c>
      <c r="O2150" s="6" t="str">
        <f>IF(Table2[[#This Row],[POG CONFIRMATION RECEIPT OF ORDER
(DATE &amp; TIME)]]="","No Confirmation","Received Confirmation")</f>
        <v>No Confirmation</v>
      </c>
      <c r="P2150" s="6">
        <f ca="1">TODAY()-Table2[[#This Row],[DATE SENT TO POG]]</f>
        <v>44</v>
      </c>
      <c r="Q2150" s="6" t="s">
        <v>5802</v>
      </c>
      <c r="R21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0" s="6" t="str">
        <f>_xlfn.XLOOKUP(Table2[[#This Row],[Adjusted Form '#]],'[2]IN PROGRESS'!$D:$D,'[2]IN PROGRESS'!$M:$M,"Not Found")</f>
        <v>Not Found</v>
      </c>
      <c r="U2150" s="6" t="str">
        <f>_xlfn.XLOOKUP(Table2[[#This Row],[Adjusted Form '#]],[1]COMPLETED!$D:$D,[2]COMPLETED!$M:$M,"Not Found")</f>
        <v>Not Found</v>
      </c>
      <c r="V2150" s="13" t="str">
        <f>_xlfn.XLOOKUP(Table2[[#This Row],[Adjusted Form '#]],[2]COMPLETED!$D:$D,[2]COMPLETED!$O:$O,"Not Found")</f>
        <v>Not Found</v>
      </c>
      <c r="W2150" s="6" t="str">
        <f>_xlfn.XLOOKUP(Table2[[#This Row],[Adjusted Form '#]],[2]BILLED!$D:$D,[2]BILLED!$M:$M,"Not Found")</f>
        <v>Not Found</v>
      </c>
      <c r="X2150" s="13" t="str">
        <f>_xlfn.XLOOKUP(Table2[[#This Row],[Adjusted Form '#]],[2]BILLED!$D:$D,[1]BILLED!$O:$O,"Not Found")</f>
        <v>Not Found</v>
      </c>
      <c r="Y2150" s="13" t="e">
        <f>_xlfn.XLOOKUP(Table2[[#This Row],[Adjusted Form '#]],'[2]REJECTED ORDERS'!$D:$D,'[2]REJECTED ORDERS'!$E:$E)</f>
        <v>#N/A</v>
      </c>
      <c r="Z2150" s="1"/>
      <c r="AA2150" s="1"/>
    </row>
    <row r="2151" spans="1:27" ht="15" customHeight="1" x14ac:dyDescent="0.35">
      <c r="A2151" s="4" t="s">
        <v>3150</v>
      </c>
      <c r="B2151" s="1" t="s">
        <v>1928</v>
      </c>
      <c r="C2151" s="11">
        <v>45259</v>
      </c>
      <c r="E2151" s="1" t="s">
        <v>73</v>
      </c>
      <c r="F2151" s="1" t="s">
        <v>7819</v>
      </c>
      <c r="G2151" s="6">
        <f>COUNTIF(F:F,Table2[[#This Row],[Form '#]])</f>
        <v>1</v>
      </c>
      <c r="H2151" s="1" t="s">
        <v>3709</v>
      </c>
      <c r="I2151" s="1" t="s">
        <v>127</v>
      </c>
      <c r="J2151" s="1" t="s">
        <v>76</v>
      </c>
      <c r="K2151" s="1" t="s">
        <v>4011</v>
      </c>
      <c r="L2151" s="1"/>
      <c r="M2151" s="6" t="str">
        <f>IF(Table2[[#This Row],[Corrected Form '#
 (If Duplicated)]]="",Table2[[#This Row],[Form '#]],Table2[[#This Row],[Corrected Form '#
 (If Duplicated)]])</f>
        <v>7823-02711</v>
      </c>
      <c r="N2151" s="1" t="s">
        <v>49</v>
      </c>
      <c r="O2151" s="6" t="str">
        <f>IF(Table2[[#This Row],[POG CONFIRMATION RECEIPT OF ORDER
(DATE &amp; TIME)]]="","No Confirmation","Received Confirmation")</f>
        <v>No Confirmation</v>
      </c>
      <c r="P2151" s="6">
        <f ca="1">TODAY()-Table2[[#This Row],[DATE SENT TO POG]]</f>
        <v>44</v>
      </c>
      <c r="Q2151" s="6" t="s">
        <v>5802</v>
      </c>
      <c r="R21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1" s="6" t="str">
        <f>_xlfn.XLOOKUP(Table2[[#This Row],[Adjusted Form '#]],'[2]IN PROGRESS'!$D:$D,'[2]IN PROGRESS'!$M:$M,"Not Found")</f>
        <v>Not Found</v>
      </c>
      <c r="U2151" s="6" t="str">
        <f>_xlfn.XLOOKUP(Table2[[#This Row],[Adjusted Form '#]],[1]COMPLETED!$D:$D,[2]COMPLETED!$M:$M,"Not Found")</f>
        <v>Not Found</v>
      </c>
      <c r="V2151" s="13" t="str">
        <f>_xlfn.XLOOKUP(Table2[[#This Row],[Adjusted Form '#]],[2]COMPLETED!$D:$D,[2]COMPLETED!$O:$O,"Not Found")</f>
        <v>Not Found</v>
      </c>
      <c r="W2151" s="6" t="str">
        <f>_xlfn.XLOOKUP(Table2[[#This Row],[Adjusted Form '#]],[2]BILLED!$D:$D,[2]BILLED!$M:$M,"Not Found")</f>
        <v>Not Found</v>
      </c>
      <c r="X2151" s="13" t="str">
        <f>_xlfn.XLOOKUP(Table2[[#This Row],[Adjusted Form '#]],[2]BILLED!$D:$D,[1]BILLED!$O:$O,"Not Found")</f>
        <v>Not Found</v>
      </c>
      <c r="Y2151" s="13" t="e">
        <f>_xlfn.XLOOKUP(Table2[[#This Row],[Adjusted Form '#]],'[2]REJECTED ORDERS'!$D:$D,'[2]REJECTED ORDERS'!$E:$E)</f>
        <v>#N/A</v>
      </c>
      <c r="Z2151" s="1"/>
      <c r="AA2151" s="1"/>
    </row>
    <row r="2152" spans="1:27" ht="15" customHeight="1" x14ac:dyDescent="0.35">
      <c r="A2152" s="4" t="s">
        <v>3151</v>
      </c>
      <c r="B2152" s="1" t="s">
        <v>1928</v>
      </c>
      <c r="C2152" s="11">
        <v>45259</v>
      </c>
      <c r="E2152" s="1" t="s">
        <v>73</v>
      </c>
      <c r="F2152" s="1" t="s">
        <v>7821</v>
      </c>
      <c r="G2152" s="6">
        <f>COUNTIF(F:F,Table2[[#This Row],[Form '#]])</f>
        <v>1</v>
      </c>
      <c r="H2152" s="1" t="s">
        <v>7820</v>
      </c>
      <c r="I2152" s="1" t="s">
        <v>3864</v>
      </c>
      <c r="J2152" s="1" t="s">
        <v>78</v>
      </c>
      <c r="K2152" s="1" t="s">
        <v>3879</v>
      </c>
      <c r="L2152" s="1"/>
      <c r="M2152" s="6" t="str">
        <f>IF(Table2[[#This Row],[Corrected Form '#
 (If Duplicated)]]="",Table2[[#This Row],[Form '#]],Table2[[#This Row],[Corrected Form '#
 (If Duplicated)]])</f>
        <v>7823-02707</v>
      </c>
      <c r="N2152" s="1" t="s">
        <v>49</v>
      </c>
      <c r="O2152" s="6" t="str">
        <f>IF(Table2[[#This Row],[POG CONFIRMATION RECEIPT OF ORDER
(DATE &amp; TIME)]]="","No Confirmation","Received Confirmation")</f>
        <v>No Confirmation</v>
      </c>
      <c r="P2152" s="6">
        <f ca="1">TODAY()-Table2[[#This Row],[DATE SENT TO POG]]</f>
        <v>44</v>
      </c>
      <c r="Q2152" s="6" t="s">
        <v>5802</v>
      </c>
      <c r="R21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2" s="6" t="str">
        <f>_xlfn.XLOOKUP(Table2[[#This Row],[Adjusted Form '#]],'[2]IN PROGRESS'!$D:$D,'[2]IN PROGRESS'!$M:$M,"Not Found")</f>
        <v>Not Found</v>
      </c>
      <c r="U2152" s="6" t="str">
        <f>_xlfn.XLOOKUP(Table2[[#This Row],[Adjusted Form '#]],[1]COMPLETED!$D:$D,[2]COMPLETED!$M:$M,"Not Found")</f>
        <v>Not Found</v>
      </c>
      <c r="V2152" s="13" t="str">
        <f>_xlfn.XLOOKUP(Table2[[#This Row],[Adjusted Form '#]],[2]COMPLETED!$D:$D,[2]COMPLETED!$O:$O,"Not Found")</f>
        <v>Not Found</v>
      </c>
      <c r="W2152" s="6" t="str">
        <f>_xlfn.XLOOKUP(Table2[[#This Row],[Adjusted Form '#]],[2]BILLED!$D:$D,[2]BILLED!$M:$M,"Not Found")</f>
        <v>Not Found</v>
      </c>
      <c r="X2152" s="13" t="str">
        <f>_xlfn.XLOOKUP(Table2[[#This Row],[Adjusted Form '#]],[2]BILLED!$D:$D,[1]BILLED!$O:$O,"Not Found")</f>
        <v>Not Found</v>
      </c>
      <c r="Y2152" s="13" t="e">
        <f>_xlfn.XLOOKUP(Table2[[#This Row],[Adjusted Form '#]],'[2]REJECTED ORDERS'!$D:$D,'[2]REJECTED ORDERS'!$E:$E)</f>
        <v>#N/A</v>
      </c>
      <c r="Z2152" s="1"/>
      <c r="AA2152" s="1"/>
    </row>
    <row r="2153" spans="1:27" ht="15" customHeight="1" x14ac:dyDescent="0.35">
      <c r="A2153" s="4" t="s">
        <v>3152</v>
      </c>
      <c r="B2153" s="1" t="s">
        <v>1170</v>
      </c>
      <c r="C2153" s="11">
        <v>45259</v>
      </c>
      <c r="D2153" s="11" t="s">
        <v>7826</v>
      </c>
      <c r="E2153" s="1" t="s">
        <v>14</v>
      </c>
      <c r="F2153" s="1" t="s">
        <v>7822</v>
      </c>
      <c r="G2153" s="6">
        <f>COUNTIF(F:F,Table2[[#This Row],[Form '#]])</f>
        <v>1</v>
      </c>
      <c r="H2153" s="1" t="s">
        <v>1933</v>
      </c>
      <c r="I2153" s="1" t="s">
        <v>177</v>
      </c>
      <c r="J2153" s="1" t="s">
        <v>75</v>
      </c>
      <c r="K2153" s="1" t="s">
        <v>3853</v>
      </c>
      <c r="L2153" s="1"/>
      <c r="M2153" s="6" t="str">
        <f>IF(Table2[[#This Row],[Corrected Form '#
 (If Duplicated)]]="",Table2[[#This Row],[Form '#]],Table2[[#This Row],[Corrected Form '#
 (If Duplicated)]])</f>
        <v>7810-01729</v>
      </c>
      <c r="N2153" s="1" t="s">
        <v>49</v>
      </c>
      <c r="O2153" s="6" t="str">
        <f>IF(Table2[[#This Row],[POG CONFIRMATION RECEIPT OF ORDER
(DATE &amp; TIME)]]="","No Confirmation","Received Confirmation")</f>
        <v>Received Confirmation</v>
      </c>
      <c r="P2153" s="6">
        <f ca="1">TODAY()-Table2[[#This Row],[DATE SENT TO POG]]</f>
        <v>44</v>
      </c>
      <c r="Q2153" s="6" t="s">
        <v>5803</v>
      </c>
      <c r="R21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3" s="6" t="str">
        <f>_xlfn.XLOOKUP(Table2[[#This Row],[Adjusted Form '#]],'[2]IN PROGRESS'!$D:$D,'[2]IN PROGRESS'!$M:$M,"Not Found")</f>
        <v>Not Found</v>
      </c>
      <c r="U2153" s="6" t="str">
        <f>_xlfn.XLOOKUP(Table2[[#This Row],[Adjusted Form '#]],[1]COMPLETED!$D:$D,[2]COMPLETED!$M:$M,"Not Found")</f>
        <v>Not Found</v>
      </c>
      <c r="V2153" s="13">
        <f>_xlfn.XLOOKUP(Table2[[#This Row],[Adjusted Form '#]],[2]COMPLETED!$D:$D,[2]COMPLETED!$O:$O,"Not Found")</f>
        <v>45271</v>
      </c>
      <c r="W2153" s="6" t="str">
        <f>_xlfn.XLOOKUP(Table2[[#This Row],[Adjusted Form '#]],[2]BILLED!$D:$D,[2]BILLED!$M:$M,"Not Found")</f>
        <v>Not Found</v>
      </c>
      <c r="X2153" s="13" t="str">
        <f>_xlfn.XLOOKUP(Table2[[#This Row],[Adjusted Form '#]],[2]BILLED!$D:$D,[1]BILLED!$O:$O,"Not Found")</f>
        <v>Not Found</v>
      </c>
      <c r="Y2153" s="13" t="e">
        <f>_xlfn.XLOOKUP(Table2[[#This Row],[Adjusted Form '#]],'[2]REJECTED ORDERS'!$D:$D,'[2]REJECTED ORDERS'!$E:$E)</f>
        <v>#N/A</v>
      </c>
      <c r="Z2153" s="1"/>
      <c r="AA2153" s="1"/>
    </row>
    <row r="2154" spans="1:27" ht="15" customHeight="1" x14ac:dyDescent="0.35">
      <c r="A2154" s="4" t="s">
        <v>3153</v>
      </c>
      <c r="B2154" s="1" t="s">
        <v>1684</v>
      </c>
      <c r="C2154" s="11">
        <v>45259</v>
      </c>
      <c r="D2154" s="11" t="s">
        <v>7826</v>
      </c>
      <c r="E2154" s="1" t="s">
        <v>191</v>
      </c>
      <c r="F2154" s="1" t="s">
        <v>7823</v>
      </c>
      <c r="G2154" s="6">
        <f>COUNTIF(F:F,Table2[[#This Row],[Form '#]])</f>
        <v>1</v>
      </c>
      <c r="H2154" s="1" t="s">
        <v>2288</v>
      </c>
      <c r="I2154" s="1" t="s">
        <v>28</v>
      </c>
      <c r="J2154" s="1" t="s">
        <v>69</v>
      </c>
      <c r="K2154" s="1" t="s">
        <v>4011</v>
      </c>
      <c r="L2154" s="1"/>
      <c r="M2154" s="6" t="str">
        <f>IF(Table2[[#This Row],[Corrected Form '#
 (If Duplicated)]]="",Table2[[#This Row],[Form '#]],Table2[[#This Row],[Corrected Form '#
 (If Duplicated)]])</f>
        <v>7812-04578</v>
      </c>
      <c r="N2154" s="1" t="s">
        <v>49</v>
      </c>
      <c r="O2154" s="6" t="str">
        <f>IF(Table2[[#This Row],[POG CONFIRMATION RECEIPT OF ORDER
(DATE &amp; TIME)]]="","No Confirmation","Received Confirmation")</f>
        <v>Received Confirmation</v>
      </c>
      <c r="P2154" s="6">
        <f ca="1">TODAY()-Table2[[#This Row],[DATE SENT TO POG]]</f>
        <v>44</v>
      </c>
      <c r="Q2154" s="6" t="s">
        <v>5803</v>
      </c>
      <c r="R21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4" s="6" t="str">
        <f>_xlfn.XLOOKUP(Table2[[#This Row],[Adjusted Form '#]],'[2]IN PROGRESS'!$D:$D,'[2]IN PROGRESS'!$M:$M,"Not Found")</f>
        <v>Not Found</v>
      </c>
      <c r="U2154" s="6" t="str">
        <f>_xlfn.XLOOKUP(Table2[[#This Row],[Adjusted Form '#]],[1]COMPLETED!$D:$D,[2]COMPLETED!$M:$M,"Not Found")</f>
        <v>Not Found</v>
      </c>
      <c r="V2154" s="13">
        <f>_xlfn.XLOOKUP(Table2[[#This Row],[Adjusted Form '#]],[2]COMPLETED!$D:$D,[2]COMPLETED!$O:$O,"Not Found")</f>
        <v>45267</v>
      </c>
      <c r="W2154" s="6" t="str">
        <f>_xlfn.XLOOKUP(Table2[[#This Row],[Adjusted Form '#]],[2]BILLED!$D:$D,[2]BILLED!$M:$M,"Not Found")</f>
        <v>Not Found</v>
      </c>
      <c r="X2154" s="13" t="str">
        <f>_xlfn.XLOOKUP(Table2[[#This Row],[Adjusted Form '#]],[2]BILLED!$D:$D,[1]BILLED!$O:$O,"Not Found")</f>
        <v>Not Found</v>
      </c>
      <c r="Y2154" s="13" t="e">
        <f>_xlfn.XLOOKUP(Table2[[#This Row],[Adjusted Form '#]],'[2]REJECTED ORDERS'!$D:$D,'[2]REJECTED ORDERS'!$E:$E)</f>
        <v>#N/A</v>
      </c>
      <c r="Z2154" s="1"/>
      <c r="AA2154" s="1"/>
    </row>
    <row r="2155" spans="1:27" ht="15" customHeight="1" x14ac:dyDescent="0.35">
      <c r="A2155" s="4" t="s">
        <v>3154</v>
      </c>
      <c r="B2155" s="1" t="s">
        <v>1684</v>
      </c>
      <c r="C2155" s="11">
        <v>45259</v>
      </c>
      <c r="D2155" s="11" t="s">
        <v>7826</v>
      </c>
      <c r="E2155" s="1" t="s">
        <v>191</v>
      </c>
      <c r="F2155" s="1" t="s">
        <v>7824</v>
      </c>
      <c r="G2155" s="6">
        <f>COUNTIF(F:F,Table2[[#This Row],[Form '#]])</f>
        <v>1</v>
      </c>
      <c r="H2155" s="1" t="s">
        <v>7825</v>
      </c>
      <c r="I2155" s="1" t="s">
        <v>3864</v>
      </c>
      <c r="J2155" s="1" t="s">
        <v>78</v>
      </c>
      <c r="K2155" s="1" t="s">
        <v>3879</v>
      </c>
      <c r="L2155" s="1"/>
      <c r="M2155" s="6" t="str">
        <f>IF(Table2[[#This Row],[Corrected Form '#
 (If Duplicated)]]="",Table2[[#This Row],[Form '#]],Table2[[#This Row],[Corrected Form '#
 (If Duplicated)]])</f>
        <v>7812-04567</v>
      </c>
      <c r="N2155" s="1" t="s">
        <v>49</v>
      </c>
      <c r="O2155" s="6" t="str">
        <f>IF(Table2[[#This Row],[POG CONFIRMATION RECEIPT OF ORDER
(DATE &amp; TIME)]]="","No Confirmation","Received Confirmation")</f>
        <v>Received Confirmation</v>
      </c>
      <c r="P2155" s="6">
        <f ca="1">TODAY()-Table2[[#This Row],[DATE SENT TO POG]]</f>
        <v>44</v>
      </c>
      <c r="Q2155" s="6" t="s">
        <v>5803</v>
      </c>
      <c r="R21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5" s="6" t="str">
        <f>_xlfn.XLOOKUP(Table2[[#This Row],[Adjusted Form '#]],'[2]IN PROGRESS'!$D:$D,'[2]IN PROGRESS'!$M:$M,"Not Found")</f>
        <v>Not Found</v>
      </c>
      <c r="U2155" s="6" t="str">
        <f>_xlfn.XLOOKUP(Table2[[#This Row],[Adjusted Form '#]],[1]COMPLETED!$D:$D,[2]COMPLETED!$M:$M,"Not Found")</f>
        <v>Not Found</v>
      </c>
      <c r="V2155" s="13">
        <f>_xlfn.XLOOKUP(Table2[[#This Row],[Adjusted Form '#]],[2]COMPLETED!$D:$D,[2]COMPLETED!$O:$O,"Not Found")</f>
        <v>45267</v>
      </c>
      <c r="W2155" s="6" t="str">
        <f>_xlfn.XLOOKUP(Table2[[#This Row],[Adjusted Form '#]],[2]BILLED!$D:$D,[2]BILLED!$M:$M,"Not Found")</f>
        <v>Not Found</v>
      </c>
      <c r="X2155" s="13" t="str">
        <f>_xlfn.XLOOKUP(Table2[[#This Row],[Adjusted Form '#]],[2]BILLED!$D:$D,[1]BILLED!$O:$O,"Not Found")</f>
        <v>Not Found</v>
      </c>
      <c r="Y2155" s="13" t="e">
        <f>_xlfn.XLOOKUP(Table2[[#This Row],[Adjusted Form '#]],'[2]REJECTED ORDERS'!$D:$D,'[2]REJECTED ORDERS'!$E:$E)</f>
        <v>#N/A</v>
      </c>
      <c r="Z2155" s="1"/>
      <c r="AA2155" s="1"/>
    </row>
    <row r="2156" spans="1:27" ht="15" customHeight="1" x14ac:dyDescent="0.35">
      <c r="A2156" s="4" t="s">
        <v>3156</v>
      </c>
      <c r="B2156" s="1" t="s">
        <v>7827</v>
      </c>
      <c r="C2156" s="11">
        <v>45259</v>
      </c>
      <c r="D2156" s="11" t="s">
        <v>7839</v>
      </c>
      <c r="E2156" s="1" t="s">
        <v>73</v>
      </c>
      <c r="F2156" s="1" t="s">
        <v>7828</v>
      </c>
      <c r="G2156" s="6">
        <f>COUNTIF(F:F,Table2[[#This Row],[Form '#]])</f>
        <v>1</v>
      </c>
      <c r="H2156" s="1" t="s">
        <v>7829</v>
      </c>
      <c r="I2156" s="1" t="s">
        <v>127</v>
      </c>
      <c r="J2156" s="1" t="s">
        <v>76</v>
      </c>
      <c r="K2156" s="1" t="s">
        <v>3883</v>
      </c>
      <c r="L2156" s="1"/>
      <c r="M2156" s="6" t="str">
        <f>IF(Table2[[#This Row],[Corrected Form '#
 (If Duplicated)]]="",Table2[[#This Row],[Form '#]],Table2[[#This Row],[Corrected Form '#
 (If Duplicated)]])</f>
        <v>7823-02245</v>
      </c>
      <c r="N2156" s="1" t="s">
        <v>49</v>
      </c>
      <c r="O2156" s="6" t="str">
        <f>IF(Table2[[#This Row],[POG CONFIRMATION RECEIPT OF ORDER
(DATE &amp; TIME)]]="","No Confirmation","Received Confirmation")</f>
        <v>Received Confirmation</v>
      </c>
      <c r="P2156" s="6">
        <f ca="1">TODAY()-Table2[[#This Row],[DATE SENT TO POG]]</f>
        <v>44</v>
      </c>
      <c r="Q2156" s="6" t="s">
        <v>5803</v>
      </c>
      <c r="R21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6" s="6" t="str">
        <f>_xlfn.XLOOKUP(Table2[[#This Row],[Adjusted Form '#]],'[2]IN PROGRESS'!$D:$D,'[2]IN PROGRESS'!$M:$M,"Not Found")</f>
        <v>Not Found</v>
      </c>
      <c r="U2156" s="6" t="str">
        <f>_xlfn.XLOOKUP(Table2[[#This Row],[Adjusted Form '#]],[1]COMPLETED!$D:$D,[2]COMPLETED!$M:$M,"Not Found")</f>
        <v>Not Found</v>
      </c>
      <c r="V2156" s="13">
        <f>_xlfn.XLOOKUP(Table2[[#This Row],[Adjusted Form '#]],[2]COMPLETED!$D:$D,[2]COMPLETED!$O:$O,"Not Found")</f>
        <v>45269</v>
      </c>
      <c r="W2156" s="6" t="str">
        <f>_xlfn.XLOOKUP(Table2[[#This Row],[Adjusted Form '#]],[2]BILLED!$D:$D,[2]BILLED!$M:$M,"Not Found")</f>
        <v>Not Found</v>
      </c>
      <c r="X2156" s="13" t="str">
        <f>_xlfn.XLOOKUP(Table2[[#This Row],[Adjusted Form '#]],[2]BILLED!$D:$D,[1]BILLED!$O:$O,"Not Found")</f>
        <v>Not Found</v>
      </c>
      <c r="Y2156" s="13" t="e">
        <f>_xlfn.XLOOKUP(Table2[[#This Row],[Adjusted Form '#]],'[2]REJECTED ORDERS'!$D:$D,'[2]REJECTED ORDERS'!$E:$E)</f>
        <v>#N/A</v>
      </c>
      <c r="Z2156" s="1"/>
      <c r="AA2156" s="1"/>
    </row>
    <row r="2157" spans="1:27" ht="15" customHeight="1" x14ac:dyDescent="0.35">
      <c r="A2157" s="4" t="s">
        <v>3157</v>
      </c>
      <c r="B2157" s="1" t="s">
        <v>7827</v>
      </c>
      <c r="C2157" s="11">
        <v>45259</v>
      </c>
      <c r="D2157" s="11" t="s">
        <v>7839</v>
      </c>
      <c r="E2157" s="1" t="s">
        <v>73</v>
      </c>
      <c r="F2157" s="1" t="s">
        <v>7830</v>
      </c>
      <c r="G2157" s="6">
        <f>COUNTIF(F:F,Table2[[#This Row],[Form '#]])</f>
        <v>1</v>
      </c>
      <c r="H2157" s="1" t="s">
        <v>7831</v>
      </c>
      <c r="I2157" s="1" t="s">
        <v>3891</v>
      </c>
      <c r="J2157" s="1" t="s">
        <v>3891</v>
      </c>
      <c r="K2157" s="1" t="s">
        <v>3891</v>
      </c>
      <c r="L2157" s="1"/>
      <c r="M2157" s="6" t="str">
        <f>IF(Table2[[#This Row],[Corrected Form '#
 (If Duplicated)]]="",Table2[[#This Row],[Form '#]],Table2[[#This Row],[Corrected Form '#
 (If Duplicated)]])</f>
        <v>7823-02247</v>
      </c>
      <c r="N2157" s="1" t="s">
        <v>49</v>
      </c>
      <c r="O2157" s="6" t="str">
        <f>IF(Table2[[#This Row],[POG CONFIRMATION RECEIPT OF ORDER
(DATE &amp; TIME)]]="","No Confirmation","Received Confirmation")</f>
        <v>Received Confirmation</v>
      </c>
      <c r="P2157" s="6">
        <f ca="1">TODAY()-Table2[[#This Row],[DATE SENT TO POG]]</f>
        <v>44</v>
      </c>
      <c r="Q2157" s="6" t="s">
        <v>5803</v>
      </c>
      <c r="R21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7" s="6" t="str">
        <f>_xlfn.XLOOKUP(Table2[[#This Row],[Adjusted Form '#]],'[2]IN PROGRESS'!$D:$D,'[2]IN PROGRESS'!$M:$M,"Not Found")</f>
        <v>Not Found</v>
      </c>
      <c r="U2157" s="6" t="str">
        <f>_xlfn.XLOOKUP(Table2[[#This Row],[Adjusted Form '#]],[1]COMPLETED!$D:$D,[2]COMPLETED!$M:$M,"Not Found")</f>
        <v>Not Found</v>
      </c>
      <c r="V2157" s="13">
        <f>_xlfn.XLOOKUP(Table2[[#This Row],[Adjusted Form '#]],[2]COMPLETED!$D:$D,[2]COMPLETED!$O:$O,"Not Found")</f>
        <v>45271</v>
      </c>
      <c r="W2157" s="6" t="str">
        <f>_xlfn.XLOOKUP(Table2[[#This Row],[Adjusted Form '#]],[2]BILLED!$D:$D,[2]BILLED!$M:$M,"Not Found")</f>
        <v>Not Found</v>
      </c>
      <c r="X2157" s="13" t="str">
        <f>_xlfn.XLOOKUP(Table2[[#This Row],[Adjusted Form '#]],[2]BILLED!$D:$D,[1]BILLED!$O:$O,"Not Found")</f>
        <v>Not Found</v>
      </c>
      <c r="Y2157" s="13" t="e">
        <f>_xlfn.XLOOKUP(Table2[[#This Row],[Adjusted Form '#]],'[2]REJECTED ORDERS'!$D:$D,'[2]REJECTED ORDERS'!$E:$E)</f>
        <v>#N/A</v>
      </c>
      <c r="Z2157" s="1"/>
      <c r="AA2157" s="1"/>
    </row>
    <row r="2158" spans="1:27" ht="15" customHeight="1" x14ac:dyDescent="0.35">
      <c r="A2158" s="4" t="s">
        <v>3158</v>
      </c>
      <c r="B2158" s="1" t="s">
        <v>7827</v>
      </c>
      <c r="C2158" s="11">
        <v>45259</v>
      </c>
      <c r="D2158" s="11" t="s">
        <v>7839</v>
      </c>
      <c r="E2158" s="1" t="s">
        <v>73</v>
      </c>
      <c r="F2158" s="1" t="s">
        <v>7832</v>
      </c>
      <c r="G2158" s="6">
        <f>COUNTIF(F:F,Table2[[#This Row],[Form '#]])</f>
        <v>1</v>
      </c>
      <c r="H2158" s="1" t="s">
        <v>7833</v>
      </c>
      <c r="I2158" s="1" t="s">
        <v>3891</v>
      </c>
      <c r="J2158" s="1" t="s">
        <v>3891</v>
      </c>
      <c r="K2158" s="1" t="s">
        <v>3891</v>
      </c>
      <c r="L2158" s="1"/>
      <c r="M2158" s="6" t="str">
        <f>IF(Table2[[#This Row],[Corrected Form '#
 (If Duplicated)]]="",Table2[[#This Row],[Form '#]],Table2[[#This Row],[Corrected Form '#
 (If Duplicated)]])</f>
        <v>7823-02603</v>
      </c>
      <c r="N2158" s="1" t="s">
        <v>49</v>
      </c>
      <c r="O2158" s="6" t="str">
        <f>IF(Table2[[#This Row],[POG CONFIRMATION RECEIPT OF ORDER
(DATE &amp; TIME)]]="","No Confirmation","Received Confirmation")</f>
        <v>Received Confirmation</v>
      </c>
      <c r="P2158" s="6">
        <f ca="1">TODAY()-Table2[[#This Row],[DATE SENT TO POG]]</f>
        <v>44</v>
      </c>
      <c r="Q2158" s="6" t="s">
        <v>5803</v>
      </c>
      <c r="R21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8" s="6" t="str">
        <f>_xlfn.XLOOKUP(Table2[[#This Row],[Adjusted Form '#]],'[2]IN PROGRESS'!$D:$D,'[2]IN PROGRESS'!$M:$M,"Not Found")</f>
        <v>Not Found</v>
      </c>
      <c r="U2158" s="6" t="str">
        <f>_xlfn.XLOOKUP(Table2[[#This Row],[Adjusted Form '#]],[1]COMPLETED!$D:$D,[2]COMPLETED!$M:$M,"Not Found")</f>
        <v>Not Found</v>
      </c>
      <c r="V2158" s="13">
        <f>_xlfn.XLOOKUP(Table2[[#This Row],[Adjusted Form '#]],[2]COMPLETED!$D:$D,[2]COMPLETED!$O:$O,"Not Found")</f>
        <v>45268</v>
      </c>
      <c r="W2158" s="6" t="str">
        <f>_xlfn.XLOOKUP(Table2[[#This Row],[Adjusted Form '#]],[2]BILLED!$D:$D,[2]BILLED!$M:$M,"Not Found")</f>
        <v>Not Found</v>
      </c>
      <c r="X2158" s="13" t="str">
        <f>_xlfn.XLOOKUP(Table2[[#This Row],[Adjusted Form '#]],[2]BILLED!$D:$D,[1]BILLED!$O:$O,"Not Found")</f>
        <v>Not Found</v>
      </c>
      <c r="Y2158" s="13" t="e">
        <f>_xlfn.XLOOKUP(Table2[[#This Row],[Adjusted Form '#]],'[2]REJECTED ORDERS'!$D:$D,'[2]REJECTED ORDERS'!$E:$E)</f>
        <v>#N/A</v>
      </c>
      <c r="Z2158" s="1"/>
      <c r="AA2158" s="1"/>
    </row>
    <row r="2159" spans="1:27" ht="15" customHeight="1" x14ac:dyDescent="0.35">
      <c r="A2159" s="4" t="s">
        <v>3159</v>
      </c>
      <c r="B2159" s="1" t="s">
        <v>4317</v>
      </c>
      <c r="C2159" s="11">
        <v>45259</v>
      </c>
      <c r="D2159" s="11" t="s">
        <v>7840</v>
      </c>
      <c r="E2159" s="1" t="s">
        <v>21</v>
      </c>
      <c r="F2159" s="1" t="s">
        <v>7834</v>
      </c>
      <c r="G2159" s="6">
        <f>COUNTIF(F:F,Table2[[#This Row],[Form '#]])</f>
        <v>1</v>
      </c>
      <c r="H2159" s="1" t="s">
        <v>7835</v>
      </c>
      <c r="I2159" s="1" t="s">
        <v>3864</v>
      </c>
      <c r="J2159" s="1" t="s">
        <v>78</v>
      </c>
      <c r="K2159" s="1" t="s">
        <v>3879</v>
      </c>
      <c r="L2159" s="1"/>
      <c r="M2159" s="6" t="str">
        <f>IF(Table2[[#This Row],[Corrected Form '#
 (If Duplicated)]]="",Table2[[#This Row],[Form '#]],Table2[[#This Row],[Corrected Form '#
 (If Duplicated)]])</f>
        <v>7818-33661</v>
      </c>
      <c r="N2159" s="1" t="s">
        <v>49</v>
      </c>
      <c r="O2159" s="6" t="str">
        <f>IF(Table2[[#This Row],[POG CONFIRMATION RECEIPT OF ORDER
(DATE &amp; TIME)]]="","No Confirmation","Received Confirmation")</f>
        <v>Received Confirmation</v>
      </c>
      <c r="P2159" s="6">
        <f ca="1">TODAY()-Table2[[#This Row],[DATE SENT TO POG]]</f>
        <v>44</v>
      </c>
      <c r="Q2159" s="6" t="s">
        <v>5803</v>
      </c>
      <c r="R21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5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59" s="6" t="str">
        <f>_xlfn.XLOOKUP(Table2[[#This Row],[Adjusted Form '#]],'[2]IN PROGRESS'!$D:$D,'[2]IN PROGRESS'!$M:$M,"Not Found")</f>
        <v>Not Found</v>
      </c>
      <c r="U2159" s="6" t="str">
        <f>_xlfn.XLOOKUP(Table2[[#This Row],[Adjusted Form '#]],[1]COMPLETED!$D:$D,[2]COMPLETED!$M:$M,"Not Found")</f>
        <v>Not Found</v>
      </c>
      <c r="V2159" s="13">
        <f>_xlfn.XLOOKUP(Table2[[#This Row],[Adjusted Form '#]],[2]COMPLETED!$D:$D,[2]COMPLETED!$O:$O,"Not Found")</f>
        <v>45267</v>
      </c>
      <c r="W2159" s="6" t="str">
        <f>_xlfn.XLOOKUP(Table2[[#This Row],[Adjusted Form '#]],[2]BILLED!$D:$D,[2]BILLED!$M:$M,"Not Found")</f>
        <v>Not Found</v>
      </c>
      <c r="X2159" s="13" t="str">
        <f>_xlfn.XLOOKUP(Table2[[#This Row],[Adjusted Form '#]],[2]BILLED!$D:$D,[1]BILLED!$O:$O,"Not Found")</f>
        <v>Not Found</v>
      </c>
      <c r="Y2159" s="13" t="e">
        <f>_xlfn.XLOOKUP(Table2[[#This Row],[Adjusted Form '#]],'[2]REJECTED ORDERS'!$D:$D,'[2]REJECTED ORDERS'!$E:$E)</f>
        <v>#N/A</v>
      </c>
      <c r="Z2159" s="1"/>
      <c r="AA2159" s="1"/>
    </row>
    <row r="2160" spans="1:27" ht="15" customHeight="1" x14ac:dyDescent="0.35">
      <c r="A2160" s="4" t="s">
        <v>3160</v>
      </c>
      <c r="B2160" s="1" t="s">
        <v>4317</v>
      </c>
      <c r="C2160" s="11">
        <v>45259</v>
      </c>
      <c r="D2160" s="11" t="s">
        <v>7840</v>
      </c>
      <c r="E2160" s="1" t="s">
        <v>21</v>
      </c>
      <c r="F2160" s="1" t="s">
        <v>7836</v>
      </c>
      <c r="G2160" s="6">
        <f>COUNTIF(F:F,Table2[[#This Row],[Form '#]])</f>
        <v>1</v>
      </c>
      <c r="H2160" s="1" t="s">
        <v>2564</v>
      </c>
      <c r="I2160" s="1" t="s">
        <v>758</v>
      </c>
      <c r="J2160" s="1" t="s">
        <v>78</v>
      </c>
      <c r="K2160" s="1" t="s">
        <v>3853</v>
      </c>
      <c r="L2160" s="1"/>
      <c r="M2160" s="6" t="str">
        <f>IF(Table2[[#This Row],[Corrected Form '#
 (If Duplicated)]]="",Table2[[#This Row],[Form '#]],Table2[[#This Row],[Corrected Form '#
 (If Duplicated)]])</f>
        <v>7818-29496</v>
      </c>
      <c r="N2160" s="1" t="s">
        <v>49</v>
      </c>
      <c r="O2160" s="6" t="str">
        <f>IF(Table2[[#This Row],[POG CONFIRMATION RECEIPT OF ORDER
(DATE &amp; TIME)]]="","No Confirmation","Received Confirmation")</f>
        <v>Received Confirmation</v>
      </c>
      <c r="P2160" s="6">
        <f ca="1">TODAY()-Table2[[#This Row],[DATE SENT TO POG]]</f>
        <v>44</v>
      </c>
      <c r="Q2160" s="6" t="s">
        <v>5803</v>
      </c>
      <c r="R21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0" s="6" t="str">
        <f>_xlfn.XLOOKUP(Table2[[#This Row],[Adjusted Form '#]],'[2]IN PROGRESS'!$D:$D,'[2]IN PROGRESS'!$M:$M,"Not Found")</f>
        <v>Not Found</v>
      </c>
      <c r="U2160" s="6" t="str">
        <f>_xlfn.XLOOKUP(Table2[[#This Row],[Adjusted Form '#]],[1]COMPLETED!$D:$D,[2]COMPLETED!$M:$M,"Not Found")</f>
        <v>Not Found</v>
      </c>
      <c r="V2160" s="13">
        <f>_xlfn.XLOOKUP(Table2[[#This Row],[Adjusted Form '#]],[2]COMPLETED!$D:$D,[2]COMPLETED!$O:$O,"Not Found")</f>
        <v>45267</v>
      </c>
      <c r="W2160" s="6" t="str">
        <f>_xlfn.XLOOKUP(Table2[[#This Row],[Adjusted Form '#]],[2]BILLED!$D:$D,[2]BILLED!$M:$M,"Not Found")</f>
        <v>Not Found</v>
      </c>
      <c r="X2160" s="13" t="str">
        <f>_xlfn.XLOOKUP(Table2[[#This Row],[Adjusted Form '#]],[2]BILLED!$D:$D,[1]BILLED!$O:$O,"Not Found")</f>
        <v>Not Found</v>
      </c>
      <c r="Y2160" s="13" t="e">
        <f>_xlfn.XLOOKUP(Table2[[#This Row],[Adjusted Form '#]],'[2]REJECTED ORDERS'!$D:$D,'[2]REJECTED ORDERS'!$E:$E)</f>
        <v>#N/A</v>
      </c>
      <c r="Z2160" s="1"/>
      <c r="AA2160" s="1"/>
    </row>
    <row r="2161" spans="1:27" ht="15" customHeight="1" x14ac:dyDescent="0.35">
      <c r="A2161" s="4" t="s">
        <v>3162</v>
      </c>
      <c r="B2161" s="1" t="s">
        <v>4317</v>
      </c>
      <c r="C2161" s="11">
        <v>45259</v>
      </c>
      <c r="D2161" s="11" t="s">
        <v>7840</v>
      </c>
      <c r="E2161" s="1" t="s">
        <v>21</v>
      </c>
      <c r="F2161" s="1" t="s">
        <v>7837</v>
      </c>
      <c r="G2161" s="6">
        <f>COUNTIF(F:F,Table2[[#This Row],[Form '#]])</f>
        <v>1</v>
      </c>
      <c r="H2161" s="1" t="s">
        <v>7838</v>
      </c>
      <c r="I2161" s="1" t="s">
        <v>3852</v>
      </c>
      <c r="J2161" s="1" t="s">
        <v>80</v>
      </c>
      <c r="K2161" s="1" t="s">
        <v>3853</v>
      </c>
      <c r="L2161" s="1"/>
      <c r="M2161" s="6" t="str">
        <f>IF(Table2[[#This Row],[Corrected Form '#
 (If Duplicated)]]="",Table2[[#This Row],[Form '#]],Table2[[#This Row],[Corrected Form '#
 (If Duplicated)]])</f>
        <v>7818-33664</v>
      </c>
      <c r="N2161" s="1" t="s">
        <v>49</v>
      </c>
      <c r="O2161" s="6" t="str">
        <f>IF(Table2[[#This Row],[POG CONFIRMATION RECEIPT OF ORDER
(DATE &amp; TIME)]]="","No Confirmation","Received Confirmation")</f>
        <v>Received Confirmation</v>
      </c>
      <c r="P2161" s="6">
        <f ca="1">TODAY()-Table2[[#This Row],[DATE SENT TO POG]]</f>
        <v>44</v>
      </c>
      <c r="Q2161" s="6" t="s">
        <v>5803</v>
      </c>
      <c r="R21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1" s="6" t="str">
        <f>_xlfn.XLOOKUP(Table2[[#This Row],[Adjusted Form '#]],'[2]IN PROGRESS'!$D:$D,'[2]IN PROGRESS'!$M:$M,"Not Found")</f>
        <v>Not Found</v>
      </c>
      <c r="U2161" s="6" t="str">
        <f>_xlfn.XLOOKUP(Table2[[#This Row],[Adjusted Form '#]],[1]COMPLETED!$D:$D,[2]COMPLETED!$M:$M,"Not Found")</f>
        <v>Not Found</v>
      </c>
      <c r="V2161" s="13">
        <f>_xlfn.XLOOKUP(Table2[[#This Row],[Adjusted Form '#]],[2]COMPLETED!$D:$D,[2]COMPLETED!$O:$O,"Not Found")</f>
        <v>45271</v>
      </c>
      <c r="W2161" s="6" t="str">
        <f>_xlfn.XLOOKUP(Table2[[#This Row],[Adjusted Form '#]],[2]BILLED!$D:$D,[2]BILLED!$M:$M,"Not Found")</f>
        <v>Not Found</v>
      </c>
      <c r="X2161" s="13" t="str">
        <f>_xlfn.XLOOKUP(Table2[[#This Row],[Adjusted Form '#]],[2]BILLED!$D:$D,[1]BILLED!$O:$O,"Not Found")</f>
        <v>Not Found</v>
      </c>
      <c r="Y2161" s="13" t="e">
        <f>_xlfn.XLOOKUP(Table2[[#This Row],[Adjusted Form '#]],'[2]REJECTED ORDERS'!$D:$D,'[2]REJECTED ORDERS'!$E:$E)</f>
        <v>#N/A</v>
      </c>
      <c r="Z2161" s="1"/>
      <c r="AA2161" s="1"/>
    </row>
    <row r="2162" spans="1:27" ht="15" customHeight="1" x14ac:dyDescent="0.35">
      <c r="A2162" s="4" t="s">
        <v>3164</v>
      </c>
      <c r="B2162" s="1" t="s">
        <v>3559</v>
      </c>
      <c r="C2162" s="11">
        <v>45259</v>
      </c>
      <c r="D2162" s="11" t="s">
        <v>7847</v>
      </c>
      <c r="E2162" s="1" t="s">
        <v>21</v>
      </c>
      <c r="F2162" s="1" t="s">
        <v>7841</v>
      </c>
      <c r="G2162" s="6">
        <f>COUNTIF(F:F,Table2[[#This Row],[Form '#]])</f>
        <v>1</v>
      </c>
      <c r="H2162" s="1" t="s">
        <v>3562</v>
      </c>
      <c r="I2162" s="1" t="s">
        <v>758</v>
      </c>
      <c r="J2162" s="1" t="s">
        <v>78</v>
      </c>
      <c r="K2162" s="1" t="s">
        <v>3853</v>
      </c>
      <c r="L2162" s="1"/>
      <c r="M2162" s="6" t="str">
        <f>IF(Table2[[#This Row],[Corrected Form '#
 (If Duplicated)]]="",Table2[[#This Row],[Form '#]],Table2[[#This Row],[Corrected Form '#
 (If Duplicated)]])</f>
        <v>7818-23652</v>
      </c>
      <c r="N2162" s="1" t="s">
        <v>49</v>
      </c>
      <c r="O2162" s="6" t="str">
        <f>IF(Table2[[#This Row],[POG CONFIRMATION RECEIPT OF ORDER
(DATE &amp; TIME)]]="","No Confirmation","Received Confirmation")</f>
        <v>Received Confirmation</v>
      </c>
      <c r="P2162" s="6">
        <f ca="1">TODAY()-Table2[[#This Row],[DATE SENT TO POG]]</f>
        <v>44</v>
      </c>
      <c r="Q2162" s="6" t="s">
        <v>5803</v>
      </c>
      <c r="R21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2" s="6" t="str">
        <f>_xlfn.XLOOKUP(Table2[[#This Row],[Adjusted Form '#]],'[2]IN PROGRESS'!$D:$D,'[2]IN PROGRESS'!$M:$M,"Not Found")</f>
        <v>Not Found</v>
      </c>
      <c r="U2162" s="6" t="str">
        <f>_xlfn.XLOOKUP(Table2[[#This Row],[Adjusted Form '#]],[1]COMPLETED!$D:$D,[2]COMPLETED!$M:$M,"Not Found")</f>
        <v>Not Found</v>
      </c>
      <c r="V2162" s="13">
        <f>_xlfn.XLOOKUP(Table2[[#This Row],[Adjusted Form '#]],[2]COMPLETED!$D:$D,[2]COMPLETED!$O:$O,"Not Found")</f>
        <v>45269</v>
      </c>
      <c r="W2162" s="6" t="str">
        <f>_xlfn.XLOOKUP(Table2[[#This Row],[Adjusted Form '#]],[2]BILLED!$D:$D,[2]BILLED!$M:$M,"Not Found")</f>
        <v>Not Found</v>
      </c>
      <c r="X2162" s="13" t="str">
        <f>_xlfn.XLOOKUP(Table2[[#This Row],[Adjusted Form '#]],[2]BILLED!$D:$D,[1]BILLED!$O:$O,"Not Found")</f>
        <v>Not Found</v>
      </c>
      <c r="Y2162" s="13" t="e">
        <f>_xlfn.XLOOKUP(Table2[[#This Row],[Adjusted Form '#]],'[2]REJECTED ORDERS'!$D:$D,'[2]REJECTED ORDERS'!$E:$E)</f>
        <v>#N/A</v>
      </c>
      <c r="Z2162" s="1"/>
      <c r="AA2162" s="1"/>
    </row>
    <row r="2163" spans="1:27" ht="15" customHeight="1" x14ac:dyDescent="0.35">
      <c r="A2163" s="4" t="s">
        <v>3165</v>
      </c>
      <c r="B2163" s="1" t="s">
        <v>3559</v>
      </c>
      <c r="C2163" s="11">
        <v>45259</v>
      </c>
      <c r="D2163" s="11" t="s">
        <v>7847</v>
      </c>
      <c r="E2163" s="1" t="s">
        <v>21</v>
      </c>
      <c r="F2163" s="1" t="s">
        <v>7842</v>
      </c>
      <c r="G2163" s="6">
        <f>COUNTIF(F:F,Table2[[#This Row],[Form '#]])</f>
        <v>1</v>
      </c>
      <c r="H2163" s="1" t="s">
        <v>3494</v>
      </c>
      <c r="I2163" s="1" t="s">
        <v>3852</v>
      </c>
      <c r="J2163" s="1" t="s">
        <v>80</v>
      </c>
      <c r="K2163" s="1" t="s">
        <v>3853</v>
      </c>
      <c r="L2163" s="1"/>
      <c r="M2163" s="6" t="str">
        <f>IF(Table2[[#This Row],[Corrected Form '#
 (If Duplicated)]]="",Table2[[#This Row],[Form '#]],Table2[[#This Row],[Corrected Form '#
 (If Duplicated)]])</f>
        <v>7818-31649</v>
      </c>
      <c r="N2163" s="1" t="s">
        <v>49</v>
      </c>
      <c r="O2163" s="6" t="str">
        <f>IF(Table2[[#This Row],[POG CONFIRMATION RECEIPT OF ORDER
(DATE &amp; TIME)]]="","No Confirmation","Received Confirmation")</f>
        <v>Received Confirmation</v>
      </c>
      <c r="P2163" s="6">
        <f ca="1">TODAY()-Table2[[#This Row],[DATE SENT TO POG]]</f>
        <v>44</v>
      </c>
      <c r="Q2163" s="6" t="s">
        <v>5803</v>
      </c>
      <c r="R21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3" s="6" t="str">
        <f>_xlfn.XLOOKUP(Table2[[#This Row],[Adjusted Form '#]],'[2]IN PROGRESS'!$D:$D,'[2]IN PROGRESS'!$M:$M,"Not Found")</f>
        <v>Not Found</v>
      </c>
      <c r="U2163" s="6" t="str">
        <f>_xlfn.XLOOKUP(Table2[[#This Row],[Adjusted Form '#]],[1]COMPLETED!$D:$D,[2]COMPLETED!$M:$M,"Not Found")</f>
        <v>Not Found</v>
      </c>
      <c r="V2163" s="13">
        <f>_xlfn.XLOOKUP(Table2[[#This Row],[Adjusted Form '#]],[2]COMPLETED!$D:$D,[2]COMPLETED!$O:$O,"Not Found")</f>
        <v>45271</v>
      </c>
      <c r="W2163" s="6" t="str">
        <f>_xlfn.XLOOKUP(Table2[[#This Row],[Adjusted Form '#]],[2]BILLED!$D:$D,[2]BILLED!$M:$M,"Not Found")</f>
        <v>Not Found</v>
      </c>
      <c r="X2163" s="13" t="str">
        <f>_xlfn.XLOOKUP(Table2[[#This Row],[Adjusted Form '#]],[2]BILLED!$D:$D,[1]BILLED!$O:$O,"Not Found")</f>
        <v>Not Found</v>
      </c>
      <c r="Y2163" s="13" t="e">
        <f>_xlfn.XLOOKUP(Table2[[#This Row],[Adjusted Form '#]],'[2]REJECTED ORDERS'!$D:$D,'[2]REJECTED ORDERS'!$E:$E)</f>
        <v>#N/A</v>
      </c>
      <c r="Z2163" s="1"/>
      <c r="AA2163" s="1"/>
    </row>
    <row r="2164" spans="1:27" ht="15" customHeight="1" x14ac:dyDescent="0.35">
      <c r="A2164" s="4" t="s">
        <v>3167</v>
      </c>
      <c r="B2164" s="1" t="s">
        <v>3559</v>
      </c>
      <c r="C2164" s="11">
        <v>45259</v>
      </c>
      <c r="D2164" s="11" t="s">
        <v>7847</v>
      </c>
      <c r="E2164" s="1" t="s">
        <v>21</v>
      </c>
      <c r="F2164" s="1" t="s">
        <v>7843</v>
      </c>
      <c r="G2164" s="6">
        <f>COUNTIF(F:F,Table2[[#This Row],[Form '#]])</f>
        <v>1</v>
      </c>
      <c r="H2164" s="1" t="s">
        <v>3600</v>
      </c>
      <c r="I2164" s="1" t="s">
        <v>177</v>
      </c>
      <c r="J2164" s="1" t="s">
        <v>75</v>
      </c>
      <c r="K2164" s="1" t="s">
        <v>4011</v>
      </c>
      <c r="L2164" s="1"/>
      <c r="M2164" s="6" t="str">
        <f>IF(Table2[[#This Row],[Corrected Form '#
 (If Duplicated)]]="",Table2[[#This Row],[Form '#]],Table2[[#This Row],[Corrected Form '#
 (If Duplicated)]])</f>
        <v>7818-26616</v>
      </c>
      <c r="N2164" s="1" t="s">
        <v>49</v>
      </c>
      <c r="O2164" s="6" t="str">
        <f>IF(Table2[[#This Row],[POG CONFIRMATION RECEIPT OF ORDER
(DATE &amp; TIME)]]="","No Confirmation","Received Confirmation")</f>
        <v>Received Confirmation</v>
      </c>
      <c r="P2164" s="6">
        <f ca="1">TODAY()-Table2[[#This Row],[DATE SENT TO POG]]</f>
        <v>44</v>
      </c>
      <c r="Q2164" s="6" t="s">
        <v>5803</v>
      </c>
      <c r="R21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4" s="6" t="str">
        <f>_xlfn.XLOOKUP(Table2[[#This Row],[Adjusted Form '#]],'[2]IN PROGRESS'!$D:$D,'[2]IN PROGRESS'!$M:$M,"Not Found")</f>
        <v>Not Found</v>
      </c>
      <c r="U2164" s="6" t="str">
        <f>_xlfn.XLOOKUP(Table2[[#This Row],[Adjusted Form '#]],[1]COMPLETED!$D:$D,[2]COMPLETED!$M:$M,"Not Found")</f>
        <v>Not Found</v>
      </c>
      <c r="V2164" s="13">
        <f>_xlfn.XLOOKUP(Table2[[#This Row],[Adjusted Form '#]],[2]COMPLETED!$D:$D,[2]COMPLETED!$O:$O,"Not Found")</f>
        <v>45267</v>
      </c>
      <c r="W2164" s="6" t="str">
        <f>_xlfn.XLOOKUP(Table2[[#This Row],[Adjusted Form '#]],[2]BILLED!$D:$D,[2]BILLED!$M:$M,"Not Found")</f>
        <v>Not Found</v>
      </c>
      <c r="X2164" s="13" t="str">
        <f>_xlfn.XLOOKUP(Table2[[#This Row],[Adjusted Form '#]],[2]BILLED!$D:$D,[1]BILLED!$O:$O,"Not Found")</f>
        <v>Not Found</v>
      </c>
      <c r="Y2164" s="13" t="e">
        <f>_xlfn.XLOOKUP(Table2[[#This Row],[Adjusted Form '#]],'[2]REJECTED ORDERS'!$D:$D,'[2]REJECTED ORDERS'!$E:$E)</f>
        <v>#N/A</v>
      </c>
      <c r="Z2164" s="1"/>
      <c r="AA2164" s="1"/>
    </row>
    <row r="2165" spans="1:27" ht="15" customHeight="1" x14ac:dyDescent="0.35">
      <c r="A2165" s="4" t="s">
        <v>3168</v>
      </c>
      <c r="B2165" s="1" t="s">
        <v>3559</v>
      </c>
      <c r="C2165" s="11">
        <v>45259</v>
      </c>
      <c r="D2165" s="11" t="s">
        <v>7847</v>
      </c>
      <c r="E2165" s="1" t="s">
        <v>21</v>
      </c>
      <c r="F2165" s="1" t="s">
        <v>7844</v>
      </c>
      <c r="G2165" s="6">
        <f>COUNTIF(F:F,Table2[[#This Row],[Form '#]])</f>
        <v>1</v>
      </c>
      <c r="H2165" s="1" t="s">
        <v>3457</v>
      </c>
      <c r="I2165" s="1" t="s">
        <v>3852</v>
      </c>
      <c r="J2165" s="1" t="s">
        <v>80</v>
      </c>
      <c r="K2165" s="1" t="s">
        <v>3853</v>
      </c>
      <c r="L2165" s="1"/>
      <c r="M2165" s="6" t="str">
        <f>IF(Table2[[#This Row],[Corrected Form '#
 (If Duplicated)]]="",Table2[[#This Row],[Form '#]],Table2[[#This Row],[Corrected Form '#
 (If Duplicated)]])</f>
        <v>7818-27819</v>
      </c>
      <c r="N2165" s="1" t="s">
        <v>49</v>
      </c>
      <c r="O2165" s="6" t="str">
        <f>IF(Table2[[#This Row],[POG CONFIRMATION RECEIPT OF ORDER
(DATE &amp; TIME)]]="","No Confirmation","Received Confirmation")</f>
        <v>Received Confirmation</v>
      </c>
      <c r="P2165" s="6">
        <f ca="1">TODAY()-Table2[[#This Row],[DATE SENT TO POG]]</f>
        <v>44</v>
      </c>
      <c r="Q2165" s="6" t="s">
        <v>5803</v>
      </c>
      <c r="R21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5" s="6" t="str">
        <f>_xlfn.XLOOKUP(Table2[[#This Row],[Adjusted Form '#]],'[2]IN PROGRESS'!$D:$D,'[2]IN PROGRESS'!$M:$M,"Not Found")</f>
        <v>Not Found</v>
      </c>
      <c r="U2165" s="6" t="str">
        <f>_xlfn.XLOOKUP(Table2[[#This Row],[Adjusted Form '#]],[1]COMPLETED!$D:$D,[2]COMPLETED!$M:$M,"Not Found")</f>
        <v>Not Found</v>
      </c>
      <c r="V2165" s="13">
        <f>_xlfn.XLOOKUP(Table2[[#This Row],[Adjusted Form '#]],[2]COMPLETED!$D:$D,[2]COMPLETED!$O:$O,"Not Found")</f>
        <v>45271</v>
      </c>
      <c r="W2165" s="6" t="str">
        <f>_xlfn.XLOOKUP(Table2[[#This Row],[Adjusted Form '#]],[2]BILLED!$D:$D,[2]BILLED!$M:$M,"Not Found")</f>
        <v>Not Found</v>
      </c>
      <c r="X2165" s="13" t="str">
        <f>_xlfn.XLOOKUP(Table2[[#This Row],[Adjusted Form '#]],[2]BILLED!$D:$D,[1]BILLED!$O:$O,"Not Found")</f>
        <v>Not Found</v>
      </c>
      <c r="Y2165" s="13" t="e">
        <f>_xlfn.XLOOKUP(Table2[[#This Row],[Adjusted Form '#]],'[2]REJECTED ORDERS'!$D:$D,'[2]REJECTED ORDERS'!$E:$E)</f>
        <v>#N/A</v>
      </c>
      <c r="Z2165" s="1"/>
      <c r="AA2165" s="1"/>
    </row>
    <row r="2166" spans="1:27" ht="15" customHeight="1" x14ac:dyDescent="0.35">
      <c r="A2166" s="4" t="s">
        <v>3169</v>
      </c>
      <c r="B2166" s="1" t="s">
        <v>7722</v>
      </c>
      <c r="C2166" s="11">
        <v>45259</v>
      </c>
      <c r="D2166" s="11" t="s">
        <v>7848</v>
      </c>
      <c r="E2166" s="1" t="s">
        <v>73</v>
      </c>
      <c r="F2166" s="1" t="s">
        <v>7845</v>
      </c>
      <c r="G2166" s="6">
        <f>COUNTIF(F:F,Table2[[#This Row],[Form '#]])</f>
        <v>1</v>
      </c>
      <c r="H2166" s="1" t="s">
        <v>7846</v>
      </c>
      <c r="I2166" s="1" t="s">
        <v>3852</v>
      </c>
      <c r="J2166" s="1" t="s">
        <v>80</v>
      </c>
      <c r="K2166" s="1" t="s">
        <v>3853</v>
      </c>
      <c r="L2166" s="1"/>
      <c r="M2166" s="6" t="str">
        <f>IF(Table2[[#This Row],[Corrected Form '#
 (If Duplicated)]]="",Table2[[#This Row],[Form '#]],Table2[[#This Row],[Corrected Form '#
 (If Duplicated)]])</f>
        <v>7823-03257</v>
      </c>
      <c r="N2166" s="1" t="s">
        <v>49</v>
      </c>
      <c r="O2166" s="6" t="str">
        <f>IF(Table2[[#This Row],[POG CONFIRMATION RECEIPT OF ORDER
(DATE &amp; TIME)]]="","No Confirmation","Received Confirmation")</f>
        <v>Received Confirmation</v>
      </c>
      <c r="P2166" s="6">
        <f ca="1">TODAY()-Table2[[#This Row],[DATE SENT TO POG]]</f>
        <v>44</v>
      </c>
      <c r="Q2166" s="6" t="s">
        <v>5803</v>
      </c>
      <c r="R21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6" s="6" t="str">
        <f>_xlfn.XLOOKUP(Table2[[#This Row],[Adjusted Form '#]],'[2]IN PROGRESS'!$D:$D,'[2]IN PROGRESS'!$M:$M,"Not Found")</f>
        <v>Not Found</v>
      </c>
      <c r="U2166" s="6" t="str">
        <f>_xlfn.XLOOKUP(Table2[[#This Row],[Adjusted Form '#]],[1]COMPLETED!$D:$D,[2]COMPLETED!$M:$M,"Not Found")</f>
        <v>Not Found</v>
      </c>
      <c r="V2166" s="13">
        <f>_xlfn.XLOOKUP(Table2[[#This Row],[Adjusted Form '#]],[2]COMPLETED!$D:$D,[2]COMPLETED!$O:$O,"Not Found")</f>
        <v>45271</v>
      </c>
      <c r="W2166" s="6" t="str">
        <f>_xlfn.XLOOKUP(Table2[[#This Row],[Adjusted Form '#]],[2]BILLED!$D:$D,[2]BILLED!$M:$M,"Not Found")</f>
        <v>Not Found</v>
      </c>
      <c r="X2166" s="13" t="str">
        <f>_xlfn.XLOOKUP(Table2[[#This Row],[Adjusted Form '#]],[2]BILLED!$D:$D,[1]BILLED!$O:$O,"Not Found")</f>
        <v>Not Found</v>
      </c>
      <c r="Y2166" s="13" t="e">
        <f>_xlfn.XLOOKUP(Table2[[#This Row],[Adjusted Form '#]],'[2]REJECTED ORDERS'!$D:$D,'[2]REJECTED ORDERS'!$E:$E)</f>
        <v>#N/A</v>
      </c>
      <c r="Z2166" s="1"/>
      <c r="AA2166" s="1"/>
    </row>
    <row r="2167" spans="1:27" ht="15" customHeight="1" x14ac:dyDescent="0.35">
      <c r="A2167" s="4" t="s">
        <v>3171</v>
      </c>
      <c r="B2167" s="1" t="s">
        <v>7849</v>
      </c>
      <c r="C2167" s="11">
        <v>45260</v>
      </c>
      <c r="D2167" s="11" t="s">
        <v>7856</v>
      </c>
      <c r="E2167" s="1" t="s">
        <v>1592</v>
      </c>
      <c r="F2167" s="1" t="s">
        <v>7850</v>
      </c>
      <c r="G2167" s="6">
        <f>COUNTIF(F:F,Table2[[#This Row],[Form '#]])</f>
        <v>1</v>
      </c>
      <c r="H2167" s="1" t="s">
        <v>7851</v>
      </c>
      <c r="I2167" s="1" t="s">
        <v>3852</v>
      </c>
      <c r="J2167" s="1" t="s">
        <v>3891</v>
      </c>
      <c r="K2167" s="1" t="s">
        <v>4430</v>
      </c>
      <c r="L2167" s="1"/>
      <c r="M2167" s="6" t="str">
        <f>IF(Table2[[#This Row],[Corrected Form '#
 (If Duplicated)]]="",Table2[[#This Row],[Form '#]],Table2[[#This Row],[Corrected Form '#
 (If Duplicated)]])</f>
        <v>7811-00402</v>
      </c>
      <c r="N2167" s="1" t="s">
        <v>49</v>
      </c>
      <c r="O2167" s="6" t="str">
        <f>IF(Table2[[#This Row],[POG CONFIRMATION RECEIPT OF ORDER
(DATE &amp; TIME)]]="","No Confirmation","Received Confirmation")</f>
        <v>Received Confirmation</v>
      </c>
      <c r="P2167" s="6">
        <f ca="1">TODAY()-Table2[[#This Row],[DATE SENT TO POG]]</f>
        <v>43</v>
      </c>
      <c r="Q2167" s="6" t="s">
        <v>5803</v>
      </c>
      <c r="R21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7" s="6" t="str">
        <f>_xlfn.XLOOKUP(Table2[[#This Row],[Adjusted Form '#]],'[2]IN PROGRESS'!$D:$D,'[2]IN PROGRESS'!$M:$M,"Not Found")</f>
        <v>Not Found</v>
      </c>
      <c r="U2167" s="6" t="str">
        <f>_xlfn.XLOOKUP(Table2[[#This Row],[Adjusted Form '#]],[1]COMPLETED!$D:$D,[2]COMPLETED!$M:$M,"Not Found")</f>
        <v>Not Found</v>
      </c>
      <c r="V2167" s="13">
        <f>_xlfn.XLOOKUP(Table2[[#This Row],[Adjusted Form '#]],[2]COMPLETED!$D:$D,[2]COMPLETED!$O:$O,"Not Found")</f>
        <v>45268</v>
      </c>
      <c r="W2167" s="6" t="str">
        <f>_xlfn.XLOOKUP(Table2[[#This Row],[Adjusted Form '#]],[2]BILLED!$D:$D,[2]BILLED!$M:$M,"Not Found")</f>
        <v>Not Found</v>
      </c>
      <c r="X2167" s="13" t="str">
        <f>_xlfn.XLOOKUP(Table2[[#This Row],[Adjusted Form '#]],[2]BILLED!$D:$D,[1]BILLED!$O:$O,"Not Found")</f>
        <v>Not Found</v>
      </c>
      <c r="Y2167" s="13" t="e">
        <f>_xlfn.XLOOKUP(Table2[[#This Row],[Adjusted Form '#]],'[2]REJECTED ORDERS'!$D:$D,'[2]REJECTED ORDERS'!$E:$E)</f>
        <v>#N/A</v>
      </c>
      <c r="Z2167" s="1"/>
      <c r="AA2167" s="1"/>
    </row>
    <row r="2168" spans="1:27" ht="15" customHeight="1" x14ac:dyDescent="0.35">
      <c r="A2168" s="4" t="s">
        <v>3172</v>
      </c>
      <c r="B2168" s="1" t="s">
        <v>390</v>
      </c>
      <c r="C2168" s="11">
        <v>45260</v>
      </c>
      <c r="D2168" s="11" t="s">
        <v>7857</v>
      </c>
      <c r="E2168" s="1" t="s">
        <v>21</v>
      </c>
      <c r="F2168" s="1" t="s">
        <v>7852</v>
      </c>
      <c r="G2168" s="6">
        <f>COUNTIF(F:F,Table2[[#This Row],[Form '#]])</f>
        <v>1</v>
      </c>
      <c r="H2168" s="1" t="s">
        <v>7853</v>
      </c>
      <c r="I2168" s="1" t="s">
        <v>3852</v>
      </c>
      <c r="J2168" s="1" t="s">
        <v>75</v>
      </c>
      <c r="K2168" s="1" t="s">
        <v>3853</v>
      </c>
      <c r="L2168" s="1"/>
      <c r="M2168" s="6" t="str">
        <f>IF(Table2[[#This Row],[Corrected Form '#
 (If Duplicated)]]="",Table2[[#This Row],[Form '#]],Table2[[#This Row],[Corrected Form '#
 (If Duplicated)]])</f>
        <v>7818-27802</v>
      </c>
      <c r="N2168" s="1" t="s">
        <v>49</v>
      </c>
      <c r="O2168" s="6" t="str">
        <f>IF(Table2[[#This Row],[POG CONFIRMATION RECEIPT OF ORDER
(DATE &amp; TIME)]]="","No Confirmation","Received Confirmation")</f>
        <v>Received Confirmation</v>
      </c>
      <c r="P2168" s="6">
        <f ca="1">TODAY()-Table2[[#This Row],[DATE SENT TO POG]]</f>
        <v>43</v>
      </c>
      <c r="Q2168" s="6" t="s">
        <v>5803</v>
      </c>
      <c r="R21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8" s="6" t="str">
        <f>_xlfn.XLOOKUP(Table2[[#This Row],[Adjusted Form '#]],'[2]IN PROGRESS'!$D:$D,'[2]IN PROGRESS'!$M:$M,"Not Found")</f>
        <v>Not Found</v>
      </c>
      <c r="U2168" s="6" t="str">
        <f>_xlfn.XLOOKUP(Table2[[#This Row],[Adjusted Form '#]],[1]COMPLETED!$D:$D,[2]COMPLETED!$M:$M,"Not Found")</f>
        <v>Not Found</v>
      </c>
      <c r="V2168" s="13">
        <f>_xlfn.XLOOKUP(Table2[[#This Row],[Adjusted Form '#]],[2]COMPLETED!$D:$D,[2]COMPLETED!$O:$O,"Not Found")</f>
        <v>45268</v>
      </c>
      <c r="W2168" s="6" t="str">
        <f>_xlfn.XLOOKUP(Table2[[#This Row],[Adjusted Form '#]],[2]BILLED!$D:$D,[2]BILLED!$M:$M,"Not Found")</f>
        <v>Not Found</v>
      </c>
      <c r="X2168" s="13" t="str">
        <f>_xlfn.XLOOKUP(Table2[[#This Row],[Adjusted Form '#]],[2]BILLED!$D:$D,[1]BILLED!$O:$O,"Not Found")</f>
        <v>Not Found</v>
      </c>
      <c r="Y2168" s="13" t="e">
        <f>_xlfn.XLOOKUP(Table2[[#This Row],[Adjusted Form '#]],'[2]REJECTED ORDERS'!$D:$D,'[2]REJECTED ORDERS'!$E:$E)</f>
        <v>#N/A</v>
      </c>
      <c r="Z2168" s="1"/>
      <c r="AA2168" s="1"/>
    </row>
    <row r="2169" spans="1:27" ht="15" customHeight="1" x14ac:dyDescent="0.35">
      <c r="A2169" s="4" t="s">
        <v>3173</v>
      </c>
      <c r="B2169" s="1" t="s">
        <v>390</v>
      </c>
      <c r="C2169" s="11">
        <v>45260</v>
      </c>
      <c r="D2169" s="11" t="s">
        <v>7857</v>
      </c>
      <c r="E2169" s="1" t="s">
        <v>21</v>
      </c>
      <c r="F2169" s="1" t="s">
        <v>7854</v>
      </c>
      <c r="G2169" s="6">
        <f>COUNTIF(F:F,Table2[[#This Row],[Form '#]])</f>
        <v>1</v>
      </c>
      <c r="H2169" s="1" t="s">
        <v>2208</v>
      </c>
      <c r="I2169" s="1" t="s">
        <v>3852</v>
      </c>
      <c r="J2169" s="1" t="s">
        <v>75</v>
      </c>
      <c r="K2169" s="1" t="s">
        <v>3853</v>
      </c>
      <c r="L2169" s="1"/>
      <c r="M2169" s="6" t="str">
        <f>IF(Table2[[#This Row],[Corrected Form '#
 (If Duplicated)]]="",Table2[[#This Row],[Form '#]],Table2[[#This Row],[Corrected Form '#
 (If Duplicated)]])</f>
        <v>7818-33666</v>
      </c>
      <c r="N2169" s="1" t="s">
        <v>49</v>
      </c>
      <c r="O2169" s="6" t="str">
        <f>IF(Table2[[#This Row],[POG CONFIRMATION RECEIPT OF ORDER
(DATE &amp; TIME)]]="","No Confirmation","Received Confirmation")</f>
        <v>Received Confirmation</v>
      </c>
      <c r="P2169" s="6">
        <f ca="1">TODAY()-Table2[[#This Row],[DATE SENT TO POG]]</f>
        <v>43</v>
      </c>
      <c r="Q2169" s="6" t="s">
        <v>5803</v>
      </c>
      <c r="R21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6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69" s="6" t="str">
        <f>_xlfn.XLOOKUP(Table2[[#This Row],[Adjusted Form '#]],'[2]IN PROGRESS'!$D:$D,'[2]IN PROGRESS'!$M:$M,"Not Found")</f>
        <v>Not Found</v>
      </c>
      <c r="U2169" s="6" t="str">
        <f>_xlfn.XLOOKUP(Table2[[#This Row],[Adjusted Form '#]],[1]COMPLETED!$D:$D,[2]COMPLETED!$M:$M,"Not Found")</f>
        <v>Not Found</v>
      </c>
      <c r="V2169" s="13">
        <f>_xlfn.XLOOKUP(Table2[[#This Row],[Adjusted Form '#]],[2]COMPLETED!$D:$D,[2]COMPLETED!$O:$O,"Not Found")</f>
        <v>45269</v>
      </c>
      <c r="W2169" s="6" t="str">
        <f>_xlfn.XLOOKUP(Table2[[#This Row],[Adjusted Form '#]],[2]BILLED!$D:$D,[2]BILLED!$M:$M,"Not Found")</f>
        <v>Not Found</v>
      </c>
      <c r="X2169" s="13" t="str">
        <f>_xlfn.XLOOKUP(Table2[[#This Row],[Adjusted Form '#]],[2]BILLED!$D:$D,[1]BILLED!$O:$O,"Not Found")</f>
        <v>Not Found</v>
      </c>
      <c r="Y2169" s="13" t="e">
        <f>_xlfn.XLOOKUP(Table2[[#This Row],[Adjusted Form '#]],'[2]REJECTED ORDERS'!$D:$D,'[2]REJECTED ORDERS'!$E:$E)</f>
        <v>#N/A</v>
      </c>
      <c r="Z2169" s="1"/>
      <c r="AA2169" s="1"/>
    </row>
    <row r="2170" spans="1:27" ht="15" customHeight="1" x14ac:dyDescent="0.35">
      <c r="A2170" s="4" t="s">
        <v>3175</v>
      </c>
      <c r="B2170" s="1" t="s">
        <v>390</v>
      </c>
      <c r="C2170" s="11">
        <v>45260</v>
      </c>
      <c r="D2170" s="11" t="s">
        <v>7857</v>
      </c>
      <c r="E2170" s="1" t="s">
        <v>21</v>
      </c>
      <c r="F2170" s="1" t="s">
        <v>7855</v>
      </c>
      <c r="G2170" s="6">
        <f>COUNTIF(F:F,Table2[[#This Row],[Form '#]])</f>
        <v>1</v>
      </c>
      <c r="H2170" s="1" t="s">
        <v>3721</v>
      </c>
      <c r="I2170" s="1" t="s">
        <v>177</v>
      </c>
      <c r="J2170" s="1" t="s">
        <v>75</v>
      </c>
      <c r="K2170" s="1" t="s">
        <v>3853</v>
      </c>
      <c r="L2170" s="1"/>
      <c r="M2170" s="6" t="str">
        <f>IF(Table2[[#This Row],[Corrected Form '#
 (If Duplicated)]]="",Table2[[#This Row],[Form '#]],Table2[[#This Row],[Corrected Form '#
 (If Duplicated)]])</f>
        <v>7818-33667</v>
      </c>
      <c r="N2170" s="1" t="s">
        <v>49</v>
      </c>
      <c r="O2170" s="6" t="str">
        <f>IF(Table2[[#This Row],[POG CONFIRMATION RECEIPT OF ORDER
(DATE &amp; TIME)]]="","No Confirmation","Received Confirmation")</f>
        <v>Received Confirmation</v>
      </c>
      <c r="P2170" s="6">
        <f ca="1">TODAY()-Table2[[#This Row],[DATE SENT TO POG]]</f>
        <v>43</v>
      </c>
      <c r="Q2170" s="6" t="s">
        <v>5803</v>
      </c>
      <c r="R21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0" s="6" t="str">
        <f>_xlfn.XLOOKUP(Table2[[#This Row],[Adjusted Form '#]],'[2]IN PROGRESS'!$D:$D,'[2]IN PROGRESS'!$M:$M,"Not Found")</f>
        <v>Not Found</v>
      </c>
      <c r="U2170" s="6" t="str">
        <f>_xlfn.XLOOKUP(Table2[[#This Row],[Adjusted Form '#]],[1]COMPLETED!$D:$D,[2]COMPLETED!$M:$M,"Not Found")</f>
        <v>Not Found</v>
      </c>
      <c r="V2170" s="13">
        <f>_xlfn.XLOOKUP(Table2[[#This Row],[Adjusted Form '#]],[2]COMPLETED!$D:$D,[2]COMPLETED!$O:$O,"Not Found")</f>
        <v>0</v>
      </c>
      <c r="W2170" s="6" t="str">
        <f>_xlfn.XLOOKUP(Table2[[#This Row],[Adjusted Form '#]],[2]BILLED!$D:$D,[2]BILLED!$M:$M,"Not Found")</f>
        <v>Not Found</v>
      </c>
      <c r="X2170" s="13" t="str">
        <f>_xlfn.XLOOKUP(Table2[[#This Row],[Adjusted Form '#]],[2]BILLED!$D:$D,[1]BILLED!$O:$O,"Not Found")</f>
        <v>Not Found</v>
      </c>
      <c r="Y2170" s="13" t="e">
        <f>_xlfn.XLOOKUP(Table2[[#This Row],[Adjusted Form '#]],'[2]REJECTED ORDERS'!$D:$D,'[2]REJECTED ORDERS'!$E:$E)</f>
        <v>#N/A</v>
      </c>
      <c r="Z2170" s="1"/>
      <c r="AA2170" s="1"/>
    </row>
    <row r="2171" spans="1:27" ht="15" customHeight="1" x14ac:dyDescent="0.35">
      <c r="A2171" s="4" t="s">
        <v>3176</v>
      </c>
      <c r="B2171" s="1" t="s">
        <v>7858</v>
      </c>
      <c r="C2171" s="11">
        <v>45261</v>
      </c>
      <c r="D2171" s="11" t="s">
        <v>7869</v>
      </c>
      <c r="E2171" s="1" t="s">
        <v>14</v>
      </c>
      <c r="F2171" s="1" t="s">
        <v>7859</v>
      </c>
      <c r="G2171" s="6">
        <f>COUNTIF(F:F,Table2[[#This Row],[Form '#]])</f>
        <v>1</v>
      </c>
      <c r="H2171" s="1" t="s">
        <v>2963</v>
      </c>
      <c r="I2171" s="1" t="s">
        <v>127</v>
      </c>
      <c r="J2171" s="1" t="s">
        <v>76</v>
      </c>
      <c r="K2171" s="1" t="s">
        <v>3891</v>
      </c>
      <c r="L2171" s="1"/>
      <c r="M2171" s="6" t="str">
        <f>IF(Table2[[#This Row],[Corrected Form '#
 (If Duplicated)]]="",Table2[[#This Row],[Form '#]],Table2[[#This Row],[Corrected Form '#
 (If Duplicated)]])</f>
        <v>7810-01934</v>
      </c>
      <c r="N2171" s="1" t="s">
        <v>49</v>
      </c>
      <c r="O2171" s="6" t="str">
        <f>IF(Table2[[#This Row],[POG CONFIRMATION RECEIPT OF ORDER
(DATE &amp; TIME)]]="","No Confirmation","Received Confirmation")</f>
        <v>Received Confirmation</v>
      </c>
      <c r="P2171" s="6">
        <f ca="1">TODAY()-Table2[[#This Row],[DATE SENT TO POG]]</f>
        <v>42</v>
      </c>
      <c r="Q2171" s="6" t="s">
        <v>5803</v>
      </c>
      <c r="R21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1" s="6" t="str">
        <f>_xlfn.XLOOKUP(Table2[[#This Row],[Adjusted Form '#]],'[2]IN PROGRESS'!$D:$D,'[2]IN PROGRESS'!$M:$M,"Not Found")</f>
        <v>Not Found</v>
      </c>
      <c r="U2171" s="6" t="str">
        <f>_xlfn.XLOOKUP(Table2[[#This Row],[Adjusted Form '#]],[1]COMPLETED!$D:$D,[2]COMPLETED!$M:$M,"Not Found")</f>
        <v>Not Found</v>
      </c>
      <c r="V2171" s="13">
        <f>_xlfn.XLOOKUP(Table2[[#This Row],[Adjusted Form '#]],[2]COMPLETED!$D:$D,[2]COMPLETED!$O:$O,"Not Found")</f>
        <v>45269</v>
      </c>
      <c r="W2171" s="6" t="str">
        <f>_xlfn.XLOOKUP(Table2[[#This Row],[Adjusted Form '#]],[2]BILLED!$D:$D,[2]BILLED!$M:$M,"Not Found")</f>
        <v>Not Found</v>
      </c>
      <c r="X2171" s="13" t="str">
        <f>_xlfn.XLOOKUP(Table2[[#This Row],[Adjusted Form '#]],[2]BILLED!$D:$D,[1]BILLED!$O:$O,"Not Found")</f>
        <v>Not Found</v>
      </c>
      <c r="Y2171" s="13" t="e">
        <f>_xlfn.XLOOKUP(Table2[[#This Row],[Adjusted Form '#]],'[2]REJECTED ORDERS'!$D:$D,'[2]REJECTED ORDERS'!$E:$E)</f>
        <v>#N/A</v>
      </c>
      <c r="Z2171" s="1"/>
      <c r="AA2171" s="1"/>
    </row>
    <row r="2172" spans="1:27" ht="15" customHeight="1" x14ac:dyDescent="0.35">
      <c r="A2172" s="4" t="s">
        <v>3178</v>
      </c>
      <c r="B2172" s="1" t="s">
        <v>7019</v>
      </c>
      <c r="C2172" s="11">
        <v>45261</v>
      </c>
      <c r="D2172" s="11" t="s">
        <v>7869</v>
      </c>
      <c r="E2172" s="1" t="s">
        <v>191</v>
      </c>
      <c r="F2172" s="1" t="s">
        <v>7860</v>
      </c>
      <c r="G2172" s="6">
        <f>COUNTIF(F:F,Table2[[#This Row],[Form '#]])</f>
        <v>1</v>
      </c>
      <c r="H2172" s="1" t="s">
        <v>2044</v>
      </c>
      <c r="I2172" s="1" t="s">
        <v>177</v>
      </c>
      <c r="J2172" s="1" t="s">
        <v>75</v>
      </c>
      <c r="K2172" s="1" t="s">
        <v>4011</v>
      </c>
      <c r="L2172" s="1"/>
      <c r="M2172" s="6" t="str">
        <f>IF(Table2[[#This Row],[Corrected Form '#
 (If Duplicated)]]="",Table2[[#This Row],[Form '#]],Table2[[#This Row],[Corrected Form '#
 (If Duplicated)]])</f>
        <v>7812-04590</v>
      </c>
      <c r="N2172" s="1" t="s">
        <v>49</v>
      </c>
      <c r="O2172" s="6" t="str">
        <f>IF(Table2[[#This Row],[POG CONFIRMATION RECEIPT OF ORDER
(DATE &amp; TIME)]]="","No Confirmation","Received Confirmation")</f>
        <v>Received Confirmation</v>
      </c>
      <c r="P2172" s="6">
        <f ca="1">TODAY()-Table2[[#This Row],[DATE SENT TO POG]]</f>
        <v>42</v>
      </c>
      <c r="Q2172" s="6" t="s">
        <v>5803</v>
      </c>
      <c r="R21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2" s="6" t="str">
        <f>_xlfn.XLOOKUP(Table2[[#This Row],[Adjusted Form '#]],'[2]IN PROGRESS'!$D:$D,'[2]IN PROGRESS'!$M:$M,"Not Found")</f>
        <v>Not Found</v>
      </c>
      <c r="U2172" s="6" t="str">
        <f>_xlfn.XLOOKUP(Table2[[#This Row],[Adjusted Form '#]],[1]COMPLETED!$D:$D,[2]COMPLETED!$M:$M,"Not Found")</f>
        <v>Not Found</v>
      </c>
      <c r="V2172" s="13">
        <f>_xlfn.XLOOKUP(Table2[[#This Row],[Adjusted Form '#]],[2]COMPLETED!$D:$D,[2]COMPLETED!$O:$O,"Not Found")</f>
        <v>45271</v>
      </c>
      <c r="W2172" s="6" t="str">
        <f>_xlfn.XLOOKUP(Table2[[#This Row],[Adjusted Form '#]],[2]BILLED!$D:$D,[2]BILLED!$M:$M,"Not Found")</f>
        <v>Not Found</v>
      </c>
      <c r="X2172" s="13" t="str">
        <f>_xlfn.XLOOKUP(Table2[[#This Row],[Adjusted Form '#]],[2]BILLED!$D:$D,[1]BILLED!$O:$O,"Not Found")</f>
        <v>Not Found</v>
      </c>
      <c r="Y2172" s="13" t="e">
        <f>_xlfn.XLOOKUP(Table2[[#This Row],[Adjusted Form '#]],'[2]REJECTED ORDERS'!$D:$D,'[2]REJECTED ORDERS'!$E:$E)</f>
        <v>#N/A</v>
      </c>
      <c r="Z2172" s="1"/>
      <c r="AA2172" s="1"/>
    </row>
    <row r="2173" spans="1:27" ht="15" customHeight="1" x14ac:dyDescent="0.35">
      <c r="A2173" s="4" t="s">
        <v>3180</v>
      </c>
      <c r="B2173" s="1" t="s">
        <v>1324</v>
      </c>
      <c r="C2173" s="11">
        <v>45261</v>
      </c>
      <c r="D2173" s="11" t="s">
        <v>7869</v>
      </c>
      <c r="E2173" s="1" t="s">
        <v>21</v>
      </c>
      <c r="F2173" s="1" t="s">
        <v>7861</v>
      </c>
      <c r="G2173" s="6">
        <f>COUNTIF(F:F,Table2[[#This Row],[Form '#]])</f>
        <v>1</v>
      </c>
      <c r="H2173" s="1" t="s">
        <v>7862</v>
      </c>
      <c r="I2173" s="1" t="s">
        <v>3852</v>
      </c>
      <c r="J2173" s="1" t="s">
        <v>80</v>
      </c>
      <c r="K2173" s="1" t="s">
        <v>3853</v>
      </c>
      <c r="L2173" s="1"/>
      <c r="M2173" s="6" t="str">
        <f>IF(Table2[[#This Row],[Corrected Form '#
 (If Duplicated)]]="",Table2[[#This Row],[Form '#]],Table2[[#This Row],[Corrected Form '#
 (If Duplicated)]])</f>
        <v>7818-25824</v>
      </c>
      <c r="N2173" s="1" t="s">
        <v>49</v>
      </c>
      <c r="O2173" s="6" t="str">
        <f>IF(Table2[[#This Row],[POG CONFIRMATION RECEIPT OF ORDER
(DATE &amp; TIME)]]="","No Confirmation","Received Confirmation")</f>
        <v>Received Confirmation</v>
      </c>
      <c r="P2173" s="6">
        <f ca="1">TODAY()-Table2[[#This Row],[DATE SENT TO POG]]</f>
        <v>42</v>
      </c>
      <c r="Q2173" s="6" t="s">
        <v>5803</v>
      </c>
      <c r="R21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3" s="6" t="str">
        <f>_xlfn.XLOOKUP(Table2[[#This Row],[Adjusted Form '#]],'[2]IN PROGRESS'!$D:$D,'[2]IN PROGRESS'!$M:$M,"Not Found")</f>
        <v>Not Found</v>
      </c>
      <c r="U2173" s="6" t="str">
        <f>_xlfn.XLOOKUP(Table2[[#This Row],[Adjusted Form '#]],[1]COMPLETED!$D:$D,[2]COMPLETED!$M:$M,"Not Found")</f>
        <v>Not Found</v>
      </c>
      <c r="V2173" s="13">
        <f>_xlfn.XLOOKUP(Table2[[#This Row],[Adjusted Form '#]],[2]COMPLETED!$D:$D,[2]COMPLETED!$O:$O,"Not Found")</f>
        <v>45271</v>
      </c>
      <c r="W2173" s="6" t="str">
        <f>_xlfn.XLOOKUP(Table2[[#This Row],[Adjusted Form '#]],[2]BILLED!$D:$D,[2]BILLED!$M:$M,"Not Found")</f>
        <v>Not Found</v>
      </c>
      <c r="X2173" s="13" t="str">
        <f>_xlfn.XLOOKUP(Table2[[#This Row],[Adjusted Form '#]],[2]BILLED!$D:$D,[1]BILLED!$O:$O,"Not Found")</f>
        <v>Not Found</v>
      </c>
      <c r="Y2173" s="13" t="e">
        <f>_xlfn.XLOOKUP(Table2[[#This Row],[Adjusted Form '#]],'[2]REJECTED ORDERS'!$D:$D,'[2]REJECTED ORDERS'!$E:$E)</f>
        <v>#N/A</v>
      </c>
      <c r="Z2173" s="1"/>
      <c r="AA2173" s="1"/>
    </row>
    <row r="2174" spans="1:27" ht="15" customHeight="1" x14ac:dyDescent="0.35">
      <c r="A2174" s="4" t="s">
        <v>3181</v>
      </c>
      <c r="B2174" s="1" t="s">
        <v>1324</v>
      </c>
      <c r="C2174" s="11">
        <v>45261</v>
      </c>
      <c r="D2174" s="11" t="s">
        <v>7869</v>
      </c>
      <c r="E2174" s="1" t="s">
        <v>21</v>
      </c>
      <c r="F2174" s="1" t="s">
        <v>7863</v>
      </c>
      <c r="G2174" s="6">
        <f>COUNTIF(F:F,Table2[[#This Row],[Form '#]])</f>
        <v>1</v>
      </c>
      <c r="H2174" s="1" t="s">
        <v>2446</v>
      </c>
      <c r="I2174" s="1" t="s">
        <v>3852</v>
      </c>
      <c r="J2174" s="1" t="s">
        <v>80</v>
      </c>
      <c r="K2174" s="1" t="s">
        <v>3853</v>
      </c>
      <c r="L2174" s="1"/>
      <c r="M2174" s="6" t="str">
        <f>IF(Table2[[#This Row],[Corrected Form '#
 (If Duplicated)]]="",Table2[[#This Row],[Form '#]],Table2[[#This Row],[Corrected Form '#
 (If Duplicated)]])</f>
        <v>7818-24846</v>
      </c>
      <c r="N2174" s="1" t="s">
        <v>49</v>
      </c>
      <c r="O2174" s="6" t="str">
        <f>IF(Table2[[#This Row],[POG CONFIRMATION RECEIPT OF ORDER
(DATE &amp; TIME)]]="","No Confirmation","Received Confirmation")</f>
        <v>Received Confirmation</v>
      </c>
      <c r="P2174" s="6">
        <f ca="1">TODAY()-Table2[[#This Row],[DATE SENT TO POG]]</f>
        <v>42</v>
      </c>
      <c r="Q2174" s="6" t="s">
        <v>5803</v>
      </c>
      <c r="R21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4" s="6" t="str">
        <f>_xlfn.XLOOKUP(Table2[[#This Row],[Adjusted Form '#]],'[2]IN PROGRESS'!$D:$D,'[2]IN PROGRESS'!$M:$M,"Not Found")</f>
        <v>Not Found</v>
      </c>
      <c r="U2174" s="6" t="str">
        <f>_xlfn.XLOOKUP(Table2[[#This Row],[Adjusted Form '#]],[1]COMPLETED!$D:$D,[2]COMPLETED!$M:$M,"Not Found")</f>
        <v>Not Found</v>
      </c>
      <c r="V2174" s="13">
        <f>_xlfn.XLOOKUP(Table2[[#This Row],[Adjusted Form '#]],[2]COMPLETED!$D:$D,[2]COMPLETED!$O:$O,"Not Found")</f>
        <v>45271</v>
      </c>
      <c r="W2174" s="6" t="str">
        <f>_xlfn.XLOOKUP(Table2[[#This Row],[Adjusted Form '#]],[2]BILLED!$D:$D,[2]BILLED!$M:$M,"Not Found")</f>
        <v>Not Found</v>
      </c>
      <c r="X2174" s="13" t="str">
        <f>_xlfn.XLOOKUP(Table2[[#This Row],[Adjusted Form '#]],[2]BILLED!$D:$D,[1]BILLED!$O:$O,"Not Found")</f>
        <v>Not Found</v>
      </c>
      <c r="Y2174" s="13" t="e">
        <f>_xlfn.XLOOKUP(Table2[[#This Row],[Adjusted Form '#]],'[2]REJECTED ORDERS'!$D:$D,'[2]REJECTED ORDERS'!$E:$E)</f>
        <v>#N/A</v>
      </c>
      <c r="Z2174" s="1"/>
      <c r="AA2174" s="1"/>
    </row>
    <row r="2175" spans="1:27" ht="15" customHeight="1" x14ac:dyDescent="0.35">
      <c r="A2175" s="4" t="s">
        <v>3182</v>
      </c>
      <c r="B2175" s="1" t="s">
        <v>1324</v>
      </c>
      <c r="C2175" s="11">
        <v>45261</v>
      </c>
      <c r="D2175" s="11" t="s">
        <v>7869</v>
      </c>
      <c r="E2175" s="1" t="s">
        <v>21</v>
      </c>
      <c r="F2175" s="1" t="s">
        <v>7864</v>
      </c>
      <c r="G2175" s="6">
        <f>COUNTIF(F:F,Table2[[#This Row],[Form '#]])</f>
        <v>1</v>
      </c>
      <c r="H2175" s="1" t="s">
        <v>7865</v>
      </c>
      <c r="I2175" s="1" t="s">
        <v>3852</v>
      </c>
      <c r="J2175" s="1" t="s">
        <v>80</v>
      </c>
      <c r="K2175" s="1" t="s">
        <v>3853</v>
      </c>
      <c r="L2175" s="1"/>
      <c r="M2175" s="6" t="str">
        <f>IF(Table2[[#This Row],[Corrected Form '#
 (If Duplicated)]]="",Table2[[#This Row],[Form '#]],Table2[[#This Row],[Corrected Form '#
 (If Duplicated)]])</f>
        <v>7818-29540</v>
      </c>
      <c r="N2175" s="1" t="s">
        <v>49</v>
      </c>
      <c r="O2175" s="6" t="str">
        <f>IF(Table2[[#This Row],[POG CONFIRMATION RECEIPT OF ORDER
(DATE &amp; TIME)]]="","No Confirmation","Received Confirmation")</f>
        <v>Received Confirmation</v>
      </c>
      <c r="P2175" s="6">
        <f ca="1">TODAY()-Table2[[#This Row],[DATE SENT TO POG]]</f>
        <v>42</v>
      </c>
      <c r="Q2175" s="6" t="s">
        <v>5803</v>
      </c>
      <c r="R21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5" s="6" t="str">
        <f>_xlfn.XLOOKUP(Table2[[#This Row],[Adjusted Form '#]],'[2]IN PROGRESS'!$D:$D,'[2]IN PROGRESS'!$M:$M,"Not Found")</f>
        <v>Not Found</v>
      </c>
      <c r="U2175" s="6" t="str">
        <f>_xlfn.XLOOKUP(Table2[[#This Row],[Adjusted Form '#]],[1]COMPLETED!$D:$D,[2]COMPLETED!$M:$M,"Not Found")</f>
        <v>Not Found</v>
      </c>
      <c r="V2175" s="13">
        <f>_xlfn.XLOOKUP(Table2[[#This Row],[Adjusted Form '#]],[2]COMPLETED!$D:$D,[2]COMPLETED!$O:$O,"Not Found")</f>
        <v>45271</v>
      </c>
      <c r="W2175" s="6" t="str">
        <f>_xlfn.XLOOKUP(Table2[[#This Row],[Adjusted Form '#]],[2]BILLED!$D:$D,[2]BILLED!$M:$M,"Not Found")</f>
        <v>Not Found</v>
      </c>
      <c r="X2175" s="13" t="str">
        <f>_xlfn.XLOOKUP(Table2[[#This Row],[Adjusted Form '#]],[2]BILLED!$D:$D,[1]BILLED!$O:$O,"Not Found")</f>
        <v>Not Found</v>
      </c>
      <c r="Y2175" s="13" t="e">
        <f>_xlfn.XLOOKUP(Table2[[#This Row],[Adjusted Form '#]],'[2]REJECTED ORDERS'!$D:$D,'[2]REJECTED ORDERS'!$E:$E)</f>
        <v>#N/A</v>
      </c>
      <c r="Z2175" s="1"/>
      <c r="AA2175" s="1"/>
    </row>
    <row r="2176" spans="1:27" ht="15" customHeight="1" x14ac:dyDescent="0.35">
      <c r="A2176" s="4" t="s">
        <v>3183</v>
      </c>
      <c r="B2176" s="1" t="s">
        <v>1324</v>
      </c>
      <c r="C2176" s="11">
        <v>45261</v>
      </c>
      <c r="D2176" s="11" t="s">
        <v>7869</v>
      </c>
      <c r="E2176" s="1" t="s">
        <v>21</v>
      </c>
      <c r="F2176" s="1" t="s">
        <v>7866</v>
      </c>
      <c r="G2176" s="6">
        <f>COUNTIF(F:F,Table2[[#This Row],[Form '#]])</f>
        <v>1</v>
      </c>
      <c r="H2176" s="1" t="s">
        <v>3591</v>
      </c>
      <c r="I2176" s="1" t="s">
        <v>28</v>
      </c>
      <c r="J2176" s="1" t="s">
        <v>69</v>
      </c>
      <c r="K2176" s="1" t="s">
        <v>3898</v>
      </c>
      <c r="L2176" s="1"/>
      <c r="M2176" s="6" t="str">
        <f>IF(Table2[[#This Row],[Corrected Form '#
 (If Duplicated)]]="",Table2[[#This Row],[Form '#]],Table2[[#This Row],[Corrected Form '#
 (If Duplicated)]])</f>
        <v>7818-27621</v>
      </c>
      <c r="N2176" s="1" t="s">
        <v>49</v>
      </c>
      <c r="O2176" s="6" t="str">
        <f>IF(Table2[[#This Row],[POG CONFIRMATION RECEIPT OF ORDER
(DATE &amp; TIME)]]="","No Confirmation","Received Confirmation")</f>
        <v>Received Confirmation</v>
      </c>
      <c r="P2176" s="6">
        <f ca="1">TODAY()-Table2[[#This Row],[DATE SENT TO POG]]</f>
        <v>42</v>
      </c>
      <c r="Q2176" s="6" t="s">
        <v>5803</v>
      </c>
      <c r="R21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6" s="6" t="str">
        <f>_xlfn.XLOOKUP(Table2[[#This Row],[Adjusted Form '#]],'[2]IN PROGRESS'!$D:$D,'[2]IN PROGRESS'!$M:$M,"Not Found")</f>
        <v>Not Found</v>
      </c>
      <c r="U2176" s="6" t="str">
        <f>_xlfn.XLOOKUP(Table2[[#This Row],[Adjusted Form '#]],[1]COMPLETED!$D:$D,[2]COMPLETED!$M:$M,"Not Found")</f>
        <v>Not Found</v>
      </c>
      <c r="V2176" s="13">
        <f>_xlfn.XLOOKUP(Table2[[#This Row],[Adjusted Form '#]],[2]COMPLETED!$D:$D,[2]COMPLETED!$O:$O,"Not Found")</f>
        <v>45268</v>
      </c>
      <c r="W2176" s="6" t="str">
        <f>_xlfn.XLOOKUP(Table2[[#This Row],[Adjusted Form '#]],[2]BILLED!$D:$D,[2]BILLED!$M:$M,"Not Found")</f>
        <v>Not Found</v>
      </c>
      <c r="X2176" s="13" t="str">
        <f>_xlfn.XLOOKUP(Table2[[#This Row],[Adjusted Form '#]],[2]BILLED!$D:$D,[1]BILLED!$O:$O,"Not Found")</f>
        <v>Not Found</v>
      </c>
      <c r="Y2176" s="13" t="e">
        <f>_xlfn.XLOOKUP(Table2[[#This Row],[Adjusted Form '#]],'[2]REJECTED ORDERS'!$D:$D,'[2]REJECTED ORDERS'!$E:$E)</f>
        <v>#N/A</v>
      </c>
      <c r="Z2176" s="1"/>
      <c r="AA2176" s="1"/>
    </row>
    <row r="2177" spans="1:27" ht="15" customHeight="1" x14ac:dyDescent="0.35">
      <c r="A2177" s="4" t="s">
        <v>3184</v>
      </c>
      <c r="B2177" s="1" t="s">
        <v>1324</v>
      </c>
      <c r="C2177" s="11">
        <v>45261</v>
      </c>
      <c r="D2177" s="11" t="s">
        <v>7869</v>
      </c>
      <c r="E2177" s="1" t="s">
        <v>21</v>
      </c>
      <c r="F2177" s="1" t="s">
        <v>7867</v>
      </c>
      <c r="G2177" s="6">
        <f>COUNTIF(F:F,Table2[[#This Row],[Form '#]])</f>
        <v>1</v>
      </c>
      <c r="H2177" s="1" t="s">
        <v>1026</v>
      </c>
      <c r="I2177" s="1" t="s">
        <v>3852</v>
      </c>
      <c r="J2177" s="1" t="s">
        <v>75</v>
      </c>
      <c r="K2177" s="1" t="s">
        <v>4011</v>
      </c>
      <c r="L2177" s="1"/>
      <c r="M2177" s="6" t="str">
        <f>IF(Table2[[#This Row],[Corrected Form '#
 (If Duplicated)]]="",Table2[[#This Row],[Form '#]],Table2[[#This Row],[Corrected Form '#
 (If Duplicated)]])</f>
        <v>7818-29470</v>
      </c>
      <c r="N2177" s="1" t="s">
        <v>49</v>
      </c>
      <c r="O2177" s="6" t="str">
        <f>IF(Table2[[#This Row],[POG CONFIRMATION RECEIPT OF ORDER
(DATE &amp; TIME)]]="","No Confirmation","Received Confirmation")</f>
        <v>Received Confirmation</v>
      </c>
      <c r="P2177" s="6">
        <f ca="1">TODAY()-Table2[[#This Row],[DATE SENT TO POG]]</f>
        <v>42</v>
      </c>
      <c r="Q2177" s="6" t="s">
        <v>5803</v>
      </c>
      <c r="R21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7" s="6" t="str">
        <f>_xlfn.XLOOKUP(Table2[[#This Row],[Adjusted Form '#]],'[2]IN PROGRESS'!$D:$D,'[2]IN PROGRESS'!$M:$M,"Not Found")</f>
        <v>Not Found</v>
      </c>
      <c r="U2177" s="6" t="str">
        <f>_xlfn.XLOOKUP(Table2[[#This Row],[Adjusted Form '#]],[1]COMPLETED!$D:$D,[2]COMPLETED!$M:$M,"Not Found")</f>
        <v>Not Found</v>
      </c>
      <c r="V2177" s="13">
        <f>_xlfn.XLOOKUP(Table2[[#This Row],[Adjusted Form '#]],[2]COMPLETED!$D:$D,[2]COMPLETED!$O:$O,"Not Found")</f>
        <v>45271</v>
      </c>
      <c r="W2177" s="6" t="str">
        <f>_xlfn.XLOOKUP(Table2[[#This Row],[Adjusted Form '#]],[2]BILLED!$D:$D,[2]BILLED!$M:$M,"Not Found")</f>
        <v>Not Found</v>
      </c>
      <c r="X2177" s="13" t="str">
        <f>_xlfn.XLOOKUP(Table2[[#This Row],[Adjusted Form '#]],[2]BILLED!$D:$D,[1]BILLED!$O:$O,"Not Found")</f>
        <v>Not Found</v>
      </c>
      <c r="Y2177" s="13" t="e">
        <f>_xlfn.XLOOKUP(Table2[[#This Row],[Adjusted Form '#]],'[2]REJECTED ORDERS'!$D:$D,'[2]REJECTED ORDERS'!$E:$E)</f>
        <v>#N/A</v>
      </c>
      <c r="Z2177" s="1"/>
      <c r="AA2177" s="1"/>
    </row>
    <row r="2178" spans="1:27" ht="15" customHeight="1" x14ac:dyDescent="0.35">
      <c r="A2178" s="4" t="s">
        <v>3186</v>
      </c>
      <c r="B2178" s="1" t="s">
        <v>1324</v>
      </c>
      <c r="C2178" s="11">
        <v>45261</v>
      </c>
      <c r="D2178" s="11" t="s">
        <v>7869</v>
      </c>
      <c r="E2178" s="1" t="s">
        <v>21</v>
      </c>
      <c r="F2178" s="1" t="s">
        <v>7868</v>
      </c>
      <c r="G2178" s="6">
        <f>COUNTIF(F:F,Table2[[#This Row],[Form '#]])</f>
        <v>1</v>
      </c>
      <c r="H2178" s="1" t="s">
        <v>3508</v>
      </c>
      <c r="I2178" s="1" t="s">
        <v>3864</v>
      </c>
      <c r="J2178" s="1" t="s">
        <v>78</v>
      </c>
      <c r="K2178" s="1" t="s">
        <v>3879</v>
      </c>
      <c r="L2178" s="1"/>
      <c r="M2178" s="6" t="str">
        <f>IF(Table2[[#This Row],[Corrected Form '#
 (If Duplicated)]]="",Table2[[#This Row],[Form '#]],Table2[[#This Row],[Corrected Form '#
 (If Duplicated)]])</f>
        <v>7818-33668</v>
      </c>
      <c r="N2178" s="1" t="s">
        <v>49</v>
      </c>
      <c r="O2178" s="6" t="str">
        <f>IF(Table2[[#This Row],[POG CONFIRMATION RECEIPT OF ORDER
(DATE &amp; TIME)]]="","No Confirmation","Received Confirmation")</f>
        <v>Received Confirmation</v>
      </c>
      <c r="P2178" s="6">
        <f ca="1">TODAY()-Table2[[#This Row],[DATE SENT TO POG]]</f>
        <v>42</v>
      </c>
      <c r="Q2178" s="6" t="s">
        <v>5803</v>
      </c>
      <c r="R21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8" s="6" t="str">
        <f>_xlfn.XLOOKUP(Table2[[#This Row],[Adjusted Form '#]],'[2]IN PROGRESS'!$D:$D,'[2]IN PROGRESS'!$M:$M,"Not Found")</f>
        <v>Not Found</v>
      </c>
      <c r="U2178" s="6" t="str">
        <f>_xlfn.XLOOKUP(Table2[[#This Row],[Adjusted Form '#]],[1]COMPLETED!$D:$D,[2]COMPLETED!$M:$M,"Not Found")</f>
        <v>Not Found</v>
      </c>
      <c r="V2178" s="13">
        <f>_xlfn.XLOOKUP(Table2[[#This Row],[Adjusted Form '#]],[2]COMPLETED!$D:$D,[2]COMPLETED!$O:$O,"Not Found")</f>
        <v>45268</v>
      </c>
      <c r="W2178" s="6" t="str">
        <f>_xlfn.XLOOKUP(Table2[[#This Row],[Adjusted Form '#]],[2]BILLED!$D:$D,[2]BILLED!$M:$M,"Not Found")</f>
        <v>Not Found</v>
      </c>
      <c r="X2178" s="13" t="str">
        <f>_xlfn.XLOOKUP(Table2[[#This Row],[Adjusted Form '#]],[2]BILLED!$D:$D,[1]BILLED!$O:$O,"Not Found")</f>
        <v>Not Found</v>
      </c>
      <c r="Y2178" s="13" t="e">
        <f>_xlfn.XLOOKUP(Table2[[#This Row],[Adjusted Form '#]],'[2]REJECTED ORDERS'!$D:$D,'[2]REJECTED ORDERS'!$E:$E)</f>
        <v>#N/A</v>
      </c>
      <c r="Z2178" s="1"/>
      <c r="AA2178" s="1"/>
    </row>
    <row r="2179" spans="1:27" ht="15" customHeight="1" x14ac:dyDescent="0.35">
      <c r="A2179" s="4" t="s">
        <v>3187</v>
      </c>
      <c r="B2179" s="1" t="s">
        <v>1268</v>
      </c>
      <c r="C2179" s="11">
        <v>45262</v>
      </c>
      <c r="D2179" s="11" t="s">
        <v>7892</v>
      </c>
      <c r="E2179" s="1" t="s">
        <v>1592</v>
      </c>
      <c r="F2179" s="1" t="s">
        <v>7870</v>
      </c>
      <c r="G2179" s="6">
        <f>COUNTIF(F:F,Table2[[#This Row],[Form '#]])</f>
        <v>1</v>
      </c>
      <c r="H2179" s="1" t="s">
        <v>3955</v>
      </c>
      <c r="I2179" s="1" t="s">
        <v>758</v>
      </c>
      <c r="J2179" s="1" t="s">
        <v>78</v>
      </c>
      <c r="K2179" s="1" t="s">
        <v>3853</v>
      </c>
      <c r="L2179" s="1"/>
      <c r="M2179" s="6" t="str">
        <f>IF(Table2[[#This Row],[Corrected Form '#
 (If Duplicated)]]="",Table2[[#This Row],[Form '#]],Table2[[#This Row],[Corrected Form '#
 (If Duplicated)]])</f>
        <v>7811-00337</v>
      </c>
      <c r="N2179" s="1" t="s">
        <v>49</v>
      </c>
      <c r="O2179" s="6" t="str">
        <f>IF(Table2[[#This Row],[POG CONFIRMATION RECEIPT OF ORDER
(DATE &amp; TIME)]]="","No Confirmation","Received Confirmation")</f>
        <v>Received Confirmation</v>
      </c>
      <c r="P2179" s="6">
        <f ca="1">TODAY()-Table2[[#This Row],[DATE SENT TO POG]]</f>
        <v>41</v>
      </c>
      <c r="Q2179" s="6" t="s">
        <v>5803</v>
      </c>
      <c r="R21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7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79" s="6" t="str">
        <f>_xlfn.XLOOKUP(Table2[[#This Row],[Adjusted Form '#]],'[2]IN PROGRESS'!$D:$D,'[2]IN PROGRESS'!$M:$M,"Not Found")</f>
        <v>Not Found</v>
      </c>
      <c r="U2179" s="6" t="str">
        <f>_xlfn.XLOOKUP(Table2[[#This Row],[Adjusted Form '#]],[1]COMPLETED!$D:$D,[2]COMPLETED!$M:$M,"Not Found")</f>
        <v>Not Found</v>
      </c>
      <c r="V2179" s="13">
        <f>_xlfn.XLOOKUP(Table2[[#This Row],[Adjusted Form '#]],[2]COMPLETED!$D:$D,[2]COMPLETED!$O:$O,"Not Found")</f>
        <v>45275</v>
      </c>
      <c r="W2179" s="6" t="str">
        <f>_xlfn.XLOOKUP(Table2[[#This Row],[Adjusted Form '#]],[2]BILLED!$D:$D,[2]BILLED!$M:$M,"Not Found")</f>
        <v>Not Found</v>
      </c>
      <c r="X2179" s="13" t="str">
        <f>_xlfn.XLOOKUP(Table2[[#This Row],[Adjusted Form '#]],[2]BILLED!$D:$D,[1]BILLED!$O:$O,"Not Found")</f>
        <v>Not Found</v>
      </c>
      <c r="Y2179" s="13" t="e">
        <f>_xlfn.XLOOKUP(Table2[[#This Row],[Adjusted Form '#]],'[2]REJECTED ORDERS'!$D:$D,'[2]REJECTED ORDERS'!$E:$E)</f>
        <v>#N/A</v>
      </c>
      <c r="Z2179" s="1"/>
      <c r="AA2179" s="1"/>
    </row>
    <row r="2180" spans="1:27" ht="15" customHeight="1" x14ac:dyDescent="0.35">
      <c r="A2180" s="4" t="s">
        <v>3188</v>
      </c>
      <c r="B2180" s="1" t="s">
        <v>3121</v>
      </c>
      <c r="C2180" s="11">
        <v>45264</v>
      </c>
      <c r="D2180" s="11" t="s">
        <v>7893</v>
      </c>
      <c r="E2180" s="1" t="s">
        <v>14</v>
      </c>
      <c r="F2180" s="1" t="s">
        <v>7871</v>
      </c>
      <c r="G2180" s="6">
        <f>COUNTIF(F:F,Table2[[#This Row],[Form '#]])</f>
        <v>1</v>
      </c>
      <c r="H2180" s="1" t="s">
        <v>1500</v>
      </c>
      <c r="I2180" s="1" t="s">
        <v>127</v>
      </c>
      <c r="J2180" s="1" t="s">
        <v>3891</v>
      </c>
      <c r="K2180" s="1" t="s">
        <v>3891</v>
      </c>
      <c r="L2180" s="1"/>
      <c r="M2180" s="6" t="str">
        <f>IF(Table2[[#This Row],[Corrected Form '#
 (If Duplicated)]]="",Table2[[#This Row],[Form '#]],Table2[[#This Row],[Corrected Form '#
 (If Duplicated)]])</f>
        <v>7810-03047</v>
      </c>
      <c r="N2180" s="1" t="s">
        <v>49</v>
      </c>
      <c r="O2180" s="6" t="str">
        <f>IF(Table2[[#This Row],[POG CONFIRMATION RECEIPT OF ORDER
(DATE &amp; TIME)]]="","No Confirmation","Received Confirmation")</f>
        <v>Received Confirmation</v>
      </c>
      <c r="P2180" s="6">
        <f ca="1">TODAY()-Table2[[#This Row],[DATE SENT TO POG]]</f>
        <v>39</v>
      </c>
      <c r="Q2180" s="6" t="s">
        <v>5803</v>
      </c>
      <c r="R21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0" s="6" t="str">
        <f>_xlfn.XLOOKUP(Table2[[#This Row],[Adjusted Form '#]],'[2]IN PROGRESS'!$D:$D,'[2]IN PROGRESS'!$M:$M,"Not Found")</f>
        <v>Not Found</v>
      </c>
      <c r="U2180" s="6" t="str">
        <f>_xlfn.XLOOKUP(Table2[[#This Row],[Adjusted Form '#]],[1]COMPLETED!$D:$D,[2]COMPLETED!$M:$M,"Not Found")</f>
        <v>Not Found</v>
      </c>
      <c r="V2180" s="13">
        <f>_xlfn.XLOOKUP(Table2[[#This Row],[Adjusted Form '#]],[2]COMPLETED!$D:$D,[2]COMPLETED!$O:$O,"Not Found")</f>
        <v>45275</v>
      </c>
      <c r="W2180" s="6" t="str">
        <f>_xlfn.XLOOKUP(Table2[[#This Row],[Adjusted Form '#]],[2]BILLED!$D:$D,[2]BILLED!$M:$M,"Not Found")</f>
        <v>Not Found</v>
      </c>
      <c r="X2180" s="13" t="str">
        <f>_xlfn.XLOOKUP(Table2[[#This Row],[Adjusted Form '#]],[2]BILLED!$D:$D,[1]BILLED!$O:$O,"Not Found")</f>
        <v>Not Found</v>
      </c>
      <c r="Y2180" s="13" t="e">
        <f>_xlfn.XLOOKUP(Table2[[#This Row],[Adjusted Form '#]],'[2]REJECTED ORDERS'!$D:$D,'[2]REJECTED ORDERS'!$E:$E)</f>
        <v>#N/A</v>
      </c>
      <c r="Z2180" s="1"/>
      <c r="AA2180" s="1"/>
    </row>
    <row r="2181" spans="1:27" ht="15" customHeight="1" x14ac:dyDescent="0.35">
      <c r="A2181" s="4" t="s">
        <v>3190</v>
      </c>
      <c r="B2181" s="1" t="s">
        <v>470</v>
      </c>
      <c r="C2181" s="11">
        <v>45264</v>
      </c>
      <c r="D2181" s="11" t="s">
        <v>7894</v>
      </c>
      <c r="E2181" s="1" t="s">
        <v>21</v>
      </c>
      <c r="F2181" s="1" t="s">
        <v>7872</v>
      </c>
      <c r="G2181" s="6">
        <f>COUNTIF(F:F,Table2[[#This Row],[Form '#]])</f>
        <v>1</v>
      </c>
      <c r="H2181" s="1" t="s">
        <v>7873</v>
      </c>
      <c r="I2181" s="1" t="s">
        <v>3864</v>
      </c>
      <c r="J2181" s="1" t="s">
        <v>78</v>
      </c>
      <c r="K2181" s="1" t="s">
        <v>3879</v>
      </c>
      <c r="L2181" s="1"/>
      <c r="M2181" s="6" t="str">
        <f>IF(Table2[[#This Row],[Corrected Form '#
 (If Duplicated)]]="",Table2[[#This Row],[Form '#]],Table2[[#This Row],[Corrected Form '#
 (If Duplicated)]])</f>
        <v>7818-30784</v>
      </c>
      <c r="N2181" s="1" t="s">
        <v>49</v>
      </c>
      <c r="O2181" s="6" t="str">
        <f>IF(Table2[[#This Row],[POG CONFIRMATION RECEIPT OF ORDER
(DATE &amp; TIME)]]="","No Confirmation","Received Confirmation")</f>
        <v>Received Confirmation</v>
      </c>
      <c r="P2181" s="6">
        <f ca="1">TODAY()-Table2[[#This Row],[DATE SENT TO POG]]</f>
        <v>39</v>
      </c>
      <c r="Q2181" s="6" t="s">
        <v>5803</v>
      </c>
      <c r="R21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1" s="6" t="str">
        <f>_xlfn.XLOOKUP(Table2[[#This Row],[Adjusted Form '#]],'[2]IN PROGRESS'!$D:$D,'[2]IN PROGRESS'!$M:$M,"Not Found")</f>
        <v>Not Found</v>
      </c>
      <c r="U2181" s="6" t="str">
        <f>_xlfn.XLOOKUP(Table2[[#This Row],[Adjusted Form '#]],[1]COMPLETED!$D:$D,[2]COMPLETED!$M:$M,"Not Found")</f>
        <v>Not Found</v>
      </c>
      <c r="V2181" s="13">
        <f>_xlfn.XLOOKUP(Table2[[#This Row],[Adjusted Form '#]],[2]COMPLETED!$D:$D,[2]COMPLETED!$O:$O,"Not Found")</f>
        <v>45275</v>
      </c>
      <c r="W2181" s="6" t="str">
        <f>_xlfn.XLOOKUP(Table2[[#This Row],[Adjusted Form '#]],[2]BILLED!$D:$D,[2]BILLED!$M:$M,"Not Found")</f>
        <v>Not Found</v>
      </c>
      <c r="X2181" s="13" t="str">
        <f>_xlfn.XLOOKUP(Table2[[#This Row],[Adjusted Form '#]],[2]BILLED!$D:$D,[1]BILLED!$O:$O,"Not Found")</f>
        <v>Not Found</v>
      </c>
      <c r="Y2181" s="13" t="e">
        <f>_xlfn.XLOOKUP(Table2[[#This Row],[Adjusted Form '#]],'[2]REJECTED ORDERS'!$D:$D,'[2]REJECTED ORDERS'!$E:$E)</f>
        <v>#N/A</v>
      </c>
      <c r="Z2181" s="1"/>
      <c r="AA2181" s="1"/>
    </row>
    <row r="2182" spans="1:27" ht="15" customHeight="1" x14ac:dyDescent="0.35">
      <c r="A2182" s="4" t="s">
        <v>3192</v>
      </c>
      <c r="B2182" s="1" t="s">
        <v>470</v>
      </c>
      <c r="C2182" s="11">
        <v>45264</v>
      </c>
      <c r="D2182" s="11" t="s">
        <v>7894</v>
      </c>
      <c r="E2182" s="1" t="s">
        <v>21</v>
      </c>
      <c r="F2182" s="1" t="s">
        <v>7874</v>
      </c>
      <c r="G2182" s="6">
        <f>COUNTIF(F:F,Table2[[#This Row],[Form '#]])</f>
        <v>1</v>
      </c>
      <c r="H2182" s="1" t="s">
        <v>7875</v>
      </c>
      <c r="I2182" s="1" t="s">
        <v>3852</v>
      </c>
      <c r="J2182" s="1" t="s">
        <v>75</v>
      </c>
      <c r="K2182" s="1" t="s">
        <v>3853</v>
      </c>
      <c r="L2182" s="1"/>
      <c r="M2182" s="6" t="str">
        <f>IF(Table2[[#This Row],[Corrected Form '#
 (If Duplicated)]]="",Table2[[#This Row],[Form '#]],Table2[[#This Row],[Corrected Form '#
 (If Duplicated)]])</f>
        <v>7818-20651</v>
      </c>
      <c r="N2182" s="1" t="s">
        <v>49</v>
      </c>
      <c r="O2182" s="6" t="str">
        <f>IF(Table2[[#This Row],[POG CONFIRMATION RECEIPT OF ORDER
(DATE &amp; TIME)]]="","No Confirmation","Received Confirmation")</f>
        <v>Received Confirmation</v>
      </c>
      <c r="P2182" s="6">
        <f ca="1">TODAY()-Table2[[#This Row],[DATE SENT TO POG]]</f>
        <v>39</v>
      </c>
      <c r="Q2182" s="6" t="s">
        <v>5803</v>
      </c>
      <c r="R21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2" s="6" t="str">
        <f>_xlfn.XLOOKUP(Table2[[#This Row],[Adjusted Form '#]],'[2]IN PROGRESS'!$D:$D,'[2]IN PROGRESS'!$M:$M,"Not Found")</f>
        <v>Not Found</v>
      </c>
      <c r="U2182" s="6" t="str">
        <f>_xlfn.XLOOKUP(Table2[[#This Row],[Adjusted Form '#]],[1]COMPLETED!$D:$D,[2]COMPLETED!$M:$M,"Not Found")</f>
        <v>Not Found</v>
      </c>
      <c r="V2182" s="13">
        <f>_xlfn.XLOOKUP(Table2[[#This Row],[Adjusted Form '#]],[2]COMPLETED!$D:$D,[2]COMPLETED!$O:$O,"Not Found")</f>
        <v>45275</v>
      </c>
      <c r="W2182" s="6" t="str">
        <f>_xlfn.XLOOKUP(Table2[[#This Row],[Adjusted Form '#]],[2]BILLED!$D:$D,[2]BILLED!$M:$M,"Not Found")</f>
        <v>Not Found</v>
      </c>
      <c r="X2182" s="13" t="str">
        <f>_xlfn.XLOOKUP(Table2[[#This Row],[Adjusted Form '#]],[2]BILLED!$D:$D,[1]BILLED!$O:$O,"Not Found")</f>
        <v>Not Found</v>
      </c>
      <c r="Y2182" s="13" t="e">
        <f>_xlfn.XLOOKUP(Table2[[#This Row],[Adjusted Form '#]],'[2]REJECTED ORDERS'!$D:$D,'[2]REJECTED ORDERS'!$E:$E)</f>
        <v>#N/A</v>
      </c>
      <c r="Z2182" s="1"/>
      <c r="AA2182" s="1"/>
    </row>
    <row r="2183" spans="1:27" ht="15" customHeight="1" x14ac:dyDescent="0.35">
      <c r="A2183" s="4" t="s">
        <v>3193</v>
      </c>
      <c r="B2183" s="1" t="s">
        <v>470</v>
      </c>
      <c r="C2183" s="11">
        <v>45264</v>
      </c>
      <c r="D2183" s="11" t="s">
        <v>7894</v>
      </c>
      <c r="E2183" s="1" t="s">
        <v>21</v>
      </c>
      <c r="F2183" s="1" t="s">
        <v>7876</v>
      </c>
      <c r="G2183" s="6">
        <f>COUNTIF(F:F,Table2[[#This Row],[Form '#]])</f>
        <v>1</v>
      </c>
      <c r="H2183" s="1" t="s">
        <v>7877</v>
      </c>
      <c r="I2183" s="1" t="s">
        <v>3864</v>
      </c>
      <c r="J2183" s="1" t="s">
        <v>78</v>
      </c>
      <c r="K2183" s="1" t="s">
        <v>3879</v>
      </c>
      <c r="L2183" s="1"/>
      <c r="M2183" s="6" t="str">
        <f>IF(Table2[[#This Row],[Corrected Form '#
 (If Duplicated)]]="",Table2[[#This Row],[Form '#]],Table2[[#This Row],[Corrected Form '#
 (If Duplicated)]])</f>
        <v>7818-21230</v>
      </c>
      <c r="N2183" s="1" t="s">
        <v>49</v>
      </c>
      <c r="O2183" s="6" t="str">
        <f>IF(Table2[[#This Row],[POG CONFIRMATION RECEIPT OF ORDER
(DATE &amp; TIME)]]="","No Confirmation","Received Confirmation")</f>
        <v>Received Confirmation</v>
      </c>
      <c r="P2183" s="6">
        <f ca="1">TODAY()-Table2[[#This Row],[DATE SENT TO POG]]</f>
        <v>39</v>
      </c>
      <c r="Q2183" s="6" t="s">
        <v>5803</v>
      </c>
      <c r="R21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3" s="6" t="str">
        <f>_xlfn.XLOOKUP(Table2[[#This Row],[Adjusted Form '#]],'[2]IN PROGRESS'!$D:$D,'[2]IN PROGRESS'!$M:$M,"Not Found")</f>
        <v>Not Found</v>
      </c>
      <c r="U2183" s="6" t="str">
        <f>_xlfn.XLOOKUP(Table2[[#This Row],[Adjusted Form '#]],[1]COMPLETED!$D:$D,[2]COMPLETED!$M:$M,"Not Found")</f>
        <v>Not Found</v>
      </c>
      <c r="V2183" s="13">
        <f>_xlfn.XLOOKUP(Table2[[#This Row],[Adjusted Form '#]],[2]COMPLETED!$D:$D,[2]COMPLETED!$O:$O,"Not Found")</f>
        <v>45278</v>
      </c>
      <c r="W2183" s="6" t="str">
        <f>_xlfn.XLOOKUP(Table2[[#This Row],[Adjusted Form '#]],[2]BILLED!$D:$D,[2]BILLED!$M:$M,"Not Found")</f>
        <v>Not Found</v>
      </c>
      <c r="X2183" s="13" t="str">
        <f>_xlfn.XLOOKUP(Table2[[#This Row],[Adjusted Form '#]],[2]BILLED!$D:$D,[1]BILLED!$O:$O,"Not Found")</f>
        <v>Not Found</v>
      </c>
      <c r="Y2183" s="13" t="e">
        <f>_xlfn.XLOOKUP(Table2[[#This Row],[Adjusted Form '#]],'[2]REJECTED ORDERS'!$D:$D,'[2]REJECTED ORDERS'!$E:$E)</f>
        <v>#N/A</v>
      </c>
      <c r="Z2183" s="1"/>
      <c r="AA2183" s="1"/>
    </row>
    <row r="2184" spans="1:27" ht="15" customHeight="1" x14ac:dyDescent="0.35">
      <c r="A2184" s="4" t="s">
        <v>3194</v>
      </c>
      <c r="B2184" s="1" t="s">
        <v>470</v>
      </c>
      <c r="C2184" s="11">
        <v>45264</v>
      </c>
      <c r="D2184" s="11" t="s">
        <v>7894</v>
      </c>
      <c r="E2184" s="1" t="s">
        <v>21</v>
      </c>
      <c r="F2184" s="1" t="s">
        <v>7878</v>
      </c>
      <c r="G2184" s="6">
        <f>COUNTIF(F:F,Table2[[#This Row],[Form '#]])</f>
        <v>1</v>
      </c>
      <c r="H2184" s="1" t="s">
        <v>635</v>
      </c>
      <c r="I2184" s="1" t="s">
        <v>3852</v>
      </c>
      <c r="J2184" s="1" t="s">
        <v>80</v>
      </c>
      <c r="K2184" s="1" t="s">
        <v>3853</v>
      </c>
      <c r="L2184" s="1"/>
      <c r="M2184" s="6" t="str">
        <f>IF(Table2[[#This Row],[Corrected Form '#
 (If Duplicated)]]="",Table2[[#This Row],[Form '#]],Table2[[#This Row],[Corrected Form '#
 (If Duplicated)]])</f>
        <v>7818-29534</v>
      </c>
      <c r="N2184" s="1" t="s">
        <v>49</v>
      </c>
      <c r="O2184" s="6" t="str">
        <f>IF(Table2[[#This Row],[POG CONFIRMATION RECEIPT OF ORDER
(DATE &amp; TIME)]]="","No Confirmation","Received Confirmation")</f>
        <v>Received Confirmation</v>
      </c>
      <c r="P2184" s="6">
        <f ca="1">TODAY()-Table2[[#This Row],[DATE SENT TO POG]]</f>
        <v>39</v>
      </c>
      <c r="Q2184" s="6" t="s">
        <v>5803</v>
      </c>
      <c r="R21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4" s="6" t="str">
        <f>_xlfn.XLOOKUP(Table2[[#This Row],[Adjusted Form '#]],'[2]IN PROGRESS'!$D:$D,'[2]IN PROGRESS'!$M:$M,"Not Found")</f>
        <v>Not Found</v>
      </c>
      <c r="U2184" s="6" t="str">
        <f>_xlfn.XLOOKUP(Table2[[#This Row],[Adjusted Form '#]],[1]COMPLETED!$D:$D,[2]COMPLETED!$M:$M,"Not Found")</f>
        <v>Not Found</v>
      </c>
      <c r="V2184" s="13">
        <f>_xlfn.XLOOKUP(Table2[[#This Row],[Adjusted Form '#]],[2]COMPLETED!$D:$D,[2]COMPLETED!$O:$O,"Not Found")</f>
        <v>45275</v>
      </c>
      <c r="W2184" s="6" t="str">
        <f>_xlfn.XLOOKUP(Table2[[#This Row],[Adjusted Form '#]],[2]BILLED!$D:$D,[2]BILLED!$M:$M,"Not Found")</f>
        <v>Not Found</v>
      </c>
      <c r="X2184" s="13" t="str">
        <f>_xlfn.XLOOKUP(Table2[[#This Row],[Adjusted Form '#]],[2]BILLED!$D:$D,[1]BILLED!$O:$O,"Not Found")</f>
        <v>Not Found</v>
      </c>
      <c r="Y2184" s="13" t="e">
        <f>_xlfn.XLOOKUP(Table2[[#This Row],[Adjusted Form '#]],'[2]REJECTED ORDERS'!$D:$D,'[2]REJECTED ORDERS'!$E:$E)</f>
        <v>#N/A</v>
      </c>
      <c r="Z2184" s="1"/>
      <c r="AA2184" s="1"/>
    </row>
    <row r="2185" spans="1:27" ht="15" customHeight="1" x14ac:dyDescent="0.35">
      <c r="A2185" s="4" t="s">
        <v>3195</v>
      </c>
      <c r="B2185" s="1" t="s">
        <v>470</v>
      </c>
      <c r="C2185" s="11">
        <v>45264</v>
      </c>
      <c r="D2185" s="11" t="s">
        <v>7894</v>
      </c>
      <c r="E2185" s="1" t="s">
        <v>21</v>
      </c>
      <c r="F2185" s="1" t="s">
        <v>7879</v>
      </c>
      <c r="G2185" s="6">
        <f>COUNTIF(F:F,Table2[[#This Row],[Form '#]])</f>
        <v>1</v>
      </c>
      <c r="H2185" s="1" t="s">
        <v>7880</v>
      </c>
      <c r="I2185" s="1" t="s">
        <v>3864</v>
      </c>
      <c r="J2185" s="1" t="s">
        <v>78</v>
      </c>
      <c r="K2185" s="1" t="s">
        <v>3879</v>
      </c>
      <c r="L2185" s="1"/>
      <c r="M2185" s="6" t="str">
        <f>IF(Table2[[#This Row],[Corrected Form '#
 (If Duplicated)]]="",Table2[[#This Row],[Form '#]],Table2[[#This Row],[Corrected Form '#
 (If Duplicated)]])</f>
        <v>7818-27471</v>
      </c>
      <c r="N2185" s="1" t="s">
        <v>49</v>
      </c>
      <c r="O2185" s="6" t="str">
        <f>IF(Table2[[#This Row],[POG CONFIRMATION RECEIPT OF ORDER
(DATE &amp; TIME)]]="","No Confirmation","Received Confirmation")</f>
        <v>Received Confirmation</v>
      </c>
      <c r="P2185" s="6">
        <f ca="1">TODAY()-Table2[[#This Row],[DATE SENT TO POG]]</f>
        <v>39</v>
      </c>
      <c r="Q2185" s="6" t="s">
        <v>5803</v>
      </c>
      <c r="R21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5" s="6" t="str">
        <f>_xlfn.XLOOKUP(Table2[[#This Row],[Adjusted Form '#]],'[2]IN PROGRESS'!$D:$D,'[2]IN PROGRESS'!$M:$M,"Not Found")</f>
        <v>Not Found</v>
      </c>
      <c r="U2185" s="6" t="str">
        <f>_xlfn.XLOOKUP(Table2[[#This Row],[Adjusted Form '#]],[1]COMPLETED!$D:$D,[2]COMPLETED!$M:$M,"Not Found")</f>
        <v>Not Found</v>
      </c>
      <c r="V2185" s="13">
        <f>_xlfn.XLOOKUP(Table2[[#This Row],[Adjusted Form '#]],[2]COMPLETED!$D:$D,[2]COMPLETED!$O:$O,"Not Found")</f>
        <v>45278</v>
      </c>
      <c r="W2185" s="6" t="str">
        <f>_xlfn.XLOOKUP(Table2[[#This Row],[Adjusted Form '#]],[2]BILLED!$D:$D,[2]BILLED!$M:$M,"Not Found")</f>
        <v>Not Found</v>
      </c>
      <c r="X2185" s="13" t="str">
        <f>_xlfn.XLOOKUP(Table2[[#This Row],[Adjusted Form '#]],[2]BILLED!$D:$D,[1]BILLED!$O:$O,"Not Found")</f>
        <v>Not Found</v>
      </c>
      <c r="Y2185" s="13" t="e">
        <f>_xlfn.XLOOKUP(Table2[[#This Row],[Adjusted Form '#]],'[2]REJECTED ORDERS'!$D:$D,'[2]REJECTED ORDERS'!$E:$E)</f>
        <v>#N/A</v>
      </c>
      <c r="Z2185" s="1"/>
      <c r="AA2185" s="1"/>
    </row>
    <row r="2186" spans="1:27" ht="15" customHeight="1" x14ac:dyDescent="0.35">
      <c r="A2186" s="4" t="s">
        <v>3197</v>
      </c>
      <c r="B2186" s="1" t="s">
        <v>470</v>
      </c>
      <c r="C2186" s="11">
        <v>45264</v>
      </c>
      <c r="D2186" s="11" t="s">
        <v>7894</v>
      </c>
      <c r="E2186" s="1" t="s">
        <v>21</v>
      </c>
      <c r="F2186" s="1" t="s">
        <v>7881</v>
      </c>
      <c r="G2186" s="6">
        <f>COUNTIF(F:F,Table2[[#This Row],[Form '#]])</f>
        <v>1</v>
      </c>
      <c r="H2186" s="1" t="s">
        <v>1282</v>
      </c>
      <c r="I2186" s="1" t="s">
        <v>3852</v>
      </c>
      <c r="J2186" s="1" t="s">
        <v>80</v>
      </c>
      <c r="K2186" s="1" t="s">
        <v>3853</v>
      </c>
      <c r="L2186" s="1"/>
      <c r="M2186" s="6" t="str">
        <f>IF(Table2[[#This Row],[Corrected Form '#
 (If Duplicated)]]="",Table2[[#This Row],[Form '#]],Table2[[#This Row],[Corrected Form '#
 (If Duplicated)]])</f>
        <v>7818-25108</v>
      </c>
      <c r="N2186" s="1" t="s">
        <v>49</v>
      </c>
      <c r="O2186" s="6" t="str">
        <f>IF(Table2[[#This Row],[POG CONFIRMATION RECEIPT OF ORDER
(DATE &amp; TIME)]]="","No Confirmation","Received Confirmation")</f>
        <v>Received Confirmation</v>
      </c>
      <c r="P2186" s="6">
        <f ca="1">TODAY()-Table2[[#This Row],[DATE SENT TO POG]]</f>
        <v>39</v>
      </c>
      <c r="Q2186" s="6" t="s">
        <v>5803</v>
      </c>
      <c r="R21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6" s="6" t="str">
        <f>_xlfn.XLOOKUP(Table2[[#This Row],[Adjusted Form '#]],'[2]IN PROGRESS'!$D:$D,'[2]IN PROGRESS'!$M:$M,"Not Found")</f>
        <v>Not Found</v>
      </c>
      <c r="U2186" s="6" t="str">
        <f>_xlfn.XLOOKUP(Table2[[#This Row],[Adjusted Form '#]],[1]COMPLETED!$D:$D,[2]COMPLETED!$M:$M,"Not Found")</f>
        <v>Not Found</v>
      </c>
      <c r="V2186" s="13">
        <f>_xlfn.XLOOKUP(Table2[[#This Row],[Adjusted Form '#]],[2]COMPLETED!$D:$D,[2]COMPLETED!$O:$O,"Not Found")</f>
        <v>45275</v>
      </c>
      <c r="W2186" s="6" t="str">
        <f>_xlfn.XLOOKUP(Table2[[#This Row],[Adjusted Form '#]],[2]BILLED!$D:$D,[2]BILLED!$M:$M,"Not Found")</f>
        <v>Not Found</v>
      </c>
      <c r="X2186" s="13" t="str">
        <f>_xlfn.XLOOKUP(Table2[[#This Row],[Adjusted Form '#]],[2]BILLED!$D:$D,[1]BILLED!$O:$O,"Not Found")</f>
        <v>Not Found</v>
      </c>
      <c r="Y2186" s="13" t="e">
        <f>_xlfn.XLOOKUP(Table2[[#This Row],[Adjusted Form '#]],'[2]REJECTED ORDERS'!$D:$D,'[2]REJECTED ORDERS'!$E:$E)</f>
        <v>#N/A</v>
      </c>
      <c r="Z2186" s="1"/>
      <c r="AA2186" s="1"/>
    </row>
    <row r="2187" spans="1:27" ht="15" customHeight="1" x14ac:dyDescent="0.35">
      <c r="A2187" s="4" t="s">
        <v>3198</v>
      </c>
      <c r="B2187" s="1" t="s">
        <v>470</v>
      </c>
      <c r="C2187" s="11">
        <v>45264</v>
      </c>
      <c r="D2187" s="11" t="s">
        <v>7894</v>
      </c>
      <c r="E2187" s="1" t="s">
        <v>21</v>
      </c>
      <c r="F2187" s="1" t="s">
        <v>7882</v>
      </c>
      <c r="G2187" s="6">
        <f>COUNTIF(F:F,Table2[[#This Row],[Form '#]])</f>
        <v>1</v>
      </c>
      <c r="H2187" s="1" t="s">
        <v>7883</v>
      </c>
      <c r="I2187" s="1" t="s">
        <v>3852</v>
      </c>
      <c r="J2187" s="1" t="s">
        <v>80</v>
      </c>
      <c r="K2187" s="1" t="s">
        <v>3853</v>
      </c>
      <c r="L2187" s="1"/>
      <c r="M2187" s="6" t="str">
        <f>IF(Table2[[#This Row],[Corrected Form '#
 (If Duplicated)]]="",Table2[[#This Row],[Form '#]],Table2[[#This Row],[Corrected Form '#
 (If Duplicated)]])</f>
        <v>7818-26413</v>
      </c>
      <c r="N2187" s="1" t="s">
        <v>49</v>
      </c>
      <c r="O2187" s="6" t="str">
        <f>IF(Table2[[#This Row],[POG CONFIRMATION RECEIPT OF ORDER
(DATE &amp; TIME)]]="","No Confirmation","Received Confirmation")</f>
        <v>Received Confirmation</v>
      </c>
      <c r="P2187" s="6">
        <f ca="1">TODAY()-Table2[[#This Row],[DATE SENT TO POG]]</f>
        <v>39</v>
      </c>
      <c r="Q2187" s="6" t="s">
        <v>5803</v>
      </c>
      <c r="R21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7" s="6" t="str">
        <f>_xlfn.XLOOKUP(Table2[[#This Row],[Adjusted Form '#]],'[2]IN PROGRESS'!$D:$D,'[2]IN PROGRESS'!$M:$M,"Not Found")</f>
        <v>Not Found</v>
      </c>
      <c r="U2187" s="6" t="str">
        <f>_xlfn.XLOOKUP(Table2[[#This Row],[Adjusted Form '#]],[1]COMPLETED!$D:$D,[2]COMPLETED!$M:$M,"Not Found")</f>
        <v>Not Found</v>
      </c>
      <c r="V2187" s="13">
        <f>_xlfn.XLOOKUP(Table2[[#This Row],[Adjusted Form '#]],[2]COMPLETED!$D:$D,[2]COMPLETED!$O:$O,"Not Found")</f>
        <v>45278</v>
      </c>
      <c r="W2187" s="6" t="str">
        <f>_xlfn.XLOOKUP(Table2[[#This Row],[Adjusted Form '#]],[2]BILLED!$D:$D,[2]BILLED!$M:$M,"Not Found")</f>
        <v>Not Found</v>
      </c>
      <c r="X2187" s="13" t="str">
        <f>_xlfn.XLOOKUP(Table2[[#This Row],[Adjusted Form '#]],[2]BILLED!$D:$D,[1]BILLED!$O:$O,"Not Found")</f>
        <v>Not Found</v>
      </c>
      <c r="Y2187" s="13" t="e">
        <f>_xlfn.XLOOKUP(Table2[[#This Row],[Adjusted Form '#]],'[2]REJECTED ORDERS'!$D:$D,'[2]REJECTED ORDERS'!$E:$E)</f>
        <v>#N/A</v>
      </c>
      <c r="Z2187" s="1"/>
      <c r="AA2187" s="1"/>
    </row>
    <row r="2188" spans="1:27" ht="15" customHeight="1" x14ac:dyDescent="0.35">
      <c r="A2188" s="4" t="s">
        <v>3199</v>
      </c>
      <c r="B2188" s="1" t="s">
        <v>470</v>
      </c>
      <c r="C2188" s="11">
        <v>45264</v>
      </c>
      <c r="D2188" s="11" t="s">
        <v>7894</v>
      </c>
      <c r="E2188" s="1" t="s">
        <v>21</v>
      </c>
      <c r="F2188" s="1" t="s">
        <v>7884</v>
      </c>
      <c r="G2188" s="6">
        <f>COUNTIF(F:F,Table2[[#This Row],[Form '#]])</f>
        <v>1</v>
      </c>
      <c r="H2188" s="1" t="s">
        <v>3716</v>
      </c>
      <c r="I2188" s="1" t="s">
        <v>3852</v>
      </c>
      <c r="J2188" s="1" t="s">
        <v>80</v>
      </c>
      <c r="K2188" s="1" t="s">
        <v>3853</v>
      </c>
      <c r="L2188" s="1"/>
      <c r="M2188" s="6" t="str">
        <f>IF(Table2[[#This Row],[Corrected Form '#
 (If Duplicated)]]="",Table2[[#This Row],[Form '#]],Table2[[#This Row],[Corrected Form '#
 (If Duplicated)]])</f>
        <v>7818-25582</v>
      </c>
      <c r="N2188" s="1" t="s">
        <v>49</v>
      </c>
      <c r="O2188" s="6" t="str">
        <f>IF(Table2[[#This Row],[POG CONFIRMATION RECEIPT OF ORDER
(DATE &amp; TIME)]]="","No Confirmation","Received Confirmation")</f>
        <v>Received Confirmation</v>
      </c>
      <c r="P2188" s="6">
        <f ca="1">TODAY()-Table2[[#This Row],[DATE SENT TO POG]]</f>
        <v>39</v>
      </c>
      <c r="Q2188" s="6" t="s">
        <v>5803</v>
      </c>
      <c r="R21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8" s="6" t="str">
        <f>_xlfn.XLOOKUP(Table2[[#This Row],[Adjusted Form '#]],'[2]IN PROGRESS'!$D:$D,'[2]IN PROGRESS'!$M:$M,"Not Found")</f>
        <v>Not Found</v>
      </c>
      <c r="U2188" s="6" t="str">
        <f>_xlfn.XLOOKUP(Table2[[#This Row],[Adjusted Form '#]],[1]COMPLETED!$D:$D,[2]COMPLETED!$M:$M,"Not Found")</f>
        <v>Not Found</v>
      </c>
      <c r="V2188" s="13">
        <f>_xlfn.XLOOKUP(Table2[[#This Row],[Adjusted Form '#]],[2]COMPLETED!$D:$D,[2]COMPLETED!$O:$O,"Not Found")</f>
        <v>45275</v>
      </c>
      <c r="W2188" s="6" t="str">
        <f>_xlfn.XLOOKUP(Table2[[#This Row],[Adjusted Form '#]],[2]BILLED!$D:$D,[2]BILLED!$M:$M,"Not Found")</f>
        <v>Not Found</v>
      </c>
      <c r="X2188" s="13" t="str">
        <f>_xlfn.XLOOKUP(Table2[[#This Row],[Adjusted Form '#]],[2]BILLED!$D:$D,[1]BILLED!$O:$O,"Not Found")</f>
        <v>Not Found</v>
      </c>
      <c r="Y2188" s="13" t="e">
        <f>_xlfn.XLOOKUP(Table2[[#This Row],[Adjusted Form '#]],'[2]REJECTED ORDERS'!$D:$D,'[2]REJECTED ORDERS'!$E:$E)</f>
        <v>#N/A</v>
      </c>
      <c r="Z2188" s="1"/>
      <c r="AA2188" s="1"/>
    </row>
    <row r="2189" spans="1:27" ht="15" customHeight="1" x14ac:dyDescent="0.35">
      <c r="A2189" s="4" t="s">
        <v>3200</v>
      </c>
      <c r="B2189" s="1" t="s">
        <v>2129</v>
      </c>
      <c r="C2189" s="11">
        <v>45264</v>
      </c>
      <c r="D2189" s="11" t="s">
        <v>7894</v>
      </c>
      <c r="E2189" s="1" t="s">
        <v>21</v>
      </c>
      <c r="F2189" s="1" t="s">
        <v>7885</v>
      </c>
      <c r="G2189" s="6">
        <f>COUNTIF(F:F,Table2[[#This Row],[Form '#]])</f>
        <v>1</v>
      </c>
      <c r="H2189" s="1" t="s">
        <v>2380</v>
      </c>
      <c r="I2189" s="1" t="s">
        <v>758</v>
      </c>
      <c r="J2189" s="1" t="s">
        <v>78</v>
      </c>
      <c r="K2189" s="1" t="s">
        <v>3853</v>
      </c>
      <c r="L2189" s="1"/>
      <c r="M2189" s="6" t="str">
        <f>IF(Table2[[#This Row],[Corrected Form '#
 (If Duplicated)]]="",Table2[[#This Row],[Form '#]],Table2[[#This Row],[Corrected Form '#
 (If Duplicated)]])</f>
        <v>7818-16224</v>
      </c>
      <c r="N2189" s="1" t="s">
        <v>104</v>
      </c>
      <c r="O2189" s="6" t="str">
        <f>IF(Table2[[#This Row],[POG CONFIRMATION RECEIPT OF ORDER
(DATE &amp; TIME)]]="","No Confirmation","Received Confirmation")</f>
        <v>Received Confirmation</v>
      </c>
      <c r="P2189" s="6">
        <f ca="1">TODAY()-Table2[[#This Row],[DATE SENT TO POG]]</f>
        <v>39</v>
      </c>
      <c r="Q2189" s="6" t="s">
        <v>5803</v>
      </c>
      <c r="R21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8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89" s="6" t="str">
        <f>_xlfn.XLOOKUP(Table2[[#This Row],[Adjusted Form '#]],'[2]IN PROGRESS'!$D:$D,'[2]IN PROGRESS'!$M:$M,"Not Found")</f>
        <v>Not Found</v>
      </c>
      <c r="U2189" s="6" t="str">
        <f>_xlfn.XLOOKUP(Table2[[#This Row],[Adjusted Form '#]],[1]COMPLETED!$D:$D,[2]COMPLETED!$M:$M,"Not Found")</f>
        <v>Not Found</v>
      </c>
      <c r="V2189" s="13">
        <f>_xlfn.XLOOKUP(Table2[[#This Row],[Adjusted Form '#]],[2]COMPLETED!$D:$D,[2]COMPLETED!$O:$O,"Not Found")</f>
        <v>45271</v>
      </c>
      <c r="W2189" s="6" t="str">
        <f>_xlfn.XLOOKUP(Table2[[#This Row],[Adjusted Form '#]],[2]BILLED!$D:$D,[2]BILLED!$M:$M,"Not Found")</f>
        <v>Not Found</v>
      </c>
      <c r="X2189" s="13" t="str">
        <f>_xlfn.XLOOKUP(Table2[[#This Row],[Adjusted Form '#]],[2]BILLED!$D:$D,[1]BILLED!$O:$O,"Not Found")</f>
        <v>Not Found</v>
      </c>
      <c r="Y2189" s="13" t="e">
        <f>_xlfn.XLOOKUP(Table2[[#This Row],[Adjusted Form '#]],'[2]REJECTED ORDERS'!$D:$D,'[2]REJECTED ORDERS'!$E:$E)</f>
        <v>#N/A</v>
      </c>
      <c r="Z2189" s="1"/>
      <c r="AA2189" s="1"/>
    </row>
    <row r="2190" spans="1:27" ht="15" customHeight="1" x14ac:dyDescent="0.35">
      <c r="A2190" s="4" t="s">
        <v>3201</v>
      </c>
      <c r="B2190" s="1" t="s">
        <v>968</v>
      </c>
      <c r="C2190" s="11">
        <v>45264</v>
      </c>
      <c r="D2190" s="11" t="s">
        <v>7894</v>
      </c>
      <c r="E2190" s="1" t="s">
        <v>21</v>
      </c>
      <c r="F2190" s="1" t="s">
        <v>7886</v>
      </c>
      <c r="G2190" s="6">
        <f>COUNTIF(F:F,Table2[[#This Row],[Form '#]])</f>
        <v>1</v>
      </c>
      <c r="H2190" s="1" t="s">
        <v>1099</v>
      </c>
      <c r="I2190" s="1" t="s">
        <v>127</v>
      </c>
      <c r="J2190" s="1" t="s">
        <v>76</v>
      </c>
      <c r="K2190" s="1" t="s">
        <v>3891</v>
      </c>
      <c r="L2190" s="1"/>
      <c r="M2190" s="6" t="str">
        <f>IF(Table2[[#This Row],[Corrected Form '#
 (If Duplicated)]]="",Table2[[#This Row],[Form '#]],Table2[[#This Row],[Corrected Form '#
 (If Duplicated)]])</f>
        <v>7818-18750</v>
      </c>
      <c r="N2190" s="1" t="s">
        <v>49</v>
      </c>
      <c r="O2190" s="6" t="str">
        <f>IF(Table2[[#This Row],[POG CONFIRMATION RECEIPT OF ORDER
(DATE &amp; TIME)]]="","No Confirmation","Received Confirmation")</f>
        <v>Received Confirmation</v>
      </c>
      <c r="P2190" s="6">
        <f ca="1">TODAY()-Table2[[#This Row],[DATE SENT TO POG]]</f>
        <v>39</v>
      </c>
      <c r="Q2190" s="6" t="s">
        <v>5803</v>
      </c>
      <c r="R21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0" s="6" t="str">
        <f>_xlfn.XLOOKUP(Table2[[#This Row],[Adjusted Form '#]],'[2]IN PROGRESS'!$D:$D,'[2]IN PROGRESS'!$M:$M,"Not Found")</f>
        <v>Not Found</v>
      </c>
      <c r="U2190" s="6" t="str">
        <f>_xlfn.XLOOKUP(Table2[[#This Row],[Adjusted Form '#]],[1]COMPLETED!$D:$D,[2]COMPLETED!$M:$M,"Not Found")</f>
        <v>Not Found</v>
      </c>
      <c r="V2190" s="13">
        <f>_xlfn.XLOOKUP(Table2[[#This Row],[Adjusted Form '#]],[2]COMPLETED!$D:$D,[2]COMPLETED!$O:$O,"Not Found")</f>
        <v>45275</v>
      </c>
      <c r="W2190" s="6" t="str">
        <f>_xlfn.XLOOKUP(Table2[[#This Row],[Adjusted Form '#]],[2]BILLED!$D:$D,[2]BILLED!$M:$M,"Not Found")</f>
        <v>Not Found</v>
      </c>
      <c r="X2190" s="13" t="str">
        <f>_xlfn.XLOOKUP(Table2[[#This Row],[Adjusted Form '#]],[2]BILLED!$D:$D,[1]BILLED!$O:$O,"Not Found")</f>
        <v>Not Found</v>
      </c>
      <c r="Y2190" s="13" t="e">
        <f>_xlfn.XLOOKUP(Table2[[#This Row],[Adjusted Form '#]],'[2]REJECTED ORDERS'!$D:$D,'[2]REJECTED ORDERS'!$E:$E)</f>
        <v>#N/A</v>
      </c>
      <c r="Z2190" s="1"/>
      <c r="AA2190" s="1"/>
    </row>
    <row r="2191" spans="1:27" ht="15" customHeight="1" x14ac:dyDescent="0.35">
      <c r="A2191" s="4" t="s">
        <v>3202</v>
      </c>
      <c r="B2191" s="1" t="s">
        <v>650</v>
      </c>
      <c r="C2191" s="11">
        <v>45264</v>
      </c>
      <c r="D2191" s="11" t="s">
        <v>7895</v>
      </c>
      <c r="E2191" s="1" t="s">
        <v>64</v>
      </c>
      <c r="F2191" s="1" t="s">
        <v>7887</v>
      </c>
      <c r="G2191" s="6">
        <f>COUNTIF(F:F,Table2[[#This Row],[Form '#]])</f>
        <v>1</v>
      </c>
      <c r="H2191" s="1" t="s">
        <v>1386</v>
      </c>
      <c r="I2191" s="1" t="s">
        <v>3852</v>
      </c>
      <c r="J2191" s="1" t="s">
        <v>80</v>
      </c>
      <c r="K2191" s="1" t="s">
        <v>3853</v>
      </c>
      <c r="L2191" s="1"/>
      <c r="M2191" s="6" t="str">
        <f>IF(Table2[[#This Row],[Corrected Form '#
 (If Duplicated)]]="",Table2[[#This Row],[Form '#]],Table2[[#This Row],[Corrected Form '#
 (If Duplicated)]])</f>
        <v>7824-00480</v>
      </c>
      <c r="N2191" s="1" t="s">
        <v>49</v>
      </c>
      <c r="O2191" s="6" t="str">
        <f>IF(Table2[[#This Row],[POG CONFIRMATION RECEIPT OF ORDER
(DATE &amp; TIME)]]="","No Confirmation","Received Confirmation")</f>
        <v>Received Confirmation</v>
      </c>
      <c r="P2191" s="6">
        <f ca="1">TODAY()-Table2[[#This Row],[DATE SENT TO POG]]</f>
        <v>39</v>
      </c>
      <c r="Q2191" s="6" t="s">
        <v>5803</v>
      </c>
      <c r="R21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1" s="6" t="str">
        <f>_xlfn.XLOOKUP(Table2[[#This Row],[Adjusted Form '#]],'[2]IN PROGRESS'!$D:$D,'[2]IN PROGRESS'!$M:$M,"Not Found")</f>
        <v>Not Found</v>
      </c>
      <c r="U2191" s="6" t="str">
        <f>_xlfn.XLOOKUP(Table2[[#This Row],[Adjusted Form '#]],[1]COMPLETED!$D:$D,[2]COMPLETED!$M:$M,"Not Found")</f>
        <v>Not Found</v>
      </c>
      <c r="V2191" s="13">
        <f>_xlfn.XLOOKUP(Table2[[#This Row],[Adjusted Form '#]],[2]COMPLETED!$D:$D,[2]COMPLETED!$O:$O,"Not Found")</f>
        <v>45278</v>
      </c>
      <c r="W2191" s="6" t="str">
        <f>_xlfn.XLOOKUP(Table2[[#This Row],[Adjusted Form '#]],[2]BILLED!$D:$D,[2]BILLED!$M:$M,"Not Found")</f>
        <v>Not Found</v>
      </c>
      <c r="X2191" s="13" t="str">
        <f>_xlfn.XLOOKUP(Table2[[#This Row],[Adjusted Form '#]],[2]BILLED!$D:$D,[1]BILLED!$O:$O,"Not Found")</f>
        <v>Not Found</v>
      </c>
      <c r="Y2191" s="13" t="e">
        <f>_xlfn.XLOOKUP(Table2[[#This Row],[Adjusted Form '#]],'[2]REJECTED ORDERS'!$D:$D,'[2]REJECTED ORDERS'!$E:$E)</f>
        <v>#N/A</v>
      </c>
      <c r="Z2191" s="1"/>
      <c r="AA2191" s="1"/>
    </row>
    <row r="2192" spans="1:27" ht="15" customHeight="1" x14ac:dyDescent="0.35">
      <c r="A2192" s="4" t="s">
        <v>3203</v>
      </c>
      <c r="B2192" s="1" t="s">
        <v>650</v>
      </c>
      <c r="C2192" s="11">
        <v>45264</v>
      </c>
      <c r="D2192" s="11" t="s">
        <v>7895</v>
      </c>
      <c r="E2192" s="1" t="s">
        <v>64</v>
      </c>
      <c r="F2192" s="1" t="s">
        <v>7888</v>
      </c>
      <c r="G2192" s="6">
        <f>COUNTIF(F:F,Table2[[#This Row],[Form '#]])</f>
        <v>1</v>
      </c>
      <c r="H2192" s="1" t="s">
        <v>7889</v>
      </c>
      <c r="I2192" s="1" t="s">
        <v>3852</v>
      </c>
      <c r="J2192" s="1" t="s">
        <v>80</v>
      </c>
      <c r="K2192" s="1" t="s">
        <v>4011</v>
      </c>
      <c r="L2192" s="1"/>
      <c r="M2192" s="6" t="str">
        <f>IF(Table2[[#This Row],[Corrected Form '#
 (If Duplicated)]]="",Table2[[#This Row],[Form '#]],Table2[[#This Row],[Corrected Form '#
 (If Duplicated)]])</f>
        <v>7824-26983</v>
      </c>
      <c r="N2192" s="1" t="s">
        <v>49</v>
      </c>
      <c r="O2192" s="6" t="str">
        <f>IF(Table2[[#This Row],[POG CONFIRMATION RECEIPT OF ORDER
(DATE &amp; TIME)]]="","No Confirmation","Received Confirmation")</f>
        <v>Received Confirmation</v>
      </c>
      <c r="P2192" s="6">
        <f ca="1">TODAY()-Table2[[#This Row],[DATE SENT TO POG]]</f>
        <v>39</v>
      </c>
      <c r="Q2192" s="6" t="s">
        <v>5802</v>
      </c>
      <c r="R21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2" s="6" t="str">
        <f>_xlfn.XLOOKUP(Table2[[#This Row],[Adjusted Form '#]],'[2]IN PROGRESS'!$D:$D,'[2]IN PROGRESS'!$M:$M,"Not Found")</f>
        <v>Not Found</v>
      </c>
      <c r="U2192" s="6" t="str">
        <f>_xlfn.XLOOKUP(Table2[[#This Row],[Adjusted Form '#]],[1]COMPLETED!$D:$D,[2]COMPLETED!$M:$M,"Not Found")</f>
        <v>Not Found</v>
      </c>
      <c r="V2192" s="13" t="str">
        <f>_xlfn.XLOOKUP(Table2[[#This Row],[Adjusted Form '#]],[2]COMPLETED!$D:$D,[2]COMPLETED!$O:$O,"Not Found")</f>
        <v>Not Found</v>
      </c>
      <c r="W2192" s="6" t="str">
        <f>_xlfn.XLOOKUP(Table2[[#This Row],[Adjusted Form '#]],[2]BILLED!$D:$D,[2]BILLED!$M:$M,"Not Found")</f>
        <v>Not Found</v>
      </c>
      <c r="X2192" s="13" t="str">
        <f>_xlfn.XLOOKUP(Table2[[#This Row],[Adjusted Form '#]],[2]BILLED!$D:$D,[1]BILLED!$O:$O,"Not Found")</f>
        <v>Not Found</v>
      </c>
      <c r="Y2192" s="13" t="e">
        <f>_xlfn.XLOOKUP(Table2[[#This Row],[Adjusted Form '#]],'[2]REJECTED ORDERS'!$D:$D,'[2]REJECTED ORDERS'!$E:$E)</f>
        <v>#N/A</v>
      </c>
      <c r="Z2192" s="1"/>
      <c r="AA2192" s="1"/>
    </row>
    <row r="2193" spans="1:27" ht="15" customHeight="1" x14ac:dyDescent="0.35">
      <c r="A2193" s="4" t="s">
        <v>3204</v>
      </c>
      <c r="B2193" s="1" t="s">
        <v>4599</v>
      </c>
      <c r="C2193" s="11">
        <v>45264</v>
      </c>
      <c r="D2193" s="11" t="s">
        <v>7896</v>
      </c>
      <c r="E2193" s="1" t="s">
        <v>73</v>
      </c>
      <c r="F2193" s="1" t="s">
        <v>7890</v>
      </c>
      <c r="G2193" s="6">
        <f>COUNTIF(F:F,Table2[[#This Row],[Form '#]])</f>
        <v>1</v>
      </c>
      <c r="H2193" s="1" t="s">
        <v>7891</v>
      </c>
      <c r="I2193" s="1" t="s">
        <v>3864</v>
      </c>
      <c r="J2193" s="1" t="s">
        <v>78</v>
      </c>
      <c r="K2193" s="1" t="s">
        <v>3879</v>
      </c>
      <c r="L2193" s="1"/>
      <c r="M2193" s="6" t="str">
        <f>IF(Table2[[#This Row],[Corrected Form '#
 (If Duplicated)]]="",Table2[[#This Row],[Form '#]],Table2[[#This Row],[Corrected Form '#
 (If Duplicated)]])</f>
        <v>7823-03173</v>
      </c>
      <c r="N2193" s="1" t="s">
        <v>49</v>
      </c>
      <c r="O2193" s="6" t="str">
        <f>IF(Table2[[#This Row],[POG CONFIRMATION RECEIPT OF ORDER
(DATE &amp; TIME)]]="","No Confirmation","Received Confirmation")</f>
        <v>Received Confirmation</v>
      </c>
      <c r="P2193" s="6">
        <f ca="1">TODAY()-Table2[[#This Row],[DATE SENT TO POG]]</f>
        <v>39</v>
      </c>
      <c r="Q2193" s="6" t="s">
        <v>5803</v>
      </c>
      <c r="R21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3" s="6" t="str">
        <f>_xlfn.XLOOKUP(Table2[[#This Row],[Adjusted Form '#]],'[2]IN PROGRESS'!$D:$D,'[2]IN PROGRESS'!$M:$M,"Not Found")</f>
        <v>Not Found</v>
      </c>
      <c r="U2193" s="6" t="str">
        <f>_xlfn.XLOOKUP(Table2[[#This Row],[Adjusted Form '#]],[1]COMPLETED!$D:$D,[2]COMPLETED!$M:$M,"Not Found")</f>
        <v>Not Found</v>
      </c>
      <c r="V2193" s="13">
        <f>_xlfn.XLOOKUP(Table2[[#This Row],[Adjusted Form '#]],[2]COMPLETED!$D:$D,[2]COMPLETED!$O:$O,"Not Found")</f>
        <v>45271</v>
      </c>
      <c r="W2193" s="6" t="str">
        <f>_xlfn.XLOOKUP(Table2[[#This Row],[Adjusted Form '#]],[2]BILLED!$D:$D,[2]BILLED!$M:$M,"Not Found")</f>
        <v>Not Found</v>
      </c>
      <c r="X2193" s="13" t="str">
        <f>_xlfn.XLOOKUP(Table2[[#This Row],[Adjusted Form '#]],[2]BILLED!$D:$D,[1]BILLED!$O:$O,"Not Found")</f>
        <v>Not Found</v>
      </c>
      <c r="Y2193" s="13" t="e">
        <f>_xlfn.XLOOKUP(Table2[[#This Row],[Adjusted Form '#]],'[2]REJECTED ORDERS'!$D:$D,'[2]REJECTED ORDERS'!$E:$E)</f>
        <v>#N/A</v>
      </c>
      <c r="Z2193" s="1"/>
      <c r="AA2193" s="1"/>
    </row>
    <row r="2194" spans="1:27" ht="15" customHeight="1" x14ac:dyDescent="0.35">
      <c r="A2194" s="4" t="s">
        <v>3205</v>
      </c>
      <c r="B2194" s="1" t="s">
        <v>1294</v>
      </c>
      <c r="C2194" s="11">
        <v>45265</v>
      </c>
      <c r="D2194" s="11" t="s">
        <v>7905</v>
      </c>
      <c r="E2194" s="1" t="s">
        <v>21</v>
      </c>
      <c r="F2194" s="1" t="s">
        <v>7897</v>
      </c>
      <c r="G2194" s="6">
        <f>COUNTIF(F:F,Table2[[#This Row],[Form '#]])</f>
        <v>1</v>
      </c>
      <c r="H2194" s="1" t="s">
        <v>7898</v>
      </c>
      <c r="I2194" s="1" t="s">
        <v>177</v>
      </c>
      <c r="J2194" s="1" t="s">
        <v>75</v>
      </c>
      <c r="K2194" s="1" t="s">
        <v>4011</v>
      </c>
      <c r="L2194" s="1"/>
      <c r="M2194" s="6" t="str">
        <f>IF(Table2[[#This Row],[Corrected Form '#
 (If Duplicated)]]="",Table2[[#This Row],[Form '#]],Table2[[#This Row],[Corrected Form '#
 (If Duplicated)]])</f>
        <v>7818-33608</v>
      </c>
      <c r="N2194" s="1" t="s">
        <v>49</v>
      </c>
      <c r="O2194" s="6" t="str">
        <f>IF(Table2[[#This Row],[POG CONFIRMATION RECEIPT OF ORDER
(DATE &amp; TIME)]]="","No Confirmation","Received Confirmation")</f>
        <v>Received Confirmation</v>
      </c>
      <c r="P2194" s="6">
        <f ca="1">TODAY()-Table2[[#This Row],[DATE SENT TO POG]]</f>
        <v>38</v>
      </c>
      <c r="Q2194" s="6" t="s">
        <v>5803</v>
      </c>
      <c r="R21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4" s="6" t="str">
        <f>_xlfn.XLOOKUP(Table2[[#This Row],[Adjusted Form '#]],'[2]IN PROGRESS'!$D:$D,'[2]IN PROGRESS'!$M:$M,"Not Found")</f>
        <v>Not Found</v>
      </c>
      <c r="U2194" s="6" t="str">
        <f>_xlfn.XLOOKUP(Table2[[#This Row],[Adjusted Form '#]],[1]COMPLETED!$D:$D,[2]COMPLETED!$M:$M,"Not Found")</f>
        <v>Not Found</v>
      </c>
      <c r="V2194" s="13">
        <f>_xlfn.XLOOKUP(Table2[[#This Row],[Adjusted Form '#]],[2]COMPLETED!$D:$D,[2]COMPLETED!$O:$O,"Not Found")</f>
        <v>45275</v>
      </c>
      <c r="W2194" s="6" t="str">
        <f>_xlfn.XLOOKUP(Table2[[#This Row],[Adjusted Form '#]],[2]BILLED!$D:$D,[2]BILLED!$M:$M,"Not Found")</f>
        <v>Not Found</v>
      </c>
      <c r="X2194" s="13" t="str">
        <f>_xlfn.XLOOKUP(Table2[[#This Row],[Adjusted Form '#]],[2]BILLED!$D:$D,[1]BILLED!$O:$O,"Not Found")</f>
        <v>Not Found</v>
      </c>
      <c r="Y2194" s="13" t="e">
        <f>_xlfn.XLOOKUP(Table2[[#This Row],[Adjusted Form '#]],'[2]REJECTED ORDERS'!$D:$D,'[2]REJECTED ORDERS'!$E:$E)</f>
        <v>#N/A</v>
      </c>
      <c r="Z2194" s="1"/>
      <c r="AA2194" s="1"/>
    </row>
    <row r="2195" spans="1:27" ht="15" customHeight="1" x14ac:dyDescent="0.35">
      <c r="A2195" s="4" t="s">
        <v>3206</v>
      </c>
      <c r="B2195" s="1" t="s">
        <v>1294</v>
      </c>
      <c r="C2195" s="11">
        <v>45265</v>
      </c>
      <c r="D2195" s="11" t="s">
        <v>7905</v>
      </c>
      <c r="E2195" s="1" t="s">
        <v>21</v>
      </c>
      <c r="F2195" s="1" t="s">
        <v>7899</v>
      </c>
      <c r="G2195" s="6">
        <f>COUNTIF(F:F,Table2[[#This Row],[Form '#]])</f>
        <v>1</v>
      </c>
      <c r="H2195" s="1" t="s">
        <v>7900</v>
      </c>
      <c r="I2195" s="1" t="s">
        <v>3852</v>
      </c>
      <c r="J2195" s="1" t="s">
        <v>80</v>
      </c>
      <c r="K2195" s="1" t="s">
        <v>3853</v>
      </c>
      <c r="L2195" s="1"/>
      <c r="M2195" s="6" t="str">
        <f>IF(Table2[[#This Row],[Corrected Form '#
 (If Duplicated)]]="",Table2[[#This Row],[Form '#]],Table2[[#This Row],[Corrected Form '#
 (If Duplicated)]])</f>
        <v>7818-25851</v>
      </c>
      <c r="N2195" s="1" t="s">
        <v>49</v>
      </c>
      <c r="O2195" s="6" t="str">
        <f>IF(Table2[[#This Row],[POG CONFIRMATION RECEIPT OF ORDER
(DATE &amp; TIME)]]="","No Confirmation","Received Confirmation")</f>
        <v>Received Confirmation</v>
      </c>
      <c r="P2195" s="6">
        <f ca="1">TODAY()-Table2[[#This Row],[DATE SENT TO POG]]</f>
        <v>38</v>
      </c>
      <c r="Q2195" s="6" t="s">
        <v>5803</v>
      </c>
      <c r="R21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5" s="6" t="str">
        <f>_xlfn.XLOOKUP(Table2[[#This Row],[Adjusted Form '#]],'[2]IN PROGRESS'!$D:$D,'[2]IN PROGRESS'!$M:$M,"Not Found")</f>
        <v>Not Found</v>
      </c>
      <c r="U2195" s="6" t="str">
        <f>_xlfn.XLOOKUP(Table2[[#This Row],[Adjusted Form '#]],[1]COMPLETED!$D:$D,[2]COMPLETED!$M:$M,"Not Found")</f>
        <v>Not Found</v>
      </c>
      <c r="V2195" s="13">
        <f>_xlfn.XLOOKUP(Table2[[#This Row],[Adjusted Form '#]],[2]COMPLETED!$D:$D,[2]COMPLETED!$O:$O,"Not Found")</f>
        <v>45278</v>
      </c>
      <c r="W2195" s="6" t="str">
        <f>_xlfn.XLOOKUP(Table2[[#This Row],[Adjusted Form '#]],[2]BILLED!$D:$D,[2]BILLED!$M:$M,"Not Found")</f>
        <v>Not Found</v>
      </c>
      <c r="X2195" s="13" t="str">
        <f>_xlfn.XLOOKUP(Table2[[#This Row],[Adjusted Form '#]],[2]BILLED!$D:$D,[1]BILLED!$O:$O,"Not Found")</f>
        <v>Not Found</v>
      </c>
      <c r="Y2195" s="13" t="e">
        <f>_xlfn.XLOOKUP(Table2[[#This Row],[Adjusted Form '#]],'[2]REJECTED ORDERS'!$D:$D,'[2]REJECTED ORDERS'!$E:$E)</f>
        <v>#N/A</v>
      </c>
      <c r="Z2195" s="1"/>
      <c r="AA2195" s="1"/>
    </row>
    <row r="2196" spans="1:27" ht="15" customHeight="1" x14ac:dyDescent="0.35">
      <c r="A2196" s="4" t="s">
        <v>3208</v>
      </c>
      <c r="B2196" s="1" t="s">
        <v>1294</v>
      </c>
      <c r="C2196" s="11">
        <v>45265</v>
      </c>
      <c r="D2196" s="11" t="s">
        <v>7905</v>
      </c>
      <c r="E2196" s="1" t="s">
        <v>21</v>
      </c>
      <c r="F2196" s="1" t="s">
        <v>7901</v>
      </c>
      <c r="G2196" s="6">
        <f>COUNTIF(F:F,Table2[[#This Row],[Form '#]])</f>
        <v>1</v>
      </c>
      <c r="H2196" s="1" t="s">
        <v>7902</v>
      </c>
      <c r="I2196" s="1" t="s">
        <v>3852</v>
      </c>
      <c r="J2196" s="1" t="s">
        <v>80</v>
      </c>
      <c r="K2196" s="1" t="s">
        <v>3853</v>
      </c>
      <c r="L2196" s="1"/>
      <c r="M2196" s="6" t="str">
        <f>IF(Table2[[#This Row],[Corrected Form '#
 (If Duplicated)]]="",Table2[[#This Row],[Form '#]],Table2[[#This Row],[Corrected Form '#
 (If Duplicated)]])</f>
        <v>7818-27772</v>
      </c>
      <c r="N2196" s="1" t="s">
        <v>49</v>
      </c>
      <c r="O2196" s="6" t="str">
        <f>IF(Table2[[#This Row],[POG CONFIRMATION RECEIPT OF ORDER
(DATE &amp; TIME)]]="","No Confirmation","Received Confirmation")</f>
        <v>Received Confirmation</v>
      </c>
      <c r="P2196" s="6">
        <f ca="1">TODAY()-Table2[[#This Row],[DATE SENT TO POG]]</f>
        <v>38</v>
      </c>
      <c r="Q2196" s="6" t="s">
        <v>5803</v>
      </c>
      <c r="R21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6" s="6" t="str">
        <f>_xlfn.XLOOKUP(Table2[[#This Row],[Adjusted Form '#]],'[2]IN PROGRESS'!$D:$D,'[2]IN PROGRESS'!$M:$M,"Not Found")</f>
        <v>Not Found</v>
      </c>
      <c r="U2196" s="6" t="str">
        <f>_xlfn.XLOOKUP(Table2[[#This Row],[Adjusted Form '#]],[1]COMPLETED!$D:$D,[2]COMPLETED!$M:$M,"Not Found")</f>
        <v>Not Found</v>
      </c>
      <c r="V2196" s="13">
        <f>_xlfn.XLOOKUP(Table2[[#This Row],[Adjusted Form '#]],[2]COMPLETED!$D:$D,[2]COMPLETED!$O:$O,"Not Found")</f>
        <v>45275</v>
      </c>
      <c r="W2196" s="6" t="str">
        <f>_xlfn.XLOOKUP(Table2[[#This Row],[Adjusted Form '#]],[2]BILLED!$D:$D,[2]BILLED!$M:$M,"Not Found")</f>
        <v>Not Found</v>
      </c>
      <c r="X2196" s="13" t="str">
        <f>_xlfn.XLOOKUP(Table2[[#This Row],[Adjusted Form '#]],[2]BILLED!$D:$D,[1]BILLED!$O:$O,"Not Found")</f>
        <v>Not Found</v>
      </c>
      <c r="Y2196" s="13" t="e">
        <f>_xlfn.XLOOKUP(Table2[[#This Row],[Adjusted Form '#]],'[2]REJECTED ORDERS'!$D:$D,'[2]REJECTED ORDERS'!$E:$E)</f>
        <v>#N/A</v>
      </c>
      <c r="Z2196" s="1"/>
      <c r="AA2196" s="1"/>
    </row>
    <row r="2197" spans="1:27" ht="15" customHeight="1" x14ac:dyDescent="0.35">
      <c r="A2197" s="4" t="s">
        <v>3209</v>
      </c>
      <c r="B2197" s="1" t="s">
        <v>1294</v>
      </c>
      <c r="C2197" s="11">
        <v>45265</v>
      </c>
      <c r="D2197" s="11" t="s">
        <v>7905</v>
      </c>
      <c r="E2197" s="1" t="s">
        <v>21</v>
      </c>
      <c r="F2197" s="1" t="s">
        <v>7903</v>
      </c>
      <c r="G2197" s="6">
        <f>COUNTIF(F:F,Table2[[#This Row],[Form '#]])</f>
        <v>1</v>
      </c>
      <c r="H2197" s="1" t="s">
        <v>2945</v>
      </c>
      <c r="I2197" s="1" t="s">
        <v>3852</v>
      </c>
      <c r="J2197" s="1" t="s">
        <v>80</v>
      </c>
      <c r="K2197" s="1" t="s">
        <v>3853</v>
      </c>
      <c r="L2197" s="1"/>
      <c r="M2197" s="6" t="str">
        <f>IF(Table2[[#This Row],[Corrected Form '#
 (If Duplicated)]]="",Table2[[#This Row],[Form '#]],Table2[[#This Row],[Corrected Form '#
 (If Duplicated)]])</f>
        <v>7818-30950</v>
      </c>
      <c r="N2197" s="1" t="s">
        <v>49</v>
      </c>
      <c r="O2197" s="6" t="str">
        <f>IF(Table2[[#This Row],[POG CONFIRMATION RECEIPT OF ORDER
(DATE &amp; TIME)]]="","No Confirmation","Received Confirmation")</f>
        <v>Received Confirmation</v>
      </c>
      <c r="P2197" s="6">
        <f ca="1">TODAY()-Table2[[#This Row],[DATE SENT TO POG]]</f>
        <v>38</v>
      </c>
      <c r="Q2197" s="6" t="s">
        <v>5803</v>
      </c>
      <c r="R21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7" s="6" t="str">
        <f>_xlfn.XLOOKUP(Table2[[#This Row],[Adjusted Form '#]],'[2]IN PROGRESS'!$D:$D,'[2]IN PROGRESS'!$M:$M,"Not Found")</f>
        <v>Not Found</v>
      </c>
      <c r="U2197" s="6" t="str">
        <f>_xlfn.XLOOKUP(Table2[[#This Row],[Adjusted Form '#]],[1]COMPLETED!$D:$D,[2]COMPLETED!$M:$M,"Not Found")</f>
        <v>Not Found</v>
      </c>
      <c r="V2197" s="13">
        <f>_xlfn.XLOOKUP(Table2[[#This Row],[Adjusted Form '#]],[2]COMPLETED!$D:$D,[2]COMPLETED!$O:$O,"Not Found")</f>
        <v>45275</v>
      </c>
      <c r="W2197" s="6" t="str">
        <f>_xlfn.XLOOKUP(Table2[[#This Row],[Adjusted Form '#]],[2]BILLED!$D:$D,[2]BILLED!$M:$M,"Not Found")</f>
        <v>Not Found</v>
      </c>
      <c r="X2197" s="13" t="str">
        <f>_xlfn.XLOOKUP(Table2[[#This Row],[Adjusted Form '#]],[2]BILLED!$D:$D,[1]BILLED!$O:$O,"Not Found")</f>
        <v>Not Found</v>
      </c>
      <c r="Y2197" s="13" t="e">
        <f>_xlfn.XLOOKUP(Table2[[#This Row],[Adjusted Form '#]],'[2]REJECTED ORDERS'!$D:$D,'[2]REJECTED ORDERS'!$E:$E)</f>
        <v>#N/A</v>
      </c>
      <c r="Z2197" s="1"/>
      <c r="AA2197" s="1"/>
    </row>
    <row r="2198" spans="1:27" ht="15" customHeight="1" x14ac:dyDescent="0.35">
      <c r="A2198" s="4" t="s">
        <v>3210</v>
      </c>
      <c r="B2198" s="1" t="s">
        <v>1294</v>
      </c>
      <c r="C2198" s="11">
        <v>45265</v>
      </c>
      <c r="D2198" s="11" t="s">
        <v>7905</v>
      </c>
      <c r="E2198" s="1" t="s">
        <v>21</v>
      </c>
      <c r="F2198" s="1" t="s">
        <v>7904</v>
      </c>
      <c r="G2198" s="6">
        <f>COUNTIF(F:F,Table2[[#This Row],[Form '#]])</f>
        <v>1</v>
      </c>
      <c r="H2198" s="1" t="s">
        <v>1792</v>
      </c>
      <c r="I2198" s="1" t="s">
        <v>127</v>
      </c>
      <c r="J2198" s="1" t="s">
        <v>76</v>
      </c>
      <c r="K2198" s="1" t="s">
        <v>4011</v>
      </c>
      <c r="L2198" s="1"/>
      <c r="M2198" s="6" t="str">
        <f>IF(Table2[[#This Row],[Corrected Form '#
 (If Duplicated)]]="",Table2[[#This Row],[Form '#]],Table2[[#This Row],[Corrected Form '#
 (If Duplicated)]])</f>
        <v>7818-33358</v>
      </c>
      <c r="N2198" s="1" t="s">
        <v>49</v>
      </c>
      <c r="O2198" s="6" t="str">
        <f>IF(Table2[[#This Row],[POG CONFIRMATION RECEIPT OF ORDER
(DATE &amp; TIME)]]="","No Confirmation","Received Confirmation")</f>
        <v>Received Confirmation</v>
      </c>
      <c r="P2198" s="6">
        <f ca="1">TODAY()-Table2[[#This Row],[DATE SENT TO POG]]</f>
        <v>38</v>
      </c>
      <c r="Q2198" s="6" t="s">
        <v>6025</v>
      </c>
      <c r="R21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8" s="6" t="str">
        <f>_xlfn.XLOOKUP(Table2[[#This Row],[Adjusted Form '#]],'[2]IN PROGRESS'!$D:$D,'[2]IN PROGRESS'!$M:$M,"Not Found")</f>
        <v>Not Found</v>
      </c>
      <c r="U2198" s="6" t="str">
        <f>_xlfn.XLOOKUP(Table2[[#This Row],[Adjusted Form '#]],[1]COMPLETED!$D:$D,[2]COMPLETED!$M:$M,"Not Found")</f>
        <v>Not Found</v>
      </c>
      <c r="V2198" s="13">
        <f>_xlfn.XLOOKUP(Table2[[#This Row],[Adjusted Form '#]],[2]COMPLETED!$D:$D,[2]COMPLETED!$O:$O,"Not Found")</f>
        <v>45282</v>
      </c>
      <c r="W2198" s="6" t="str">
        <f>_xlfn.XLOOKUP(Table2[[#This Row],[Adjusted Form '#]],[2]BILLED!$D:$D,[2]BILLED!$M:$M,"Not Found")</f>
        <v>Not Found</v>
      </c>
      <c r="X2198" s="13" t="str">
        <f>_xlfn.XLOOKUP(Table2[[#This Row],[Adjusted Form '#]],[2]BILLED!$D:$D,[1]BILLED!$O:$O,"Not Found")</f>
        <v>Not Found</v>
      </c>
      <c r="Y2198" s="13" t="e">
        <f>_xlfn.XLOOKUP(Table2[[#This Row],[Adjusted Form '#]],'[2]REJECTED ORDERS'!$D:$D,'[2]REJECTED ORDERS'!$E:$E)</f>
        <v>#N/A</v>
      </c>
      <c r="Z2198" s="1"/>
      <c r="AA2198" s="1"/>
    </row>
    <row r="2199" spans="1:27" ht="15" customHeight="1" x14ac:dyDescent="0.35">
      <c r="A2199" s="4" t="s">
        <v>3211</v>
      </c>
      <c r="B2199" s="1" t="s">
        <v>1142</v>
      </c>
      <c r="C2199" s="11">
        <v>45265</v>
      </c>
      <c r="D2199" s="11" t="s">
        <v>7912</v>
      </c>
      <c r="E2199" s="1" t="s">
        <v>21</v>
      </c>
      <c r="F2199" s="1" t="s">
        <v>7906</v>
      </c>
      <c r="G2199" s="6">
        <f>COUNTIF(F:F,Table2[[#This Row],[Form '#]])</f>
        <v>1</v>
      </c>
      <c r="H2199" s="1" t="s">
        <v>7907</v>
      </c>
      <c r="I2199" s="1" t="s">
        <v>28</v>
      </c>
      <c r="J2199" s="1" t="s">
        <v>69</v>
      </c>
      <c r="K2199" s="1" t="s">
        <v>4011</v>
      </c>
      <c r="L2199" s="1"/>
      <c r="M2199" s="6" t="str">
        <f>IF(Table2[[#This Row],[Corrected Form '#
 (If Duplicated)]]="",Table2[[#This Row],[Form '#]],Table2[[#This Row],[Corrected Form '#
 (If Duplicated)]])</f>
        <v>7818-27725</v>
      </c>
      <c r="N2199" s="1" t="s">
        <v>49</v>
      </c>
      <c r="O2199" s="6" t="str">
        <f>IF(Table2[[#This Row],[POG CONFIRMATION RECEIPT OF ORDER
(DATE &amp; TIME)]]="","No Confirmation","Received Confirmation")</f>
        <v>Received Confirmation</v>
      </c>
      <c r="P2199" s="6">
        <f ca="1">TODAY()-Table2[[#This Row],[DATE SENT TO POG]]</f>
        <v>38</v>
      </c>
      <c r="Q2199" s="6" t="s">
        <v>5803</v>
      </c>
      <c r="R21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19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199" s="6" t="str">
        <f>_xlfn.XLOOKUP(Table2[[#This Row],[Adjusted Form '#]],'[2]IN PROGRESS'!$D:$D,'[2]IN PROGRESS'!$M:$M,"Not Found")</f>
        <v>Not Found</v>
      </c>
      <c r="U2199" s="6" t="str">
        <f>_xlfn.XLOOKUP(Table2[[#This Row],[Adjusted Form '#]],[1]COMPLETED!$D:$D,[2]COMPLETED!$M:$M,"Not Found")</f>
        <v>Not Found</v>
      </c>
      <c r="V2199" s="13">
        <f>_xlfn.XLOOKUP(Table2[[#This Row],[Adjusted Form '#]],[2]COMPLETED!$D:$D,[2]COMPLETED!$O:$O,"Not Found")</f>
        <v>45275</v>
      </c>
      <c r="W2199" s="6" t="str">
        <f>_xlfn.XLOOKUP(Table2[[#This Row],[Adjusted Form '#]],[2]BILLED!$D:$D,[2]BILLED!$M:$M,"Not Found")</f>
        <v>Not Found</v>
      </c>
      <c r="X2199" s="13" t="str">
        <f>_xlfn.XLOOKUP(Table2[[#This Row],[Adjusted Form '#]],[2]BILLED!$D:$D,[1]BILLED!$O:$O,"Not Found")</f>
        <v>Not Found</v>
      </c>
      <c r="Y2199" s="13" t="e">
        <f>_xlfn.XLOOKUP(Table2[[#This Row],[Adjusted Form '#]],'[2]REJECTED ORDERS'!$D:$D,'[2]REJECTED ORDERS'!$E:$E)</f>
        <v>#N/A</v>
      </c>
      <c r="Z2199" s="1"/>
      <c r="AA2199" s="1"/>
    </row>
    <row r="2200" spans="1:27" ht="15" customHeight="1" x14ac:dyDescent="0.35">
      <c r="A2200" s="4" t="s">
        <v>3212</v>
      </c>
      <c r="B2200" s="1" t="s">
        <v>7908</v>
      </c>
      <c r="C2200" s="11">
        <v>45265</v>
      </c>
      <c r="E2200" s="1" t="s">
        <v>73</v>
      </c>
      <c r="F2200" s="1" t="s">
        <v>7909</v>
      </c>
      <c r="G2200" s="6">
        <f>COUNTIF(F:F,Table2[[#This Row],[Form '#]])</f>
        <v>1</v>
      </c>
      <c r="H2200" s="1" t="s">
        <v>2384</v>
      </c>
      <c r="I2200" s="1" t="s">
        <v>177</v>
      </c>
      <c r="J2200" s="1" t="s">
        <v>75</v>
      </c>
      <c r="K2200" s="1" t="s">
        <v>3853</v>
      </c>
      <c r="L2200" s="1"/>
      <c r="M2200" s="6" t="str">
        <f>IF(Table2[[#This Row],[Corrected Form '#
 (If Duplicated)]]="",Table2[[#This Row],[Form '#]],Table2[[#This Row],[Corrected Form '#
 (If Duplicated)]])</f>
        <v>7823-01541</v>
      </c>
      <c r="N2200" s="1" t="s">
        <v>49</v>
      </c>
      <c r="O2200" s="6" t="str">
        <f>IF(Table2[[#This Row],[POG CONFIRMATION RECEIPT OF ORDER
(DATE &amp; TIME)]]="","No Confirmation","Received Confirmation")</f>
        <v>No Confirmation</v>
      </c>
      <c r="P2200" s="6">
        <f ca="1">TODAY()-Table2[[#This Row],[DATE SENT TO POG]]</f>
        <v>38</v>
      </c>
      <c r="Q2200" s="6" t="s">
        <v>5803</v>
      </c>
      <c r="R22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0" s="6" t="str">
        <f>_xlfn.XLOOKUP(Table2[[#This Row],[Adjusted Form '#]],'[2]IN PROGRESS'!$D:$D,'[2]IN PROGRESS'!$M:$M,"Not Found")</f>
        <v>Not Found</v>
      </c>
      <c r="U2200" s="6" t="str">
        <f>_xlfn.XLOOKUP(Table2[[#This Row],[Adjusted Form '#]],[1]COMPLETED!$D:$D,[2]COMPLETED!$M:$M,"Not Found")</f>
        <v>Not Found</v>
      </c>
      <c r="V2200" s="13">
        <f>_xlfn.XLOOKUP(Table2[[#This Row],[Adjusted Form '#]],[2]COMPLETED!$D:$D,[2]COMPLETED!$O:$O,"Not Found")</f>
        <v>45271</v>
      </c>
      <c r="W2200" s="6" t="str">
        <f>_xlfn.XLOOKUP(Table2[[#This Row],[Adjusted Form '#]],[2]BILLED!$D:$D,[2]BILLED!$M:$M,"Not Found")</f>
        <v>Not Found</v>
      </c>
      <c r="X2200" s="13" t="str">
        <f>_xlfn.XLOOKUP(Table2[[#This Row],[Adjusted Form '#]],[2]BILLED!$D:$D,[1]BILLED!$O:$O,"Not Found")</f>
        <v>Not Found</v>
      </c>
      <c r="Y2200" s="13" t="e">
        <f>_xlfn.XLOOKUP(Table2[[#This Row],[Adjusted Form '#]],'[2]REJECTED ORDERS'!$D:$D,'[2]REJECTED ORDERS'!$E:$E)</f>
        <v>#N/A</v>
      </c>
      <c r="Z2200" s="1"/>
      <c r="AA2200" s="1"/>
    </row>
    <row r="2201" spans="1:27" ht="15" customHeight="1" x14ac:dyDescent="0.35">
      <c r="A2201" s="4" t="s">
        <v>3213</v>
      </c>
      <c r="B2201" s="1" t="s">
        <v>374</v>
      </c>
      <c r="C2201" s="11">
        <v>45266</v>
      </c>
      <c r="D2201" s="11" t="s">
        <v>7913</v>
      </c>
      <c r="E2201" s="1" t="s">
        <v>191</v>
      </c>
      <c r="F2201" s="1" t="s">
        <v>7910</v>
      </c>
      <c r="G2201" s="6">
        <f>COUNTIF(F:F,Table2[[#This Row],[Form '#]])</f>
        <v>2</v>
      </c>
      <c r="H2201" s="1" t="s">
        <v>3608</v>
      </c>
      <c r="I2201" s="1" t="s">
        <v>177</v>
      </c>
      <c r="J2201" s="1" t="s">
        <v>75</v>
      </c>
      <c r="K2201" s="1" t="s">
        <v>3853</v>
      </c>
      <c r="L2201" s="1"/>
      <c r="M2201" s="6" t="str">
        <f>IF(Table2[[#This Row],[Corrected Form '#
 (If Duplicated)]]="",Table2[[#This Row],[Form '#]],Table2[[#This Row],[Corrected Form '#
 (If Duplicated)]])</f>
        <v>7812-00426</v>
      </c>
      <c r="N2201" s="1" t="s">
        <v>49</v>
      </c>
      <c r="O2201" s="6" t="str">
        <f>IF(Table2[[#This Row],[POG CONFIRMATION RECEIPT OF ORDER
(DATE &amp; TIME)]]="","No Confirmation","Received Confirmation")</f>
        <v>Received Confirmation</v>
      </c>
      <c r="P2201" s="6">
        <f ca="1">TODAY()-Table2[[#This Row],[DATE SENT TO POG]]</f>
        <v>37</v>
      </c>
      <c r="Q2201" s="6" t="s">
        <v>5803</v>
      </c>
      <c r="R22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1" s="6" t="str">
        <f>_xlfn.XLOOKUP(Table2[[#This Row],[Adjusted Form '#]],'[2]IN PROGRESS'!$D:$D,'[2]IN PROGRESS'!$M:$M,"Not Found")</f>
        <v>Not Found</v>
      </c>
      <c r="U2201" s="6" t="str">
        <f>_xlfn.XLOOKUP(Table2[[#This Row],[Adjusted Form '#]],[1]COMPLETED!$D:$D,[2]COMPLETED!$M:$M,"Not Found")</f>
        <v>Not Found</v>
      </c>
      <c r="V2201" s="13">
        <f>_xlfn.XLOOKUP(Table2[[#This Row],[Adjusted Form '#]],[2]COMPLETED!$D:$D,[2]COMPLETED!$O:$O,"Not Found")</f>
        <v>45278</v>
      </c>
      <c r="W2201" s="6" t="str">
        <f>_xlfn.XLOOKUP(Table2[[#This Row],[Adjusted Form '#]],[2]BILLED!$D:$D,[2]BILLED!$M:$M,"Not Found")</f>
        <v>Not Found</v>
      </c>
      <c r="X2201" s="13" t="str">
        <f>_xlfn.XLOOKUP(Table2[[#This Row],[Adjusted Form '#]],[2]BILLED!$D:$D,[1]BILLED!$O:$O,"Not Found")</f>
        <v>Not Found</v>
      </c>
      <c r="Y2201" s="13" t="e">
        <f>_xlfn.XLOOKUP(Table2[[#This Row],[Adjusted Form '#]],'[2]REJECTED ORDERS'!$D:$D,'[2]REJECTED ORDERS'!$E:$E)</f>
        <v>#N/A</v>
      </c>
      <c r="Z2201" s="1"/>
      <c r="AA2201" s="1"/>
    </row>
    <row r="2202" spans="1:27" ht="15" customHeight="1" x14ac:dyDescent="0.35">
      <c r="A2202" s="4" t="s">
        <v>3214</v>
      </c>
      <c r="B2202" s="1" t="s">
        <v>374</v>
      </c>
      <c r="C2202" s="11">
        <v>45266</v>
      </c>
      <c r="D2202" s="11" t="s">
        <v>7913</v>
      </c>
      <c r="E2202" s="1" t="s">
        <v>191</v>
      </c>
      <c r="F2202" s="1" t="s">
        <v>7911</v>
      </c>
      <c r="G2202" s="6">
        <f>COUNTIF(F:F,Table2[[#This Row],[Form '#]])</f>
        <v>1</v>
      </c>
      <c r="H2202" s="1" t="s">
        <v>2690</v>
      </c>
      <c r="I2202" s="1" t="s">
        <v>177</v>
      </c>
      <c r="J2202" s="1" t="s">
        <v>75</v>
      </c>
      <c r="K2202" s="1" t="s">
        <v>4011</v>
      </c>
      <c r="L2202" s="1"/>
      <c r="M2202" s="6" t="str">
        <f>IF(Table2[[#This Row],[Corrected Form '#
 (If Duplicated)]]="",Table2[[#This Row],[Form '#]],Table2[[#This Row],[Corrected Form '#
 (If Duplicated)]])</f>
        <v>7812-04716</v>
      </c>
      <c r="N2202" s="1" t="s">
        <v>49</v>
      </c>
      <c r="O2202" s="6" t="str">
        <f>IF(Table2[[#This Row],[POG CONFIRMATION RECEIPT OF ORDER
(DATE &amp; TIME)]]="","No Confirmation","Received Confirmation")</f>
        <v>Received Confirmation</v>
      </c>
      <c r="P2202" s="6">
        <f ca="1">TODAY()-Table2[[#This Row],[DATE SENT TO POG]]</f>
        <v>37</v>
      </c>
      <c r="Q2202" s="6" t="s">
        <v>5803</v>
      </c>
      <c r="R22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2" s="6" t="str">
        <f>_xlfn.XLOOKUP(Table2[[#This Row],[Adjusted Form '#]],'[2]IN PROGRESS'!$D:$D,'[2]IN PROGRESS'!$M:$M,"Not Found")</f>
        <v>Not Found</v>
      </c>
      <c r="U2202" s="6" t="str">
        <f>_xlfn.XLOOKUP(Table2[[#This Row],[Adjusted Form '#]],[1]COMPLETED!$D:$D,[2]COMPLETED!$M:$M,"Not Found")</f>
        <v>Not Found</v>
      </c>
      <c r="V2202" s="13">
        <f>_xlfn.XLOOKUP(Table2[[#This Row],[Adjusted Form '#]],[2]COMPLETED!$D:$D,[2]COMPLETED!$O:$O,"Not Found")</f>
        <v>45276</v>
      </c>
      <c r="W2202" s="6" t="str">
        <f>_xlfn.XLOOKUP(Table2[[#This Row],[Adjusted Form '#]],[2]BILLED!$D:$D,[2]BILLED!$M:$M,"Not Found")</f>
        <v>Not Found</v>
      </c>
      <c r="X2202" s="13" t="str">
        <f>_xlfn.XLOOKUP(Table2[[#This Row],[Adjusted Form '#]],[2]BILLED!$D:$D,[1]BILLED!$O:$O,"Not Found")</f>
        <v>Not Found</v>
      </c>
      <c r="Y2202" s="13" t="e">
        <f>_xlfn.XLOOKUP(Table2[[#This Row],[Adjusted Form '#]],'[2]REJECTED ORDERS'!$D:$D,'[2]REJECTED ORDERS'!$E:$E)</f>
        <v>#N/A</v>
      </c>
      <c r="Z2202" s="1"/>
      <c r="AA2202" s="1"/>
    </row>
    <row r="2203" spans="1:27" ht="15" customHeight="1" x14ac:dyDescent="0.35">
      <c r="A2203" s="4" t="s">
        <v>3215</v>
      </c>
      <c r="B2203" s="1" t="s">
        <v>2383</v>
      </c>
      <c r="C2203" s="11">
        <v>45266</v>
      </c>
      <c r="D2203" s="11" t="s">
        <v>7914</v>
      </c>
      <c r="E2203" s="1" t="s">
        <v>21</v>
      </c>
      <c r="F2203" s="1" t="s">
        <v>7915</v>
      </c>
      <c r="G2203" s="6">
        <f>COUNTIF(F:F,Table2[[#This Row],[Form '#]])</f>
        <v>1</v>
      </c>
      <c r="H2203" s="1" t="s">
        <v>7916</v>
      </c>
      <c r="I2203" s="1" t="s">
        <v>177</v>
      </c>
      <c r="J2203" s="1" t="s">
        <v>75</v>
      </c>
      <c r="K2203" s="1" t="s">
        <v>3853</v>
      </c>
      <c r="L2203" s="1"/>
      <c r="M2203" s="6" t="str">
        <f>IF(Table2[[#This Row],[Corrected Form '#
 (If Duplicated)]]="",Table2[[#This Row],[Form '#]],Table2[[#This Row],[Corrected Form '#
 (If Duplicated)]])</f>
        <v>7818-29560</v>
      </c>
      <c r="N2203" s="1" t="s">
        <v>49</v>
      </c>
      <c r="O2203" s="6" t="str">
        <f>IF(Table2[[#This Row],[POG CONFIRMATION RECEIPT OF ORDER
(DATE &amp; TIME)]]="","No Confirmation","Received Confirmation")</f>
        <v>Received Confirmation</v>
      </c>
      <c r="P2203" s="6">
        <f ca="1">TODAY()-Table2[[#This Row],[DATE SENT TO POG]]</f>
        <v>37</v>
      </c>
      <c r="Q2203" s="6" t="s">
        <v>5803</v>
      </c>
      <c r="R22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3" s="6" t="str">
        <f>_xlfn.XLOOKUP(Table2[[#This Row],[Adjusted Form '#]],'[2]IN PROGRESS'!$D:$D,'[2]IN PROGRESS'!$M:$M,"Not Found")</f>
        <v>Not Found</v>
      </c>
      <c r="U2203" s="6" t="str">
        <f>_xlfn.XLOOKUP(Table2[[#This Row],[Adjusted Form '#]],[1]COMPLETED!$D:$D,[2]COMPLETED!$M:$M,"Not Found")</f>
        <v>Not Found</v>
      </c>
      <c r="V2203" s="13">
        <f>_xlfn.XLOOKUP(Table2[[#This Row],[Adjusted Form '#]],[2]COMPLETED!$D:$D,[2]COMPLETED!$O:$O,"Not Found")</f>
        <v>45275</v>
      </c>
      <c r="W2203" s="6" t="str">
        <f>_xlfn.XLOOKUP(Table2[[#This Row],[Adjusted Form '#]],[2]BILLED!$D:$D,[2]BILLED!$M:$M,"Not Found")</f>
        <v>Not Found</v>
      </c>
      <c r="X2203" s="13" t="str">
        <f>_xlfn.XLOOKUP(Table2[[#This Row],[Adjusted Form '#]],[2]BILLED!$D:$D,[1]BILLED!$O:$O,"Not Found")</f>
        <v>Not Found</v>
      </c>
      <c r="Y2203" s="13" t="str">
        <f>_xlfn.XLOOKUP(Table2[[#This Row],[Adjusted Form '#]],'[2]REJECTED ORDERS'!$D:$D,'[2]REJECTED ORDERS'!$E:$E)</f>
        <v>FORM NUMBER ALREADY USED</v>
      </c>
      <c r="Z2203" s="1"/>
      <c r="AA2203" s="1"/>
    </row>
    <row r="2204" spans="1:27" ht="15" customHeight="1" x14ac:dyDescent="0.35">
      <c r="A2204" s="4" t="s">
        <v>3216</v>
      </c>
      <c r="B2204" s="1" t="s">
        <v>1450</v>
      </c>
      <c r="C2204" s="11">
        <v>45266</v>
      </c>
      <c r="D2204" s="11" t="s">
        <v>7919</v>
      </c>
      <c r="E2204" s="1" t="s">
        <v>21</v>
      </c>
      <c r="F2204" s="1" t="s">
        <v>7917</v>
      </c>
      <c r="G2204" s="6">
        <f>COUNTIF(F:F,Table2[[#This Row],[Form '#]])</f>
        <v>1</v>
      </c>
      <c r="H2204" s="1" t="s">
        <v>2327</v>
      </c>
      <c r="I2204" s="1" t="s">
        <v>3864</v>
      </c>
      <c r="J2204" s="1" t="s">
        <v>78</v>
      </c>
      <c r="K2204" s="1" t="s">
        <v>3879</v>
      </c>
      <c r="L2204" s="1"/>
      <c r="M2204" s="6" t="str">
        <f>IF(Table2[[#This Row],[Corrected Form '#
 (If Duplicated)]]="",Table2[[#This Row],[Form '#]],Table2[[#This Row],[Corrected Form '#
 (If Duplicated)]])</f>
        <v>7818-25996</v>
      </c>
      <c r="N2204" s="1" t="s">
        <v>49</v>
      </c>
      <c r="O2204" s="6" t="str">
        <f>IF(Table2[[#This Row],[POG CONFIRMATION RECEIPT OF ORDER
(DATE &amp; TIME)]]="","No Confirmation","Received Confirmation")</f>
        <v>Received Confirmation</v>
      </c>
      <c r="P2204" s="6">
        <f ca="1">TODAY()-Table2[[#This Row],[DATE SENT TO POG]]</f>
        <v>37</v>
      </c>
      <c r="Q2204" s="6" t="s">
        <v>5803</v>
      </c>
      <c r="R22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4" s="6" t="str">
        <f>_xlfn.XLOOKUP(Table2[[#This Row],[Adjusted Form '#]],'[2]IN PROGRESS'!$D:$D,'[2]IN PROGRESS'!$M:$M,"Not Found")</f>
        <v>Not Found</v>
      </c>
      <c r="U2204" s="6" t="str">
        <f>_xlfn.XLOOKUP(Table2[[#This Row],[Adjusted Form '#]],[1]COMPLETED!$D:$D,[2]COMPLETED!$M:$M,"Not Found")</f>
        <v>Not Found</v>
      </c>
      <c r="V2204" s="13">
        <f>_xlfn.XLOOKUP(Table2[[#This Row],[Adjusted Form '#]],[2]COMPLETED!$D:$D,[2]COMPLETED!$O:$O,"Not Found")</f>
        <v>45278</v>
      </c>
      <c r="W2204" s="6" t="str">
        <f>_xlfn.XLOOKUP(Table2[[#This Row],[Adjusted Form '#]],[2]BILLED!$D:$D,[2]BILLED!$M:$M,"Not Found")</f>
        <v>Not Found</v>
      </c>
      <c r="X2204" s="13" t="str">
        <f>_xlfn.XLOOKUP(Table2[[#This Row],[Adjusted Form '#]],[2]BILLED!$D:$D,[1]BILLED!$O:$O,"Not Found")</f>
        <v>Not Found</v>
      </c>
      <c r="Y2204" s="13" t="e">
        <f>_xlfn.XLOOKUP(Table2[[#This Row],[Adjusted Form '#]],'[2]REJECTED ORDERS'!$D:$D,'[2]REJECTED ORDERS'!$E:$E)</f>
        <v>#N/A</v>
      </c>
      <c r="Z2204" s="1"/>
      <c r="AA2204" s="1"/>
    </row>
    <row r="2205" spans="1:27" ht="15" customHeight="1" x14ac:dyDescent="0.35">
      <c r="A2205" s="4" t="s">
        <v>3217</v>
      </c>
      <c r="B2205" s="1" t="s">
        <v>1450</v>
      </c>
      <c r="C2205" s="11">
        <v>45266</v>
      </c>
      <c r="D2205" s="11" t="s">
        <v>7919</v>
      </c>
      <c r="E2205" s="1" t="s">
        <v>21</v>
      </c>
      <c r="F2205" s="1" t="s">
        <v>7918</v>
      </c>
      <c r="G2205" s="6">
        <f>COUNTIF(F:F,Table2[[#This Row],[Form '#]])</f>
        <v>1</v>
      </c>
      <c r="H2205" s="1" t="s">
        <v>3707</v>
      </c>
      <c r="I2205" s="1" t="s">
        <v>127</v>
      </c>
      <c r="J2205" s="1" t="s">
        <v>74</v>
      </c>
      <c r="K2205" s="1" t="s">
        <v>4011</v>
      </c>
      <c r="L2205" s="1"/>
      <c r="M2205" s="6" t="str">
        <f>IF(Table2[[#This Row],[Corrected Form '#
 (If Duplicated)]]="",Table2[[#This Row],[Form '#]],Table2[[#This Row],[Corrected Form '#
 (If Duplicated)]])</f>
        <v>7818-32207</v>
      </c>
      <c r="N2205" s="1" t="s">
        <v>49</v>
      </c>
      <c r="O2205" s="6" t="str">
        <f>IF(Table2[[#This Row],[POG CONFIRMATION RECEIPT OF ORDER
(DATE &amp; TIME)]]="","No Confirmation","Received Confirmation")</f>
        <v>Received Confirmation</v>
      </c>
      <c r="P2205" s="6">
        <f ca="1">TODAY()-Table2[[#This Row],[DATE SENT TO POG]]</f>
        <v>37</v>
      </c>
      <c r="Q2205" s="6" t="s">
        <v>5803</v>
      </c>
      <c r="R22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5" s="6" t="str">
        <f>_xlfn.XLOOKUP(Table2[[#This Row],[Adjusted Form '#]],'[2]IN PROGRESS'!$D:$D,'[2]IN PROGRESS'!$M:$M,"Not Found")</f>
        <v>Not Found</v>
      </c>
      <c r="U2205" s="6" t="str">
        <f>_xlfn.XLOOKUP(Table2[[#This Row],[Adjusted Form '#]],[1]COMPLETED!$D:$D,[2]COMPLETED!$M:$M,"Not Found")</f>
        <v>Not Found</v>
      </c>
      <c r="V2205" s="13">
        <f>_xlfn.XLOOKUP(Table2[[#This Row],[Adjusted Form '#]],[2]COMPLETED!$D:$D,[2]COMPLETED!$O:$O,"Not Found")</f>
        <v>45278</v>
      </c>
      <c r="W2205" s="6" t="str">
        <f>_xlfn.XLOOKUP(Table2[[#This Row],[Adjusted Form '#]],[2]BILLED!$D:$D,[2]BILLED!$M:$M,"Not Found")</f>
        <v>Not Found</v>
      </c>
      <c r="X2205" s="13" t="str">
        <f>_xlfn.XLOOKUP(Table2[[#This Row],[Adjusted Form '#]],[2]BILLED!$D:$D,[1]BILLED!$O:$O,"Not Found")</f>
        <v>Not Found</v>
      </c>
      <c r="Y2205" s="13" t="e">
        <f>_xlfn.XLOOKUP(Table2[[#This Row],[Adjusted Form '#]],'[2]REJECTED ORDERS'!$D:$D,'[2]REJECTED ORDERS'!$E:$E)</f>
        <v>#N/A</v>
      </c>
      <c r="Z2205" s="1"/>
      <c r="AA2205" s="1"/>
    </row>
    <row r="2206" spans="1:27" ht="15" customHeight="1" x14ac:dyDescent="0.35">
      <c r="A2206" s="4" t="s">
        <v>3219</v>
      </c>
      <c r="B2206" s="1" t="s">
        <v>3631</v>
      </c>
      <c r="C2206" s="11">
        <v>45266</v>
      </c>
      <c r="D2206" s="11" t="s">
        <v>7925</v>
      </c>
      <c r="E2206" s="1" t="s">
        <v>21</v>
      </c>
      <c r="F2206" s="1" t="s">
        <v>7920</v>
      </c>
      <c r="G2206" s="6">
        <f>COUNTIF(F:F,Table2[[#This Row],[Form '#]])</f>
        <v>1</v>
      </c>
      <c r="H2206" s="1" t="s">
        <v>7921</v>
      </c>
      <c r="I2206" s="1" t="s">
        <v>177</v>
      </c>
      <c r="J2206" s="1" t="s">
        <v>75</v>
      </c>
      <c r="K2206" s="1" t="s">
        <v>3853</v>
      </c>
      <c r="L2206" s="1"/>
      <c r="M2206" s="6" t="str">
        <f>IF(Table2[[#This Row],[Corrected Form '#
 (If Duplicated)]]="",Table2[[#This Row],[Form '#]],Table2[[#This Row],[Corrected Form '#
 (If Duplicated)]])</f>
        <v>7818-07455</v>
      </c>
      <c r="N2206" s="1" t="s">
        <v>49</v>
      </c>
      <c r="O2206" s="6" t="str">
        <f>IF(Table2[[#This Row],[POG CONFIRMATION RECEIPT OF ORDER
(DATE &amp; TIME)]]="","No Confirmation","Received Confirmation")</f>
        <v>Received Confirmation</v>
      </c>
      <c r="P2206" s="6">
        <f ca="1">TODAY()-Table2[[#This Row],[DATE SENT TO POG]]</f>
        <v>37</v>
      </c>
      <c r="Q2206" s="6" t="s">
        <v>6025</v>
      </c>
      <c r="R22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6" s="6" t="str">
        <f>_xlfn.XLOOKUP(Table2[[#This Row],[Adjusted Form '#]],'[2]IN PROGRESS'!$D:$D,'[2]IN PROGRESS'!$M:$M,"Not Found")</f>
        <v>Not Found</v>
      </c>
      <c r="U2206" s="6" t="str">
        <f>_xlfn.XLOOKUP(Table2[[#This Row],[Adjusted Form '#]],[1]COMPLETED!$D:$D,[2]COMPLETED!$M:$M,"Not Found")</f>
        <v>Not Found</v>
      </c>
      <c r="V2206" s="13">
        <f>_xlfn.XLOOKUP(Table2[[#This Row],[Adjusted Form '#]],[2]COMPLETED!$D:$D,[2]COMPLETED!$O:$O,"Not Found")</f>
        <v>45282</v>
      </c>
      <c r="W2206" s="6" t="str">
        <f>_xlfn.XLOOKUP(Table2[[#This Row],[Adjusted Form '#]],[2]BILLED!$D:$D,[2]BILLED!$M:$M,"Not Found")</f>
        <v>Not Found</v>
      </c>
      <c r="X2206" s="13" t="str">
        <f>_xlfn.XLOOKUP(Table2[[#This Row],[Adjusted Form '#]],[2]BILLED!$D:$D,[1]BILLED!$O:$O,"Not Found")</f>
        <v>Not Found</v>
      </c>
      <c r="Y2206" s="13" t="e">
        <f>_xlfn.XLOOKUP(Table2[[#This Row],[Adjusted Form '#]],'[2]REJECTED ORDERS'!$D:$D,'[2]REJECTED ORDERS'!$E:$E)</f>
        <v>#N/A</v>
      </c>
      <c r="Z2206" s="1"/>
      <c r="AA2206" s="1"/>
    </row>
    <row r="2207" spans="1:27" ht="15" customHeight="1" x14ac:dyDescent="0.35">
      <c r="A2207" s="4" t="s">
        <v>3221</v>
      </c>
      <c r="B2207" s="1" t="s">
        <v>3631</v>
      </c>
      <c r="C2207" s="11">
        <v>45266</v>
      </c>
      <c r="D2207" s="11" t="s">
        <v>7925</v>
      </c>
      <c r="E2207" s="1" t="s">
        <v>21</v>
      </c>
      <c r="F2207" s="1" t="s">
        <v>7922</v>
      </c>
      <c r="G2207" s="6">
        <f>COUNTIF(F:F,Table2[[#This Row],[Form '#]])</f>
        <v>1</v>
      </c>
      <c r="H2207" s="1" t="s">
        <v>7923</v>
      </c>
      <c r="I2207" s="1" t="s">
        <v>3852</v>
      </c>
      <c r="J2207" s="1" t="s">
        <v>80</v>
      </c>
      <c r="K2207" s="1" t="s">
        <v>3853</v>
      </c>
      <c r="L2207" s="1"/>
      <c r="M2207" s="6" t="str">
        <f>IF(Table2[[#This Row],[Corrected Form '#
 (If Duplicated)]]="",Table2[[#This Row],[Form '#]],Table2[[#This Row],[Corrected Form '#
 (If Duplicated)]])</f>
        <v>7818-27782</v>
      </c>
      <c r="N2207" s="1" t="s">
        <v>49</v>
      </c>
      <c r="O2207" s="6" t="str">
        <f>IF(Table2[[#This Row],[POG CONFIRMATION RECEIPT OF ORDER
(DATE &amp; TIME)]]="","No Confirmation","Received Confirmation")</f>
        <v>Received Confirmation</v>
      </c>
      <c r="P2207" s="6">
        <f ca="1">TODAY()-Table2[[#This Row],[DATE SENT TO POG]]</f>
        <v>37</v>
      </c>
      <c r="Q2207" s="6" t="s">
        <v>6025</v>
      </c>
      <c r="R22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7" s="6" t="str">
        <f>_xlfn.XLOOKUP(Table2[[#This Row],[Adjusted Form '#]],'[2]IN PROGRESS'!$D:$D,'[2]IN PROGRESS'!$M:$M,"Not Found")</f>
        <v>Not Found</v>
      </c>
      <c r="U2207" s="6" t="str">
        <f>_xlfn.XLOOKUP(Table2[[#This Row],[Adjusted Form '#]],[1]COMPLETED!$D:$D,[2]COMPLETED!$M:$M,"Not Found")</f>
        <v>Not Found</v>
      </c>
      <c r="V2207" s="13">
        <f>_xlfn.XLOOKUP(Table2[[#This Row],[Adjusted Form '#]],[2]COMPLETED!$D:$D,[2]COMPLETED!$O:$O,"Not Found")</f>
        <v>45278</v>
      </c>
      <c r="W2207" s="6" t="str">
        <f>_xlfn.XLOOKUP(Table2[[#This Row],[Adjusted Form '#]],[2]BILLED!$D:$D,[2]BILLED!$M:$M,"Not Found")</f>
        <v>Not Found</v>
      </c>
      <c r="X2207" s="13" t="str">
        <f>_xlfn.XLOOKUP(Table2[[#This Row],[Adjusted Form '#]],[2]BILLED!$D:$D,[1]BILLED!$O:$O,"Not Found")</f>
        <v>Not Found</v>
      </c>
      <c r="Y2207" s="13" t="e">
        <f>_xlfn.XLOOKUP(Table2[[#This Row],[Adjusted Form '#]],'[2]REJECTED ORDERS'!$D:$D,'[2]REJECTED ORDERS'!$E:$E)</f>
        <v>#N/A</v>
      </c>
      <c r="Z2207" s="1"/>
      <c r="AA2207" s="1"/>
    </row>
    <row r="2208" spans="1:27" ht="15" customHeight="1" x14ac:dyDescent="0.35">
      <c r="A2208" s="4" t="s">
        <v>3222</v>
      </c>
      <c r="B2208" s="1" t="s">
        <v>3631</v>
      </c>
      <c r="C2208" s="11">
        <v>45266</v>
      </c>
      <c r="D2208" s="11" t="s">
        <v>7925</v>
      </c>
      <c r="E2208" s="1" t="s">
        <v>21</v>
      </c>
      <c r="F2208" s="1" t="s">
        <v>7924</v>
      </c>
      <c r="G2208" s="6">
        <f>COUNTIF(F:F,Table2[[#This Row],[Form '#]])</f>
        <v>1</v>
      </c>
      <c r="H2208" s="1" t="s">
        <v>3189</v>
      </c>
      <c r="I2208" s="1" t="s">
        <v>127</v>
      </c>
      <c r="J2208" s="1" t="s">
        <v>76</v>
      </c>
      <c r="K2208" s="1" t="s">
        <v>4011</v>
      </c>
      <c r="L2208" s="1"/>
      <c r="M2208" s="6" t="str">
        <f>IF(Table2[[#This Row],[Corrected Form '#
 (If Duplicated)]]="",Table2[[#This Row],[Form '#]],Table2[[#This Row],[Corrected Form '#
 (If Duplicated)]])</f>
        <v>7818-26469</v>
      </c>
      <c r="N2208" s="1" t="s">
        <v>49</v>
      </c>
      <c r="O2208" s="6" t="str">
        <f>IF(Table2[[#This Row],[POG CONFIRMATION RECEIPT OF ORDER
(DATE &amp; TIME)]]="","No Confirmation","Received Confirmation")</f>
        <v>Received Confirmation</v>
      </c>
      <c r="P2208" s="6">
        <f ca="1">TODAY()-Table2[[#This Row],[DATE SENT TO POG]]</f>
        <v>37</v>
      </c>
      <c r="Q2208" s="6" t="s">
        <v>5803</v>
      </c>
      <c r="R22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8" s="6" t="str">
        <f>_xlfn.XLOOKUP(Table2[[#This Row],[Adjusted Form '#]],'[2]IN PROGRESS'!$D:$D,'[2]IN PROGRESS'!$M:$M,"Not Found")</f>
        <v>Not Found</v>
      </c>
      <c r="U2208" s="6" t="str">
        <f>_xlfn.XLOOKUP(Table2[[#This Row],[Adjusted Form '#]],[1]COMPLETED!$D:$D,[2]COMPLETED!$M:$M,"Not Found")</f>
        <v>Not Found</v>
      </c>
      <c r="V2208" s="13">
        <f>_xlfn.XLOOKUP(Table2[[#This Row],[Adjusted Form '#]],[2]COMPLETED!$D:$D,[2]COMPLETED!$O:$O,"Not Found")</f>
        <v>45278</v>
      </c>
      <c r="W2208" s="6" t="str">
        <f>_xlfn.XLOOKUP(Table2[[#This Row],[Adjusted Form '#]],[2]BILLED!$D:$D,[2]BILLED!$M:$M,"Not Found")</f>
        <v>Not Found</v>
      </c>
      <c r="X2208" s="13" t="str">
        <f>_xlfn.XLOOKUP(Table2[[#This Row],[Adjusted Form '#]],[2]BILLED!$D:$D,[1]BILLED!$O:$O,"Not Found")</f>
        <v>Not Found</v>
      </c>
      <c r="Y2208" s="13" t="e">
        <f>_xlfn.XLOOKUP(Table2[[#This Row],[Adjusted Form '#]],'[2]REJECTED ORDERS'!$D:$D,'[2]REJECTED ORDERS'!$E:$E)</f>
        <v>#N/A</v>
      </c>
      <c r="Z2208" s="1"/>
      <c r="AA2208" s="1"/>
    </row>
    <row r="2209" spans="1:27" ht="15" customHeight="1" x14ac:dyDescent="0.35">
      <c r="A2209" s="4" t="s">
        <v>3223</v>
      </c>
      <c r="B2209" s="1" t="s">
        <v>97</v>
      </c>
      <c r="C2209" s="11">
        <v>45267</v>
      </c>
      <c r="D2209" s="11" t="s">
        <v>7927</v>
      </c>
      <c r="E2209" s="1" t="s">
        <v>73</v>
      </c>
      <c r="F2209" s="1" t="s">
        <v>7926</v>
      </c>
      <c r="G2209" s="6">
        <f>COUNTIF(F:F,Table2[[#This Row],[Form '#]])</f>
        <v>1</v>
      </c>
      <c r="H2209" s="1" t="s">
        <v>3682</v>
      </c>
      <c r="I2209" s="1" t="s">
        <v>3891</v>
      </c>
      <c r="J2209" s="1" t="s">
        <v>3891</v>
      </c>
      <c r="K2209" s="1" t="s">
        <v>3891</v>
      </c>
      <c r="L2209" s="1"/>
      <c r="M2209" s="6" t="str">
        <f>IF(Table2[[#This Row],[Corrected Form '#
 (If Duplicated)]]="",Table2[[#This Row],[Form '#]],Table2[[#This Row],[Corrected Form '#
 (If Duplicated)]])</f>
        <v>7823-03011</v>
      </c>
      <c r="N2209" s="1" t="s">
        <v>49</v>
      </c>
      <c r="O2209" s="6" t="str">
        <f>IF(Table2[[#This Row],[POG CONFIRMATION RECEIPT OF ORDER
(DATE &amp; TIME)]]="","No Confirmation","Received Confirmation")</f>
        <v>Received Confirmation</v>
      </c>
      <c r="P2209" s="6">
        <f ca="1">TODAY()-Table2[[#This Row],[DATE SENT TO POG]]</f>
        <v>36</v>
      </c>
      <c r="Q2209" s="6" t="s">
        <v>5803</v>
      </c>
      <c r="R22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0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09" s="6" t="str">
        <f>_xlfn.XLOOKUP(Table2[[#This Row],[Adjusted Form '#]],'[2]IN PROGRESS'!$D:$D,'[2]IN PROGRESS'!$M:$M,"Not Found")</f>
        <v>Not Found</v>
      </c>
      <c r="U2209" s="6" t="str">
        <f>_xlfn.XLOOKUP(Table2[[#This Row],[Adjusted Form '#]],[1]COMPLETED!$D:$D,[2]COMPLETED!$M:$M,"Not Found")</f>
        <v>Not Found</v>
      </c>
      <c r="V2209" s="13">
        <f>_xlfn.XLOOKUP(Table2[[#This Row],[Adjusted Form '#]],[2]COMPLETED!$D:$D,[2]COMPLETED!$O:$O,"Not Found")</f>
        <v>0</v>
      </c>
      <c r="W2209" s="6" t="str">
        <f>_xlfn.XLOOKUP(Table2[[#This Row],[Adjusted Form '#]],[2]BILLED!$D:$D,[2]BILLED!$M:$M,"Not Found")</f>
        <v>Not Found</v>
      </c>
      <c r="X2209" s="13" t="str">
        <f>_xlfn.XLOOKUP(Table2[[#This Row],[Adjusted Form '#]],[2]BILLED!$D:$D,[1]BILLED!$O:$O,"Not Found")</f>
        <v>Not Found</v>
      </c>
      <c r="Y2209" s="13" t="str">
        <f>_xlfn.XLOOKUP(Table2[[#This Row],[Adjusted Form '#]],'[2]REJECTED ORDERS'!$D:$D,'[2]REJECTED ORDERS'!$E:$E)</f>
        <v>FORM NUMBER ALREADY USED</v>
      </c>
      <c r="Z2209" s="1"/>
      <c r="AA2209" s="1"/>
    </row>
    <row r="2210" spans="1:27" ht="15" customHeight="1" x14ac:dyDescent="0.35">
      <c r="A2210" s="4" t="s">
        <v>3224</v>
      </c>
      <c r="B2210" s="1" t="s">
        <v>3611</v>
      </c>
      <c r="C2210" s="11">
        <v>45267</v>
      </c>
      <c r="D2210" s="11" t="s">
        <v>7939</v>
      </c>
      <c r="E2210" s="1" t="s">
        <v>21</v>
      </c>
      <c r="F2210" s="1" t="s">
        <v>7928</v>
      </c>
      <c r="G2210" s="6">
        <f>COUNTIF(F:F,Table2[[#This Row],[Form '#]])</f>
        <v>1</v>
      </c>
      <c r="H2210" s="1" t="s">
        <v>7929</v>
      </c>
      <c r="I2210" s="1" t="s">
        <v>127</v>
      </c>
      <c r="J2210" s="1" t="s">
        <v>71</v>
      </c>
      <c r="K2210" s="1" t="s">
        <v>3883</v>
      </c>
      <c r="L2210" s="1"/>
      <c r="M2210" s="6" t="str">
        <f>IF(Table2[[#This Row],[Corrected Form '#
 (If Duplicated)]]="",Table2[[#This Row],[Form '#]],Table2[[#This Row],[Corrected Form '#
 (If Duplicated)]])</f>
        <v>7818-26173</v>
      </c>
      <c r="N2210" s="1" t="s">
        <v>49</v>
      </c>
      <c r="O2210" s="6" t="str">
        <f>IF(Table2[[#This Row],[POG CONFIRMATION RECEIPT OF ORDER
(DATE &amp; TIME)]]="","No Confirmation","Received Confirmation")</f>
        <v>Received Confirmation</v>
      </c>
      <c r="P2210" s="6">
        <f ca="1">TODAY()-Table2[[#This Row],[DATE SENT TO POG]]</f>
        <v>36</v>
      </c>
      <c r="Q2210" s="6" t="s">
        <v>5803</v>
      </c>
      <c r="R22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0" s="6" t="str">
        <f>_xlfn.XLOOKUP(Table2[[#This Row],[Adjusted Form '#]],'[2]IN PROGRESS'!$D:$D,'[2]IN PROGRESS'!$M:$M,"Not Found")</f>
        <v>Not Found</v>
      </c>
      <c r="U2210" s="6" t="str">
        <f>_xlfn.XLOOKUP(Table2[[#This Row],[Adjusted Form '#]],[1]COMPLETED!$D:$D,[2]COMPLETED!$M:$M,"Not Found")</f>
        <v>Not Found</v>
      </c>
      <c r="V2210" s="13">
        <f>_xlfn.XLOOKUP(Table2[[#This Row],[Adjusted Form '#]],[2]COMPLETED!$D:$D,[2]COMPLETED!$O:$O,"Not Found")</f>
        <v>45275</v>
      </c>
      <c r="W2210" s="6" t="str">
        <f>_xlfn.XLOOKUP(Table2[[#This Row],[Adjusted Form '#]],[2]BILLED!$D:$D,[2]BILLED!$M:$M,"Not Found")</f>
        <v>Not Found</v>
      </c>
      <c r="X2210" s="13" t="str">
        <f>_xlfn.XLOOKUP(Table2[[#This Row],[Adjusted Form '#]],[2]BILLED!$D:$D,[1]BILLED!$O:$O,"Not Found")</f>
        <v>Not Found</v>
      </c>
      <c r="Y2210" s="13" t="e">
        <f>_xlfn.XLOOKUP(Table2[[#This Row],[Adjusted Form '#]],'[2]REJECTED ORDERS'!$D:$D,'[2]REJECTED ORDERS'!$E:$E)</f>
        <v>#N/A</v>
      </c>
      <c r="Z2210" s="1"/>
      <c r="AA2210" s="1"/>
    </row>
    <row r="2211" spans="1:27" ht="15" customHeight="1" x14ac:dyDescent="0.35">
      <c r="A2211" s="4" t="s">
        <v>3226</v>
      </c>
      <c r="B2211" s="1" t="s">
        <v>3611</v>
      </c>
      <c r="C2211" s="11">
        <v>45267</v>
      </c>
      <c r="D2211" s="11" t="s">
        <v>7939</v>
      </c>
      <c r="E2211" s="1" t="s">
        <v>21</v>
      </c>
      <c r="F2211" s="1" t="s">
        <v>7930</v>
      </c>
      <c r="G2211" s="6">
        <f>COUNTIF(F:F,Table2[[#This Row],[Form '#]])</f>
        <v>1</v>
      </c>
      <c r="H2211" s="1" t="s">
        <v>4156</v>
      </c>
      <c r="I2211" s="1" t="s">
        <v>127</v>
      </c>
      <c r="J2211" s="1" t="s">
        <v>76</v>
      </c>
      <c r="K2211" s="1" t="s">
        <v>3883</v>
      </c>
      <c r="L2211" s="1"/>
      <c r="M2211" s="6" t="str">
        <f>IF(Table2[[#This Row],[Corrected Form '#
 (If Duplicated)]]="",Table2[[#This Row],[Form '#]],Table2[[#This Row],[Corrected Form '#
 (If Duplicated)]])</f>
        <v>7818-14248</v>
      </c>
      <c r="N2211" s="1" t="s">
        <v>49</v>
      </c>
      <c r="O2211" s="6" t="str">
        <f>IF(Table2[[#This Row],[POG CONFIRMATION RECEIPT OF ORDER
(DATE &amp; TIME)]]="","No Confirmation","Received Confirmation")</f>
        <v>Received Confirmation</v>
      </c>
      <c r="P2211" s="6">
        <f ca="1">TODAY()-Table2[[#This Row],[DATE SENT TO POG]]</f>
        <v>36</v>
      </c>
      <c r="Q2211" s="6" t="s">
        <v>5803</v>
      </c>
      <c r="R22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1" s="6" t="str">
        <f>_xlfn.XLOOKUP(Table2[[#This Row],[Adjusted Form '#]],'[2]IN PROGRESS'!$D:$D,'[2]IN PROGRESS'!$M:$M,"Not Found")</f>
        <v>Not Found</v>
      </c>
      <c r="U2211" s="6" t="str">
        <f>_xlfn.XLOOKUP(Table2[[#This Row],[Adjusted Form '#]],[1]COMPLETED!$D:$D,[2]COMPLETED!$M:$M,"Not Found")</f>
        <v>Not Found</v>
      </c>
      <c r="V2211" s="13">
        <f>_xlfn.XLOOKUP(Table2[[#This Row],[Adjusted Form '#]],[2]COMPLETED!$D:$D,[2]COMPLETED!$O:$O,"Not Found")</f>
        <v>45278</v>
      </c>
      <c r="W2211" s="6" t="str">
        <f>_xlfn.XLOOKUP(Table2[[#This Row],[Adjusted Form '#]],[2]BILLED!$D:$D,[2]BILLED!$M:$M,"Not Found")</f>
        <v>Not Found</v>
      </c>
      <c r="X2211" s="13" t="str">
        <f>_xlfn.XLOOKUP(Table2[[#This Row],[Adjusted Form '#]],[2]BILLED!$D:$D,[1]BILLED!$O:$O,"Not Found")</f>
        <v>Not Found</v>
      </c>
      <c r="Y2211" s="13" t="e">
        <f>_xlfn.XLOOKUP(Table2[[#This Row],[Adjusted Form '#]],'[2]REJECTED ORDERS'!$D:$D,'[2]REJECTED ORDERS'!$E:$E)</f>
        <v>#N/A</v>
      </c>
      <c r="Z2211" s="1"/>
      <c r="AA2211" s="1"/>
    </row>
    <row r="2212" spans="1:27" ht="15" customHeight="1" x14ac:dyDescent="0.35">
      <c r="A2212" s="4" t="s">
        <v>3227</v>
      </c>
      <c r="B2212" s="1" t="s">
        <v>3611</v>
      </c>
      <c r="C2212" s="11">
        <v>45267</v>
      </c>
      <c r="D2212" s="11" t="s">
        <v>7939</v>
      </c>
      <c r="E2212" s="1" t="s">
        <v>21</v>
      </c>
      <c r="F2212" s="1" t="s">
        <v>7931</v>
      </c>
      <c r="G2212" s="6">
        <f>COUNTIF(F:F,Table2[[#This Row],[Form '#]])</f>
        <v>1</v>
      </c>
      <c r="H2212" s="1" t="s">
        <v>3495</v>
      </c>
      <c r="I2212" s="1" t="s">
        <v>127</v>
      </c>
      <c r="J2212" s="1" t="s">
        <v>74</v>
      </c>
      <c r="K2212" s="1" t="s">
        <v>4011</v>
      </c>
      <c r="L2212" s="1"/>
      <c r="M2212" s="6" t="str">
        <f>IF(Table2[[#This Row],[Corrected Form '#
 (If Duplicated)]]="",Table2[[#This Row],[Form '#]],Table2[[#This Row],[Corrected Form '#
 (If Duplicated)]])</f>
        <v>7818-14984</v>
      </c>
      <c r="N2212" s="1" t="s">
        <v>49</v>
      </c>
      <c r="O2212" s="6" t="str">
        <f>IF(Table2[[#This Row],[POG CONFIRMATION RECEIPT OF ORDER
(DATE &amp; TIME)]]="","No Confirmation","Received Confirmation")</f>
        <v>Received Confirmation</v>
      </c>
      <c r="P2212" s="6">
        <f ca="1">TODAY()-Table2[[#This Row],[DATE SENT TO POG]]</f>
        <v>36</v>
      </c>
      <c r="Q2212" s="6" t="s">
        <v>5803</v>
      </c>
      <c r="R22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2" s="6" t="str">
        <f>_xlfn.XLOOKUP(Table2[[#This Row],[Adjusted Form '#]],'[2]IN PROGRESS'!$D:$D,'[2]IN PROGRESS'!$M:$M,"Not Found")</f>
        <v>Not Found</v>
      </c>
      <c r="U2212" s="6" t="str">
        <f>_xlfn.XLOOKUP(Table2[[#This Row],[Adjusted Form '#]],[1]COMPLETED!$D:$D,[2]COMPLETED!$M:$M,"Not Found")</f>
        <v>Not Found</v>
      </c>
      <c r="V2212" s="13">
        <f>_xlfn.XLOOKUP(Table2[[#This Row],[Adjusted Form '#]],[2]COMPLETED!$D:$D,[2]COMPLETED!$O:$O,"Not Found")</f>
        <v>45278</v>
      </c>
      <c r="W2212" s="6" t="str">
        <f>_xlfn.XLOOKUP(Table2[[#This Row],[Adjusted Form '#]],[2]BILLED!$D:$D,[2]BILLED!$M:$M,"Not Found")</f>
        <v>Not Found</v>
      </c>
      <c r="X2212" s="13" t="str">
        <f>_xlfn.XLOOKUP(Table2[[#This Row],[Adjusted Form '#]],[2]BILLED!$D:$D,[1]BILLED!$O:$O,"Not Found")</f>
        <v>Not Found</v>
      </c>
      <c r="Y2212" s="13" t="e">
        <f>_xlfn.XLOOKUP(Table2[[#This Row],[Adjusted Form '#]],'[2]REJECTED ORDERS'!$D:$D,'[2]REJECTED ORDERS'!$E:$E)</f>
        <v>#N/A</v>
      </c>
      <c r="Z2212" s="1"/>
      <c r="AA2212" s="1"/>
    </row>
    <row r="2213" spans="1:27" ht="15" customHeight="1" x14ac:dyDescent="0.35">
      <c r="A2213" s="4" t="s">
        <v>3228</v>
      </c>
      <c r="B2213" s="1" t="s">
        <v>3611</v>
      </c>
      <c r="C2213" s="11">
        <v>45267</v>
      </c>
      <c r="D2213" s="11" t="s">
        <v>7939</v>
      </c>
      <c r="E2213" s="1" t="s">
        <v>21</v>
      </c>
      <c r="F2213" s="1" t="s">
        <v>7932</v>
      </c>
      <c r="G2213" s="6">
        <f>COUNTIF(F:F,Table2[[#This Row],[Form '#]])</f>
        <v>1</v>
      </c>
      <c r="H2213" s="1" t="s">
        <v>7933</v>
      </c>
      <c r="I2213" s="1" t="s">
        <v>3864</v>
      </c>
      <c r="J2213" s="1" t="s">
        <v>78</v>
      </c>
      <c r="K2213" s="1" t="s">
        <v>7763</v>
      </c>
      <c r="L2213" s="1"/>
      <c r="M2213" s="6" t="str">
        <f>IF(Table2[[#This Row],[Corrected Form '#
 (If Duplicated)]]="",Table2[[#This Row],[Form '#]],Table2[[#This Row],[Corrected Form '#
 (If Duplicated)]])</f>
        <v>7818-26442</v>
      </c>
      <c r="N2213" s="1" t="s">
        <v>49</v>
      </c>
      <c r="O2213" s="6" t="str">
        <f>IF(Table2[[#This Row],[POG CONFIRMATION RECEIPT OF ORDER
(DATE &amp; TIME)]]="","No Confirmation","Received Confirmation")</f>
        <v>Received Confirmation</v>
      </c>
      <c r="P2213" s="6">
        <f ca="1">TODAY()-Table2[[#This Row],[DATE SENT TO POG]]</f>
        <v>36</v>
      </c>
      <c r="Q2213" s="6" t="s">
        <v>6025</v>
      </c>
      <c r="R22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3" s="6" t="str">
        <f>_xlfn.XLOOKUP(Table2[[#This Row],[Adjusted Form '#]],'[2]IN PROGRESS'!$D:$D,'[2]IN PROGRESS'!$M:$M,"Not Found")</f>
        <v>Not Found</v>
      </c>
      <c r="U2213" s="6" t="str">
        <f>_xlfn.XLOOKUP(Table2[[#This Row],[Adjusted Form '#]],[1]COMPLETED!$D:$D,[2]COMPLETED!$M:$M,"Not Found")</f>
        <v>Not Found</v>
      </c>
      <c r="V2213" s="13">
        <f>_xlfn.XLOOKUP(Table2[[#This Row],[Adjusted Form '#]],[2]COMPLETED!$D:$D,[2]COMPLETED!$O:$O,"Not Found")</f>
        <v>45286</v>
      </c>
      <c r="W2213" s="6" t="str">
        <f>_xlfn.XLOOKUP(Table2[[#This Row],[Adjusted Form '#]],[2]BILLED!$D:$D,[2]BILLED!$M:$M,"Not Found")</f>
        <v>Not Found</v>
      </c>
      <c r="X2213" s="13" t="str">
        <f>_xlfn.XLOOKUP(Table2[[#This Row],[Adjusted Form '#]],[2]BILLED!$D:$D,[1]BILLED!$O:$O,"Not Found")</f>
        <v>Not Found</v>
      </c>
      <c r="Y2213" s="13" t="e">
        <f>_xlfn.XLOOKUP(Table2[[#This Row],[Adjusted Form '#]],'[2]REJECTED ORDERS'!$D:$D,'[2]REJECTED ORDERS'!$E:$E)</f>
        <v>#N/A</v>
      </c>
      <c r="Z2213" s="1"/>
      <c r="AA2213" s="1"/>
    </row>
    <row r="2214" spans="1:27" ht="15" customHeight="1" x14ac:dyDescent="0.35">
      <c r="A2214" s="4" t="s">
        <v>3229</v>
      </c>
      <c r="B2214" s="1" t="s">
        <v>3611</v>
      </c>
      <c r="C2214" s="11">
        <v>45267</v>
      </c>
      <c r="D2214" s="11" t="s">
        <v>7939</v>
      </c>
      <c r="E2214" s="1" t="s">
        <v>21</v>
      </c>
      <c r="F2214" s="1" t="s">
        <v>7934</v>
      </c>
      <c r="G2214" s="6">
        <f>COUNTIF(F:F,Table2[[#This Row],[Form '#]])</f>
        <v>1</v>
      </c>
      <c r="H2214" s="1" t="s">
        <v>3614</v>
      </c>
      <c r="I2214" s="1" t="s">
        <v>177</v>
      </c>
      <c r="J2214" s="1" t="s">
        <v>75</v>
      </c>
      <c r="K2214" s="1" t="s">
        <v>3853</v>
      </c>
      <c r="L2214" s="1"/>
      <c r="M2214" s="6" t="str">
        <f>IF(Table2[[#This Row],[Corrected Form '#
 (If Duplicated)]]="",Table2[[#This Row],[Form '#]],Table2[[#This Row],[Corrected Form '#
 (If Duplicated)]])</f>
        <v>7818-25891</v>
      </c>
      <c r="N2214" s="1" t="s">
        <v>49</v>
      </c>
      <c r="O2214" s="6" t="str">
        <f>IF(Table2[[#This Row],[POG CONFIRMATION RECEIPT OF ORDER
(DATE &amp; TIME)]]="","No Confirmation","Received Confirmation")</f>
        <v>Received Confirmation</v>
      </c>
      <c r="P2214" s="6">
        <f ca="1">TODAY()-Table2[[#This Row],[DATE SENT TO POG]]</f>
        <v>36</v>
      </c>
      <c r="Q2214" s="6" t="s">
        <v>5803</v>
      </c>
      <c r="R22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4" s="6" t="str">
        <f>_xlfn.XLOOKUP(Table2[[#This Row],[Adjusted Form '#]],'[2]IN PROGRESS'!$D:$D,'[2]IN PROGRESS'!$M:$M,"Not Found")</f>
        <v>Not Found</v>
      </c>
      <c r="U2214" s="6" t="str">
        <f>_xlfn.XLOOKUP(Table2[[#This Row],[Adjusted Form '#]],[1]COMPLETED!$D:$D,[2]COMPLETED!$M:$M,"Not Found")</f>
        <v>Not Found</v>
      </c>
      <c r="V2214" s="13">
        <f>_xlfn.XLOOKUP(Table2[[#This Row],[Adjusted Form '#]],[2]COMPLETED!$D:$D,[2]COMPLETED!$O:$O,"Not Found")</f>
        <v>45278</v>
      </c>
      <c r="W2214" s="6" t="str">
        <f>_xlfn.XLOOKUP(Table2[[#This Row],[Adjusted Form '#]],[2]BILLED!$D:$D,[2]BILLED!$M:$M,"Not Found")</f>
        <v>Not Found</v>
      </c>
      <c r="X2214" s="13" t="str">
        <f>_xlfn.XLOOKUP(Table2[[#This Row],[Adjusted Form '#]],[2]BILLED!$D:$D,[1]BILLED!$O:$O,"Not Found")</f>
        <v>Not Found</v>
      </c>
      <c r="Y2214" s="13" t="e">
        <f>_xlfn.XLOOKUP(Table2[[#This Row],[Adjusted Form '#]],'[2]REJECTED ORDERS'!$D:$D,'[2]REJECTED ORDERS'!$E:$E)</f>
        <v>#N/A</v>
      </c>
      <c r="Z2214" s="1"/>
      <c r="AA2214" s="1"/>
    </row>
    <row r="2215" spans="1:27" ht="15" customHeight="1" x14ac:dyDescent="0.35">
      <c r="A2215" s="4" t="s">
        <v>3230</v>
      </c>
      <c r="B2215" s="1" t="s">
        <v>3611</v>
      </c>
      <c r="C2215" s="11">
        <v>45267</v>
      </c>
      <c r="D2215" s="11" t="s">
        <v>7939</v>
      </c>
      <c r="E2215" s="1" t="s">
        <v>21</v>
      </c>
      <c r="F2215" s="1" t="s">
        <v>7935</v>
      </c>
      <c r="G2215" s="6">
        <f>COUNTIF(F:F,Table2[[#This Row],[Form '#]])</f>
        <v>1</v>
      </c>
      <c r="H2215" s="1" t="s">
        <v>7936</v>
      </c>
      <c r="I2215" s="1" t="s">
        <v>758</v>
      </c>
      <c r="J2215" s="1" t="s">
        <v>78</v>
      </c>
      <c r="K2215" s="1" t="s">
        <v>3853</v>
      </c>
      <c r="L2215" s="1"/>
      <c r="M2215" s="6" t="str">
        <f>IF(Table2[[#This Row],[Corrected Form '#
 (If Duplicated)]]="",Table2[[#This Row],[Form '#]],Table2[[#This Row],[Corrected Form '#
 (If Duplicated)]])</f>
        <v>7818-20025</v>
      </c>
      <c r="N2215" s="1" t="s">
        <v>49</v>
      </c>
      <c r="O2215" s="6" t="str">
        <f>IF(Table2[[#This Row],[POG CONFIRMATION RECEIPT OF ORDER
(DATE &amp; TIME)]]="","No Confirmation","Received Confirmation")</f>
        <v>Received Confirmation</v>
      </c>
      <c r="P2215" s="6">
        <f ca="1">TODAY()-Table2[[#This Row],[DATE SENT TO POG]]</f>
        <v>36</v>
      </c>
      <c r="Q2215" s="6" t="s">
        <v>5803</v>
      </c>
      <c r="R22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5" s="6" t="str">
        <f>_xlfn.XLOOKUP(Table2[[#This Row],[Adjusted Form '#]],'[2]IN PROGRESS'!$D:$D,'[2]IN PROGRESS'!$M:$M,"Not Found")</f>
        <v>Not Found</v>
      </c>
      <c r="U2215" s="6" t="str">
        <f>_xlfn.XLOOKUP(Table2[[#This Row],[Adjusted Form '#]],[1]COMPLETED!$D:$D,[2]COMPLETED!$M:$M,"Not Found")</f>
        <v>Not Found</v>
      </c>
      <c r="V2215" s="13">
        <f>_xlfn.XLOOKUP(Table2[[#This Row],[Adjusted Form '#]],[2]COMPLETED!$D:$D,[2]COMPLETED!$O:$O,"Not Found")</f>
        <v>45275</v>
      </c>
      <c r="W2215" s="6" t="str">
        <f>_xlfn.XLOOKUP(Table2[[#This Row],[Adjusted Form '#]],[2]BILLED!$D:$D,[2]BILLED!$M:$M,"Not Found")</f>
        <v>Not Found</v>
      </c>
      <c r="X2215" s="13" t="str">
        <f>_xlfn.XLOOKUP(Table2[[#This Row],[Adjusted Form '#]],[2]BILLED!$D:$D,[1]BILLED!$O:$O,"Not Found")</f>
        <v>Not Found</v>
      </c>
      <c r="Y2215" s="13" t="e">
        <f>_xlfn.XLOOKUP(Table2[[#This Row],[Adjusted Form '#]],'[2]REJECTED ORDERS'!$D:$D,'[2]REJECTED ORDERS'!$E:$E)</f>
        <v>#N/A</v>
      </c>
      <c r="Z2215" s="1"/>
      <c r="AA2215" s="1"/>
    </row>
    <row r="2216" spans="1:27" ht="15" customHeight="1" x14ac:dyDescent="0.35">
      <c r="A2216" s="4" t="s">
        <v>3231</v>
      </c>
      <c r="B2216" s="1" t="s">
        <v>3611</v>
      </c>
      <c r="C2216" s="11">
        <v>45267</v>
      </c>
      <c r="D2216" s="11" t="s">
        <v>7939</v>
      </c>
      <c r="E2216" s="1" t="s">
        <v>21</v>
      </c>
      <c r="F2216" s="1" t="s">
        <v>7937</v>
      </c>
      <c r="G2216" s="6">
        <f>COUNTIF(F:F,Table2[[#This Row],[Form '#]])</f>
        <v>1</v>
      </c>
      <c r="H2216" s="1" t="s">
        <v>288</v>
      </c>
      <c r="I2216" s="1" t="s">
        <v>3864</v>
      </c>
      <c r="J2216" s="1" t="s">
        <v>78</v>
      </c>
      <c r="K2216" s="1" t="s">
        <v>7763</v>
      </c>
      <c r="L2216" s="1"/>
      <c r="M2216" s="6" t="str">
        <f>IF(Table2[[#This Row],[Corrected Form '#
 (If Duplicated)]]="",Table2[[#This Row],[Form '#]],Table2[[#This Row],[Corrected Form '#
 (If Duplicated)]])</f>
        <v>7818-22431</v>
      </c>
      <c r="N2216" s="1" t="s">
        <v>49</v>
      </c>
      <c r="O2216" s="6" t="str">
        <f>IF(Table2[[#This Row],[POG CONFIRMATION RECEIPT OF ORDER
(DATE &amp; TIME)]]="","No Confirmation","Received Confirmation")</f>
        <v>Received Confirmation</v>
      </c>
      <c r="P2216" s="6">
        <f ca="1">TODAY()-Table2[[#This Row],[DATE SENT TO POG]]</f>
        <v>36</v>
      </c>
      <c r="Q2216" s="6" t="s">
        <v>5803</v>
      </c>
      <c r="R22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6" s="6" t="str">
        <f>_xlfn.XLOOKUP(Table2[[#This Row],[Adjusted Form '#]],'[2]IN PROGRESS'!$D:$D,'[2]IN PROGRESS'!$M:$M,"Not Found")</f>
        <v>Not Found</v>
      </c>
      <c r="U2216" s="6" t="str">
        <f>_xlfn.XLOOKUP(Table2[[#This Row],[Adjusted Form '#]],[1]COMPLETED!$D:$D,[2]COMPLETED!$M:$M,"Not Found")</f>
        <v>Not Found</v>
      </c>
      <c r="V2216" s="13">
        <f>_xlfn.XLOOKUP(Table2[[#This Row],[Adjusted Form '#]],[2]COMPLETED!$D:$D,[2]COMPLETED!$O:$O,"Not Found")</f>
        <v>45278</v>
      </c>
      <c r="W2216" s="6" t="str">
        <f>_xlfn.XLOOKUP(Table2[[#This Row],[Adjusted Form '#]],[2]BILLED!$D:$D,[2]BILLED!$M:$M,"Not Found")</f>
        <v>Not Found</v>
      </c>
      <c r="X2216" s="13" t="str">
        <f>_xlfn.XLOOKUP(Table2[[#This Row],[Adjusted Form '#]],[2]BILLED!$D:$D,[1]BILLED!$O:$O,"Not Found")</f>
        <v>Not Found</v>
      </c>
      <c r="Y2216" s="13" t="e">
        <f>_xlfn.XLOOKUP(Table2[[#This Row],[Adjusted Form '#]],'[2]REJECTED ORDERS'!$D:$D,'[2]REJECTED ORDERS'!$E:$E)</f>
        <v>#N/A</v>
      </c>
      <c r="Z2216" s="1"/>
      <c r="AA2216" s="1"/>
    </row>
    <row r="2217" spans="1:27" ht="15" customHeight="1" x14ac:dyDescent="0.35">
      <c r="A2217" s="4" t="s">
        <v>3232</v>
      </c>
      <c r="B2217" s="1" t="s">
        <v>3611</v>
      </c>
      <c r="C2217" s="11">
        <v>45267</v>
      </c>
      <c r="D2217" s="11" t="s">
        <v>7939</v>
      </c>
      <c r="E2217" s="1" t="s">
        <v>21</v>
      </c>
      <c r="F2217" s="1" t="s">
        <v>7938</v>
      </c>
      <c r="G2217" s="6">
        <f>COUNTIF(F:F,Table2[[#This Row],[Form '#]])</f>
        <v>1</v>
      </c>
      <c r="H2217" s="1" t="s">
        <v>197</v>
      </c>
      <c r="I2217" s="1" t="s">
        <v>28</v>
      </c>
      <c r="J2217" s="1" t="s">
        <v>69</v>
      </c>
      <c r="K2217" s="1" t="s">
        <v>4011</v>
      </c>
      <c r="L2217" s="1"/>
      <c r="M2217" s="6" t="str">
        <f>IF(Table2[[#This Row],[Corrected Form '#
 (If Duplicated)]]="",Table2[[#This Row],[Form '#]],Table2[[#This Row],[Corrected Form '#
 (If Duplicated)]])</f>
        <v>7818-30785</v>
      </c>
      <c r="N2217" s="1" t="s">
        <v>49</v>
      </c>
      <c r="O2217" s="6" t="str">
        <f>IF(Table2[[#This Row],[POG CONFIRMATION RECEIPT OF ORDER
(DATE &amp; TIME)]]="","No Confirmation","Received Confirmation")</f>
        <v>Received Confirmation</v>
      </c>
      <c r="P2217" s="6">
        <f ca="1">TODAY()-Table2[[#This Row],[DATE SENT TO POG]]</f>
        <v>36</v>
      </c>
      <c r="Q2217" s="6" t="s">
        <v>6025</v>
      </c>
      <c r="R22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7" s="6" t="str">
        <f>_xlfn.XLOOKUP(Table2[[#This Row],[Adjusted Form '#]],'[2]IN PROGRESS'!$D:$D,'[2]IN PROGRESS'!$M:$M,"Not Found")</f>
        <v>Not Found</v>
      </c>
      <c r="U2217" s="6" t="str">
        <f>_xlfn.XLOOKUP(Table2[[#This Row],[Adjusted Form '#]],[1]COMPLETED!$D:$D,[2]COMPLETED!$M:$M,"Not Found")</f>
        <v>Not Found</v>
      </c>
      <c r="V2217" s="13">
        <f>_xlfn.XLOOKUP(Table2[[#This Row],[Adjusted Form '#]],[2]COMPLETED!$D:$D,[2]COMPLETED!$O:$O,"Not Found")</f>
        <v>45283</v>
      </c>
      <c r="W2217" s="6" t="str">
        <f>_xlfn.XLOOKUP(Table2[[#This Row],[Adjusted Form '#]],[2]BILLED!$D:$D,[2]BILLED!$M:$M,"Not Found")</f>
        <v>Not Found</v>
      </c>
      <c r="X2217" s="13" t="str">
        <f>_xlfn.XLOOKUP(Table2[[#This Row],[Adjusted Form '#]],[2]BILLED!$D:$D,[1]BILLED!$O:$O,"Not Found")</f>
        <v>Not Found</v>
      </c>
      <c r="Y2217" s="13" t="e">
        <f>_xlfn.XLOOKUP(Table2[[#This Row],[Adjusted Form '#]],'[2]REJECTED ORDERS'!$D:$D,'[2]REJECTED ORDERS'!$E:$E)</f>
        <v>#N/A</v>
      </c>
      <c r="Z2217" s="1"/>
      <c r="AA2217" s="1"/>
    </row>
    <row r="2218" spans="1:27" ht="15" customHeight="1" x14ac:dyDescent="0.35">
      <c r="A2218" s="4" t="s">
        <v>3233</v>
      </c>
      <c r="B2218" s="1" t="s">
        <v>211</v>
      </c>
      <c r="C2218" s="11">
        <v>45267</v>
      </c>
      <c r="D2218" s="11" t="s">
        <v>7945</v>
      </c>
      <c r="E2218" s="1" t="s">
        <v>21</v>
      </c>
      <c r="F2218" s="1" t="s">
        <v>7940</v>
      </c>
      <c r="G2218" s="6">
        <f>COUNTIF(F:F,Table2[[#This Row],[Form '#]])</f>
        <v>1</v>
      </c>
      <c r="H2218" s="1" t="s">
        <v>2124</v>
      </c>
      <c r="I2218" s="1" t="s">
        <v>127</v>
      </c>
      <c r="J2218" s="1" t="s">
        <v>76</v>
      </c>
      <c r="K2218" s="1" t="s">
        <v>3891</v>
      </c>
      <c r="L2218" s="1"/>
      <c r="M2218" s="6" t="str">
        <f>IF(Table2[[#This Row],[Corrected Form '#
 (If Duplicated)]]="",Table2[[#This Row],[Form '#]],Table2[[#This Row],[Corrected Form '#
 (If Duplicated)]])</f>
        <v>7818-33310</v>
      </c>
      <c r="N2218" s="1" t="s">
        <v>49</v>
      </c>
      <c r="O2218" s="6" t="str">
        <f>IF(Table2[[#This Row],[POG CONFIRMATION RECEIPT OF ORDER
(DATE &amp; TIME)]]="","No Confirmation","Received Confirmation")</f>
        <v>Received Confirmation</v>
      </c>
      <c r="P2218" s="6">
        <f ca="1">TODAY()-Table2[[#This Row],[DATE SENT TO POG]]</f>
        <v>36</v>
      </c>
      <c r="Q2218" s="6" t="s">
        <v>5803</v>
      </c>
      <c r="R22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8" s="6" t="str">
        <f>_xlfn.XLOOKUP(Table2[[#This Row],[Adjusted Form '#]],'[2]IN PROGRESS'!$D:$D,'[2]IN PROGRESS'!$M:$M,"Not Found")</f>
        <v>Not Found</v>
      </c>
      <c r="U2218" s="6" t="str">
        <f>_xlfn.XLOOKUP(Table2[[#This Row],[Adjusted Form '#]],[1]COMPLETED!$D:$D,[2]COMPLETED!$M:$M,"Not Found")</f>
        <v>Not Found</v>
      </c>
      <c r="V2218" s="13">
        <f>_xlfn.XLOOKUP(Table2[[#This Row],[Adjusted Form '#]],[2]COMPLETED!$D:$D,[2]COMPLETED!$O:$O,"Not Found")</f>
        <v>45278</v>
      </c>
      <c r="W2218" s="6" t="str">
        <f>_xlfn.XLOOKUP(Table2[[#This Row],[Adjusted Form '#]],[2]BILLED!$D:$D,[2]BILLED!$M:$M,"Not Found")</f>
        <v>Not Found</v>
      </c>
      <c r="X2218" s="13" t="str">
        <f>_xlfn.XLOOKUP(Table2[[#This Row],[Adjusted Form '#]],[2]BILLED!$D:$D,[1]BILLED!$O:$O,"Not Found")</f>
        <v>Not Found</v>
      </c>
      <c r="Y2218" s="13" t="e">
        <f>_xlfn.XLOOKUP(Table2[[#This Row],[Adjusted Form '#]],'[2]REJECTED ORDERS'!$D:$D,'[2]REJECTED ORDERS'!$E:$E)</f>
        <v>#N/A</v>
      </c>
      <c r="Z2218" s="1"/>
      <c r="AA2218" s="1"/>
    </row>
    <row r="2219" spans="1:27" ht="15" customHeight="1" x14ac:dyDescent="0.35">
      <c r="A2219" s="4" t="s">
        <v>3234</v>
      </c>
      <c r="B2219" s="1" t="s">
        <v>211</v>
      </c>
      <c r="C2219" s="11">
        <v>45267</v>
      </c>
      <c r="D2219" s="11" t="s">
        <v>7945</v>
      </c>
      <c r="E2219" s="1" t="s">
        <v>21</v>
      </c>
      <c r="F2219" s="1" t="s">
        <v>7941</v>
      </c>
      <c r="G2219" s="6">
        <f>COUNTIF(F:F,Table2[[#This Row],[Form '#]])</f>
        <v>1</v>
      </c>
      <c r="H2219" s="1" t="s">
        <v>558</v>
      </c>
      <c r="I2219" s="1" t="s">
        <v>127</v>
      </c>
      <c r="J2219" s="1" t="s">
        <v>71</v>
      </c>
      <c r="K2219" s="1" t="s">
        <v>3883</v>
      </c>
      <c r="L2219" s="1"/>
      <c r="M2219" s="6" t="str">
        <f>IF(Table2[[#This Row],[Corrected Form '#
 (If Duplicated)]]="",Table2[[#This Row],[Form '#]],Table2[[#This Row],[Corrected Form '#
 (If Duplicated)]])</f>
        <v>7818-11652</v>
      </c>
      <c r="N2219" s="1" t="s">
        <v>49</v>
      </c>
      <c r="O2219" s="6" t="str">
        <f>IF(Table2[[#This Row],[POG CONFIRMATION RECEIPT OF ORDER
(DATE &amp; TIME)]]="","No Confirmation","Received Confirmation")</f>
        <v>Received Confirmation</v>
      </c>
      <c r="P2219" s="6">
        <f ca="1">TODAY()-Table2[[#This Row],[DATE SENT TO POG]]</f>
        <v>36</v>
      </c>
      <c r="Q2219" s="6" t="s">
        <v>5803</v>
      </c>
      <c r="R22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1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19" s="6" t="str">
        <f>_xlfn.XLOOKUP(Table2[[#This Row],[Adjusted Form '#]],'[2]IN PROGRESS'!$D:$D,'[2]IN PROGRESS'!$M:$M,"Not Found")</f>
        <v>Not Found</v>
      </c>
      <c r="U2219" s="6" t="str">
        <f>_xlfn.XLOOKUP(Table2[[#This Row],[Adjusted Form '#]],[1]COMPLETED!$D:$D,[2]COMPLETED!$M:$M,"Not Found")</f>
        <v>Not Found</v>
      </c>
      <c r="V2219" s="13">
        <f>_xlfn.XLOOKUP(Table2[[#This Row],[Adjusted Form '#]],[2]COMPLETED!$D:$D,[2]COMPLETED!$O:$O,"Not Found")</f>
        <v>45278</v>
      </c>
      <c r="W2219" s="6" t="str">
        <f>_xlfn.XLOOKUP(Table2[[#This Row],[Adjusted Form '#]],[2]BILLED!$D:$D,[2]BILLED!$M:$M,"Not Found")</f>
        <v>Not Found</v>
      </c>
      <c r="X2219" s="13" t="str">
        <f>_xlfn.XLOOKUP(Table2[[#This Row],[Adjusted Form '#]],[2]BILLED!$D:$D,[1]BILLED!$O:$O,"Not Found")</f>
        <v>Not Found</v>
      </c>
      <c r="Y2219" s="13" t="e">
        <f>_xlfn.XLOOKUP(Table2[[#This Row],[Adjusted Form '#]],'[2]REJECTED ORDERS'!$D:$D,'[2]REJECTED ORDERS'!$E:$E)</f>
        <v>#N/A</v>
      </c>
      <c r="Z2219" s="1"/>
      <c r="AA2219" s="1"/>
    </row>
    <row r="2220" spans="1:27" ht="15" customHeight="1" x14ac:dyDescent="0.35">
      <c r="A2220" s="4" t="s">
        <v>3236</v>
      </c>
      <c r="B2220" s="1" t="s">
        <v>211</v>
      </c>
      <c r="C2220" s="11">
        <v>45267</v>
      </c>
      <c r="D2220" s="11" t="s">
        <v>7945</v>
      </c>
      <c r="E2220" s="1" t="s">
        <v>21</v>
      </c>
      <c r="F2220" s="1" t="s">
        <v>7942</v>
      </c>
      <c r="G2220" s="6">
        <f>COUNTIF(F:F,Table2[[#This Row],[Form '#]])</f>
        <v>1</v>
      </c>
      <c r="H2220" s="1" t="s">
        <v>3575</v>
      </c>
      <c r="I2220" s="1" t="s">
        <v>127</v>
      </c>
      <c r="J2220" s="1" t="s">
        <v>74</v>
      </c>
      <c r="K2220" s="1" t="s">
        <v>3891</v>
      </c>
      <c r="L2220" s="1"/>
      <c r="M2220" s="6" t="str">
        <f>IF(Table2[[#This Row],[Corrected Form '#
 (If Duplicated)]]="",Table2[[#This Row],[Form '#]],Table2[[#This Row],[Corrected Form '#
 (If Duplicated)]])</f>
        <v>7818-27409</v>
      </c>
      <c r="N2220" s="1" t="s">
        <v>49</v>
      </c>
      <c r="O2220" s="6" t="str">
        <f>IF(Table2[[#This Row],[POG CONFIRMATION RECEIPT OF ORDER
(DATE &amp; TIME)]]="","No Confirmation","Received Confirmation")</f>
        <v>Received Confirmation</v>
      </c>
      <c r="P2220" s="6">
        <f ca="1">TODAY()-Table2[[#This Row],[DATE SENT TO POG]]</f>
        <v>36</v>
      </c>
      <c r="Q2220" s="6" t="s">
        <v>5803</v>
      </c>
      <c r="R22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0" s="6" t="str">
        <f>_xlfn.XLOOKUP(Table2[[#This Row],[Adjusted Form '#]],'[2]IN PROGRESS'!$D:$D,'[2]IN PROGRESS'!$M:$M,"Not Found")</f>
        <v>Not Found</v>
      </c>
      <c r="U2220" s="6" t="str">
        <f>_xlfn.XLOOKUP(Table2[[#This Row],[Adjusted Form '#]],[1]COMPLETED!$D:$D,[2]COMPLETED!$M:$M,"Not Found")</f>
        <v>Not Found</v>
      </c>
      <c r="V2220" s="13">
        <f>_xlfn.XLOOKUP(Table2[[#This Row],[Adjusted Form '#]],[2]COMPLETED!$D:$D,[2]COMPLETED!$O:$O,"Not Found")</f>
        <v>45278</v>
      </c>
      <c r="W2220" s="6" t="str">
        <f>_xlfn.XLOOKUP(Table2[[#This Row],[Adjusted Form '#]],[2]BILLED!$D:$D,[2]BILLED!$M:$M,"Not Found")</f>
        <v>Not Found</v>
      </c>
      <c r="X2220" s="13" t="str">
        <f>_xlfn.XLOOKUP(Table2[[#This Row],[Adjusted Form '#]],[2]BILLED!$D:$D,[1]BILLED!$O:$O,"Not Found")</f>
        <v>Not Found</v>
      </c>
      <c r="Y2220" s="13" t="e">
        <f>_xlfn.XLOOKUP(Table2[[#This Row],[Adjusted Form '#]],'[2]REJECTED ORDERS'!$D:$D,'[2]REJECTED ORDERS'!$E:$E)</f>
        <v>#N/A</v>
      </c>
      <c r="Z2220" s="1"/>
      <c r="AA2220" s="1"/>
    </row>
    <row r="2221" spans="1:27" ht="15" customHeight="1" x14ac:dyDescent="0.35">
      <c r="A2221" s="4" t="s">
        <v>3237</v>
      </c>
      <c r="B2221" s="1" t="s">
        <v>2891</v>
      </c>
      <c r="C2221" s="11">
        <v>45267</v>
      </c>
      <c r="D2221" s="11" t="s">
        <v>7945</v>
      </c>
      <c r="E2221" s="1" t="s">
        <v>21</v>
      </c>
      <c r="F2221" s="1" t="s">
        <v>7943</v>
      </c>
      <c r="G2221" s="6">
        <f>COUNTIF(F:F,Table2[[#This Row],[Form '#]])</f>
        <v>1</v>
      </c>
      <c r="H2221" s="1" t="s">
        <v>2267</v>
      </c>
      <c r="I2221" s="1" t="s">
        <v>3852</v>
      </c>
      <c r="J2221" s="1" t="s">
        <v>80</v>
      </c>
      <c r="K2221" s="1" t="s">
        <v>3853</v>
      </c>
      <c r="L2221" s="1"/>
      <c r="M2221" s="6" t="str">
        <f>IF(Table2[[#This Row],[Corrected Form '#
 (If Duplicated)]]="",Table2[[#This Row],[Form '#]],Table2[[#This Row],[Corrected Form '#
 (If Duplicated)]])</f>
        <v>7823-03104</v>
      </c>
      <c r="N2221" s="1" t="s">
        <v>49</v>
      </c>
      <c r="O2221" s="6" t="str">
        <f>IF(Table2[[#This Row],[POG CONFIRMATION RECEIPT OF ORDER
(DATE &amp; TIME)]]="","No Confirmation","Received Confirmation")</f>
        <v>Received Confirmation</v>
      </c>
      <c r="P2221" s="6">
        <f ca="1">TODAY()-Table2[[#This Row],[DATE SENT TO POG]]</f>
        <v>36</v>
      </c>
      <c r="Q2221" s="6" t="s">
        <v>5803</v>
      </c>
      <c r="R22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1" s="6" t="str">
        <f>_xlfn.XLOOKUP(Table2[[#This Row],[Adjusted Form '#]],'[2]IN PROGRESS'!$D:$D,'[2]IN PROGRESS'!$M:$M,"Not Found")</f>
        <v>Not Found</v>
      </c>
      <c r="U2221" s="6" t="str">
        <f>_xlfn.XLOOKUP(Table2[[#This Row],[Adjusted Form '#]],[1]COMPLETED!$D:$D,[2]COMPLETED!$M:$M,"Not Found")</f>
        <v>Not Found</v>
      </c>
      <c r="V2221" s="13">
        <f>_xlfn.XLOOKUP(Table2[[#This Row],[Adjusted Form '#]],[2]COMPLETED!$D:$D,[2]COMPLETED!$O:$O,"Not Found")</f>
        <v>45275</v>
      </c>
      <c r="W2221" s="6" t="str">
        <f>_xlfn.XLOOKUP(Table2[[#This Row],[Adjusted Form '#]],[2]BILLED!$D:$D,[2]BILLED!$M:$M,"Not Found")</f>
        <v>Not Found</v>
      </c>
      <c r="X2221" s="13" t="str">
        <f>_xlfn.XLOOKUP(Table2[[#This Row],[Adjusted Form '#]],[2]BILLED!$D:$D,[1]BILLED!$O:$O,"Not Found")</f>
        <v>Not Found</v>
      </c>
      <c r="Y2221" s="13" t="e">
        <f>_xlfn.XLOOKUP(Table2[[#This Row],[Adjusted Form '#]],'[2]REJECTED ORDERS'!$D:$D,'[2]REJECTED ORDERS'!$E:$E)</f>
        <v>#N/A</v>
      </c>
      <c r="Z2221" s="1"/>
      <c r="AA2221" s="1"/>
    </row>
    <row r="2222" spans="1:27" ht="15" customHeight="1" x14ac:dyDescent="0.35">
      <c r="A2222" s="4" t="s">
        <v>3238</v>
      </c>
      <c r="B2222" s="1" t="s">
        <v>3669</v>
      </c>
      <c r="C2222" s="11">
        <v>45267</v>
      </c>
      <c r="D2222" s="11" t="s">
        <v>7945</v>
      </c>
      <c r="E2222" s="1" t="s">
        <v>191</v>
      </c>
      <c r="F2222" s="1" t="s">
        <v>7944</v>
      </c>
      <c r="G2222" s="6">
        <f>COUNTIF(F:F,Table2[[#This Row],[Form '#]])</f>
        <v>1</v>
      </c>
      <c r="H2222" s="1" t="s">
        <v>1742</v>
      </c>
      <c r="I2222" s="1" t="s">
        <v>177</v>
      </c>
      <c r="J2222" s="1" t="s">
        <v>75</v>
      </c>
      <c r="K2222" s="1" t="s">
        <v>4011</v>
      </c>
      <c r="L2222" s="1"/>
      <c r="M2222" s="6" t="str">
        <f>IF(Table2[[#This Row],[Corrected Form '#
 (If Duplicated)]]="",Table2[[#This Row],[Form '#]],Table2[[#This Row],[Corrected Form '#
 (If Duplicated)]])</f>
        <v>7812-04591</v>
      </c>
      <c r="N2222" s="1" t="s">
        <v>49</v>
      </c>
      <c r="O2222" s="6" t="str">
        <f>IF(Table2[[#This Row],[POG CONFIRMATION RECEIPT OF ORDER
(DATE &amp; TIME)]]="","No Confirmation","Received Confirmation")</f>
        <v>Received Confirmation</v>
      </c>
      <c r="P2222" s="6">
        <f ca="1">TODAY()-Table2[[#This Row],[DATE SENT TO POG]]</f>
        <v>36</v>
      </c>
      <c r="Q2222" s="6" t="s">
        <v>5803</v>
      </c>
      <c r="R22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2" s="6" t="str">
        <f>_xlfn.XLOOKUP(Table2[[#This Row],[Adjusted Form '#]],'[2]IN PROGRESS'!$D:$D,'[2]IN PROGRESS'!$M:$M,"Not Found")</f>
        <v>Not Found</v>
      </c>
      <c r="U2222" s="6" t="str">
        <f>_xlfn.XLOOKUP(Table2[[#This Row],[Adjusted Form '#]],[1]COMPLETED!$D:$D,[2]COMPLETED!$M:$M,"Not Found")</f>
        <v>Not Found</v>
      </c>
      <c r="V2222" s="13">
        <f>_xlfn.XLOOKUP(Table2[[#This Row],[Adjusted Form '#]],[2]COMPLETED!$D:$D,[2]COMPLETED!$O:$O,"Not Found")</f>
        <v>45278</v>
      </c>
      <c r="W2222" s="6" t="str">
        <f>_xlfn.XLOOKUP(Table2[[#This Row],[Adjusted Form '#]],[2]BILLED!$D:$D,[2]BILLED!$M:$M,"Not Found")</f>
        <v>Not Found</v>
      </c>
      <c r="X2222" s="13" t="str">
        <f>_xlfn.XLOOKUP(Table2[[#This Row],[Adjusted Form '#]],[2]BILLED!$D:$D,[1]BILLED!$O:$O,"Not Found")</f>
        <v>Not Found</v>
      </c>
      <c r="Y2222" s="13" t="e">
        <f>_xlfn.XLOOKUP(Table2[[#This Row],[Adjusted Form '#]],'[2]REJECTED ORDERS'!$D:$D,'[2]REJECTED ORDERS'!$E:$E)</f>
        <v>#N/A</v>
      </c>
      <c r="Z2222" s="1"/>
      <c r="AA2222" s="1"/>
    </row>
    <row r="2223" spans="1:27" ht="15" customHeight="1" x14ac:dyDescent="0.35">
      <c r="A2223" s="4" t="s">
        <v>3239</v>
      </c>
      <c r="B2223" s="1" t="s">
        <v>4473</v>
      </c>
      <c r="C2223" s="11">
        <v>45267</v>
      </c>
      <c r="D2223" s="11" t="s">
        <v>7949</v>
      </c>
      <c r="E2223" s="1" t="s">
        <v>21</v>
      </c>
      <c r="F2223" s="1" t="s">
        <v>7946</v>
      </c>
      <c r="G2223" s="6">
        <f>COUNTIF(F:F,Table2[[#This Row],[Form '#]])</f>
        <v>1</v>
      </c>
      <c r="H2223" s="1" t="s">
        <v>7947</v>
      </c>
      <c r="I2223" s="1" t="s">
        <v>3864</v>
      </c>
      <c r="J2223" s="1" t="s">
        <v>78</v>
      </c>
      <c r="K2223" s="1" t="s">
        <v>7763</v>
      </c>
      <c r="L2223" s="1"/>
      <c r="M2223" s="6" t="str">
        <f>IF(Table2[[#This Row],[Corrected Form '#
 (If Duplicated)]]="",Table2[[#This Row],[Form '#]],Table2[[#This Row],[Corrected Form '#
 (If Duplicated)]])</f>
        <v>7818-31246</v>
      </c>
      <c r="N2223" s="1" t="s">
        <v>49</v>
      </c>
      <c r="O2223" s="6" t="str">
        <f>IF(Table2[[#This Row],[POG CONFIRMATION RECEIPT OF ORDER
(DATE &amp; TIME)]]="","No Confirmation","Received Confirmation")</f>
        <v>Received Confirmation</v>
      </c>
      <c r="P2223" s="6">
        <f ca="1">TODAY()-Table2[[#This Row],[DATE SENT TO POG]]</f>
        <v>36</v>
      </c>
      <c r="Q2223" s="6" t="s">
        <v>5803</v>
      </c>
      <c r="R22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3" s="6" t="str">
        <f>_xlfn.XLOOKUP(Table2[[#This Row],[Adjusted Form '#]],'[2]IN PROGRESS'!$D:$D,'[2]IN PROGRESS'!$M:$M,"Not Found")</f>
        <v>Not Found</v>
      </c>
      <c r="U2223" s="6" t="str">
        <f>_xlfn.XLOOKUP(Table2[[#This Row],[Adjusted Form '#]],[1]COMPLETED!$D:$D,[2]COMPLETED!$M:$M,"Not Found")</f>
        <v>Not Found</v>
      </c>
      <c r="V2223" s="13">
        <f>_xlfn.XLOOKUP(Table2[[#This Row],[Adjusted Form '#]],[2]COMPLETED!$D:$D,[2]COMPLETED!$O:$O,"Not Found")</f>
        <v>45278</v>
      </c>
      <c r="W2223" s="6" t="str">
        <f>_xlfn.XLOOKUP(Table2[[#This Row],[Adjusted Form '#]],[2]BILLED!$D:$D,[2]BILLED!$M:$M,"Not Found")</f>
        <v>Not Found</v>
      </c>
      <c r="X2223" s="13" t="str">
        <f>_xlfn.XLOOKUP(Table2[[#This Row],[Adjusted Form '#]],[2]BILLED!$D:$D,[1]BILLED!$O:$O,"Not Found")</f>
        <v>Not Found</v>
      </c>
      <c r="Y2223" s="13" t="e">
        <f>_xlfn.XLOOKUP(Table2[[#This Row],[Adjusted Form '#]],'[2]REJECTED ORDERS'!$D:$D,'[2]REJECTED ORDERS'!$E:$E)</f>
        <v>#N/A</v>
      </c>
      <c r="Z2223" s="1"/>
      <c r="AA2223" s="1"/>
    </row>
    <row r="2224" spans="1:27" ht="15" customHeight="1" x14ac:dyDescent="0.35">
      <c r="A2224" s="4" t="s">
        <v>3240</v>
      </c>
      <c r="B2224" s="1" t="s">
        <v>4473</v>
      </c>
      <c r="C2224" s="11">
        <v>45267</v>
      </c>
      <c r="D2224" s="11" t="s">
        <v>7949</v>
      </c>
      <c r="E2224" s="1" t="s">
        <v>21</v>
      </c>
      <c r="F2224" s="1" t="s">
        <v>7948</v>
      </c>
      <c r="G2224" s="6">
        <f>COUNTIF(F:F,Table2[[#This Row],[Form '#]])</f>
        <v>1</v>
      </c>
      <c r="H2224" s="1" t="s">
        <v>3544</v>
      </c>
      <c r="I2224" s="1" t="s">
        <v>127</v>
      </c>
      <c r="J2224" s="1" t="s">
        <v>76</v>
      </c>
      <c r="K2224" s="1" t="s">
        <v>3891</v>
      </c>
      <c r="L2224" s="1"/>
      <c r="M2224" s="6" t="str">
        <f>IF(Table2[[#This Row],[Corrected Form '#
 (If Duplicated)]]="",Table2[[#This Row],[Form '#]],Table2[[#This Row],[Corrected Form '#
 (If Duplicated)]])</f>
        <v>7818-29961</v>
      </c>
      <c r="N2224" s="1" t="s">
        <v>49</v>
      </c>
      <c r="O2224" s="6" t="str">
        <f>IF(Table2[[#This Row],[POG CONFIRMATION RECEIPT OF ORDER
(DATE &amp; TIME)]]="","No Confirmation","Received Confirmation")</f>
        <v>Received Confirmation</v>
      </c>
      <c r="P2224" s="6">
        <f ca="1">TODAY()-Table2[[#This Row],[DATE SENT TO POG]]</f>
        <v>36</v>
      </c>
      <c r="Q2224" s="6" t="s">
        <v>5803</v>
      </c>
      <c r="R22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4" s="6" t="str">
        <f>_xlfn.XLOOKUP(Table2[[#This Row],[Adjusted Form '#]],'[2]IN PROGRESS'!$D:$D,'[2]IN PROGRESS'!$M:$M,"Not Found")</f>
        <v>Not Found</v>
      </c>
      <c r="U2224" s="6" t="str">
        <f>_xlfn.XLOOKUP(Table2[[#This Row],[Adjusted Form '#]],[1]COMPLETED!$D:$D,[2]COMPLETED!$M:$M,"Not Found")</f>
        <v>Not Found</v>
      </c>
      <c r="V2224" s="13">
        <f>_xlfn.XLOOKUP(Table2[[#This Row],[Adjusted Form '#]],[2]COMPLETED!$D:$D,[2]COMPLETED!$O:$O,"Not Found")</f>
        <v>45278</v>
      </c>
      <c r="W2224" s="6" t="str">
        <f>_xlfn.XLOOKUP(Table2[[#This Row],[Adjusted Form '#]],[2]BILLED!$D:$D,[2]BILLED!$M:$M,"Not Found")</f>
        <v>Not Found</v>
      </c>
      <c r="X2224" s="13" t="str">
        <f>_xlfn.XLOOKUP(Table2[[#This Row],[Adjusted Form '#]],[2]BILLED!$D:$D,[1]BILLED!$O:$O,"Not Found")</f>
        <v>Not Found</v>
      </c>
      <c r="Y2224" s="13" t="e">
        <f>_xlfn.XLOOKUP(Table2[[#This Row],[Adjusted Form '#]],'[2]REJECTED ORDERS'!$D:$D,'[2]REJECTED ORDERS'!$E:$E)</f>
        <v>#N/A</v>
      </c>
      <c r="Z2224" s="1"/>
      <c r="AA2224" s="1"/>
    </row>
    <row r="2225" spans="1:27" ht="15" customHeight="1" x14ac:dyDescent="0.35">
      <c r="A2225" s="4" t="s">
        <v>3241</v>
      </c>
      <c r="B2225" s="1" t="s">
        <v>3567</v>
      </c>
      <c r="C2225" s="11">
        <v>45267</v>
      </c>
      <c r="D2225" s="11" t="s">
        <v>7952</v>
      </c>
      <c r="E2225" s="1" t="s">
        <v>191</v>
      </c>
      <c r="F2225" s="1" t="s">
        <v>7910</v>
      </c>
      <c r="G2225" s="6">
        <f>COUNTIF(F:F,Table2[[#This Row],[Form '#]])</f>
        <v>2</v>
      </c>
      <c r="H2225" s="1" t="s">
        <v>3607</v>
      </c>
      <c r="I2225" s="1" t="s">
        <v>3864</v>
      </c>
      <c r="J2225" s="1" t="s">
        <v>78</v>
      </c>
      <c r="K2225" s="1" t="s">
        <v>3879</v>
      </c>
      <c r="L2225" s="1"/>
      <c r="M2225" s="6" t="str">
        <f>IF(Table2[[#This Row],[Corrected Form '#
 (If Duplicated)]]="",Table2[[#This Row],[Form '#]],Table2[[#This Row],[Corrected Form '#
 (If Duplicated)]])</f>
        <v>7812-00426</v>
      </c>
      <c r="N2225" s="1" t="s">
        <v>49</v>
      </c>
      <c r="O2225" s="6" t="str">
        <f>IF(Table2[[#This Row],[POG CONFIRMATION RECEIPT OF ORDER
(DATE &amp; TIME)]]="","No Confirmation","Received Confirmation")</f>
        <v>Received Confirmation</v>
      </c>
      <c r="P2225" s="6">
        <f ca="1">TODAY()-Table2[[#This Row],[DATE SENT TO POG]]</f>
        <v>36</v>
      </c>
      <c r="Q2225" s="6" t="s">
        <v>5803</v>
      </c>
      <c r="R22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5" s="6" t="str">
        <f>_xlfn.XLOOKUP(Table2[[#This Row],[Adjusted Form '#]],'[2]IN PROGRESS'!$D:$D,'[2]IN PROGRESS'!$M:$M,"Not Found")</f>
        <v>Not Found</v>
      </c>
      <c r="U2225" s="6" t="str">
        <f>_xlfn.XLOOKUP(Table2[[#This Row],[Adjusted Form '#]],[1]COMPLETED!$D:$D,[2]COMPLETED!$M:$M,"Not Found")</f>
        <v>Not Found</v>
      </c>
      <c r="V2225" s="13">
        <f>_xlfn.XLOOKUP(Table2[[#This Row],[Adjusted Form '#]],[2]COMPLETED!$D:$D,[2]COMPLETED!$O:$O,"Not Found")</f>
        <v>45278</v>
      </c>
      <c r="W2225" s="6" t="str">
        <f>_xlfn.XLOOKUP(Table2[[#This Row],[Adjusted Form '#]],[2]BILLED!$D:$D,[2]BILLED!$M:$M,"Not Found")</f>
        <v>Not Found</v>
      </c>
      <c r="X2225" s="13" t="str">
        <f>_xlfn.XLOOKUP(Table2[[#This Row],[Adjusted Form '#]],[2]BILLED!$D:$D,[1]BILLED!$O:$O,"Not Found")</f>
        <v>Not Found</v>
      </c>
      <c r="Y2225" s="13" t="e">
        <f>_xlfn.XLOOKUP(Table2[[#This Row],[Adjusted Form '#]],'[2]REJECTED ORDERS'!$D:$D,'[2]REJECTED ORDERS'!$E:$E)</f>
        <v>#N/A</v>
      </c>
      <c r="Z2225" s="1"/>
      <c r="AA2225" s="1"/>
    </row>
    <row r="2226" spans="1:27" ht="15" customHeight="1" x14ac:dyDescent="0.35">
      <c r="A2226" s="4" t="s">
        <v>3242</v>
      </c>
      <c r="B2226" s="1" t="s">
        <v>3567</v>
      </c>
      <c r="C2226" s="11">
        <v>45267</v>
      </c>
      <c r="D2226" s="11" t="s">
        <v>7952</v>
      </c>
      <c r="E2226" s="1" t="s">
        <v>191</v>
      </c>
      <c r="F2226" s="1" t="s">
        <v>7950</v>
      </c>
      <c r="G2226" s="6">
        <f>COUNTIF(F:F,Table2[[#This Row],[Form '#]])</f>
        <v>1</v>
      </c>
      <c r="H2226" s="1" t="s">
        <v>7951</v>
      </c>
      <c r="I2226" s="1" t="s">
        <v>3852</v>
      </c>
      <c r="J2226" s="1" t="s">
        <v>80</v>
      </c>
      <c r="K2226" s="1" t="s">
        <v>3853</v>
      </c>
      <c r="L2226" s="1"/>
      <c r="M2226" s="6" t="str">
        <f>IF(Table2[[#This Row],[Corrected Form '#
 (If Duplicated)]]="",Table2[[#This Row],[Form '#]],Table2[[#This Row],[Corrected Form '#
 (If Duplicated)]])</f>
        <v>7812-00591</v>
      </c>
      <c r="N2226" s="1" t="s">
        <v>49</v>
      </c>
      <c r="O2226" s="6" t="str">
        <f>IF(Table2[[#This Row],[POG CONFIRMATION RECEIPT OF ORDER
(DATE &amp; TIME)]]="","No Confirmation","Received Confirmation")</f>
        <v>Received Confirmation</v>
      </c>
      <c r="P2226" s="6">
        <f ca="1">TODAY()-Table2[[#This Row],[DATE SENT TO POG]]</f>
        <v>36</v>
      </c>
      <c r="Q2226" s="6" t="s">
        <v>5802</v>
      </c>
      <c r="R22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6" s="6" t="str">
        <f>_xlfn.XLOOKUP(Table2[[#This Row],[Adjusted Form '#]],'[2]IN PROGRESS'!$D:$D,'[2]IN PROGRESS'!$M:$M,"Not Found")</f>
        <v>Not Found</v>
      </c>
      <c r="U2226" s="6" t="str">
        <f>_xlfn.XLOOKUP(Table2[[#This Row],[Adjusted Form '#]],[1]COMPLETED!$D:$D,[2]COMPLETED!$M:$M,"Not Found")</f>
        <v>Not Found</v>
      </c>
      <c r="V2226" s="13" t="str">
        <f>_xlfn.XLOOKUP(Table2[[#This Row],[Adjusted Form '#]],[2]COMPLETED!$D:$D,[2]COMPLETED!$O:$O,"Not Found")</f>
        <v>Not Found</v>
      </c>
      <c r="W2226" s="6" t="str">
        <f>_xlfn.XLOOKUP(Table2[[#This Row],[Adjusted Form '#]],[2]BILLED!$D:$D,[2]BILLED!$M:$M,"Not Found")</f>
        <v>Not Found</v>
      </c>
      <c r="X2226" s="13" t="str">
        <f>_xlfn.XLOOKUP(Table2[[#This Row],[Adjusted Form '#]],[2]BILLED!$D:$D,[1]BILLED!$O:$O,"Not Found")</f>
        <v>Not Found</v>
      </c>
      <c r="Y2226" s="13" t="e">
        <f>_xlfn.XLOOKUP(Table2[[#This Row],[Adjusted Form '#]],'[2]REJECTED ORDERS'!$D:$D,'[2]REJECTED ORDERS'!$E:$E)</f>
        <v>#N/A</v>
      </c>
      <c r="Z2226" s="1"/>
      <c r="AA2226" s="1"/>
    </row>
    <row r="2227" spans="1:27" ht="15" customHeight="1" x14ac:dyDescent="0.35">
      <c r="A2227" s="4" t="s">
        <v>3243</v>
      </c>
      <c r="B2227" s="1" t="s">
        <v>2001</v>
      </c>
      <c r="C2227" s="11">
        <v>45268</v>
      </c>
      <c r="D2227" s="11" t="s">
        <v>7956</v>
      </c>
      <c r="E2227" s="1" t="s">
        <v>21</v>
      </c>
      <c r="F2227" s="1" t="s">
        <v>7953</v>
      </c>
      <c r="G2227" s="6">
        <f>COUNTIF(F:F,Table2[[#This Row],[Form '#]])</f>
        <v>1</v>
      </c>
      <c r="H2227" s="1" t="s">
        <v>115</v>
      </c>
      <c r="I2227" s="1" t="s">
        <v>3852</v>
      </c>
      <c r="J2227" s="1" t="s">
        <v>80</v>
      </c>
      <c r="K2227" s="1" t="s">
        <v>3853</v>
      </c>
      <c r="L2227" s="1"/>
      <c r="M2227" s="6" t="str">
        <f>IF(Table2[[#This Row],[Corrected Form '#
 (If Duplicated)]]="",Table2[[#This Row],[Form '#]],Table2[[#This Row],[Corrected Form '#
 (If Duplicated)]])</f>
        <v>7818-29418</v>
      </c>
      <c r="N2227" s="1" t="s">
        <v>49</v>
      </c>
      <c r="O2227" s="6" t="str">
        <f>IF(Table2[[#This Row],[POG CONFIRMATION RECEIPT OF ORDER
(DATE &amp; TIME)]]="","No Confirmation","Received Confirmation")</f>
        <v>Received Confirmation</v>
      </c>
      <c r="P2227" s="6">
        <f ca="1">TODAY()-Table2[[#This Row],[DATE SENT TO POG]]</f>
        <v>35</v>
      </c>
      <c r="Q2227" s="6" t="s">
        <v>6025</v>
      </c>
      <c r="R22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7" s="6" t="str">
        <f>_xlfn.XLOOKUP(Table2[[#This Row],[Adjusted Form '#]],'[2]IN PROGRESS'!$D:$D,'[2]IN PROGRESS'!$M:$M,"Not Found")</f>
        <v>Not Found</v>
      </c>
      <c r="U2227" s="6" t="str">
        <f>_xlfn.XLOOKUP(Table2[[#This Row],[Adjusted Form '#]],[1]COMPLETED!$D:$D,[2]COMPLETED!$M:$M,"Not Found")</f>
        <v>Not Found</v>
      </c>
      <c r="V2227" s="13">
        <f>_xlfn.XLOOKUP(Table2[[#This Row],[Adjusted Form '#]],[2]COMPLETED!$D:$D,[2]COMPLETED!$O:$O,"Not Found")</f>
        <v>45282</v>
      </c>
      <c r="W2227" s="6" t="str">
        <f>_xlfn.XLOOKUP(Table2[[#This Row],[Adjusted Form '#]],[2]BILLED!$D:$D,[2]BILLED!$M:$M,"Not Found")</f>
        <v>Not Found</v>
      </c>
      <c r="X2227" s="13" t="str">
        <f>_xlfn.XLOOKUP(Table2[[#This Row],[Adjusted Form '#]],[2]BILLED!$D:$D,[1]BILLED!$O:$O,"Not Found")</f>
        <v>Not Found</v>
      </c>
      <c r="Y2227" s="13" t="e">
        <f>_xlfn.XLOOKUP(Table2[[#This Row],[Adjusted Form '#]],'[2]REJECTED ORDERS'!$D:$D,'[2]REJECTED ORDERS'!$E:$E)</f>
        <v>#N/A</v>
      </c>
      <c r="Z2227" s="1"/>
      <c r="AA2227" s="1"/>
    </row>
    <row r="2228" spans="1:27" ht="15" customHeight="1" x14ac:dyDescent="0.35">
      <c r="A2228" s="4" t="s">
        <v>3244</v>
      </c>
      <c r="B2228" s="1" t="s">
        <v>840</v>
      </c>
      <c r="C2228" s="11">
        <v>45268</v>
      </c>
      <c r="D2228" s="11" t="s">
        <v>7956</v>
      </c>
      <c r="E2228" s="1" t="s">
        <v>191</v>
      </c>
      <c r="F2228" s="1" t="s">
        <v>7954</v>
      </c>
      <c r="G2228" s="6">
        <f>COUNTIF(F:F,Table2[[#This Row],[Form '#]])</f>
        <v>1</v>
      </c>
      <c r="H2228" s="1" t="s">
        <v>7955</v>
      </c>
      <c r="I2228" s="1" t="s">
        <v>3864</v>
      </c>
      <c r="J2228" s="1" t="s">
        <v>78</v>
      </c>
      <c r="K2228" s="1" t="s">
        <v>3879</v>
      </c>
      <c r="L2228" s="1"/>
      <c r="M2228" s="6" t="str">
        <f>IF(Table2[[#This Row],[Corrected Form '#
 (If Duplicated)]]="",Table2[[#This Row],[Form '#]],Table2[[#This Row],[Corrected Form '#
 (If Duplicated)]])</f>
        <v>7812-04948</v>
      </c>
      <c r="N2228" s="1" t="s">
        <v>49</v>
      </c>
      <c r="O2228" s="6" t="str">
        <f>IF(Table2[[#This Row],[POG CONFIRMATION RECEIPT OF ORDER
(DATE &amp; TIME)]]="","No Confirmation","Received Confirmation")</f>
        <v>Received Confirmation</v>
      </c>
      <c r="P2228" s="6">
        <f ca="1">TODAY()-Table2[[#This Row],[DATE SENT TO POG]]</f>
        <v>35</v>
      </c>
      <c r="Q2228" s="6" t="s">
        <v>6025</v>
      </c>
      <c r="R22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8" s="6" t="str">
        <f>_xlfn.XLOOKUP(Table2[[#This Row],[Adjusted Form '#]],'[2]IN PROGRESS'!$D:$D,'[2]IN PROGRESS'!$M:$M,"Not Found")</f>
        <v>Not Found</v>
      </c>
      <c r="U2228" s="6" t="str">
        <f>_xlfn.XLOOKUP(Table2[[#This Row],[Adjusted Form '#]],[1]COMPLETED!$D:$D,[2]COMPLETED!$M:$M,"Not Found")</f>
        <v>Not Found</v>
      </c>
      <c r="V2228" s="13">
        <f>_xlfn.XLOOKUP(Table2[[#This Row],[Adjusted Form '#]],[2]COMPLETED!$D:$D,[2]COMPLETED!$O:$O,"Not Found")</f>
        <v>45282</v>
      </c>
      <c r="W2228" s="6" t="str">
        <f>_xlfn.XLOOKUP(Table2[[#This Row],[Adjusted Form '#]],[2]BILLED!$D:$D,[2]BILLED!$M:$M,"Not Found")</f>
        <v>Not Found</v>
      </c>
      <c r="X2228" s="13" t="str">
        <f>_xlfn.XLOOKUP(Table2[[#This Row],[Adjusted Form '#]],[2]BILLED!$D:$D,[1]BILLED!$O:$O,"Not Found")</f>
        <v>Not Found</v>
      </c>
      <c r="Y2228" s="13" t="e">
        <f>_xlfn.XLOOKUP(Table2[[#This Row],[Adjusted Form '#]],'[2]REJECTED ORDERS'!$D:$D,'[2]REJECTED ORDERS'!$E:$E)</f>
        <v>#N/A</v>
      </c>
      <c r="Z2228" s="1"/>
      <c r="AA2228" s="1"/>
    </row>
    <row r="2229" spans="1:27" ht="15" customHeight="1" x14ac:dyDescent="0.35">
      <c r="A2229" s="4" t="s">
        <v>3245</v>
      </c>
      <c r="B2229" s="1" t="s">
        <v>1039</v>
      </c>
      <c r="C2229" s="11">
        <v>45271</v>
      </c>
      <c r="E2229" s="1" t="s">
        <v>73</v>
      </c>
      <c r="F2229" s="1" t="s">
        <v>7957</v>
      </c>
      <c r="G2229" s="6">
        <f>COUNTIF(F:F,Table2[[#This Row],[Form '#]])</f>
        <v>1</v>
      </c>
      <c r="H2229" s="1" t="s">
        <v>3632</v>
      </c>
      <c r="I2229" s="1" t="s">
        <v>127</v>
      </c>
      <c r="J2229" s="1" t="s">
        <v>76</v>
      </c>
      <c r="K2229" s="1" t="s">
        <v>4011</v>
      </c>
      <c r="L2229" s="1"/>
      <c r="M2229" s="6" t="str">
        <f>IF(Table2[[#This Row],[Corrected Form '#
 (If Duplicated)]]="",Table2[[#This Row],[Form '#]],Table2[[#This Row],[Corrected Form '#
 (If Duplicated)]])</f>
        <v>7823-03107</v>
      </c>
      <c r="N2229" s="1" t="s">
        <v>49</v>
      </c>
      <c r="O2229" s="6" t="str">
        <f>IF(Table2[[#This Row],[POG CONFIRMATION RECEIPT OF ORDER
(DATE &amp; TIME)]]="","No Confirmation","Received Confirmation")</f>
        <v>No Confirmation</v>
      </c>
      <c r="P2229" s="6">
        <f ca="1">TODAY()-Table2[[#This Row],[DATE SENT TO POG]]</f>
        <v>32</v>
      </c>
      <c r="Q2229" s="6" t="s">
        <v>5803</v>
      </c>
      <c r="R22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2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29" s="6" t="str">
        <f>_xlfn.XLOOKUP(Table2[[#This Row],[Adjusted Form '#]],'[2]IN PROGRESS'!$D:$D,'[2]IN PROGRESS'!$M:$M,"Not Found")</f>
        <v>Not Found</v>
      </c>
      <c r="U2229" s="6" t="str">
        <f>_xlfn.XLOOKUP(Table2[[#This Row],[Adjusted Form '#]],[1]COMPLETED!$D:$D,[2]COMPLETED!$M:$M,"Not Found")</f>
        <v>Not Found</v>
      </c>
      <c r="V2229" s="13">
        <f>_xlfn.XLOOKUP(Table2[[#This Row],[Adjusted Form '#]],[2]COMPLETED!$D:$D,[2]COMPLETED!$O:$O,"Not Found")</f>
        <v>45278</v>
      </c>
      <c r="W2229" s="6" t="str">
        <f>_xlfn.XLOOKUP(Table2[[#This Row],[Adjusted Form '#]],[2]BILLED!$D:$D,[2]BILLED!$M:$M,"Not Found")</f>
        <v>Not Found</v>
      </c>
      <c r="X2229" s="13" t="str">
        <f>_xlfn.XLOOKUP(Table2[[#This Row],[Adjusted Form '#]],[2]BILLED!$D:$D,[1]BILLED!$O:$O,"Not Found")</f>
        <v>Not Found</v>
      </c>
      <c r="Y2229" s="13" t="e">
        <f>_xlfn.XLOOKUP(Table2[[#This Row],[Adjusted Form '#]],'[2]REJECTED ORDERS'!$D:$D,'[2]REJECTED ORDERS'!$E:$E)</f>
        <v>#N/A</v>
      </c>
      <c r="Z2229" s="1"/>
      <c r="AA2229" s="1"/>
    </row>
    <row r="2230" spans="1:27" ht="15" customHeight="1" x14ac:dyDescent="0.35">
      <c r="A2230" s="4" t="s">
        <v>3246</v>
      </c>
      <c r="B2230" s="1" t="s">
        <v>211</v>
      </c>
      <c r="C2230" s="11">
        <v>45271</v>
      </c>
      <c r="D2230" s="11" t="s">
        <v>7962</v>
      </c>
      <c r="E2230" s="1" t="s">
        <v>191</v>
      </c>
      <c r="F2230" s="1" t="s">
        <v>7958</v>
      </c>
      <c r="G2230" s="6">
        <f>COUNTIF(F:F,Table2[[#This Row],[Form '#]])</f>
        <v>1</v>
      </c>
      <c r="H2230" s="1" t="s">
        <v>7959</v>
      </c>
      <c r="I2230" s="1" t="s">
        <v>3852</v>
      </c>
      <c r="J2230" s="1" t="s">
        <v>75</v>
      </c>
      <c r="K2230" s="1" t="s">
        <v>3853</v>
      </c>
      <c r="L2230" s="1"/>
      <c r="M2230" s="6" t="str">
        <f>IF(Table2[[#This Row],[Corrected Form '#
 (If Duplicated)]]="",Table2[[#This Row],[Form '#]],Table2[[#This Row],[Corrected Form '#
 (If Duplicated)]])</f>
        <v>7812-04655</v>
      </c>
      <c r="N2230" s="1" t="s">
        <v>49</v>
      </c>
      <c r="O2230" s="6" t="str">
        <f>IF(Table2[[#This Row],[POG CONFIRMATION RECEIPT OF ORDER
(DATE &amp; TIME)]]="","No Confirmation","Received Confirmation")</f>
        <v>Received Confirmation</v>
      </c>
      <c r="P2230" s="6">
        <f ca="1">TODAY()-Table2[[#This Row],[DATE SENT TO POG]]</f>
        <v>32</v>
      </c>
      <c r="Q2230" s="6" t="s">
        <v>6025</v>
      </c>
      <c r="R22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0" s="6" t="str">
        <f>_xlfn.XLOOKUP(Table2[[#This Row],[Adjusted Form '#]],'[2]IN PROGRESS'!$D:$D,'[2]IN PROGRESS'!$M:$M,"Not Found")</f>
        <v>Not Found</v>
      </c>
      <c r="U2230" s="6" t="str">
        <f>_xlfn.XLOOKUP(Table2[[#This Row],[Adjusted Form '#]],[1]COMPLETED!$D:$D,[2]COMPLETED!$M:$M,"Not Found")</f>
        <v>Not Found</v>
      </c>
      <c r="V2230" s="13">
        <f>_xlfn.XLOOKUP(Table2[[#This Row],[Adjusted Form '#]],[2]COMPLETED!$D:$D,[2]COMPLETED!$O:$O,"Not Found")</f>
        <v>45282</v>
      </c>
      <c r="W2230" s="6" t="str">
        <f>_xlfn.XLOOKUP(Table2[[#This Row],[Adjusted Form '#]],[2]BILLED!$D:$D,[2]BILLED!$M:$M,"Not Found")</f>
        <v>Not Found</v>
      </c>
      <c r="X2230" s="13" t="str">
        <f>_xlfn.XLOOKUP(Table2[[#This Row],[Adjusted Form '#]],[2]BILLED!$D:$D,[1]BILLED!$O:$O,"Not Found")</f>
        <v>Not Found</v>
      </c>
      <c r="Y2230" s="13" t="e">
        <f>_xlfn.XLOOKUP(Table2[[#This Row],[Adjusted Form '#]],'[2]REJECTED ORDERS'!$D:$D,'[2]REJECTED ORDERS'!$E:$E)</f>
        <v>#N/A</v>
      </c>
      <c r="Z2230" s="1"/>
      <c r="AA2230" s="1"/>
    </row>
    <row r="2231" spans="1:27" ht="15" customHeight="1" x14ac:dyDescent="0.35">
      <c r="A2231" s="4" t="s">
        <v>3247</v>
      </c>
      <c r="B2231" s="1" t="s">
        <v>211</v>
      </c>
      <c r="C2231" s="11">
        <v>45271</v>
      </c>
      <c r="D2231" s="11" t="s">
        <v>7962</v>
      </c>
      <c r="E2231" s="1" t="s">
        <v>191</v>
      </c>
      <c r="F2231" s="1" t="s">
        <v>7960</v>
      </c>
      <c r="G2231" s="6">
        <f>COUNTIF(F:F,Table2[[#This Row],[Form '#]])</f>
        <v>1</v>
      </c>
      <c r="H2231" s="1" t="s">
        <v>3693</v>
      </c>
      <c r="I2231" s="1" t="s">
        <v>127</v>
      </c>
      <c r="J2231" s="1" t="s">
        <v>76</v>
      </c>
      <c r="K2231" s="1" t="s">
        <v>4011</v>
      </c>
      <c r="L2231" s="1"/>
      <c r="M2231" s="6" t="str">
        <f>IF(Table2[[#This Row],[Corrected Form '#
 (If Duplicated)]]="",Table2[[#This Row],[Form '#]],Table2[[#This Row],[Corrected Form '#
 (If Duplicated)]])</f>
        <v>7812-3589</v>
      </c>
      <c r="N2231" s="1" t="s">
        <v>49</v>
      </c>
      <c r="O2231" s="6" t="str">
        <f>IF(Table2[[#This Row],[POG CONFIRMATION RECEIPT OF ORDER
(DATE &amp; TIME)]]="","No Confirmation","Received Confirmation")</f>
        <v>Received Confirmation</v>
      </c>
      <c r="P2231" s="6">
        <f ca="1">TODAY()-Table2[[#This Row],[DATE SENT TO POG]]</f>
        <v>32</v>
      </c>
      <c r="Q2231" s="6" t="s">
        <v>6025</v>
      </c>
      <c r="R22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1" s="6" t="str">
        <f>_xlfn.XLOOKUP(Table2[[#This Row],[Adjusted Form '#]],'[2]IN PROGRESS'!$D:$D,'[2]IN PROGRESS'!$M:$M,"Not Found")</f>
        <v>Not Found</v>
      </c>
      <c r="U2231" s="6" t="str">
        <f>_xlfn.XLOOKUP(Table2[[#This Row],[Adjusted Form '#]],[1]COMPLETED!$D:$D,[2]COMPLETED!$M:$M,"Not Found")</f>
        <v>Not Found</v>
      </c>
      <c r="V2231" s="13">
        <f>_xlfn.XLOOKUP(Table2[[#This Row],[Adjusted Form '#]],[2]COMPLETED!$D:$D,[2]COMPLETED!$O:$O,"Not Found")</f>
        <v>45282</v>
      </c>
      <c r="W2231" s="6" t="str">
        <f>_xlfn.XLOOKUP(Table2[[#This Row],[Adjusted Form '#]],[2]BILLED!$D:$D,[2]BILLED!$M:$M,"Not Found")</f>
        <v>Not Found</v>
      </c>
      <c r="X2231" s="13" t="str">
        <f>_xlfn.XLOOKUP(Table2[[#This Row],[Adjusted Form '#]],[2]BILLED!$D:$D,[1]BILLED!$O:$O,"Not Found")</f>
        <v>Not Found</v>
      </c>
      <c r="Y2231" s="13" t="e">
        <f>_xlfn.XLOOKUP(Table2[[#This Row],[Adjusted Form '#]],'[2]REJECTED ORDERS'!$D:$D,'[2]REJECTED ORDERS'!$E:$E)</f>
        <v>#N/A</v>
      </c>
      <c r="Z2231" s="1"/>
      <c r="AA2231" s="1"/>
    </row>
    <row r="2232" spans="1:27" ht="15" customHeight="1" x14ac:dyDescent="0.35">
      <c r="A2232" s="4" t="s">
        <v>3249</v>
      </c>
      <c r="B2232" s="1" t="s">
        <v>211</v>
      </c>
      <c r="C2232" s="11">
        <v>45271</v>
      </c>
      <c r="D2232" s="11" t="s">
        <v>7962</v>
      </c>
      <c r="E2232" s="1" t="s">
        <v>191</v>
      </c>
      <c r="F2232" s="1" t="s">
        <v>7961</v>
      </c>
      <c r="G2232" s="6">
        <f>COUNTIF(F:F,Table2[[#This Row],[Form '#]])</f>
        <v>1</v>
      </c>
      <c r="H2232" s="1" t="s">
        <v>3698</v>
      </c>
      <c r="I2232" s="1" t="s">
        <v>177</v>
      </c>
      <c r="J2232" s="1" t="s">
        <v>75</v>
      </c>
      <c r="K2232" s="1" t="s">
        <v>3853</v>
      </c>
      <c r="L2232" s="1"/>
      <c r="M2232" s="6" t="str">
        <f>IF(Table2[[#This Row],[Corrected Form '#
 (If Duplicated)]]="",Table2[[#This Row],[Form '#]],Table2[[#This Row],[Corrected Form '#
 (If Duplicated)]])</f>
        <v>7812-04626</v>
      </c>
      <c r="N2232" s="1" t="s">
        <v>49</v>
      </c>
      <c r="O2232" s="6" t="str">
        <f>IF(Table2[[#This Row],[POG CONFIRMATION RECEIPT OF ORDER
(DATE &amp; TIME)]]="","No Confirmation","Received Confirmation")</f>
        <v>Received Confirmation</v>
      </c>
      <c r="P2232" s="6">
        <f ca="1">TODAY()-Table2[[#This Row],[DATE SENT TO POG]]</f>
        <v>32</v>
      </c>
      <c r="Q2232" s="6" t="s">
        <v>5802</v>
      </c>
      <c r="R22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2" s="6" t="str">
        <f>_xlfn.XLOOKUP(Table2[[#This Row],[Adjusted Form '#]],'[2]IN PROGRESS'!$D:$D,'[2]IN PROGRESS'!$M:$M,"Not Found")</f>
        <v>Not Found</v>
      </c>
      <c r="U2232" s="6" t="str">
        <f>_xlfn.XLOOKUP(Table2[[#This Row],[Adjusted Form '#]],[1]COMPLETED!$D:$D,[2]COMPLETED!$M:$M,"Not Found")</f>
        <v>Not Found</v>
      </c>
      <c r="V2232" s="13">
        <f>_xlfn.XLOOKUP(Table2[[#This Row],[Adjusted Form '#]],[2]COMPLETED!$D:$D,[2]COMPLETED!$O:$O,"Not Found")</f>
        <v>45290</v>
      </c>
      <c r="W2232" s="6" t="str">
        <f>_xlfn.XLOOKUP(Table2[[#This Row],[Adjusted Form '#]],[2]BILLED!$D:$D,[2]BILLED!$M:$M,"Not Found")</f>
        <v>Not Found</v>
      </c>
      <c r="X2232" s="13" t="str">
        <f>_xlfn.XLOOKUP(Table2[[#This Row],[Adjusted Form '#]],[2]BILLED!$D:$D,[1]BILLED!$O:$O,"Not Found")</f>
        <v>Not Found</v>
      </c>
      <c r="Y2232" s="13" t="e">
        <f>_xlfn.XLOOKUP(Table2[[#This Row],[Adjusted Form '#]],'[2]REJECTED ORDERS'!$D:$D,'[2]REJECTED ORDERS'!$E:$E)</f>
        <v>#N/A</v>
      </c>
      <c r="Z2232" s="1"/>
      <c r="AA2232" s="1"/>
    </row>
    <row r="2233" spans="1:27" ht="15" customHeight="1" x14ac:dyDescent="0.35">
      <c r="A2233" s="4" t="s">
        <v>3250</v>
      </c>
      <c r="B2233" s="1" t="s">
        <v>665</v>
      </c>
      <c r="C2233" s="11">
        <v>45271</v>
      </c>
      <c r="D2233" s="11" t="s">
        <v>7973</v>
      </c>
      <c r="E2233" s="1" t="s">
        <v>21</v>
      </c>
      <c r="F2233" s="1" t="s">
        <v>7964</v>
      </c>
      <c r="G2233" s="6">
        <f>COUNTIF(F:F,Table2[[#This Row],[Form '#]])</f>
        <v>1</v>
      </c>
      <c r="H2233" s="1" t="s">
        <v>7963</v>
      </c>
      <c r="I2233" s="1" t="s">
        <v>127</v>
      </c>
      <c r="J2233" s="1" t="s">
        <v>74</v>
      </c>
      <c r="K2233" s="1" t="s">
        <v>3883</v>
      </c>
      <c r="L2233" s="1"/>
      <c r="M2233" s="6" t="str">
        <f>IF(Table2[[#This Row],[Corrected Form '#
 (If Duplicated)]]="",Table2[[#This Row],[Form '#]],Table2[[#This Row],[Corrected Form '#
 (If Duplicated)]])</f>
        <v>7818-24171</v>
      </c>
      <c r="N2233" s="1" t="s">
        <v>49</v>
      </c>
      <c r="O2233" s="6" t="str">
        <f>IF(Table2[[#This Row],[POG CONFIRMATION RECEIPT OF ORDER
(DATE &amp; TIME)]]="","No Confirmation","Received Confirmation")</f>
        <v>Received Confirmation</v>
      </c>
      <c r="P2233" s="6">
        <f ca="1">TODAY()-Table2[[#This Row],[DATE SENT TO POG]]</f>
        <v>32</v>
      </c>
      <c r="Q2233" s="6" t="s">
        <v>6025</v>
      </c>
      <c r="R22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3" s="6" t="str">
        <f>_xlfn.XLOOKUP(Table2[[#This Row],[Adjusted Form '#]],'[2]IN PROGRESS'!$D:$D,'[2]IN PROGRESS'!$M:$M,"Not Found")</f>
        <v>Not Found</v>
      </c>
      <c r="U2233" s="6" t="str">
        <f>_xlfn.XLOOKUP(Table2[[#This Row],[Adjusted Form '#]],[1]COMPLETED!$D:$D,[2]COMPLETED!$M:$M,"Not Found")</f>
        <v>Not Found</v>
      </c>
      <c r="V2233" s="13">
        <f>_xlfn.XLOOKUP(Table2[[#This Row],[Adjusted Form '#]],[2]COMPLETED!$D:$D,[2]COMPLETED!$O:$O,"Not Found")</f>
        <v>45282</v>
      </c>
      <c r="W2233" s="6" t="str">
        <f>_xlfn.XLOOKUP(Table2[[#This Row],[Adjusted Form '#]],[2]BILLED!$D:$D,[2]BILLED!$M:$M,"Not Found")</f>
        <v>Not Found</v>
      </c>
      <c r="X2233" s="13" t="str">
        <f>_xlfn.XLOOKUP(Table2[[#This Row],[Adjusted Form '#]],[2]BILLED!$D:$D,[1]BILLED!$O:$O,"Not Found")</f>
        <v>Not Found</v>
      </c>
      <c r="Y2233" s="13" t="e">
        <f>_xlfn.XLOOKUP(Table2[[#This Row],[Adjusted Form '#]],'[2]REJECTED ORDERS'!$D:$D,'[2]REJECTED ORDERS'!$E:$E)</f>
        <v>#N/A</v>
      </c>
      <c r="Z2233" s="1"/>
      <c r="AA2233" s="1"/>
    </row>
    <row r="2234" spans="1:27" ht="15" customHeight="1" x14ac:dyDescent="0.35">
      <c r="A2234" s="4" t="s">
        <v>3251</v>
      </c>
      <c r="B2234" s="1" t="s">
        <v>665</v>
      </c>
      <c r="C2234" s="11">
        <v>45271</v>
      </c>
      <c r="D2234" s="11" t="s">
        <v>7973</v>
      </c>
      <c r="E2234" s="1" t="s">
        <v>21</v>
      </c>
      <c r="F2234" s="1" t="s">
        <v>7965</v>
      </c>
      <c r="G2234" s="6">
        <f>COUNTIF(F:F,Table2[[#This Row],[Form '#]])</f>
        <v>1</v>
      </c>
      <c r="H2234" s="1" t="s">
        <v>3460</v>
      </c>
      <c r="I2234" s="1" t="s">
        <v>177</v>
      </c>
      <c r="J2234" s="1" t="s">
        <v>75</v>
      </c>
      <c r="K2234" s="1" t="s">
        <v>3853</v>
      </c>
      <c r="L2234" s="1"/>
      <c r="M2234" s="6" t="str">
        <f>IF(Table2[[#This Row],[Corrected Form '#
 (If Duplicated)]]="",Table2[[#This Row],[Form '#]],Table2[[#This Row],[Corrected Form '#
 (If Duplicated)]])</f>
        <v>7818-29840</v>
      </c>
      <c r="N2234" s="1" t="s">
        <v>49</v>
      </c>
      <c r="O2234" s="6" t="str">
        <f>IF(Table2[[#This Row],[POG CONFIRMATION RECEIPT OF ORDER
(DATE &amp; TIME)]]="","No Confirmation","Received Confirmation")</f>
        <v>Received Confirmation</v>
      </c>
      <c r="P2234" s="6">
        <f ca="1">TODAY()-Table2[[#This Row],[DATE SENT TO POG]]</f>
        <v>32</v>
      </c>
      <c r="Q2234" s="6" t="s">
        <v>6025</v>
      </c>
      <c r="R22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4" s="6" t="str">
        <f>_xlfn.XLOOKUP(Table2[[#This Row],[Adjusted Form '#]],'[2]IN PROGRESS'!$D:$D,'[2]IN PROGRESS'!$M:$M,"Not Found")</f>
        <v>Not Found</v>
      </c>
      <c r="U2234" s="6" t="str">
        <f>_xlfn.XLOOKUP(Table2[[#This Row],[Adjusted Form '#]],[1]COMPLETED!$D:$D,[2]COMPLETED!$M:$M,"Not Found")</f>
        <v>Not Found</v>
      </c>
      <c r="V2234" s="13">
        <f>_xlfn.XLOOKUP(Table2[[#This Row],[Adjusted Form '#]],[2]COMPLETED!$D:$D,[2]COMPLETED!$O:$O,"Not Found")</f>
        <v>45282</v>
      </c>
      <c r="W2234" s="6" t="str">
        <f>_xlfn.XLOOKUP(Table2[[#This Row],[Adjusted Form '#]],[2]BILLED!$D:$D,[2]BILLED!$M:$M,"Not Found")</f>
        <v>Not Found</v>
      </c>
      <c r="X2234" s="13" t="str">
        <f>_xlfn.XLOOKUP(Table2[[#This Row],[Adjusted Form '#]],[2]BILLED!$D:$D,[1]BILLED!$O:$O,"Not Found")</f>
        <v>Not Found</v>
      </c>
      <c r="Y2234" s="13" t="e">
        <f>_xlfn.XLOOKUP(Table2[[#This Row],[Adjusted Form '#]],'[2]REJECTED ORDERS'!$D:$D,'[2]REJECTED ORDERS'!$E:$E)</f>
        <v>#N/A</v>
      </c>
      <c r="Z2234" s="1"/>
      <c r="AA2234" s="1"/>
    </row>
    <row r="2235" spans="1:27" ht="15" customHeight="1" x14ac:dyDescent="0.35">
      <c r="A2235" s="4" t="s">
        <v>3252</v>
      </c>
      <c r="B2235" s="1" t="s">
        <v>665</v>
      </c>
      <c r="C2235" s="11">
        <v>45271</v>
      </c>
      <c r="D2235" s="11" t="s">
        <v>7973</v>
      </c>
      <c r="E2235" s="1" t="s">
        <v>21</v>
      </c>
      <c r="F2235" s="1" t="s">
        <v>7966</v>
      </c>
      <c r="G2235" s="6">
        <f>COUNTIF(F:F,Table2[[#This Row],[Form '#]])</f>
        <v>1</v>
      </c>
      <c r="H2235" s="1" t="s">
        <v>825</v>
      </c>
      <c r="I2235" s="1" t="s">
        <v>825</v>
      </c>
      <c r="J2235" s="1" t="s">
        <v>78</v>
      </c>
      <c r="K2235" s="1" t="s">
        <v>3853</v>
      </c>
      <c r="L2235" s="1"/>
      <c r="M2235" s="6" t="str">
        <f>IF(Table2[[#This Row],[Corrected Form '#
 (If Duplicated)]]="",Table2[[#This Row],[Form '#]],Table2[[#This Row],[Corrected Form '#
 (If Duplicated)]])</f>
        <v>7818-29982</v>
      </c>
      <c r="N2235" s="1" t="s">
        <v>49</v>
      </c>
      <c r="O2235" s="6" t="str">
        <f>IF(Table2[[#This Row],[POG CONFIRMATION RECEIPT OF ORDER
(DATE &amp; TIME)]]="","No Confirmation","Received Confirmation")</f>
        <v>Received Confirmation</v>
      </c>
      <c r="P2235" s="6">
        <f ca="1">TODAY()-Table2[[#This Row],[DATE SENT TO POG]]</f>
        <v>32</v>
      </c>
      <c r="Q2235" s="6" t="s">
        <v>6025</v>
      </c>
      <c r="R22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5" s="6" t="str">
        <f>_xlfn.XLOOKUP(Table2[[#This Row],[Adjusted Form '#]],'[2]IN PROGRESS'!$D:$D,'[2]IN PROGRESS'!$M:$M,"Not Found")</f>
        <v>Not Found</v>
      </c>
      <c r="U2235" s="6" t="str">
        <f>_xlfn.XLOOKUP(Table2[[#This Row],[Adjusted Form '#]],[1]COMPLETED!$D:$D,[2]COMPLETED!$M:$M,"Not Found")</f>
        <v>Not Found</v>
      </c>
      <c r="V2235" s="13">
        <f>_xlfn.XLOOKUP(Table2[[#This Row],[Adjusted Form '#]],[2]COMPLETED!$D:$D,[2]COMPLETED!$O:$O,"Not Found")</f>
        <v>45282</v>
      </c>
      <c r="W2235" s="6" t="str">
        <f>_xlfn.XLOOKUP(Table2[[#This Row],[Adjusted Form '#]],[2]BILLED!$D:$D,[2]BILLED!$M:$M,"Not Found")</f>
        <v>Not Found</v>
      </c>
      <c r="X2235" s="13" t="str">
        <f>_xlfn.XLOOKUP(Table2[[#This Row],[Adjusted Form '#]],[2]BILLED!$D:$D,[1]BILLED!$O:$O,"Not Found")</f>
        <v>Not Found</v>
      </c>
      <c r="Y2235" s="13" t="e">
        <f>_xlfn.XLOOKUP(Table2[[#This Row],[Adjusted Form '#]],'[2]REJECTED ORDERS'!$D:$D,'[2]REJECTED ORDERS'!$E:$E)</f>
        <v>#N/A</v>
      </c>
      <c r="Z2235" s="1"/>
      <c r="AA2235" s="1"/>
    </row>
    <row r="2236" spans="1:27" ht="15" customHeight="1" x14ac:dyDescent="0.35">
      <c r="A2236" s="4" t="s">
        <v>3253</v>
      </c>
      <c r="B2236" s="1" t="s">
        <v>665</v>
      </c>
      <c r="C2236" s="11">
        <v>45271</v>
      </c>
      <c r="D2236" s="11" t="s">
        <v>7973</v>
      </c>
      <c r="E2236" s="1" t="s">
        <v>21</v>
      </c>
      <c r="F2236" s="1" t="s">
        <v>7967</v>
      </c>
      <c r="G2236" s="6">
        <f>COUNTIF(F:F,Table2[[#This Row],[Form '#]])</f>
        <v>1</v>
      </c>
      <c r="H2236" s="1" t="s">
        <v>3774</v>
      </c>
      <c r="I2236" s="1" t="s">
        <v>3864</v>
      </c>
      <c r="J2236" s="1" t="s">
        <v>78</v>
      </c>
      <c r="K2236" s="1" t="s">
        <v>3879</v>
      </c>
      <c r="L2236" s="1"/>
      <c r="M2236" s="6" t="str">
        <f>IF(Table2[[#This Row],[Corrected Form '#
 (If Duplicated)]]="",Table2[[#This Row],[Form '#]],Table2[[#This Row],[Corrected Form '#
 (If Duplicated)]])</f>
        <v>7818-29868</v>
      </c>
      <c r="N2236" s="1" t="s">
        <v>49</v>
      </c>
      <c r="O2236" s="6" t="str">
        <f>IF(Table2[[#This Row],[POG CONFIRMATION RECEIPT OF ORDER
(DATE &amp; TIME)]]="","No Confirmation","Received Confirmation")</f>
        <v>Received Confirmation</v>
      </c>
      <c r="P2236" s="6">
        <f ca="1">TODAY()-Table2[[#This Row],[DATE SENT TO POG]]</f>
        <v>32</v>
      </c>
      <c r="Q2236" s="6" t="s">
        <v>6025</v>
      </c>
      <c r="R22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6" s="6" t="str">
        <f>_xlfn.XLOOKUP(Table2[[#This Row],[Adjusted Form '#]],'[2]IN PROGRESS'!$D:$D,'[2]IN PROGRESS'!$M:$M,"Not Found")</f>
        <v>Not Found</v>
      </c>
      <c r="U2236" s="6" t="str">
        <f>_xlfn.XLOOKUP(Table2[[#This Row],[Adjusted Form '#]],[1]COMPLETED!$D:$D,[2]COMPLETED!$M:$M,"Not Found")</f>
        <v>Not Found</v>
      </c>
      <c r="V2236" s="13">
        <f>_xlfn.XLOOKUP(Table2[[#This Row],[Adjusted Form '#]],[2]COMPLETED!$D:$D,[2]COMPLETED!$O:$O,"Not Found")</f>
        <v>45283</v>
      </c>
      <c r="W2236" s="6" t="str">
        <f>_xlfn.XLOOKUP(Table2[[#This Row],[Adjusted Form '#]],[2]BILLED!$D:$D,[2]BILLED!$M:$M,"Not Found")</f>
        <v>Not Found</v>
      </c>
      <c r="X2236" s="13" t="str">
        <f>_xlfn.XLOOKUP(Table2[[#This Row],[Adjusted Form '#]],[2]BILLED!$D:$D,[1]BILLED!$O:$O,"Not Found")</f>
        <v>Not Found</v>
      </c>
      <c r="Y2236" s="13" t="e">
        <f>_xlfn.XLOOKUP(Table2[[#This Row],[Adjusted Form '#]],'[2]REJECTED ORDERS'!$D:$D,'[2]REJECTED ORDERS'!$E:$E)</f>
        <v>#N/A</v>
      </c>
      <c r="Z2236" s="1"/>
      <c r="AA2236" s="1"/>
    </row>
    <row r="2237" spans="1:27" ht="15" customHeight="1" x14ac:dyDescent="0.35">
      <c r="A2237" s="4" t="s">
        <v>3255</v>
      </c>
      <c r="B2237" s="1" t="s">
        <v>665</v>
      </c>
      <c r="C2237" s="11">
        <v>45271</v>
      </c>
      <c r="D2237" s="11" t="s">
        <v>7973</v>
      </c>
      <c r="E2237" s="1" t="s">
        <v>21</v>
      </c>
      <c r="F2237" s="1" t="s">
        <v>7968</v>
      </c>
      <c r="G2237" s="6">
        <f>COUNTIF(F:F,Table2[[#This Row],[Form '#]])</f>
        <v>1</v>
      </c>
      <c r="H2237" s="1" t="s">
        <v>3741</v>
      </c>
      <c r="I2237" s="1" t="s">
        <v>28</v>
      </c>
      <c r="J2237" s="1" t="s">
        <v>69</v>
      </c>
      <c r="K2237" s="1" t="s">
        <v>3898</v>
      </c>
      <c r="L2237" s="1"/>
      <c r="M2237" s="6" t="str">
        <f>IF(Table2[[#This Row],[Corrected Form '#
 (If Duplicated)]]="",Table2[[#This Row],[Form '#]],Table2[[#This Row],[Corrected Form '#
 (If Duplicated)]])</f>
        <v>7818-26059</v>
      </c>
      <c r="N2237" s="1" t="s">
        <v>49</v>
      </c>
      <c r="O2237" s="6" t="str">
        <f>IF(Table2[[#This Row],[POG CONFIRMATION RECEIPT OF ORDER
(DATE &amp; TIME)]]="","No Confirmation","Received Confirmation")</f>
        <v>Received Confirmation</v>
      </c>
      <c r="P2237" s="6">
        <f ca="1">TODAY()-Table2[[#This Row],[DATE SENT TO POG]]</f>
        <v>32</v>
      </c>
      <c r="Q2237" s="6" t="s">
        <v>6025</v>
      </c>
      <c r="R22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7" s="6" t="str">
        <f>_xlfn.XLOOKUP(Table2[[#This Row],[Adjusted Form '#]],'[2]IN PROGRESS'!$D:$D,'[2]IN PROGRESS'!$M:$M,"Not Found")</f>
        <v>Not Found</v>
      </c>
      <c r="U2237" s="6" t="str">
        <f>_xlfn.XLOOKUP(Table2[[#This Row],[Adjusted Form '#]],[1]COMPLETED!$D:$D,[2]COMPLETED!$M:$M,"Not Found")</f>
        <v>Not Found</v>
      </c>
      <c r="V2237" s="13">
        <f>_xlfn.XLOOKUP(Table2[[#This Row],[Adjusted Form '#]],[2]COMPLETED!$D:$D,[2]COMPLETED!$O:$O,"Not Found")</f>
        <v>45282</v>
      </c>
      <c r="W2237" s="6" t="str">
        <f>_xlfn.XLOOKUP(Table2[[#This Row],[Adjusted Form '#]],[2]BILLED!$D:$D,[2]BILLED!$M:$M,"Not Found")</f>
        <v>Not Found</v>
      </c>
      <c r="X2237" s="13" t="str">
        <f>_xlfn.XLOOKUP(Table2[[#This Row],[Adjusted Form '#]],[2]BILLED!$D:$D,[1]BILLED!$O:$O,"Not Found")</f>
        <v>Not Found</v>
      </c>
      <c r="Y2237" s="13" t="e">
        <f>_xlfn.XLOOKUP(Table2[[#This Row],[Adjusted Form '#]],'[2]REJECTED ORDERS'!$D:$D,'[2]REJECTED ORDERS'!$E:$E)</f>
        <v>#N/A</v>
      </c>
      <c r="Z2237" s="1"/>
      <c r="AA2237" s="1"/>
    </row>
    <row r="2238" spans="1:27" ht="15" customHeight="1" x14ac:dyDescent="0.35">
      <c r="A2238" s="4" t="s">
        <v>3256</v>
      </c>
      <c r="B2238" s="1" t="s">
        <v>665</v>
      </c>
      <c r="C2238" s="11">
        <v>45271</v>
      </c>
      <c r="D2238" s="11" t="s">
        <v>7973</v>
      </c>
      <c r="E2238" s="1" t="s">
        <v>21</v>
      </c>
      <c r="F2238" s="1" t="s">
        <v>7969</v>
      </c>
      <c r="G2238" s="6">
        <f>COUNTIF(F:F,Table2[[#This Row],[Form '#]])</f>
        <v>1</v>
      </c>
      <c r="H2238" s="1" t="s">
        <v>7970</v>
      </c>
      <c r="I2238" s="1" t="s">
        <v>3864</v>
      </c>
      <c r="J2238" s="1" t="s">
        <v>78</v>
      </c>
      <c r="K2238" s="1" t="s">
        <v>3879</v>
      </c>
      <c r="L2238" s="1"/>
      <c r="M2238" s="6" t="str">
        <f>IF(Table2[[#This Row],[Corrected Form '#
 (If Duplicated)]]="",Table2[[#This Row],[Form '#]],Table2[[#This Row],[Corrected Form '#
 (If Duplicated)]])</f>
        <v>7818-26467</v>
      </c>
      <c r="N2238" s="1" t="s">
        <v>49</v>
      </c>
      <c r="O2238" s="6" t="str">
        <f>IF(Table2[[#This Row],[POG CONFIRMATION RECEIPT OF ORDER
(DATE &amp; TIME)]]="","No Confirmation","Received Confirmation")</f>
        <v>Received Confirmation</v>
      </c>
      <c r="P2238" s="6">
        <f ca="1">TODAY()-Table2[[#This Row],[DATE SENT TO POG]]</f>
        <v>32</v>
      </c>
      <c r="Q2238" s="6" t="s">
        <v>6025</v>
      </c>
      <c r="R22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8" s="6" t="str">
        <f>_xlfn.XLOOKUP(Table2[[#This Row],[Adjusted Form '#]],'[2]IN PROGRESS'!$D:$D,'[2]IN PROGRESS'!$M:$M,"Not Found")</f>
        <v>Not Found</v>
      </c>
      <c r="U2238" s="6" t="str">
        <f>_xlfn.XLOOKUP(Table2[[#This Row],[Adjusted Form '#]],[1]COMPLETED!$D:$D,[2]COMPLETED!$M:$M,"Not Found")</f>
        <v>Not Found</v>
      </c>
      <c r="V2238" s="13">
        <f>_xlfn.XLOOKUP(Table2[[#This Row],[Adjusted Form '#]],[2]COMPLETED!$D:$D,[2]COMPLETED!$O:$O,"Not Found")</f>
        <v>45282</v>
      </c>
      <c r="W2238" s="6" t="str">
        <f>_xlfn.XLOOKUP(Table2[[#This Row],[Adjusted Form '#]],[2]BILLED!$D:$D,[2]BILLED!$M:$M,"Not Found")</f>
        <v>Not Found</v>
      </c>
      <c r="X2238" s="13" t="str">
        <f>_xlfn.XLOOKUP(Table2[[#This Row],[Adjusted Form '#]],[2]BILLED!$D:$D,[1]BILLED!$O:$O,"Not Found")</f>
        <v>Not Found</v>
      </c>
      <c r="Y2238" s="13" t="e">
        <f>_xlfn.XLOOKUP(Table2[[#This Row],[Adjusted Form '#]],'[2]REJECTED ORDERS'!$D:$D,'[2]REJECTED ORDERS'!$E:$E)</f>
        <v>#N/A</v>
      </c>
      <c r="Z2238" s="1"/>
      <c r="AA2238" s="1"/>
    </row>
    <row r="2239" spans="1:27" ht="15" customHeight="1" x14ac:dyDescent="0.35">
      <c r="A2239" s="4" t="s">
        <v>3257</v>
      </c>
      <c r="B2239" s="1" t="s">
        <v>665</v>
      </c>
      <c r="C2239" s="11">
        <v>45271</v>
      </c>
      <c r="D2239" s="11" t="s">
        <v>7973</v>
      </c>
      <c r="E2239" s="1" t="s">
        <v>21</v>
      </c>
      <c r="F2239" s="1" t="s">
        <v>7971</v>
      </c>
      <c r="G2239" s="6">
        <f>COUNTIF(F:F,Table2[[#This Row],[Form '#]])</f>
        <v>1</v>
      </c>
      <c r="H2239" s="1" t="s">
        <v>7972</v>
      </c>
      <c r="I2239" s="1" t="s">
        <v>127</v>
      </c>
      <c r="J2239" s="1" t="s">
        <v>74</v>
      </c>
      <c r="K2239" s="1" t="s">
        <v>4011</v>
      </c>
      <c r="L2239" s="1"/>
      <c r="M2239" s="6" t="str">
        <f>IF(Table2[[#This Row],[Corrected Form '#
 (If Duplicated)]]="",Table2[[#This Row],[Form '#]],Table2[[#This Row],[Corrected Form '#
 (If Duplicated)]])</f>
        <v>7818-24447</v>
      </c>
      <c r="N2239" s="1" t="s">
        <v>49</v>
      </c>
      <c r="O2239" s="6" t="str">
        <f>IF(Table2[[#This Row],[POG CONFIRMATION RECEIPT OF ORDER
(DATE &amp; TIME)]]="","No Confirmation","Received Confirmation")</f>
        <v>Received Confirmation</v>
      </c>
      <c r="P2239" s="6">
        <f ca="1">TODAY()-Table2[[#This Row],[DATE SENT TO POG]]</f>
        <v>32</v>
      </c>
      <c r="Q2239" s="6" t="s">
        <v>6025</v>
      </c>
      <c r="R22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3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39" s="6" t="str">
        <f>_xlfn.XLOOKUP(Table2[[#This Row],[Adjusted Form '#]],'[2]IN PROGRESS'!$D:$D,'[2]IN PROGRESS'!$M:$M,"Not Found")</f>
        <v>Not Found</v>
      </c>
      <c r="U2239" s="6" t="str">
        <f>_xlfn.XLOOKUP(Table2[[#This Row],[Adjusted Form '#]],[1]COMPLETED!$D:$D,[2]COMPLETED!$M:$M,"Not Found")</f>
        <v>Not Found</v>
      </c>
      <c r="V2239" s="13">
        <f>_xlfn.XLOOKUP(Table2[[#This Row],[Adjusted Form '#]],[2]COMPLETED!$D:$D,[2]COMPLETED!$O:$O,"Not Found")</f>
        <v>45282</v>
      </c>
      <c r="W2239" s="6" t="str">
        <f>_xlfn.XLOOKUP(Table2[[#This Row],[Adjusted Form '#]],[2]BILLED!$D:$D,[2]BILLED!$M:$M,"Not Found")</f>
        <v>Not Found</v>
      </c>
      <c r="X2239" s="13" t="str">
        <f>_xlfn.XLOOKUP(Table2[[#This Row],[Adjusted Form '#]],[2]BILLED!$D:$D,[1]BILLED!$O:$O,"Not Found")</f>
        <v>Not Found</v>
      </c>
      <c r="Y2239" s="13" t="e">
        <f>_xlfn.XLOOKUP(Table2[[#This Row],[Adjusted Form '#]],'[2]REJECTED ORDERS'!$D:$D,'[2]REJECTED ORDERS'!$E:$E)</f>
        <v>#N/A</v>
      </c>
      <c r="Z2239" s="1"/>
      <c r="AA2239" s="1"/>
    </row>
    <row r="2240" spans="1:27" ht="15" customHeight="1" x14ac:dyDescent="0.35">
      <c r="A2240" s="4" t="s">
        <v>3258</v>
      </c>
      <c r="B2240" s="1" t="s">
        <v>7974</v>
      </c>
      <c r="C2240" s="11">
        <v>45271</v>
      </c>
      <c r="D2240" s="11" t="s">
        <v>7977</v>
      </c>
      <c r="E2240" s="1" t="s">
        <v>21</v>
      </c>
      <c r="F2240" s="1" t="s">
        <v>7975</v>
      </c>
      <c r="G2240" s="6">
        <f>COUNTIF(F:F,Table2[[#This Row],[Form '#]])</f>
        <v>1</v>
      </c>
      <c r="H2240" s="1" t="s">
        <v>3815</v>
      </c>
      <c r="I2240" s="1" t="s">
        <v>177</v>
      </c>
      <c r="J2240" s="1" t="s">
        <v>75</v>
      </c>
      <c r="K2240" s="1" t="s">
        <v>3853</v>
      </c>
      <c r="L2240" s="1"/>
      <c r="M2240" s="6" t="str">
        <f>IF(Table2[[#This Row],[Corrected Form '#
 (If Duplicated)]]="",Table2[[#This Row],[Form '#]],Table2[[#This Row],[Corrected Form '#
 (If Duplicated)]])</f>
        <v>7818-23368</v>
      </c>
      <c r="N2240" s="1" t="s">
        <v>49</v>
      </c>
      <c r="O2240" s="6" t="str">
        <f>IF(Table2[[#This Row],[POG CONFIRMATION RECEIPT OF ORDER
(DATE &amp; TIME)]]="","No Confirmation","Received Confirmation")</f>
        <v>Received Confirmation</v>
      </c>
      <c r="P2240" s="6">
        <f ca="1">TODAY()-Table2[[#This Row],[DATE SENT TO POG]]</f>
        <v>32</v>
      </c>
      <c r="Q2240" s="6" t="s">
        <v>6025</v>
      </c>
      <c r="R22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4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0" s="6" t="str">
        <f>_xlfn.XLOOKUP(Table2[[#This Row],[Adjusted Form '#]],'[2]IN PROGRESS'!$D:$D,'[2]IN PROGRESS'!$M:$M,"Not Found")</f>
        <v>Not Found</v>
      </c>
      <c r="U2240" s="6" t="str">
        <f>_xlfn.XLOOKUP(Table2[[#This Row],[Adjusted Form '#]],[1]COMPLETED!$D:$D,[2]COMPLETED!$M:$M,"Not Found")</f>
        <v>Not Found</v>
      </c>
      <c r="V2240" s="13">
        <f>_xlfn.XLOOKUP(Table2[[#This Row],[Adjusted Form '#]],[2]COMPLETED!$D:$D,[2]COMPLETED!$O:$O,"Not Found")</f>
        <v>45286</v>
      </c>
      <c r="W2240" s="6" t="str">
        <f>_xlfn.XLOOKUP(Table2[[#This Row],[Adjusted Form '#]],[2]BILLED!$D:$D,[2]BILLED!$M:$M,"Not Found")</f>
        <v>Not Found</v>
      </c>
      <c r="X2240" s="13" t="str">
        <f>_xlfn.XLOOKUP(Table2[[#This Row],[Adjusted Form '#]],[2]BILLED!$D:$D,[1]BILLED!$O:$O,"Not Found")</f>
        <v>Not Found</v>
      </c>
      <c r="Y2240" s="13" t="e">
        <f>_xlfn.XLOOKUP(Table2[[#This Row],[Adjusted Form '#]],'[2]REJECTED ORDERS'!$D:$D,'[2]REJECTED ORDERS'!$E:$E)</f>
        <v>#N/A</v>
      </c>
      <c r="Z2240" s="1"/>
      <c r="AA2240" s="1"/>
    </row>
    <row r="2241" spans="1:27" ht="15" customHeight="1" x14ac:dyDescent="0.35">
      <c r="A2241" s="4" t="s">
        <v>3259</v>
      </c>
      <c r="B2241" s="1" t="s">
        <v>7974</v>
      </c>
      <c r="C2241" s="11">
        <v>45271</v>
      </c>
      <c r="D2241" s="11" t="s">
        <v>7977</v>
      </c>
      <c r="E2241" s="1" t="s">
        <v>21</v>
      </c>
      <c r="F2241" s="1" t="s">
        <v>7976</v>
      </c>
      <c r="G2241" s="6">
        <f>COUNTIF(F:F,Table2[[#This Row],[Form '#]])</f>
        <v>1</v>
      </c>
      <c r="H2241" s="1" t="s">
        <v>2091</v>
      </c>
      <c r="I2241" s="1" t="s">
        <v>28</v>
      </c>
      <c r="J2241" s="1" t="s">
        <v>69</v>
      </c>
      <c r="K2241" s="1" t="s">
        <v>3898</v>
      </c>
      <c r="L2241" s="1"/>
      <c r="M2241" s="6" t="str">
        <f>IF(Table2[[#This Row],[Corrected Form '#
 (If Duplicated)]]="",Table2[[#This Row],[Form '#]],Table2[[#This Row],[Corrected Form '#
 (If Duplicated)]])</f>
        <v>7818-18062</v>
      </c>
      <c r="N2241" s="1" t="s">
        <v>49</v>
      </c>
      <c r="O2241" s="6" t="str">
        <f>IF(Table2[[#This Row],[POG CONFIRMATION RECEIPT OF ORDER
(DATE &amp; TIME)]]="","No Confirmation","Received Confirmation")</f>
        <v>Received Confirmation</v>
      </c>
      <c r="P2241" s="6">
        <f ca="1">TODAY()-Table2[[#This Row],[DATE SENT TO POG]]</f>
        <v>32</v>
      </c>
      <c r="Q2241" s="6" t="s">
        <v>5803</v>
      </c>
      <c r="R22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4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1" s="6" t="str">
        <f>_xlfn.XLOOKUP(Table2[[#This Row],[Adjusted Form '#]],'[2]IN PROGRESS'!$D:$D,'[2]IN PROGRESS'!$M:$M,"Not Found")</f>
        <v>Not Found</v>
      </c>
      <c r="U2241" s="6" t="str">
        <f>_xlfn.XLOOKUP(Table2[[#This Row],[Adjusted Form '#]],[1]COMPLETED!$D:$D,[2]COMPLETED!$M:$M,"Not Found")</f>
        <v>Not Found</v>
      </c>
      <c r="V2241" s="13">
        <f>_xlfn.XLOOKUP(Table2[[#This Row],[Adjusted Form '#]],[2]COMPLETED!$D:$D,[2]COMPLETED!$O:$O,"Not Found")</f>
        <v>45278</v>
      </c>
      <c r="W2241" s="6" t="str">
        <f>_xlfn.XLOOKUP(Table2[[#This Row],[Adjusted Form '#]],[2]BILLED!$D:$D,[2]BILLED!$M:$M,"Not Found")</f>
        <v>Not Found</v>
      </c>
      <c r="X2241" s="13" t="str">
        <f>_xlfn.XLOOKUP(Table2[[#This Row],[Adjusted Form '#]],[2]BILLED!$D:$D,[1]BILLED!$O:$O,"Not Found")</f>
        <v>Not Found</v>
      </c>
      <c r="Y2241" s="13" t="e">
        <f>_xlfn.XLOOKUP(Table2[[#This Row],[Adjusted Form '#]],'[2]REJECTED ORDERS'!$D:$D,'[2]REJECTED ORDERS'!$E:$E)</f>
        <v>#N/A</v>
      </c>
      <c r="Z2241" s="1"/>
      <c r="AA2241" s="1"/>
    </row>
    <row r="2242" spans="1:27" ht="15" customHeight="1" x14ac:dyDescent="0.35">
      <c r="A2242" s="4" t="s">
        <v>3260</v>
      </c>
      <c r="B2242" s="1" t="s">
        <v>1709</v>
      </c>
      <c r="C2242" s="11">
        <v>45272</v>
      </c>
      <c r="D2242" s="11" t="s">
        <v>7979</v>
      </c>
      <c r="E2242" s="1" t="s">
        <v>191</v>
      </c>
      <c r="F2242" s="1" t="s">
        <v>7978</v>
      </c>
      <c r="G2242" s="6">
        <f>COUNTIF(F:F,Table2[[#This Row],[Form '#]])</f>
        <v>1</v>
      </c>
      <c r="H2242" s="1" t="s">
        <v>1813</v>
      </c>
      <c r="I2242" s="1" t="s">
        <v>3852</v>
      </c>
      <c r="J2242" s="1" t="s">
        <v>75</v>
      </c>
      <c r="K2242" s="1" t="s">
        <v>3853</v>
      </c>
      <c r="L2242" s="1"/>
      <c r="M2242" s="6" t="str">
        <f>IF(Table2[[#This Row],[Corrected Form '#
 (If Duplicated)]]="",Table2[[#This Row],[Form '#]],Table2[[#This Row],[Corrected Form '#
 (If Duplicated)]])</f>
        <v>7812-04923</v>
      </c>
      <c r="N2242" s="1" t="s">
        <v>49</v>
      </c>
      <c r="O2242" s="6" t="str">
        <f>IF(Table2[[#This Row],[POG CONFIRMATION RECEIPT OF ORDER
(DATE &amp; TIME)]]="","No Confirmation","Received Confirmation")</f>
        <v>Received Confirmation</v>
      </c>
      <c r="P2242" s="6">
        <f ca="1">TODAY()-Table2[[#This Row],[DATE SENT TO POG]]</f>
        <v>31</v>
      </c>
      <c r="Q2242" s="6" t="s">
        <v>6025</v>
      </c>
      <c r="R22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4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2" s="6" t="str">
        <f>_xlfn.XLOOKUP(Table2[[#This Row],[Adjusted Form '#]],'[2]IN PROGRESS'!$D:$D,'[2]IN PROGRESS'!$M:$M,"Not Found")</f>
        <v>Not Found</v>
      </c>
      <c r="U2242" s="6" t="str">
        <f>_xlfn.XLOOKUP(Table2[[#This Row],[Adjusted Form '#]],[1]COMPLETED!$D:$D,[2]COMPLETED!$M:$M,"Not Found")</f>
        <v>Not Found</v>
      </c>
      <c r="V2242" s="13">
        <f>_xlfn.XLOOKUP(Table2[[#This Row],[Adjusted Form '#]],[2]COMPLETED!$D:$D,[2]COMPLETED!$O:$O,"Not Found")</f>
        <v>45294</v>
      </c>
      <c r="W2242" s="6" t="str">
        <f>_xlfn.XLOOKUP(Table2[[#This Row],[Adjusted Form '#]],[2]BILLED!$D:$D,[2]BILLED!$M:$M,"Not Found")</f>
        <v>Not Found</v>
      </c>
      <c r="X2242" s="13" t="str">
        <f>_xlfn.XLOOKUP(Table2[[#This Row],[Adjusted Form '#]],[2]BILLED!$D:$D,[1]BILLED!$O:$O,"Not Found")</f>
        <v>Not Found</v>
      </c>
      <c r="Y2242" s="13" t="e">
        <f>_xlfn.XLOOKUP(Table2[[#This Row],[Adjusted Form '#]],'[2]REJECTED ORDERS'!$D:$D,'[2]REJECTED ORDERS'!$E:$E)</f>
        <v>#N/A</v>
      </c>
      <c r="Z2242" s="1"/>
      <c r="AA2242" s="1"/>
    </row>
    <row r="2243" spans="1:27" ht="15" customHeight="1" x14ac:dyDescent="0.35">
      <c r="A2243" s="4" t="s">
        <v>3261</v>
      </c>
      <c r="B2243" s="1" t="s">
        <v>3282</v>
      </c>
      <c r="C2243" s="11">
        <v>45272</v>
      </c>
      <c r="D2243" s="11" t="s">
        <v>7982</v>
      </c>
      <c r="E2243" s="1" t="s">
        <v>48</v>
      </c>
      <c r="F2243" s="1" t="s">
        <v>7980</v>
      </c>
      <c r="G2243" s="6">
        <f>COUNTIF(F:F,Table2[[#This Row],[Form '#]])</f>
        <v>1</v>
      </c>
      <c r="H2243" s="1" t="s">
        <v>7981</v>
      </c>
      <c r="I2243" s="1" t="s">
        <v>127</v>
      </c>
      <c r="J2243" s="1" t="s">
        <v>76</v>
      </c>
      <c r="K2243" s="1" t="s">
        <v>3883</v>
      </c>
      <c r="L2243" s="1"/>
      <c r="M2243" s="6" t="str">
        <f>IF(Table2[[#This Row],[Corrected Form '#
 (If Duplicated)]]="",Table2[[#This Row],[Form '#]],Table2[[#This Row],[Corrected Form '#
 (If Duplicated)]])</f>
        <v>7819-00222</v>
      </c>
      <c r="N2243" s="1" t="s">
        <v>49</v>
      </c>
      <c r="O2243" s="6" t="str">
        <f>IF(Table2[[#This Row],[POG CONFIRMATION RECEIPT OF ORDER
(DATE &amp; TIME)]]="","No Confirmation","Received Confirmation")</f>
        <v>Received Confirmation</v>
      </c>
      <c r="P2243" s="6">
        <f ca="1">TODAY()-Table2[[#This Row],[DATE SENT TO POG]]</f>
        <v>31</v>
      </c>
      <c r="Q2243" s="6" t="s">
        <v>6025</v>
      </c>
      <c r="R22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4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3" s="6" t="str">
        <f>_xlfn.XLOOKUP(Table2[[#This Row],[Adjusted Form '#]],'[2]IN PROGRESS'!$D:$D,'[2]IN PROGRESS'!$M:$M,"Not Found")</f>
        <v>Not Found</v>
      </c>
      <c r="U2243" s="6" t="str">
        <f>_xlfn.XLOOKUP(Table2[[#This Row],[Adjusted Form '#]],[1]COMPLETED!$D:$D,[2]COMPLETED!$M:$M,"Not Found")</f>
        <v>Not Found</v>
      </c>
      <c r="V2243" s="13">
        <f>_xlfn.XLOOKUP(Table2[[#This Row],[Adjusted Form '#]],[2]COMPLETED!$D:$D,[2]COMPLETED!$O:$O,"Not Found")</f>
        <v>45282</v>
      </c>
      <c r="W2243" s="6" t="str">
        <f>_xlfn.XLOOKUP(Table2[[#This Row],[Adjusted Form '#]],[2]BILLED!$D:$D,[2]BILLED!$M:$M,"Not Found")</f>
        <v>Not Found</v>
      </c>
      <c r="X2243" s="13" t="str">
        <f>_xlfn.XLOOKUP(Table2[[#This Row],[Adjusted Form '#]],[2]BILLED!$D:$D,[1]BILLED!$O:$O,"Not Found")</f>
        <v>Not Found</v>
      </c>
      <c r="Y2243" s="13" t="e">
        <f>_xlfn.XLOOKUP(Table2[[#This Row],[Adjusted Form '#]],'[2]REJECTED ORDERS'!$D:$D,'[2]REJECTED ORDERS'!$E:$E)</f>
        <v>#N/A</v>
      </c>
      <c r="Z2243" s="1"/>
      <c r="AA2243" s="1"/>
    </row>
    <row r="2244" spans="1:27" ht="15" customHeight="1" x14ac:dyDescent="0.35">
      <c r="A2244" s="4" t="s">
        <v>3262</v>
      </c>
      <c r="B2244" s="1" t="s">
        <v>2802</v>
      </c>
      <c r="C2244" s="11">
        <v>45272</v>
      </c>
      <c r="D2244" s="11" t="s">
        <v>7988</v>
      </c>
      <c r="E2244" s="1" t="s">
        <v>21</v>
      </c>
      <c r="F2244" s="1" t="s">
        <v>7983</v>
      </c>
      <c r="G2244" s="6">
        <f>COUNTIF(F:F,Table2[[#This Row],[Form '#]])</f>
        <v>1</v>
      </c>
      <c r="H2244" s="1" t="s">
        <v>3467</v>
      </c>
      <c r="I2244" s="1" t="s">
        <v>3852</v>
      </c>
      <c r="J2244" s="1" t="s">
        <v>75</v>
      </c>
      <c r="K2244" s="1" t="s">
        <v>3853</v>
      </c>
      <c r="L2244" s="1"/>
      <c r="M2244" s="6" t="str">
        <f>IF(Table2[[#This Row],[Corrected Form '#
 (If Duplicated)]]="",Table2[[#This Row],[Form '#]],Table2[[#This Row],[Corrected Form '#
 (If Duplicated)]])</f>
        <v>7818-33671</v>
      </c>
      <c r="N2244" s="1" t="s">
        <v>49</v>
      </c>
      <c r="O2244" s="6" t="str">
        <f>IF(Table2[[#This Row],[POG CONFIRMATION RECEIPT OF ORDER
(DATE &amp; TIME)]]="","No Confirmation","Received Confirmation")</f>
        <v>Received Confirmation</v>
      </c>
      <c r="P2244" s="6">
        <f ca="1">TODAY()-Table2[[#This Row],[DATE SENT TO POG]]</f>
        <v>31</v>
      </c>
      <c r="Q2244" s="6" t="s">
        <v>6025</v>
      </c>
      <c r="R22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4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4" s="6" t="str">
        <f>_xlfn.XLOOKUP(Table2[[#This Row],[Adjusted Form '#]],'[2]IN PROGRESS'!$D:$D,'[2]IN PROGRESS'!$M:$M,"Not Found")</f>
        <v>Not Found</v>
      </c>
      <c r="U2244" s="6" t="str">
        <f>_xlfn.XLOOKUP(Table2[[#This Row],[Adjusted Form '#]],[1]COMPLETED!$D:$D,[2]COMPLETED!$M:$M,"Not Found")</f>
        <v>Not Found</v>
      </c>
      <c r="V2244" s="13">
        <f>_xlfn.XLOOKUP(Table2[[#This Row],[Adjusted Form '#]],[2]COMPLETED!$D:$D,[2]COMPLETED!$O:$O,"Not Found")</f>
        <v>45282</v>
      </c>
      <c r="W2244" s="6" t="str">
        <f>_xlfn.XLOOKUP(Table2[[#This Row],[Adjusted Form '#]],[2]BILLED!$D:$D,[2]BILLED!$M:$M,"Not Found")</f>
        <v>Not Found</v>
      </c>
      <c r="X2244" s="13" t="str">
        <f>_xlfn.XLOOKUP(Table2[[#This Row],[Adjusted Form '#]],[2]BILLED!$D:$D,[1]BILLED!$O:$O,"Not Found")</f>
        <v>Not Found</v>
      </c>
      <c r="Y2244" s="13" t="e">
        <f>_xlfn.XLOOKUP(Table2[[#This Row],[Adjusted Form '#]],'[2]REJECTED ORDERS'!$D:$D,'[2]REJECTED ORDERS'!$E:$E)</f>
        <v>#N/A</v>
      </c>
      <c r="Z2244" s="1"/>
      <c r="AA2244" s="1"/>
    </row>
    <row r="2245" spans="1:27" ht="15" customHeight="1" x14ac:dyDescent="0.35">
      <c r="A2245" s="4" t="s">
        <v>3263</v>
      </c>
      <c r="B2245" s="1" t="s">
        <v>2802</v>
      </c>
      <c r="C2245" s="11">
        <v>45272</v>
      </c>
      <c r="D2245" s="11" t="s">
        <v>7988</v>
      </c>
      <c r="E2245" s="1" t="s">
        <v>21</v>
      </c>
      <c r="F2245" s="1" t="s">
        <v>7984</v>
      </c>
      <c r="G2245" s="6">
        <f>COUNTIF(F:F,Table2[[#This Row],[Form '#]])</f>
        <v>1</v>
      </c>
      <c r="H2245" s="1" t="s">
        <v>7985</v>
      </c>
      <c r="I2245" s="1" t="s">
        <v>3864</v>
      </c>
      <c r="J2245" s="1" t="s">
        <v>78</v>
      </c>
      <c r="K2245" s="1" t="s">
        <v>3879</v>
      </c>
      <c r="L2245" s="1"/>
      <c r="M2245" s="6" t="str">
        <f>IF(Table2[[#This Row],[Corrected Form '#
 (If Duplicated)]]="",Table2[[#This Row],[Form '#]],Table2[[#This Row],[Corrected Form '#
 (If Duplicated)]])</f>
        <v>7818-11710</v>
      </c>
      <c r="N2245" s="1" t="s">
        <v>49</v>
      </c>
      <c r="O2245" s="6" t="str">
        <f>IF(Table2[[#This Row],[POG CONFIRMATION RECEIPT OF ORDER
(DATE &amp; TIME)]]="","No Confirmation","Received Confirmation")</f>
        <v>Received Confirmation</v>
      </c>
      <c r="P2245" s="6">
        <f ca="1">TODAY()-Table2[[#This Row],[DATE SENT TO POG]]</f>
        <v>31</v>
      </c>
      <c r="Q2245" s="6" t="s">
        <v>6025</v>
      </c>
      <c r="R22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4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5" s="6" t="str">
        <f>_xlfn.XLOOKUP(Table2[[#This Row],[Adjusted Form '#]],'[2]IN PROGRESS'!$D:$D,'[2]IN PROGRESS'!$M:$M,"Not Found")</f>
        <v>Not Found</v>
      </c>
      <c r="U2245" s="6" t="str">
        <f>_xlfn.XLOOKUP(Table2[[#This Row],[Adjusted Form '#]],[1]COMPLETED!$D:$D,[2]COMPLETED!$M:$M,"Not Found")</f>
        <v>Not Found</v>
      </c>
      <c r="V2245" s="13">
        <f>_xlfn.XLOOKUP(Table2[[#This Row],[Adjusted Form '#]],[2]COMPLETED!$D:$D,[2]COMPLETED!$O:$O,"Not Found")</f>
        <v>45282</v>
      </c>
      <c r="W2245" s="6" t="str">
        <f>_xlfn.XLOOKUP(Table2[[#This Row],[Adjusted Form '#]],[2]BILLED!$D:$D,[2]BILLED!$M:$M,"Not Found")</f>
        <v>Not Found</v>
      </c>
      <c r="X2245" s="13" t="str">
        <f>_xlfn.XLOOKUP(Table2[[#This Row],[Adjusted Form '#]],[2]BILLED!$D:$D,[1]BILLED!$O:$O,"Not Found")</f>
        <v>Not Found</v>
      </c>
      <c r="Y2245" s="13" t="e">
        <f>_xlfn.XLOOKUP(Table2[[#This Row],[Adjusted Form '#]],'[2]REJECTED ORDERS'!$D:$D,'[2]REJECTED ORDERS'!$E:$E)</f>
        <v>#N/A</v>
      </c>
      <c r="Z2245" s="1"/>
      <c r="AA2245" s="1"/>
    </row>
    <row r="2246" spans="1:27" ht="15" customHeight="1" x14ac:dyDescent="0.35">
      <c r="A2246" s="4" t="s">
        <v>3265</v>
      </c>
      <c r="B2246" s="1" t="s">
        <v>2802</v>
      </c>
      <c r="C2246" s="11">
        <v>45272</v>
      </c>
      <c r="D2246" s="11" t="s">
        <v>7988</v>
      </c>
      <c r="E2246" s="1" t="s">
        <v>21</v>
      </c>
      <c r="F2246" s="1" t="s">
        <v>7986</v>
      </c>
      <c r="G2246" s="6">
        <f>COUNTIF(F:F,Table2[[#This Row],[Form '#]])</f>
        <v>1</v>
      </c>
      <c r="H2246" s="1" t="s">
        <v>7987</v>
      </c>
      <c r="I2246" s="1" t="s">
        <v>758</v>
      </c>
      <c r="J2246" s="1" t="s">
        <v>78</v>
      </c>
      <c r="K2246" s="1" t="s">
        <v>3853</v>
      </c>
      <c r="L2246" s="1"/>
      <c r="M2246" s="6" t="str">
        <f>IF(Table2[[#This Row],[Corrected Form '#
 (If Duplicated)]]="",Table2[[#This Row],[Form '#]],Table2[[#This Row],[Corrected Form '#
 (If Duplicated)]])</f>
        <v>7818-30930</v>
      </c>
      <c r="N2246" s="1" t="s">
        <v>49</v>
      </c>
      <c r="O2246" s="6" t="str">
        <f>IF(Table2[[#This Row],[POG CONFIRMATION RECEIPT OF ORDER
(DATE &amp; TIME)]]="","No Confirmation","Received Confirmation")</f>
        <v>Received Confirmation</v>
      </c>
      <c r="P2246" s="6">
        <f ca="1">TODAY()-Table2[[#This Row],[DATE SENT TO POG]]</f>
        <v>31</v>
      </c>
      <c r="Q2246" s="6" t="s">
        <v>6025</v>
      </c>
      <c r="R22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4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6" s="6" t="str">
        <f>_xlfn.XLOOKUP(Table2[[#This Row],[Adjusted Form '#]],'[2]IN PROGRESS'!$D:$D,'[2]IN PROGRESS'!$M:$M,"Not Found")</f>
        <v>Not Found</v>
      </c>
      <c r="U2246" s="6" t="str">
        <f>_xlfn.XLOOKUP(Table2[[#This Row],[Adjusted Form '#]],[1]COMPLETED!$D:$D,[2]COMPLETED!$M:$M,"Not Found")</f>
        <v>Not Found</v>
      </c>
      <c r="V2246" s="13">
        <f>_xlfn.XLOOKUP(Table2[[#This Row],[Adjusted Form '#]],[2]COMPLETED!$D:$D,[2]COMPLETED!$O:$O,"Not Found")</f>
        <v>45286</v>
      </c>
      <c r="W2246" s="6" t="str">
        <f>_xlfn.XLOOKUP(Table2[[#This Row],[Adjusted Form '#]],[2]BILLED!$D:$D,[2]BILLED!$M:$M,"Not Found")</f>
        <v>Not Found</v>
      </c>
      <c r="X2246" s="13" t="str">
        <f>_xlfn.XLOOKUP(Table2[[#This Row],[Adjusted Form '#]],[2]BILLED!$D:$D,[1]BILLED!$O:$O,"Not Found")</f>
        <v>Not Found</v>
      </c>
      <c r="Y2246" s="13" t="e">
        <f>_xlfn.XLOOKUP(Table2[[#This Row],[Adjusted Form '#]],'[2]REJECTED ORDERS'!$D:$D,'[2]REJECTED ORDERS'!$E:$E)</f>
        <v>#N/A</v>
      </c>
      <c r="Z2246" s="1"/>
      <c r="AA2246" s="1"/>
    </row>
    <row r="2247" spans="1:27" ht="15" customHeight="1" x14ac:dyDescent="0.35">
      <c r="A2247" s="4" t="s">
        <v>3266</v>
      </c>
      <c r="B2247" s="1" t="s">
        <v>328</v>
      </c>
      <c r="C2247" s="11">
        <v>45272</v>
      </c>
      <c r="E2247" s="1" t="s">
        <v>21</v>
      </c>
      <c r="F2247" s="1" t="s">
        <v>7989</v>
      </c>
      <c r="G2247" s="6">
        <f>COUNTIF(F:F,Table2[[#This Row],[Form '#]])</f>
        <v>1</v>
      </c>
      <c r="H2247" s="1" t="s">
        <v>7644</v>
      </c>
      <c r="I2247" s="1" t="s">
        <v>127</v>
      </c>
      <c r="J2247" s="1" t="s">
        <v>76</v>
      </c>
      <c r="K2247" s="1" t="s">
        <v>4011</v>
      </c>
      <c r="L2247" s="1"/>
      <c r="M2247" s="6" t="str">
        <f>IF(Table2[[#This Row],[Corrected Form '#
 (If Duplicated)]]="",Table2[[#This Row],[Form '#]],Table2[[#This Row],[Corrected Form '#
 (If Duplicated)]])</f>
        <v>7818-33670</v>
      </c>
      <c r="N2247" s="1" t="s">
        <v>104</v>
      </c>
      <c r="O2247" s="6" t="str">
        <f>IF(Table2[[#This Row],[POG CONFIRMATION RECEIPT OF ORDER
(DATE &amp; TIME)]]="","No Confirmation","Received Confirmation")</f>
        <v>No Confirmation</v>
      </c>
      <c r="P2247" s="6">
        <f ca="1">TODAY()-Table2[[#This Row],[DATE SENT TO POG]]</f>
        <v>31</v>
      </c>
      <c r="Q2247" s="6" t="s">
        <v>6025</v>
      </c>
      <c r="R22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In Progress</v>
      </c>
      <c r="S224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7" s="6">
        <f>_xlfn.XLOOKUP(Table2[[#This Row],[Adjusted Form '#]],'[2]IN PROGRESS'!$D:$D,'[2]IN PROGRESS'!$M:$M,"Not Found")</f>
        <v>0</v>
      </c>
      <c r="U2247" s="6" t="str">
        <f>_xlfn.XLOOKUP(Table2[[#This Row],[Adjusted Form '#]],[1]COMPLETED!$D:$D,[2]COMPLETED!$M:$M,"Not Found")</f>
        <v>Not Found</v>
      </c>
      <c r="V2247" s="13" t="str">
        <f>_xlfn.XLOOKUP(Table2[[#This Row],[Adjusted Form '#]],[2]COMPLETED!$D:$D,[2]COMPLETED!$O:$O,"Not Found")</f>
        <v>Not Found</v>
      </c>
      <c r="W2247" s="6" t="str">
        <f>_xlfn.XLOOKUP(Table2[[#This Row],[Adjusted Form '#]],[2]BILLED!$D:$D,[2]BILLED!$M:$M,"Not Found")</f>
        <v>Not Found</v>
      </c>
      <c r="X2247" s="13" t="str">
        <f>_xlfn.XLOOKUP(Table2[[#This Row],[Adjusted Form '#]],[2]BILLED!$D:$D,[1]BILLED!$O:$O,"Not Found")</f>
        <v>Not Found</v>
      </c>
      <c r="Y2247" s="13" t="e">
        <f>_xlfn.XLOOKUP(Table2[[#This Row],[Adjusted Form '#]],'[2]REJECTED ORDERS'!$D:$D,'[2]REJECTED ORDERS'!$E:$E)</f>
        <v>#N/A</v>
      </c>
      <c r="Z2247" s="1"/>
      <c r="AA2247" s="1"/>
    </row>
    <row r="2248" spans="1:27" ht="15" customHeight="1" x14ac:dyDescent="0.35">
      <c r="A2248" s="4" t="s">
        <v>3267</v>
      </c>
      <c r="B2248" s="1" t="s">
        <v>7990</v>
      </c>
      <c r="C2248" s="11">
        <v>45273</v>
      </c>
      <c r="D2248" s="11" t="s">
        <v>7992</v>
      </c>
      <c r="E2248" s="1" t="s">
        <v>14</v>
      </c>
      <c r="F2248" s="1" t="s">
        <v>7991</v>
      </c>
      <c r="G2248" s="6">
        <f>COUNTIF(F:F,Table2[[#This Row],[Form '#]])</f>
        <v>1</v>
      </c>
      <c r="H2248" s="1" t="s">
        <v>510</v>
      </c>
      <c r="I2248" s="1" t="s">
        <v>3852</v>
      </c>
      <c r="J2248" s="1" t="s">
        <v>80</v>
      </c>
      <c r="K2248" s="1" t="s">
        <v>3853</v>
      </c>
      <c r="L2248" s="1"/>
      <c r="M2248" s="6" t="str">
        <f>IF(Table2[[#This Row],[Corrected Form '#
 (If Duplicated)]]="",Table2[[#This Row],[Form '#]],Table2[[#This Row],[Corrected Form '#
 (If Duplicated)]])</f>
        <v>7810-01937</v>
      </c>
      <c r="N2248" s="1" t="s">
        <v>49</v>
      </c>
      <c r="O2248" s="6" t="str">
        <f>IF(Table2[[#This Row],[POG CONFIRMATION RECEIPT OF ORDER
(DATE &amp; TIME)]]="","No Confirmation","Received Confirmation")</f>
        <v>Received Confirmation</v>
      </c>
      <c r="P2248" s="6">
        <f ca="1">TODAY()-Table2[[#This Row],[DATE SENT TO POG]]</f>
        <v>30</v>
      </c>
      <c r="Q2248" s="6" t="s">
        <v>6025</v>
      </c>
      <c r="R22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4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48" s="6" t="str">
        <f>_xlfn.XLOOKUP(Table2[[#This Row],[Adjusted Form '#]],'[2]IN PROGRESS'!$D:$D,'[2]IN PROGRESS'!$M:$M,"Not Found")</f>
        <v>Not Found</v>
      </c>
      <c r="U2248" s="6" t="str">
        <f>_xlfn.XLOOKUP(Table2[[#This Row],[Adjusted Form '#]],[1]COMPLETED!$D:$D,[2]COMPLETED!$M:$M,"Not Found")</f>
        <v>Not Found</v>
      </c>
      <c r="V2248" s="13">
        <f>_xlfn.XLOOKUP(Table2[[#This Row],[Adjusted Form '#]],[2]COMPLETED!$D:$D,[2]COMPLETED!$O:$O,"Not Found")</f>
        <v>45289</v>
      </c>
      <c r="W2248" s="6" t="str">
        <f>_xlfn.XLOOKUP(Table2[[#This Row],[Adjusted Form '#]],[2]BILLED!$D:$D,[2]BILLED!$M:$M,"Not Found")</f>
        <v>Not Found</v>
      </c>
      <c r="X2248" s="13" t="str">
        <f>_xlfn.XLOOKUP(Table2[[#This Row],[Adjusted Form '#]],[2]BILLED!$D:$D,[1]BILLED!$O:$O,"Not Found")</f>
        <v>Not Found</v>
      </c>
      <c r="Y2248" s="13" t="e">
        <f>_xlfn.XLOOKUP(Table2[[#This Row],[Adjusted Form '#]],'[2]REJECTED ORDERS'!$D:$D,'[2]REJECTED ORDERS'!$E:$E)</f>
        <v>#N/A</v>
      </c>
      <c r="Z2248" s="1"/>
      <c r="AA2248" s="1"/>
    </row>
    <row r="2249" spans="1:27" ht="15" customHeight="1" x14ac:dyDescent="0.35">
      <c r="A2249" s="4" t="s">
        <v>3268</v>
      </c>
      <c r="B2249" s="1" t="s">
        <v>660</v>
      </c>
      <c r="C2249" s="11">
        <v>45273</v>
      </c>
      <c r="D2249" s="11" t="s">
        <v>7999</v>
      </c>
      <c r="E2249" s="1" t="s">
        <v>14</v>
      </c>
      <c r="F2249" s="1" t="s">
        <v>7993</v>
      </c>
      <c r="G2249" s="6">
        <f>COUNTIF(F:F,Table2[[#This Row],[Form '#]])</f>
        <v>1</v>
      </c>
      <c r="H2249" s="1" t="s">
        <v>3665</v>
      </c>
      <c r="I2249" s="1" t="s">
        <v>758</v>
      </c>
      <c r="J2249" s="1" t="s">
        <v>78</v>
      </c>
      <c r="K2249" s="1" t="s">
        <v>3853</v>
      </c>
      <c r="L2249" s="1"/>
      <c r="M2249" s="6" t="str">
        <f>IF(Table2[[#This Row],[Corrected Form '#
 (If Duplicated)]]="",Table2[[#This Row],[Form '#]],Table2[[#This Row],[Corrected Form '#
 (If Duplicated)]])</f>
        <v>7810-00380</v>
      </c>
      <c r="N2249" s="1" t="s">
        <v>49</v>
      </c>
      <c r="O2249" s="6" t="str">
        <f>IF(Table2[[#This Row],[POG CONFIRMATION RECEIPT OF ORDER
(DATE &amp; TIME)]]="","No Confirmation","Received Confirmation")</f>
        <v>Received Confirmation</v>
      </c>
      <c r="P2249" s="6">
        <f ca="1">TODAY()-Table2[[#This Row],[DATE SENT TO POG]]</f>
        <v>30</v>
      </c>
      <c r="Q2249" s="6" t="s">
        <v>5803</v>
      </c>
      <c r="R22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Shipped</v>
      </c>
      <c r="S2249" s="17" t="e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#REF!</v>
      </c>
      <c r="T2249" s="6" t="str">
        <f>_xlfn.XLOOKUP(Table2[[#This Row],[Adjusted Form '#]],'[2]IN PROGRESS'!$D:$D,'[2]IN PROGRESS'!$M:$M,"Not Found")</f>
        <v>Not Found</v>
      </c>
      <c r="U2249" s="6" t="str">
        <f>_xlfn.XLOOKUP(Table2[[#This Row],[Adjusted Form '#]],[1]COMPLETED!$D:$D,[2]COMPLETED!$M:$M,"Not Found")</f>
        <v>Not Found</v>
      </c>
      <c r="V2249" s="13">
        <f>_xlfn.XLOOKUP(Table2[[#This Row],[Adjusted Form '#]],[2]COMPLETED!$D:$D,[2]COMPLETED!$O:$O,"Not Found")</f>
        <v>45293</v>
      </c>
      <c r="W2249" s="6" t="str">
        <f>_xlfn.XLOOKUP(Table2[[#This Row],[Adjusted Form '#]],[2]BILLED!$D:$D,[2]BILLED!$M:$M,"Not Found")</f>
        <v>9400 1361 0605 3661 7991 94</v>
      </c>
      <c r="X2249" s="13" t="e">
        <f>_xlfn.XLOOKUP(Table2[[#This Row],[Adjusted Form '#]],[2]BILLED!$D:$D,[1]BILLED!$O:$O,"Not Found")</f>
        <v>#REF!</v>
      </c>
      <c r="Y2249" s="13" t="e">
        <f>_xlfn.XLOOKUP(Table2[[#This Row],[Adjusted Form '#]],'[2]REJECTED ORDERS'!$D:$D,'[2]REJECTED ORDERS'!$E:$E)</f>
        <v>#N/A</v>
      </c>
      <c r="Z2249" s="1"/>
      <c r="AA2249" s="1"/>
    </row>
    <row r="2250" spans="1:27" ht="15" customHeight="1" x14ac:dyDescent="0.35">
      <c r="A2250" s="4" t="s">
        <v>3271</v>
      </c>
      <c r="B2250" s="1" t="s">
        <v>2542</v>
      </c>
      <c r="C2250" s="11">
        <v>45273</v>
      </c>
      <c r="D2250" s="11" t="s">
        <v>8000</v>
      </c>
      <c r="E2250" s="1" t="s">
        <v>1592</v>
      </c>
      <c r="F2250" s="1" t="s">
        <v>7994</v>
      </c>
      <c r="G2250" s="6">
        <f>COUNTIF(F:F,Table2[[#This Row],[Form '#]])</f>
        <v>1</v>
      </c>
      <c r="H2250" s="1" t="s">
        <v>7995</v>
      </c>
      <c r="I2250" s="1" t="s">
        <v>3864</v>
      </c>
      <c r="J2250" s="1" t="s">
        <v>78</v>
      </c>
      <c r="K2250" s="1" t="s">
        <v>3879</v>
      </c>
      <c r="L2250" s="1"/>
      <c r="M2250" s="6" t="str">
        <f>IF(Table2[[#This Row],[Corrected Form '#
 (If Duplicated)]]="",Table2[[#This Row],[Form '#]],Table2[[#This Row],[Corrected Form '#
 (If Duplicated)]])</f>
        <v>7811-00302</v>
      </c>
      <c r="N2250" s="1" t="s">
        <v>49</v>
      </c>
      <c r="O2250" s="6" t="str">
        <f>IF(Table2[[#This Row],[POG CONFIRMATION RECEIPT OF ORDER
(DATE &amp; TIME)]]="","No Confirmation","Received Confirmation")</f>
        <v>Received Confirmation</v>
      </c>
      <c r="P2250" s="6">
        <f ca="1">TODAY()-Table2[[#This Row],[DATE SENT TO POG]]</f>
        <v>30</v>
      </c>
      <c r="Q2250" s="6" t="s">
        <v>5802</v>
      </c>
      <c r="R22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0" s="6" t="str">
        <f>_xlfn.XLOOKUP(Table2[[#This Row],[Adjusted Form '#]],'[2]IN PROGRESS'!$D:$D,'[2]IN PROGRESS'!$M:$M,"Not Found")</f>
        <v>Not Found</v>
      </c>
      <c r="U2250" s="6" t="str">
        <f>_xlfn.XLOOKUP(Table2[[#This Row],[Adjusted Form '#]],[1]COMPLETED!$D:$D,[2]COMPLETED!$M:$M,"Not Found")</f>
        <v>Not Found</v>
      </c>
      <c r="V2250" s="13" t="str">
        <f>_xlfn.XLOOKUP(Table2[[#This Row],[Adjusted Form '#]],[2]COMPLETED!$D:$D,[2]COMPLETED!$O:$O,"Not Found")</f>
        <v>Not Found</v>
      </c>
      <c r="W2250" s="6" t="str">
        <f>_xlfn.XLOOKUP(Table2[[#This Row],[Adjusted Form '#]],[2]BILLED!$D:$D,[2]BILLED!$M:$M,"Not Found")</f>
        <v>Not Found</v>
      </c>
      <c r="X2250" s="13" t="str">
        <f>_xlfn.XLOOKUP(Table2[[#This Row],[Adjusted Form '#]],[2]BILLED!$D:$D,[1]BILLED!$O:$O,"Not Found")</f>
        <v>Not Found</v>
      </c>
      <c r="Y2250" s="13" t="str">
        <f>_xlfn.XLOOKUP(Table2[[#This Row],[Adjusted Form '#]],'[2]REJECTED ORDERS'!$D:$D,'[2]REJECTED ORDERS'!$E:$E)</f>
        <v>FORM NOT SIGNED</v>
      </c>
      <c r="Z2250" s="1"/>
      <c r="AA2250" s="1"/>
    </row>
    <row r="2251" spans="1:27" ht="15" customHeight="1" x14ac:dyDescent="0.35">
      <c r="A2251" s="4" t="s">
        <v>3272</v>
      </c>
      <c r="B2251" s="1" t="s">
        <v>3048</v>
      </c>
      <c r="C2251" s="11">
        <v>45273</v>
      </c>
      <c r="D2251" s="11" t="s">
        <v>8001</v>
      </c>
      <c r="E2251" s="1" t="s">
        <v>1592</v>
      </c>
      <c r="F2251" s="1" t="s">
        <v>7996</v>
      </c>
      <c r="G2251" s="6">
        <f>COUNTIF(F:F,Table2[[#This Row],[Form '#]])</f>
        <v>1</v>
      </c>
      <c r="H2251" s="1" t="s">
        <v>7997</v>
      </c>
      <c r="I2251" s="1" t="s">
        <v>28</v>
      </c>
      <c r="J2251" s="1" t="s">
        <v>69</v>
      </c>
      <c r="K2251" s="1" t="s">
        <v>4011</v>
      </c>
      <c r="L2251" s="1"/>
      <c r="M2251" s="6" t="str">
        <f>IF(Table2[[#This Row],[Corrected Form '#
 (If Duplicated)]]="",Table2[[#This Row],[Form '#]],Table2[[#This Row],[Corrected Form '#
 (If Duplicated)]])</f>
        <v>7811-00325</v>
      </c>
      <c r="N2251" s="1" t="s">
        <v>49</v>
      </c>
      <c r="O2251" s="6" t="str">
        <f>IF(Table2[[#This Row],[POG CONFIRMATION RECEIPT OF ORDER
(DATE &amp; TIME)]]="","No Confirmation","Received Confirmation")</f>
        <v>Received Confirmation</v>
      </c>
      <c r="P2251" s="6">
        <f ca="1">TODAY()-Table2[[#This Row],[DATE SENT TO POG]]</f>
        <v>30</v>
      </c>
      <c r="Q2251" s="6" t="s">
        <v>5802</v>
      </c>
      <c r="R22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1" s="6" t="str">
        <f>_xlfn.XLOOKUP(Table2[[#This Row],[Adjusted Form '#]],'[2]IN PROGRESS'!$D:$D,'[2]IN PROGRESS'!$M:$M,"Not Found")</f>
        <v>Not Found</v>
      </c>
      <c r="U2251" s="6" t="str">
        <f>_xlfn.XLOOKUP(Table2[[#This Row],[Adjusted Form '#]],[1]COMPLETED!$D:$D,[2]COMPLETED!$M:$M,"Not Found")</f>
        <v>Not Found</v>
      </c>
      <c r="V2251" s="13" t="str">
        <f>_xlfn.XLOOKUP(Table2[[#This Row],[Adjusted Form '#]],[2]COMPLETED!$D:$D,[2]COMPLETED!$O:$O,"Not Found")</f>
        <v>Not Found</v>
      </c>
      <c r="W2251" s="6" t="str">
        <f>_xlfn.XLOOKUP(Table2[[#This Row],[Adjusted Form '#]],[2]BILLED!$D:$D,[2]BILLED!$M:$M,"Not Found")</f>
        <v>Not Found</v>
      </c>
      <c r="X2251" s="13" t="str">
        <f>_xlfn.XLOOKUP(Table2[[#This Row],[Adjusted Form '#]],[2]BILLED!$D:$D,[1]BILLED!$O:$O,"Not Found")</f>
        <v>Not Found</v>
      </c>
      <c r="Y2251" s="13" t="str">
        <f>_xlfn.XLOOKUP(Table2[[#This Row],[Adjusted Form '#]],'[2]REJECTED ORDERS'!$D:$D,'[2]REJECTED ORDERS'!$E:$E)</f>
        <v>FORM NOT SIGNED</v>
      </c>
      <c r="Z2251" s="1"/>
      <c r="AA2251" s="1"/>
    </row>
    <row r="2252" spans="1:27" ht="15" customHeight="1" x14ac:dyDescent="0.35">
      <c r="A2252" s="4" t="s">
        <v>3273</v>
      </c>
      <c r="B2252" s="1" t="s">
        <v>2976</v>
      </c>
      <c r="C2252" s="11">
        <v>45273</v>
      </c>
      <c r="D2252" s="11" t="s">
        <v>8001</v>
      </c>
      <c r="E2252" s="1" t="s">
        <v>21</v>
      </c>
      <c r="F2252" s="1" t="s">
        <v>7998</v>
      </c>
      <c r="G2252" s="6">
        <f>COUNTIF(F:F,Table2[[#This Row],[Form '#]])</f>
        <v>1</v>
      </c>
      <c r="H2252" s="1" t="s">
        <v>2741</v>
      </c>
      <c r="I2252" s="1" t="s">
        <v>177</v>
      </c>
      <c r="J2252" s="1" t="s">
        <v>75</v>
      </c>
      <c r="K2252" s="1" t="s">
        <v>3853</v>
      </c>
      <c r="L2252" s="1"/>
      <c r="M2252" s="6" t="str">
        <f>IF(Table2[[#This Row],[Corrected Form '#
 (If Duplicated)]]="",Table2[[#This Row],[Form '#]],Table2[[#This Row],[Corrected Form '#
 (If Duplicated)]])</f>
        <v>7818-27779</v>
      </c>
      <c r="N2252" s="1" t="s">
        <v>49</v>
      </c>
      <c r="O2252" s="6" t="str">
        <f>IF(Table2[[#This Row],[POG CONFIRMATION RECEIPT OF ORDER
(DATE &amp; TIME)]]="","No Confirmation","Received Confirmation")</f>
        <v>Received Confirmation</v>
      </c>
      <c r="P2252" s="6">
        <f ca="1">TODAY()-Table2[[#This Row],[DATE SENT TO POG]]</f>
        <v>30</v>
      </c>
      <c r="Q2252" s="6" t="s">
        <v>6025</v>
      </c>
      <c r="R22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2" s="6" t="str">
        <f>_xlfn.XLOOKUP(Table2[[#This Row],[Adjusted Form '#]],'[2]IN PROGRESS'!$D:$D,'[2]IN PROGRESS'!$M:$M,"Not Found")</f>
        <v>Not Found</v>
      </c>
      <c r="U2252" s="6" t="str">
        <f>_xlfn.XLOOKUP(Table2[[#This Row],[Adjusted Form '#]],[1]COMPLETED!$D:$D,[2]COMPLETED!$M:$M,"Not Found")</f>
        <v>Not Found</v>
      </c>
      <c r="V2252" s="13">
        <f>_xlfn.XLOOKUP(Table2[[#This Row],[Adjusted Form '#]],[2]COMPLETED!$D:$D,[2]COMPLETED!$O:$O,"Not Found")</f>
        <v>45289</v>
      </c>
      <c r="W2252" s="6" t="str">
        <f>_xlfn.XLOOKUP(Table2[[#This Row],[Adjusted Form '#]],[2]BILLED!$D:$D,[2]BILLED!$M:$M,"Not Found")</f>
        <v>Not Found</v>
      </c>
      <c r="X2252" s="13" t="str">
        <f>_xlfn.XLOOKUP(Table2[[#This Row],[Adjusted Form '#]],[2]BILLED!$D:$D,[1]BILLED!$O:$O,"Not Found")</f>
        <v>Not Found</v>
      </c>
      <c r="Y2252" s="13" t="e">
        <f>_xlfn.XLOOKUP(Table2[[#This Row],[Adjusted Form '#]],'[2]REJECTED ORDERS'!$D:$D,'[2]REJECTED ORDERS'!$E:$E)</f>
        <v>#N/A</v>
      </c>
      <c r="Z2252" s="1"/>
      <c r="AA2252" s="1"/>
    </row>
    <row r="2253" spans="1:27" ht="15" customHeight="1" x14ac:dyDescent="0.35">
      <c r="A2253" s="4" t="s">
        <v>3274</v>
      </c>
      <c r="B2253" s="1" t="s">
        <v>2697</v>
      </c>
      <c r="C2253" s="11">
        <v>45274</v>
      </c>
      <c r="D2253" s="11" t="s">
        <v>8004</v>
      </c>
      <c r="E2253" s="1" t="s">
        <v>191</v>
      </c>
      <c r="F2253" s="1" t="s">
        <v>8002</v>
      </c>
      <c r="G2253" s="6">
        <f>COUNTIF(F:F,Table2[[#This Row],[Form '#]])</f>
        <v>1</v>
      </c>
      <c r="H2253" s="1" t="s">
        <v>3654</v>
      </c>
      <c r="I2253" s="1" t="s">
        <v>3864</v>
      </c>
      <c r="J2253" s="1" t="s">
        <v>78</v>
      </c>
      <c r="K2253" s="1" t="s">
        <v>3879</v>
      </c>
      <c r="L2253" s="1"/>
      <c r="M2253" s="6" t="str">
        <f>IF(Table2[[#This Row],[Corrected Form '#
 (If Duplicated)]]="",Table2[[#This Row],[Form '#]],Table2[[#This Row],[Corrected Form '#
 (If Duplicated)]])</f>
        <v>7812-04502</v>
      </c>
      <c r="N2253" s="1" t="s">
        <v>49</v>
      </c>
      <c r="O2253" s="6" t="str">
        <f>IF(Table2[[#This Row],[POG CONFIRMATION RECEIPT OF ORDER
(DATE &amp; TIME)]]="","No Confirmation","Received Confirmation")</f>
        <v>Received Confirmation</v>
      </c>
      <c r="P2253" s="6">
        <f ca="1">TODAY()-Table2[[#This Row],[DATE SENT TO POG]]</f>
        <v>29</v>
      </c>
      <c r="Q2253" s="6" t="s">
        <v>6025</v>
      </c>
      <c r="R22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3" s="6" t="str">
        <f>_xlfn.XLOOKUP(Table2[[#This Row],[Adjusted Form '#]],'[2]IN PROGRESS'!$D:$D,'[2]IN PROGRESS'!$M:$M,"Not Found")</f>
        <v>Not Found</v>
      </c>
      <c r="U2253" s="6" t="str">
        <f>_xlfn.XLOOKUP(Table2[[#This Row],[Adjusted Form '#]],[1]COMPLETED!$D:$D,[2]COMPLETED!$M:$M,"Not Found")</f>
        <v>Not Found</v>
      </c>
      <c r="V2253" s="13">
        <f>_xlfn.XLOOKUP(Table2[[#This Row],[Adjusted Form '#]],[2]COMPLETED!$D:$D,[2]COMPLETED!$O:$O,"Not Found")</f>
        <v>45289</v>
      </c>
      <c r="W2253" s="6" t="str">
        <f>_xlfn.XLOOKUP(Table2[[#This Row],[Adjusted Form '#]],[2]BILLED!$D:$D,[2]BILLED!$M:$M,"Not Found")</f>
        <v>Not Found</v>
      </c>
      <c r="X2253" s="13" t="str">
        <f>_xlfn.XLOOKUP(Table2[[#This Row],[Adjusted Form '#]],[2]BILLED!$D:$D,[1]BILLED!$O:$O,"Not Found")</f>
        <v>Not Found</v>
      </c>
      <c r="Y2253" s="13" t="e">
        <f>_xlfn.XLOOKUP(Table2[[#This Row],[Adjusted Form '#]],'[2]REJECTED ORDERS'!$D:$D,'[2]REJECTED ORDERS'!$E:$E)</f>
        <v>#N/A</v>
      </c>
      <c r="Z2253" s="1"/>
      <c r="AA2253" s="1"/>
    </row>
    <row r="2254" spans="1:27" ht="15" customHeight="1" x14ac:dyDescent="0.35">
      <c r="A2254" s="4" t="s">
        <v>3275</v>
      </c>
      <c r="B2254" s="1" t="s">
        <v>2697</v>
      </c>
      <c r="C2254" s="11">
        <v>45274</v>
      </c>
      <c r="D2254" s="11" t="s">
        <v>8004</v>
      </c>
      <c r="E2254" s="1" t="s">
        <v>191</v>
      </c>
      <c r="F2254" s="1" t="s">
        <v>8003</v>
      </c>
      <c r="G2254" s="6">
        <f>COUNTIF(F:F,Table2[[#This Row],[Form '#]])</f>
        <v>1</v>
      </c>
      <c r="H2254" s="1" t="s">
        <v>1929</v>
      </c>
      <c r="I2254" s="1" t="s">
        <v>177</v>
      </c>
      <c r="J2254" s="1" t="s">
        <v>75</v>
      </c>
      <c r="K2254" s="1" t="s">
        <v>3853</v>
      </c>
      <c r="L2254" s="1"/>
      <c r="M2254" s="6" t="str">
        <f>IF(Table2[[#This Row],[Corrected Form '#
 (If Duplicated)]]="",Table2[[#This Row],[Form '#]],Table2[[#This Row],[Corrected Form '#
 (If Duplicated)]])</f>
        <v>7812-01974</v>
      </c>
      <c r="N2254" s="1" t="s">
        <v>49</v>
      </c>
      <c r="O2254" s="6" t="str">
        <f>IF(Table2[[#This Row],[POG CONFIRMATION RECEIPT OF ORDER
(DATE &amp; TIME)]]="","No Confirmation","Received Confirmation")</f>
        <v>Received Confirmation</v>
      </c>
      <c r="P2254" s="6">
        <f ca="1">TODAY()-Table2[[#This Row],[DATE SENT TO POG]]</f>
        <v>29</v>
      </c>
      <c r="Q2254" s="6" t="s">
        <v>6025</v>
      </c>
      <c r="R22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4" s="6" t="str">
        <f>_xlfn.XLOOKUP(Table2[[#This Row],[Adjusted Form '#]],'[2]IN PROGRESS'!$D:$D,'[2]IN PROGRESS'!$M:$M,"Not Found")</f>
        <v>Not Found</v>
      </c>
      <c r="U2254" s="6" t="str">
        <f>_xlfn.XLOOKUP(Table2[[#This Row],[Adjusted Form '#]],[1]COMPLETED!$D:$D,[2]COMPLETED!$M:$M,"Not Found")</f>
        <v>Not Found</v>
      </c>
      <c r="V2254" s="13">
        <f>_xlfn.XLOOKUP(Table2[[#This Row],[Adjusted Form '#]],[2]COMPLETED!$D:$D,[2]COMPLETED!$O:$O,"Not Found")</f>
        <v>45289</v>
      </c>
      <c r="W2254" s="6" t="str">
        <f>_xlfn.XLOOKUP(Table2[[#This Row],[Adjusted Form '#]],[2]BILLED!$D:$D,[2]BILLED!$M:$M,"Not Found")</f>
        <v>Not Found</v>
      </c>
      <c r="X2254" s="13" t="str">
        <f>_xlfn.XLOOKUP(Table2[[#This Row],[Adjusted Form '#]],[2]BILLED!$D:$D,[1]BILLED!$O:$O,"Not Found")</f>
        <v>Not Found</v>
      </c>
      <c r="Y2254" s="13" t="e">
        <f>_xlfn.XLOOKUP(Table2[[#This Row],[Adjusted Form '#]],'[2]REJECTED ORDERS'!$D:$D,'[2]REJECTED ORDERS'!$E:$E)</f>
        <v>#N/A</v>
      </c>
      <c r="Z2254" s="1"/>
      <c r="AA2254" s="1"/>
    </row>
    <row r="2255" spans="1:27" ht="15" customHeight="1" x14ac:dyDescent="0.35">
      <c r="A2255" s="4" t="s">
        <v>3276</v>
      </c>
      <c r="B2255" s="1" t="s">
        <v>3646</v>
      </c>
      <c r="C2255" s="11">
        <v>45274</v>
      </c>
      <c r="D2255" s="11" t="s">
        <v>8027</v>
      </c>
      <c r="E2255" s="1" t="s">
        <v>191</v>
      </c>
      <c r="F2255" s="1" t="s">
        <v>8005</v>
      </c>
      <c r="G2255" s="6">
        <f>COUNTIF(F:F,Table2[[#This Row],[Form '#]])</f>
        <v>1</v>
      </c>
      <c r="H2255" s="1" t="s">
        <v>8006</v>
      </c>
      <c r="I2255" s="1" t="s">
        <v>127</v>
      </c>
      <c r="J2255" s="1" t="s">
        <v>76</v>
      </c>
      <c r="K2255" s="1" t="s">
        <v>4011</v>
      </c>
      <c r="L2255" s="1"/>
      <c r="M2255" s="6" t="str">
        <f>IF(Table2[[#This Row],[Corrected Form '#
 (If Duplicated)]]="",Table2[[#This Row],[Form '#]],Table2[[#This Row],[Corrected Form '#
 (If Duplicated)]])</f>
        <v>7812-04598</v>
      </c>
      <c r="N2255" s="1" t="s">
        <v>49</v>
      </c>
      <c r="O2255" s="6" t="str">
        <f>IF(Table2[[#This Row],[POG CONFIRMATION RECEIPT OF ORDER
(DATE &amp; TIME)]]="","No Confirmation","Received Confirmation")</f>
        <v>Received Confirmation</v>
      </c>
      <c r="P2255" s="6">
        <f ca="1">TODAY()-Table2[[#This Row],[DATE SENT TO POG]]</f>
        <v>29</v>
      </c>
      <c r="Q2255" s="6" t="s">
        <v>6025</v>
      </c>
      <c r="R22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5" s="6" t="str">
        <f>_xlfn.XLOOKUP(Table2[[#This Row],[Adjusted Form '#]],'[2]IN PROGRESS'!$D:$D,'[2]IN PROGRESS'!$M:$M,"Not Found")</f>
        <v>Not Found</v>
      </c>
      <c r="U2255" s="6" t="str">
        <f>_xlfn.XLOOKUP(Table2[[#This Row],[Adjusted Form '#]],[1]COMPLETED!$D:$D,[2]COMPLETED!$M:$M,"Not Found")</f>
        <v>Not Found</v>
      </c>
      <c r="V2255" s="13">
        <f>_xlfn.XLOOKUP(Table2[[#This Row],[Adjusted Form '#]],[2]COMPLETED!$D:$D,[2]COMPLETED!$O:$O,"Not Found")</f>
        <v>45289</v>
      </c>
      <c r="W2255" s="6" t="str">
        <f>_xlfn.XLOOKUP(Table2[[#This Row],[Adjusted Form '#]],[2]BILLED!$D:$D,[2]BILLED!$M:$M,"Not Found")</f>
        <v>Not Found</v>
      </c>
      <c r="X2255" s="13" t="str">
        <f>_xlfn.XLOOKUP(Table2[[#This Row],[Adjusted Form '#]],[2]BILLED!$D:$D,[1]BILLED!$O:$O,"Not Found")</f>
        <v>Not Found</v>
      </c>
      <c r="Y2255" s="13" t="e">
        <f>_xlfn.XLOOKUP(Table2[[#This Row],[Adjusted Form '#]],'[2]REJECTED ORDERS'!$D:$D,'[2]REJECTED ORDERS'!$E:$E)</f>
        <v>#N/A</v>
      </c>
      <c r="Z2255" s="1"/>
      <c r="AA2255" s="1"/>
    </row>
    <row r="2256" spans="1:27" ht="15" customHeight="1" x14ac:dyDescent="0.35">
      <c r="A2256" s="4" t="s">
        <v>3279</v>
      </c>
      <c r="B2256" s="1" t="s">
        <v>4506</v>
      </c>
      <c r="C2256" s="11">
        <v>45274</v>
      </c>
      <c r="D2256" s="11" t="s">
        <v>8027</v>
      </c>
      <c r="E2256" s="1" t="s">
        <v>21</v>
      </c>
      <c r="F2256" s="1" t="s">
        <v>8007</v>
      </c>
      <c r="G2256" s="6">
        <f>COUNTIF(F:F,Table2[[#This Row],[Form '#]])</f>
        <v>1</v>
      </c>
      <c r="H2256" s="1" t="s">
        <v>499</v>
      </c>
      <c r="I2256" s="1" t="s">
        <v>127</v>
      </c>
      <c r="J2256" s="1" t="s">
        <v>71</v>
      </c>
      <c r="K2256" s="1" t="s">
        <v>3883</v>
      </c>
      <c r="L2256" s="1"/>
      <c r="M2256" s="6" t="str">
        <f>IF(Table2[[#This Row],[Corrected Form '#
 (If Duplicated)]]="",Table2[[#This Row],[Form '#]],Table2[[#This Row],[Corrected Form '#
 (If Duplicated)]])</f>
        <v>7818-15776</v>
      </c>
      <c r="N2256" s="1" t="s">
        <v>49</v>
      </c>
      <c r="O2256" s="6" t="str">
        <f>IF(Table2[[#This Row],[POG CONFIRMATION RECEIPT OF ORDER
(DATE &amp; TIME)]]="","No Confirmation","Received Confirmation")</f>
        <v>Received Confirmation</v>
      </c>
      <c r="P2256" s="6">
        <f ca="1">TODAY()-Table2[[#This Row],[DATE SENT TO POG]]</f>
        <v>29</v>
      </c>
      <c r="Q2256" s="6" t="s">
        <v>6025</v>
      </c>
      <c r="R22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6" s="6" t="str">
        <f>_xlfn.XLOOKUP(Table2[[#This Row],[Adjusted Form '#]],'[2]IN PROGRESS'!$D:$D,'[2]IN PROGRESS'!$M:$M,"Not Found")</f>
        <v>Not Found</v>
      </c>
      <c r="U2256" s="6" t="str">
        <f>_xlfn.XLOOKUP(Table2[[#This Row],[Adjusted Form '#]],[1]COMPLETED!$D:$D,[2]COMPLETED!$M:$M,"Not Found")</f>
        <v>Not Found</v>
      </c>
      <c r="V2256" s="13">
        <f>_xlfn.XLOOKUP(Table2[[#This Row],[Adjusted Form '#]],[2]COMPLETED!$D:$D,[2]COMPLETED!$O:$O,"Not Found")</f>
        <v>45289</v>
      </c>
      <c r="W2256" s="6" t="str">
        <f>_xlfn.XLOOKUP(Table2[[#This Row],[Adjusted Form '#]],[2]BILLED!$D:$D,[2]BILLED!$M:$M,"Not Found")</f>
        <v>Not Found</v>
      </c>
      <c r="X2256" s="13" t="str">
        <f>_xlfn.XLOOKUP(Table2[[#This Row],[Adjusted Form '#]],[2]BILLED!$D:$D,[1]BILLED!$O:$O,"Not Found")</f>
        <v>Not Found</v>
      </c>
      <c r="Y2256" s="13" t="e">
        <f>_xlfn.XLOOKUP(Table2[[#This Row],[Adjusted Form '#]],'[2]REJECTED ORDERS'!$D:$D,'[2]REJECTED ORDERS'!$E:$E)</f>
        <v>#N/A</v>
      </c>
      <c r="Z2256" s="1"/>
      <c r="AA2256" s="1"/>
    </row>
    <row r="2257" spans="1:27" ht="15" customHeight="1" x14ac:dyDescent="0.35">
      <c r="A2257" s="4" t="s">
        <v>3280</v>
      </c>
      <c r="B2257" s="1" t="s">
        <v>4506</v>
      </c>
      <c r="C2257" s="11">
        <v>45274</v>
      </c>
      <c r="D2257" s="11" t="s">
        <v>8027</v>
      </c>
      <c r="E2257" s="1" t="s">
        <v>21</v>
      </c>
      <c r="F2257" s="1" t="s">
        <v>8008</v>
      </c>
      <c r="G2257" s="6">
        <f>COUNTIF(F:F,Table2[[#This Row],[Form '#]])</f>
        <v>1</v>
      </c>
      <c r="H2257" s="1" t="s">
        <v>8009</v>
      </c>
      <c r="I2257" s="1" t="s">
        <v>3852</v>
      </c>
      <c r="J2257" s="1" t="s">
        <v>80</v>
      </c>
      <c r="K2257" s="1" t="s">
        <v>4430</v>
      </c>
      <c r="L2257" s="1"/>
      <c r="M2257" s="6" t="str">
        <f>IF(Table2[[#This Row],[Corrected Form '#
 (If Duplicated)]]="",Table2[[#This Row],[Form '#]],Table2[[#This Row],[Corrected Form '#
 (If Duplicated)]])</f>
        <v>7818-32311</v>
      </c>
      <c r="N2257" s="1" t="s">
        <v>49</v>
      </c>
      <c r="O2257" s="6" t="str">
        <f>IF(Table2[[#This Row],[POG CONFIRMATION RECEIPT OF ORDER
(DATE &amp; TIME)]]="","No Confirmation","Received Confirmation")</f>
        <v>Received Confirmation</v>
      </c>
      <c r="P2257" s="6">
        <f ca="1">TODAY()-Table2[[#This Row],[DATE SENT TO POG]]</f>
        <v>29</v>
      </c>
      <c r="Q2257" s="6" t="s">
        <v>6025</v>
      </c>
      <c r="R22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7" s="6" t="str">
        <f>_xlfn.XLOOKUP(Table2[[#This Row],[Adjusted Form '#]],'[2]IN PROGRESS'!$D:$D,'[2]IN PROGRESS'!$M:$M,"Not Found")</f>
        <v>Not Found</v>
      </c>
      <c r="U2257" s="6" t="str">
        <f>_xlfn.XLOOKUP(Table2[[#This Row],[Adjusted Form '#]],[1]COMPLETED!$D:$D,[2]COMPLETED!$M:$M,"Not Found")</f>
        <v>Not Found</v>
      </c>
      <c r="V2257" s="13">
        <f>_xlfn.XLOOKUP(Table2[[#This Row],[Adjusted Form '#]],[2]COMPLETED!$D:$D,[2]COMPLETED!$O:$O,"Not Found")</f>
        <v>45289</v>
      </c>
      <c r="W2257" s="6" t="str">
        <f>_xlfn.XLOOKUP(Table2[[#This Row],[Adjusted Form '#]],[2]BILLED!$D:$D,[2]BILLED!$M:$M,"Not Found")</f>
        <v>Not Found</v>
      </c>
      <c r="X2257" s="13" t="str">
        <f>_xlfn.XLOOKUP(Table2[[#This Row],[Adjusted Form '#]],[2]BILLED!$D:$D,[1]BILLED!$O:$O,"Not Found")</f>
        <v>Not Found</v>
      </c>
      <c r="Y2257" s="13" t="e">
        <f>_xlfn.XLOOKUP(Table2[[#This Row],[Adjusted Form '#]],'[2]REJECTED ORDERS'!$D:$D,'[2]REJECTED ORDERS'!$E:$E)</f>
        <v>#N/A</v>
      </c>
      <c r="Z2257" s="1"/>
      <c r="AA2257" s="1"/>
    </row>
    <row r="2258" spans="1:27" ht="15" customHeight="1" x14ac:dyDescent="0.35">
      <c r="A2258" s="4" t="s">
        <v>3281</v>
      </c>
      <c r="B2258" s="1" t="s">
        <v>4506</v>
      </c>
      <c r="C2258" s="11">
        <v>45274</v>
      </c>
      <c r="D2258" s="11" t="s">
        <v>8027</v>
      </c>
      <c r="E2258" s="1" t="s">
        <v>21</v>
      </c>
      <c r="F2258" s="1" t="s">
        <v>8010</v>
      </c>
      <c r="G2258" s="6">
        <f>COUNTIF(F:F,Table2[[#This Row],[Form '#]])</f>
        <v>1</v>
      </c>
      <c r="H2258" s="1" t="s">
        <v>736</v>
      </c>
      <c r="I2258" s="1" t="s">
        <v>3852</v>
      </c>
      <c r="J2258" s="1" t="s">
        <v>80</v>
      </c>
      <c r="K2258" s="1" t="s">
        <v>4430</v>
      </c>
      <c r="L2258" s="1"/>
      <c r="M2258" s="6" t="str">
        <f>IF(Table2[[#This Row],[Corrected Form '#
 (If Duplicated)]]="",Table2[[#This Row],[Form '#]],Table2[[#This Row],[Corrected Form '#
 (If Duplicated)]])</f>
        <v>7818-21667</v>
      </c>
      <c r="N2258" s="1" t="s">
        <v>49</v>
      </c>
      <c r="O2258" s="6" t="str">
        <f>IF(Table2[[#This Row],[POG CONFIRMATION RECEIPT OF ORDER
(DATE &amp; TIME)]]="","No Confirmation","Received Confirmation")</f>
        <v>Received Confirmation</v>
      </c>
      <c r="P2258" s="6">
        <f ca="1">TODAY()-Table2[[#This Row],[DATE SENT TO POG]]</f>
        <v>29</v>
      </c>
      <c r="Q2258" s="6" t="s">
        <v>6025</v>
      </c>
      <c r="R22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8" s="6" t="str">
        <f>_xlfn.XLOOKUP(Table2[[#This Row],[Adjusted Form '#]],'[2]IN PROGRESS'!$D:$D,'[2]IN PROGRESS'!$M:$M,"Not Found")</f>
        <v>Not Found</v>
      </c>
      <c r="U2258" s="6" t="str">
        <f>_xlfn.XLOOKUP(Table2[[#This Row],[Adjusted Form '#]],[1]COMPLETED!$D:$D,[2]COMPLETED!$M:$M,"Not Found")</f>
        <v>Not Found</v>
      </c>
      <c r="V2258" s="13">
        <f>_xlfn.XLOOKUP(Table2[[#This Row],[Adjusted Form '#]],[2]COMPLETED!$D:$D,[2]COMPLETED!$O:$O,"Not Found")</f>
        <v>45289</v>
      </c>
      <c r="W2258" s="6" t="str">
        <f>_xlfn.XLOOKUP(Table2[[#This Row],[Adjusted Form '#]],[2]BILLED!$D:$D,[2]BILLED!$M:$M,"Not Found")</f>
        <v>Not Found</v>
      </c>
      <c r="X2258" s="13" t="str">
        <f>_xlfn.XLOOKUP(Table2[[#This Row],[Adjusted Form '#]],[2]BILLED!$D:$D,[1]BILLED!$O:$O,"Not Found")</f>
        <v>Not Found</v>
      </c>
      <c r="Y2258" s="13" t="e">
        <f>_xlfn.XLOOKUP(Table2[[#This Row],[Adjusted Form '#]],'[2]REJECTED ORDERS'!$D:$D,'[2]REJECTED ORDERS'!$E:$E)</f>
        <v>#N/A</v>
      </c>
      <c r="Z2258" s="1"/>
      <c r="AA2258" s="1"/>
    </row>
    <row r="2259" spans="1:27" ht="15" customHeight="1" x14ac:dyDescent="0.35">
      <c r="A2259" s="4" t="s">
        <v>3283</v>
      </c>
      <c r="B2259" s="1" t="s">
        <v>4506</v>
      </c>
      <c r="C2259" s="11">
        <v>45274</v>
      </c>
      <c r="D2259" s="11" t="s">
        <v>8027</v>
      </c>
      <c r="E2259" s="1" t="s">
        <v>21</v>
      </c>
      <c r="F2259" s="1" t="s">
        <v>8011</v>
      </c>
      <c r="G2259" s="6">
        <f>COUNTIF(F:F,Table2[[#This Row],[Form '#]])</f>
        <v>1</v>
      </c>
      <c r="H2259" s="1" t="s">
        <v>3328</v>
      </c>
      <c r="I2259" s="1" t="s">
        <v>758</v>
      </c>
      <c r="J2259" s="1" t="s">
        <v>78</v>
      </c>
      <c r="K2259" s="1" t="s">
        <v>4430</v>
      </c>
      <c r="L2259" s="1"/>
      <c r="M2259" s="6" t="str">
        <f>IF(Table2[[#This Row],[Corrected Form '#
 (If Duplicated)]]="",Table2[[#This Row],[Form '#]],Table2[[#This Row],[Corrected Form '#
 (If Duplicated)]])</f>
        <v>7818-26519</v>
      </c>
      <c r="N2259" s="1" t="s">
        <v>49</v>
      </c>
      <c r="O2259" s="6" t="str">
        <f>IF(Table2[[#This Row],[POG CONFIRMATION RECEIPT OF ORDER
(DATE &amp; TIME)]]="","No Confirmation","Received Confirmation")</f>
        <v>Received Confirmation</v>
      </c>
      <c r="P2259" s="6">
        <f ca="1">TODAY()-Table2[[#This Row],[DATE SENT TO POG]]</f>
        <v>29</v>
      </c>
      <c r="Q2259" s="6" t="s">
        <v>6025</v>
      </c>
      <c r="R22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5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59" s="6" t="str">
        <f>_xlfn.XLOOKUP(Table2[[#This Row],[Adjusted Form '#]],'[2]IN PROGRESS'!$D:$D,'[2]IN PROGRESS'!$M:$M,"Not Found")</f>
        <v>Not Found</v>
      </c>
      <c r="U2259" s="6" t="str">
        <f>_xlfn.XLOOKUP(Table2[[#This Row],[Adjusted Form '#]],[1]COMPLETED!$D:$D,[2]COMPLETED!$M:$M,"Not Found")</f>
        <v>Not Found</v>
      </c>
      <c r="V2259" s="13">
        <f>_xlfn.XLOOKUP(Table2[[#This Row],[Adjusted Form '#]],[2]COMPLETED!$D:$D,[2]COMPLETED!$O:$O,"Not Found")</f>
        <v>45289</v>
      </c>
      <c r="W2259" s="6" t="str">
        <f>_xlfn.XLOOKUP(Table2[[#This Row],[Adjusted Form '#]],[2]BILLED!$D:$D,[2]BILLED!$M:$M,"Not Found")</f>
        <v>Not Found</v>
      </c>
      <c r="X2259" s="13" t="str">
        <f>_xlfn.XLOOKUP(Table2[[#This Row],[Adjusted Form '#]],[2]BILLED!$D:$D,[1]BILLED!$O:$O,"Not Found")</f>
        <v>Not Found</v>
      </c>
      <c r="Y2259" s="13" t="e">
        <f>_xlfn.XLOOKUP(Table2[[#This Row],[Adjusted Form '#]],'[2]REJECTED ORDERS'!$D:$D,'[2]REJECTED ORDERS'!$E:$E)</f>
        <v>#N/A</v>
      </c>
      <c r="Z2259" s="1"/>
      <c r="AA2259" s="1"/>
    </row>
    <row r="2260" spans="1:27" ht="15" customHeight="1" x14ac:dyDescent="0.35">
      <c r="A2260" s="4" t="s">
        <v>3284</v>
      </c>
      <c r="B2260" s="1" t="s">
        <v>4506</v>
      </c>
      <c r="C2260" s="11">
        <v>45274</v>
      </c>
      <c r="D2260" s="11" t="s">
        <v>8027</v>
      </c>
      <c r="E2260" s="1" t="s">
        <v>21</v>
      </c>
      <c r="F2260" s="1" t="s">
        <v>8012</v>
      </c>
      <c r="G2260" s="6">
        <f>COUNTIF(F:F,Table2[[#This Row],[Form '#]])</f>
        <v>1</v>
      </c>
      <c r="H2260" s="1" t="s">
        <v>3509</v>
      </c>
      <c r="I2260" s="1" t="s">
        <v>758</v>
      </c>
      <c r="J2260" s="1" t="s">
        <v>78</v>
      </c>
      <c r="K2260" s="1" t="s">
        <v>4430</v>
      </c>
      <c r="L2260" s="1"/>
      <c r="M2260" s="6" t="str">
        <f>IF(Table2[[#This Row],[Corrected Form '#
 (If Duplicated)]]="",Table2[[#This Row],[Form '#]],Table2[[#This Row],[Corrected Form '#
 (If Duplicated)]])</f>
        <v>7818-33609</v>
      </c>
      <c r="N2260" s="1" t="s">
        <v>49</v>
      </c>
      <c r="O2260" s="6" t="str">
        <f>IF(Table2[[#This Row],[POG CONFIRMATION RECEIPT OF ORDER
(DATE &amp; TIME)]]="","No Confirmation","Received Confirmation")</f>
        <v>Received Confirmation</v>
      </c>
      <c r="P2260" s="6">
        <f ca="1">TODAY()-Table2[[#This Row],[DATE SENT TO POG]]</f>
        <v>29</v>
      </c>
      <c r="Q2260" s="6" t="s">
        <v>6025</v>
      </c>
      <c r="R22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0" s="6" t="str">
        <f>_xlfn.XLOOKUP(Table2[[#This Row],[Adjusted Form '#]],'[2]IN PROGRESS'!$D:$D,'[2]IN PROGRESS'!$M:$M,"Not Found")</f>
        <v>Not Found</v>
      </c>
      <c r="U2260" s="6" t="str">
        <f>_xlfn.XLOOKUP(Table2[[#This Row],[Adjusted Form '#]],[1]COMPLETED!$D:$D,[2]COMPLETED!$M:$M,"Not Found")</f>
        <v>Not Found</v>
      </c>
      <c r="V2260" s="13">
        <f>_xlfn.XLOOKUP(Table2[[#This Row],[Adjusted Form '#]],[2]COMPLETED!$D:$D,[2]COMPLETED!$O:$O,"Not Found")</f>
        <v>45289</v>
      </c>
      <c r="W2260" s="6" t="str">
        <f>_xlfn.XLOOKUP(Table2[[#This Row],[Adjusted Form '#]],[2]BILLED!$D:$D,[2]BILLED!$M:$M,"Not Found")</f>
        <v>Not Found</v>
      </c>
      <c r="X2260" s="13" t="str">
        <f>_xlfn.XLOOKUP(Table2[[#This Row],[Adjusted Form '#]],[2]BILLED!$D:$D,[1]BILLED!$O:$O,"Not Found")</f>
        <v>Not Found</v>
      </c>
      <c r="Y2260" s="13" t="e">
        <f>_xlfn.XLOOKUP(Table2[[#This Row],[Adjusted Form '#]],'[2]REJECTED ORDERS'!$D:$D,'[2]REJECTED ORDERS'!$E:$E)</f>
        <v>#N/A</v>
      </c>
      <c r="Z2260" s="1"/>
      <c r="AA2260" s="1"/>
    </row>
    <row r="2261" spans="1:27" ht="15" customHeight="1" x14ac:dyDescent="0.35">
      <c r="A2261" s="4" t="s">
        <v>3285</v>
      </c>
      <c r="B2261" s="1" t="s">
        <v>4506</v>
      </c>
      <c r="C2261" s="11">
        <v>45274</v>
      </c>
      <c r="D2261" s="11" t="s">
        <v>8027</v>
      </c>
      <c r="E2261" s="1" t="s">
        <v>21</v>
      </c>
      <c r="F2261" s="1" t="s">
        <v>8013</v>
      </c>
      <c r="G2261" s="6">
        <f>COUNTIF(F:F,Table2[[#This Row],[Form '#]])</f>
        <v>1</v>
      </c>
      <c r="H2261" s="1" t="s">
        <v>2163</v>
      </c>
      <c r="I2261" s="1" t="s">
        <v>127</v>
      </c>
      <c r="J2261" s="1" t="s">
        <v>76</v>
      </c>
      <c r="K2261" s="1" t="s">
        <v>3883</v>
      </c>
      <c r="L2261" s="1"/>
      <c r="M2261" s="6" t="str">
        <f>IF(Table2[[#This Row],[Corrected Form '#
 (If Duplicated)]]="",Table2[[#This Row],[Form '#]],Table2[[#This Row],[Corrected Form '#
 (If Duplicated)]])</f>
        <v>7818-26923</v>
      </c>
      <c r="N2261" s="1" t="s">
        <v>49</v>
      </c>
      <c r="O2261" s="6" t="str">
        <f>IF(Table2[[#This Row],[POG CONFIRMATION RECEIPT OF ORDER
(DATE &amp; TIME)]]="","No Confirmation","Received Confirmation")</f>
        <v>Received Confirmation</v>
      </c>
      <c r="P2261" s="6">
        <f ca="1">TODAY()-Table2[[#This Row],[DATE SENT TO POG]]</f>
        <v>29</v>
      </c>
      <c r="Q2261" s="6" t="s">
        <v>6025</v>
      </c>
      <c r="R22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1" s="6" t="str">
        <f>_xlfn.XLOOKUP(Table2[[#This Row],[Adjusted Form '#]],'[2]IN PROGRESS'!$D:$D,'[2]IN PROGRESS'!$M:$M,"Not Found")</f>
        <v>Not Found</v>
      </c>
      <c r="U2261" s="6" t="str">
        <f>_xlfn.XLOOKUP(Table2[[#This Row],[Adjusted Form '#]],[1]COMPLETED!$D:$D,[2]COMPLETED!$M:$M,"Not Found")</f>
        <v>Not Found</v>
      </c>
      <c r="V2261" s="13">
        <f>_xlfn.XLOOKUP(Table2[[#This Row],[Adjusted Form '#]],[2]COMPLETED!$D:$D,[2]COMPLETED!$O:$O,"Not Found")</f>
        <v>45289</v>
      </c>
      <c r="W2261" s="6" t="str">
        <f>_xlfn.XLOOKUP(Table2[[#This Row],[Adjusted Form '#]],[2]BILLED!$D:$D,[2]BILLED!$M:$M,"Not Found")</f>
        <v>Not Found</v>
      </c>
      <c r="X2261" s="13" t="str">
        <f>_xlfn.XLOOKUP(Table2[[#This Row],[Adjusted Form '#]],[2]BILLED!$D:$D,[1]BILLED!$O:$O,"Not Found")</f>
        <v>Not Found</v>
      </c>
      <c r="Y2261" s="13" t="e">
        <f>_xlfn.XLOOKUP(Table2[[#This Row],[Adjusted Form '#]],'[2]REJECTED ORDERS'!$D:$D,'[2]REJECTED ORDERS'!$E:$E)</f>
        <v>#N/A</v>
      </c>
      <c r="Z2261" s="1"/>
      <c r="AA2261" s="1"/>
    </row>
    <row r="2262" spans="1:27" ht="15" customHeight="1" x14ac:dyDescent="0.35">
      <c r="A2262" s="4" t="s">
        <v>3286</v>
      </c>
      <c r="B2262" s="1" t="s">
        <v>4506</v>
      </c>
      <c r="C2262" s="11">
        <v>45274</v>
      </c>
      <c r="D2262" s="11" t="s">
        <v>8027</v>
      </c>
      <c r="E2262" s="1" t="s">
        <v>21</v>
      </c>
      <c r="F2262" s="1" t="s">
        <v>8014</v>
      </c>
      <c r="G2262" s="6">
        <f>COUNTIF(F:F,Table2[[#This Row],[Form '#]])</f>
        <v>1</v>
      </c>
      <c r="H2262" s="1" t="s">
        <v>1065</v>
      </c>
      <c r="I2262" s="1" t="s">
        <v>177</v>
      </c>
      <c r="J2262" s="1" t="s">
        <v>75</v>
      </c>
      <c r="K2262" s="1" t="s">
        <v>4011</v>
      </c>
      <c r="L2262" s="1"/>
      <c r="M2262" s="6" t="str">
        <f>IF(Table2[[#This Row],[Corrected Form '#
 (If Duplicated)]]="",Table2[[#This Row],[Form '#]],Table2[[#This Row],[Corrected Form '#
 (If Duplicated)]])</f>
        <v>7818-18379</v>
      </c>
      <c r="N2262" s="1" t="s">
        <v>49</v>
      </c>
      <c r="O2262" s="6" t="str">
        <f>IF(Table2[[#This Row],[POG CONFIRMATION RECEIPT OF ORDER
(DATE &amp; TIME)]]="","No Confirmation","Received Confirmation")</f>
        <v>Received Confirmation</v>
      </c>
      <c r="P2262" s="6">
        <f ca="1">TODAY()-Table2[[#This Row],[DATE SENT TO POG]]</f>
        <v>29</v>
      </c>
      <c r="Q2262" s="6" t="s">
        <v>6025</v>
      </c>
      <c r="R22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2" s="6" t="str">
        <f>_xlfn.XLOOKUP(Table2[[#This Row],[Adjusted Form '#]],'[2]IN PROGRESS'!$D:$D,'[2]IN PROGRESS'!$M:$M,"Not Found")</f>
        <v>Not Found</v>
      </c>
      <c r="U2262" s="6" t="str">
        <f>_xlfn.XLOOKUP(Table2[[#This Row],[Adjusted Form '#]],[1]COMPLETED!$D:$D,[2]COMPLETED!$M:$M,"Not Found")</f>
        <v>Not Found</v>
      </c>
      <c r="V2262" s="13">
        <f>_xlfn.XLOOKUP(Table2[[#This Row],[Adjusted Form '#]],[2]COMPLETED!$D:$D,[2]COMPLETED!$O:$O,"Not Found")</f>
        <v>45289</v>
      </c>
      <c r="W2262" s="6" t="str">
        <f>_xlfn.XLOOKUP(Table2[[#This Row],[Adjusted Form '#]],[2]BILLED!$D:$D,[2]BILLED!$M:$M,"Not Found")</f>
        <v>Not Found</v>
      </c>
      <c r="X2262" s="13" t="str">
        <f>_xlfn.XLOOKUP(Table2[[#This Row],[Adjusted Form '#]],[2]BILLED!$D:$D,[1]BILLED!$O:$O,"Not Found")</f>
        <v>Not Found</v>
      </c>
      <c r="Y2262" s="13" t="e">
        <f>_xlfn.XLOOKUP(Table2[[#This Row],[Adjusted Form '#]],'[2]REJECTED ORDERS'!$D:$D,'[2]REJECTED ORDERS'!$E:$E)</f>
        <v>#N/A</v>
      </c>
      <c r="Z2262" s="1"/>
      <c r="AA2262" s="1"/>
    </row>
    <row r="2263" spans="1:27" ht="15" customHeight="1" x14ac:dyDescent="0.35">
      <c r="A2263" s="4" t="s">
        <v>3288</v>
      </c>
      <c r="B2263" s="1" t="s">
        <v>4506</v>
      </c>
      <c r="C2263" s="11">
        <v>45274</v>
      </c>
      <c r="D2263" s="11" t="s">
        <v>8027</v>
      </c>
      <c r="E2263" s="1" t="s">
        <v>21</v>
      </c>
      <c r="F2263" s="1" t="s">
        <v>8015</v>
      </c>
      <c r="G2263" s="6">
        <f>COUNTIF(F:F,Table2[[#This Row],[Form '#]])</f>
        <v>1</v>
      </c>
      <c r="H2263" s="1" t="s">
        <v>8016</v>
      </c>
      <c r="I2263" s="1" t="s">
        <v>3852</v>
      </c>
      <c r="J2263" s="1" t="s">
        <v>80</v>
      </c>
      <c r="K2263" s="1" t="s">
        <v>4430</v>
      </c>
      <c r="L2263" s="1"/>
      <c r="M2263" s="6" t="str">
        <f>IF(Table2[[#This Row],[Corrected Form '#
 (If Duplicated)]]="",Table2[[#This Row],[Form '#]],Table2[[#This Row],[Corrected Form '#
 (If Duplicated)]])</f>
        <v>7818-27720</v>
      </c>
      <c r="N2263" s="1" t="s">
        <v>49</v>
      </c>
      <c r="O2263" s="6" t="str">
        <f>IF(Table2[[#This Row],[POG CONFIRMATION RECEIPT OF ORDER
(DATE &amp; TIME)]]="","No Confirmation","Received Confirmation")</f>
        <v>Received Confirmation</v>
      </c>
      <c r="P2263" s="6">
        <f ca="1">TODAY()-Table2[[#This Row],[DATE SENT TO POG]]</f>
        <v>29</v>
      </c>
      <c r="Q2263" s="6" t="s">
        <v>6025</v>
      </c>
      <c r="R22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3" s="6" t="str">
        <f>_xlfn.XLOOKUP(Table2[[#This Row],[Adjusted Form '#]],'[2]IN PROGRESS'!$D:$D,'[2]IN PROGRESS'!$M:$M,"Not Found")</f>
        <v>Not Found</v>
      </c>
      <c r="U2263" s="6" t="str">
        <f>_xlfn.XLOOKUP(Table2[[#This Row],[Adjusted Form '#]],[1]COMPLETED!$D:$D,[2]COMPLETED!$M:$M,"Not Found")</f>
        <v>Not Found</v>
      </c>
      <c r="V2263" s="13">
        <f>_xlfn.XLOOKUP(Table2[[#This Row],[Adjusted Form '#]],[2]COMPLETED!$D:$D,[2]COMPLETED!$O:$O,"Not Found")</f>
        <v>45289</v>
      </c>
      <c r="W2263" s="6" t="str">
        <f>_xlfn.XLOOKUP(Table2[[#This Row],[Adjusted Form '#]],[2]BILLED!$D:$D,[2]BILLED!$M:$M,"Not Found")</f>
        <v>Not Found</v>
      </c>
      <c r="X2263" s="13" t="str">
        <f>_xlfn.XLOOKUP(Table2[[#This Row],[Adjusted Form '#]],[2]BILLED!$D:$D,[1]BILLED!$O:$O,"Not Found")</f>
        <v>Not Found</v>
      </c>
      <c r="Y2263" s="13" t="e">
        <f>_xlfn.XLOOKUP(Table2[[#This Row],[Adjusted Form '#]],'[2]REJECTED ORDERS'!$D:$D,'[2]REJECTED ORDERS'!$E:$E)</f>
        <v>#N/A</v>
      </c>
      <c r="Z2263" s="1"/>
      <c r="AA2263" s="1"/>
    </row>
    <row r="2264" spans="1:27" ht="15" customHeight="1" x14ac:dyDescent="0.35">
      <c r="A2264" s="4" t="s">
        <v>3290</v>
      </c>
      <c r="B2264" s="1" t="s">
        <v>4506</v>
      </c>
      <c r="C2264" s="11">
        <v>45274</v>
      </c>
      <c r="D2264" s="11" t="s">
        <v>8027</v>
      </c>
      <c r="E2264" s="1" t="s">
        <v>21</v>
      </c>
      <c r="F2264" s="1" t="s">
        <v>8017</v>
      </c>
      <c r="G2264" s="6">
        <f>COUNTIF(F:F,Table2[[#This Row],[Form '#]])</f>
        <v>1</v>
      </c>
      <c r="H2264" s="1" t="s">
        <v>8018</v>
      </c>
      <c r="I2264" s="1" t="s">
        <v>3864</v>
      </c>
      <c r="J2264" s="1" t="s">
        <v>78</v>
      </c>
      <c r="K2264" s="1" t="s">
        <v>3879</v>
      </c>
      <c r="L2264" s="1"/>
      <c r="M2264" s="6" t="str">
        <f>IF(Table2[[#This Row],[Corrected Form '#
 (If Duplicated)]]="",Table2[[#This Row],[Form '#]],Table2[[#This Row],[Corrected Form '#
 (If Duplicated)]])</f>
        <v>7818-18431</v>
      </c>
      <c r="N2264" s="1" t="s">
        <v>49</v>
      </c>
      <c r="O2264" s="6" t="str">
        <f>IF(Table2[[#This Row],[POG CONFIRMATION RECEIPT OF ORDER
(DATE &amp; TIME)]]="","No Confirmation","Received Confirmation")</f>
        <v>Received Confirmation</v>
      </c>
      <c r="P2264" s="6">
        <f ca="1">TODAY()-Table2[[#This Row],[DATE SENT TO POG]]</f>
        <v>29</v>
      </c>
      <c r="Q2264" s="6" t="s">
        <v>6025</v>
      </c>
      <c r="R22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4" s="6" t="str">
        <f>_xlfn.XLOOKUP(Table2[[#This Row],[Adjusted Form '#]],'[2]IN PROGRESS'!$D:$D,'[2]IN PROGRESS'!$M:$M,"Not Found")</f>
        <v>Not Found</v>
      </c>
      <c r="U2264" s="6" t="str">
        <f>_xlfn.XLOOKUP(Table2[[#This Row],[Adjusted Form '#]],[1]COMPLETED!$D:$D,[2]COMPLETED!$M:$M,"Not Found")</f>
        <v>Not Found</v>
      </c>
      <c r="V2264" s="13">
        <f>_xlfn.XLOOKUP(Table2[[#This Row],[Adjusted Form '#]],[2]COMPLETED!$D:$D,[2]COMPLETED!$O:$O,"Not Found")</f>
        <v>45289</v>
      </c>
      <c r="W2264" s="6" t="str">
        <f>_xlfn.XLOOKUP(Table2[[#This Row],[Adjusted Form '#]],[2]BILLED!$D:$D,[2]BILLED!$M:$M,"Not Found")</f>
        <v>Not Found</v>
      </c>
      <c r="X2264" s="13" t="str">
        <f>_xlfn.XLOOKUP(Table2[[#This Row],[Adjusted Form '#]],[2]BILLED!$D:$D,[1]BILLED!$O:$O,"Not Found")</f>
        <v>Not Found</v>
      </c>
      <c r="Y2264" s="13" t="e">
        <f>_xlfn.XLOOKUP(Table2[[#This Row],[Adjusted Form '#]],'[2]REJECTED ORDERS'!$D:$D,'[2]REJECTED ORDERS'!$E:$E)</f>
        <v>#N/A</v>
      </c>
      <c r="Z2264" s="1"/>
      <c r="AA2264" s="1"/>
    </row>
    <row r="2265" spans="1:27" ht="15" customHeight="1" x14ac:dyDescent="0.35">
      <c r="A2265" s="4" t="s">
        <v>3291</v>
      </c>
      <c r="B2265" s="1" t="s">
        <v>4506</v>
      </c>
      <c r="C2265" s="11">
        <v>45274</v>
      </c>
      <c r="D2265" s="11" t="s">
        <v>8027</v>
      </c>
      <c r="E2265" s="1" t="s">
        <v>21</v>
      </c>
      <c r="F2265" s="1" t="s">
        <v>8019</v>
      </c>
      <c r="G2265" s="6">
        <f>COUNTIF(F:F,Table2[[#This Row],[Form '#]])</f>
        <v>1</v>
      </c>
      <c r="H2265" s="1" t="s">
        <v>4544</v>
      </c>
      <c r="I2265" s="1" t="s">
        <v>177</v>
      </c>
      <c r="J2265" s="1" t="s">
        <v>75</v>
      </c>
      <c r="K2265" s="1" t="s">
        <v>4430</v>
      </c>
      <c r="L2265" s="1"/>
      <c r="M2265" s="6" t="str">
        <f>IF(Table2[[#This Row],[Corrected Form '#
 (If Duplicated)]]="",Table2[[#This Row],[Form '#]],Table2[[#This Row],[Corrected Form '#
 (If Duplicated)]])</f>
        <v>7818-27765</v>
      </c>
      <c r="N2265" s="1" t="s">
        <v>49</v>
      </c>
      <c r="O2265" s="6" t="str">
        <f>IF(Table2[[#This Row],[POG CONFIRMATION RECEIPT OF ORDER
(DATE &amp; TIME)]]="","No Confirmation","Received Confirmation")</f>
        <v>Received Confirmation</v>
      </c>
      <c r="P2265" s="6">
        <f ca="1">TODAY()-Table2[[#This Row],[DATE SENT TO POG]]</f>
        <v>29</v>
      </c>
      <c r="Q2265" s="6" t="s">
        <v>6025</v>
      </c>
      <c r="R22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5" s="6" t="str">
        <f>_xlfn.XLOOKUP(Table2[[#This Row],[Adjusted Form '#]],'[2]IN PROGRESS'!$D:$D,'[2]IN PROGRESS'!$M:$M,"Not Found")</f>
        <v>Not Found</v>
      </c>
      <c r="U2265" s="6" t="str">
        <f>_xlfn.XLOOKUP(Table2[[#This Row],[Adjusted Form '#]],[1]COMPLETED!$D:$D,[2]COMPLETED!$M:$M,"Not Found")</f>
        <v>Not Found</v>
      </c>
      <c r="V2265" s="13">
        <f>_xlfn.XLOOKUP(Table2[[#This Row],[Adjusted Form '#]],[2]COMPLETED!$D:$D,[2]COMPLETED!$O:$O,"Not Found")</f>
        <v>45289</v>
      </c>
      <c r="W2265" s="6" t="str">
        <f>_xlfn.XLOOKUP(Table2[[#This Row],[Adjusted Form '#]],[2]BILLED!$D:$D,[2]BILLED!$M:$M,"Not Found")</f>
        <v>Not Found</v>
      </c>
      <c r="X2265" s="13" t="str">
        <f>_xlfn.XLOOKUP(Table2[[#This Row],[Adjusted Form '#]],[2]BILLED!$D:$D,[1]BILLED!$O:$O,"Not Found")</f>
        <v>Not Found</v>
      </c>
      <c r="Y2265" s="13" t="e">
        <f>_xlfn.XLOOKUP(Table2[[#This Row],[Adjusted Form '#]],'[2]REJECTED ORDERS'!$D:$D,'[2]REJECTED ORDERS'!$E:$E)</f>
        <v>#N/A</v>
      </c>
      <c r="Z2265" s="1"/>
      <c r="AA2265" s="1"/>
    </row>
    <row r="2266" spans="1:27" ht="15" customHeight="1" x14ac:dyDescent="0.35">
      <c r="A2266" s="4" t="s">
        <v>3293</v>
      </c>
      <c r="B2266" s="1" t="s">
        <v>4506</v>
      </c>
      <c r="C2266" s="11">
        <v>45274</v>
      </c>
      <c r="D2266" s="11" t="s">
        <v>8027</v>
      </c>
      <c r="E2266" s="1" t="s">
        <v>21</v>
      </c>
      <c r="F2266" s="1" t="s">
        <v>8020</v>
      </c>
      <c r="G2266" s="6">
        <f>COUNTIF(F:F,Table2[[#This Row],[Form '#]])</f>
        <v>1</v>
      </c>
      <c r="H2266" s="1" t="s">
        <v>3714</v>
      </c>
      <c r="I2266" s="1" t="s">
        <v>758</v>
      </c>
      <c r="J2266" s="1" t="s">
        <v>78</v>
      </c>
      <c r="K2266" s="1" t="s">
        <v>4430</v>
      </c>
      <c r="L2266" s="1"/>
      <c r="M2266" s="6" t="str">
        <f>IF(Table2[[#This Row],[Corrected Form '#
 (If Duplicated)]]="",Table2[[#This Row],[Form '#]],Table2[[#This Row],[Corrected Form '#
 (If Duplicated)]])</f>
        <v>7818-19666</v>
      </c>
      <c r="N2266" s="1" t="s">
        <v>49</v>
      </c>
      <c r="O2266" s="6" t="str">
        <f>IF(Table2[[#This Row],[POG CONFIRMATION RECEIPT OF ORDER
(DATE &amp; TIME)]]="","No Confirmation","Received Confirmation")</f>
        <v>Received Confirmation</v>
      </c>
      <c r="P2266" s="6">
        <f ca="1">TODAY()-Table2[[#This Row],[DATE SENT TO POG]]</f>
        <v>29</v>
      </c>
      <c r="Q2266" s="6" t="s">
        <v>6025</v>
      </c>
      <c r="R22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6" s="6" t="str">
        <f>_xlfn.XLOOKUP(Table2[[#This Row],[Adjusted Form '#]],'[2]IN PROGRESS'!$D:$D,'[2]IN PROGRESS'!$M:$M,"Not Found")</f>
        <v>Not Found</v>
      </c>
      <c r="U2266" s="6" t="str">
        <f>_xlfn.XLOOKUP(Table2[[#This Row],[Adjusted Form '#]],[1]COMPLETED!$D:$D,[2]COMPLETED!$M:$M,"Not Found")</f>
        <v>Not Found</v>
      </c>
      <c r="V2266" s="13">
        <f>_xlfn.XLOOKUP(Table2[[#This Row],[Adjusted Form '#]],[2]COMPLETED!$D:$D,[2]COMPLETED!$O:$O,"Not Found")</f>
        <v>45289</v>
      </c>
      <c r="W2266" s="6" t="str">
        <f>_xlfn.XLOOKUP(Table2[[#This Row],[Adjusted Form '#]],[2]BILLED!$D:$D,[2]BILLED!$M:$M,"Not Found")</f>
        <v>Not Found</v>
      </c>
      <c r="X2266" s="13" t="str">
        <f>_xlfn.XLOOKUP(Table2[[#This Row],[Adjusted Form '#]],[2]BILLED!$D:$D,[1]BILLED!$O:$O,"Not Found")</f>
        <v>Not Found</v>
      </c>
      <c r="Y2266" s="13" t="e">
        <f>_xlfn.XLOOKUP(Table2[[#This Row],[Adjusted Form '#]],'[2]REJECTED ORDERS'!$D:$D,'[2]REJECTED ORDERS'!$E:$E)</f>
        <v>#N/A</v>
      </c>
      <c r="Z2266" s="1"/>
      <c r="AA2266" s="1"/>
    </row>
    <row r="2267" spans="1:27" ht="15" customHeight="1" x14ac:dyDescent="0.35">
      <c r="A2267" s="4" t="s">
        <v>3294</v>
      </c>
      <c r="B2267" s="1" t="s">
        <v>4506</v>
      </c>
      <c r="C2267" s="11">
        <v>45274</v>
      </c>
      <c r="D2267" s="11" t="s">
        <v>8027</v>
      </c>
      <c r="E2267" s="1" t="s">
        <v>21</v>
      </c>
      <c r="F2267" s="1" t="s">
        <v>8021</v>
      </c>
      <c r="G2267" s="6">
        <f>COUNTIF(F:F,Table2[[#This Row],[Form '#]])</f>
        <v>1</v>
      </c>
      <c r="H2267" s="1" t="s">
        <v>2020</v>
      </c>
      <c r="I2267" s="1" t="s">
        <v>3864</v>
      </c>
      <c r="J2267" s="1" t="s">
        <v>78</v>
      </c>
      <c r="K2267" s="1" t="s">
        <v>3879</v>
      </c>
      <c r="L2267" s="1"/>
      <c r="M2267" s="6" t="str">
        <f>IF(Table2[[#This Row],[Corrected Form '#
 (If Duplicated)]]="",Table2[[#This Row],[Form '#]],Table2[[#This Row],[Corrected Form '#
 (If Duplicated)]])</f>
        <v>7818-23232</v>
      </c>
      <c r="N2267" s="1" t="s">
        <v>49</v>
      </c>
      <c r="O2267" s="6" t="str">
        <f>IF(Table2[[#This Row],[POG CONFIRMATION RECEIPT OF ORDER
(DATE &amp; TIME)]]="","No Confirmation","Received Confirmation")</f>
        <v>Received Confirmation</v>
      </c>
      <c r="P2267" s="6">
        <f ca="1">TODAY()-Table2[[#This Row],[DATE SENT TO POG]]</f>
        <v>29</v>
      </c>
      <c r="Q2267" s="6" t="s">
        <v>6025</v>
      </c>
      <c r="R22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7" s="6" t="str">
        <f>_xlfn.XLOOKUP(Table2[[#This Row],[Adjusted Form '#]],'[2]IN PROGRESS'!$D:$D,'[2]IN PROGRESS'!$M:$M,"Not Found")</f>
        <v>Not Found</v>
      </c>
      <c r="U2267" s="6" t="str">
        <f>_xlfn.XLOOKUP(Table2[[#This Row],[Adjusted Form '#]],[1]COMPLETED!$D:$D,[2]COMPLETED!$M:$M,"Not Found")</f>
        <v>Not Found</v>
      </c>
      <c r="V2267" s="13">
        <f>_xlfn.XLOOKUP(Table2[[#This Row],[Adjusted Form '#]],[2]COMPLETED!$D:$D,[2]COMPLETED!$O:$O,"Not Found")</f>
        <v>45289</v>
      </c>
      <c r="W2267" s="6" t="str">
        <f>_xlfn.XLOOKUP(Table2[[#This Row],[Adjusted Form '#]],[2]BILLED!$D:$D,[2]BILLED!$M:$M,"Not Found")</f>
        <v>Not Found</v>
      </c>
      <c r="X2267" s="13" t="str">
        <f>_xlfn.XLOOKUP(Table2[[#This Row],[Adjusted Form '#]],[2]BILLED!$D:$D,[1]BILLED!$O:$O,"Not Found")</f>
        <v>Not Found</v>
      </c>
      <c r="Y2267" s="13" t="e">
        <f>_xlfn.XLOOKUP(Table2[[#This Row],[Adjusted Form '#]],'[2]REJECTED ORDERS'!$D:$D,'[2]REJECTED ORDERS'!$E:$E)</f>
        <v>#N/A</v>
      </c>
      <c r="Z2267" s="1"/>
      <c r="AA2267" s="1"/>
    </row>
    <row r="2268" spans="1:27" ht="15" customHeight="1" x14ac:dyDescent="0.35">
      <c r="A2268" s="4" t="s">
        <v>3296</v>
      </c>
      <c r="B2268" s="1" t="s">
        <v>4506</v>
      </c>
      <c r="C2268" s="11">
        <v>45274</v>
      </c>
      <c r="D2268" s="11" t="s">
        <v>8027</v>
      </c>
      <c r="E2268" s="1" t="s">
        <v>21</v>
      </c>
      <c r="F2268" s="1" t="s">
        <v>8022</v>
      </c>
      <c r="G2268" s="6">
        <f>COUNTIF(F:F,Table2[[#This Row],[Form '#]])</f>
        <v>1</v>
      </c>
      <c r="H2268" s="1" t="s">
        <v>8023</v>
      </c>
      <c r="I2268" s="1" t="s">
        <v>127</v>
      </c>
      <c r="J2268" s="1" t="s">
        <v>71</v>
      </c>
      <c r="K2268" s="1" t="s">
        <v>3883</v>
      </c>
      <c r="L2268" s="1"/>
      <c r="M2268" s="6" t="str">
        <f>IF(Table2[[#This Row],[Corrected Form '#
 (If Duplicated)]]="",Table2[[#This Row],[Form '#]],Table2[[#This Row],[Corrected Form '#
 (If Duplicated)]])</f>
        <v>7818-29919</v>
      </c>
      <c r="N2268" s="1" t="s">
        <v>49</v>
      </c>
      <c r="O2268" s="6" t="str">
        <f>IF(Table2[[#This Row],[POG CONFIRMATION RECEIPT OF ORDER
(DATE &amp; TIME)]]="","No Confirmation","Received Confirmation")</f>
        <v>Received Confirmation</v>
      </c>
      <c r="P2268" s="6">
        <f ca="1">TODAY()-Table2[[#This Row],[DATE SENT TO POG]]</f>
        <v>29</v>
      </c>
      <c r="Q2268" s="6" t="s">
        <v>6025</v>
      </c>
      <c r="R22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8" s="6" t="str">
        <f>_xlfn.XLOOKUP(Table2[[#This Row],[Adjusted Form '#]],'[2]IN PROGRESS'!$D:$D,'[2]IN PROGRESS'!$M:$M,"Not Found")</f>
        <v>Not Found</v>
      </c>
      <c r="U2268" s="6" t="str">
        <f>_xlfn.XLOOKUP(Table2[[#This Row],[Adjusted Form '#]],[1]COMPLETED!$D:$D,[2]COMPLETED!$M:$M,"Not Found")</f>
        <v>Not Found</v>
      </c>
      <c r="V2268" s="13" t="e">
        <f>_xlfn.XLOOKUP(Table2[[#This Row],[Adjusted Form '#]],[2]COMPLETED!$D:$D,[2]COMPLETED!$O:$O,"Not Found")</f>
        <v>#N/A</v>
      </c>
      <c r="W2268" s="6" t="str">
        <f>_xlfn.XLOOKUP(Table2[[#This Row],[Adjusted Form '#]],[2]BILLED!$D:$D,[2]BILLED!$M:$M,"Not Found")</f>
        <v>Not Found</v>
      </c>
      <c r="X2268" s="13" t="str">
        <f>_xlfn.XLOOKUP(Table2[[#This Row],[Adjusted Form '#]],[2]BILLED!$D:$D,[1]BILLED!$O:$O,"Not Found")</f>
        <v>Not Found</v>
      </c>
      <c r="Y2268" s="13" t="e">
        <f>_xlfn.XLOOKUP(Table2[[#This Row],[Adjusted Form '#]],'[2]REJECTED ORDERS'!$D:$D,'[2]REJECTED ORDERS'!$E:$E)</f>
        <v>#N/A</v>
      </c>
      <c r="Z2268" s="1"/>
      <c r="AA2268" s="1"/>
    </row>
    <row r="2269" spans="1:27" ht="15" customHeight="1" x14ac:dyDescent="0.35">
      <c r="A2269" s="4" t="s">
        <v>3297</v>
      </c>
      <c r="B2269" s="1" t="s">
        <v>8024</v>
      </c>
      <c r="C2269" s="11">
        <v>45275</v>
      </c>
      <c r="D2269" s="11" t="s">
        <v>8026</v>
      </c>
      <c r="E2269" s="1" t="s">
        <v>14</v>
      </c>
      <c r="F2269" s="1" t="s">
        <v>8025</v>
      </c>
      <c r="G2269" s="6">
        <f>COUNTIF(F:F,Table2[[#This Row],[Form '#]])</f>
        <v>1</v>
      </c>
      <c r="H2269" s="1" t="s">
        <v>3612</v>
      </c>
      <c r="I2269" s="1" t="s">
        <v>177</v>
      </c>
      <c r="J2269" s="1" t="s">
        <v>75</v>
      </c>
      <c r="K2269" s="1" t="s">
        <v>4430</v>
      </c>
      <c r="L2269" s="1"/>
      <c r="M2269" s="6" t="str">
        <f>IF(Table2[[#This Row],[Corrected Form '#
 (If Duplicated)]]="",Table2[[#This Row],[Form '#]],Table2[[#This Row],[Corrected Form '#
 (If Duplicated)]])</f>
        <v>7810-03052</v>
      </c>
      <c r="N2269" s="1" t="s">
        <v>49</v>
      </c>
      <c r="O2269" s="6" t="str">
        <f>IF(Table2[[#This Row],[POG CONFIRMATION RECEIPT OF ORDER
(DATE &amp; TIME)]]="","No Confirmation","Received Confirmation")</f>
        <v>Received Confirmation</v>
      </c>
      <c r="P2269" s="6">
        <f ca="1">TODAY()-Table2[[#This Row],[DATE SENT TO POG]]</f>
        <v>28</v>
      </c>
      <c r="Q2269" s="6" t="s">
        <v>6025</v>
      </c>
      <c r="R22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6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69" s="6" t="str">
        <f>_xlfn.XLOOKUP(Table2[[#This Row],[Adjusted Form '#]],'[2]IN PROGRESS'!$D:$D,'[2]IN PROGRESS'!$M:$M,"Not Found")</f>
        <v>Not Found</v>
      </c>
      <c r="U2269" s="6" t="str">
        <f>_xlfn.XLOOKUP(Table2[[#This Row],[Adjusted Form '#]],[1]COMPLETED!$D:$D,[2]COMPLETED!$M:$M,"Not Found")</f>
        <v>Not Found</v>
      </c>
      <c r="V2269" s="13">
        <f>_xlfn.XLOOKUP(Table2[[#This Row],[Adjusted Form '#]],[2]COMPLETED!$D:$D,[2]COMPLETED!$O:$O,"Not Found")</f>
        <v>45290</v>
      </c>
      <c r="W2269" s="6" t="str">
        <f>_xlfn.XLOOKUP(Table2[[#This Row],[Adjusted Form '#]],[2]BILLED!$D:$D,[2]BILLED!$M:$M,"Not Found")</f>
        <v>Not Found</v>
      </c>
      <c r="X2269" s="13" t="str">
        <f>_xlfn.XLOOKUP(Table2[[#This Row],[Adjusted Form '#]],[2]BILLED!$D:$D,[1]BILLED!$O:$O,"Not Found")</f>
        <v>Not Found</v>
      </c>
      <c r="Y2269" s="13" t="e">
        <f>_xlfn.XLOOKUP(Table2[[#This Row],[Adjusted Form '#]],'[2]REJECTED ORDERS'!$D:$D,'[2]REJECTED ORDERS'!$E:$E)</f>
        <v>#N/A</v>
      </c>
      <c r="Z2269" s="1"/>
      <c r="AA2269" s="1"/>
    </row>
    <row r="2270" spans="1:27" ht="15" customHeight="1" x14ac:dyDescent="0.35">
      <c r="A2270" s="4" t="s">
        <v>3299</v>
      </c>
      <c r="B2270" s="1" t="s">
        <v>3770</v>
      </c>
      <c r="C2270" s="11">
        <v>45275</v>
      </c>
      <c r="D2270" s="11" t="s">
        <v>8040</v>
      </c>
      <c r="E2270" s="1" t="s">
        <v>21</v>
      </c>
      <c r="F2270" s="1" t="s">
        <v>8028</v>
      </c>
      <c r="G2270" s="6">
        <f>COUNTIF(F:F,Table2[[#This Row],[Form '#]])</f>
        <v>1</v>
      </c>
      <c r="H2270" s="1" t="s">
        <v>1883</v>
      </c>
      <c r="I2270" s="1" t="s">
        <v>3852</v>
      </c>
      <c r="J2270" s="1" t="s">
        <v>80</v>
      </c>
      <c r="K2270" s="1" t="s">
        <v>4011</v>
      </c>
      <c r="L2270" s="1"/>
      <c r="M2270" s="6" t="str">
        <f>IF(Table2[[#This Row],[Corrected Form '#
 (If Duplicated)]]="",Table2[[#This Row],[Form '#]],Table2[[#This Row],[Corrected Form '#
 (If Duplicated)]])</f>
        <v>7818-22618</v>
      </c>
      <c r="N2270" s="1" t="s">
        <v>49</v>
      </c>
      <c r="O2270" s="6" t="str">
        <f>IF(Table2[[#This Row],[POG CONFIRMATION RECEIPT OF ORDER
(DATE &amp; TIME)]]="","No Confirmation","Received Confirmation")</f>
        <v>Received Confirmation</v>
      </c>
      <c r="P2270" s="6">
        <f ca="1">TODAY()-Table2[[#This Row],[DATE SENT TO POG]]</f>
        <v>28</v>
      </c>
      <c r="Q2270" s="6" t="s">
        <v>6025</v>
      </c>
      <c r="R22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0" s="6" t="str">
        <f>_xlfn.XLOOKUP(Table2[[#This Row],[Adjusted Form '#]],'[2]IN PROGRESS'!$D:$D,'[2]IN PROGRESS'!$M:$M,"Not Found")</f>
        <v>Not Found</v>
      </c>
      <c r="U2270" s="6" t="str">
        <f>_xlfn.XLOOKUP(Table2[[#This Row],[Adjusted Form '#]],[1]COMPLETED!$D:$D,[2]COMPLETED!$M:$M,"Not Found")</f>
        <v>Not Found</v>
      </c>
      <c r="V2270" s="13">
        <f>_xlfn.XLOOKUP(Table2[[#This Row],[Adjusted Form '#]],[2]COMPLETED!$D:$D,[2]COMPLETED!$O:$O,"Not Found")</f>
        <v>45289</v>
      </c>
      <c r="W2270" s="6" t="str">
        <f>_xlfn.XLOOKUP(Table2[[#This Row],[Adjusted Form '#]],[2]BILLED!$D:$D,[2]BILLED!$M:$M,"Not Found")</f>
        <v>Not Found</v>
      </c>
      <c r="X2270" s="13" t="str">
        <f>_xlfn.XLOOKUP(Table2[[#This Row],[Adjusted Form '#]],[2]BILLED!$D:$D,[1]BILLED!$O:$O,"Not Found")</f>
        <v>Not Found</v>
      </c>
      <c r="Y2270" s="13" t="e">
        <f>_xlfn.XLOOKUP(Table2[[#This Row],[Adjusted Form '#]],'[2]REJECTED ORDERS'!$D:$D,'[2]REJECTED ORDERS'!$E:$E)</f>
        <v>#N/A</v>
      </c>
      <c r="Z2270" s="1"/>
      <c r="AA2270" s="1"/>
    </row>
    <row r="2271" spans="1:27" ht="15" customHeight="1" x14ac:dyDescent="0.35">
      <c r="A2271" s="4" t="s">
        <v>3300</v>
      </c>
      <c r="B2271" s="1" t="s">
        <v>328</v>
      </c>
      <c r="C2271" s="11">
        <v>45275</v>
      </c>
      <c r="D2271" s="11" t="s">
        <v>8041</v>
      </c>
      <c r="E2271" s="1" t="s">
        <v>3625</v>
      </c>
      <c r="F2271" s="1" t="s">
        <v>8029</v>
      </c>
      <c r="G2271" s="6">
        <f>COUNTIF(F:F,Table2[[#This Row],[Form '#]])</f>
        <v>1</v>
      </c>
      <c r="H2271" s="1" t="s">
        <v>8032</v>
      </c>
      <c r="I2271" s="1" t="s">
        <v>3864</v>
      </c>
      <c r="J2271" s="1" t="s">
        <v>78</v>
      </c>
      <c r="K2271" s="1" t="s">
        <v>3879</v>
      </c>
      <c r="L2271" s="1"/>
      <c r="M2271" s="6" t="str">
        <f>IF(Table2[[#This Row],[Corrected Form '#
 (If Duplicated)]]="",Table2[[#This Row],[Form '#]],Table2[[#This Row],[Corrected Form '#
 (If Duplicated)]])</f>
        <v>7815-00140</v>
      </c>
      <c r="N2271" s="1" t="s">
        <v>49</v>
      </c>
      <c r="O2271" s="6" t="str">
        <f>IF(Table2[[#This Row],[POG CONFIRMATION RECEIPT OF ORDER
(DATE &amp; TIME)]]="","No Confirmation","Received Confirmation")</f>
        <v>Received Confirmation</v>
      </c>
      <c r="P2271" s="6">
        <f ca="1">TODAY()-Table2[[#This Row],[DATE SENT TO POG]]</f>
        <v>28</v>
      </c>
      <c r="Q2271" s="6" t="s">
        <v>6025</v>
      </c>
      <c r="R22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1" s="6" t="str">
        <f>_xlfn.XLOOKUP(Table2[[#This Row],[Adjusted Form '#]],'[2]IN PROGRESS'!$D:$D,'[2]IN PROGRESS'!$M:$M,"Not Found")</f>
        <v>Not Found</v>
      </c>
      <c r="U2271" s="6" t="str">
        <f>_xlfn.XLOOKUP(Table2[[#This Row],[Adjusted Form '#]],[1]COMPLETED!$D:$D,[2]COMPLETED!$M:$M,"Not Found")</f>
        <v>Not Found</v>
      </c>
      <c r="V2271" s="13">
        <f>_xlfn.XLOOKUP(Table2[[#This Row],[Adjusted Form '#]],[2]COMPLETED!$D:$D,[2]COMPLETED!$O:$O,"Not Found")</f>
        <v>45289</v>
      </c>
      <c r="W2271" s="6" t="str">
        <f>_xlfn.XLOOKUP(Table2[[#This Row],[Adjusted Form '#]],[2]BILLED!$D:$D,[2]BILLED!$M:$M,"Not Found")</f>
        <v>Not Found</v>
      </c>
      <c r="X2271" s="13" t="str">
        <f>_xlfn.XLOOKUP(Table2[[#This Row],[Adjusted Form '#]],[2]BILLED!$D:$D,[1]BILLED!$O:$O,"Not Found")</f>
        <v>Not Found</v>
      </c>
      <c r="Y2271" s="13" t="e">
        <f>_xlfn.XLOOKUP(Table2[[#This Row],[Adjusted Form '#]],'[2]REJECTED ORDERS'!$D:$D,'[2]REJECTED ORDERS'!$E:$E)</f>
        <v>#N/A</v>
      </c>
      <c r="Z2271" s="1"/>
      <c r="AA2271" s="1"/>
    </row>
    <row r="2272" spans="1:27" ht="15" customHeight="1" x14ac:dyDescent="0.35">
      <c r="A2272" s="4" t="s">
        <v>3301</v>
      </c>
      <c r="B2272" s="1" t="s">
        <v>328</v>
      </c>
      <c r="C2272" s="11">
        <v>45275</v>
      </c>
      <c r="D2272" s="11" t="s">
        <v>8041</v>
      </c>
      <c r="E2272" s="1" t="s">
        <v>3625</v>
      </c>
      <c r="F2272" s="1" t="s">
        <v>8030</v>
      </c>
      <c r="G2272" s="6">
        <f>COUNTIF(F:F,Table2[[#This Row],[Form '#]])</f>
        <v>1</v>
      </c>
      <c r="H2272" s="1" t="s">
        <v>8049</v>
      </c>
      <c r="I2272" s="1" t="s">
        <v>127</v>
      </c>
      <c r="J2272" s="1" t="s">
        <v>76</v>
      </c>
      <c r="K2272" s="1" t="s">
        <v>4011</v>
      </c>
      <c r="L2272" s="1"/>
      <c r="M2272" s="6" t="str">
        <f>IF(Table2[[#This Row],[Corrected Form '#
 (If Duplicated)]]="",Table2[[#This Row],[Form '#]],Table2[[#This Row],[Corrected Form '#
 (If Duplicated)]])</f>
        <v>7815-00129</v>
      </c>
      <c r="N2272" s="1" t="s">
        <v>49</v>
      </c>
      <c r="O2272" s="6" t="str">
        <f>IF(Table2[[#This Row],[POG CONFIRMATION RECEIPT OF ORDER
(DATE &amp; TIME)]]="","No Confirmation","Received Confirmation")</f>
        <v>Received Confirmation</v>
      </c>
      <c r="P2272" s="6">
        <f ca="1">TODAY()-Table2[[#This Row],[DATE SENT TO POG]]</f>
        <v>28</v>
      </c>
      <c r="Q2272" s="6" t="s">
        <v>5802</v>
      </c>
      <c r="R22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2" s="6" t="str">
        <f>_xlfn.XLOOKUP(Table2[[#This Row],[Adjusted Form '#]],'[2]IN PROGRESS'!$D:$D,'[2]IN PROGRESS'!$M:$M,"Not Found")</f>
        <v>Not Found</v>
      </c>
      <c r="U2272" s="6" t="str">
        <f>_xlfn.XLOOKUP(Table2[[#This Row],[Adjusted Form '#]],[1]COMPLETED!$D:$D,[2]COMPLETED!$M:$M,"Not Found")</f>
        <v>Not Found</v>
      </c>
      <c r="V2272" s="13" t="str">
        <f>_xlfn.XLOOKUP(Table2[[#This Row],[Adjusted Form '#]],[2]COMPLETED!$D:$D,[2]COMPLETED!$O:$O,"Not Found")</f>
        <v>Not Found</v>
      </c>
      <c r="W2272" s="6" t="str">
        <f>_xlfn.XLOOKUP(Table2[[#This Row],[Adjusted Form '#]],[2]BILLED!$D:$D,[2]BILLED!$M:$M,"Not Found")</f>
        <v>Not Found</v>
      </c>
      <c r="X2272" s="13" t="str">
        <f>_xlfn.XLOOKUP(Table2[[#This Row],[Adjusted Form '#]],[2]BILLED!$D:$D,[1]BILLED!$O:$O,"Not Found")</f>
        <v>Not Found</v>
      </c>
      <c r="Y2272" s="13" t="str">
        <f>_xlfn.XLOOKUP(Table2[[#This Row],[Adjusted Form '#]],'[2]REJECTED ORDERS'!$D:$D,'[2]REJECTED ORDERS'!$E:$E)</f>
        <v>NO PASS NUMBER</v>
      </c>
      <c r="Z2272" s="1"/>
      <c r="AA2272" s="1"/>
    </row>
    <row r="2273" spans="1:27" ht="15" customHeight="1" x14ac:dyDescent="0.35">
      <c r="A2273" s="4" t="s">
        <v>3303</v>
      </c>
      <c r="B2273" s="1" t="s">
        <v>328</v>
      </c>
      <c r="C2273" s="11">
        <v>45275</v>
      </c>
      <c r="D2273" s="11" t="s">
        <v>8041</v>
      </c>
      <c r="E2273" s="1" t="s">
        <v>3625</v>
      </c>
      <c r="F2273" s="1" t="s">
        <v>8031</v>
      </c>
      <c r="G2273" s="6">
        <f>COUNTIF(F:F,Table2[[#This Row],[Form '#]])</f>
        <v>1</v>
      </c>
      <c r="H2273" s="1" t="s">
        <v>8048</v>
      </c>
      <c r="I2273" s="1" t="s">
        <v>3864</v>
      </c>
      <c r="J2273" s="1" t="s">
        <v>78</v>
      </c>
      <c r="K2273" s="1" t="s">
        <v>3879</v>
      </c>
      <c r="L2273" s="1"/>
      <c r="M2273" s="6" t="str">
        <f>IF(Table2[[#This Row],[Corrected Form '#
 (If Duplicated)]]="",Table2[[#This Row],[Form '#]],Table2[[#This Row],[Corrected Form '#
 (If Duplicated)]])</f>
        <v>7815-00136</v>
      </c>
      <c r="N2273" s="1" t="s">
        <v>49</v>
      </c>
      <c r="O2273" s="6" t="str">
        <f>IF(Table2[[#This Row],[POG CONFIRMATION RECEIPT OF ORDER
(DATE &amp; TIME)]]="","No Confirmation","Received Confirmation")</f>
        <v>Received Confirmation</v>
      </c>
      <c r="P2273" s="6">
        <f ca="1">TODAY()-Table2[[#This Row],[DATE SENT TO POG]]</f>
        <v>28</v>
      </c>
      <c r="Q2273" s="6" t="s">
        <v>5802</v>
      </c>
      <c r="R22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3" s="6" t="str">
        <f>_xlfn.XLOOKUP(Table2[[#This Row],[Adjusted Form '#]],'[2]IN PROGRESS'!$D:$D,'[2]IN PROGRESS'!$M:$M,"Not Found")</f>
        <v>Not Found</v>
      </c>
      <c r="U2273" s="6" t="str">
        <f>_xlfn.XLOOKUP(Table2[[#This Row],[Adjusted Form '#]],[1]COMPLETED!$D:$D,[2]COMPLETED!$M:$M,"Not Found")</f>
        <v>Not Found</v>
      </c>
      <c r="V2273" s="13" t="str">
        <f>_xlfn.XLOOKUP(Table2[[#This Row],[Adjusted Form '#]],[2]COMPLETED!$D:$D,[2]COMPLETED!$O:$O,"Not Found")</f>
        <v>Not Found</v>
      </c>
      <c r="W2273" s="6" t="str">
        <f>_xlfn.XLOOKUP(Table2[[#This Row],[Adjusted Form '#]],[2]BILLED!$D:$D,[2]BILLED!$M:$M,"Not Found")</f>
        <v>Not Found</v>
      </c>
      <c r="X2273" s="13" t="str">
        <f>_xlfn.XLOOKUP(Table2[[#This Row],[Adjusted Form '#]],[2]BILLED!$D:$D,[1]BILLED!$O:$O,"Not Found")</f>
        <v>Not Found</v>
      </c>
      <c r="Y2273" s="13" t="str">
        <f>_xlfn.XLOOKUP(Table2[[#This Row],[Adjusted Form '#]],'[2]REJECTED ORDERS'!$D:$D,'[2]REJECTED ORDERS'!$E:$E)</f>
        <v>NO PASS NUMBER</v>
      </c>
      <c r="Z2273" s="1"/>
      <c r="AA2273" s="1"/>
    </row>
    <row r="2274" spans="1:27" ht="15" customHeight="1" x14ac:dyDescent="0.35">
      <c r="A2274" s="4" t="s">
        <v>3304</v>
      </c>
      <c r="B2274" s="1" t="s">
        <v>1986</v>
      </c>
      <c r="C2274" s="11">
        <v>45278</v>
      </c>
      <c r="D2274" s="11" t="s">
        <v>8039</v>
      </c>
      <c r="E2274" s="1" t="s">
        <v>21</v>
      </c>
      <c r="F2274" s="1" t="s">
        <v>8033</v>
      </c>
      <c r="G2274" s="6">
        <f>COUNTIF(F:F,Table2[[#This Row],[Form '#]])</f>
        <v>1</v>
      </c>
      <c r="H2274" s="1" t="s">
        <v>2667</v>
      </c>
      <c r="I2274" s="1" t="s">
        <v>3852</v>
      </c>
      <c r="J2274" s="1" t="s">
        <v>3891</v>
      </c>
      <c r="K2274" s="1" t="s">
        <v>3891</v>
      </c>
      <c r="L2274" s="1"/>
      <c r="M2274" s="6" t="str">
        <f>IF(Table2[[#This Row],[Corrected Form '#
 (If Duplicated)]]="",Table2[[#This Row],[Form '#]],Table2[[#This Row],[Corrected Form '#
 (If Duplicated)]])</f>
        <v>7818-18943</v>
      </c>
      <c r="N2274" s="1" t="s">
        <v>49</v>
      </c>
      <c r="O2274" s="6" t="str">
        <f>IF(Table2[[#This Row],[POG CONFIRMATION RECEIPT OF ORDER
(DATE &amp; TIME)]]="","No Confirmation","Received Confirmation")</f>
        <v>Received Confirmation</v>
      </c>
      <c r="P2274" s="6">
        <f ca="1">TODAY()-Table2[[#This Row],[DATE SENT TO POG]]</f>
        <v>25</v>
      </c>
      <c r="Q2274" s="6" t="s">
        <v>6025</v>
      </c>
      <c r="R22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4" s="6" t="str">
        <f>_xlfn.XLOOKUP(Table2[[#This Row],[Adjusted Form '#]],'[2]IN PROGRESS'!$D:$D,'[2]IN PROGRESS'!$M:$M,"Not Found")</f>
        <v>Not Found</v>
      </c>
      <c r="U2274" s="6" t="str">
        <f>_xlfn.XLOOKUP(Table2[[#This Row],[Adjusted Form '#]],[1]COMPLETED!$D:$D,[2]COMPLETED!$M:$M,"Not Found")</f>
        <v>Not Found</v>
      </c>
      <c r="V2274" s="13">
        <f>_xlfn.XLOOKUP(Table2[[#This Row],[Adjusted Form '#]],[2]COMPLETED!$D:$D,[2]COMPLETED!$O:$O,"Not Found")</f>
        <v>45289</v>
      </c>
      <c r="W2274" s="6" t="str">
        <f>_xlfn.XLOOKUP(Table2[[#This Row],[Adjusted Form '#]],[2]BILLED!$D:$D,[2]BILLED!$M:$M,"Not Found")</f>
        <v>Not Found</v>
      </c>
      <c r="X2274" s="13" t="str">
        <f>_xlfn.XLOOKUP(Table2[[#This Row],[Adjusted Form '#]],[2]BILLED!$D:$D,[1]BILLED!$O:$O,"Not Found")</f>
        <v>Not Found</v>
      </c>
      <c r="Y2274" s="13" t="e">
        <f>_xlfn.XLOOKUP(Table2[[#This Row],[Adjusted Form '#]],'[2]REJECTED ORDERS'!$D:$D,'[2]REJECTED ORDERS'!$E:$E)</f>
        <v>#N/A</v>
      </c>
      <c r="Z2274" s="1"/>
      <c r="AA2274" s="1"/>
    </row>
    <row r="2275" spans="1:27" ht="15" customHeight="1" x14ac:dyDescent="0.35">
      <c r="A2275" s="4" t="s">
        <v>3306</v>
      </c>
      <c r="B2275" s="1" t="s">
        <v>1986</v>
      </c>
      <c r="C2275" s="11">
        <v>45278</v>
      </c>
      <c r="D2275" s="11" t="s">
        <v>8039</v>
      </c>
      <c r="E2275" s="1" t="s">
        <v>21</v>
      </c>
      <c r="F2275" s="1" t="s">
        <v>8034</v>
      </c>
      <c r="G2275" s="6">
        <f>COUNTIF(F:F,Table2[[#This Row],[Form '#]])</f>
        <v>1</v>
      </c>
      <c r="H2275" s="1" t="s">
        <v>2982</v>
      </c>
      <c r="I2275" s="1" t="s">
        <v>127</v>
      </c>
      <c r="J2275" s="1" t="s">
        <v>76</v>
      </c>
      <c r="K2275" s="1" t="s">
        <v>3883</v>
      </c>
      <c r="L2275" s="1"/>
      <c r="M2275" s="6" t="str">
        <f>IF(Table2[[#This Row],[Corrected Form '#
 (If Duplicated)]]="",Table2[[#This Row],[Form '#]],Table2[[#This Row],[Corrected Form '#
 (If Duplicated)]])</f>
        <v>7818-24173</v>
      </c>
      <c r="N2275" s="1" t="s">
        <v>49</v>
      </c>
      <c r="O2275" s="6" t="str">
        <f>IF(Table2[[#This Row],[POG CONFIRMATION RECEIPT OF ORDER
(DATE &amp; TIME)]]="","No Confirmation","Received Confirmation")</f>
        <v>Received Confirmation</v>
      </c>
      <c r="P2275" s="6">
        <f ca="1">TODAY()-Table2[[#This Row],[DATE SENT TO POG]]</f>
        <v>25</v>
      </c>
      <c r="Q2275" s="6" t="s">
        <v>6025</v>
      </c>
      <c r="R22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5" s="6" t="str">
        <f>_xlfn.XLOOKUP(Table2[[#This Row],[Adjusted Form '#]],'[2]IN PROGRESS'!$D:$D,'[2]IN PROGRESS'!$M:$M,"Not Found")</f>
        <v>Not Found</v>
      </c>
      <c r="U2275" s="6" t="str">
        <f>_xlfn.XLOOKUP(Table2[[#This Row],[Adjusted Form '#]],[1]COMPLETED!$D:$D,[2]COMPLETED!$M:$M,"Not Found")</f>
        <v>Not Found</v>
      </c>
      <c r="V2275" s="13">
        <f>_xlfn.XLOOKUP(Table2[[#This Row],[Adjusted Form '#]],[2]COMPLETED!$D:$D,[2]COMPLETED!$O:$O,"Not Found")</f>
        <v>45289</v>
      </c>
      <c r="W2275" s="6" t="str">
        <f>_xlfn.XLOOKUP(Table2[[#This Row],[Adjusted Form '#]],[2]BILLED!$D:$D,[2]BILLED!$M:$M,"Not Found")</f>
        <v>Not Found</v>
      </c>
      <c r="X2275" s="13" t="str">
        <f>_xlfn.XLOOKUP(Table2[[#This Row],[Adjusted Form '#]],[2]BILLED!$D:$D,[1]BILLED!$O:$O,"Not Found")</f>
        <v>Not Found</v>
      </c>
      <c r="Y2275" s="13" t="e">
        <f>_xlfn.XLOOKUP(Table2[[#This Row],[Adjusted Form '#]],'[2]REJECTED ORDERS'!$D:$D,'[2]REJECTED ORDERS'!$E:$E)</f>
        <v>#N/A</v>
      </c>
      <c r="Z2275" s="1"/>
      <c r="AA2275" s="1"/>
    </row>
    <row r="2276" spans="1:27" ht="15" customHeight="1" x14ac:dyDescent="0.35">
      <c r="A2276" s="4" t="s">
        <v>3307</v>
      </c>
      <c r="B2276" s="1" t="s">
        <v>1986</v>
      </c>
      <c r="C2276" s="11">
        <v>45278</v>
      </c>
      <c r="D2276" s="11" t="s">
        <v>8039</v>
      </c>
      <c r="E2276" s="1" t="s">
        <v>21</v>
      </c>
      <c r="F2276" s="1" t="s">
        <v>8035</v>
      </c>
      <c r="G2276" s="6">
        <f>COUNTIF(F:F,Table2[[#This Row],[Form '#]])</f>
        <v>1</v>
      </c>
      <c r="H2276" s="1" t="s">
        <v>8036</v>
      </c>
      <c r="I2276" s="1" t="s">
        <v>3864</v>
      </c>
      <c r="J2276" s="1" t="s">
        <v>78</v>
      </c>
      <c r="K2276" s="1" t="s">
        <v>3879</v>
      </c>
      <c r="L2276" s="1"/>
      <c r="M2276" s="6" t="str">
        <f>IF(Table2[[#This Row],[Corrected Form '#
 (If Duplicated)]]="",Table2[[#This Row],[Form '#]],Table2[[#This Row],[Corrected Form '#
 (If Duplicated)]])</f>
        <v>7818-30967</v>
      </c>
      <c r="N2276" s="1" t="s">
        <v>49</v>
      </c>
      <c r="O2276" s="6" t="str">
        <f>IF(Table2[[#This Row],[POG CONFIRMATION RECEIPT OF ORDER
(DATE &amp; TIME)]]="","No Confirmation","Received Confirmation")</f>
        <v>Received Confirmation</v>
      </c>
      <c r="P2276" s="6">
        <f ca="1">TODAY()-Table2[[#This Row],[DATE SENT TO POG]]</f>
        <v>25</v>
      </c>
      <c r="Q2276" s="6" t="s">
        <v>6025</v>
      </c>
      <c r="R22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6" s="6" t="str">
        <f>_xlfn.XLOOKUP(Table2[[#This Row],[Adjusted Form '#]],'[2]IN PROGRESS'!$D:$D,'[2]IN PROGRESS'!$M:$M,"Not Found")</f>
        <v>Not Found</v>
      </c>
      <c r="U2276" s="6" t="str">
        <f>_xlfn.XLOOKUP(Table2[[#This Row],[Adjusted Form '#]],[1]COMPLETED!$D:$D,[2]COMPLETED!$M:$M,"Not Found")</f>
        <v>Not Found</v>
      </c>
      <c r="V2276" s="13">
        <f>_xlfn.XLOOKUP(Table2[[#This Row],[Adjusted Form '#]],[2]COMPLETED!$D:$D,[2]COMPLETED!$O:$O,"Not Found")</f>
        <v>45289</v>
      </c>
      <c r="W2276" s="6" t="str">
        <f>_xlfn.XLOOKUP(Table2[[#This Row],[Adjusted Form '#]],[2]BILLED!$D:$D,[2]BILLED!$M:$M,"Not Found")</f>
        <v>Not Found</v>
      </c>
      <c r="X2276" s="13" t="str">
        <f>_xlfn.XLOOKUP(Table2[[#This Row],[Adjusted Form '#]],[2]BILLED!$D:$D,[1]BILLED!$O:$O,"Not Found")</f>
        <v>Not Found</v>
      </c>
      <c r="Y2276" s="13" t="e">
        <f>_xlfn.XLOOKUP(Table2[[#This Row],[Adjusted Form '#]],'[2]REJECTED ORDERS'!$D:$D,'[2]REJECTED ORDERS'!$E:$E)</f>
        <v>#N/A</v>
      </c>
      <c r="Z2276" s="1"/>
      <c r="AA2276" s="1"/>
    </row>
    <row r="2277" spans="1:27" ht="15" customHeight="1" x14ac:dyDescent="0.35">
      <c r="A2277" s="4" t="s">
        <v>3309</v>
      </c>
      <c r="B2277" s="1" t="s">
        <v>1986</v>
      </c>
      <c r="C2277" s="11">
        <v>45278</v>
      </c>
      <c r="D2277" s="11" t="s">
        <v>8039</v>
      </c>
      <c r="E2277" s="1" t="s">
        <v>21</v>
      </c>
      <c r="F2277" s="1" t="s">
        <v>8037</v>
      </c>
      <c r="G2277" s="6">
        <f>COUNTIF(F:F,Table2[[#This Row],[Form '#]])</f>
        <v>1</v>
      </c>
      <c r="H2277" s="1" t="s">
        <v>916</v>
      </c>
      <c r="I2277" s="1" t="s">
        <v>3852</v>
      </c>
      <c r="J2277" s="1" t="s">
        <v>80</v>
      </c>
      <c r="K2277" s="1" t="s">
        <v>4430</v>
      </c>
      <c r="L2277" s="1"/>
      <c r="M2277" s="6" t="str">
        <f>IF(Table2[[#This Row],[Corrected Form '#
 (If Duplicated)]]="",Table2[[#This Row],[Form '#]],Table2[[#This Row],[Corrected Form '#
 (If Duplicated)]])</f>
        <v>7818-16920</v>
      </c>
      <c r="N2277" s="1" t="s">
        <v>49</v>
      </c>
      <c r="O2277" s="6" t="str">
        <f>IF(Table2[[#This Row],[POG CONFIRMATION RECEIPT OF ORDER
(DATE &amp; TIME)]]="","No Confirmation","Received Confirmation")</f>
        <v>Received Confirmation</v>
      </c>
      <c r="P2277" s="6">
        <f ca="1">TODAY()-Table2[[#This Row],[DATE SENT TO POG]]</f>
        <v>25</v>
      </c>
      <c r="Q2277" s="6" t="s">
        <v>6025</v>
      </c>
      <c r="R22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7" s="6" t="str">
        <f>_xlfn.XLOOKUP(Table2[[#This Row],[Adjusted Form '#]],'[2]IN PROGRESS'!$D:$D,'[2]IN PROGRESS'!$M:$M,"Not Found")</f>
        <v>Not Found</v>
      </c>
      <c r="U2277" s="6" t="str">
        <f>_xlfn.XLOOKUP(Table2[[#This Row],[Adjusted Form '#]],[1]COMPLETED!$D:$D,[2]COMPLETED!$M:$M,"Not Found")</f>
        <v>Not Found</v>
      </c>
      <c r="V2277" s="13">
        <f>_xlfn.XLOOKUP(Table2[[#This Row],[Adjusted Form '#]],[2]COMPLETED!$D:$D,[2]COMPLETED!$O:$O,"Not Found")</f>
        <v>45289</v>
      </c>
      <c r="W2277" s="6" t="str">
        <f>_xlfn.XLOOKUP(Table2[[#This Row],[Adjusted Form '#]],[2]BILLED!$D:$D,[2]BILLED!$M:$M,"Not Found")</f>
        <v>Not Found</v>
      </c>
      <c r="X2277" s="13" t="str">
        <f>_xlfn.XLOOKUP(Table2[[#This Row],[Adjusted Form '#]],[2]BILLED!$D:$D,[1]BILLED!$O:$O,"Not Found")</f>
        <v>Not Found</v>
      </c>
      <c r="Y2277" s="13" t="e">
        <f>_xlfn.XLOOKUP(Table2[[#This Row],[Adjusted Form '#]],'[2]REJECTED ORDERS'!$D:$D,'[2]REJECTED ORDERS'!$E:$E)</f>
        <v>#N/A</v>
      </c>
      <c r="Z2277" s="1"/>
      <c r="AA2277" s="1"/>
    </row>
    <row r="2278" spans="1:27" ht="15" customHeight="1" x14ac:dyDescent="0.35">
      <c r="A2278" s="4" t="s">
        <v>3310</v>
      </c>
      <c r="B2278" s="1" t="s">
        <v>1986</v>
      </c>
      <c r="C2278" s="11">
        <v>45278</v>
      </c>
      <c r="D2278" s="11" t="s">
        <v>8039</v>
      </c>
      <c r="E2278" s="1" t="s">
        <v>21</v>
      </c>
      <c r="F2278" s="1" t="s">
        <v>8038</v>
      </c>
      <c r="G2278" s="6">
        <f>COUNTIF(F:F,Table2[[#This Row],[Form '#]])</f>
        <v>1</v>
      </c>
      <c r="H2278" s="1" t="s">
        <v>3799</v>
      </c>
      <c r="I2278" s="1" t="s">
        <v>127</v>
      </c>
      <c r="J2278" s="1" t="s">
        <v>76</v>
      </c>
      <c r="K2278" s="1" t="s">
        <v>3883</v>
      </c>
      <c r="L2278" s="1"/>
      <c r="M2278" s="6" t="str">
        <f>IF(Table2[[#This Row],[Corrected Form '#
 (If Duplicated)]]="",Table2[[#This Row],[Form '#]],Table2[[#This Row],[Corrected Form '#
 (If Duplicated)]])</f>
        <v>7818-32143</v>
      </c>
      <c r="N2278" s="1" t="s">
        <v>49</v>
      </c>
      <c r="O2278" s="6" t="str">
        <f>IF(Table2[[#This Row],[POG CONFIRMATION RECEIPT OF ORDER
(DATE &amp; TIME)]]="","No Confirmation","Received Confirmation")</f>
        <v>Received Confirmation</v>
      </c>
      <c r="P2278" s="6">
        <f ca="1">TODAY()-Table2[[#This Row],[DATE SENT TO POG]]</f>
        <v>25</v>
      </c>
      <c r="Q2278" s="6" t="s">
        <v>6025</v>
      </c>
      <c r="R22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8" s="6" t="str">
        <f>_xlfn.XLOOKUP(Table2[[#This Row],[Adjusted Form '#]],'[2]IN PROGRESS'!$D:$D,'[2]IN PROGRESS'!$M:$M,"Not Found")</f>
        <v>Not Found</v>
      </c>
      <c r="U2278" s="6" t="str">
        <f>_xlfn.XLOOKUP(Table2[[#This Row],[Adjusted Form '#]],[1]COMPLETED!$D:$D,[2]COMPLETED!$M:$M,"Not Found")</f>
        <v>Not Found</v>
      </c>
      <c r="V2278" s="13">
        <f>_xlfn.XLOOKUP(Table2[[#This Row],[Adjusted Form '#]],[2]COMPLETED!$D:$D,[2]COMPLETED!$O:$O,"Not Found")</f>
        <v>45289</v>
      </c>
      <c r="W2278" s="6" t="str">
        <f>_xlfn.XLOOKUP(Table2[[#This Row],[Adjusted Form '#]],[2]BILLED!$D:$D,[2]BILLED!$M:$M,"Not Found")</f>
        <v>Not Found</v>
      </c>
      <c r="X2278" s="13" t="str">
        <f>_xlfn.XLOOKUP(Table2[[#This Row],[Adjusted Form '#]],[2]BILLED!$D:$D,[1]BILLED!$O:$O,"Not Found")</f>
        <v>Not Found</v>
      </c>
      <c r="Y2278" s="13" t="e">
        <f>_xlfn.XLOOKUP(Table2[[#This Row],[Adjusted Form '#]],'[2]REJECTED ORDERS'!$D:$D,'[2]REJECTED ORDERS'!$E:$E)</f>
        <v>#N/A</v>
      </c>
      <c r="Z2278" s="1"/>
      <c r="AA2278" s="1"/>
    </row>
    <row r="2279" spans="1:27" ht="15" customHeight="1" x14ac:dyDescent="0.35">
      <c r="A2279" s="4" t="s">
        <v>3311</v>
      </c>
      <c r="B2279" s="1" t="s">
        <v>1242</v>
      </c>
      <c r="C2279" s="11">
        <v>45278</v>
      </c>
      <c r="D2279" s="11" t="s">
        <v>8044</v>
      </c>
      <c r="E2279" s="1" t="s">
        <v>191</v>
      </c>
      <c r="F2279" s="1" t="s">
        <v>8042</v>
      </c>
      <c r="G2279" s="6">
        <f>COUNTIF(F:F,Table2[[#This Row],[Form '#]])</f>
        <v>1</v>
      </c>
      <c r="H2279" s="1" t="s">
        <v>3765</v>
      </c>
      <c r="I2279" s="1" t="s">
        <v>127</v>
      </c>
      <c r="J2279" s="1" t="s">
        <v>76</v>
      </c>
      <c r="K2279" s="1" t="s">
        <v>4011</v>
      </c>
      <c r="L2279" s="1"/>
      <c r="M2279" s="6" t="str">
        <f>IF(Table2[[#This Row],[Corrected Form '#
 (If Duplicated)]]="",Table2[[#This Row],[Form '#]],Table2[[#This Row],[Corrected Form '#
 (If Duplicated)]])</f>
        <v>7812-04959</v>
      </c>
      <c r="N2279" s="1" t="s">
        <v>49</v>
      </c>
      <c r="O2279" s="6" t="str">
        <f>IF(Table2[[#This Row],[POG CONFIRMATION RECEIPT OF ORDER
(DATE &amp; TIME)]]="","No Confirmation","Received Confirmation")</f>
        <v>Received Confirmation</v>
      </c>
      <c r="P2279" s="6">
        <f ca="1">TODAY()-Table2[[#This Row],[DATE SENT TO POG]]</f>
        <v>25</v>
      </c>
      <c r="Q2279" s="6" t="s">
        <v>5802</v>
      </c>
      <c r="R227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7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79" s="6" t="str">
        <f>_xlfn.XLOOKUP(Table2[[#This Row],[Adjusted Form '#]],'[2]IN PROGRESS'!$D:$D,'[2]IN PROGRESS'!$M:$M,"Not Found")</f>
        <v>Not Found</v>
      </c>
      <c r="U2279" s="6" t="str">
        <f>_xlfn.XLOOKUP(Table2[[#This Row],[Adjusted Form '#]],[1]COMPLETED!$D:$D,[2]COMPLETED!$M:$M,"Not Found")</f>
        <v>Not Found</v>
      </c>
      <c r="V2279" s="13" t="str">
        <f>_xlfn.XLOOKUP(Table2[[#This Row],[Adjusted Form '#]],[2]COMPLETED!$D:$D,[2]COMPLETED!$O:$O,"Not Found")</f>
        <v>Not Found</v>
      </c>
      <c r="W2279" s="6" t="str">
        <f>_xlfn.XLOOKUP(Table2[[#This Row],[Adjusted Form '#]],[2]BILLED!$D:$D,[2]BILLED!$M:$M,"Not Found")</f>
        <v>Not Found</v>
      </c>
      <c r="X2279" s="13" t="str">
        <f>_xlfn.XLOOKUP(Table2[[#This Row],[Adjusted Form '#]],[2]BILLED!$D:$D,[1]BILLED!$O:$O,"Not Found")</f>
        <v>Not Found</v>
      </c>
      <c r="Y2279" s="13" t="e">
        <f>_xlfn.XLOOKUP(Table2[[#This Row],[Adjusted Form '#]],'[2]REJECTED ORDERS'!$D:$D,'[2]REJECTED ORDERS'!$E:$E)</f>
        <v>#N/A</v>
      </c>
      <c r="Z2279" s="1"/>
      <c r="AA2279" s="1"/>
    </row>
    <row r="2280" spans="1:27" ht="15" customHeight="1" x14ac:dyDescent="0.35">
      <c r="A2280" s="4" t="s">
        <v>3312</v>
      </c>
      <c r="B2280" s="1" t="s">
        <v>1242</v>
      </c>
      <c r="C2280" s="11">
        <v>45278</v>
      </c>
      <c r="D2280" s="11" t="s">
        <v>8044</v>
      </c>
      <c r="E2280" s="1" t="s">
        <v>191</v>
      </c>
      <c r="F2280" s="1" t="s">
        <v>8043</v>
      </c>
      <c r="G2280" s="6">
        <f>COUNTIF(F:F,Table2[[#This Row],[Form '#]])</f>
        <v>3</v>
      </c>
      <c r="H2280" s="1" t="s">
        <v>3751</v>
      </c>
      <c r="I2280" s="1" t="s">
        <v>3864</v>
      </c>
      <c r="J2280" s="1" t="s">
        <v>78</v>
      </c>
      <c r="K2280" s="1" t="s">
        <v>3879</v>
      </c>
      <c r="L2280" s="1"/>
      <c r="M2280" s="6" t="str">
        <f>IF(Table2[[#This Row],[Corrected Form '#
 (If Duplicated)]]="",Table2[[#This Row],[Form '#]],Table2[[#This Row],[Corrected Form '#
 (If Duplicated)]])</f>
        <v>7812-01464</v>
      </c>
      <c r="N2280" s="1" t="s">
        <v>49</v>
      </c>
      <c r="O2280" s="6" t="str">
        <f>IF(Table2[[#This Row],[POG CONFIRMATION RECEIPT OF ORDER
(DATE &amp; TIME)]]="","No Confirmation","Received Confirmation")</f>
        <v>Received Confirmation</v>
      </c>
      <c r="P2280" s="6">
        <f ca="1">TODAY()-Table2[[#This Row],[DATE SENT TO POG]]</f>
        <v>25</v>
      </c>
      <c r="Q2280" s="6" t="s">
        <v>6025</v>
      </c>
      <c r="R228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0" s="6" t="str">
        <f>_xlfn.XLOOKUP(Table2[[#This Row],[Adjusted Form '#]],'[2]IN PROGRESS'!$D:$D,'[2]IN PROGRESS'!$M:$M,"Not Found")</f>
        <v>Not Found</v>
      </c>
      <c r="U2280" s="6" t="str">
        <f>_xlfn.XLOOKUP(Table2[[#This Row],[Adjusted Form '#]],[1]COMPLETED!$D:$D,[2]COMPLETED!$M:$M,"Not Found")</f>
        <v>Not Found</v>
      </c>
      <c r="V2280" s="13">
        <f>_xlfn.XLOOKUP(Table2[[#This Row],[Adjusted Form '#]],[2]COMPLETED!$D:$D,[2]COMPLETED!$O:$O,"Not Found")</f>
        <v>45290</v>
      </c>
      <c r="W2280" s="6" t="str">
        <f>_xlfn.XLOOKUP(Table2[[#This Row],[Adjusted Form '#]],[2]BILLED!$D:$D,[2]BILLED!$M:$M,"Not Found")</f>
        <v>Not Found</v>
      </c>
      <c r="X2280" s="13" t="str">
        <f>_xlfn.XLOOKUP(Table2[[#This Row],[Adjusted Form '#]],[2]BILLED!$D:$D,[1]BILLED!$O:$O,"Not Found")</f>
        <v>Not Found</v>
      </c>
      <c r="Y2280" s="13" t="e">
        <f>_xlfn.XLOOKUP(Table2[[#This Row],[Adjusted Form '#]],'[2]REJECTED ORDERS'!$D:$D,'[2]REJECTED ORDERS'!$E:$E)</f>
        <v>#N/A</v>
      </c>
      <c r="Z2280" s="1"/>
      <c r="AA2280" s="1"/>
    </row>
    <row r="2281" spans="1:27" ht="15" customHeight="1" x14ac:dyDescent="0.35">
      <c r="A2281" s="4" t="s">
        <v>3314</v>
      </c>
      <c r="B2281" s="1" t="s">
        <v>650</v>
      </c>
      <c r="C2281" s="11">
        <v>45278</v>
      </c>
      <c r="D2281" s="11" t="s">
        <v>8044</v>
      </c>
      <c r="E2281" s="1" t="s">
        <v>21</v>
      </c>
      <c r="F2281" s="1" t="s">
        <v>8045</v>
      </c>
      <c r="G2281" s="6">
        <f>COUNTIF(F:F,Table2[[#This Row],[Form '#]])</f>
        <v>1</v>
      </c>
      <c r="H2281" s="1" t="s">
        <v>8046</v>
      </c>
      <c r="I2281" s="1" t="s">
        <v>127</v>
      </c>
      <c r="J2281" s="1" t="s">
        <v>74</v>
      </c>
      <c r="K2281" s="1" t="s">
        <v>3883</v>
      </c>
      <c r="L2281" s="1"/>
      <c r="M2281" s="6" t="str">
        <f>IF(Table2[[#This Row],[Corrected Form '#
 (If Duplicated)]]="",Table2[[#This Row],[Form '#]],Table2[[#This Row],[Corrected Form '#
 (If Duplicated)]])</f>
        <v>7818-26764</v>
      </c>
      <c r="N2281" s="1" t="s">
        <v>49</v>
      </c>
      <c r="O2281" s="6" t="str">
        <f>IF(Table2[[#This Row],[POG CONFIRMATION RECEIPT OF ORDER
(DATE &amp; TIME)]]="","No Confirmation","Received Confirmation")</f>
        <v>Received Confirmation</v>
      </c>
      <c r="P2281" s="6">
        <f ca="1">TODAY()-Table2[[#This Row],[DATE SENT TO POG]]</f>
        <v>25</v>
      </c>
      <c r="Q2281" s="6" t="s">
        <v>6025</v>
      </c>
      <c r="R228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1" s="6" t="str">
        <f>_xlfn.XLOOKUP(Table2[[#This Row],[Adjusted Form '#]],'[2]IN PROGRESS'!$D:$D,'[2]IN PROGRESS'!$M:$M,"Not Found")</f>
        <v>Not Found</v>
      </c>
      <c r="U2281" s="6" t="str">
        <f>_xlfn.XLOOKUP(Table2[[#This Row],[Adjusted Form '#]],[1]COMPLETED!$D:$D,[2]COMPLETED!$M:$M,"Not Found")</f>
        <v>Not Found</v>
      </c>
      <c r="V2281" s="13">
        <f>_xlfn.XLOOKUP(Table2[[#This Row],[Adjusted Form '#]],[2]COMPLETED!$D:$D,[2]COMPLETED!$O:$O,"Not Found")</f>
        <v>45289</v>
      </c>
      <c r="W2281" s="6" t="str">
        <f>_xlfn.XLOOKUP(Table2[[#This Row],[Adjusted Form '#]],[2]BILLED!$D:$D,[2]BILLED!$M:$M,"Not Found")</f>
        <v>Not Found</v>
      </c>
      <c r="X2281" s="13" t="str">
        <f>_xlfn.XLOOKUP(Table2[[#This Row],[Adjusted Form '#]],[2]BILLED!$D:$D,[1]BILLED!$O:$O,"Not Found")</f>
        <v>Not Found</v>
      </c>
      <c r="Y2281" s="13" t="e">
        <f>_xlfn.XLOOKUP(Table2[[#This Row],[Adjusted Form '#]],'[2]REJECTED ORDERS'!$D:$D,'[2]REJECTED ORDERS'!$E:$E)</f>
        <v>#N/A</v>
      </c>
      <c r="Z2281" s="1"/>
      <c r="AA2281" s="1"/>
    </row>
    <row r="2282" spans="1:27" ht="15" customHeight="1" x14ac:dyDescent="0.35">
      <c r="A2282" s="4" t="s">
        <v>3315</v>
      </c>
      <c r="B2282" s="1" t="s">
        <v>1525</v>
      </c>
      <c r="C2282" s="11">
        <v>45278</v>
      </c>
      <c r="D2282" s="11" t="s">
        <v>8050</v>
      </c>
      <c r="E2282" s="1" t="s">
        <v>191</v>
      </c>
      <c r="F2282" s="1" t="s">
        <v>8047</v>
      </c>
      <c r="G2282" s="6">
        <f>COUNTIF(F:F,Table2[[#This Row],[Form '#]])</f>
        <v>1</v>
      </c>
      <c r="H2282" s="1" t="s">
        <v>1871</v>
      </c>
      <c r="I2282" s="1" t="s">
        <v>177</v>
      </c>
      <c r="J2282" s="1" t="s">
        <v>75</v>
      </c>
      <c r="K2282" s="1" t="s">
        <v>3853</v>
      </c>
      <c r="L2282" s="1"/>
      <c r="M2282" s="6" t="str">
        <f>IF(Table2[[#This Row],[Corrected Form '#
 (If Duplicated)]]="",Table2[[#This Row],[Form '#]],Table2[[#This Row],[Corrected Form '#
 (If Duplicated)]])</f>
        <v>7812-04555</v>
      </c>
      <c r="N2282" s="1" t="s">
        <v>49</v>
      </c>
      <c r="O2282" s="6" t="str">
        <f>IF(Table2[[#This Row],[POG CONFIRMATION RECEIPT OF ORDER
(DATE &amp; TIME)]]="","No Confirmation","Received Confirmation")</f>
        <v>Received Confirmation</v>
      </c>
      <c r="P2282" s="6">
        <f ca="1">TODAY()-Table2[[#This Row],[DATE SENT TO POG]]</f>
        <v>25</v>
      </c>
      <c r="Q2282" s="6" t="s">
        <v>6025</v>
      </c>
      <c r="R228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2" s="6" t="str">
        <f>_xlfn.XLOOKUP(Table2[[#This Row],[Adjusted Form '#]],'[2]IN PROGRESS'!$D:$D,'[2]IN PROGRESS'!$M:$M,"Not Found")</f>
        <v>Not Found</v>
      </c>
      <c r="U2282" s="6" t="str">
        <f>_xlfn.XLOOKUP(Table2[[#This Row],[Adjusted Form '#]],[1]COMPLETED!$D:$D,[2]COMPLETED!$M:$M,"Not Found")</f>
        <v>Not Found</v>
      </c>
      <c r="V2282" s="13">
        <f>_xlfn.XLOOKUP(Table2[[#This Row],[Adjusted Form '#]],[2]COMPLETED!$D:$D,[2]COMPLETED!$O:$O,"Not Found")</f>
        <v>45289</v>
      </c>
      <c r="W2282" s="6" t="str">
        <f>_xlfn.XLOOKUP(Table2[[#This Row],[Adjusted Form '#]],[2]BILLED!$D:$D,[2]BILLED!$M:$M,"Not Found")</f>
        <v>Not Found</v>
      </c>
      <c r="X2282" s="13" t="str">
        <f>_xlfn.XLOOKUP(Table2[[#This Row],[Adjusted Form '#]],[2]BILLED!$D:$D,[1]BILLED!$O:$O,"Not Found")</f>
        <v>Not Found</v>
      </c>
      <c r="Y2282" s="13" t="e">
        <f>_xlfn.XLOOKUP(Table2[[#This Row],[Adjusted Form '#]],'[2]REJECTED ORDERS'!$D:$D,'[2]REJECTED ORDERS'!$E:$E)</f>
        <v>#N/A</v>
      </c>
      <c r="Z2282" s="1"/>
      <c r="AA2282" s="1"/>
    </row>
    <row r="2283" spans="1:27" ht="15" customHeight="1" x14ac:dyDescent="0.35">
      <c r="A2283" s="4" t="s">
        <v>3317</v>
      </c>
      <c r="B2283" s="1" t="s">
        <v>3710</v>
      </c>
      <c r="C2283" s="11">
        <v>45278</v>
      </c>
      <c r="D2283" s="11" t="s">
        <v>8054</v>
      </c>
      <c r="E2283" s="1" t="s">
        <v>21</v>
      </c>
      <c r="F2283" s="1" t="s">
        <v>8051</v>
      </c>
      <c r="G2283" s="6">
        <f>COUNTIF(F:F,Table2[[#This Row],[Form '#]])</f>
        <v>1</v>
      </c>
      <c r="H2283" s="1" t="s">
        <v>8052</v>
      </c>
      <c r="I2283" s="1" t="s">
        <v>3852</v>
      </c>
      <c r="J2283" s="1" t="s">
        <v>80</v>
      </c>
      <c r="K2283" s="1" t="s">
        <v>3853</v>
      </c>
      <c r="L2283" s="1"/>
      <c r="M2283" s="6" t="str">
        <f>IF(Table2[[#This Row],[Corrected Form '#
 (If Duplicated)]]="",Table2[[#This Row],[Form '#]],Table2[[#This Row],[Corrected Form '#
 (If Duplicated)]])</f>
        <v>7818-27726</v>
      </c>
      <c r="N2283" s="1" t="s">
        <v>49</v>
      </c>
      <c r="O2283" s="6" t="str">
        <f>IF(Table2[[#This Row],[POG CONFIRMATION RECEIPT OF ORDER
(DATE &amp; TIME)]]="","No Confirmation","Received Confirmation")</f>
        <v>Received Confirmation</v>
      </c>
      <c r="P2283" s="6">
        <f ca="1">TODAY()-Table2[[#This Row],[DATE SENT TO POG]]</f>
        <v>25</v>
      </c>
      <c r="Q2283" s="6" t="s">
        <v>5802</v>
      </c>
      <c r="R228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3" s="6" t="str">
        <f>_xlfn.XLOOKUP(Table2[[#This Row],[Adjusted Form '#]],'[2]IN PROGRESS'!$D:$D,'[2]IN PROGRESS'!$M:$M,"Not Found")</f>
        <v>Not Found</v>
      </c>
      <c r="U2283" s="6" t="str">
        <f>_xlfn.XLOOKUP(Table2[[#This Row],[Adjusted Form '#]],[1]COMPLETED!$D:$D,[2]COMPLETED!$M:$M,"Not Found")</f>
        <v>Not Found</v>
      </c>
      <c r="V2283" s="13" t="str">
        <f>_xlfn.XLOOKUP(Table2[[#This Row],[Adjusted Form '#]],[2]COMPLETED!$D:$D,[2]COMPLETED!$O:$O,"Not Found")</f>
        <v>Not Found</v>
      </c>
      <c r="W2283" s="6" t="str">
        <f>_xlfn.XLOOKUP(Table2[[#This Row],[Adjusted Form '#]],[2]BILLED!$D:$D,[2]BILLED!$M:$M,"Not Found")</f>
        <v>Not Found</v>
      </c>
      <c r="X2283" s="13" t="str">
        <f>_xlfn.XLOOKUP(Table2[[#This Row],[Adjusted Form '#]],[2]BILLED!$D:$D,[1]BILLED!$O:$O,"Not Found")</f>
        <v>Not Found</v>
      </c>
      <c r="Y2283" s="13" t="e">
        <f>_xlfn.XLOOKUP(Table2[[#This Row],[Adjusted Form '#]],'[2]REJECTED ORDERS'!$D:$D,'[2]REJECTED ORDERS'!$E:$E)</f>
        <v>#N/A</v>
      </c>
      <c r="Z2283" s="1"/>
      <c r="AA2283" s="1"/>
    </row>
    <row r="2284" spans="1:27" ht="15" customHeight="1" x14ac:dyDescent="0.35">
      <c r="A2284" s="4" t="s">
        <v>3318</v>
      </c>
      <c r="B2284" s="1" t="s">
        <v>3710</v>
      </c>
      <c r="C2284" s="11">
        <v>45278</v>
      </c>
      <c r="D2284" s="11" t="s">
        <v>8054</v>
      </c>
      <c r="E2284" s="1" t="s">
        <v>21</v>
      </c>
      <c r="F2284" s="1" t="s">
        <v>8053</v>
      </c>
      <c r="G2284" s="6">
        <f>COUNTIF(F:F,Table2[[#This Row],[Form '#]])</f>
        <v>1</v>
      </c>
      <c r="H2284" s="1" t="s">
        <v>1536</v>
      </c>
      <c r="I2284" s="1" t="s">
        <v>127</v>
      </c>
      <c r="J2284" s="1" t="s">
        <v>71</v>
      </c>
      <c r="K2284" s="1" t="s">
        <v>3891</v>
      </c>
      <c r="L2284" s="1"/>
      <c r="M2284" s="6" t="str">
        <f>IF(Table2[[#This Row],[Corrected Form '#
 (If Duplicated)]]="",Table2[[#This Row],[Form '#]],Table2[[#This Row],[Corrected Form '#
 (If Duplicated)]])</f>
        <v>7818-11129</v>
      </c>
      <c r="N2284" s="1" t="s">
        <v>49</v>
      </c>
      <c r="O2284" s="6" t="str">
        <f>IF(Table2[[#This Row],[POG CONFIRMATION RECEIPT OF ORDER
(DATE &amp; TIME)]]="","No Confirmation","Received Confirmation")</f>
        <v>Received Confirmation</v>
      </c>
      <c r="P2284" s="6">
        <f ca="1">TODAY()-Table2[[#This Row],[DATE SENT TO POG]]</f>
        <v>25</v>
      </c>
      <c r="Q2284" s="6" t="s">
        <v>6025</v>
      </c>
      <c r="R228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In Progress</v>
      </c>
      <c r="S228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4" s="6">
        <f>_xlfn.XLOOKUP(Table2[[#This Row],[Adjusted Form '#]],'[2]IN PROGRESS'!$D:$D,'[2]IN PROGRESS'!$M:$M,"Not Found")</f>
        <v>0</v>
      </c>
      <c r="U2284" s="6" t="str">
        <f>_xlfn.XLOOKUP(Table2[[#This Row],[Adjusted Form '#]],[1]COMPLETED!$D:$D,[2]COMPLETED!$M:$M,"Not Found")</f>
        <v>Not Found</v>
      </c>
      <c r="V2284" s="13" t="str">
        <f>_xlfn.XLOOKUP(Table2[[#This Row],[Adjusted Form '#]],[2]COMPLETED!$D:$D,[2]COMPLETED!$O:$O,"Not Found")</f>
        <v>Not Found</v>
      </c>
      <c r="W2284" s="6" t="str">
        <f>_xlfn.XLOOKUP(Table2[[#This Row],[Adjusted Form '#]],[2]BILLED!$D:$D,[2]BILLED!$M:$M,"Not Found")</f>
        <v>Not Found</v>
      </c>
      <c r="X2284" s="13" t="str">
        <f>_xlfn.XLOOKUP(Table2[[#This Row],[Adjusted Form '#]],[2]BILLED!$D:$D,[1]BILLED!$O:$O,"Not Found")</f>
        <v>Not Found</v>
      </c>
      <c r="Y2284" s="13" t="e">
        <f>_xlfn.XLOOKUP(Table2[[#This Row],[Adjusted Form '#]],'[2]REJECTED ORDERS'!$D:$D,'[2]REJECTED ORDERS'!$E:$E)</f>
        <v>#N/A</v>
      </c>
      <c r="Z2284" s="1"/>
      <c r="AA2284" s="1"/>
    </row>
    <row r="2285" spans="1:27" ht="15" customHeight="1" x14ac:dyDescent="0.35">
      <c r="A2285" s="4" t="s">
        <v>3319</v>
      </c>
      <c r="B2285" s="1" t="s">
        <v>466</v>
      </c>
      <c r="C2285" s="11">
        <v>45279</v>
      </c>
      <c r="D2285" s="11" t="s">
        <v>8061</v>
      </c>
      <c r="E2285" s="1" t="s">
        <v>48</v>
      </c>
      <c r="F2285" s="1" t="s">
        <v>8055</v>
      </c>
      <c r="G2285" s="6">
        <f>COUNTIF(F:F,Table2[[#This Row],[Form '#]])</f>
        <v>1</v>
      </c>
      <c r="H2285" s="1" t="s">
        <v>3757</v>
      </c>
      <c r="I2285" s="1" t="s">
        <v>3864</v>
      </c>
      <c r="J2285" s="1" t="s">
        <v>78</v>
      </c>
      <c r="K2285" s="1" t="s">
        <v>3879</v>
      </c>
      <c r="L2285" s="1"/>
      <c r="M2285" s="6" t="str">
        <f>IF(Table2[[#This Row],[Corrected Form '#
 (If Duplicated)]]="",Table2[[#This Row],[Form '#]],Table2[[#This Row],[Corrected Form '#
 (If Duplicated)]])</f>
        <v>7819-00489</v>
      </c>
      <c r="N2285" s="1" t="s">
        <v>49</v>
      </c>
      <c r="O2285" s="6" t="str">
        <f>IF(Table2[[#This Row],[POG CONFIRMATION RECEIPT OF ORDER
(DATE &amp; TIME)]]="","No Confirmation","Received Confirmation")</f>
        <v>Received Confirmation</v>
      </c>
      <c r="P2285" s="6">
        <f ca="1">TODAY()-Table2[[#This Row],[DATE SENT TO POG]]</f>
        <v>24</v>
      </c>
      <c r="Q2285" s="6" t="s">
        <v>6025</v>
      </c>
      <c r="R228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5" s="6" t="str">
        <f>_xlfn.XLOOKUP(Table2[[#This Row],[Adjusted Form '#]],'[2]IN PROGRESS'!$D:$D,'[2]IN PROGRESS'!$M:$M,"Not Found")</f>
        <v>Not Found</v>
      </c>
      <c r="U2285" s="6" t="str">
        <f>_xlfn.XLOOKUP(Table2[[#This Row],[Adjusted Form '#]],[1]COMPLETED!$D:$D,[2]COMPLETED!$M:$M,"Not Found")</f>
        <v>Not Found</v>
      </c>
      <c r="V2285" s="13">
        <f>_xlfn.XLOOKUP(Table2[[#This Row],[Adjusted Form '#]],[2]COMPLETED!$D:$D,[2]COMPLETED!$O:$O,"Not Found")</f>
        <v>45290</v>
      </c>
      <c r="W2285" s="6" t="str">
        <f>_xlfn.XLOOKUP(Table2[[#This Row],[Adjusted Form '#]],[2]BILLED!$D:$D,[2]BILLED!$M:$M,"Not Found")</f>
        <v>Not Found</v>
      </c>
      <c r="X2285" s="13" t="str">
        <f>_xlfn.XLOOKUP(Table2[[#This Row],[Adjusted Form '#]],[2]BILLED!$D:$D,[1]BILLED!$O:$O,"Not Found")</f>
        <v>Not Found</v>
      </c>
      <c r="Y2285" s="13" t="e">
        <f>_xlfn.XLOOKUP(Table2[[#This Row],[Adjusted Form '#]],'[2]REJECTED ORDERS'!$D:$D,'[2]REJECTED ORDERS'!$E:$E)</f>
        <v>#N/A</v>
      </c>
      <c r="Z2285" s="1"/>
      <c r="AA2285" s="1"/>
    </row>
    <row r="2286" spans="1:27" ht="15" customHeight="1" x14ac:dyDescent="0.35">
      <c r="A2286" s="4" t="s">
        <v>3321</v>
      </c>
      <c r="B2286" s="1" t="s">
        <v>1358</v>
      </c>
      <c r="C2286" s="11">
        <v>45279</v>
      </c>
      <c r="D2286" s="11" t="s">
        <v>8062</v>
      </c>
      <c r="E2286" s="1" t="s">
        <v>21</v>
      </c>
      <c r="F2286" s="1" t="s">
        <v>8056</v>
      </c>
      <c r="G2286" s="6">
        <f>COUNTIF(F:F,Table2[[#This Row],[Form '#]])</f>
        <v>1</v>
      </c>
      <c r="H2286" s="1" t="s">
        <v>8057</v>
      </c>
      <c r="I2286" s="1" t="s">
        <v>3852</v>
      </c>
      <c r="J2286" s="1" t="s">
        <v>80</v>
      </c>
      <c r="K2286" s="1" t="s">
        <v>3853</v>
      </c>
      <c r="L2286" s="1"/>
      <c r="M2286" s="6" t="str">
        <f>IF(Table2[[#This Row],[Corrected Form '#
 (If Duplicated)]]="",Table2[[#This Row],[Form '#]],Table2[[#This Row],[Corrected Form '#
 (If Duplicated)]])</f>
        <v>7818-28294</v>
      </c>
      <c r="N2286" s="1" t="s">
        <v>49</v>
      </c>
      <c r="O2286" s="6" t="str">
        <f>IF(Table2[[#This Row],[POG CONFIRMATION RECEIPT OF ORDER
(DATE &amp; TIME)]]="","No Confirmation","Received Confirmation")</f>
        <v>Received Confirmation</v>
      </c>
      <c r="P2286" s="6">
        <f ca="1">TODAY()-Table2[[#This Row],[DATE SENT TO POG]]</f>
        <v>24</v>
      </c>
      <c r="Q2286" s="6" t="s">
        <v>6025</v>
      </c>
      <c r="R228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6" s="6" t="str">
        <f>_xlfn.XLOOKUP(Table2[[#This Row],[Adjusted Form '#]],'[2]IN PROGRESS'!$D:$D,'[2]IN PROGRESS'!$M:$M,"Not Found")</f>
        <v>Not Found</v>
      </c>
      <c r="U2286" s="6" t="str">
        <f>_xlfn.XLOOKUP(Table2[[#This Row],[Adjusted Form '#]],[1]COMPLETED!$D:$D,[2]COMPLETED!$M:$M,"Not Found")</f>
        <v>Not Found</v>
      </c>
      <c r="V2286" s="13">
        <f>_xlfn.XLOOKUP(Table2[[#This Row],[Adjusted Form '#]],[2]COMPLETED!$D:$D,[2]COMPLETED!$O:$O,"Not Found")</f>
        <v>45289</v>
      </c>
      <c r="W2286" s="6" t="str">
        <f>_xlfn.XLOOKUP(Table2[[#This Row],[Adjusted Form '#]],[2]BILLED!$D:$D,[2]BILLED!$M:$M,"Not Found")</f>
        <v>Not Found</v>
      </c>
      <c r="X2286" s="13" t="str">
        <f>_xlfn.XLOOKUP(Table2[[#This Row],[Adjusted Form '#]],[2]BILLED!$D:$D,[1]BILLED!$O:$O,"Not Found")</f>
        <v>Not Found</v>
      </c>
      <c r="Y2286" s="13" t="e">
        <f>_xlfn.XLOOKUP(Table2[[#This Row],[Adjusted Form '#]],'[2]REJECTED ORDERS'!$D:$D,'[2]REJECTED ORDERS'!$E:$E)</f>
        <v>#N/A</v>
      </c>
      <c r="Z2286" s="1"/>
      <c r="AA2286" s="1"/>
    </row>
    <row r="2287" spans="1:27" ht="15" customHeight="1" x14ac:dyDescent="0.35">
      <c r="A2287" s="4" t="s">
        <v>3323</v>
      </c>
      <c r="B2287" s="1" t="s">
        <v>1358</v>
      </c>
      <c r="C2287" s="11">
        <v>45279</v>
      </c>
      <c r="D2287" s="11" t="s">
        <v>8062</v>
      </c>
      <c r="E2287" s="1" t="s">
        <v>21</v>
      </c>
      <c r="F2287" s="1" t="s">
        <v>8058</v>
      </c>
      <c r="G2287" s="6">
        <f>COUNTIF(F:F,Table2[[#This Row],[Form '#]])</f>
        <v>1</v>
      </c>
      <c r="H2287" s="1" t="s">
        <v>3667</v>
      </c>
      <c r="I2287" s="1" t="s">
        <v>3852</v>
      </c>
      <c r="J2287" s="1" t="s">
        <v>80</v>
      </c>
      <c r="K2287" s="1" t="s">
        <v>3853</v>
      </c>
      <c r="L2287" s="1"/>
      <c r="M2287" s="6" t="str">
        <f>IF(Table2[[#This Row],[Corrected Form '#
 (If Duplicated)]]="",Table2[[#This Row],[Form '#]],Table2[[#This Row],[Corrected Form '#
 (If Duplicated)]])</f>
        <v>7818-33923</v>
      </c>
      <c r="N2287" s="1" t="s">
        <v>49</v>
      </c>
      <c r="O2287" s="6" t="str">
        <f>IF(Table2[[#This Row],[POG CONFIRMATION RECEIPT OF ORDER
(DATE &amp; TIME)]]="","No Confirmation","Received Confirmation")</f>
        <v>Received Confirmation</v>
      </c>
      <c r="P2287" s="6">
        <f ca="1">TODAY()-Table2[[#This Row],[DATE SENT TO POG]]</f>
        <v>24</v>
      </c>
      <c r="Q2287" s="6" t="s">
        <v>6025</v>
      </c>
      <c r="R228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7" s="6" t="str">
        <f>_xlfn.XLOOKUP(Table2[[#This Row],[Adjusted Form '#]],'[2]IN PROGRESS'!$D:$D,'[2]IN PROGRESS'!$M:$M,"Not Found")</f>
        <v>Not Found</v>
      </c>
      <c r="U2287" s="6" t="str">
        <f>_xlfn.XLOOKUP(Table2[[#This Row],[Adjusted Form '#]],[1]COMPLETED!$D:$D,[2]COMPLETED!$M:$M,"Not Found")</f>
        <v>Not Found</v>
      </c>
      <c r="V2287" s="13">
        <f>_xlfn.XLOOKUP(Table2[[#This Row],[Adjusted Form '#]],[2]COMPLETED!$D:$D,[2]COMPLETED!$O:$O,"Not Found")</f>
        <v>45290</v>
      </c>
      <c r="W2287" s="6" t="str">
        <f>_xlfn.XLOOKUP(Table2[[#This Row],[Adjusted Form '#]],[2]BILLED!$D:$D,[2]BILLED!$M:$M,"Not Found")</f>
        <v>Not Found</v>
      </c>
      <c r="X2287" s="13" t="str">
        <f>_xlfn.XLOOKUP(Table2[[#This Row],[Adjusted Form '#]],[2]BILLED!$D:$D,[1]BILLED!$O:$O,"Not Found")</f>
        <v>Not Found</v>
      </c>
      <c r="Y2287" s="13" t="e">
        <f>_xlfn.XLOOKUP(Table2[[#This Row],[Adjusted Form '#]],'[2]REJECTED ORDERS'!$D:$D,'[2]REJECTED ORDERS'!$E:$E)</f>
        <v>#N/A</v>
      </c>
      <c r="Z2287" s="1"/>
      <c r="AA2287" s="1"/>
    </row>
    <row r="2288" spans="1:27" ht="15" customHeight="1" x14ac:dyDescent="0.35">
      <c r="A2288" s="4" t="s">
        <v>3325</v>
      </c>
      <c r="B2288" s="1" t="s">
        <v>1358</v>
      </c>
      <c r="C2288" s="11">
        <v>45279</v>
      </c>
      <c r="D2288" s="11" t="s">
        <v>8062</v>
      </c>
      <c r="E2288" s="1" t="s">
        <v>21</v>
      </c>
      <c r="F2288" s="1" t="s">
        <v>8059</v>
      </c>
      <c r="G2288" s="6">
        <f>COUNTIF(F:F,Table2[[#This Row],[Form '#]])</f>
        <v>1</v>
      </c>
      <c r="H2288" s="1" t="s">
        <v>8060</v>
      </c>
      <c r="I2288" s="1" t="s">
        <v>127</v>
      </c>
      <c r="J2288" s="1" t="s">
        <v>76</v>
      </c>
      <c r="K2288" s="1" t="s">
        <v>3883</v>
      </c>
      <c r="L2288" s="1"/>
      <c r="M2288" s="6" t="str">
        <f>IF(Table2[[#This Row],[Corrected Form '#
 (If Duplicated)]]="",Table2[[#This Row],[Form '#]],Table2[[#This Row],[Corrected Form '#
 (If Duplicated)]])</f>
        <v>7818-11860</v>
      </c>
      <c r="N2288" s="1" t="s">
        <v>49</v>
      </c>
      <c r="O2288" s="6" t="str">
        <f>IF(Table2[[#This Row],[POG CONFIRMATION RECEIPT OF ORDER
(DATE &amp; TIME)]]="","No Confirmation","Received Confirmation")</f>
        <v>Received Confirmation</v>
      </c>
      <c r="P2288" s="6">
        <f ca="1">TODAY()-Table2[[#This Row],[DATE SENT TO POG]]</f>
        <v>24</v>
      </c>
      <c r="Q2288" s="6" t="s">
        <v>6025</v>
      </c>
      <c r="R228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8" s="6" t="str">
        <f>_xlfn.XLOOKUP(Table2[[#This Row],[Adjusted Form '#]],'[2]IN PROGRESS'!$D:$D,'[2]IN PROGRESS'!$M:$M,"Not Found")</f>
        <v>Not Found</v>
      </c>
      <c r="U2288" s="6" t="str">
        <f>_xlfn.XLOOKUP(Table2[[#This Row],[Adjusted Form '#]],[1]COMPLETED!$D:$D,[2]COMPLETED!$M:$M,"Not Found")</f>
        <v>Not Found</v>
      </c>
      <c r="V2288" s="13">
        <f>_xlfn.XLOOKUP(Table2[[#This Row],[Adjusted Form '#]],[2]COMPLETED!$D:$D,[2]COMPLETED!$O:$O,"Not Found")</f>
        <v>45289</v>
      </c>
      <c r="W2288" s="6" t="str">
        <f>_xlfn.XLOOKUP(Table2[[#This Row],[Adjusted Form '#]],[2]BILLED!$D:$D,[2]BILLED!$M:$M,"Not Found")</f>
        <v>Not Found</v>
      </c>
      <c r="X2288" s="13" t="str">
        <f>_xlfn.XLOOKUP(Table2[[#This Row],[Adjusted Form '#]],[2]BILLED!$D:$D,[1]BILLED!$O:$O,"Not Found")</f>
        <v>Not Found</v>
      </c>
      <c r="Y2288" s="13" t="e">
        <f>_xlfn.XLOOKUP(Table2[[#This Row],[Adjusted Form '#]],'[2]REJECTED ORDERS'!$D:$D,'[2]REJECTED ORDERS'!$E:$E)</f>
        <v>#N/A</v>
      </c>
      <c r="Z2288" s="1"/>
      <c r="AA2288" s="1"/>
    </row>
    <row r="2289" spans="1:27" ht="15" customHeight="1" x14ac:dyDescent="0.35">
      <c r="A2289" s="4" t="s">
        <v>3327</v>
      </c>
      <c r="B2289" s="1" t="s">
        <v>733</v>
      </c>
      <c r="C2289" s="11">
        <v>45279</v>
      </c>
      <c r="D2289" s="11" t="s">
        <v>8069</v>
      </c>
      <c r="E2289" s="1" t="s">
        <v>73</v>
      </c>
      <c r="F2289" s="1" t="s">
        <v>8063</v>
      </c>
      <c r="G2289" s="6">
        <f>COUNTIF(F:F,Table2[[#This Row],[Form '#]])</f>
        <v>1</v>
      </c>
      <c r="H2289" s="1" t="s">
        <v>8068</v>
      </c>
      <c r="I2289" s="1" t="s">
        <v>758</v>
      </c>
      <c r="J2289" s="1" t="s">
        <v>78</v>
      </c>
      <c r="K2289" s="1" t="s">
        <v>3853</v>
      </c>
      <c r="L2289" s="1"/>
      <c r="M2289" s="6" t="str">
        <f>IF(Table2[[#This Row],[Corrected Form '#
 (If Duplicated)]]="",Table2[[#This Row],[Form '#]],Table2[[#This Row],[Corrected Form '#
 (If Duplicated)]])</f>
        <v>7823-03238</v>
      </c>
      <c r="N2289" s="1" t="s">
        <v>49</v>
      </c>
      <c r="O2289" s="6" t="str">
        <f>IF(Table2[[#This Row],[POG CONFIRMATION RECEIPT OF ORDER
(DATE &amp; TIME)]]="","No Confirmation","Received Confirmation")</f>
        <v>Received Confirmation</v>
      </c>
      <c r="P2289" s="6">
        <f ca="1">TODAY()-Table2[[#This Row],[DATE SENT TO POG]]</f>
        <v>24</v>
      </c>
      <c r="Q2289" s="6" t="s">
        <v>6025</v>
      </c>
      <c r="R228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8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89" s="6" t="str">
        <f>_xlfn.XLOOKUP(Table2[[#This Row],[Adjusted Form '#]],'[2]IN PROGRESS'!$D:$D,'[2]IN PROGRESS'!$M:$M,"Not Found")</f>
        <v>Not Found</v>
      </c>
      <c r="U2289" s="6" t="str">
        <f>_xlfn.XLOOKUP(Table2[[#This Row],[Adjusted Form '#]],[1]COMPLETED!$D:$D,[2]COMPLETED!$M:$M,"Not Found")</f>
        <v>Not Found</v>
      </c>
      <c r="V2289" s="13">
        <f>_xlfn.XLOOKUP(Table2[[#This Row],[Adjusted Form '#]],[2]COMPLETED!$D:$D,[2]COMPLETED!$O:$O,"Not Found")</f>
        <v>45289</v>
      </c>
      <c r="W2289" s="6" t="str">
        <f>_xlfn.XLOOKUP(Table2[[#This Row],[Adjusted Form '#]],[2]BILLED!$D:$D,[2]BILLED!$M:$M,"Not Found")</f>
        <v>Not Found</v>
      </c>
      <c r="X2289" s="13" t="str">
        <f>_xlfn.XLOOKUP(Table2[[#This Row],[Adjusted Form '#]],[2]BILLED!$D:$D,[1]BILLED!$O:$O,"Not Found")</f>
        <v>Not Found</v>
      </c>
      <c r="Y2289" s="13" t="e">
        <f>_xlfn.XLOOKUP(Table2[[#This Row],[Adjusted Form '#]],'[2]REJECTED ORDERS'!$D:$D,'[2]REJECTED ORDERS'!$E:$E)</f>
        <v>#N/A</v>
      </c>
      <c r="Z2289" s="1"/>
      <c r="AA2289" s="1"/>
    </row>
    <row r="2290" spans="1:27" ht="15" customHeight="1" x14ac:dyDescent="0.35">
      <c r="A2290" s="4" t="s">
        <v>3329</v>
      </c>
      <c r="B2290" s="1" t="s">
        <v>4539</v>
      </c>
      <c r="C2290" s="11">
        <v>45279</v>
      </c>
      <c r="D2290" s="11" t="s">
        <v>8069</v>
      </c>
      <c r="E2290" s="1" t="s">
        <v>21</v>
      </c>
      <c r="F2290" s="1" t="s">
        <v>8064</v>
      </c>
      <c r="G2290" s="6">
        <f>COUNTIF(F:F,Table2[[#This Row],[Form '#]])</f>
        <v>1</v>
      </c>
      <c r="H2290" s="1" t="s">
        <v>8066</v>
      </c>
      <c r="I2290" s="1" t="s">
        <v>3864</v>
      </c>
      <c r="J2290" s="1" t="s">
        <v>78</v>
      </c>
      <c r="K2290" s="1" t="s">
        <v>3879</v>
      </c>
      <c r="L2290" s="1"/>
      <c r="M2290" s="6" t="str">
        <f>IF(Table2[[#This Row],[Corrected Form '#
 (If Duplicated)]]="",Table2[[#This Row],[Form '#]],Table2[[#This Row],[Corrected Form '#
 (If Duplicated)]])</f>
        <v>7818-27703</v>
      </c>
      <c r="N2290" s="1" t="s">
        <v>49</v>
      </c>
      <c r="O2290" s="6" t="str">
        <f>IF(Table2[[#This Row],[POG CONFIRMATION RECEIPT OF ORDER
(DATE &amp; TIME)]]="","No Confirmation","Received Confirmation")</f>
        <v>Received Confirmation</v>
      </c>
      <c r="P2290" s="6">
        <f ca="1">TODAY()-Table2[[#This Row],[DATE SENT TO POG]]</f>
        <v>24</v>
      </c>
      <c r="Q2290" s="6" t="s">
        <v>6025</v>
      </c>
      <c r="R229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0" s="6" t="str">
        <f>_xlfn.XLOOKUP(Table2[[#This Row],[Adjusted Form '#]],'[2]IN PROGRESS'!$D:$D,'[2]IN PROGRESS'!$M:$M,"Not Found")</f>
        <v>Not Found</v>
      </c>
      <c r="U2290" s="6" t="str">
        <f>_xlfn.XLOOKUP(Table2[[#This Row],[Adjusted Form '#]],[1]COMPLETED!$D:$D,[2]COMPLETED!$M:$M,"Not Found")</f>
        <v>Not Found</v>
      </c>
      <c r="V2290" s="13">
        <f>_xlfn.XLOOKUP(Table2[[#This Row],[Adjusted Form '#]],[2]COMPLETED!$D:$D,[2]COMPLETED!$O:$O,"Not Found")</f>
        <v>45289</v>
      </c>
      <c r="W2290" s="6" t="str">
        <f>_xlfn.XLOOKUP(Table2[[#This Row],[Adjusted Form '#]],[2]BILLED!$D:$D,[2]BILLED!$M:$M,"Not Found")</f>
        <v>Not Found</v>
      </c>
      <c r="X2290" s="13" t="str">
        <f>_xlfn.XLOOKUP(Table2[[#This Row],[Adjusted Form '#]],[2]BILLED!$D:$D,[1]BILLED!$O:$O,"Not Found")</f>
        <v>Not Found</v>
      </c>
      <c r="Y2290" s="13" t="e">
        <f>_xlfn.XLOOKUP(Table2[[#This Row],[Adjusted Form '#]],'[2]REJECTED ORDERS'!$D:$D,'[2]REJECTED ORDERS'!$E:$E)</f>
        <v>#N/A</v>
      </c>
      <c r="Z2290" s="1"/>
      <c r="AA2290" s="1"/>
    </row>
    <row r="2291" spans="1:27" ht="15" customHeight="1" x14ac:dyDescent="0.35">
      <c r="A2291" s="4" t="s">
        <v>3330</v>
      </c>
      <c r="B2291" s="1" t="s">
        <v>4539</v>
      </c>
      <c r="C2291" s="11">
        <v>45279</v>
      </c>
      <c r="D2291" s="11" t="s">
        <v>8069</v>
      </c>
      <c r="E2291" s="1" t="s">
        <v>21</v>
      </c>
      <c r="F2291" s="1" t="s">
        <v>8065</v>
      </c>
      <c r="G2291" s="6">
        <f>COUNTIF(F:F,Table2[[#This Row],[Form '#]])</f>
        <v>1</v>
      </c>
      <c r="H2291" s="1" t="s">
        <v>656</v>
      </c>
      <c r="I2291" s="1" t="s">
        <v>758</v>
      </c>
      <c r="J2291" s="1" t="s">
        <v>78</v>
      </c>
      <c r="K2291" s="1" t="s">
        <v>3853</v>
      </c>
      <c r="L2291" s="1"/>
      <c r="M2291" s="6" t="str">
        <f>IF(Table2[[#This Row],[Corrected Form '#
 (If Duplicated)]]="",Table2[[#This Row],[Form '#]],Table2[[#This Row],[Corrected Form '#
 (If Duplicated)]])</f>
        <v>7818-34011</v>
      </c>
      <c r="N2291" s="1" t="s">
        <v>49</v>
      </c>
      <c r="O2291" s="6" t="str">
        <f>IF(Table2[[#This Row],[POG CONFIRMATION RECEIPT OF ORDER
(DATE &amp; TIME)]]="","No Confirmation","Received Confirmation")</f>
        <v>Received Confirmation</v>
      </c>
      <c r="P2291" s="6">
        <f ca="1">TODAY()-Table2[[#This Row],[DATE SENT TO POG]]</f>
        <v>24</v>
      </c>
      <c r="Q2291" s="6" t="s">
        <v>6025</v>
      </c>
      <c r="R229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1" s="6" t="str">
        <f>_xlfn.XLOOKUP(Table2[[#This Row],[Adjusted Form '#]],'[2]IN PROGRESS'!$D:$D,'[2]IN PROGRESS'!$M:$M,"Not Found")</f>
        <v>Not Found</v>
      </c>
      <c r="U2291" s="6" t="str">
        <f>_xlfn.XLOOKUP(Table2[[#This Row],[Adjusted Form '#]],[1]COMPLETED!$D:$D,[2]COMPLETED!$M:$M,"Not Found")</f>
        <v>Not Found</v>
      </c>
      <c r="V2291" s="13">
        <f>_xlfn.XLOOKUP(Table2[[#This Row],[Adjusted Form '#]],[2]COMPLETED!$D:$D,[2]COMPLETED!$O:$O,"Not Found")</f>
        <v>45289</v>
      </c>
      <c r="W2291" s="6" t="str">
        <f>_xlfn.XLOOKUP(Table2[[#This Row],[Adjusted Form '#]],[2]BILLED!$D:$D,[2]BILLED!$M:$M,"Not Found")</f>
        <v>Not Found</v>
      </c>
      <c r="X2291" s="13" t="str">
        <f>_xlfn.XLOOKUP(Table2[[#This Row],[Adjusted Form '#]],[2]BILLED!$D:$D,[1]BILLED!$O:$O,"Not Found")</f>
        <v>Not Found</v>
      </c>
      <c r="Y2291" s="13" t="e">
        <f>_xlfn.XLOOKUP(Table2[[#This Row],[Adjusted Form '#]],'[2]REJECTED ORDERS'!$D:$D,'[2]REJECTED ORDERS'!$E:$E)</f>
        <v>#N/A</v>
      </c>
      <c r="Z2291" s="1"/>
      <c r="AA2291" s="1"/>
    </row>
    <row r="2292" spans="1:27" ht="15" customHeight="1" x14ac:dyDescent="0.35">
      <c r="A2292" s="4" t="s">
        <v>3331</v>
      </c>
      <c r="B2292" s="1" t="s">
        <v>4539</v>
      </c>
      <c r="C2292" s="11">
        <v>45279</v>
      </c>
      <c r="D2292" s="11" t="s">
        <v>8069</v>
      </c>
      <c r="E2292" s="1" t="s">
        <v>21</v>
      </c>
      <c r="F2292" s="1" t="s">
        <v>8067</v>
      </c>
      <c r="G2292" s="6">
        <f>COUNTIF(F:F,Table2[[#This Row],[Form '#]])</f>
        <v>1</v>
      </c>
      <c r="H2292" s="1" t="s">
        <v>4622</v>
      </c>
      <c r="I2292" s="1" t="s">
        <v>3864</v>
      </c>
      <c r="J2292" s="1" t="s">
        <v>78</v>
      </c>
      <c r="K2292" s="1" t="s">
        <v>3879</v>
      </c>
      <c r="L2292" s="1"/>
      <c r="M2292" s="6" t="str">
        <f>IF(Table2[[#This Row],[Corrected Form '#
 (If Duplicated)]]="",Table2[[#This Row],[Form '#]],Table2[[#This Row],[Corrected Form '#
 (If Duplicated)]])</f>
        <v>7818-21179</v>
      </c>
      <c r="N2292" s="1" t="s">
        <v>49</v>
      </c>
      <c r="O2292" s="6" t="str">
        <f>IF(Table2[[#This Row],[POG CONFIRMATION RECEIPT OF ORDER
(DATE &amp; TIME)]]="","No Confirmation","Received Confirmation")</f>
        <v>Received Confirmation</v>
      </c>
      <c r="P2292" s="6">
        <f ca="1">TODAY()-Table2[[#This Row],[DATE SENT TO POG]]</f>
        <v>24</v>
      </c>
      <c r="Q2292" s="6" t="s">
        <v>6025</v>
      </c>
      <c r="R229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2" s="6" t="str">
        <f>_xlfn.XLOOKUP(Table2[[#This Row],[Adjusted Form '#]],'[2]IN PROGRESS'!$D:$D,'[2]IN PROGRESS'!$M:$M,"Not Found")</f>
        <v>Not Found</v>
      </c>
      <c r="U2292" s="6" t="str">
        <f>_xlfn.XLOOKUP(Table2[[#This Row],[Adjusted Form '#]],[1]COMPLETED!$D:$D,[2]COMPLETED!$M:$M,"Not Found")</f>
        <v>Not Found</v>
      </c>
      <c r="V2292" s="13">
        <f>_xlfn.XLOOKUP(Table2[[#This Row],[Adjusted Form '#]],[2]COMPLETED!$D:$D,[2]COMPLETED!$O:$O,"Not Found")</f>
        <v>45289</v>
      </c>
      <c r="W2292" s="6" t="str">
        <f>_xlfn.XLOOKUP(Table2[[#This Row],[Adjusted Form '#]],[2]BILLED!$D:$D,[2]BILLED!$M:$M,"Not Found")</f>
        <v>Not Found</v>
      </c>
      <c r="X2292" s="13" t="str">
        <f>_xlfn.XLOOKUP(Table2[[#This Row],[Adjusted Form '#]],[2]BILLED!$D:$D,[1]BILLED!$O:$O,"Not Found")</f>
        <v>Not Found</v>
      </c>
      <c r="Y2292" s="13" t="e">
        <f>_xlfn.XLOOKUP(Table2[[#This Row],[Adjusted Form '#]],'[2]REJECTED ORDERS'!$D:$D,'[2]REJECTED ORDERS'!$E:$E)</f>
        <v>#N/A</v>
      </c>
      <c r="Z2292" s="1"/>
      <c r="AA2292" s="1"/>
    </row>
    <row r="2293" spans="1:27" ht="15" customHeight="1" x14ac:dyDescent="0.35">
      <c r="A2293" s="4" t="s">
        <v>3332</v>
      </c>
      <c r="B2293" s="1" t="s">
        <v>2019</v>
      </c>
      <c r="C2293" s="11">
        <v>45280</v>
      </c>
      <c r="D2293" s="11" t="s">
        <v>8074</v>
      </c>
      <c r="E2293" s="1" t="s">
        <v>14</v>
      </c>
      <c r="F2293" s="1" t="s">
        <v>8070</v>
      </c>
      <c r="G2293" s="6">
        <f>COUNTIF(F:F,Table2[[#This Row],[Form '#]])</f>
        <v>1</v>
      </c>
      <c r="H2293" s="1" t="s">
        <v>8071</v>
      </c>
      <c r="I2293" s="1" t="s">
        <v>3852</v>
      </c>
      <c r="J2293" s="1" t="s">
        <v>80</v>
      </c>
      <c r="K2293" s="1" t="s">
        <v>3853</v>
      </c>
      <c r="L2293" s="1"/>
      <c r="M2293" s="6" t="str">
        <f>IF(Table2[[#This Row],[Corrected Form '#
 (If Duplicated)]]="",Table2[[#This Row],[Form '#]],Table2[[#This Row],[Corrected Form '#
 (If Duplicated)]])</f>
        <v>7810-04510</v>
      </c>
      <c r="N2293" s="1" t="s">
        <v>49</v>
      </c>
      <c r="O2293" s="6" t="str">
        <f>IF(Table2[[#This Row],[POG CONFIRMATION RECEIPT OF ORDER
(DATE &amp; TIME)]]="","No Confirmation","Received Confirmation")</f>
        <v>Received Confirmation</v>
      </c>
      <c r="P2293" s="6">
        <f ca="1">TODAY()-Table2[[#This Row],[DATE SENT TO POG]]</f>
        <v>23</v>
      </c>
      <c r="Q2293" s="6" t="s">
        <v>5802</v>
      </c>
      <c r="R229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3" s="6" t="str">
        <f>_xlfn.XLOOKUP(Table2[[#This Row],[Adjusted Form '#]],'[2]IN PROGRESS'!$D:$D,'[2]IN PROGRESS'!$M:$M,"Not Found")</f>
        <v>Not Found</v>
      </c>
      <c r="U2293" s="6" t="str">
        <f>_xlfn.XLOOKUP(Table2[[#This Row],[Adjusted Form '#]],[1]COMPLETED!$D:$D,[2]COMPLETED!$M:$M,"Not Found")</f>
        <v>Not Found</v>
      </c>
      <c r="V2293" s="13" t="str">
        <f>_xlfn.XLOOKUP(Table2[[#This Row],[Adjusted Form '#]],[2]COMPLETED!$D:$D,[2]COMPLETED!$O:$O,"Not Found")</f>
        <v>Not Found</v>
      </c>
      <c r="W2293" s="6" t="str">
        <f>_xlfn.XLOOKUP(Table2[[#This Row],[Adjusted Form '#]],[2]BILLED!$D:$D,[2]BILLED!$M:$M,"Not Found")</f>
        <v>Not Found</v>
      </c>
      <c r="X2293" s="13" t="str">
        <f>_xlfn.XLOOKUP(Table2[[#This Row],[Adjusted Form '#]],[2]BILLED!$D:$D,[1]BILLED!$O:$O,"Not Found")</f>
        <v>Not Found</v>
      </c>
      <c r="Y2293" s="13" t="e">
        <f>_xlfn.XLOOKUP(Table2[[#This Row],[Adjusted Form '#]],'[2]REJECTED ORDERS'!$D:$D,'[2]REJECTED ORDERS'!$E:$E)</f>
        <v>#N/A</v>
      </c>
      <c r="Z2293" s="1"/>
      <c r="AA2293" s="1"/>
    </row>
    <row r="2294" spans="1:27" ht="15" customHeight="1" x14ac:dyDescent="0.35">
      <c r="A2294" s="4" t="s">
        <v>3333</v>
      </c>
      <c r="B2294" s="1" t="s">
        <v>2019</v>
      </c>
      <c r="C2294" s="11">
        <v>45280</v>
      </c>
      <c r="D2294" s="11" t="s">
        <v>8074</v>
      </c>
      <c r="E2294" s="1" t="s">
        <v>14</v>
      </c>
      <c r="F2294" s="1" t="s">
        <v>8072</v>
      </c>
      <c r="G2294" s="6">
        <f>COUNTIF(F:F,Table2[[#This Row],[Form '#]])</f>
        <v>1</v>
      </c>
      <c r="H2294" s="1" t="s">
        <v>8073</v>
      </c>
      <c r="I2294" s="1" t="s">
        <v>127</v>
      </c>
      <c r="J2294" s="1" t="s">
        <v>76</v>
      </c>
      <c r="K2294" s="1" t="s">
        <v>3883</v>
      </c>
      <c r="L2294" s="1"/>
      <c r="M2294" s="6" t="str">
        <f>IF(Table2[[#This Row],[Corrected Form '#
 (If Duplicated)]]="",Table2[[#This Row],[Form '#]],Table2[[#This Row],[Corrected Form '#
 (If Duplicated)]])</f>
        <v>7810-03019</v>
      </c>
      <c r="N2294" s="1" t="s">
        <v>49</v>
      </c>
      <c r="O2294" s="6" t="str">
        <f>IF(Table2[[#This Row],[POG CONFIRMATION RECEIPT OF ORDER
(DATE &amp; TIME)]]="","No Confirmation","Received Confirmation")</f>
        <v>Received Confirmation</v>
      </c>
      <c r="P2294" s="6">
        <f ca="1">TODAY()-Table2[[#This Row],[DATE SENT TO POG]]</f>
        <v>23</v>
      </c>
      <c r="Q2294" s="6" t="s">
        <v>6025</v>
      </c>
      <c r="R229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4" s="6" t="str">
        <f>_xlfn.XLOOKUP(Table2[[#This Row],[Adjusted Form '#]],'[2]IN PROGRESS'!$D:$D,'[2]IN PROGRESS'!$M:$M,"Not Found")</f>
        <v>Not Found</v>
      </c>
      <c r="U2294" s="6" t="str">
        <f>_xlfn.XLOOKUP(Table2[[#This Row],[Adjusted Form '#]],[1]COMPLETED!$D:$D,[2]COMPLETED!$M:$M,"Not Found")</f>
        <v>Not Found</v>
      </c>
      <c r="V2294" s="13">
        <f>_xlfn.XLOOKUP(Table2[[#This Row],[Adjusted Form '#]],[2]COMPLETED!$D:$D,[2]COMPLETED!$O:$O,"Not Found")</f>
        <v>45293</v>
      </c>
      <c r="W2294" s="6" t="str">
        <f>_xlfn.XLOOKUP(Table2[[#This Row],[Adjusted Form '#]],[2]BILLED!$D:$D,[2]BILLED!$M:$M,"Not Found")</f>
        <v>Not Found</v>
      </c>
      <c r="X2294" s="13" t="str">
        <f>_xlfn.XLOOKUP(Table2[[#This Row],[Adjusted Form '#]],[2]BILLED!$D:$D,[1]BILLED!$O:$O,"Not Found")</f>
        <v>Not Found</v>
      </c>
      <c r="Y2294" s="13" t="e">
        <f>_xlfn.XLOOKUP(Table2[[#This Row],[Adjusted Form '#]],'[2]REJECTED ORDERS'!$D:$D,'[2]REJECTED ORDERS'!$E:$E)</f>
        <v>#N/A</v>
      </c>
      <c r="Z2294" s="1"/>
      <c r="AA2294" s="1"/>
    </row>
    <row r="2295" spans="1:27" ht="15" customHeight="1" x14ac:dyDescent="0.35">
      <c r="A2295" s="4" t="s">
        <v>3334</v>
      </c>
      <c r="B2295" s="1" t="s">
        <v>1579</v>
      </c>
      <c r="C2295" s="11">
        <v>45280</v>
      </c>
      <c r="D2295" s="11" t="s">
        <v>8078</v>
      </c>
      <c r="E2295" s="1" t="s">
        <v>191</v>
      </c>
      <c r="F2295" s="1" t="s">
        <v>8043</v>
      </c>
      <c r="G2295" s="6">
        <f>COUNTIF(F:F,Table2[[#This Row],[Form '#]])</f>
        <v>3</v>
      </c>
      <c r="H2295" s="1" t="s">
        <v>4086</v>
      </c>
      <c r="I2295" s="1" t="s">
        <v>127</v>
      </c>
      <c r="J2295" s="1" t="s">
        <v>74</v>
      </c>
      <c r="K2295" s="1" t="s">
        <v>4011</v>
      </c>
      <c r="L2295" s="1"/>
      <c r="M2295" s="6" t="str">
        <f>IF(Table2[[#This Row],[Corrected Form '#
 (If Duplicated)]]="",Table2[[#This Row],[Form '#]],Table2[[#This Row],[Corrected Form '#
 (If Duplicated)]])</f>
        <v>7812-01464</v>
      </c>
      <c r="N2295" s="1" t="s">
        <v>49</v>
      </c>
      <c r="O2295" s="6" t="str">
        <f>IF(Table2[[#This Row],[POG CONFIRMATION RECEIPT OF ORDER
(DATE &amp; TIME)]]="","No Confirmation","Received Confirmation")</f>
        <v>Received Confirmation</v>
      </c>
      <c r="P2295" s="6">
        <f ca="1">TODAY()-Table2[[#This Row],[DATE SENT TO POG]]</f>
        <v>23</v>
      </c>
      <c r="Q2295" s="6" t="s">
        <v>6025</v>
      </c>
      <c r="R229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5" s="6" t="str">
        <f>_xlfn.XLOOKUP(Table2[[#This Row],[Adjusted Form '#]],'[2]IN PROGRESS'!$D:$D,'[2]IN PROGRESS'!$M:$M,"Not Found")</f>
        <v>Not Found</v>
      </c>
      <c r="U2295" s="6" t="str">
        <f>_xlfn.XLOOKUP(Table2[[#This Row],[Adjusted Form '#]],[1]COMPLETED!$D:$D,[2]COMPLETED!$M:$M,"Not Found")</f>
        <v>Not Found</v>
      </c>
      <c r="V2295" s="13">
        <f>_xlfn.XLOOKUP(Table2[[#This Row],[Adjusted Form '#]],[2]COMPLETED!$D:$D,[2]COMPLETED!$O:$O,"Not Found")</f>
        <v>45290</v>
      </c>
      <c r="W2295" s="6" t="str">
        <f>_xlfn.XLOOKUP(Table2[[#This Row],[Adjusted Form '#]],[2]BILLED!$D:$D,[2]BILLED!$M:$M,"Not Found")</f>
        <v>Not Found</v>
      </c>
      <c r="X2295" s="13" t="str">
        <f>_xlfn.XLOOKUP(Table2[[#This Row],[Adjusted Form '#]],[2]BILLED!$D:$D,[1]BILLED!$O:$O,"Not Found")</f>
        <v>Not Found</v>
      </c>
      <c r="Y2295" s="13" t="e">
        <f>_xlfn.XLOOKUP(Table2[[#This Row],[Adjusted Form '#]],'[2]REJECTED ORDERS'!$D:$D,'[2]REJECTED ORDERS'!$E:$E)</f>
        <v>#N/A</v>
      </c>
      <c r="Z2295" s="1"/>
      <c r="AA2295" s="1"/>
    </row>
    <row r="2296" spans="1:27" ht="15" customHeight="1" x14ac:dyDescent="0.35">
      <c r="A2296" s="4" t="s">
        <v>3335</v>
      </c>
      <c r="B2296" s="1" t="s">
        <v>1579</v>
      </c>
      <c r="C2296" s="11">
        <v>45280</v>
      </c>
      <c r="D2296" s="11" t="s">
        <v>8078</v>
      </c>
      <c r="E2296" s="1" t="s">
        <v>191</v>
      </c>
      <c r="F2296" s="1" t="s">
        <v>8075</v>
      </c>
      <c r="G2296" s="6">
        <f>COUNTIF(F:F,Table2[[#This Row],[Form '#]])</f>
        <v>1</v>
      </c>
      <c r="H2296" s="1" t="s">
        <v>1632</v>
      </c>
      <c r="I2296" s="1" t="s">
        <v>127</v>
      </c>
      <c r="J2296" s="1" t="s">
        <v>74</v>
      </c>
      <c r="K2296" s="1" t="s">
        <v>4011</v>
      </c>
      <c r="L2296" s="1"/>
      <c r="M2296" s="6" t="str">
        <f>IF(Table2[[#This Row],[Corrected Form '#
 (If Duplicated)]]="",Table2[[#This Row],[Form '#]],Table2[[#This Row],[Corrected Form '#
 (If Duplicated)]])</f>
        <v>7812-04599</v>
      </c>
      <c r="N2296" s="1" t="s">
        <v>49</v>
      </c>
      <c r="O2296" s="6" t="str">
        <f>IF(Table2[[#This Row],[POG CONFIRMATION RECEIPT OF ORDER
(DATE &amp; TIME)]]="","No Confirmation","Received Confirmation")</f>
        <v>Received Confirmation</v>
      </c>
      <c r="P2296" s="6">
        <f ca="1">TODAY()-Table2[[#This Row],[DATE SENT TO POG]]</f>
        <v>23</v>
      </c>
      <c r="Q2296" s="6" t="s">
        <v>6025</v>
      </c>
      <c r="R229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6" s="6" t="str">
        <f>_xlfn.XLOOKUP(Table2[[#This Row],[Adjusted Form '#]],'[2]IN PROGRESS'!$D:$D,'[2]IN PROGRESS'!$M:$M,"Not Found")</f>
        <v>Not Found</v>
      </c>
      <c r="U2296" s="6" t="str">
        <f>_xlfn.XLOOKUP(Table2[[#This Row],[Adjusted Form '#]],[1]COMPLETED!$D:$D,[2]COMPLETED!$M:$M,"Not Found")</f>
        <v>Not Found</v>
      </c>
      <c r="V2296" s="13">
        <f>_xlfn.XLOOKUP(Table2[[#This Row],[Adjusted Form '#]],[2]COMPLETED!$D:$D,[2]COMPLETED!$O:$O,"Not Found")</f>
        <v>45293</v>
      </c>
      <c r="W2296" s="6" t="str">
        <f>_xlfn.XLOOKUP(Table2[[#This Row],[Adjusted Form '#]],[2]BILLED!$D:$D,[2]BILLED!$M:$M,"Not Found")</f>
        <v>Not Found</v>
      </c>
      <c r="X2296" s="13" t="str">
        <f>_xlfn.XLOOKUP(Table2[[#This Row],[Adjusted Form '#]],[2]BILLED!$D:$D,[1]BILLED!$O:$O,"Not Found")</f>
        <v>Not Found</v>
      </c>
      <c r="Y2296" s="13" t="e">
        <f>_xlfn.XLOOKUP(Table2[[#This Row],[Adjusted Form '#]],'[2]REJECTED ORDERS'!$D:$D,'[2]REJECTED ORDERS'!$E:$E)</f>
        <v>#N/A</v>
      </c>
      <c r="Z2296" s="1"/>
      <c r="AA2296" s="1"/>
    </row>
    <row r="2297" spans="1:27" ht="15" customHeight="1" x14ac:dyDescent="0.35">
      <c r="A2297" s="4" t="s">
        <v>3336</v>
      </c>
      <c r="B2297" s="1" t="s">
        <v>2348</v>
      </c>
      <c r="C2297" s="11">
        <v>45280</v>
      </c>
      <c r="D2297" s="11" t="s">
        <v>8079</v>
      </c>
      <c r="E2297" s="1" t="s">
        <v>73</v>
      </c>
      <c r="F2297" s="1" t="s">
        <v>8076</v>
      </c>
      <c r="G2297" s="6">
        <f>COUNTIF(F:F,Table2[[#This Row],[Form '#]])</f>
        <v>1</v>
      </c>
      <c r="H2297" s="1" t="s">
        <v>8077</v>
      </c>
      <c r="I2297" s="1" t="s">
        <v>177</v>
      </c>
      <c r="J2297" s="1" t="s">
        <v>75</v>
      </c>
      <c r="K2297" s="1" t="s">
        <v>3891</v>
      </c>
      <c r="L2297" s="1"/>
      <c r="M2297" s="6" t="str">
        <f>IF(Table2[[#This Row],[Corrected Form '#
 (If Duplicated)]]="",Table2[[#This Row],[Form '#]],Table2[[#This Row],[Corrected Form '#
 (If Duplicated)]])</f>
        <v>7823-03004</v>
      </c>
      <c r="N2297" s="1" t="s">
        <v>49</v>
      </c>
      <c r="O2297" s="6" t="str">
        <f>IF(Table2[[#This Row],[POG CONFIRMATION RECEIPT OF ORDER
(DATE &amp; TIME)]]="","No Confirmation","Received Confirmation")</f>
        <v>Received Confirmation</v>
      </c>
      <c r="P2297" s="6">
        <f ca="1">TODAY()-Table2[[#This Row],[DATE SENT TO POG]]</f>
        <v>23</v>
      </c>
      <c r="Q2297" s="6" t="s">
        <v>5802</v>
      </c>
      <c r="R229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7" s="6" t="str">
        <f>_xlfn.XLOOKUP(Table2[[#This Row],[Adjusted Form '#]],'[2]IN PROGRESS'!$D:$D,'[2]IN PROGRESS'!$M:$M,"Not Found")</f>
        <v>Not Found</v>
      </c>
      <c r="U2297" s="6" t="str">
        <f>_xlfn.XLOOKUP(Table2[[#This Row],[Adjusted Form '#]],[1]COMPLETED!$D:$D,[2]COMPLETED!$M:$M,"Not Found")</f>
        <v>Not Found</v>
      </c>
      <c r="V2297" s="13" t="e">
        <f>_xlfn.XLOOKUP(Table2[[#This Row],[Adjusted Form '#]],[2]COMPLETED!$D:$D,[2]COMPLETED!$O:$O,"Not Found")</f>
        <v>#N/A</v>
      </c>
      <c r="W2297" s="6" t="str">
        <f>_xlfn.XLOOKUP(Table2[[#This Row],[Adjusted Form '#]],[2]BILLED!$D:$D,[2]BILLED!$M:$M,"Not Found")</f>
        <v>Not Found</v>
      </c>
      <c r="X2297" s="13" t="str">
        <f>_xlfn.XLOOKUP(Table2[[#This Row],[Adjusted Form '#]],[2]BILLED!$D:$D,[1]BILLED!$O:$O,"Not Found")</f>
        <v>Not Found</v>
      </c>
      <c r="Y2297" s="13" t="e">
        <f>_xlfn.XLOOKUP(Table2[[#This Row],[Adjusted Form '#]],'[2]REJECTED ORDERS'!$D:$D,'[2]REJECTED ORDERS'!$E:$E)</f>
        <v>#N/A</v>
      </c>
      <c r="Z2297" s="1"/>
      <c r="AA2297" s="1"/>
    </row>
    <row r="2298" spans="1:27" ht="15" customHeight="1" x14ac:dyDescent="0.35">
      <c r="A2298" s="4" t="s">
        <v>3337</v>
      </c>
      <c r="B2298" s="1" t="s">
        <v>2479</v>
      </c>
      <c r="C2298" s="11">
        <v>45281</v>
      </c>
      <c r="D2298" s="11" t="s">
        <v>8122</v>
      </c>
      <c r="E2298" s="1" t="s">
        <v>21</v>
      </c>
      <c r="F2298" s="1" t="s">
        <v>8080</v>
      </c>
      <c r="G2298" s="6">
        <f>COUNTIF(F:F,Table2[[#This Row],[Form '#]])</f>
        <v>1</v>
      </c>
      <c r="H2298" s="1" t="s">
        <v>938</v>
      </c>
      <c r="I2298" s="1" t="s">
        <v>3864</v>
      </c>
      <c r="J2298" s="1" t="s">
        <v>78</v>
      </c>
      <c r="K2298" s="1" t="s">
        <v>7763</v>
      </c>
      <c r="L2298" s="1"/>
      <c r="M2298" s="6" t="str">
        <f>IF(Table2[[#This Row],[Corrected Form '#
 (If Duplicated)]]="",Table2[[#This Row],[Form '#]],Table2[[#This Row],[Corrected Form '#
 (If Duplicated)]])</f>
        <v>7818-31625</v>
      </c>
      <c r="N2298" s="1" t="s">
        <v>49</v>
      </c>
      <c r="O2298" s="6" t="str">
        <f>IF(Table2[[#This Row],[POG CONFIRMATION RECEIPT OF ORDER
(DATE &amp; TIME)]]="","No Confirmation","Received Confirmation")</f>
        <v>Received Confirmation</v>
      </c>
      <c r="P2298" s="6">
        <f ca="1">TODAY()-Table2[[#This Row],[DATE SENT TO POG]]</f>
        <v>22</v>
      </c>
      <c r="Q2298" s="6" t="s">
        <v>6025</v>
      </c>
      <c r="R229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8" s="6" t="str">
        <f>_xlfn.XLOOKUP(Table2[[#This Row],[Adjusted Form '#]],'[2]IN PROGRESS'!$D:$D,'[2]IN PROGRESS'!$M:$M,"Not Found")</f>
        <v>Not Found</v>
      </c>
      <c r="U2298" s="6" t="str">
        <f>_xlfn.XLOOKUP(Table2[[#This Row],[Adjusted Form '#]],[1]COMPLETED!$D:$D,[2]COMPLETED!$M:$M,"Not Found")</f>
        <v>Not Found</v>
      </c>
      <c r="V2298" s="13">
        <f>_xlfn.XLOOKUP(Table2[[#This Row],[Adjusted Form '#]],[2]COMPLETED!$D:$D,[2]COMPLETED!$O:$O,"Not Found")</f>
        <v>45293</v>
      </c>
      <c r="W2298" s="6" t="str">
        <f>_xlfn.XLOOKUP(Table2[[#This Row],[Adjusted Form '#]],[2]BILLED!$D:$D,[2]BILLED!$M:$M,"Not Found")</f>
        <v>Not Found</v>
      </c>
      <c r="X2298" s="13" t="str">
        <f>_xlfn.XLOOKUP(Table2[[#This Row],[Adjusted Form '#]],[2]BILLED!$D:$D,[1]BILLED!$O:$O,"Not Found")</f>
        <v>Not Found</v>
      </c>
      <c r="Y2298" s="13" t="e">
        <f>_xlfn.XLOOKUP(Table2[[#This Row],[Adjusted Form '#]],'[2]REJECTED ORDERS'!$D:$D,'[2]REJECTED ORDERS'!$E:$E)</f>
        <v>#N/A</v>
      </c>
      <c r="Z2298" s="1"/>
      <c r="AA2298" s="1"/>
    </row>
    <row r="2299" spans="1:27" ht="15" customHeight="1" x14ac:dyDescent="0.35">
      <c r="A2299" s="4" t="s">
        <v>3338</v>
      </c>
      <c r="B2299" s="1" t="s">
        <v>2479</v>
      </c>
      <c r="C2299" s="11">
        <v>45281</v>
      </c>
      <c r="D2299" s="11" t="s">
        <v>8122</v>
      </c>
      <c r="E2299" s="1" t="s">
        <v>21</v>
      </c>
      <c r="F2299" s="1" t="s">
        <v>8081</v>
      </c>
      <c r="G2299" s="6">
        <f>COUNTIF(F:F,Table2[[#This Row],[Form '#]])</f>
        <v>1</v>
      </c>
      <c r="H2299" s="1" t="s">
        <v>8082</v>
      </c>
      <c r="I2299" s="1" t="s">
        <v>3852</v>
      </c>
      <c r="J2299" s="1" t="s">
        <v>76</v>
      </c>
      <c r="K2299" s="1" t="s">
        <v>3853</v>
      </c>
      <c r="L2299" s="1"/>
      <c r="M2299" s="6" t="str">
        <f>IF(Table2[[#This Row],[Corrected Form '#
 (If Duplicated)]]="",Table2[[#This Row],[Form '#]],Table2[[#This Row],[Corrected Form '#
 (If Duplicated)]])</f>
        <v>7818-24605</v>
      </c>
      <c r="N2299" s="1" t="s">
        <v>49</v>
      </c>
      <c r="O2299" s="6" t="str">
        <f>IF(Table2[[#This Row],[POG CONFIRMATION RECEIPT OF ORDER
(DATE &amp; TIME)]]="","No Confirmation","Received Confirmation")</f>
        <v>Received Confirmation</v>
      </c>
      <c r="P2299" s="6">
        <f ca="1">TODAY()-Table2[[#This Row],[DATE SENT TO POG]]</f>
        <v>22</v>
      </c>
      <c r="Q2299" s="6" t="s">
        <v>6025</v>
      </c>
      <c r="R229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29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299" s="6" t="str">
        <f>_xlfn.XLOOKUP(Table2[[#This Row],[Adjusted Form '#]],'[2]IN PROGRESS'!$D:$D,'[2]IN PROGRESS'!$M:$M,"Not Found")</f>
        <v>Not Found</v>
      </c>
      <c r="U2299" s="6" t="str">
        <f>_xlfn.XLOOKUP(Table2[[#This Row],[Adjusted Form '#]],[1]COMPLETED!$D:$D,[2]COMPLETED!$M:$M,"Not Found")</f>
        <v>Not Found</v>
      </c>
      <c r="V2299" s="13">
        <f>_xlfn.XLOOKUP(Table2[[#This Row],[Adjusted Form '#]],[2]COMPLETED!$D:$D,[2]COMPLETED!$O:$O,"Not Found")</f>
        <v>45293</v>
      </c>
      <c r="W2299" s="6" t="str">
        <f>_xlfn.XLOOKUP(Table2[[#This Row],[Adjusted Form '#]],[2]BILLED!$D:$D,[2]BILLED!$M:$M,"Not Found")</f>
        <v>Not Found</v>
      </c>
      <c r="X2299" s="13" t="str">
        <f>_xlfn.XLOOKUP(Table2[[#This Row],[Adjusted Form '#]],[2]BILLED!$D:$D,[1]BILLED!$O:$O,"Not Found")</f>
        <v>Not Found</v>
      </c>
      <c r="Y2299" s="13" t="e">
        <f>_xlfn.XLOOKUP(Table2[[#This Row],[Adjusted Form '#]],'[2]REJECTED ORDERS'!$D:$D,'[2]REJECTED ORDERS'!$E:$E)</f>
        <v>#N/A</v>
      </c>
      <c r="Z2299" s="1"/>
      <c r="AA2299" s="1"/>
    </row>
    <row r="2300" spans="1:27" ht="15" customHeight="1" x14ac:dyDescent="0.35">
      <c r="A2300" s="4" t="s">
        <v>3339</v>
      </c>
      <c r="B2300" s="1" t="s">
        <v>2479</v>
      </c>
      <c r="C2300" s="11">
        <v>45281</v>
      </c>
      <c r="D2300" s="11" t="s">
        <v>8122</v>
      </c>
      <c r="E2300" s="1" t="s">
        <v>21</v>
      </c>
      <c r="F2300" s="1" t="s">
        <v>8083</v>
      </c>
      <c r="G2300" s="6">
        <f>COUNTIF(F:F,Table2[[#This Row],[Form '#]])</f>
        <v>1</v>
      </c>
      <c r="H2300" s="1" t="s">
        <v>5396</v>
      </c>
      <c r="I2300" s="1" t="s">
        <v>758</v>
      </c>
      <c r="J2300" s="1" t="s">
        <v>78</v>
      </c>
      <c r="K2300" s="1" t="s">
        <v>3853</v>
      </c>
      <c r="L2300" s="1"/>
      <c r="M2300" s="6" t="str">
        <f>IF(Table2[[#This Row],[Corrected Form '#
 (If Duplicated)]]="",Table2[[#This Row],[Form '#]],Table2[[#This Row],[Corrected Form '#
 (If Duplicated)]])</f>
        <v>7818-21193</v>
      </c>
      <c r="N2300" s="1" t="s">
        <v>49</v>
      </c>
      <c r="O2300" s="6" t="str">
        <f>IF(Table2[[#This Row],[POG CONFIRMATION RECEIPT OF ORDER
(DATE &amp; TIME)]]="","No Confirmation","Received Confirmation")</f>
        <v>Received Confirmation</v>
      </c>
      <c r="P2300" s="6">
        <f ca="1">TODAY()-Table2[[#This Row],[DATE SENT TO POG]]</f>
        <v>22</v>
      </c>
      <c r="Q2300" s="6" t="s">
        <v>6025</v>
      </c>
      <c r="R230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0" s="6" t="str">
        <f>_xlfn.XLOOKUP(Table2[[#This Row],[Adjusted Form '#]],'[2]IN PROGRESS'!$D:$D,'[2]IN PROGRESS'!$M:$M,"Not Found")</f>
        <v>Not Found</v>
      </c>
      <c r="U2300" s="6" t="str">
        <f>_xlfn.XLOOKUP(Table2[[#This Row],[Adjusted Form '#]],[1]COMPLETED!$D:$D,[2]COMPLETED!$M:$M,"Not Found")</f>
        <v>Not Found</v>
      </c>
      <c r="V2300" s="13">
        <f>_xlfn.XLOOKUP(Table2[[#This Row],[Adjusted Form '#]],[2]COMPLETED!$D:$D,[2]COMPLETED!$O:$O,"Not Found")</f>
        <v>45290</v>
      </c>
      <c r="W2300" s="6" t="str">
        <f>_xlfn.XLOOKUP(Table2[[#This Row],[Adjusted Form '#]],[2]BILLED!$D:$D,[2]BILLED!$M:$M,"Not Found")</f>
        <v>Not Found</v>
      </c>
      <c r="X2300" s="13" t="str">
        <f>_xlfn.XLOOKUP(Table2[[#This Row],[Adjusted Form '#]],[2]BILLED!$D:$D,[1]BILLED!$O:$O,"Not Found")</f>
        <v>Not Found</v>
      </c>
      <c r="Y2300" s="13" t="e">
        <f>_xlfn.XLOOKUP(Table2[[#This Row],[Adjusted Form '#]],'[2]REJECTED ORDERS'!$D:$D,'[2]REJECTED ORDERS'!$E:$E)</f>
        <v>#N/A</v>
      </c>
      <c r="Z2300" s="1"/>
      <c r="AA2300" s="1"/>
    </row>
    <row r="2301" spans="1:27" ht="15" customHeight="1" x14ac:dyDescent="0.35">
      <c r="A2301" s="4" t="s">
        <v>3340</v>
      </c>
      <c r="B2301" s="1" t="s">
        <v>2479</v>
      </c>
      <c r="C2301" s="11">
        <v>45281</v>
      </c>
      <c r="D2301" s="11" t="s">
        <v>8122</v>
      </c>
      <c r="E2301" s="1" t="s">
        <v>21</v>
      </c>
      <c r="F2301" s="1" t="s">
        <v>8084</v>
      </c>
      <c r="G2301" s="6">
        <f>COUNTIF(F:F,Table2[[#This Row],[Form '#]])</f>
        <v>1</v>
      </c>
      <c r="H2301" s="1" t="s">
        <v>8085</v>
      </c>
      <c r="I2301" s="1" t="s">
        <v>758</v>
      </c>
      <c r="J2301" s="1" t="s">
        <v>78</v>
      </c>
      <c r="K2301" s="1" t="s">
        <v>3853</v>
      </c>
      <c r="L2301" s="1"/>
      <c r="M2301" s="6" t="str">
        <f>IF(Table2[[#This Row],[Corrected Form '#
 (If Duplicated)]]="",Table2[[#This Row],[Form '#]],Table2[[#This Row],[Corrected Form '#
 (If Duplicated)]])</f>
        <v>7818-33675</v>
      </c>
      <c r="N2301" s="1" t="s">
        <v>49</v>
      </c>
      <c r="O2301" s="6" t="str">
        <f>IF(Table2[[#This Row],[POG CONFIRMATION RECEIPT OF ORDER
(DATE &amp; TIME)]]="","No Confirmation","Received Confirmation")</f>
        <v>Received Confirmation</v>
      </c>
      <c r="P2301" s="6">
        <f ca="1">TODAY()-Table2[[#This Row],[DATE SENT TO POG]]</f>
        <v>22</v>
      </c>
      <c r="Q2301" s="6" t="s">
        <v>6025</v>
      </c>
      <c r="R230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1" s="6" t="str">
        <f>_xlfn.XLOOKUP(Table2[[#This Row],[Adjusted Form '#]],'[2]IN PROGRESS'!$D:$D,'[2]IN PROGRESS'!$M:$M,"Not Found")</f>
        <v>Not Found</v>
      </c>
      <c r="U2301" s="6" t="str">
        <f>_xlfn.XLOOKUP(Table2[[#This Row],[Adjusted Form '#]],[1]COMPLETED!$D:$D,[2]COMPLETED!$M:$M,"Not Found")</f>
        <v>Not Found</v>
      </c>
      <c r="V2301" s="13">
        <f>_xlfn.XLOOKUP(Table2[[#This Row],[Adjusted Form '#]],[2]COMPLETED!$D:$D,[2]COMPLETED!$O:$O,"Not Found")</f>
        <v>45290</v>
      </c>
      <c r="W2301" s="6" t="str">
        <f>_xlfn.XLOOKUP(Table2[[#This Row],[Adjusted Form '#]],[2]BILLED!$D:$D,[2]BILLED!$M:$M,"Not Found")</f>
        <v>Not Found</v>
      </c>
      <c r="X2301" s="13" t="str">
        <f>_xlfn.XLOOKUP(Table2[[#This Row],[Adjusted Form '#]],[2]BILLED!$D:$D,[1]BILLED!$O:$O,"Not Found")</f>
        <v>Not Found</v>
      </c>
      <c r="Y2301" s="13" t="e">
        <f>_xlfn.XLOOKUP(Table2[[#This Row],[Adjusted Form '#]],'[2]REJECTED ORDERS'!$D:$D,'[2]REJECTED ORDERS'!$E:$E)</f>
        <v>#N/A</v>
      </c>
      <c r="Z2301" s="1"/>
      <c r="AA2301" s="1"/>
    </row>
    <row r="2302" spans="1:27" ht="15" customHeight="1" x14ac:dyDescent="0.35">
      <c r="A2302" s="4" t="s">
        <v>3342</v>
      </c>
      <c r="B2302" s="1" t="s">
        <v>2479</v>
      </c>
      <c r="C2302" s="11">
        <v>45281</v>
      </c>
      <c r="D2302" s="11" t="s">
        <v>8122</v>
      </c>
      <c r="E2302" s="1" t="s">
        <v>21</v>
      </c>
      <c r="F2302" s="1" t="s">
        <v>8086</v>
      </c>
      <c r="G2302" s="6">
        <f>COUNTIF(F:F,Table2[[#This Row],[Form '#]])</f>
        <v>1</v>
      </c>
      <c r="H2302" s="1" t="s">
        <v>8087</v>
      </c>
      <c r="I2302" s="1" t="s">
        <v>3852</v>
      </c>
      <c r="J2302" s="1" t="s">
        <v>80</v>
      </c>
      <c r="K2302" s="1" t="s">
        <v>3853</v>
      </c>
      <c r="L2302" s="1"/>
      <c r="M2302" s="6" t="str">
        <f>IF(Table2[[#This Row],[Corrected Form '#
 (If Duplicated)]]="",Table2[[#This Row],[Form '#]],Table2[[#This Row],[Corrected Form '#
 (If Duplicated)]])</f>
        <v>7818-28478</v>
      </c>
      <c r="N2302" s="1" t="s">
        <v>49</v>
      </c>
      <c r="O2302" s="6" t="str">
        <f>IF(Table2[[#This Row],[POG CONFIRMATION RECEIPT OF ORDER
(DATE &amp; TIME)]]="","No Confirmation","Received Confirmation")</f>
        <v>Received Confirmation</v>
      </c>
      <c r="P2302" s="6">
        <f ca="1">TODAY()-Table2[[#This Row],[DATE SENT TO POG]]</f>
        <v>22</v>
      </c>
      <c r="Q2302" s="6" t="s">
        <v>6025</v>
      </c>
      <c r="R230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2" s="6" t="str">
        <f>_xlfn.XLOOKUP(Table2[[#This Row],[Adjusted Form '#]],'[2]IN PROGRESS'!$D:$D,'[2]IN PROGRESS'!$M:$M,"Not Found")</f>
        <v>Not Found</v>
      </c>
      <c r="U2302" s="6" t="str">
        <f>_xlfn.XLOOKUP(Table2[[#This Row],[Adjusted Form '#]],[1]COMPLETED!$D:$D,[2]COMPLETED!$M:$M,"Not Found")</f>
        <v>Not Found</v>
      </c>
      <c r="V2302" s="13">
        <f>_xlfn.XLOOKUP(Table2[[#This Row],[Adjusted Form '#]],[2]COMPLETED!$D:$D,[2]COMPLETED!$O:$O,"Not Found")</f>
        <v>45293</v>
      </c>
      <c r="W2302" s="6" t="str">
        <f>_xlfn.XLOOKUP(Table2[[#This Row],[Adjusted Form '#]],[2]BILLED!$D:$D,[2]BILLED!$M:$M,"Not Found")</f>
        <v>Not Found</v>
      </c>
      <c r="X2302" s="13" t="str">
        <f>_xlfn.XLOOKUP(Table2[[#This Row],[Adjusted Form '#]],[2]BILLED!$D:$D,[1]BILLED!$O:$O,"Not Found")</f>
        <v>Not Found</v>
      </c>
      <c r="Y2302" s="13" t="e">
        <f>_xlfn.XLOOKUP(Table2[[#This Row],[Adjusted Form '#]],'[2]REJECTED ORDERS'!$D:$D,'[2]REJECTED ORDERS'!$E:$E)</f>
        <v>#N/A</v>
      </c>
      <c r="Z2302" s="1"/>
      <c r="AA2302" s="1"/>
    </row>
    <row r="2303" spans="1:27" ht="15" customHeight="1" x14ac:dyDescent="0.35">
      <c r="A2303" s="4" t="s">
        <v>3343</v>
      </c>
      <c r="B2303" s="1" t="s">
        <v>2479</v>
      </c>
      <c r="C2303" s="11">
        <v>45281</v>
      </c>
      <c r="D2303" s="11" t="s">
        <v>8122</v>
      </c>
      <c r="E2303" s="1" t="s">
        <v>21</v>
      </c>
      <c r="F2303" s="1" t="s">
        <v>8088</v>
      </c>
      <c r="G2303" s="6">
        <f>COUNTIF(F:F,Table2[[#This Row],[Form '#]])</f>
        <v>1</v>
      </c>
      <c r="H2303" s="1" t="s">
        <v>8089</v>
      </c>
      <c r="I2303" s="1" t="s">
        <v>3852</v>
      </c>
      <c r="J2303" s="1" t="s">
        <v>80</v>
      </c>
      <c r="K2303" s="1" t="s">
        <v>3853</v>
      </c>
      <c r="L2303" s="1"/>
      <c r="M2303" s="6" t="str">
        <f>IF(Table2[[#This Row],[Corrected Form '#
 (If Duplicated)]]="",Table2[[#This Row],[Form '#]],Table2[[#This Row],[Corrected Form '#
 (If Duplicated)]])</f>
        <v>7818-32930</v>
      </c>
      <c r="N2303" s="1" t="s">
        <v>49</v>
      </c>
      <c r="O2303" s="6" t="str">
        <f>IF(Table2[[#This Row],[POG CONFIRMATION RECEIPT OF ORDER
(DATE &amp; TIME)]]="","No Confirmation","Received Confirmation")</f>
        <v>Received Confirmation</v>
      </c>
      <c r="P2303" s="6">
        <f ca="1">TODAY()-Table2[[#This Row],[DATE SENT TO POG]]</f>
        <v>22</v>
      </c>
      <c r="Q2303" s="6" t="s">
        <v>6025</v>
      </c>
      <c r="R230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3" s="6" t="str">
        <f>_xlfn.XLOOKUP(Table2[[#This Row],[Adjusted Form '#]],'[2]IN PROGRESS'!$D:$D,'[2]IN PROGRESS'!$M:$M,"Not Found")</f>
        <v>Not Found</v>
      </c>
      <c r="U2303" s="6" t="str">
        <f>_xlfn.XLOOKUP(Table2[[#This Row],[Adjusted Form '#]],[1]COMPLETED!$D:$D,[2]COMPLETED!$M:$M,"Not Found")</f>
        <v>Not Found</v>
      </c>
      <c r="V2303" s="13">
        <f>_xlfn.XLOOKUP(Table2[[#This Row],[Adjusted Form '#]],[2]COMPLETED!$D:$D,[2]COMPLETED!$O:$O,"Not Found")</f>
        <v>45290</v>
      </c>
      <c r="W2303" s="6" t="str">
        <f>_xlfn.XLOOKUP(Table2[[#This Row],[Adjusted Form '#]],[2]BILLED!$D:$D,[2]BILLED!$M:$M,"Not Found")</f>
        <v>Not Found</v>
      </c>
      <c r="X2303" s="13" t="str">
        <f>_xlfn.XLOOKUP(Table2[[#This Row],[Adjusted Form '#]],[2]BILLED!$D:$D,[1]BILLED!$O:$O,"Not Found")</f>
        <v>Not Found</v>
      </c>
      <c r="Y2303" s="13" t="e">
        <f>_xlfn.XLOOKUP(Table2[[#This Row],[Adjusted Form '#]],'[2]REJECTED ORDERS'!$D:$D,'[2]REJECTED ORDERS'!$E:$E)</f>
        <v>#N/A</v>
      </c>
      <c r="Z2303" s="1"/>
      <c r="AA2303" s="1"/>
    </row>
    <row r="2304" spans="1:27" ht="15" customHeight="1" x14ac:dyDescent="0.35">
      <c r="A2304" s="4" t="s">
        <v>3345</v>
      </c>
      <c r="B2304" s="1" t="s">
        <v>2479</v>
      </c>
      <c r="C2304" s="11">
        <v>45281</v>
      </c>
      <c r="D2304" s="11" t="s">
        <v>8122</v>
      </c>
      <c r="E2304" s="1" t="s">
        <v>21</v>
      </c>
      <c r="F2304" s="1" t="s">
        <v>8090</v>
      </c>
      <c r="G2304" s="6">
        <f>COUNTIF(F:F,Table2[[#This Row],[Form '#]])</f>
        <v>1</v>
      </c>
      <c r="H2304" s="1" t="s">
        <v>8091</v>
      </c>
      <c r="I2304" s="1" t="s">
        <v>3852</v>
      </c>
      <c r="J2304" s="1" t="s">
        <v>75</v>
      </c>
      <c r="K2304" s="1" t="s">
        <v>8092</v>
      </c>
      <c r="L2304" s="1"/>
      <c r="M2304" s="6" t="str">
        <f>IF(Table2[[#This Row],[Corrected Form '#
 (If Duplicated)]]="",Table2[[#This Row],[Form '#]],Table2[[#This Row],[Corrected Form '#
 (If Duplicated)]])</f>
        <v>7818-17326</v>
      </c>
      <c r="N2304" s="1" t="s">
        <v>49</v>
      </c>
      <c r="O2304" s="6" t="str">
        <f>IF(Table2[[#This Row],[POG CONFIRMATION RECEIPT OF ORDER
(DATE &amp; TIME)]]="","No Confirmation","Received Confirmation")</f>
        <v>Received Confirmation</v>
      </c>
      <c r="P2304" s="6">
        <f ca="1">TODAY()-Table2[[#This Row],[DATE SENT TO POG]]</f>
        <v>22</v>
      </c>
      <c r="Q2304" s="6" t="s">
        <v>6025</v>
      </c>
      <c r="R230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4" s="6" t="str">
        <f>_xlfn.XLOOKUP(Table2[[#This Row],[Adjusted Form '#]],'[2]IN PROGRESS'!$D:$D,'[2]IN PROGRESS'!$M:$M,"Not Found")</f>
        <v>Not Found</v>
      </c>
      <c r="U2304" s="6" t="str">
        <f>_xlfn.XLOOKUP(Table2[[#This Row],[Adjusted Form '#]],[1]COMPLETED!$D:$D,[2]COMPLETED!$M:$M,"Not Found")</f>
        <v>Not Found</v>
      </c>
      <c r="V2304" s="13">
        <f>_xlfn.XLOOKUP(Table2[[#This Row],[Adjusted Form '#]],[2]COMPLETED!$D:$D,[2]COMPLETED!$O:$O,"Not Found")</f>
        <v>45293</v>
      </c>
      <c r="W2304" s="6" t="str">
        <f>_xlfn.XLOOKUP(Table2[[#This Row],[Adjusted Form '#]],[2]BILLED!$D:$D,[2]BILLED!$M:$M,"Not Found")</f>
        <v>Not Found</v>
      </c>
      <c r="X2304" s="13" t="str">
        <f>_xlfn.XLOOKUP(Table2[[#This Row],[Adjusted Form '#]],[2]BILLED!$D:$D,[1]BILLED!$O:$O,"Not Found")</f>
        <v>Not Found</v>
      </c>
      <c r="Y2304" s="13" t="e">
        <f>_xlfn.XLOOKUP(Table2[[#This Row],[Adjusted Form '#]],'[2]REJECTED ORDERS'!$D:$D,'[2]REJECTED ORDERS'!$E:$E)</f>
        <v>#N/A</v>
      </c>
      <c r="Z2304" s="1"/>
      <c r="AA2304" s="1"/>
    </row>
    <row r="2305" spans="1:27" ht="15" customHeight="1" x14ac:dyDescent="0.35">
      <c r="A2305" s="4" t="s">
        <v>3346</v>
      </c>
      <c r="B2305" s="1" t="s">
        <v>2479</v>
      </c>
      <c r="C2305" s="11">
        <v>45281</v>
      </c>
      <c r="D2305" s="11" t="s">
        <v>8122</v>
      </c>
      <c r="E2305" s="1" t="s">
        <v>21</v>
      </c>
      <c r="F2305" s="1" t="s">
        <v>8093</v>
      </c>
      <c r="G2305" s="6">
        <f>COUNTIF(F:F,Table2[[#This Row],[Form '#]])</f>
        <v>1</v>
      </c>
      <c r="H2305" s="1" t="s">
        <v>1231</v>
      </c>
      <c r="I2305" s="1" t="s">
        <v>3864</v>
      </c>
      <c r="J2305" s="1" t="s">
        <v>78</v>
      </c>
      <c r="K2305" s="1" t="s">
        <v>7763</v>
      </c>
      <c r="L2305" s="1"/>
      <c r="M2305" s="6" t="str">
        <f>IF(Table2[[#This Row],[Corrected Form '#
 (If Duplicated)]]="",Table2[[#This Row],[Form '#]],Table2[[#This Row],[Corrected Form '#
 (If Duplicated)]])</f>
        <v>7818-27707</v>
      </c>
      <c r="N2305" s="1" t="s">
        <v>49</v>
      </c>
      <c r="O2305" s="6" t="str">
        <f>IF(Table2[[#This Row],[POG CONFIRMATION RECEIPT OF ORDER
(DATE &amp; TIME)]]="","No Confirmation","Received Confirmation")</f>
        <v>Received Confirmation</v>
      </c>
      <c r="P2305" s="6">
        <f ca="1">TODAY()-Table2[[#This Row],[DATE SENT TO POG]]</f>
        <v>22</v>
      </c>
      <c r="Q2305" s="6" t="s">
        <v>6025</v>
      </c>
      <c r="R230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5" s="6" t="str">
        <f>_xlfn.XLOOKUP(Table2[[#This Row],[Adjusted Form '#]],'[2]IN PROGRESS'!$D:$D,'[2]IN PROGRESS'!$M:$M,"Not Found")</f>
        <v>Not Found</v>
      </c>
      <c r="U2305" s="6" t="str">
        <f>_xlfn.XLOOKUP(Table2[[#This Row],[Adjusted Form '#]],[1]COMPLETED!$D:$D,[2]COMPLETED!$M:$M,"Not Found")</f>
        <v>Not Found</v>
      </c>
      <c r="V2305" s="13">
        <f>_xlfn.XLOOKUP(Table2[[#This Row],[Adjusted Form '#]],[2]COMPLETED!$D:$D,[2]COMPLETED!$O:$O,"Not Found")</f>
        <v>45290</v>
      </c>
      <c r="W2305" s="6" t="str">
        <f>_xlfn.XLOOKUP(Table2[[#This Row],[Adjusted Form '#]],[2]BILLED!$D:$D,[2]BILLED!$M:$M,"Not Found")</f>
        <v>Not Found</v>
      </c>
      <c r="X2305" s="13" t="str">
        <f>_xlfn.XLOOKUP(Table2[[#This Row],[Adjusted Form '#]],[2]BILLED!$D:$D,[1]BILLED!$O:$O,"Not Found")</f>
        <v>Not Found</v>
      </c>
      <c r="Y2305" s="13" t="e">
        <f>_xlfn.XLOOKUP(Table2[[#This Row],[Adjusted Form '#]],'[2]REJECTED ORDERS'!$D:$D,'[2]REJECTED ORDERS'!$E:$E)</f>
        <v>#N/A</v>
      </c>
      <c r="Z2305" s="1"/>
      <c r="AA2305" s="1"/>
    </row>
    <row r="2306" spans="1:27" ht="15" customHeight="1" x14ac:dyDescent="0.35">
      <c r="A2306" s="4" t="s">
        <v>3347</v>
      </c>
      <c r="B2306" s="1" t="s">
        <v>2479</v>
      </c>
      <c r="C2306" s="11">
        <v>45281</v>
      </c>
      <c r="D2306" s="11" t="s">
        <v>8122</v>
      </c>
      <c r="E2306" s="1" t="s">
        <v>21</v>
      </c>
      <c r="F2306" s="1" t="s">
        <v>8094</v>
      </c>
      <c r="G2306" s="6">
        <f>COUNTIF(F:F,Table2[[#This Row],[Form '#]])</f>
        <v>1</v>
      </c>
      <c r="H2306" s="1" t="s">
        <v>8095</v>
      </c>
      <c r="I2306" s="1" t="s">
        <v>127</v>
      </c>
      <c r="J2306" s="1" t="s">
        <v>76</v>
      </c>
      <c r="K2306" s="1" t="s">
        <v>3883</v>
      </c>
      <c r="L2306" s="1"/>
      <c r="M2306" s="6" t="str">
        <f>IF(Table2[[#This Row],[Corrected Form '#
 (If Duplicated)]]="",Table2[[#This Row],[Form '#]],Table2[[#This Row],[Corrected Form '#
 (If Duplicated)]])</f>
        <v>7818-22429</v>
      </c>
      <c r="N2306" s="1" t="s">
        <v>49</v>
      </c>
      <c r="O2306" s="6" t="str">
        <f>IF(Table2[[#This Row],[POG CONFIRMATION RECEIPT OF ORDER
(DATE &amp; TIME)]]="","No Confirmation","Received Confirmation")</f>
        <v>Received Confirmation</v>
      </c>
      <c r="P2306" s="6">
        <f ca="1">TODAY()-Table2[[#This Row],[DATE SENT TO POG]]</f>
        <v>22</v>
      </c>
      <c r="Q2306" s="6" t="s">
        <v>6025</v>
      </c>
      <c r="R230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6" s="6" t="str">
        <f>_xlfn.XLOOKUP(Table2[[#This Row],[Adjusted Form '#]],'[2]IN PROGRESS'!$D:$D,'[2]IN PROGRESS'!$M:$M,"Not Found")</f>
        <v>Not Found</v>
      </c>
      <c r="U2306" s="6" t="str">
        <f>_xlfn.XLOOKUP(Table2[[#This Row],[Adjusted Form '#]],[1]COMPLETED!$D:$D,[2]COMPLETED!$M:$M,"Not Found")</f>
        <v>Not Found</v>
      </c>
      <c r="V2306" s="13" t="e">
        <f>_xlfn.XLOOKUP(Table2[[#This Row],[Adjusted Form '#]],[2]COMPLETED!$D:$D,[2]COMPLETED!$O:$O,"Not Found")</f>
        <v>#N/A</v>
      </c>
      <c r="W2306" s="6" t="str">
        <f>_xlfn.XLOOKUP(Table2[[#This Row],[Adjusted Form '#]],[2]BILLED!$D:$D,[2]BILLED!$M:$M,"Not Found")</f>
        <v>Not Found</v>
      </c>
      <c r="X2306" s="13" t="str">
        <f>_xlfn.XLOOKUP(Table2[[#This Row],[Adjusted Form '#]],[2]BILLED!$D:$D,[1]BILLED!$O:$O,"Not Found")</f>
        <v>Not Found</v>
      </c>
      <c r="Y2306" s="13" t="e">
        <f>_xlfn.XLOOKUP(Table2[[#This Row],[Adjusted Form '#]],'[2]REJECTED ORDERS'!$D:$D,'[2]REJECTED ORDERS'!$E:$E)</f>
        <v>#N/A</v>
      </c>
      <c r="Z2306" s="1"/>
      <c r="AA2306" s="1"/>
    </row>
    <row r="2307" spans="1:27" ht="15" customHeight="1" x14ac:dyDescent="0.35">
      <c r="A2307" s="4" t="s">
        <v>3348</v>
      </c>
      <c r="B2307" s="1" t="s">
        <v>2479</v>
      </c>
      <c r="C2307" s="11">
        <v>45281</v>
      </c>
      <c r="D2307" s="11" t="s">
        <v>8122</v>
      </c>
      <c r="E2307" s="1" t="s">
        <v>21</v>
      </c>
      <c r="F2307" s="1" t="s">
        <v>8096</v>
      </c>
      <c r="G2307" s="6">
        <f>COUNTIF(F:F,Table2[[#This Row],[Form '#]])</f>
        <v>1</v>
      </c>
      <c r="H2307" s="1" t="s">
        <v>3630</v>
      </c>
      <c r="I2307" s="1" t="s">
        <v>127</v>
      </c>
      <c r="J2307" s="1" t="s">
        <v>76</v>
      </c>
      <c r="K2307" s="1" t="s">
        <v>4011</v>
      </c>
      <c r="L2307" s="1"/>
      <c r="M2307" s="6" t="str">
        <f>IF(Table2[[#This Row],[Corrected Form '#
 (If Duplicated)]]="",Table2[[#This Row],[Form '#]],Table2[[#This Row],[Corrected Form '#
 (If Duplicated)]])</f>
        <v>7818-33693</v>
      </c>
      <c r="N2307" s="1" t="s">
        <v>49</v>
      </c>
      <c r="O2307" s="6" t="str">
        <f>IF(Table2[[#This Row],[POG CONFIRMATION RECEIPT OF ORDER
(DATE &amp; TIME)]]="","No Confirmation","Received Confirmation")</f>
        <v>Received Confirmation</v>
      </c>
      <c r="P2307" s="6">
        <f ca="1">TODAY()-Table2[[#This Row],[DATE SENT TO POG]]</f>
        <v>22</v>
      </c>
      <c r="Q2307" s="6" t="s">
        <v>6025</v>
      </c>
      <c r="R230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7" s="6" t="str">
        <f>_xlfn.XLOOKUP(Table2[[#This Row],[Adjusted Form '#]],'[2]IN PROGRESS'!$D:$D,'[2]IN PROGRESS'!$M:$M,"Not Found")</f>
        <v>Not Found</v>
      </c>
      <c r="U2307" s="6" t="str">
        <f>_xlfn.XLOOKUP(Table2[[#This Row],[Adjusted Form '#]],[1]COMPLETED!$D:$D,[2]COMPLETED!$M:$M,"Not Found")</f>
        <v>Not Found</v>
      </c>
      <c r="V2307" s="13" t="e">
        <f>_xlfn.XLOOKUP(Table2[[#This Row],[Adjusted Form '#]],[2]COMPLETED!$D:$D,[2]COMPLETED!$O:$O,"Not Found")</f>
        <v>#N/A</v>
      </c>
      <c r="W2307" s="6" t="str">
        <f>_xlfn.XLOOKUP(Table2[[#This Row],[Adjusted Form '#]],[2]BILLED!$D:$D,[2]BILLED!$M:$M,"Not Found")</f>
        <v>Not Found</v>
      </c>
      <c r="X2307" s="13" t="str">
        <f>_xlfn.XLOOKUP(Table2[[#This Row],[Adjusted Form '#]],[2]BILLED!$D:$D,[1]BILLED!$O:$O,"Not Found")</f>
        <v>Not Found</v>
      </c>
      <c r="Y2307" s="13" t="e">
        <f>_xlfn.XLOOKUP(Table2[[#This Row],[Adjusted Form '#]],'[2]REJECTED ORDERS'!$D:$D,'[2]REJECTED ORDERS'!$E:$E)</f>
        <v>#N/A</v>
      </c>
      <c r="Z2307" s="1"/>
      <c r="AA2307" s="1"/>
    </row>
    <row r="2308" spans="1:27" ht="15" customHeight="1" x14ac:dyDescent="0.35">
      <c r="A2308" s="4" t="s">
        <v>3349</v>
      </c>
      <c r="B2308" s="1" t="s">
        <v>2479</v>
      </c>
      <c r="C2308" s="11">
        <v>45281</v>
      </c>
      <c r="D2308" s="11" t="s">
        <v>8122</v>
      </c>
      <c r="E2308" s="1" t="s">
        <v>21</v>
      </c>
      <c r="F2308" s="1" t="s">
        <v>8097</v>
      </c>
      <c r="G2308" s="6">
        <f>COUNTIF(F:F,Table2[[#This Row],[Form '#]])</f>
        <v>1</v>
      </c>
      <c r="H2308" s="1" t="s">
        <v>8098</v>
      </c>
      <c r="I2308" s="1" t="s">
        <v>127</v>
      </c>
      <c r="J2308" s="1" t="s">
        <v>76</v>
      </c>
      <c r="K2308" s="1" t="s">
        <v>4011</v>
      </c>
      <c r="L2308" s="1"/>
      <c r="M2308" s="6" t="str">
        <f>IF(Table2[[#This Row],[Corrected Form '#
 (If Duplicated)]]="",Table2[[#This Row],[Form '#]],Table2[[#This Row],[Corrected Form '#
 (If Duplicated)]])</f>
        <v>7818-17104</v>
      </c>
      <c r="N2308" s="1" t="s">
        <v>49</v>
      </c>
      <c r="O2308" s="6" t="str">
        <f>IF(Table2[[#This Row],[POG CONFIRMATION RECEIPT OF ORDER
(DATE &amp; TIME)]]="","No Confirmation","Received Confirmation")</f>
        <v>Received Confirmation</v>
      </c>
      <c r="P2308" s="6">
        <f ca="1">TODAY()-Table2[[#This Row],[DATE SENT TO POG]]</f>
        <v>22</v>
      </c>
      <c r="Q2308" s="6" t="s">
        <v>6025</v>
      </c>
      <c r="R230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8" s="6" t="str">
        <f>_xlfn.XLOOKUP(Table2[[#This Row],[Adjusted Form '#]],'[2]IN PROGRESS'!$D:$D,'[2]IN PROGRESS'!$M:$M,"Not Found")</f>
        <v>Not Found</v>
      </c>
      <c r="U2308" s="6" t="str">
        <f>_xlfn.XLOOKUP(Table2[[#This Row],[Adjusted Form '#]],[1]COMPLETED!$D:$D,[2]COMPLETED!$M:$M,"Not Found")</f>
        <v>Not Found</v>
      </c>
      <c r="V2308" s="13">
        <f>_xlfn.XLOOKUP(Table2[[#This Row],[Adjusted Form '#]],[2]COMPLETED!$D:$D,[2]COMPLETED!$O:$O,"Not Found")</f>
        <v>45293</v>
      </c>
      <c r="W2308" s="6" t="str">
        <f>_xlfn.XLOOKUP(Table2[[#This Row],[Adjusted Form '#]],[2]BILLED!$D:$D,[2]BILLED!$M:$M,"Not Found")</f>
        <v>Not Found</v>
      </c>
      <c r="X2308" s="13" t="str">
        <f>_xlfn.XLOOKUP(Table2[[#This Row],[Adjusted Form '#]],[2]BILLED!$D:$D,[1]BILLED!$O:$O,"Not Found")</f>
        <v>Not Found</v>
      </c>
      <c r="Y2308" s="13" t="e">
        <f>_xlfn.XLOOKUP(Table2[[#This Row],[Adjusted Form '#]],'[2]REJECTED ORDERS'!$D:$D,'[2]REJECTED ORDERS'!$E:$E)</f>
        <v>#N/A</v>
      </c>
      <c r="Z2308" s="1"/>
      <c r="AA2308" s="1"/>
    </row>
    <row r="2309" spans="1:27" ht="15" customHeight="1" x14ac:dyDescent="0.35">
      <c r="A2309" s="4" t="s">
        <v>3350</v>
      </c>
      <c r="B2309" s="1" t="s">
        <v>2479</v>
      </c>
      <c r="C2309" s="11">
        <v>45281</v>
      </c>
      <c r="D2309" s="11" t="s">
        <v>8122</v>
      </c>
      <c r="E2309" s="1" t="s">
        <v>21</v>
      </c>
      <c r="F2309" s="1" t="s">
        <v>8099</v>
      </c>
      <c r="G2309" s="6">
        <f>COUNTIF(F:F,Table2[[#This Row],[Form '#]])</f>
        <v>1</v>
      </c>
      <c r="H2309" s="1" t="s">
        <v>3655</v>
      </c>
      <c r="I2309" s="1" t="s">
        <v>177</v>
      </c>
      <c r="J2309" s="1" t="s">
        <v>75</v>
      </c>
      <c r="K2309" s="1" t="s">
        <v>3853</v>
      </c>
      <c r="L2309" s="1"/>
      <c r="M2309" s="6" t="str">
        <f>IF(Table2[[#This Row],[Corrected Form '#
 (If Duplicated)]]="",Table2[[#This Row],[Form '#]],Table2[[#This Row],[Corrected Form '#
 (If Duplicated)]])</f>
        <v>7818-19740</v>
      </c>
      <c r="N2309" s="1" t="s">
        <v>49</v>
      </c>
      <c r="O2309" s="6" t="str">
        <f>IF(Table2[[#This Row],[POG CONFIRMATION RECEIPT OF ORDER
(DATE &amp; TIME)]]="","No Confirmation","Received Confirmation")</f>
        <v>Received Confirmation</v>
      </c>
      <c r="P2309" s="6">
        <f ca="1">TODAY()-Table2[[#This Row],[DATE SENT TO POG]]</f>
        <v>22</v>
      </c>
      <c r="Q2309" s="6" t="s">
        <v>6025</v>
      </c>
      <c r="R230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0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09" s="6" t="str">
        <f>_xlfn.XLOOKUP(Table2[[#This Row],[Adjusted Form '#]],'[2]IN PROGRESS'!$D:$D,'[2]IN PROGRESS'!$M:$M,"Not Found")</f>
        <v>Not Found</v>
      </c>
      <c r="U2309" s="6" t="str">
        <f>_xlfn.XLOOKUP(Table2[[#This Row],[Adjusted Form '#]],[1]COMPLETED!$D:$D,[2]COMPLETED!$M:$M,"Not Found")</f>
        <v>Not Found</v>
      </c>
      <c r="V2309" s="13">
        <f>_xlfn.XLOOKUP(Table2[[#This Row],[Adjusted Form '#]],[2]COMPLETED!$D:$D,[2]COMPLETED!$O:$O,"Not Found")</f>
        <v>45293</v>
      </c>
      <c r="W2309" s="6" t="str">
        <f>_xlfn.XLOOKUP(Table2[[#This Row],[Adjusted Form '#]],[2]BILLED!$D:$D,[2]BILLED!$M:$M,"Not Found")</f>
        <v>Not Found</v>
      </c>
      <c r="X2309" s="13" t="str">
        <f>_xlfn.XLOOKUP(Table2[[#This Row],[Adjusted Form '#]],[2]BILLED!$D:$D,[1]BILLED!$O:$O,"Not Found")</f>
        <v>Not Found</v>
      </c>
      <c r="Y2309" s="13" t="e">
        <f>_xlfn.XLOOKUP(Table2[[#This Row],[Adjusted Form '#]],'[2]REJECTED ORDERS'!$D:$D,'[2]REJECTED ORDERS'!$E:$E)</f>
        <v>#N/A</v>
      </c>
      <c r="Z2309" s="1"/>
      <c r="AA2309" s="1"/>
    </row>
    <row r="2310" spans="1:27" ht="15" customHeight="1" x14ac:dyDescent="0.35">
      <c r="A2310" s="4" t="s">
        <v>3351</v>
      </c>
      <c r="B2310" s="1" t="s">
        <v>2479</v>
      </c>
      <c r="C2310" s="11">
        <v>45281</v>
      </c>
      <c r="D2310" s="11" t="s">
        <v>8122</v>
      </c>
      <c r="E2310" s="1" t="s">
        <v>21</v>
      </c>
      <c r="F2310" s="1" t="s">
        <v>8100</v>
      </c>
      <c r="G2310" s="6">
        <f>COUNTIF(F:F,Table2[[#This Row],[Form '#]])</f>
        <v>1</v>
      </c>
      <c r="H2310" s="1" t="s">
        <v>8101</v>
      </c>
      <c r="I2310" s="1" t="s">
        <v>3852</v>
      </c>
      <c r="J2310" s="1" t="s">
        <v>80</v>
      </c>
      <c r="K2310" s="1" t="s">
        <v>3853</v>
      </c>
      <c r="L2310" s="1"/>
      <c r="M2310" s="6" t="str">
        <f>IF(Table2[[#This Row],[Corrected Form '#
 (If Duplicated)]]="",Table2[[#This Row],[Form '#]],Table2[[#This Row],[Corrected Form '#
 (If Duplicated)]])</f>
        <v>7818-25496</v>
      </c>
      <c r="N2310" s="1" t="s">
        <v>49</v>
      </c>
      <c r="O2310" s="6" t="str">
        <f>IF(Table2[[#This Row],[POG CONFIRMATION RECEIPT OF ORDER
(DATE &amp; TIME)]]="","No Confirmation","Received Confirmation")</f>
        <v>Received Confirmation</v>
      </c>
      <c r="P2310" s="6">
        <f ca="1">TODAY()-Table2[[#This Row],[DATE SENT TO POG]]</f>
        <v>22</v>
      </c>
      <c r="Q2310" s="6" t="s">
        <v>6025</v>
      </c>
      <c r="R231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0" s="6" t="str">
        <f>_xlfn.XLOOKUP(Table2[[#This Row],[Adjusted Form '#]],'[2]IN PROGRESS'!$D:$D,'[2]IN PROGRESS'!$M:$M,"Not Found")</f>
        <v>Not Found</v>
      </c>
      <c r="U2310" s="6" t="str">
        <f>_xlfn.XLOOKUP(Table2[[#This Row],[Adjusted Form '#]],[1]COMPLETED!$D:$D,[2]COMPLETED!$M:$M,"Not Found")</f>
        <v>Not Found</v>
      </c>
      <c r="V2310" s="13">
        <f>_xlfn.XLOOKUP(Table2[[#This Row],[Adjusted Form '#]],[2]COMPLETED!$D:$D,[2]COMPLETED!$O:$O,"Not Found")</f>
        <v>45293</v>
      </c>
      <c r="W2310" s="6" t="str">
        <f>_xlfn.XLOOKUP(Table2[[#This Row],[Adjusted Form '#]],[2]BILLED!$D:$D,[2]BILLED!$M:$M,"Not Found")</f>
        <v>Not Found</v>
      </c>
      <c r="X2310" s="13" t="str">
        <f>_xlfn.XLOOKUP(Table2[[#This Row],[Adjusted Form '#]],[2]BILLED!$D:$D,[1]BILLED!$O:$O,"Not Found")</f>
        <v>Not Found</v>
      </c>
      <c r="Y2310" s="13" t="e">
        <f>_xlfn.XLOOKUP(Table2[[#This Row],[Adjusted Form '#]],'[2]REJECTED ORDERS'!$D:$D,'[2]REJECTED ORDERS'!$E:$E)</f>
        <v>#N/A</v>
      </c>
      <c r="Z2310" s="1"/>
      <c r="AA2310" s="1"/>
    </row>
    <row r="2311" spans="1:27" ht="15" customHeight="1" x14ac:dyDescent="0.35">
      <c r="A2311" s="4" t="s">
        <v>3352</v>
      </c>
      <c r="B2311" s="1" t="s">
        <v>2479</v>
      </c>
      <c r="C2311" s="11">
        <v>45281</v>
      </c>
      <c r="D2311" s="11" t="s">
        <v>8122</v>
      </c>
      <c r="E2311" s="1" t="s">
        <v>21</v>
      </c>
      <c r="F2311" s="1" t="s">
        <v>8102</v>
      </c>
      <c r="G2311" s="6">
        <f>COUNTIF(F:F,Table2[[#This Row],[Form '#]])</f>
        <v>1</v>
      </c>
      <c r="H2311" s="1" t="s">
        <v>8103</v>
      </c>
      <c r="I2311" s="1" t="s">
        <v>3852</v>
      </c>
      <c r="J2311" s="1" t="s">
        <v>75</v>
      </c>
      <c r="K2311" s="1" t="s">
        <v>3853</v>
      </c>
      <c r="L2311" s="1"/>
      <c r="M2311" s="6" t="str">
        <f>IF(Table2[[#This Row],[Corrected Form '#
 (If Duplicated)]]="",Table2[[#This Row],[Form '#]],Table2[[#This Row],[Corrected Form '#
 (If Duplicated)]])</f>
        <v>7818-07090</v>
      </c>
      <c r="N2311" s="1" t="s">
        <v>49</v>
      </c>
      <c r="O2311" s="6" t="str">
        <f>IF(Table2[[#This Row],[POG CONFIRMATION RECEIPT OF ORDER
(DATE &amp; TIME)]]="","No Confirmation","Received Confirmation")</f>
        <v>Received Confirmation</v>
      </c>
      <c r="P2311" s="6">
        <f ca="1">TODAY()-Table2[[#This Row],[DATE SENT TO POG]]</f>
        <v>22</v>
      </c>
      <c r="Q2311" s="6" t="s">
        <v>6025</v>
      </c>
      <c r="R231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1" s="6" t="str">
        <f>_xlfn.XLOOKUP(Table2[[#This Row],[Adjusted Form '#]],'[2]IN PROGRESS'!$D:$D,'[2]IN PROGRESS'!$M:$M,"Not Found")</f>
        <v>Not Found</v>
      </c>
      <c r="U2311" s="6" t="str">
        <f>_xlfn.XLOOKUP(Table2[[#This Row],[Adjusted Form '#]],[1]COMPLETED!$D:$D,[2]COMPLETED!$M:$M,"Not Found")</f>
        <v>Not Found</v>
      </c>
      <c r="V2311" s="13">
        <f>_xlfn.XLOOKUP(Table2[[#This Row],[Adjusted Form '#]],[2]COMPLETED!$D:$D,[2]COMPLETED!$O:$O,"Not Found")</f>
        <v>45293</v>
      </c>
      <c r="W2311" s="6" t="str">
        <f>_xlfn.XLOOKUP(Table2[[#This Row],[Adjusted Form '#]],[2]BILLED!$D:$D,[2]BILLED!$M:$M,"Not Found")</f>
        <v>Not Found</v>
      </c>
      <c r="X2311" s="13" t="str">
        <f>_xlfn.XLOOKUP(Table2[[#This Row],[Adjusted Form '#]],[2]BILLED!$D:$D,[1]BILLED!$O:$O,"Not Found")</f>
        <v>Not Found</v>
      </c>
      <c r="Y2311" s="13" t="e">
        <f>_xlfn.XLOOKUP(Table2[[#This Row],[Adjusted Form '#]],'[2]REJECTED ORDERS'!$D:$D,'[2]REJECTED ORDERS'!$E:$E)</f>
        <v>#N/A</v>
      </c>
      <c r="Z2311" s="1"/>
      <c r="AA2311" s="1"/>
    </row>
    <row r="2312" spans="1:27" ht="15" customHeight="1" x14ac:dyDescent="0.35">
      <c r="A2312" s="4" t="s">
        <v>3353</v>
      </c>
      <c r="B2312" s="1" t="s">
        <v>2479</v>
      </c>
      <c r="C2312" s="11">
        <v>45281</v>
      </c>
      <c r="D2312" s="11" t="s">
        <v>8122</v>
      </c>
      <c r="E2312" s="1" t="s">
        <v>21</v>
      </c>
      <c r="F2312" s="1" t="s">
        <v>8104</v>
      </c>
      <c r="G2312" s="6">
        <f>COUNTIF(F:F,Table2[[#This Row],[Form '#]])</f>
        <v>1</v>
      </c>
      <c r="H2312" s="1" t="s">
        <v>5272</v>
      </c>
      <c r="I2312" s="1" t="s">
        <v>127</v>
      </c>
      <c r="J2312" s="1" t="s">
        <v>74</v>
      </c>
      <c r="K2312" s="1" t="s">
        <v>3883</v>
      </c>
      <c r="L2312" s="1"/>
      <c r="M2312" s="6" t="str">
        <f>IF(Table2[[#This Row],[Corrected Form '#
 (If Duplicated)]]="",Table2[[#This Row],[Form '#]],Table2[[#This Row],[Corrected Form '#
 (If Duplicated)]])</f>
        <v>7818-33694</v>
      </c>
      <c r="N2312" s="1" t="s">
        <v>49</v>
      </c>
      <c r="O2312" s="6" t="str">
        <f>IF(Table2[[#This Row],[POG CONFIRMATION RECEIPT OF ORDER
(DATE &amp; TIME)]]="","No Confirmation","Received Confirmation")</f>
        <v>Received Confirmation</v>
      </c>
      <c r="P2312" s="6">
        <f ca="1">TODAY()-Table2[[#This Row],[DATE SENT TO POG]]</f>
        <v>22</v>
      </c>
      <c r="Q2312" s="6" t="s">
        <v>6025</v>
      </c>
      <c r="R231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2" s="6" t="str">
        <f>_xlfn.XLOOKUP(Table2[[#This Row],[Adjusted Form '#]],'[2]IN PROGRESS'!$D:$D,'[2]IN PROGRESS'!$M:$M,"Not Found")</f>
        <v>Not Found</v>
      </c>
      <c r="U2312" s="6" t="str">
        <f>_xlfn.XLOOKUP(Table2[[#This Row],[Adjusted Form '#]],[1]COMPLETED!$D:$D,[2]COMPLETED!$M:$M,"Not Found")</f>
        <v>Not Found</v>
      </c>
      <c r="V2312" s="13">
        <f>_xlfn.XLOOKUP(Table2[[#This Row],[Adjusted Form '#]],[2]COMPLETED!$D:$D,[2]COMPLETED!$O:$O,"Not Found")</f>
        <v>45293</v>
      </c>
      <c r="W2312" s="6" t="str">
        <f>_xlfn.XLOOKUP(Table2[[#This Row],[Adjusted Form '#]],[2]BILLED!$D:$D,[2]BILLED!$M:$M,"Not Found")</f>
        <v>Not Found</v>
      </c>
      <c r="X2312" s="13" t="str">
        <f>_xlfn.XLOOKUP(Table2[[#This Row],[Adjusted Form '#]],[2]BILLED!$D:$D,[1]BILLED!$O:$O,"Not Found")</f>
        <v>Not Found</v>
      </c>
      <c r="Y2312" s="13" t="e">
        <f>_xlfn.XLOOKUP(Table2[[#This Row],[Adjusted Form '#]],'[2]REJECTED ORDERS'!$D:$D,'[2]REJECTED ORDERS'!$E:$E)</f>
        <v>#N/A</v>
      </c>
      <c r="Z2312" s="1"/>
      <c r="AA2312" s="1"/>
    </row>
    <row r="2313" spans="1:27" ht="15" customHeight="1" x14ac:dyDescent="0.35">
      <c r="A2313" s="4" t="s">
        <v>3355</v>
      </c>
      <c r="B2313" s="1" t="s">
        <v>2479</v>
      </c>
      <c r="C2313" s="11">
        <v>45281</v>
      </c>
      <c r="D2313" s="11" t="s">
        <v>8122</v>
      </c>
      <c r="E2313" s="1" t="s">
        <v>21</v>
      </c>
      <c r="F2313" s="1" t="s">
        <v>8105</v>
      </c>
      <c r="G2313" s="6">
        <f>COUNTIF(F:F,Table2[[#This Row],[Form '#]])</f>
        <v>1</v>
      </c>
      <c r="H2313" s="1" t="s">
        <v>8106</v>
      </c>
      <c r="I2313" s="1" t="s">
        <v>177</v>
      </c>
      <c r="J2313" s="1" t="s">
        <v>75</v>
      </c>
      <c r="K2313" s="1" t="s">
        <v>3853</v>
      </c>
      <c r="L2313" s="1"/>
      <c r="M2313" s="6" t="str">
        <f>IF(Table2[[#This Row],[Corrected Form '#
 (If Duplicated)]]="",Table2[[#This Row],[Form '#]],Table2[[#This Row],[Corrected Form '#
 (If Duplicated)]])</f>
        <v>7818-27008</v>
      </c>
      <c r="N2313" s="1" t="s">
        <v>49</v>
      </c>
      <c r="O2313" s="6" t="str">
        <f>IF(Table2[[#This Row],[POG CONFIRMATION RECEIPT OF ORDER
(DATE &amp; TIME)]]="","No Confirmation","Received Confirmation")</f>
        <v>Received Confirmation</v>
      </c>
      <c r="P2313" s="6">
        <f ca="1">TODAY()-Table2[[#This Row],[DATE SENT TO POG]]</f>
        <v>22</v>
      </c>
      <c r="Q2313" s="6" t="s">
        <v>6025</v>
      </c>
      <c r="R231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3" s="6" t="str">
        <f>_xlfn.XLOOKUP(Table2[[#This Row],[Adjusted Form '#]],'[2]IN PROGRESS'!$D:$D,'[2]IN PROGRESS'!$M:$M,"Not Found")</f>
        <v>Not Found</v>
      </c>
      <c r="U2313" s="6" t="str">
        <f>_xlfn.XLOOKUP(Table2[[#This Row],[Adjusted Form '#]],[1]COMPLETED!$D:$D,[2]COMPLETED!$M:$M,"Not Found")</f>
        <v>Not Found</v>
      </c>
      <c r="V2313" s="13">
        <f>_xlfn.XLOOKUP(Table2[[#This Row],[Adjusted Form '#]],[2]COMPLETED!$D:$D,[2]COMPLETED!$O:$O,"Not Found")</f>
        <v>45293</v>
      </c>
      <c r="W2313" s="6" t="str">
        <f>_xlfn.XLOOKUP(Table2[[#This Row],[Adjusted Form '#]],[2]BILLED!$D:$D,[2]BILLED!$M:$M,"Not Found")</f>
        <v>Not Found</v>
      </c>
      <c r="X2313" s="13" t="str">
        <f>_xlfn.XLOOKUP(Table2[[#This Row],[Adjusted Form '#]],[2]BILLED!$D:$D,[1]BILLED!$O:$O,"Not Found")</f>
        <v>Not Found</v>
      </c>
      <c r="Y2313" s="13" t="e">
        <f>_xlfn.XLOOKUP(Table2[[#This Row],[Adjusted Form '#]],'[2]REJECTED ORDERS'!$D:$D,'[2]REJECTED ORDERS'!$E:$E)</f>
        <v>#N/A</v>
      </c>
      <c r="Z2313" s="1"/>
      <c r="AA2313" s="1"/>
    </row>
    <row r="2314" spans="1:27" ht="15" customHeight="1" x14ac:dyDescent="0.35">
      <c r="A2314" s="4" t="s">
        <v>3356</v>
      </c>
      <c r="B2314" s="1" t="s">
        <v>2479</v>
      </c>
      <c r="C2314" s="11">
        <v>45281</v>
      </c>
      <c r="D2314" s="11" t="s">
        <v>8122</v>
      </c>
      <c r="E2314" s="1" t="s">
        <v>21</v>
      </c>
      <c r="F2314" s="1" t="s">
        <v>8107</v>
      </c>
      <c r="G2314" s="6">
        <f>COUNTIF(F:F,Table2[[#This Row],[Form '#]])</f>
        <v>1</v>
      </c>
      <c r="H2314" s="1" t="s">
        <v>8108</v>
      </c>
      <c r="I2314" s="1" t="s">
        <v>177</v>
      </c>
      <c r="J2314" s="1" t="s">
        <v>75</v>
      </c>
      <c r="K2314" s="1" t="s">
        <v>3853</v>
      </c>
      <c r="L2314" s="1"/>
      <c r="M2314" s="6" t="str">
        <f>IF(Table2[[#This Row],[Corrected Form '#
 (If Duplicated)]]="",Table2[[#This Row],[Form '#]],Table2[[#This Row],[Corrected Form '#
 (If Duplicated)]])</f>
        <v>7818-01362</v>
      </c>
      <c r="N2314" s="1" t="s">
        <v>49</v>
      </c>
      <c r="O2314" s="6" t="str">
        <f>IF(Table2[[#This Row],[POG CONFIRMATION RECEIPT OF ORDER
(DATE &amp; TIME)]]="","No Confirmation","Received Confirmation")</f>
        <v>Received Confirmation</v>
      </c>
      <c r="P2314" s="6">
        <f ca="1">TODAY()-Table2[[#This Row],[DATE SENT TO POG]]</f>
        <v>22</v>
      </c>
      <c r="Q2314" s="6" t="s">
        <v>6025</v>
      </c>
      <c r="R231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4" s="6" t="str">
        <f>_xlfn.XLOOKUP(Table2[[#This Row],[Adjusted Form '#]],'[2]IN PROGRESS'!$D:$D,'[2]IN PROGRESS'!$M:$M,"Not Found")</f>
        <v>Not Found</v>
      </c>
      <c r="U2314" s="6" t="str">
        <f>_xlfn.XLOOKUP(Table2[[#This Row],[Adjusted Form '#]],[1]COMPLETED!$D:$D,[2]COMPLETED!$M:$M,"Not Found")</f>
        <v>Not Found</v>
      </c>
      <c r="V2314" s="13">
        <f>_xlfn.XLOOKUP(Table2[[#This Row],[Adjusted Form '#]],[2]COMPLETED!$D:$D,[2]COMPLETED!$O:$O,"Not Found")</f>
        <v>45293</v>
      </c>
      <c r="W2314" s="6" t="str">
        <f>_xlfn.XLOOKUP(Table2[[#This Row],[Adjusted Form '#]],[2]BILLED!$D:$D,[2]BILLED!$M:$M,"Not Found")</f>
        <v>Not Found</v>
      </c>
      <c r="X2314" s="13" t="str">
        <f>_xlfn.XLOOKUP(Table2[[#This Row],[Adjusted Form '#]],[2]BILLED!$D:$D,[1]BILLED!$O:$O,"Not Found")</f>
        <v>Not Found</v>
      </c>
      <c r="Y2314" s="13" t="e">
        <f>_xlfn.XLOOKUP(Table2[[#This Row],[Adjusted Form '#]],'[2]REJECTED ORDERS'!$D:$D,'[2]REJECTED ORDERS'!$E:$E)</f>
        <v>#N/A</v>
      </c>
      <c r="Z2314" s="1"/>
      <c r="AA2314" s="1"/>
    </row>
    <row r="2315" spans="1:27" ht="15" customHeight="1" x14ac:dyDescent="0.35">
      <c r="A2315" s="4" t="s">
        <v>3357</v>
      </c>
      <c r="B2315" s="1" t="s">
        <v>2479</v>
      </c>
      <c r="C2315" s="11">
        <v>45281</v>
      </c>
      <c r="D2315" s="11" t="s">
        <v>8122</v>
      </c>
      <c r="E2315" s="1" t="s">
        <v>21</v>
      </c>
      <c r="F2315" s="1" t="s">
        <v>8109</v>
      </c>
      <c r="G2315" s="6">
        <f>COUNTIF(F:F,Table2[[#This Row],[Form '#]])</f>
        <v>1</v>
      </c>
      <c r="H2315" s="1" t="s">
        <v>8110</v>
      </c>
      <c r="I2315" s="1" t="s">
        <v>3864</v>
      </c>
      <c r="J2315" s="1" t="s">
        <v>78</v>
      </c>
      <c r="K2315" s="1" t="s">
        <v>7763</v>
      </c>
      <c r="L2315" s="1"/>
      <c r="M2315" s="6" t="str">
        <f>IF(Table2[[#This Row],[Corrected Form '#
 (If Duplicated)]]="",Table2[[#This Row],[Form '#]],Table2[[#This Row],[Corrected Form '#
 (If Duplicated)]])</f>
        <v>7818-01388</v>
      </c>
      <c r="N2315" s="1" t="s">
        <v>49</v>
      </c>
      <c r="O2315" s="6" t="str">
        <f>IF(Table2[[#This Row],[POG CONFIRMATION RECEIPT OF ORDER
(DATE &amp; TIME)]]="","No Confirmation","Received Confirmation")</f>
        <v>Received Confirmation</v>
      </c>
      <c r="P2315" s="6">
        <f ca="1">TODAY()-Table2[[#This Row],[DATE SENT TO POG]]</f>
        <v>22</v>
      </c>
      <c r="Q2315" s="6" t="s">
        <v>6025</v>
      </c>
      <c r="R231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5" s="6" t="str">
        <f>_xlfn.XLOOKUP(Table2[[#This Row],[Adjusted Form '#]],'[2]IN PROGRESS'!$D:$D,'[2]IN PROGRESS'!$M:$M,"Not Found")</f>
        <v>Not Found</v>
      </c>
      <c r="U2315" s="6" t="str">
        <f>_xlfn.XLOOKUP(Table2[[#This Row],[Adjusted Form '#]],[1]COMPLETED!$D:$D,[2]COMPLETED!$M:$M,"Not Found")</f>
        <v>Not Found</v>
      </c>
      <c r="V2315" s="13">
        <f>_xlfn.XLOOKUP(Table2[[#This Row],[Adjusted Form '#]],[2]COMPLETED!$D:$D,[2]COMPLETED!$O:$O,"Not Found")</f>
        <v>45289</v>
      </c>
      <c r="W2315" s="6" t="str">
        <f>_xlfn.XLOOKUP(Table2[[#This Row],[Adjusted Form '#]],[2]BILLED!$D:$D,[2]BILLED!$M:$M,"Not Found")</f>
        <v>Not Found</v>
      </c>
      <c r="X2315" s="13" t="str">
        <f>_xlfn.XLOOKUP(Table2[[#This Row],[Adjusted Form '#]],[2]BILLED!$D:$D,[1]BILLED!$O:$O,"Not Found")</f>
        <v>Not Found</v>
      </c>
      <c r="Y2315" s="13" t="e">
        <f>_xlfn.XLOOKUP(Table2[[#This Row],[Adjusted Form '#]],'[2]REJECTED ORDERS'!$D:$D,'[2]REJECTED ORDERS'!$E:$E)</f>
        <v>#N/A</v>
      </c>
      <c r="Z2315" s="1"/>
      <c r="AA2315" s="1"/>
    </row>
    <row r="2316" spans="1:27" ht="15" customHeight="1" x14ac:dyDescent="0.35">
      <c r="A2316" s="4" t="s">
        <v>3358</v>
      </c>
      <c r="B2316" s="1" t="s">
        <v>2766</v>
      </c>
      <c r="C2316" s="11">
        <v>45281</v>
      </c>
      <c r="D2316" s="11" t="s">
        <v>8122</v>
      </c>
      <c r="E2316" s="1" t="s">
        <v>14</v>
      </c>
      <c r="F2316" s="1" t="s">
        <v>8111</v>
      </c>
      <c r="G2316" s="6">
        <f>COUNTIF(F:F,Table2[[#This Row],[Form '#]])</f>
        <v>1</v>
      </c>
      <c r="H2316" s="1" t="s">
        <v>3724</v>
      </c>
      <c r="I2316" s="1" t="s">
        <v>177</v>
      </c>
      <c r="J2316" s="1" t="s">
        <v>75</v>
      </c>
      <c r="K2316" s="1" t="s">
        <v>3853</v>
      </c>
      <c r="L2316" s="1"/>
      <c r="M2316" s="6" t="str">
        <f>IF(Table2[[#This Row],[Corrected Form '#
 (If Duplicated)]]="",Table2[[#This Row],[Form '#]],Table2[[#This Row],[Corrected Form '#
 (If Duplicated)]])</f>
        <v>7810-03058</v>
      </c>
      <c r="N2316" s="1" t="s">
        <v>49</v>
      </c>
      <c r="O2316" s="6" t="str">
        <f>IF(Table2[[#This Row],[POG CONFIRMATION RECEIPT OF ORDER
(DATE &amp; TIME)]]="","No Confirmation","Received Confirmation")</f>
        <v>Received Confirmation</v>
      </c>
      <c r="P2316" s="6">
        <f ca="1">TODAY()-Table2[[#This Row],[DATE SENT TO POG]]</f>
        <v>22</v>
      </c>
      <c r="Q2316" s="6" t="s">
        <v>6025</v>
      </c>
      <c r="R231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6" s="6" t="str">
        <f>_xlfn.XLOOKUP(Table2[[#This Row],[Adjusted Form '#]],'[2]IN PROGRESS'!$D:$D,'[2]IN PROGRESS'!$M:$M,"Not Found")</f>
        <v>Not Found</v>
      </c>
      <c r="U2316" s="6" t="str">
        <f>_xlfn.XLOOKUP(Table2[[#This Row],[Adjusted Form '#]],[1]COMPLETED!$D:$D,[2]COMPLETED!$M:$M,"Not Found")</f>
        <v>Not Found</v>
      </c>
      <c r="V2316" s="13">
        <f>_xlfn.XLOOKUP(Table2[[#This Row],[Adjusted Form '#]],[2]COMPLETED!$D:$D,[2]COMPLETED!$O:$O,"Not Found")</f>
        <v>45293</v>
      </c>
      <c r="W2316" s="6" t="str">
        <f>_xlfn.XLOOKUP(Table2[[#This Row],[Adjusted Form '#]],[2]BILLED!$D:$D,[2]BILLED!$M:$M,"Not Found")</f>
        <v>Not Found</v>
      </c>
      <c r="X2316" s="13" t="str">
        <f>_xlfn.XLOOKUP(Table2[[#This Row],[Adjusted Form '#]],[2]BILLED!$D:$D,[1]BILLED!$O:$O,"Not Found")</f>
        <v>Not Found</v>
      </c>
      <c r="Y2316" s="13" t="e">
        <f>_xlfn.XLOOKUP(Table2[[#This Row],[Adjusted Form '#]],'[2]REJECTED ORDERS'!$D:$D,'[2]REJECTED ORDERS'!$E:$E)</f>
        <v>#N/A</v>
      </c>
      <c r="Z2316" s="1"/>
      <c r="AA2316" s="1"/>
    </row>
    <row r="2317" spans="1:27" ht="15" customHeight="1" x14ac:dyDescent="0.35">
      <c r="A2317" s="4" t="s">
        <v>3359</v>
      </c>
      <c r="B2317" s="1" t="s">
        <v>2766</v>
      </c>
      <c r="C2317" s="11">
        <v>45281</v>
      </c>
      <c r="D2317" s="11" t="s">
        <v>8122</v>
      </c>
      <c r="E2317" s="1" t="s">
        <v>14</v>
      </c>
      <c r="F2317" s="1" t="s">
        <v>8112</v>
      </c>
      <c r="G2317" s="6">
        <f>COUNTIF(F:F,Table2[[#This Row],[Form '#]])</f>
        <v>1</v>
      </c>
      <c r="H2317" s="1" t="s">
        <v>8113</v>
      </c>
      <c r="I2317" s="1" t="s">
        <v>177</v>
      </c>
      <c r="J2317" s="1" t="s">
        <v>75</v>
      </c>
      <c r="K2317" s="1" t="s">
        <v>3853</v>
      </c>
      <c r="L2317" s="1"/>
      <c r="M2317" s="6" t="str">
        <f>IF(Table2[[#This Row],[Corrected Form '#
 (If Duplicated)]]="",Table2[[#This Row],[Form '#]],Table2[[#This Row],[Corrected Form '#
 (If Duplicated)]])</f>
        <v>7810-04577</v>
      </c>
      <c r="N2317" s="1" t="s">
        <v>49</v>
      </c>
      <c r="O2317" s="6" t="str">
        <f>IF(Table2[[#This Row],[POG CONFIRMATION RECEIPT OF ORDER
(DATE &amp; TIME)]]="","No Confirmation","Received Confirmation")</f>
        <v>Received Confirmation</v>
      </c>
      <c r="P2317" s="6">
        <f ca="1">TODAY()-Table2[[#This Row],[DATE SENT TO POG]]</f>
        <v>22</v>
      </c>
      <c r="Q2317" s="6" t="s">
        <v>5802</v>
      </c>
      <c r="R231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7" s="6" t="str">
        <f>_xlfn.XLOOKUP(Table2[[#This Row],[Adjusted Form '#]],'[2]IN PROGRESS'!$D:$D,'[2]IN PROGRESS'!$M:$M,"Not Found")</f>
        <v>Not Found</v>
      </c>
      <c r="U2317" s="6" t="str">
        <f>_xlfn.XLOOKUP(Table2[[#This Row],[Adjusted Form '#]],[1]COMPLETED!$D:$D,[2]COMPLETED!$M:$M,"Not Found")</f>
        <v>Not Found</v>
      </c>
      <c r="V2317" s="13" t="str">
        <f>_xlfn.XLOOKUP(Table2[[#This Row],[Adjusted Form '#]],[2]COMPLETED!$D:$D,[2]COMPLETED!$O:$O,"Not Found")</f>
        <v>Not Found</v>
      </c>
      <c r="W2317" s="6" t="str">
        <f>_xlfn.XLOOKUP(Table2[[#This Row],[Adjusted Form '#]],[2]BILLED!$D:$D,[2]BILLED!$M:$M,"Not Found")</f>
        <v>Not Found</v>
      </c>
      <c r="X2317" s="13" t="str">
        <f>_xlfn.XLOOKUP(Table2[[#This Row],[Adjusted Form '#]],[2]BILLED!$D:$D,[1]BILLED!$O:$O,"Not Found")</f>
        <v>Not Found</v>
      </c>
      <c r="Y2317" s="13" t="e">
        <f>_xlfn.XLOOKUP(Table2[[#This Row],[Adjusted Form '#]],'[2]REJECTED ORDERS'!$D:$D,'[2]REJECTED ORDERS'!$E:$E)</f>
        <v>#N/A</v>
      </c>
      <c r="Z2317" s="1"/>
      <c r="AA2317" s="1"/>
    </row>
    <row r="2318" spans="1:27" ht="15" customHeight="1" x14ac:dyDescent="0.35">
      <c r="A2318" s="4" t="s">
        <v>3361</v>
      </c>
      <c r="B2318" s="1" t="s">
        <v>2766</v>
      </c>
      <c r="C2318" s="11">
        <v>45281</v>
      </c>
      <c r="D2318" s="11" t="s">
        <v>8122</v>
      </c>
      <c r="E2318" s="1" t="s">
        <v>14</v>
      </c>
      <c r="F2318" s="1" t="s">
        <v>8114</v>
      </c>
      <c r="G2318" s="6">
        <f>COUNTIF(F:F,Table2[[#This Row],[Form '#]])</f>
        <v>1</v>
      </c>
      <c r="H2318" s="1" t="s">
        <v>4100</v>
      </c>
      <c r="I2318" s="1" t="s">
        <v>177</v>
      </c>
      <c r="J2318" s="1" t="s">
        <v>75</v>
      </c>
      <c r="K2318" s="1" t="s">
        <v>3853</v>
      </c>
      <c r="L2318" s="1"/>
      <c r="M2318" s="6" t="str">
        <f>IF(Table2[[#This Row],[Corrected Form '#
 (If Duplicated)]]="",Table2[[#This Row],[Form '#]],Table2[[#This Row],[Corrected Form '#
 (If Duplicated)]])</f>
        <v>7810-02599</v>
      </c>
      <c r="N2318" s="1" t="s">
        <v>49</v>
      </c>
      <c r="O2318" s="6" t="str">
        <f>IF(Table2[[#This Row],[POG CONFIRMATION RECEIPT OF ORDER
(DATE &amp; TIME)]]="","No Confirmation","Received Confirmation")</f>
        <v>Received Confirmation</v>
      </c>
      <c r="P2318" s="6">
        <f ca="1">TODAY()-Table2[[#This Row],[DATE SENT TO POG]]</f>
        <v>22</v>
      </c>
      <c r="Q2318" s="6" t="s">
        <v>5802</v>
      </c>
      <c r="R231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8" s="6" t="str">
        <f>_xlfn.XLOOKUP(Table2[[#This Row],[Adjusted Form '#]],'[2]IN PROGRESS'!$D:$D,'[2]IN PROGRESS'!$M:$M,"Not Found")</f>
        <v>Not Found</v>
      </c>
      <c r="U2318" s="6" t="str">
        <f>_xlfn.XLOOKUP(Table2[[#This Row],[Adjusted Form '#]],[1]COMPLETED!$D:$D,[2]COMPLETED!$M:$M,"Not Found")</f>
        <v>Not Found</v>
      </c>
      <c r="V2318" s="13" t="str">
        <f>_xlfn.XLOOKUP(Table2[[#This Row],[Adjusted Form '#]],[2]COMPLETED!$D:$D,[2]COMPLETED!$O:$O,"Not Found")</f>
        <v>Not Found</v>
      </c>
      <c r="W2318" s="6" t="str">
        <f>_xlfn.XLOOKUP(Table2[[#This Row],[Adjusted Form '#]],[2]BILLED!$D:$D,[2]BILLED!$M:$M,"Not Found")</f>
        <v>Not Found</v>
      </c>
      <c r="X2318" s="13" t="str">
        <f>_xlfn.XLOOKUP(Table2[[#This Row],[Adjusted Form '#]],[2]BILLED!$D:$D,[1]BILLED!$O:$O,"Not Found")</f>
        <v>Not Found</v>
      </c>
      <c r="Y2318" s="13" t="e">
        <f>_xlfn.XLOOKUP(Table2[[#This Row],[Adjusted Form '#]],'[2]REJECTED ORDERS'!$D:$D,'[2]REJECTED ORDERS'!$E:$E)</f>
        <v>#N/A</v>
      </c>
      <c r="Z2318" s="1"/>
      <c r="AA2318" s="1"/>
    </row>
    <row r="2319" spans="1:27" ht="15" customHeight="1" x14ac:dyDescent="0.35">
      <c r="A2319" s="4" t="s">
        <v>3362</v>
      </c>
      <c r="B2319" s="1" t="s">
        <v>854</v>
      </c>
      <c r="C2319" s="11">
        <v>45281</v>
      </c>
      <c r="D2319" s="11" t="s">
        <v>8122</v>
      </c>
      <c r="E2319" s="1" t="s">
        <v>21</v>
      </c>
      <c r="F2319" s="1" t="s">
        <v>8115</v>
      </c>
      <c r="G2319" s="6">
        <f>COUNTIF(F:F,Table2[[#This Row],[Form '#]])</f>
        <v>1</v>
      </c>
      <c r="H2319" s="1" t="s">
        <v>8116</v>
      </c>
      <c r="I2319" s="1" t="s">
        <v>177</v>
      </c>
      <c r="J2319" s="1" t="s">
        <v>75</v>
      </c>
      <c r="K2319" s="1" t="s">
        <v>3853</v>
      </c>
      <c r="L2319" s="1"/>
      <c r="M2319" s="6" t="str">
        <f>IF(Table2[[#This Row],[Corrected Form '#
 (If Duplicated)]]="",Table2[[#This Row],[Form '#]],Table2[[#This Row],[Corrected Form '#
 (If Duplicated)]])</f>
        <v>7818-28155</v>
      </c>
      <c r="N2319" s="1" t="s">
        <v>49</v>
      </c>
      <c r="O2319" s="6" t="str">
        <f>IF(Table2[[#This Row],[POG CONFIRMATION RECEIPT OF ORDER
(DATE &amp; TIME)]]="","No Confirmation","Received Confirmation")</f>
        <v>Received Confirmation</v>
      </c>
      <c r="P2319" s="6">
        <f ca="1">TODAY()-Table2[[#This Row],[DATE SENT TO POG]]</f>
        <v>22</v>
      </c>
      <c r="Q2319" s="6" t="s">
        <v>6025</v>
      </c>
      <c r="R231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1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19" s="6" t="str">
        <f>_xlfn.XLOOKUP(Table2[[#This Row],[Adjusted Form '#]],'[2]IN PROGRESS'!$D:$D,'[2]IN PROGRESS'!$M:$M,"Not Found")</f>
        <v>Not Found</v>
      </c>
      <c r="U2319" s="6" t="str">
        <f>_xlfn.XLOOKUP(Table2[[#This Row],[Adjusted Form '#]],[1]COMPLETED!$D:$D,[2]COMPLETED!$M:$M,"Not Found")</f>
        <v>Not Found</v>
      </c>
      <c r="V2319" s="13">
        <f>_xlfn.XLOOKUP(Table2[[#This Row],[Adjusted Form '#]],[2]COMPLETED!$D:$D,[2]COMPLETED!$O:$O,"Not Found")</f>
        <v>45290</v>
      </c>
      <c r="W2319" s="6" t="str">
        <f>_xlfn.XLOOKUP(Table2[[#This Row],[Adjusted Form '#]],[2]BILLED!$D:$D,[2]BILLED!$M:$M,"Not Found")</f>
        <v>Not Found</v>
      </c>
      <c r="X2319" s="13" t="str">
        <f>_xlfn.XLOOKUP(Table2[[#This Row],[Adjusted Form '#]],[2]BILLED!$D:$D,[1]BILLED!$O:$O,"Not Found")</f>
        <v>Not Found</v>
      </c>
      <c r="Y2319" s="13" t="e">
        <f>_xlfn.XLOOKUP(Table2[[#This Row],[Adjusted Form '#]],'[2]REJECTED ORDERS'!$D:$D,'[2]REJECTED ORDERS'!$E:$E)</f>
        <v>#N/A</v>
      </c>
      <c r="Z2319" s="1"/>
      <c r="AA2319" s="1"/>
    </row>
    <row r="2320" spans="1:27" ht="15" customHeight="1" x14ac:dyDescent="0.35">
      <c r="A2320" s="4" t="s">
        <v>3363</v>
      </c>
      <c r="B2320" s="1" t="s">
        <v>854</v>
      </c>
      <c r="C2320" s="11">
        <v>45281</v>
      </c>
      <c r="D2320" s="11" t="s">
        <v>8123</v>
      </c>
      <c r="E2320" s="1" t="s">
        <v>21</v>
      </c>
      <c r="F2320" s="1" t="s">
        <v>8117</v>
      </c>
      <c r="G2320" s="6">
        <f>COUNTIF(F:F,Table2[[#This Row],[Form '#]])</f>
        <v>1</v>
      </c>
      <c r="H2320" s="1" t="s">
        <v>1171</v>
      </c>
      <c r="I2320" s="1" t="s">
        <v>127</v>
      </c>
      <c r="J2320" s="1" t="s">
        <v>74</v>
      </c>
      <c r="K2320" s="1" t="s">
        <v>3883</v>
      </c>
      <c r="L2320" s="1"/>
      <c r="M2320" s="6" t="str">
        <f>IF(Table2[[#This Row],[Corrected Form '#
 (If Duplicated)]]="",Table2[[#This Row],[Form '#]],Table2[[#This Row],[Corrected Form '#
 (If Duplicated)]])</f>
        <v>7818-14997</v>
      </c>
      <c r="N2320" s="1" t="s">
        <v>49</v>
      </c>
      <c r="O2320" s="6" t="str">
        <f>IF(Table2[[#This Row],[POG CONFIRMATION RECEIPT OF ORDER
(DATE &amp; TIME)]]="","No Confirmation","Received Confirmation")</f>
        <v>Received Confirmation</v>
      </c>
      <c r="P2320" s="6">
        <f ca="1">TODAY()-Table2[[#This Row],[DATE SENT TO POG]]</f>
        <v>22</v>
      </c>
      <c r="Q2320" s="6" t="s">
        <v>6025</v>
      </c>
      <c r="R232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0" s="6" t="str">
        <f>_xlfn.XLOOKUP(Table2[[#This Row],[Adjusted Form '#]],'[2]IN PROGRESS'!$D:$D,'[2]IN PROGRESS'!$M:$M,"Not Found")</f>
        <v>Not Found</v>
      </c>
      <c r="U2320" s="6" t="str">
        <f>_xlfn.XLOOKUP(Table2[[#This Row],[Adjusted Form '#]],[1]COMPLETED!$D:$D,[2]COMPLETED!$M:$M,"Not Found")</f>
        <v>Not Found</v>
      </c>
      <c r="V2320" s="13">
        <f>_xlfn.XLOOKUP(Table2[[#This Row],[Adjusted Form '#]],[2]COMPLETED!$D:$D,[2]COMPLETED!$O:$O,"Not Found")</f>
        <v>45293</v>
      </c>
      <c r="W2320" s="6" t="str">
        <f>_xlfn.XLOOKUP(Table2[[#This Row],[Adjusted Form '#]],[2]BILLED!$D:$D,[2]BILLED!$M:$M,"Not Found")</f>
        <v>Not Found</v>
      </c>
      <c r="X2320" s="13" t="str">
        <f>_xlfn.XLOOKUP(Table2[[#This Row],[Adjusted Form '#]],[2]BILLED!$D:$D,[1]BILLED!$O:$O,"Not Found")</f>
        <v>Not Found</v>
      </c>
      <c r="Y2320" s="13" t="e">
        <f>_xlfn.XLOOKUP(Table2[[#This Row],[Adjusted Form '#]],'[2]REJECTED ORDERS'!$D:$D,'[2]REJECTED ORDERS'!$E:$E)</f>
        <v>#N/A</v>
      </c>
      <c r="Z2320" s="1"/>
      <c r="AA2320" s="1"/>
    </row>
    <row r="2321" spans="1:27" ht="15" customHeight="1" x14ac:dyDescent="0.35">
      <c r="A2321" s="4" t="s">
        <v>3364</v>
      </c>
      <c r="B2321" s="1" t="s">
        <v>854</v>
      </c>
      <c r="C2321" s="11">
        <v>45281</v>
      </c>
      <c r="D2321" s="11" t="s">
        <v>8123</v>
      </c>
      <c r="E2321" s="1" t="s">
        <v>21</v>
      </c>
      <c r="F2321" s="1" t="s">
        <v>8118</v>
      </c>
      <c r="G2321" s="6">
        <f>COUNTIF(F:F,Table2[[#This Row],[Form '#]])</f>
        <v>1</v>
      </c>
      <c r="H2321" s="1" t="s">
        <v>8119</v>
      </c>
      <c r="I2321" s="1" t="s">
        <v>758</v>
      </c>
      <c r="J2321" s="1" t="s">
        <v>78</v>
      </c>
      <c r="K2321" s="1" t="s">
        <v>3853</v>
      </c>
      <c r="L2321" s="1"/>
      <c r="M2321" s="6" t="str">
        <f>IF(Table2[[#This Row],[Corrected Form '#
 (If Duplicated)]]="",Table2[[#This Row],[Form '#]],Table2[[#This Row],[Corrected Form '#
 (If Duplicated)]])</f>
        <v>7818-23931</v>
      </c>
      <c r="N2321" s="1" t="s">
        <v>49</v>
      </c>
      <c r="O2321" s="6" t="str">
        <f>IF(Table2[[#This Row],[POG CONFIRMATION RECEIPT OF ORDER
(DATE &amp; TIME)]]="","No Confirmation","Received Confirmation")</f>
        <v>Received Confirmation</v>
      </c>
      <c r="P2321" s="6">
        <f ca="1">TODAY()-Table2[[#This Row],[DATE SENT TO POG]]</f>
        <v>22</v>
      </c>
      <c r="Q2321" s="6" t="s">
        <v>6025</v>
      </c>
      <c r="R232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1" s="6" t="str">
        <f>_xlfn.XLOOKUP(Table2[[#This Row],[Adjusted Form '#]],'[2]IN PROGRESS'!$D:$D,'[2]IN PROGRESS'!$M:$M,"Not Found")</f>
        <v>Not Found</v>
      </c>
      <c r="U2321" s="6" t="str">
        <f>_xlfn.XLOOKUP(Table2[[#This Row],[Adjusted Form '#]],[1]COMPLETED!$D:$D,[2]COMPLETED!$M:$M,"Not Found")</f>
        <v>Not Found</v>
      </c>
      <c r="V2321" s="13">
        <f>_xlfn.XLOOKUP(Table2[[#This Row],[Adjusted Form '#]],[2]COMPLETED!$D:$D,[2]COMPLETED!$O:$O,"Not Found")</f>
        <v>45293</v>
      </c>
      <c r="W2321" s="6" t="str">
        <f>_xlfn.XLOOKUP(Table2[[#This Row],[Adjusted Form '#]],[2]BILLED!$D:$D,[2]BILLED!$M:$M,"Not Found")</f>
        <v>Not Found</v>
      </c>
      <c r="X2321" s="13" t="str">
        <f>_xlfn.XLOOKUP(Table2[[#This Row],[Adjusted Form '#]],[2]BILLED!$D:$D,[1]BILLED!$O:$O,"Not Found")</f>
        <v>Not Found</v>
      </c>
      <c r="Y2321" s="13" t="e">
        <f>_xlfn.XLOOKUP(Table2[[#This Row],[Adjusted Form '#]],'[2]REJECTED ORDERS'!$D:$D,'[2]REJECTED ORDERS'!$E:$E)</f>
        <v>#N/A</v>
      </c>
      <c r="Z2321" s="1"/>
      <c r="AA2321" s="1"/>
    </row>
    <row r="2322" spans="1:27" ht="15" customHeight="1" x14ac:dyDescent="0.35">
      <c r="A2322" s="4" t="s">
        <v>3366</v>
      </c>
      <c r="B2322" s="1" t="s">
        <v>854</v>
      </c>
      <c r="C2322" s="11">
        <v>45281</v>
      </c>
      <c r="D2322" s="11" t="s">
        <v>8123</v>
      </c>
      <c r="E2322" s="1" t="s">
        <v>21</v>
      </c>
      <c r="F2322" s="1" t="s">
        <v>8120</v>
      </c>
      <c r="G2322" s="6">
        <f>COUNTIF(F:F,Table2[[#This Row],[Form '#]])</f>
        <v>1</v>
      </c>
      <c r="H2322" s="1" t="s">
        <v>8121</v>
      </c>
      <c r="I2322" s="1" t="s">
        <v>758</v>
      </c>
      <c r="J2322" s="1" t="s">
        <v>78</v>
      </c>
      <c r="K2322" s="1" t="s">
        <v>3853</v>
      </c>
      <c r="L2322" s="1"/>
      <c r="M2322" s="6" t="str">
        <f>IF(Table2[[#This Row],[Corrected Form '#
 (If Duplicated)]]="",Table2[[#This Row],[Form '#]],Table2[[#This Row],[Corrected Form '#
 (If Duplicated)]])</f>
        <v>7818-21039</v>
      </c>
      <c r="N2322" s="1" t="s">
        <v>49</v>
      </c>
      <c r="O2322" s="6" t="str">
        <f>IF(Table2[[#This Row],[POG CONFIRMATION RECEIPT OF ORDER
(DATE &amp; TIME)]]="","No Confirmation","Received Confirmation")</f>
        <v>Received Confirmation</v>
      </c>
      <c r="P2322" s="6">
        <f ca="1">TODAY()-Table2[[#This Row],[DATE SENT TO POG]]</f>
        <v>22</v>
      </c>
      <c r="Q2322" s="6" t="s">
        <v>6025</v>
      </c>
      <c r="R232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2" s="6" t="str">
        <f>_xlfn.XLOOKUP(Table2[[#This Row],[Adjusted Form '#]],'[2]IN PROGRESS'!$D:$D,'[2]IN PROGRESS'!$M:$M,"Not Found")</f>
        <v>Not Found</v>
      </c>
      <c r="U2322" s="6" t="str">
        <f>_xlfn.XLOOKUP(Table2[[#This Row],[Adjusted Form '#]],[1]COMPLETED!$D:$D,[2]COMPLETED!$M:$M,"Not Found")</f>
        <v>Not Found</v>
      </c>
      <c r="V2322" s="13">
        <f>_xlfn.XLOOKUP(Table2[[#This Row],[Adjusted Form '#]],[2]COMPLETED!$D:$D,[2]COMPLETED!$O:$O,"Not Found")</f>
        <v>45290</v>
      </c>
      <c r="W2322" s="6" t="str">
        <f>_xlfn.XLOOKUP(Table2[[#This Row],[Adjusted Form '#]],[2]BILLED!$D:$D,[2]BILLED!$M:$M,"Not Found")</f>
        <v>Not Found</v>
      </c>
      <c r="X2322" s="13" t="str">
        <f>_xlfn.XLOOKUP(Table2[[#This Row],[Adjusted Form '#]],[2]BILLED!$D:$D,[1]BILLED!$O:$O,"Not Found")</f>
        <v>Not Found</v>
      </c>
      <c r="Y2322" s="13" t="e">
        <f>_xlfn.XLOOKUP(Table2[[#This Row],[Adjusted Form '#]],'[2]REJECTED ORDERS'!$D:$D,'[2]REJECTED ORDERS'!$E:$E)</f>
        <v>#N/A</v>
      </c>
      <c r="Z2322" s="1"/>
      <c r="AA2322" s="1"/>
    </row>
    <row r="2323" spans="1:27" ht="15" customHeight="1" x14ac:dyDescent="0.35">
      <c r="A2323" s="4" t="s">
        <v>3367</v>
      </c>
      <c r="B2323" s="1" t="s">
        <v>3623</v>
      </c>
      <c r="C2323" s="11">
        <v>45282</v>
      </c>
      <c r="D2323" s="11" t="s">
        <v>8126</v>
      </c>
      <c r="E2323" s="1" t="s">
        <v>14</v>
      </c>
      <c r="F2323" s="1" t="s">
        <v>8124</v>
      </c>
      <c r="G2323" s="6">
        <f>COUNTIF(F:F,Table2[[#This Row],[Form '#]])</f>
        <v>1</v>
      </c>
      <c r="H2323" s="1" t="s">
        <v>8125</v>
      </c>
      <c r="I2323" s="1" t="s">
        <v>177</v>
      </c>
      <c r="J2323" s="1" t="s">
        <v>75</v>
      </c>
      <c r="K2323" s="1" t="s">
        <v>3853</v>
      </c>
      <c r="L2323" s="1"/>
      <c r="M2323" s="6" t="str">
        <f>IF(Table2[[#This Row],[Corrected Form '#
 (If Duplicated)]]="",Table2[[#This Row],[Form '#]],Table2[[#This Row],[Corrected Form '#
 (If Duplicated)]])</f>
        <v>7810-03044</v>
      </c>
      <c r="N2323" s="1" t="s">
        <v>49</v>
      </c>
      <c r="O2323" s="6" t="str">
        <f>IF(Table2[[#This Row],[POG CONFIRMATION RECEIPT OF ORDER
(DATE &amp; TIME)]]="","No Confirmation","Received Confirmation")</f>
        <v>Received Confirmation</v>
      </c>
      <c r="P2323" s="6">
        <f ca="1">TODAY()-Table2[[#This Row],[DATE SENT TO POG]]</f>
        <v>21</v>
      </c>
      <c r="Q2323" s="6" t="s">
        <v>6025</v>
      </c>
      <c r="R232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3" s="6" t="str">
        <f>_xlfn.XLOOKUP(Table2[[#This Row],[Adjusted Form '#]],'[2]IN PROGRESS'!$D:$D,'[2]IN PROGRESS'!$M:$M,"Not Found")</f>
        <v>Not Found</v>
      </c>
      <c r="U2323" s="6" t="str">
        <f>_xlfn.XLOOKUP(Table2[[#This Row],[Adjusted Form '#]],[1]COMPLETED!$D:$D,[2]COMPLETED!$M:$M,"Not Found")</f>
        <v>Not Found</v>
      </c>
      <c r="V2323" s="13">
        <f>_xlfn.XLOOKUP(Table2[[#This Row],[Adjusted Form '#]],[2]COMPLETED!$D:$D,[2]COMPLETED!$O:$O,"Not Found")</f>
        <v>45290</v>
      </c>
      <c r="W2323" s="6" t="str">
        <f>_xlfn.XLOOKUP(Table2[[#This Row],[Adjusted Form '#]],[2]BILLED!$D:$D,[2]BILLED!$M:$M,"Not Found")</f>
        <v>Not Found</v>
      </c>
      <c r="X2323" s="13" t="str">
        <f>_xlfn.XLOOKUP(Table2[[#This Row],[Adjusted Form '#]],[2]BILLED!$D:$D,[1]BILLED!$O:$O,"Not Found")</f>
        <v>Not Found</v>
      </c>
      <c r="Y2323" s="13" t="e">
        <f>_xlfn.XLOOKUP(Table2[[#This Row],[Adjusted Form '#]],'[2]REJECTED ORDERS'!$D:$D,'[2]REJECTED ORDERS'!$E:$E)</f>
        <v>#N/A</v>
      </c>
      <c r="Z2323" s="1"/>
      <c r="AA2323" s="1"/>
    </row>
    <row r="2324" spans="1:27" ht="15" customHeight="1" x14ac:dyDescent="0.35">
      <c r="A2324" s="4" t="s">
        <v>3368</v>
      </c>
      <c r="B2324" s="1" t="s">
        <v>2866</v>
      </c>
      <c r="C2324" s="11">
        <v>45282</v>
      </c>
      <c r="E2324" s="1" t="s">
        <v>73</v>
      </c>
      <c r="F2324" s="1" t="s">
        <v>8127</v>
      </c>
      <c r="G2324" s="6">
        <f>COUNTIF(F:F,Table2[[#This Row],[Form '#]])</f>
        <v>1</v>
      </c>
      <c r="H2324" s="1" t="s">
        <v>8128</v>
      </c>
      <c r="I2324" s="1" t="s">
        <v>758</v>
      </c>
      <c r="J2324" s="1" t="s">
        <v>78</v>
      </c>
      <c r="K2324" s="1" t="s">
        <v>3853</v>
      </c>
      <c r="L2324" s="1"/>
      <c r="M2324" s="6" t="str">
        <f>IF(Table2[[#This Row],[Corrected Form '#
 (If Duplicated)]]="",Table2[[#This Row],[Form '#]],Table2[[#This Row],[Corrected Form '#
 (If Duplicated)]])</f>
        <v>7823-03421</v>
      </c>
      <c r="N2324" s="1" t="s">
        <v>49</v>
      </c>
      <c r="O2324" s="6" t="str">
        <f>IF(Table2[[#This Row],[POG CONFIRMATION RECEIPT OF ORDER
(DATE &amp; TIME)]]="","No Confirmation","Received Confirmation")</f>
        <v>No Confirmation</v>
      </c>
      <c r="P2324" s="6">
        <f ca="1">TODAY()-Table2[[#This Row],[DATE SENT TO POG]]</f>
        <v>21</v>
      </c>
      <c r="Q2324" s="6" t="s">
        <v>5802</v>
      </c>
      <c r="R232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4" s="6" t="str">
        <f>_xlfn.XLOOKUP(Table2[[#This Row],[Adjusted Form '#]],'[2]IN PROGRESS'!$D:$D,'[2]IN PROGRESS'!$M:$M,"Not Found")</f>
        <v>Not Found</v>
      </c>
      <c r="U2324" s="6" t="str">
        <f>_xlfn.XLOOKUP(Table2[[#This Row],[Adjusted Form '#]],[1]COMPLETED!$D:$D,[2]COMPLETED!$M:$M,"Not Found")</f>
        <v>Not Found</v>
      </c>
      <c r="V2324" s="13" t="str">
        <f>_xlfn.XLOOKUP(Table2[[#This Row],[Adjusted Form '#]],[2]COMPLETED!$D:$D,[2]COMPLETED!$O:$O,"Not Found")</f>
        <v>Not Found</v>
      </c>
      <c r="W2324" s="6" t="str">
        <f>_xlfn.XLOOKUP(Table2[[#This Row],[Adjusted Form '#]],[2]BILLED!$D:$D,[2]BILLED!$M:$M,"Not Found")</f>
        <v>Not Found</v>
      </c>
      <c r="X2324" s="13" t="str">
        <f>_xlfn.XLOOKUP(Table2[[#This Row],[Adjusted Form '#]],[2]BILLED!$D:$D,[1]BILLED!$O:$O,"Not Found")</f>
        <v>Not Found</v>
      </c>
      <c r="Y2324" s="13" t="e">
        <f>_xlfn.XLOOKUP(Table2[[#This Row],[Adjusted Form '#]],'[2]REJECTED ORDERS'!$D:$D,'[2]REJECTED ORDERS'!$E:$E)</f>
        <v>#N/A</v>
      </c>
      <c r="Z2324" s="1"/>
      <c r="AA2324" s="1"/>
    </row>
    <row r="2325" spans="1:27" ht="15" customHeight="1" x14ac:dyDescent="0.35">
      <c r="A2325" s="4" t="s">
        <v>3369</v>
      </c>
      <c r="B2325" s="1" t="s">
        <v>2866</v>
      </c>
      <c r="C2325" s="11">
        <v>45282</v>
      </c>
      <c r="E2325" s="1" t="s">
        <v>73</v>
      </c>
      <c r="F2325" s="1" t="s">
        <v>8129</v>
      </c>
      <c r="G2325" s="6">
        <f>COUNTIF(F:F,Table2[[#This Row],[Form '#]])</f>
        <v>1</v>
      </c>
      <c r="H2325" s="1" t="s">
        <v>8130</v>
      </c>
      <c r="I2325" s="1" t="s">
        <v>758</v>
      </c>
      <c r="J2325" s="1" t="s">
        <v>78</v>
      </c>
      <c r="K2325" s="1" t="s">
        <v>3853</v>
      </c>
      <c r="L2325" s="1"/>
      <c r="M2325" s="6" t="str">
        <f>IF(Table2[[#This Row],[Corrected Form '#
 (If Duplicated)]]="",Table2[[#This Row],[Form '#]],Table2[[#This Row],[Corrected Form '#
 (If Duplicated)]])</f>
        <v>7823-03501</v>
      </c>
      <c r="N2325" s="1" t="s">
        <v>49</v>
      </c>
      <c r="O2325" s="6" t="str">
        <f>IF(Table2[[#This Row],[POG CONFIRMATION RECEIPT OF ORDER
(DATE &amp; TIME)]]="","No Confirmation","Received Confirmation")</f>
        <v>No Confirmation</v>
      </c>
      <c r="P2325" s="6">
        <f ca="1">TODAY()-Table2[[#This Row],[DATE SENT TO POG]]</f>
        <v>21</v>
      </c>
      <c r="Q2325" s="6" t="s">
        <v>5802</v>
      </c>
      <c r="R232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5" s="6" t="str">
        <f>_xlfn.XLOOKUP(Table2[[#This Row],[Adjusted Form '#]],'[2]IN PROGRESS'!$D:$D,'[2]IN PROGRESS'!$M:$M,"Not Found")</f>
        <v>Not Found</v>
      </c>
      <c r="U2325" s="6" t="str">
        <f>_xlfn.XLOOKUP(Table2[[#This Row],[Adjusted Form '#]],[1]COMPLETED!$D:$D,[2]COMPLETED!$M:$M,"Not Found")</f>
        <v>Not Found</v>
      </c>
      <c r="V2325" s="13" t="str">
        <f>_xlfn.XLOOKUP(Table2[[#This Row],[Adjusted Form '#]],[2]COMPLETED!$D:$D,[2]COMPLETED!$O:$O,"Not Found")</f>
        <v>Not Found</v>
      </c>
      <c r="W2325" s="6" t="str">
        <f>_xlfn.XLOOKUP(Table2[[#This Row],[Adjusted Form '#]],[2]BILLED!$D:$D,[2]BILLED!$M:$M,"Not Found")</f>
        <v>Not Found</v>
      </c>
      <c r="X2325" s="13" t="str">
        <f>_xlfn.XLOOKUP(Table2[[#This Row],[Adjusted Form '#]],[2]BILLED!$D:$D,[1]BILLED!$O:$O,"Not Found")</f>
        <v>Not Found</v>
      </c>
      <c r="Y2325" s="13" t="e">
        <f>_xlfn.XLOOKUP(Table2[[#This Row],[Adjusted Form '#]],'[2]REJECTED ORDERS'!$D:$D,'[2]REJECTED ORDERS'!$E:$E)</f>
        <v>#N/A</v>
      </c>
      <c r="Z2325" s="1"/>
      <c r="AA2325" s="1"/>
    </row>
    <row r="2326" spans="1:27" ht="15" customHeight="1" x14ac:dyDescent="0.35">
      <c r="A2326" s="4" t="s">
        <v>3370</v>
      </c>
      <c r="B2326" s="1" t="s">
        <v>2509</v>
      </c>
      <c r="C2326" s="11">
        <v>45282</v>
      </c>
      <c r="D2326" s="11" t="s">
        <v>8133</v>
      </c>
      <c r="E2326" s="1" t="s">
        <v>73</v>
      </c>
      <c r="F2326" s="1" t="s">
        <v>8131</v>
      </c>
      <c r="G2326" s="6">
        <f>COUNTIF(F:F,Table2[[#This Row],[Form '#]])</f>
        <v>1</v>
      </c>
      <c r="H2326" s="1" t="s">
        <v>8132</v>
      </c>
      <c r="I2326" s="1" t="s">
        <v>127</v>
      </c>
      <c r="J2326" s="1" t="s">
        <v>74</v>
      </c>
      <c r="K2326" s="1" t="s">
        <v>3883</v>
      </c>
      <c r="L2326" s="1"/>
      <c r="M2326" s="6" t="str">
        <f>IF(Table2[[#This Row],[Corrected Form '#
 (If Duplicated)]]="",Table2[[#This Row],[Form '#]],Table2[[#This Row],[Corrected Form '#
 (If Duplicated)]])</f>
        <v>7823-02823</v>
      </c>
      <c r="N2326" s="1" t="s">
        <v>49</v>
      </c>
      <c r="O2326" s="6" t="str">
        <f>IF(Table2[[#This Row],[POG CONFIRMATION RECEIPT OF ORDER
(DATE &amp; TIME)]]="","No Confirmation","Received Confirmation")</f>
        <v>Received Confirmation</v>
      </c>
      <c r="P2326" s="6">
        <f ca="1">TODAY()-Table2[[#This Row],[DATE SENT TO POG]]</f>
        <v>21</v>
      </c>
      <c r="Q2326" s="6" t="s">
        <v>5802</v>
      </c>
      <c r="R232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6" s="6" t="str">
        <f>_xlfn.XLOOKUP(Table2[[#This Row],[Adjusted Form '#]],'[2]IN PROGRESS'!$D:$D,'[2]IN PROGRESS'!$M:$M,"Not Found")</f>
        <v>Not Found</v>
      </c>
      <c r="U2326" s="6" t="str">
        <f>_xlfn.XLOOKUP(Table2[[#This Row],[Adjusted Form '#]],[1]COMPLETED!$D:$D,[2]COMPLETED!$M:$M,"Not Found")</f>
        <v>Not Found</v>
      </c>
      <c r="V2326" s="13" t="e">
        <f>_xlfn.XLOOKUP(Table2[[#This Row],[Adjusted Form '#]],[2]COMPLETED!$D:$D,[2]COMPLETED!$O:$O,"Not Found")</f>
        <v>#N/A</v>
      </c>
      <c r="W2326" s="6" t="str">
        <f>_xlfn.XLOOKUP(Table2[[#This Row],[Adjusted Form '#]],[2]BILLED!$D:$D,[2]BILLED!$M:$M,"Not Found")</f>
        <v>Not Found</v>
      </c>
      <c r="X2326" s="13" t="str">
        <f>_xlfn.XLOOKUP(Table2[[#This Row],[Adjusted Form '#]],[2]BILLED!$D:$D,[1]BILLED!$O:$O,"Not Found")</f>
        <v>Not Found</v>
      </c>
      <c r="Y2326" s="13" t="e">
        <f>_xlfn.XLOOKUP(Table2[[#This Row],[Adjusted Form '#]],'[2]REJECTED ORDERS'!$D:$D,'[2]REJECTED ORDERS'!$E:$E)</f>
        <v>#N/A</v>
      </c>
      <c r="Z2326" s="1"/>
      <c r="AA2326" s="1"/>
    </row>
    <row r="2327" spans="1:27" ht="15" customHeight="1" x14ac:dyDescent="0.35">
      <c r="A2327" s="4" t="s">
        <v>3371</v>
      </c>
      <c r="B2327" s="1" t="s">
        <v>1142</v>
      </c>
      <c r="C2327" s="11">
        <v>45282</v>
      </c>
      <c r="D2327" s="11" t="s">
        <v>8139</v>
      </c>
      <c r="E2327" s="1" t="s">
        <v>73</v>
      </c>
      <c r="F2327" s="1" t="s">
        <v>7813</v>
      </c>
      <c r="G2327" s="6">
        <f>COUNTIF(F:F,Table2[[#This Row],[Form '#]])</f>
        <v>1</v>
      </c>
      <c r="H2327" s="1" t="s">
        <v>7814</v>
      </c>
      <c r="I2327" s="1" t="s">
        <v>127</v>
      </c>
      <c r="J2327" s="1" t="s">
        <v>3891</v>
      </c>
      <c r="K2327" s="1" t="s">
        <v>3883</v>
      </c>
      <c r="L2327" s="1"/>
      <c r="M2327" s="6" t="str">
        <f>IF(Table2[[#This Row],[Corrected Form '#
 (If Duplicated)]]="",Table2[[#This Row],[Form '#]],Table2[[#This Row],[Corrected Form '#
 (If Duplicated)]])</f>
        <v>7823-01371</v>
      </c>
      <c r="N2327" s="1" t="s">
        <v>49</v>
      </c>
      <c r="O2327" s="6" t="str">
        <f>IF(Table2[[#This Row],[POG CONFIRMATION RECEIPT OF ORDER
(DATE &amp; TIME)]]="","No Confirmation","Received Confirmation")</f>
        <v>Received Confirmation</v>
      </c>
      <c r="P2327" s="6">
        <f ca="1">TODAY()-Table2[[#This Row],[DATE SENT TO POG]]</f>
        <v>21</v>
      </c>
      <c r="Q2327" s="6" t="s">
        <v>6025</v>
      </c>
      <c r="R232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In Progress</v>
      </c>
      <c r="S232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7" s="6">
        <f>_xlfn.XLOOKUP(Table2[[#This Row],[Adjusted Form '#]],'[2]IN PROGRESS'!$D:$D,'[2]IN PROGRESS'!$M:$M,"Not Found")</f>
        <v>0</v>
      </c>
      <c r="U2327" s="6" t="str">
        <f>_xlfn.XLOOKUP(Table2[[#This Row],[Adjusted Form '#]],[1]COMPLETED!$D:$D,[2]COMPLETED!$M:$M,"Not Found")</f>
        <v>Not Found</v>
      </c>
      <c r="V2327" s="13" t="str">
        <f>_xlfn.XLOOKUP(Table2[[#This Row],[Adjusted Form '#]],[2]COMPLETED!$D:$D,[2]COMPLETED!$O:$O,"Not Found")</f>
        <v>Not Found</v>
      </c>
      <c r="W2327" s="6" t="str">
        <f>_xlfn.XLOOKUP(Table2[[#This Row],[Adjusted Form '#]],[2]BILLED!$D:$D,[2]BILLED!$M:$M,"Not Found")</f>
        <v>Not Found</v>
      </c>
      <c r="X2327" s="13" t="str">
        <f>_xlfn.XLOOKUP(Table2[[#This Row],[Adjusted Form '#]],[2]BILLED!$D:$D,[1]BILLED!$O:$O,"Not Found")</f>
        <v>Not Found</v>
      </c>
      <c r="Y2327" s="13" t="e">
        <f>_xlfn.XLOOKUP(Table2[[#This Row],[Adjusted Form '#]],'[2]REJECTED ORDERS'!$D:$D,'[2]REJECTED ORDERS'!$E:$E)</f>
        <v>#N/A</v>
      </c>
      <c r="Z2327" s="1"/>
      <c r="AA2327" s="1"/>
    </row>
    <row r="2328" spans="1:27" ht="15" customHeight="1" x14ac:dyDescent="0.35">
      <c r="A2328" s="4" t="s">
        <v>3373</v>
      </c>
      <c r="B2328" s="1" t="s">
        <v>1142</v>
      </c>
      <c r="C2328" s="11">
        <v>45282</v>
      </c>
      <c r="D2328" s="11" t="s">
        <v>8139</v>
      </c>
      <c r="E2328" s="1" t="s">
        <v>73</v>
      </c>
      <c r="F2328" s="1" t="s">
        <v>8134</v>
      </c>
      <c r="G2328" s="6">
        <f>COUNTIF(F:F,Table2[[#This Row],[Form '#]])</f>
        <v>1</v>
      </c>
      <c r="H2328" s="1" t="s">
        <v>8135</v>
      </c>
      <c r="I2328" s="1" t="s">
        <v>3852</v>
      </c>
      <c r="J2328" s="1" t="s">
        <v>3891</v>
      </c>
      <c r="K2328" s="1" t="s">
        <v>4011</v>
      </c>
      <c r="L2328" s="1"/>
      <c r="M2328" s="6" t="str">
        <f>IF(Table2[[#This Row],[Corrected Form '#
 (If Duplicated)]]="",Table2[[#This Row],[Form '#]],Table2[[#This Row],[Corrected Form '#
 (If Duplicated)]])</f>
        <v>7823-03256</v>
      </c>
      <c r="N2328" s="1" t="s">
        <v>49</v>
      </c>
      <c r="O2328" s="6" t="str">
        <f>IF(Table2[[#This Row],[POG CONFIRMATION RECEIPT OF ORDER
(DATE &amp; TIME)]]="","No Confirmation","Received Confirmation")</f>
        <v>Received Confirmation</v>
      </c>
      <c r="P2328" s="6">
        <f ca="1">TODAY()-Table2[[#This Row],[DATE SENT TO POG]]</f>
        <v>21</v>
      </c>
      <c r="Q2328" s="6" t="s">
        <v>5802</v>
      </c>
      <c r="R232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8" s="6" t="str">
        <f>_xlfn.XLOOKUP(Table2[[#This Row],[Adjusted Form '#]],'[2]IN PROGRESS'!$D:$D,'[2]IN PROGRESS'!$M:$M,"Not Found")</f>
        <v>Not Found</v>
      </c>
      <c r="U2328" s="6" t="str">
        <f>_xlfn.XLOOKUP(Table2[[#This Row],[Adjusted Form '#]],[1]COMPLETED!$D:$D,[2]COMPLETED!$M:$M,"Not Found")</f>
        <v>Not Found</v>
      </c>
      <c r="V2328" s="13" t="e">
        <f>_xlfn.XLOOKUP(Table2[[#This Row],[Adjusted Form '#]],[2]COMPLETED!$D:$D,[2]COMPLETED!$O:$O,"Not Found")</f>
        <v>#N/A</v>
      </c>
      <c r="W2328" s="6" t="str">
        <f>_xlfn.XLOOKUP(Table2[[#This Row],[Adjusted Form '#]],[2]BILLED!$D:$D,[2]BILLED!$M:$M,"Not Found")</f>
        <v>Not Found</v>
      </c>
      <c r="X2328" s="13" t="str">
        <f>_xlfn.XLOOKUP(Table2[[#This Row],[Adjusted Form '#]],[2]BILLED!$D:$D,[1]BILLED!$O:$O,"Not Found")</f>
        <v>Not Found</v>
      </c>
      <c r="Y2328" s="13" t="e">
        <f>_xlfn.XLOOKUP(Table2[[#This Row],[Adjusted Form '#]],'[2]REJECTED ORDERS'!$D:$D,'[2]REJECTED ORDERS'!$E:$E)</f>
        <v>#N/A</v>
      </c>
      <c r="Z2328" s="1"/>
      <c r="AA2328" s="1"/>
    </row>
    <row r="2329" spans="1:27" ht="15" customHeight="1" x14ac:dyDescent="0.35">
      <c r="A2329" s="4" t="s">
        <v>3375</v>
      </c>
      <c r="B2329" s="1" t="s">
        <v>1142</v>
      </c>
      <c r="C2329" s="11">
        <v>45282</v>
      </c>
      <c r="D2329" s="11" t="s">
        <v>8139</v>
      </c>
      <c r="E2329" s="1" t="s">
        <v>73</v>
      </c>
      <c r="F2329" s="1" t="s">
        <v>8138</v>
      </c>
      <c r="G2329" s="6">
        <f>COUNTIF(F:F,Table2[[#This Row],[Form '#]])</f>
        <v>1</v>
      </c>
      <c r="H2329" s="1" t="s">
        <v>3555</v>
      </c>
      <c r="I2329" s="1" t="s">
        <v>3852</v>
      </c>
      <c r="J2329" s="1" t="s">
        <v>3891</v>
      </c>
      <c r="K2329" s="1" t="s">
        <v>3853</v>
      </c>
      <c r="L2329" s="1"/>
      <c r="M2329" s="6" t="str">
        <f>IF(Table2[[#This Row],[Corrected Form '#
 (If Duplicated)]]="",Table2[[#This Row],[Form '#]],Table2[[#This Row],[Corrected Form '#
 (If Duplicated)]])</f>
        <v>7823-03482</v>
      </c>
      <c r="N2329" s="1" t="s">
        <v>49</v>
      </c>
      <c r="O2329" s="6" t="str">
        <f>IF(Table2[[#This Row],[POG CONFIRMATION RECEIPT OF ORDER
(DATE &amp; TIME)]]="","No Confirmation","Received Confirmation")</f>
        <v>Received Confirmation</v>
      </c>
      <c r="P2329" s="6">
        <f ca="1">TODAY()-Table2[[#This Row],[DATE SENT TO POG]]</f>
        <v>21</v>
      </c>
      <c r="Q2329" s="6" t="s">
        <v>5802</v>
      </c>
      <c r="R232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2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29" s="6" t="str">
        <f>_xlfn.XLOOKUP(Table2[[#This Row],[Adjusted Form '#]],'[2]IN PROGRESS'!$D:$D,'[2]IN PROGRESS'!$M:$M,"Not Found")</f>
        <v>Not Found</v>
      </c>
      <c r="U2329" s="6" t="str">
        <f>_xlfn.XLOOKUP(Table2[[#This Row],[Adjusted Form '#]],[1]COMPLETED!$D:$D,[2]COMPLETED!$M:$M,"Not Found")</f>
        <v>Not Found</v>
      </c>
      <c r="V2329" s="13" t="e">
        <f>_xlfn.XLOOKUP(Table2[[#This Row],[Adjusted Form '#]],[2]COMPLETED!$D:$D,[2]COMPLETED!$O:$O,"Not Found")</f>
        <v>#N/A</v>
      </c>
      <c r="W2329" s="6" t="str">
        <f>_xlfn.XLOOKUP(Table2[[#This Row],[Adjusted Form '#]],[2]BILLED!$D:$D,[2]BILLED!$M:$M,"Not Found")</f>
        <v>Not Found</v>
      </c>
      <c r="X2329" s="13" t="str">
        <f>_xlfn.XLOOKUP(Table2[[#This Row],[Adjusted Form '#]],[2]BILLED!$D:$D,[1]BILLED!$O:$O,"Not Found")</f>
        <v>Not Found</v>
      </c>
      <c r="Y2329" s="13" t="e">
        <f>_xlfn.XLOOKUP(Table2[[#This Row],[Adjusted Form '#]],'[2]REJECTED ORDERS'!$D:$D,'[2]REJECTED ORDERS'!$E:$E)</f>
        <v>#N/A</v>
      </c>
      <c r="Z2329" s="1"/>
      <c r="AA2329" s="1"/>
    </row>
    <row r="2330" spans="1:27" ht="15" customHeight="1" x14ac:dyDescent="0.35">
      <c r="A2330" s="4" t="s">
        <v>3376</v>
      </c>
      <c r="B2330" s="1" t="s">
        <v>1107</v>
      </c>
      <c r="C2330" s="11">
        <v>45282</v>
      </c>
      <c r="E2330" s="1" t="s">
        <v>21</v>
      </c>
      <c r="F2330" s="1" t="s">
        <v>8140</v>
      </c>
      <c r="G2330" s="6">
        <f>COUNTIF(F:F,Table2[[#This Row],[Form '#]])</f>
        <v>1</v>
      </c>
      <c r="H2330" s="1" t="s">
        <v>2735</v>
      </c>
      <c r="I2330" s="1" t="s">
        <v>3852</v>
      </c>
      <c r="J2330" s="1" t="s">
        <v>80</v>
      </c>
      <c r="K2330" s="1" t="s">
        <v>3853</v>
      </c>
      <c r="L2330" s="1"/>
      <c r="M2330" s="6" t="str">
        <f>IF(Table2[[#This Row],[Corrected Form '#
 (If Duplicated)]]="",Table2[[#This Row],[Form '#]],Table2[[#This Row],[Corrected Form '#
 (If Duplicated)]])</f>
        <v>7818-16216</v>
      </c>
      <c r="N2330" s="1" t="s">
        <v>49</v>
      </c>
      <c r="O2330" s="6" t="str">
        <f>IF(Table2[[#This Row],[POG CONFIRMATION RECEIPT OF ORDER
(DATE &amp; TIME)]]="","No Confirmation","Received Confirmation")</f>
        <v>No Confirmation</v>
      </c>
      <c r="P2330" s="6">
        <f ca="1">TODAY()-Table2[[#This Row],[DATE SENT TO POG]]</f>
        <v>21</v>
      </c>
      <c r="Q2330" s="6" t="s">
        <v>5802</v>
      </c>
      <c r="R233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0" s="6" t="str">
        <f>_xlfn.XLOOKUP(Table2[[#This Row],[Adjusted Form '#]],'[2]IN PROGRESS'!$D:$D,'[2]IN PROGRESS'!$M:$M,"Not Found")</f>
        <v>Not Found</v>
      </c>
      <c r="U2330" s="6" t="str">
        <f>_xlfn.XLOOKUP(Table2[[#This Row],[Adjusted Form '#]],[1]COMPLETED!$D:$D,[2]COMPLETED!$M:$M,"Not Found")</f>
        <v>Not Found</v>
      </c>
      <c r="V2330" s="13" t="e">
        <f>_xlfn.XLOOKUP(Table2[[#This Row],[Adjusted Form '#]],[2]COMPLETED!$D:$D,[2]COMPLETED!$O:$O,"Not Found")</f>
        <v>#N/A</v>
      </c>
      <c r="W2330" s="6" t="str">
        <f>_xlfn.XLOOKUP(Table2[[#This Row],[Adjusted Form '#]],[2]BILLED!$D:$D,[2]BILLED!$M:$M,"Not Found")</f>
        <v>Not Found</v>
      </c>
      <c r="X2330" s="13" t="str">
        <f>_xlfn.XLOOKUP(Table2[[#This Row],[Adjusted Form '#]],[2]BILLED!$D:$D,[1]BILLED!$O:$O,"Not Found")</f>
        <v>Not Found</v>
      </c>
      <c r="Y2330" s="13" t="e">
        <f>_xlfn.XLOOKUP(Table2[[#This Row],[Adjusted Form '#]],'[2]REJECTED ORDERS'!$D:$D,'[2]REJECTED ORDERS'!$E:$E)</f>
        <v>#N/A</v>
      </c>
      <c r="Z2330" s="1"/>
      <c r="AA2330" s="1"/>
    </row>
    <row r="2331" spans="1:27" ht="15" customHeight="1" x14ac:dyDescent="0.35">
      <c r="A2331" s="4" t="s">
        <v>3377</v>
      </c>
      <c r="B2331" s="1" t="s">
        <v>1107</v>
      </c>
      <c r="C2331" s="11">
        <v>45282</v>
      </c>
      <c r="E2331" s="1" t="s">
        <v>21</v>
      </c>
      <c r="F2331" s="1" t="s">
        <v>8141</v>
      </c>
      <c r="G2331" s="6">
        <f>COUNTIF(F:F,Table2[[#This Row],[Form '#]])</f>
        <v>1</v>
      </c>
      <c r="H2331" s="1" t="s">
        <v>8142</v>
      </c>
      <c r="I2331" s="1" t="s">
        <v>127</v>
      </c>
      <c r="J2331" s="1" t="s">
        <v>76</v>
      </c>
      <c r="K2331" s="1" t="s">
        <v>4011</v>
      </c>
      <c r="L2331" s="1"/>
      <c r="M2331" s="6" t="str">
        <f>IF(Table2[[#This Row],[Corrected Form '#
 (If Duplicated)]]="",Table2[[#This Row],[Form '#]],Table2[[#This Row],[Corrected Form '#
 (If Duplicated)]])</f>
        <v>7818-29842</v>
      </c>
      <c r="N2331" s="1" t="s">
        <v>49</v>
      </c>
      <c r="O2331" s="6" t="str">
        <f>IF(Table2[[#This Row],[POG CONFIRMATION RECEIPT OF ORDER
(DATE &amp; TIME)]]="","No Confirmation","Received Confirmation")</f>
        <v>No Confirmation</v>
      </c>
      <c r="P2331" s="6">
        <f ca="1">TODAY()-Table2[[#This Row],[DATE SENT TO POG]]</f>
        <v>21</v>
      </c>
      <c r="Q2331" s="6" t="s">
        <v>5802</v>
      </c>
      <c r="R233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1" s="6" t="str">
        <f>_xlfn.XLOOKUP(Table2[[#This Row],[Adjusted Form '#]],'[2]IN PROGRESS'!$D:$D,'[2]IN PROGRESS'!$M:$M,"Not Found")</f>
        <v>Not Found</v>
      </c>
      <c r="U2331" s="6" t="str">
        <f>_xlfn.XLOOKUP(Table2[[#This Row],[Adjusted Form '#]],[1]COMPLETED!$D:$D,[2]COMPLETED!$M:$M,"Not Found")</f>
        <v>Not Found</v>
      </c>
      <c r="V2331" s="13" t="e">
        <f>_xlfn.XLOOKUP(Table2[[#This Row],[Adjusted Form '#]],[2]COMPLETED!$D:$D,[2]COMPLETED!$O:$O,"Not Found")</f>
        <v>#N/A</v>
      </c>
      <c r="W2331" s="6" t="str">
        <f>_xlfn.XLOOKUP(Table2[[#This Row],[Adjusted Form '#]],[2]BILLED!$D:$D,[2]BILLED!$M:$M,"Not Found")</f>
        <v>Not Found</v>
      </c>
      <c r="X2331" s="13" t="str">
        <f>_xlfn.XLOOKUP(Table2[[#This Row],[Adjusted Form '#]],[2]BILLED!$D:$D,[1]BILLED!$O:$O,"Not Found")</f>
        <v>Not Found</v>
      </c>
      <c r="Y2331" s="13" t="e">
        <f>_xlfn.XLOOKUP(Table2[[#This Row],[Adjusted Form '#]],'[2]REJECTED ORDERS'!$D:$D,'[2]REJECTED ORDERS'!$E:$E)</f>
        <v>#N/A</v>
      </c>
      <c r="Z2331" s="1"/>
      <c r="AA2331" s="1"/>
    </row>
    <row r="2332" spans="1:27" ht="15" customHeight="1" x14ac:dyDescent="0.35">
      <c r="A2332" s="4" t="s">
        <v>3379</v>
      </c>
      <c r="B2332" s="1" t="s">
        <v>1107</v>
      </c>
      <c r="C2332" s="11">
        <v>45282</v>
      </c>
      <c r="E2332" s="1" t="s">
        <v>21</v>
      </c>
      <c r="F2332" s="1" t="s">
        <v>8143</v>
      </c>
      <c r="G2332" s="6">
        <f>COUNTIF(F:F,Table2[[#This Row],[Form '#]])</f>
        <v>1</v>
      </c>
      <c r="H2332" s="1" t="s">
        <v>2414</v>
      </c>
      <c r="I2332" s="1" t="s">
        <v>127</v>
      </c>
      <c r="J2332" s="1" t="s">
        <v>71</v>
      </c>
      <c r="K2332" s="1" t="s">
        <v>3883</v>
      </c>
      <c r="L2332" s="1"/>
      <c r="M2332" s="6" t="str">
        <f>IF(Table2[[#This Row],[Corrected Form '#
 (If Duplicated)]]="",Table2[[#This Row],[Form '#]],Table2[[#This Row],[Corrected Form '#
 (If Duplicated)]])</f>
        <v>7818-23224</v>
      </c>
      <c r="N2332" s="1" t="s">
        <v>49</v>
      </c>
      <c r="O2332" s="6" t="str">
        <f>IF(Table2[[#This Row],[POG CONFIRMATION RECEIPT OF ORDER
(DATE &amp; TIME)]]="","No Confirmation","Received Confirmation")</f>
        <v>No Confirmation</v>
      </c>
      <c r="P2332" s="6">
        <f ca="1">TODAY()-Table2[[#This Row],[DATE SENT TO POG]]</f>
        <v>21</v>
      </c>
      <c r="Q2332" s="6" t="s">
        <v>5802</v>
      </c>
      <c r="R233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2" s="6" t="str">
        <f>_xlfn.XLOOKUP(Table2[[#This Row],[Adjusted Form '#]],'[2]IN PROGRESS'!$D:$D,'[2]IN PROGRESS'!$M:$M,"Not Found")</f>
        <v>Not Found</v>
      </c>
      <c r="U2332" s="6" t="str">
        <f>_xlfn.XLOOKUP(Table2[[#This Row],[Adjusted Form '#]],[1]COMPLETED!$D:$D,[2]COMPLETED!$M:$M,"Not Found")</f>
        <v>Not Found</v>
      </c>
      <c r="V2332" s="13" t="e">
        <f>_xlfn.XLOOKUP(Table2[[#This Row],[Adjusted Form '#]],[2]COMPLETED!$D:$D,[2]COMPLETED!$O:$O,"Not Found")</f>
        <v>#N/A</v>
      </c>
      <c r="W2332" s="6" t="str">
        <f>_xlfn.XLOOKUP(Table2[[#This Row],[Adjusted Form '#]],[2]BILLED!$D:$D,[2]BILLED!$M:$M,"Not Found")</f>
        <v>Not Found</v>
      </c>
      <c r="X2332" s="13" t="str">
        <f>_xlfn.XLOOKUP(Table2[[#This Row],[Adjusted Form '#]],[2]BILLED!$D:$D,[1]BILLED!$O:$O,"Not Found")</f>
        <v>Not Found</v>
      </c>
      <c r="Y2332" s="13" t="e">
        <f>_xlfn.XLOOKUP(Table2[[#This Row],[Adjusted Form '#]],'[2]REJECTED ORDERS'!$D:$D,'[2]REJECTED ORDERS'!$E:$E)</f>
        <v>#N/A</v>
      </c>
      <c r="Z2332" s="1"/>
      <c r="AA2332" s="1"/>
    </row>
    <row r="2333" spans="1:27" ht="15" customHeight="1" x14ac:dyDescent="0.35">
      <c r="A2333" s="4" t="s">
        <v>3380</v>
      </c>
      <c r="B2333" s="1" t="s">
        <v>5308</v>
      </c>
      <c r="C2333" s="11">
        <v>45283</v>
      </c>
      <c r="E2333" s="1" t="s">
        <v>1592</v>
      </c>
      <c r="F2333" s="1" t="s">
        <v>8144</v>
      </c>
      <c r="G2333" s="6">
        <f>COUNTIF(F:F,Table2[[#This Row],[Form '#]])</f>
        <v>1</v>
      </c>
      <c r="H2333" s="1" t="s">
        <v>3735</v>
      </c>
      <c r="I2333" s="1" t="s">
        <v>127</v>
      </c>
      <c r="J2333" s="1" t="s">
        <v>76</v>
      </c>
      <c r="K2333" s="1" t="s">
        <v>3883</v>
      </c>
      <c r="L2333" s="1"/>
      <c r="M2333" s="6" t="str">
        <f>IF(Table2[[#This Row],[Corrected Form '#
 (If Duplicated)]]="",Table2[[#This Row],[Form '#]],Table2[[#This Row],[Corrected Form '#
 (If Duplicated)]])</f>
        <v>7811-00346</v>
      </c>
      <c r="N2333" s="1" t="s">
        <v>49</v>
      </c>
      <c r="O2333" s="6" t="str">
        <f>IF(Table2[[#This Row],[POG CONFIRMATION RECEIPT OF ORDER
(DATE &amp; TIME)]]="","No Confirmation","Received Confirmation")</f>
        <v>No Confirmation</v>
      </c>
      <c r="P2333" s="6">
        <f ca="1">TODAY()-Table2[[#This Row],[DATE SENT TO POG]]</f>
        <v>20</v>
      </c>
      <c r="Q2333" s="6" t="s">
        <v>5802</v>
      </c>
      <c r="R233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3" s="6" t="str">
        <f>_xlfn.XLOOKUP(Table2[[#This Row],[Adjusted Form '#]],'[2]IN PROGRESS'!$D:$D,'[2]IN PROGRESS'!$M:$M,"Not Found")</f>
        <v>Not Found</v>
      </c>
      <c r="U2333" s="6" t="str">
        <f>_xlfn.XLOOKUP(Table2[[#This Row],[Adjusted Form '#]],[1]COMPLETED!$D:$D,[2]COMPLETED!$M:$M,"Not Found")</f>
        <v>Not Found</v>
      </c>
      <c r="V2333" s="13" t="e">
        <f>_xlfn.XLOOKUP(Table2[[#This Row],[Adjusted Form '#]],[2]COMPLETED!$D:$D,[2]COMPLETED!$O:$O,"Not Found")</f>
        <v>#N/A</v>
      </c>
      <c r="W2333" s="6" t="str">
        <f>_xlfn.XLOOKUP(Table2[[#This Row],[Adjusted Form '#]],[2]BILLED!$D:$D,[2]BILLED!$M:$M,"Not Found")</f>
        <v>Not Found</v>
      </c>
      <c r="X2333" s="13" t="str">
        <f>_xlfn.XLOOKUP(Table2[[#This Row],[Adjusted Form '#]],[2]BILLED!$D:$D,[1]BILLED!$O:$O,"Not Found")</f>
        <v>Not Found</v>
      </c>
      <c r="Y2333" s="13" t="e">
        <f>_xlfn.XLOOKUP(Table2[[#This Row],[Adjusted Form '#]],'[2]REJECTED ORDERS'!$D:$D,'[2]REJECTED ORDERS'!$E:$E)</f>
        <v>#N/A</v>
      </c>
      <c r="Z2333" s="1"/>
      <c r="AA2333" s="1"/>
    </row>
    <row r="2334" spans="1:27" ht="15" customHeight="1" x14ac:dyDescent="0.35">
      <c r="A2334" s="4" t="s">
        <v>3381</v>
      </c>
      <c r="B2334" s="1" t="s">
        <v>2506</v>
      </c>
      <c r="C2334" s="11">
        <v>45286</v>
      </c>
      <c r="E2334" s="1" t="s">
        <v>191</v>
      </c>
      <c r="F2334" s="1" t="s">
        <v>8043</v>
      </c>
      <c r="G2334" s="6">
        <f>COUNTIF(F:F,Table2[[#This Row],[Form '#]])</f>
        <v>3</v>
      </c>
      <c r="H2334" s="1" t="s">
        <v>3792</v>
      </c>
      <c r="I2334" s="1" t="s">
        <v>3852</v>
      </c>
      <c r="J2334" s="1" t="s">
        <v>75</v>
      </c>
      <c r="K2334" s="1" t="s">
        <v>4011</v>
      </c>
      <c r="L2334" s="1"/>
      <c r="M2334" s="6" t="str">
        <f>IF(Table2[[#This Row],[Corrected Form '#
 (If Duplicated)]]="",Table2[[#This Row],[Form '#]],Table2[[#This Row],[Corrected Form '#
 (If Duplicated)]])</f>
        <v>7812-01464</v>
      </c>
      <c r="N2334" s="1" t="s">
        <v>49</v>
      </c>
      <c r="O2334" s="6" t="str">
        <f>IF(Table2[[#This Row],[POG CONFIRMATION RECEIPT OF ORDER
(DATE &amp; TIME)]]="","No Confirmation","Received Confirmation")</f>
        <v>No Confirmation</v>
      </c>
      <c r="P2334" s="6">
        <f ca="1">TODAY()-Table2[[#This Row],[DATE SENT TO POG]]</f>
        <v>17</v>
      </c>
      <c r="Q2334" s="6" t="s">
        <v>5802</v>
      </c>
      <c r="R233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4" s="6" t="str">
        <f>_xlfn.XLOOKUP(Table2[[#This Row],[Adjusted Form '#]],'[2]IN PROGRESS'!$D:$D,'[2]IN PROGRESS'!$M:$M,"Not Found")</f>
        <v>Not Found</v>
      </c>
      <c r="U2334" s="6" t="str">
        <f>_xlfn.XLOOKUP(Table2[[#This Row],[Adjusted Form '#]],[1]COMPLETED!$D:$D,[2]COMPLETED!$M:$M,"Not Found")</f>
        <v>Not Found</v>
      </c>
      <c r="V2334" s="13">
        <f>_xlfn.XLOOKUP(Table2[[#This Row],[Adjusted Form '#]],[2]COMPLETED!$D:$D,[2]COMPLETED!$O:$O,"Not Found")</f>
        <v>45290</v>
      </c>
      <c r="W2334" s="6" t="str">
        <f>_xlfn.XLOOKUP(Table2[[#This Row],[Adjusted Form '#]],[2]BILLED!$D:$D,[2]BILLED!$M:$M,"Not Found")</f>
        <v>Not Found</v>
      </c>
      <c r="X2334" s="13" t="str">
        <f>_xlfn.XLOOKUP(Table2[[#This Row],[Adjusted Form '#]],[2]BILLED!$D:$D,[1]BILLED!$O:$O,"Not Found")</f>
        <v>Not Found</v>
      </c>
      <c r="Y2334" s="13" t="e">
        <f>_xlfn.XLOOKUP(Table2[[#This Row],[Adjusted Form '#]],'[2]REJECTED ORDERS'!$D:$D,'[2]REJECTED ORDERS'!$E:$E)</f>
        <v>#N/A</v>
      </c>
      <c r="Z2334" s="1"/>
      <c r="AA2334" s="1"/>
    </row>
    <row r="2335" spans="1:27" ht="15" customHeight="1" x14ac:dyDescent="0.35">
      <c r="A2335" s="4" t="s">
        <v>3382</v>
      </c>
      <c r="B2335" s="1" t="s">
        <v>2506</v>
      </c>
      <c r="C2335" s="11">
        <v>45286</v>
      </c>
      <c r="E2335" s="1" t="s">
        <v>191</v>
      </c>
      <c r="F2335" s="1" t="s">
        <v>8145</v>
      </c>
      <c r="G2335" s="6">
        <f>COUNTIF(F:F,Table2[[#This Row],[Form '#]])</f>
        <v>1</v>
      </c>
      <c r="H2335" s="1" t="s">
        <v>8146</v>
      </c>
      <c r="I2335" s="1" t="s">
        <v>177</v>
      </c>
      <c r="J2335" s="1" t="s">
        <v>75</v>
      </c>
      <c r="K2335" s="1" t="s">
        <v>3853</v>
      </c>
      <c r="L2335" s="1"/>
      <c r="M2335" s="6" t="str">
        <f>IF(Table2[[#This Row],[Corrected Form '#
 (If Duplicated)]]="",Table2[[#This Row],[Form '#]],Table2[[#This Row],[Corrected Form '#
 (If Duplicated)]])</f>
        <v>7812-04623</v>
      </c>
      <c r="N2335" s="1" t="s">
        <v>49</v>
      </c>
      <c r="O2335" s="6" t="str">
        <f>IF(Table2[[#This Row],[POG CONFIRMATION RECEIPT OF ORDER
(DATE &amp; TIME)]]="","No Confirmation","Received Confirmation")</f>
        <v>No Confirmation</v>
      </c>
      <c r="P2335" s="6">
        <f ca="1">TODAY()-Table2[[#This Row],[DATE SENT TO POG]]</f>
        <v>17</v>
      </c>
      <c r="Q2335" s="6" t="s">
        <v>5802</v>
      </c>
      <c r="R233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5" s="6" t="str">
        <f>_xlfn.XLOOKUP(Table2[[#This Row],[Adjusted Form '#]],'[2]IN PROGRESS'!$D:$D,'[2]IN PROGRESS'!$M:$M,"Not Found")</f>
        <v>Not Found</v>
      </c>
      <c r="U2335" s="6" t="str">
        <f>_xlfn.XLOOKUP(Table2[[#This Row],[Adjusted Form '#]],[1]COMPLETED!$D:$D,[2]COMPLETED!$M:$M,"Not Found")</f>
        <v>Not Found</v>
      </c>
      <c r="V2335" s="13" t="str">
        <f>_xlfn.XLOOKUP(Table2[[#This Row],[Adjusted Form '#]],[2]COMPLETED!$D:$D,[2]COMPLETED!$O:$O,"Not Found")</f>
        <v>Not Found</v>
      </c>
      <c r="W2335" s="6" t="str">
        <f>_xlfn.XLOOKUP(Table2[[#This Row],[Adjusted Form '#]],[2]BILLED!$D:$D,[2]BILLED!$M:$M,"Not Found")</f>
        <v>Not Found</v>
      </c>
      <c r="X2335" s="13" t="str">
        <f>_xlfn.XLOOKUP(Table2[[#This Row],[Adjusted Form '#]],[2]BILLED!$D:$D,[1]BILLED!$O:$O,"Not Found")</f>
        <v>Not Found</v>
      </c>
      <c r="Y2335" s="13" t="e">
        <f>_xlfn.XLOOKUP(Table2[[#This Row],[Adjusted Form '#]],'[2]REJECTED ORDERS'!$D:$D,'[2]REJECTED ORDERS'!$E:$E)</f>
        <v>#N/A</v>
      </c>
      <c r="Z2335" s="1"/>
      <c r="AA2335" s="1"/>
    </row>
    <row r="2336" spans="1:27" ht="15" customHeight="1" x14ac:dyDescent="0.35">
      <c r="A2336" s="4" t="s">
        <v>3383</v>
      </c>
      <c r="B2336" s="1" t="s">
        <v>2506</v>
      </c>
      <c r="C2336" s="11">
        <v>45286</v>
      </c>
      <c r="E2336" s="1" t="s">
        <v>191</v>
      </c>
      <c r="F2336" s="1" t="s">
        <v>8147</v>
      </c>
      <c r="G2336" s="6">
        <f>COUNTIF(F:F,Table2[[#This Row],[Form '#]])</f>
        <v>1</v>
      </c>
      <c r="H2336" s="1" t="s">
        <v>3629</v>
      </c>
      <c r="I2336" s="1" t="s">
        <v>3852</v>
      </c>
      <c r="J2336" s="1" t="s">
        <v>80</v>
      </c>
      <c r="K2336" s="1" t="s">
        <v>3853</v>
      </c>
      <c r="L2336" s="1"/>
      <c r="M2336" s="6" t="str">
        <f>IF(Table2[[#This Row],[Corrected Form '#
 (If Duplicated)]]="",Table2[[#This Row],[Form '#]],Table2[[#This Row],[Corrected Form '#
 (If Duplicated)]])</f>
        <v>7812-04631</v>
      </c>
      <c r="N2336" s="1" t="s">
        <v>49</v>
      </c>
      <c r="O2336" s="6" t="str">
        <f>IF(Table2[[#This Row],[POG CONFIRMATION RECEIPT OF ORDER
(DATE &amp; TIME)]]="","No Confirmation","Received Confirmation")</f>
        <v>No Confirmation</v>
      </c>
      <c r="P2336" s="6">
        <f ca="1">TODAY()-Table2[[#This Row],[DATE SENT TO POG]]</f>
        <v>17</v>
      </c>
      <c r="Q2336" s="6" t="s">
        <v>5802</v>
      </c>
      <c r="R233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6" s="6" t="str">
        <f>_xlfn.XLOOKUP(Table2[[#This Row],[Adjusted Form '#]],'[2]IN PROGRESS'!$D:$D,'[2]IN PROGRESS'!$M:$M,"Not Found")</f>
        <v>Not Found</v>
      </c>
      <c r="U2336" s="6" t="str">
        <f>_xlfn.XLOOKUP(Table2[[#This Row],[Adjusted Form '#]],[1]COMPLETED!$D:$D,[2]COMPLETED!$M:$M,"Not Found")</f>
        <v>Not Found</v>
      </c>
      <c r="V2336" s="13" t="str">
        <f>_xlfn.XLOOKUP(Table2[[#This Row],[Adjusted Form '#]],[2]COMPLETED!$D:$D,[2]COMPLETED!$O:$O,"Not Found")</f>
        <v>Not Found</v>
      </c>
      <c r="W2336" s="6" t="str">
        <f>_xlfn.XLOOKUP(Table2[[#This Row],[Adjusted Form '#]],[2]BILLED!$D:$D,[2]BILLED!$M:$M,"Not Found")</f>
        <v>Not Found</v>
      </c>
      <c r="X2336" s="13" t="str">
        <f>_xlfn.XLOOKUP(Table2[[#This Row],[Adjusted Form '#]],[2]BILLED!$D:$D,[1]BILLED!$O:$O,"Not Found")</f>
        <v>Not Found</v>
      </c>
      <c r="Y2336" s="13" t="e">
        <f>_xlfn.XLOOKUP(Table2[[#This Row],[Adjusted Form '#]],'[2]REJECTED ORDERS'!$D:$D,'[2]REJECTED ORDERS'!$E:$E)</f>
        <v>#N/A</v>
      </c>
      <c r="Z2336" s="1"/>
      <c r="AA2336" s="1"/>
    </row>
    <row r="2337" spans="1:27" ht="15" customHeight="1" x14ac:dyDescent="0.35">
      <c r="A2337" s="4" t="s">
        <v>3384</v>
      </c>
      <c r="B2337" s="1" t="s">
        <v>1142</v>
      </c>
      <c r="C2337" s="11">
        <v>45286</v>
      </c>
      <c r="D2337" s="11" t="s">
        <v>8150</v>
      </c>
      <c r="E2337" s="1" t="s">
        <v>21</v>
      </c>
      <c r="F2337" s="1" t="s">
        <v>8148</v>
      </c>
      <c r="G2337" s="6">
        <f>COUNTIF(F:F,Table2[[#This Row],[Form '#]])</f>
        <v>1</v>
      </c>
      <c r="H2337" s="1" t="s">
        <v>8149</v>
      </c>
      <c r="I2337" s="1" t="s">
        <v>28</v>
      </c>
      <c r="J2337" s="1" t="s">
        <v>69</v>
      </c>
      <c r="K2337" s="1" t="s">
        <v>3898</v>
      </c>
      <c r="L2337" s="1"/>
      <c r="M2337" s="6" t="str">
        <f>IF(Table2[[#This Row],[Corrected Form '#
 (If Duplicated)]]="",Table2[[#This Row],[Form '#]],Table2[[#This Row],[Corrected Form '#
 (If Duplicated)]])</f>
        <v>7818-05270</v>
      </c>
      <c r="N2337" s="1" t="s">
        <v>49</v>
      </c>
      <c r="O2337" s="6" t="str">
        <f>IF(Table2[[#This Row],[POG CONFIRMATION RECEIPT OF ORDER
(DATE &amp; TIME)]]="","No Confirmation","Received Confirmation")</f>
        <v>Received Confirmation</v>
      </c>
      <c r="P2337" s="6">
        <f ca="1">TODAY()-Table2[[#This Row],[DATE SENT TO POG]]</f>
        <v>17</v>
      </c>
      <c r="Q2337" s="6" t="s">
        <v>5802</v>
      </c>
      <c r="R233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7" s="6" t="str">
        <f>_xlfn.XLOOKUP(Table2[[#This Row],[Adjusted Form '#]],'[2]IN PROGRESS'!$D:$D,'[2]IN PROGRESS'!$M:$M,"Not Found")</f>
        <v>Not Found</v>
      </c>
      <c r="U2337" s="6" t="str">
        <f>_xlfn.XLOOKUP(Table2[[#This Row],[Adjusted Form '#]],[1]COMPLETED!$D:$D,[2]COMPLETED!$M:$M,"Not Found")</f>
        <v>Not Found</v>
      </c>
      <c r="V2337" s="13" t="e">
        <f>_xlfn.XLOOKUP(Table2[[#This Row],[Adjusted Form '#]],[2]COMPLETED!$D:$D,[2]COMPLETED!$O:$O,"Not Found")</f>
        <v>#N/A</v>
      </c>
      <c r="W2337" s="6" t="str">
        <f>_xlfn.XLOOKUP(Table2[[#This Row],[Adjusted Form '#]],[2]BILLED!$D:$D,[2]BILLED!$M:$M,"Not Found")</f>
        <v>Not Found</v>
      </c>
      <c r="X2337" s="13" t="str">
        <f>_xlfn.XLOOKUP(Table2[[#This Row],[Adjusted Form '#]],[2]BILLED!$D:$D,[1]BILLED!$O:$O,"Not Found")</f>
        <v>Not Found</v>
      </c>
      <c r="Y2337" s="13" t="e">
        <f>_xlfn.XLOOKUP(Table2[[#This Row],[Adjusted Form '#]],'[2]REJECTED ORDERS'!$D:$D,'[2]REJECTED ORDERS'!$E:$E)</f>
        <v>#N/A</v>
      </c>
      <c r="Z2337" s="1"/>
      <c r="AA2337" s="1"/>
    </row>
    <row r="2338" spans="1:27" ht="15" customHeight="1" x14ac:dyDescent="0.35">
      <c r="A2338" s="4" t="s">
        <v>3386</v>
      </c>
      <c r="B2338" s="1" t="s">
        <v>2416</v>
      </c>
      <c r="C2338" s="11">
        <v>45287</v>
      </c>
      <c r="D2338" s="11" t="s">
        <v>8158</v>
      </c>
      <c r="E2338" s="1" t="s">
        <v>21</v>
      </c>
      <c r="F2338" s="1" t="s">
        <v>8151</v>
      </c>
      <c r="G2338" s="6">
        <f>COUNTIF(F:F,Table2[[#This Row],[Form '#]])</f>
        <v>1</v>
      </c>
      <c r="H2338" s="1" t="s">
        <v>8152</v>
      </c>
      <c r="I2338" s="1" t="s">
        <v>3852</v>
      </c>
      <c r="J2338" s="1" t="s">
        <v>80</v>
      </c>
      <c r="K2338" s="1" t="s">
        <v>3853</v>
      </c>
      <c r="L2338" s="1"/>
      <c r="M2338" s="6" t="str">
        <f>IF(Table2[[#This Row],[Corrected Form '#
 (If Duplicated)]]="",Table2[[#This Row],[Form '#]],Table2[[#This Row],[Corrected Form '#
 (If Duplicated)]])</f>
        <v>7818-28526</v>
      </c>
      <c r="N2338" s="1" t="s">
        <v>49</v>
      </c>
      <c r="O2338" s="6" t="str">
        <f>IF(Table2[[#This Row],[POG CONFIRMATION RECEIPT OF ORDER
(DATE &amp; TIME)]]="","No Confirmation","Received Confirmation")</f>
        <v>Received Confirmation</v>
      </c>
      <c r="P2338" s="6">
        <f ca="1">TODAY()-Table2[[#This Row],[DATE SENT TO POG]]</f>
        <v>16</v>
      </c>
      <c r="Q2338" s="6" t="s">
        <v>5802</v>
      </c>
      <c r="R233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8" s="6" t="str">
        <f>_xlfn.XLOOKUP(Table2[[#This Row],[Adjusted Form '#]],'[2]IN PROGRESS'!$D:$D,'[2]IN PROGRESS'!$M:$M,"Not Found")</f>
        <v>Not Found</v>
      </c>
      <c r="U2338" s="6" t="str">
        <f>_xlfn.XLOOKUP(Table2[[#This Row],[Adjusted Form '#]],[1]COMPLETED!$D:$D,[2]COMPLETED!$M:$M,"Not Found")</f>
        <v>Not Found</v>
      </c>
      <c r="V2338" s="13" t="e">
        <f>_xlfn.XLOOKUP(Table2[[#This Row],[Adjusted Form '#]],[2]COMPLETED!$D:$D,[2]COMPLETED!$O:$O,"Not Found")</f>
        <v>#N/A</v>
      </c>
      <c r="W2338" s="6" t="str">
        <f>_xlfn.XLOOKUP(Table2[[#This Row],[Adjusted Form '#]],[2]BILLED!$D:$D,[2]BILLED!$M:$M,"Not Found")</f>
        <v>Not Found</v>
      </c>
      <c r="X2338" s="13" t="str">
        <f>_xlfn.XLOOKUP(Table2[[#This Row],[Adjusted Form '#]],[2]BILLED!$D:$D,[1]BILLED!$O:$O,"Not Found")</f>
        <v>Not Found</v>
      </c>
      <c r="Y2338" s="13" t="e">
        <f>_xlfn.XLOOKUP(Table2[[#This Row],[Adjusted Form '#]],'[2]REJECTED ORDERS'!$D:$D,'[2]REJECTED ORDERS'!$E:$E)</f>
        <v>#N/A</v>
      </c>
      <c r="Z2338" s="1"/>
      <c r="AA2338" s="1"/>
    </row>
    <row r="2339" spans="1:27" ht="15" customHeight="1" x14ac:dyDescent="0.35">
      <c r="A2339" s="4" t="s">
        <v>3388</v>
      </c>
      <c r="B2339" s="1" t="s">
        <v>2416</v>
      </c>
      <c r="C2339" s="11">
        <v>45287</v>
      </c>
      <c r="D2339" s="11" t="s">
        <v>8158</v>
      </c>
      <c r="E2339" s="1" t="s">
        <v>21</v>
      </c>
      <c r="F2339" s="1" t="s">
        <v>8153</v>
      </c>
      <c r="G2339" s="6">
        <f>COUNTIF(F:F,Table2[[#This Row],[Form '#]])</f>
        <v>1</v>
      </c>
      <c r="H2339" s="1" t="s">
        <v>2185</v>
      </c>
      <c r="I2339" s="1" t="s">
        <v>127</v>
      </c>
      <c r="J2339" s="1" t="s">
        <v>76</v>
      </c>
      <c r="K2339" s="1" t="s">
        <v>3883</v>
      </c>
      <c r="L2339" s="1"/>
      <c r="M2339" s="6" t="str">
        <f>IF(Table2[[#This Row],[Corrected Form '#
 (If Duplicated)]]="",Table2[[#This Row],[Form '#]],Table2[[#This Row],[Corrected Form '#
 (If Duplicated)]])</f>
        <v>7818-25731</v>
      </c>
      <c r="N2339" s="1" t="s">
        <v>49</v>
      </c>
      <c r="O2339" s="6" t="str">
        <f>IF(Table2[[#This Row],[POG CONFIRMATION RECEIPT OF ORDER
(DATE &amp; TIME)]]="","No Confirmation","Received Confirmation")</f>
        <v>Received Confirmation</v>
      </c>
      <c r="P2339" s="6">
        <f ca="1">TODAY()-Table2[[#This Row],[DATE SENT TO POG]]</f>
        <v>16</v>
      </c>
      <c r="Q2339" s="6" t="s">
        <v>5802</v>
      </c>
      <c r="R233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3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39" s="6" t="str">
        <f>_xlfn.XLOOKUP(Table2[[#This Row],[Adjusted Form '#]],'[2]IN PROGRESS'!$D:$D,'[2]IN PROGRESS'!$M:$M,"Not Found")</f>
        <v>Not Found</v>
      </c>
      <c r="U2339" s="6" t="str">
        <f>_xlfn.XLOOKUP(Table2[[#This Row],[Adjusted Form '#]],[1]COMPLETED!$D:$D,[2]COMPLETED!$M:$M,"Not Found")</f>
        <v>Not Found</v>
      </c>
      <c r="V2339" s="13" t="e">
        <f>_xlfn.XLOOKUP(Table2[[#This Row],[Adjusted Form '#]],[2]COMPLETED!$D:$D,[2]COMPLETED!$O:$O,"Not Found")</f>
        <v>#N/A</v>
      </c>
      <c r="W2339" s="6" t="str">
        <f>_xlfn.XLOOKUP(Table2[[#This Row],[Adjusted Form '#]],[2]BILLED!$D:$D,[2]BILLED!$M:$M,"Not Found")</f>
        <v>Not Found</v>
      </c>
      <c r="X2339" s="13" t="str">
        <f>_xlfn.XLOOKUP(Table2[[#This Row],[Adjusted Form '#]],[2]BILLED!$D:$D,[1]BILLED!$O:$O,"Not Found")</f>
        <v>Not Found</v>
      </c>
      <c r="Y2339" s="13" t="e">
        <f>_xlfn.XLOOKUP(Table2[[#This Row],[Adjusted Form '#]],'[2]REJECTED ORDERS'!$D:$D,'[2]REJECTED ORDERS'!$E:$E)</f>
        <v>#N/A</v>
      </c>
      <c r="Z2339" s="1"/>
      <c r="AA2339" s="1"/>
    </row>
    <row r="2340" spans="1:27" ht="15" customHeight="1" x14ac:dyDescent="0.35">
      <c r="A2340" s="4" t="s">
        <v>3390</v>
      </c>
      <c r="B2340" s="1" t="s">
        <v>2416</v>
      </c>
      <c r="C2340" s="11">
        <v>45287</v>
      </c>
      <c r="D2340" s="11" t="s">
        <v>8158</v>
      </c>
      <c r="E2340" s="1" t="s">
        <v>21</v>
      </c>
      <c r="F2340" s="1" t="s">
        <v>8154</v>
      </c>
      <c r="G2340" s="6">
        <f>COUNTIF(F:F,Table2[[#This Row],[Form '#]])</f>
        <v>1</v>
      </c>
      <c r="H2340" s="1" t="s">
        <v>3011</v>
      </c>
      <c r="I2340" s="1" t="s">
        <v>177</v>
      </c>
      <c r="J2340" s="1" t="s">
        <v>75</v>
      </c>
      <c r="K2340" s="1" t="s">
        <v>3853</v>
      </c>
      <c r="L2340" s="1"/>
      <c r="M2340" s="6" t="str">
        <f>IF(Table2[[#This Row],[Corrected Form '#
 (If Duplicated)]]="",Table2[[#This Row],[Form '#]],Table2[[#This Row],[Corrected Form '#
 (If Duplicated)]])</f>
        <v>7818-34010</v>
      </c>
      <c r="N2340" s="1" t="s">
        <v>49</v>
      </c>
      <c r="O2340" s="6" t="str">
        <f>IF(Table2[[#This Row],[POG CONFIRMATION RECEIPT OF ORDER
(DATE &amp; TIME)]]="","No Confirmation","Received Confirmation")</f>
        <v>Received Confirmation</v>
      </c>
      <c r="P2340" s="6">
        <f ca="1">TODAY()-Table2[[#This Row],[DATE SENT TO POG]]</f>
        <v>16</v>
      </c>
      <c r="Q2340" s="6" t="s">
        <v>5802</v>
      </c>
      <c r="R234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0" s="6" t="str">
        <f>_xlfn.XLOOKUP(Table2[[#This Row],[Adjusted Form '#]],'[2]IN PROGRESS'!$D:$D,'[2]IN PROGRESS'!$M:$M,"Not Found")</f>
        <v>Not Found</v>
      </c>
      <c r="U2340" s="6" t="str">
        <f>_xlfn.XLOOKUP(Table2[[#This Row],[Adjusted Form '#]],[1]COMPLETED!$D:$D,[2]COMPLETED!$M:$M,"Not Found")</f>
        <v>Not Found</v>
      </c>
      <c r="V2340" s="13" t="e">
        <f>_xlfn.XLOOKUP(Table2[[#This Row],[Adjusted Form '#]],[2]COMPLETED!$D:$D,[2]COMPLETED!$O:$O,"Not Found")</f>
        <v>#N/A</v>
      </c>
      <c r="W2340" s="6" t="str">
        <f>_xlfn.XLOOKUP(Table2[[#This Row],[Adjusted Form '#]],[2]BILLED!$D:$D,[2]BILLED!$M:$M,"Not Found")</f>
        <v>Not Found</v>
      </c>
      <c r="X2340" s="13" t="str">
        <f>_xlfn.XLOOKUP(Table2[[#This Row],[Adjusted Form '#]],[2]BILLED!$D:$D,[1]BILLED!$O:$O,"Not Found")</f>
        <v>Not Found</v>
      </c>
      <c r="Y2340" s="13" t="e">
        <f>_xlfn.XLOOKUP(Table2[[#This Row],[Adjusted Form '#]],'[2]REJECTED ORDERS'!$D:$D,'[2]REJECTED ORDERS'!$E:$E)</f>
        <v>#N/A</v>
      </c>
      <c r="Z2340" s="1"/>
      <c r="AA2340" s="1"/>
    </row>
    <row r="2341" spans="1:27" ht="15" customHeight="1" x14ac:dyDescent="0.35">
      <c r="A2341" s="4" t="s">
        <v>3391</v>
      </c>
      <c r="B2341" s="1" t="s">
        <v>2416</v>
      </c>
      <c r="C2341" s="11">
        <v>45287</v>
      </c>
      <c r="D2341" s="11" t="s">
        <v>8158</v>
      </c>
      <c r="E2341" s="1" t="s">
        <v>21</v>
      </c>
      <c r="F2341" s="1" t="s">
        <v>8155</v>
      </c>
      <c r="G2341" s="6">
        <f>COUNTIF(F:F,Table2[[#This Row],[Form '#]])</f>
        <v>1</v>
      </c>
      <c r="H2341" s="1" t="s">
        <v>1799</v>
      </c>
      <c r="I2341" s="1" t="s">
        <v>177</v>
      </c>
      <c r="J2341" s="1" t="s">
        <v>75</v>
      </c>
      <c r="K2341" s="1" t="s">
        <v>3853</v>
      </c>
      <c r="L2341" s="1"/>
      <c r="M2341" s="6" t="str">
        <f>IF(Table2[[#This Row],[Corrected Form '#
 (If Duplicated)]]="",Table2[[#This Row],[Form '#]],Table2[[#This Row],[Corrected Form '#
 (If Duplicated)]])</f>
        <v>7818-33220</v>
      </c>
      <c r="N2341" s="1" t="s">
        <v>49</v>
      </c>
      <c r="O2341" s="6" t="str">
        <f>IF(Table2[[#This Row],[POG CONFIRMATION RECEIPT OF ORDER
(DATE &amp; TIME)]]="","No Confirmation","Received Confirmation")</f>
        <v>Received Confirmation</v>
      </c>
      <c r="P2341" s="6">
        <f ca="1">TODAY()-Table2[[#This Row],[DATE SENT TO POG]]</f>
        <v>16</v>
      </c>
      <c r="Q2341" s="6" t="s">
        <v>5802</v>
      </c>
      <c r="R234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1" s="6" t="str">
        <f>_xlfn.XLOOKUP(Table2[[#This Row],[Adjusted Form '#]],'[2]IN PROGRESS'!$D:$D,'[2]IN PROGRESS'!$M:$M,"Not Found")</f>
        <v>Not Found</v>
      </c>
      <c r="U2341" s="6" t="str">
        <f>_xlfn.XLOOKUP(Table2[[#This Row],[Adjusted Form '#]],[1]COMPLETED!$D:$D,[2]COMPLETED!$M:$M,"Not Found")</f>
        <v>Not Found</v>
      </c>
      <c r="V2341" s="13" t="e">
        <f>_xlfn.XLOOKUP(Table2[[#This Row],[Adjusted Form '#]],[2]COMPLETED!$D:$D,[2]COMPLETED!$O:$O,"Not Found")</f>
        <v>#N/A</v>
      </c>
      <c r="W2341" s="6" t="str">
        <f>_xlfn.XLOOKUP(Table2[[#This Row],[Adjusted Form '#]],[2]BILLED!$D:$D,[2]BILLED!$M:$M,"Not Found")</f>
        <v>Not Found</v>
      </c>
      <c r="X2341" s="13" t="str">
        <f>_xlfn.XLOOKUP(Table2[[#This Row],[Adjusted Form '#]],[2]BILLED!$D:$D,[1]BILLED!$O:$O,"Not Found")</f>
        <v>Not Found</v>
      </c>
      <c r="Y2341" s="13" t="e">
        <f>_xlfn.XLOOKUP(Table2[[#This Row],[Adjusted Form '#]],'[2]REJECTED ORDERS'!$D:$D,'[2]REJECTED ORDERS'!$E:$E)</f>
        <v>#N/A</v>
      </c>
      <c r="Z2341" s="1"/>
      <c r="AA2341" s="1"/>
    </row>
    <row r="2342" spans="1:27" ht="15" customHeight="1" x14ac:dyDescent="0.35">
      <c r="A2342" s="4" t="s">
        <v>3392</v>
      </c>
      <c r="B2342" s="1" t="s">
        <v>2416</v>
      </c>
      <c r="C2342" s="11">
        <v>45287</v>
      </c>
      <c r="D2342" s="11" t="s">
        <v>8158</v>
      </c>
      <c r="E2342" s="1" t="s">
        <v>21</v>
      </c>
      <c r="F2342" s="1" t="s">
        <v>8156</v>
      </c>
      <c r="G2342" s="6">
        <f>COUNTIF(F:F,Table2[[#This Row],[Form '#]])</f>
        <v>1</v>
      </c>
      <c r="H2342" s="1" t="s">
        <v>8157</v>
      </c>
      <c r="I2342" s="1" t="s">
        <v>3852</v>
      </c>
      <c r="J2342" s="1" t="s">
        <v>80</v>
      </c>
      <c r="K2342" s="1" t="s">
        <v>3853</v>
      </c>
      <c r="L2342" s="1"/>
      <c r="M2342" s="6" t="str">
        <f>IF(Table2[[#This Row],[Corrected Form '#
 (If Duplicated)]]="",Table2[[#This Row],[Form '#]],Table2[[#This Row],[Corrected Form '#
 (If Duplicated)]])</f>
        <v>7818-33389</v>
      </c>
      <c r="N2342" s="1" t="s">
        <v>49</v>
      </c>
      <c r="O2342" s="6" t="str">
        <f>IF(Table2[[#This Row],[POG CONFIRMATION RECEIPT OF ORDER
(DATE &amp; TIME)]]="","No Confirmation","Received Confirmation")</f>
        <v>Received Confirmation</v>
      </c>
      <c r="P2342" s="6">
        <f ca="1">TODAY()-Table2[[#This Row],[DATE SENT TO POG]]</f>
        <v>16</v>
      </c>
      <c r="Q2342" s="6" t="s">
        <v>5802</v>
      </c>
      <c r="R234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2" s="6" t="str">
        <f>_xlfn.XLOOKUP(Table2[[#This Row],[Adjusted Form '#]],'[2]IN PROGRESS'!$D:$D,'[2]IN PROGRESS'!$M:$M,"Not Found")</f>
        <v>Not Found</v>
      </c>
      <c r="U2342" s="6" t="str">
        <f>_xlfn.XLOOKUP(Table2[[#This Row],[Adjusted Form '#]],[1]COMPLETED!$D:$D,[2]COMPLETED!$M:$M,"Not Found")</f>
        <v>Not Found</v>
      </c>
      <c r="V2342" s="13" t="e">
        <f>_xlfn.XLOOKUP(Table2[[#This Row],[Adjusted Form '#]],[2]COMPLETED!$D:$D,[2]COMPLETED!$O:$O,"Not Found")</f>
        <v>#N/A</v>
      </c>
      <c r="W2342" s="6" t="str">
        <f>_xlfn.XLOOKUP(Table2[[#This Row],[Adjusted Form '#]],[2]BILLED!$D:$D,[2]BILLED!$M:$M,"Not Found")</f>
        <v>Not Found</v>
      </c>
      <c r="X2342" s="13" t="str">
        <f>_xlfn.XLOOKUP(Table2[[#This Row],[Adjusted Form '#]],[2]BILLED!$D:$D,[1]BILLED!$O:$O,"Not Found")</f>
        <v>Not Found</v>
      </c>
      <c r="Y2342" s="13" t="e">
        <f>_xlfn.XLOOKUP(Table2[[#This Row],[Adjusted Form '#]],'[2]REJECTED ORDERS'!$D:$D,'[2]REJECTED ORDERS'!$E:$E)</f>
        <v>#N/A</v>
      </c>
      <c r="Z2342" s="1"/>
      <c r="AA2342" s="1"/>
    </row>
    <row r="2343" spans="1:27" ht="15" customHeight="1" x14ac:dyDescent="0.35">
      <c r="A2343" s="4" t="s">
        <v>3394</v>
      </c>
      <c r="B2343" s="1" t="s">
        <v>1242</v>
      </c>
      <c r="C2343" s="11">
        <v>45287</v>
      </c>
      <c r="E2343" s="1" t="s">
        <v>21</v>
      </c>
      <c r="F2343" s="1" t="s">
        <v>8159</v>
      </c>
      <c r="G2343" s="6">
        <f>COUNTIF(F:F,Table2[[#This Row],[Form '#]])</f>
        <v>1</v>
      </c>
      <c r="H2343" s="1" t="s">
        <v>8160</v>
      </c>
      <c r="I2343" s="1" t="s">
        <v>3864</v>
      </c>
      <c r="J2343" s="1" t="s">
        <v>78</v>
      </c>
      <c r="K2343" s="1" t="s">
        <v>3879</v>
      </c>
      <c r="L2343" s="1"/>
      <c r="M2343" s="6" t="str">
        <f>IF(Table2[[#This Row],[Corrected Form '#
 (If Duplicated)]]="",Table2[[#This Row],[Form '#]],Table2[[#This Row],[Corrected Form '#
 (If Duplicated)]])</f>
        <v>7818-06565</v>
      </c>
      <c r="N2343" s="1" t="s">
        <v>49</v>
      </c>
      <c r="O2343" s="6" t="str">
        <f>IF(Table2[[#This Row],[POG CONFIRMATION RECEIPT OF ORDER
(DATE &amp; TIME)]]="","No Confirmation","Received Confirmation")</f>
        <v>No Confirmation</v>
      </c>
      <c r="P2343" s="6">
        <f ca="1">TODAY()-Table2[[#This Row],[DATE SENT TO POG]]</f>
        <v>16</v>
      </c>
      <c r="Q2343" s="6" t="s">
        <v>5802</v>
      </c>
      <c r="R234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3" s="6" t="str">
        <f>_xlfn.XLOOKUP(Table2[[#This Row],[Adjusted Form '#]],'[2]IN PROGRESS'!$D:$D,'[2]IN PROGRESS'!$M:$M,"Not Found")</f>
        <v>Not Found</v>
      </c>
      <c r="U2343" s="6" t="str">
        <f>_xlfn.XLOOKUP(Table2[[#This Row],[Adjusted Form '#]],[1]COMPLETED!$D:$D,[2]COMPLETED!$M:$M,"Not Found")</f>
        <v>Not Found</v>
      </c>
      <c r="V2343" s="13" t="str">
        <f>_xlfn.XLOOKUP(Table2[[#This Row],[Adjusted Form '#]],[2]COMPLETED!$D:$D,[2]COMPLETED!$O:$O,"Not Found")</f>
        <v>Not Found</v>
      </c>
      <c r="W2343" s="6" t="str">
        <f>_xlfn.XLOOKUP(Table2[[#This Row],[Adjusted Form '#]],[2]BILLED!$D:$D,[2]BILLED!$M:$M,"Not Found")</f>
        <v>Not Found</v>
      </c>
      <c r="X2343" s="13" t="str">
        <f>_xlfn.XLOOKUP(Table2[[#This Row],[Adjusted Form '#]],[2]BILLED!$D:$D,[1]BILLED!$O:$O,"Not Found")</f>
        <v>Not Found</v>
      </c>
      <c r="Y2343" s="13" t="e">
        <f>_xlfn.XLOOKUP(Table2[[#This Row],[Adjusted Form '#]],'[2]REJECTED ORDERS'!$D:$D,'[2]REJECTED ORDERS'!$E:$E)</f>
        <v>#N/A</v>
      </c>
      <c r="Z2343" s="1"/>
      <c r="AA2343" s="1"/>
    </row>
    <row r="2344" spans="1:27" ht="15" customHeight="1" x14ac:dyDescent="0.35">
      <c r="A2344" s="4" t="s">
        <v>3396</v>
      </c>
      <c r="B2344" s="1" t="s">
        <v>1242</v>
      </c>
      <c r="C2344" s="11">
        <v>45287</v>
      </c>
      <c r="E2344" s="1" t="s">
        <v>21</v>
      </c>
      <c r="F2344" s="1" t="s">
        <v>8161</v>
      </c>
      <c r="G2344" s="6">
        <f>COUNTIF(F:F,Table2[[#This Row],[Form '#]])</f>
        <v>1</v>
      </c>
      <c r="H2344" s="1" t="s">
        <v>8162</v>
      </c>
      <c r="I2344" s="1" t="s">
        <v>127</v>
      </c>
      <c r="J2344" s="1" t="s">
        <v>76</v>
      </c>
      <c r="K2344" s="1" t="s">
        <v>3883</v>
      </c>
      <c r="L2344" s="1"/>
      <c r="M2344" s="6" t="str">
        <f>IF(Table2[[#This Row],[Corrected Form '#
 (If Duplicated)]]="",Table2[[#This Row],[Form '#]],Table2[[#This Row],[Corrected Form '#
 (If Duplicated)]])</f>
        <v>7818-04476</v>
      </c>
      <c r="N2344" s="1" t="s">
        <v>49</v>
      </c>
      <c r="O2344" s="6" t="str">
        <f>IF(Table2[[#This Row],[POG CONFIRMATION RECEIPT OF ORDER
(DATE &amp; TIME)]]="","No Confirmation","Received Confirmation")</f>
        <v>No Confirmation</v>
      </c>
      <c r="P2344" s="6">
        <f ca="1">TODAY()-Table2[[#This Row],[DATE SENT TO POG]]</f>
        <v>16</v>
      </c>
      <c r="Q2344" s="6" t="s">
        <v>5802</v>
      </c>
      <c r="R234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4" s="6" t="str">
        <f>_xlfn.XLOOKUP(Table2[[#This Row],[Adjusted Form '#]],'[2]IN PROGRESS'!$D:$D,'[2]IN PROGRESS'!$M:$M,"Not Found")</f>
        <v>Not Found</v>
      </c>
      <c r="U2344" s="6" t="str">
        <f>_xlfn.XLOOKUP(Table2[[#This Row],[Adjusted Form '#]],[1]COMPLETED!$D:$D,[2]COMPLETED!$M:$M,"Not Found")</f>
        <v>Not Found</v>
      </c>
      <c r="V2344" s="13" t="str">
        <f>_xlfn.XLOOKUP(Table2[[#This Row],[Adjusted Form '#]],[2]COMPLETED!$D:$D,[2]COMPLETED!$O:$O,"Not Found")</f>
        <v>Not Found</v>
      </c>
      <c r="W2344" s="6" t="str">
        <f>_xlfn.XLOOKUP(Table2[[#This Row],[Adjusted Form '#]],[2]BILLED!$D:$D,[2]BILLED!$M:$M,"Not Found")</f>
        <v>Not Found</v>
      </c>
      <c r="X2344" s="13" t="str">
        <f>_xlfn.XLOOKUP(Table2[[#This Row],[Adjusted Form '#]],[2]BILLED!$D:$D,[1]BILLED!$O:$O,"Not Found")</f>
        <v>Not Found</v>
      </c>
      <c r="Y2344" s="13" t="e">
        <f>_xlfn.XLOOKUP(Table2[[#This Row],[Adjusted Form '#]],'[2]REJECTED ORDERS'!$D:$D,'[2]REJECTED ORDERS'!$E:$E)</f>
        <v>#N/A</v>
      </c>
      <c r="Z2344" s="1"/>
      <c r="AA2344" s="1"/>
    </row>
    <row r="2345" spans="1:27" ht="15" customHeight="1" x14ac:dyDescent="0.35">
      <c r="A2345" s="4" t="s">
        <v>3398</v>
      </c>
      <c r="B2345" s="1" t="s">
        <v>1242</v>
      </c>
      <c r="C2345" s="11">
        <v>45287</v>
      </c>
      <c r="E2345" s="1" t="s">
        <v>21</v>
      </c>
      <c r="F2345" s="1" t="s">
        <v>8163</v>
      </c>
      <c r="G2345" s="6">
        <f>COUNTIF(F:F,Table2[[#This Row],[Form '#]])</f>
        <v>1</v>
      </c>
      <c r="H2345" s="1" t="s">
        <v>2105</v>
      </c>
      <c r="I2345" s="1" t="s">
        <v>295</v>
      </c>
      <c r="J2345" s="1" t="s">
        <v>78</v>
      </c>
      <c r="K2345" s="1" t="s">
        <v>3853</v>
      </c>
      <c r="L2345" s="1"/>
      <c r="M2345" s="6" t="str">
        <f>IF(Table2[[#This Row],[Corrected Form '#
 (If Duplicated)]]="",Table2[[#This Row],[Form '#]],Table2[[#This Row],[Corrected Form '#
 (If Duplicated)]])</f>
        <v>7818-25784</v>
      </c>
      <c r="N2345" s="1" t="s">
        <v>49</v>
      </c>
      <c r="O2345" s="6" t="str">
        <f>IF(Table2[[#This Row],[POG CONFIRMATION RECEIPT OF ORDER
(DATE &amp; TIME)]]="","No Confirmation","Received Confirmation")</f>
        <v>No Confirmation</v>
      </c>
      <c r="P2345" s="6">
        <f ca="1">TODAY()-Table2[[#This Row],[DATE SENT TO POG]]</f>
        <v>16</v>
      </c>
      <c r="Q2345" s="6" t="s">
        <v>5802</v>
      </c>
      <c r="R234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5" s="6" t="str">
        <f>_xlfn.XLOOKUP(Table2[[#This Row],[Adjusted Form '#]],'[2]IN PROGRESS'!$D:$D,'[2]IN PROGRESS'!$M:$M,"Not Found")</f>
        <v>Not Found</v>
      </c>
      <c r="U2345" s="6" t="str">
        <f>_xlfn.XLOOKUP(Table2[[#This Row],[Adjusted Form '#]],[1]COMPLETED!$D:$D,[2]COMPLETED!$M:$M,"Not Found")</f>
        <v>Not Found</v>
      </c>
      <c r="V2345" s="13" t="str">
        <f>_xlfn.XLOOKUP(Table2[[#This Row],[Adjusted Form '#]],[2]COMPLETED!$D:$D,[2]COMPLETED!$O:$O,"Not Found")</f>
        <v>Not Found</v>
      </c>
      <c r="W2345" s="6" t="str">
        <f>_xlfn.XLOOKUP(Table2[[#This Row],[Adjusted Form '#]],[2]BILLED!$D:$D,[2]BILLED!$M:$M,"Not Found")</f>
        <v>Not Found</v>
      </c>
      <c r="X2345" s="13" t="str">
        <f>_xlfn.XLOOKUP(Table2[[#This Row],[Adjusted Form '#]],[2]BILLED!$D:$D,[1]BILLED!$O:$O,"Not Found")</f>
        <v>Not Found</v>
      </c>
      <c r="Y2345" s="13" t="e">
        <f>_xlfn.XLOOKUP(Table2[[#This Row],[Adjusted Form '#]],'[2]REJECTED ORDERS'!$D:$D,'[2]REJECTED ORDERS'!$E:$E)</f>
        <v>#N/A</v>
      </c>
      <c r="Z2345" s="1"/>
      <c r="AA2345" s="1"/>
    </row>
    <row r="2346" spans="1:27" ht="15" customHeight="1" x14ac:dyDescent="0.35">
      <c r="A2346" s="4" t="s">
        <v>3399</v>
      </c>
      <c r="B2346" s="1" t="s">
        <v>8164</v>
      </c>
      <c r="C2346" s="11">
        <v>45287</v>
      </c>
      <c r="E2346" s="1" t="s">
        <v>21</v>
      </c>
      <c r="F2346" s="1" t="s">
        <v>8165</v>
      </c>
      <c r="G2346" s="6">
        <f>COUNTIF(F:F,Table2[[#This Row],[Form '#]])</f>
        <v>1</v>
      </c>
      <c r="H2346" s="1" t="s">
        <v>3769</v>
      </c>
      <c r="I2346" s="1" t="s">
        <v>127</v>
      </c>
      <c r="J2346" s="1" t="s">
        <v>74</v>
      </c>
      <c r="K2346" s="1" t="s">
        <v>4011</v>
      </c>
      <c r="L2346" s="1"/>
      <c r="M2346" s="6" t="str">
        <f>IF(Table2[[#This Row],[Corrected Form '#
 (If Duplicated)]]="",Table2[[#This Row],[Form '#]],Table2[[#This Row],[Corrected Form '#
 (If Duplicated)]])</f>
        <v>7818-29871</v>
      </c>
      <c r="N2346" s="1" t="s">
        <v>49</v>
      </c>
      <c r="O2346" s="6" t="str">
        <f>IF(Table2[[#This Row],[POG CONFIRMATION RECEIPT OF ORDER
(DATE &amp; TIME)]]="","No Confirmation","Received Confirmation")</f>
        <v>No Confirmation</v>
      </c>
      <c r="P2346" s="6">
        <f ca="1">TODAY()-Table2[[#This Row],[DATE SENT TO POG]]</f>
        <v>16</v>
      </c>
      <c r="Q2346" s="6" t="s">
        <v>5802</v>
      </c>
      <c r="R234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6" s="6" t="str">
        <f>_xlfn.XLOOKUP(Table2[[#This Row],[Adjusted Form '#]],'[2]IN PROGRESS'!$D:$D,'[2]IN PROGRESS'!$M:$M,"Not Found")</f>
        <v>Not Found</v>
      </c>
      <c r="U2346" s="6" t="str">
        <f>_xlfn.XLOOKUP(Table2[[#This Row],[Adjusted Form '#]],[1]COMPLETED!$D:$D,[2]COMPLETED!$M:$M,"Not Found")</f>
        <v>Not Found</v>
      </c>
      <c r="V2346" s="13" t="str">
        <f>_xlfn.XLOOKUP(Table2[[#This Row],[Adjusted Form '#]],[2]COMPLETED!$D:$D,[2]COMPLETED!$O:$O,"Not Found")</f>
        <v>Not Found</v>
      </c>
      <c r="W2346" s="6" t="str">
        <f>_xlfn.XLOOKUP(Table2[[#This Row],[Adjusted Form '#]],[2]BILLED!$D:$D,[2]BILLED!$M:$M,"Not Found")</f>
        <v>Not Found</v>
      </c>
      <c r="X2346" s="13" t="str">
        <f>_xlfn.XLOOKUP(Table2[[#This Row],[Adjusted Form '#]],[2]BILLED!$D:$D,[1]BILLED!$O:$O,"Not Found")</f>
        <v>Not Found</v>
      </c>
      <c r="Y2346" s="13" t="e">
        <f>_xlfn.XLOOKUP(Table2[[#This Row],[Adjusted Form '#]],'[2]REJECTED ORDERS'!$D:$D,'[2]REJECTED ORDERS'!$E:$E)</f>
        <v>#N/A</v>
      </c>
      <c r="Z2346" s="1"/>
      <c r="AA2346" s="1"/>
    </row>
    <row r="2347" spans="1:27" ht="15" customHeight="1" x14ac:dyDescent="0.35">
      <c r="A2347" s="4" t="s">
        <v>3400</v>
      </c>
      <c r="B2347" s="1" t="s">
        <v>2353</v>
      </c>
      <c r="C2347" s="11">
        <v>45288</v>
      </c>
      <c r="D2347" s="11" t="s">
        <v>8187</v>
      </c>
      <c r="E2347" s="1" t="s">
        <v>14</v>
      </c>
      <c r="F2347" s="1" t="s">
        <v>8166</v>
      </c>
      <c r="G2347" s="6">
        <f>COUNTIF(F:F,Table2[[#This Row],[Form '#]])</f>
        <v>1</v>
      </c>
      <c r="H2347" s="1" t="s">
        <v>3504</v>
      </c>
      <c r="I2347" s="1" t="s">
        <v>3864</v>
      </c>
      <c r="J2347" s="1" t="s">
        <v>78</v>
      </c>
      <c r="K2347" s="1" t="s">
        <v>3879</v>
      </c>
      <c r="L2347" s="1"/>
      <c r="M2347" s="6" t="str">
        <f>IF(Table2[[#This Row],[Corrected Form '#
 (If Duplicated)]]="",Table2[[#This Row],[Form '#]],Table2[[#This Row],[Corrected Form '#
 (If Duplicated)]])</f>
        <v>7810-01944</v>
      </c>
      <c r="N2347" s="1" t="s">
        <v>49</v>
      </c>
      <c r="O2347" s="6" t="str">
        <f>IF(Table2[[#This Row],[POG CONFIRMATION RECEIPT OF ORDER
(DATE &amp; TIME)]]="","No Confirmation","Received Confirmation")</f>
        <v>Received Confirmation</v>
      </c>
      <c r="P2347" s="6">
        <f ca="1">TODAY()-Table2[[#This Row],[DATE SENT TO POG]]</f>
        <v>15</v>
      </c>
      <c r="Q2347" s="6" t="s">
        <v>5802</v>
      </c>
      <c r="R234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7" s="6" t="str">
        <f>_xlfn.XLOOKUP(Table2[[#This Row],[Adjusted Form '#]],'[2]IN PROGRESS'!$D:$D,'[2]IN PROGRESS'!$M:$M,"Not Found")</f>
        <v>Not Found</v>
      </c>
      <c r="U2347" s="6" t="str">
        <f>_xlfn.XLOOKUP(Table2[[#This Row],[Adjusted Form '#]],[1]COMPLETED!$D:$D,[2]COMPLETED!$M:$M,"Not Found")</f>
        <v>Not Found</v>
      </c>
      <c r="V2347" s="13" t="e">
        <f>_xlfn.XLOOKUP(Table2[[#This Row],[Adjusted Form '#]],[2]COMPLETED!$D:$D,[2]COMPLETED!$O:$O,"Not Found")</f>
        <v>#N/A</v>
      </c>
      <c r="W2347" s="6" t="str">
        <f>_xlfn.XLOOKUP(Table2[[#This Row],[Adjusted Form '#]],[2]BILLED!$D:$D,[2]BILLED!$M:$M,"Not Found")</f>
        <v>Not Found</v>
      </c>
      <c r="X2347" s="13" t="str">
        <f>_xlfn.XLOOKUP(Table2[[#This Row],[Adjusted Form '#]],[2]BILLED!$D:$D,[1]BILLED!$O:$O,"Not Found")</f>
        <v>Not Found</v>
      </c>
      <c r="Y2347" s="13" t="e">
        <f>_xlfn.XLOOKUP(Table2[[#This Row],[Adjusted Form '#]],'[2]REJECTED ORDERS'!$D:$D,'[2]REJECTED ORDERS'!$E:$E)</f>
        <v>#N/A</v>
      </c>
      <c r="Z2347" s="1"/>
      <c r="AA2347" s="1"/>
    </row>
    <row r="2348" spans="1:27" ht="15" customHeight="1" x14ac:dyDescent="0.35">
      <c r="A2348" s="4" t="s">
        <v>3401</v>
      </c>
      <c r="B2348" s="1" t="s">
        <v>2353</v>
      </c>
      <c r="C2348" s="11">
        <v>45288</v>
      </c>
      <c r="D2348" s="11" t="s">
        <v>8187</v>
      </c>
      <c r="E2348" s="1" t="s">
        <v>14</v>
      </c>
      <c r="F2348" s="1" t="s">
        <v>8167</v>
      </c>
      <c r="G2348" s="6">
        <f>COUNTIF(F:F,Table2[[#This Row],[Form '#]])</f>
        <v>1</v>
      </c>
      <c r="H2348" s="1" t="s">
        <v>1635</v>
      </c>
      <c r="I2348" s="1" t="s">
        <v>758</v>
      </c>
      <c r="J2348" s="1" t="s">
        <v>78</v>
      </c>
      <c r="K2348" s="1" t="s">
        <v>3853</v>
      </c>
      <c r="L2348" s="1"/>
      <c r="M2348" s="6" t="str">
        <f>IF(Table2[[#This Row],[Corrected Form '#
 (If Duplicated)]]="",Table2[[#This Row],[Form '#]],Table2[[#This Row],[Corrected Form '#
 (If Duplicated)]])</f>
        <v>7810-03065</v>
      </c>
      <c r="N2348" s="1" t="s">
        <v>49</v>
      </c>
      <c r="O2348" s="6" t="str">
        <f>IF(Table2[[#This Row],[POG CONFIRMATION RECEIPT OF ORDER
(DATE &amp; TIME)]]="","No Confirmation","Received Confirmation")</f>
        <v>Received Confirmation</v>
      </c>
      <c r="P2348" s="6">
        <f ca="1">TODAY()-Table2[[#This Row],[DATE SENT TO POG]]</f>
        <v>15</v>
      </c>
      <c r="Q2348" s="6" t="s">
        <v>5802</v>
      </c>
      <c r="R234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8" s="6" t="str">
        <f>_xlfn.XLOOKUP(Table2[[#This Row],[Adjusted Form '#]],'[2]IN PROGRESS'!$D:$D,'[2]IN PROGRESS'!$M:$M,"Not Found")</f>
        <v>Not Found</v>
      </c>
      <c r="U2348" s="6" t="str">
        <f>_xlfn.XLOOKUP(Table2[[#This Row],[Adjusted Form '#]],[1]COMPLETED!$D:$D,[2]COMPLETED!$M:$M,"Not Found")</f>
        <v>Not Found</v>
      </c>
      <c r="V2348" s="13" t="e">
        <f>_xlfn.XLOOKUP(Table2[[#This Row],[Adjusted Form '#]],[2]COMPLETED!$D:$D,[2]COMPLETED!$O:$O,"Not Found")</f>
        <v>#N/A</v>
      </c>
      <c r="W2348" s="6" t="str">
        <f>_xlfn.XLOOKUP(Table2[[#This Row],[Adjusted Form '#]],[2]BILLED!$D:$D,[2]BILLED!$M:$M,"Not Found")</f>
        <v>Not Found</v>
      </c>
      <c r="X2348" s="13" t="str">
        <f>_xlfn.XLOOKUP(Table2[[#This Row],[Adjusted Form '#]],[2]BILLED!$D:$D,[1]BILLED!$O:$O,"Not Found")</f>
        <v>Not Found</v>
      </c>
      <c r="Y2348" s="13" t="e">
        <f>_xlfn.XLOOKUP(Table2[[#This Row],[Adjusted Form '#]],'[2]REJECTED ORDERS'!$D:$D,'[2]REJECTED ORDERS'!$E:$E)</f>
        <v>#N/A</v>
      </c>
      <c r="Z2348" s="1"/>
      <c r="AA2348" s="1"/>
    </row>
    <row r="2349" spans="1:27" ht="15" customHeight="1" x14ac:dyDescent="0.35">
      <c r="A2349" s="4" t="s">
        <v>3402</v>
      </c>
      <c r="B2349" s="1" t="s">
        <v>2353</v>
      </c>
      <c r="C2349" s="11">
        <v>45288</v>
      </c>
      <c r="D2349" s="11" t="s">
        <v>8187</v>
      </c>
      <c r="E2349" s="1" t="s">
        <v>14</v>
      </c>
      <c r="F2349" s="1" t="s">
        <v>8168</v>
      </c>
      <c r="G2349" s="6">
        <f>COUNTIF(F:F,Table2[[#This Row],[Form '#]])</f>
        <v>1</v>
      </c>
      <c r="H2349" s="1" t="s">
        <v>8169</v>
      </c>
      <c r="I2349" s="1" t="s">
        <v>28</v>
      </c>
      <c r="J2349" s="1" t="s">
        <v>69</v>
      </c>
      <c r="K2349" s="1" t="s">
        <v>3891</v>
      </c>
      <c r="L2349" s="1"/>
      <c r="M2349" s="6" t="str">
        <f>IF(Table2[[#This Row],[Corrected Form '#
 (If Duplicated)]]="",Table2[[#This Row],[Form '#]],Table2[[#This Row],[Corrected Form '#
 (If Duplicated)]])</f>
        <v>7810-03117</v>
      </c>
      <c r="N2349" s="1" t="s">
        <v>49</v>
      </c>
      <c r="O2349" s="6" t="str">
        <f>IF(Table2[[#This Row],[POG CONFIRMATION RECEIPT OF ORDER
(DATE &amp; TIME)]]="","No Confirmation","Received Confirmation")</f>
        <v>Received Confirmation</v>
      </c>
      <c r="P2349" s="6">
        <f ca="1">TODAY()-Table2[[#This Row],[DATE SENT TO POG]]</f>
        <v>15</v>
      </c>
      <c r="Q2349" s="6" t="s">
        <v>5802</v>
      </c>
      <c r="R234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4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49" s="6" t="str">
        <f>_xlfn.XLOOKUP(Table2[[#This Row],[Adjusted Form '#]],'[2]IN PROGRESS'!$D:$D,'[2]IN PROGRESS'!$M:$M,"Not Found")</f>
        <v>Not Found</v>
      </c>
      <c r="U2349" s="6" t="str">
        <f>_xlfn.XLOOKUP(Table2[[#This Row],[Adjusted Form '#]],[1]COMPLETED!$D:$D,[2]COMPLETED!$M:$M,"Not Found")</f>
        <v>Not Found</v>
      </c>
      <c r="V2349" s="13" t="e">
        <f>_xlfn.XLOOKUP(Table2[[#This Row],[Adjusted Form '#]],[2]COMPLETED!$D:$D,[2]COMPLETED!$O:$O,"Not Found")</f>
        <v>#N/A</v>
      </c>
      <c r="W2349" s="6" t="str">
        <f>_xlfn.XLOOKUP(Table2[[#This Row],[Adjusted Form '#]],[2]BILLED!$D:$D,[2]BILLED!$M:$M,"Not Found")</f>
        <v>Not Found</v>
      </c>
      <c r="X2349" s="13" t="str">
        <f>_xlfn.XLOOKUP(Table2[[#This Row],[Adjusted Form '#]],[2]BILLED!$D:$D,[1]BILLED!$O:$O,"Not Found")</f>
        <v>Not Found</v>
      </c>
      <c r="Y2349" s="13" t="e">
        <f>_xlfn.XLOOKUP(Table2[[#This Row],[Adjusted Form '#]],'[2]REJECTED ORDERS'!$D:$D,'[2]REJECTED ORDERS'!$E:$E)</f>
        <v>#N/A</v>
      </c>
      <c r="Z2349" s="1"/>
      <c r="AA2349" s="1"/>
    </row>
    <row r="2350" spans="1:27" ht="15" customHeight="1" x14ac:dyDescent="0.35">
      <c r="A2350" s="4" t="s">
        <v>3403</v>
      </c>
      <c r="B2350" s="1" t="s">
        <v>2353</v>
      </c>
      <c r="C2350" s="11">
        <v>45288</v>
      </c>
      <c r="D2350" s="11" t="s">
        <v>8187</v>
      </c>
      <c r="E2350" s="1" t="s">
        <v>14</v>
      </c>
      <c r="F2350" s="1" t="s">
        <v>8170</v>
      </c>
      <c r="G2350" s="6">
        <f>COUNTIF(F:F,Table2[[#This Row],[Form '#]])</f>
        <v>1</v>
      </c>
      <c r="H2350" s="1" t="s">
        <v>208</v>
      </c>
      <c r="I2350" s="1" t="s">
        <v>177</v>
      </c>
      <c r="J2350" s="1" t="s">
        <v>75</v>
      </c>
      <c r="K2350" s="1" t="s">
        <v>3853</v>
      </c>
      <c r="L2350" s="1"/>
      <c r="M2350" s="6" t="str">
        <f>IF(Table2[[#This Row],[Corrected Form '#
 (If Duplicated)]]="",Table2[[#This Row],[Form '#]],Table2[[#This Row],[Corrected Form '#
 (If Duplicated)]])</f>
        <v>7810-01941</v>
      </c>
      <c r="N2350" s="1" t="s">
        <v>49</v>
      </c>
      <c r="O2350" s="6" t="str">
        <f>IF(Table2[[#This Row],[POG CONFIRMATION RECEIPT OF ORDER
(DATE &amp; TIME)]]="","No Confirmation","Received Confirmation")</f>
        <v>Received Confirmation</v>
      </c>
      <c r="P2350" s="6">
        <f ca="1">TODAY()-Table2[[#This Row],[DATE SENT TO POG]]</f>
        <v>15</v>
      </c>
      <c r="Q2350" s="6" t="s">
        <v>5802</v>
      </c>
      <c r="R235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0" s="6" t="str">
        <f>_xlfn.XLOOKUP(Table2[[#This Row],[Adjusted Form '#]],'[2]IN PROGRESS'!$D:$D,'[2]IN PROGRESS'!$M:$M,"Not Found")</f>
        <v>Not Found</v>
      </c>
      <c r="U2350" s="6" t="str">
        <f>_xlfn.XLOOKUP(Table2[[#This Row],[Adjusted Form '#]],[1]COMPLETED!$D:$D,[2]COMPLETED!$M:$M,"Not Found")</f>
        <v>Not Found</v>
      </c>
      <c r="V2350" s="13" t="e">
        <f>_xlfn.XLOOKUP(Table2[[#This Row],[Adjusted Form '#]],[2]COMPLETED!$D:$D,[2]COMPLETED!$O:$O,"Not Found")</f>
        <v>#N/A</v>
      </c>
      <c r="W2350" s="6" t="str">
        <f>_xlfn.XLOOKUP(Table2[[#This Row],[Adjusted Form '#]],[2]BILLED!$D:$D,[2]BILLED!$M:$M,"Not Found")</f>
        <v>Not Found</v>
      </c>
      <c r="X2350" s="13" t="str">
        <f>_xlfn.XLOOKUP(Table2[[#This Row],[Adjusted Form '#]],[2]BILLED!$D:$D,[1]BILLED!$O:$O,"Not Found")</f>
        <v>Not Found</v>
      </c>
      <c r="Y2350" s="13" t="e">
        <f>_xlfn.XLOOKUP(Table2[[#This Row],[Adjusted Form '#]],'[2]REJECTED ORDERS'!$D:$D,'[2]REJECTED ORDERS'!$E:$E)</f>
        <v>#N/A</v>
      </c>
      <c r="Z2350" s="1"/>
      <c r="AA2350" s="1"/>
    </row>
    <row r="2351" spans="1:27" ht="15" customHeight="1" x14ac:dyDescent="0.35">
      <c r="A2351" s="4" t="s">
        <v>3405</v>
      </c>
      <c r="B2351" s="1" t="s">
        <v>1484</v>
      </c>
      <c r="C2351" s="11">
        <v>45288</v>
      </c>
      <c r="D2351" s="11" t="s">
        <v>8187</v>
      </c>
      <c r="E2351" s="1" t="s">
        <v>191</v>
      </c>
      <c r="F2351" s="1" t="s">
        <v>8171</v>
      </c>
      <c r="G2351" s="6">
        <f>COUNTIF(F:F,Table2[[#This Row],[Form '#]])</f>
        <v>1</v>
      </c>
      <c r="H2351" s="1" t="s">
        <v>2175</v>
      </c>
      <c r="I2351" s="1" t="s">
        <v>177</v>
      </c>
      <c r="J2351" s="1" t="s">
        <v>75</v>
      </c>
      <c r="K2351" s="1" t="s">
        <v>4011</v>
      </c>
      <c r="L2351" s="1"/>
      <c r="M2351" s="6" t="str">
        <f>IF(Table2[[#This Row],[Corrected Form '#
 (If Duplicated)]]="",Table2[[#This Row],[Form '#]],Table2[[#This Row],[Corrected Form '#
 (If Duplicated)]])</f>
        <v>7812-03210</v>
      </c>
      <c r="N2351" s="1" t="s">
        <v>49</v>
      </c>
      <c r="O2351" s="6" t="str">
        <f>IF(Table2[[#This Row],[POG CONFIRMATION RECEIPT OF ORDER
(DATE &amp; TIME)]]="","No Confirmation","Received Confirmation")</f>
        <v>Received Confirmation</v>
      </c>
      <c r="P2351" s="6">
        <f ca="1">TODAY()-Table2[[#This Row],[DATE SENT TO POG]]</f>
        <v>15</v>
      </c>
      <c r="Q2351" s="6" t="s">
        <v>5802</v>
      </c>
      <c r="R235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1" s="6" t="str">
        <f>_xlfn.XLOOKUP(Table2[[#This Row],[Adjusted Form '#]],'[2]IN PROGRESS'!$D:$D,'[2]IN PROGRESS'!$M:$M,"Not Found")</f>
        <v>Not Found</v>
      </c>
      <c r="U2351" s="6" t="str">
        <f>_xlfn.XLOOKUP(Table2[[#This Row],[Adjusted Form '#]],[1]COMPLETED!$D:$D,[2]COMPLETED!$M:$M,"Not Found")</f>
        <v>Not Found</v>
      </c>
      <c r="V2351" s="13" t="e">
        <f>_xlfn.XLOOKUP(Table2[[#This Row],[Adjusted Form '#]],[2]COMPLETED!$D:$D,[2]COMPLETED!$O:$O,"Not Found")</f>
        <v>#N/A</v>
      </c>
      <c r="W2351" s="6" t="str">
        <f>_xlfn.XLOOKUP(Table2[[#This Row],[Adjusted Form '#]],[2]BILLED!$D:$D,[2]BILLED!$M:$M,"Not Found")</f>
        <v>Not Found</v>
      </c>
      <c r="X2351" s="13" t="str">
        <f>_xlfn.XLOOKUP(Table2[[#This Row],[Adjusted Form '#]],[2]BILLED!$D:$D,[1]BILLED!$O:$O,"Not Found")</f>
        <v>Not Found</v>
      </c>
      <c r="Y2351" s="13" t="e">
        <f>_xlfn.XLOOKUP(Table2[[#This Row],[Adjusted Form '#]],'[2]REJECTED ORDERS'!$D:$D,'[2]REJECTED ORDERS'!$E:$E)</f>
        <v>#N/A</v>
      </c>
      <c r="Z2351" s="1"/>
      <c r="AA2351" s="1"/>
    </row>
    <row r="2352" spans="1:27" ht="15" customHeight="1" x14ac:dyDescent="0.35">
      <c r="A2352" s="4" t="s">
        <v>3407</v>
      </c>
      <c r="B2352" s="1" t="s">
        <v>1484</v>
      </c>
      <c r="C2352" s="11">
        <v>45288</v>
      </c>
      <c r="D2352" s="11" t="s">
        <v>8187</v>
      </c>
      <c r="E2352" s="1" t="s">
        <v>191</v>
      </c>
      <c r="F2352" s="1" t="s">
        <v>8172</v>
      </c>
      <c r="G2352" s="6">
        <f>COUNTIF(F:F,Table2[[#This Row],[Form '#]])</f>
        <v>1</v>
      </c>
      <c r="H2352" s="1" t="s">
        <v>3652</v>
      </c>
      <c r="I2352" s="1" t="s">
        <v>177</v>
      </c>
      <c r="J2352" s="1" t="s">
        <v>75</v>
      </c>
      <c r="K2352" s="1" t="s">
        <v>4011</v>
      </c>
      <c r="L2352" s="1"/>
      <c r="M2352" s="6" t="str">
        <f>IF(Table2[[#This Row],[Corrected Form '#
 (If Duplicated)]]="",Table2[[#This Row],[Form '#]],Table2[[#This Row],[Corrected Form '#
 (If Duplicated)]])</f>
        <v>7812-02986</v>
      </c>
      <c r="N2352" s="1" t="s">
        <v>49</v>
      </c>
      <c r="O2352" s="6" t="str">
        <f>IF(Table2[[#This Row],[POG CONFIRMATION RECEIPT OF ORDER
(DATE &amp; TIME)]]="","No Confirmation","Received Confirmation")</f>
        <v>Received Confirmation</v>
      </c>
      <c r="P2352" s="6">
        <f ca="1">TODAY()-Table2[[#This Row],[DATE SENT TO POG]]</f>
        <v>15</v>
      </c>
      <c r="Q2352" s="6" t="s">
        <v>5802</v>
      </c>
      <c r="R235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2" s="6" t="str">
        <f>_xlfn.XLOOKUP(Table2[[#This Row],[Adjusted Form '#]],'[2]IN PROGRESS'!$D:$D,'[2]IN PROGRESS'!$M:$M,"Not Found")</f>
        <v>Not Found</v>
      </c>
      <c r="U2352" s="6" t="str">
        <f>_xlfn.XLOOKUP(Table2[[#This Row],[Adjusted Form '#]],[1]COMPLETED!$D:$D,[2]COMPLETED!$M:$M,"Not Found")</f>
        <v>Not Found</v>
      </c>
      <c r="V2352" s="13" t="e">
        <f>_xlfn.XLOOKUP(Table2[[#This Row],[Adjusted Form '#]],[2]COMPLETED!$D:$D,[2]COMPLETED!$O:$O,"Not Found")</f>
        <v>#N/A</v>
      </c>
      <c r="W2352" s="6" t="str">
        <f>_xlfn.XLOOKUP(Table2[[#This Row],[Adjusted Form '#]],[2]BILLED!$D:$D,[2]BILLED!$M:$M,"Not Found")</f>
        <v>Not Found</v>
      </c>
      <c r="X2352" s="13" t="str">
        <f>_xlfn.XLOOKUP(Table2[[#This Row],[Adjusted Form '#]],[2]BILLED!$D:$D,[1]BILLED!$O:$O,"Not Found")</f>
        <v>Not Found</v>
      </c>
      <c r="Y2352" s="13" t="e">
        <f>_xlfn.XLOOKUP(Table2[[#This Row],[Adjusted Form '#]],'[2]REJECTED ORDERS'!$D:$D,'[2]REJECTED ORDERS'!$E:$E)</f>
        <v>#N/A</v>
      </c>
      <c r="Z2352" s="1"/>
      <c r="AA2352" s="1"/>
    </row>
    <row r="2353" spans="1:27" ht="15" customHeight="1" x14ac:dyDescent="0.35">
      <c r="A2353" s="4" t="s">
        <v>3409</v>
      </c>
      <c r="B2353" s="1" t="s">
        <v>1484</v>
      </c>
      <c r="C2353" s="11">
        <v>45288</v>
      </c>
      <c r="D2353" s="11" t="s">
        <v>8187</v>
      </c>
      <c r="E2353" s="1" t="s">
        <v>191</v>
      </c>
      <c r="F2353" s="1" t="s">
        <v>8173</v>
      </c>
      <c r="G2353" s="6">
        <f>COUNTIF(F:F,Table2[[#This Row],[Form '#]])</f>
        <v>1</v>
      </c>
      <c r="H2353" s="1" t="s">
        <v>8174</v>
      </c>
      <c r="I2353" s="1" t="s">
        <v>3864</v>
      </c>
      <c r="J2353" s="1" t="s">
        <v>78</v>
      </c>
      <c r="K2353" s="1" t="s">
        <v>3879</v>
      </c>
      <c r="L2353" s="1"/>
      <c r="M2353" s="6" t="str">
        <f>IF(Table2[[#This Row],[Corrected Form '#
 (If Duplicated)]]="",Table2[[#This Row],[Form '#]],Table2[[#This Row],[Corrected Form '#
 (If Duplicated)]])</f>
        <v>7812-08654</v>
      </c>
      <c r="N2353" s="1" t="s">
        <v>49</v>
      </c>
      <c r="O2353" s="6" t="str">
        <f>IF(Table2[[#This Row],[POG CONFIRMATION RECEIPT OF ORDER
(DATE &amp; TIME)]]="","No Confirmation","Received Confirmation")</f>
        <v>Received Confirmation</v>
      </c>
      <c r="P2353" s="6">
        <f ca="1">TODAY()-Table2[[#This Row],[DATE SENT TO POG]]</f>
        <v>15</v>
      </c>
      <c r="Q2353" s="6" t="s">
        <v>5802</v>
      </c>
      <c r="R235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3" s="6" t="str">
        <f>_xlfn.XLOOKUP(Table2[[#This Row],[Adjusted Form '#]],'[2]IN PROGRESS'!$D:$D,'[2]IN PROGRESS'!$M:$M,"Not Found")</f>
        <v>Not Found</v>
      </c>
      <c r="U2353" s="6" t="str">
        <f>_xlfn.XLOOKUP(Table2[[#This Row],[Adjusted Form '#]],[1]COMPLETED!$D:$D,[2]COMPLETED!$M:$M,"Not Found")</f>
        <v>Not Found</v>
      </c>
      <c r="V2353" s="13" t="str">
        <f>_xlfn.XLOOKUP(Table2[[#This Row],[Adjusted Form '#]],[2]COMPLETED!$D:$D,[2]COMPLETED!$O:$O,"Not Found")</f>
        <v>Not Found</v>
      </c>
      <c r="W2353" s="6" t="str">
        <f>_xlfn.XLOOKUP(Table2[[#This Row],[Adjusted Form '#]],[2]BILLED!$D:$D,[2]BILLED!$M:$M,"Not Found")</f>
        <v>Not Found</v>
      </c>
      <c r="X2353" s="13" t="str">
        <f>_xlfn.XLOOKUP(Table2[[#This Row],[Adjusted Form '#]],[2]BILLED!$D:$D,[1]BILLED!$O:$O,"Not Found")</f>
        <v>Not Found</v>
      </c>
      <c r="Y2353" s="13" t="e">
        <f>_xlfn.XLOOKUP(Table2[[#This Row],[Adjusted Form '#]],'[2]REJECTED ORDERS'!$D:$D,'[2]REJECTED ORDERS'!$E:$E)</f>
        <v>#N/A</v>
      </c>
      <c r="Z2353" s="1"/>
      <c r="AA2353" s="1"/>
    </row>
    <row r="2354" spans="1:27" ht="15" customHeight="1" x14ac:dyDescent="0.35">
      <c r="A2354" s="4" t="s">
        <v>3411</v>
      </c>
      <c r="B2354" s="1" t="s">
        <v>1484</v>
      </c>
      <c r="C2354" s="11">
        <v>45288</v>
      </c>
      <c r="D2354" s="11" t="s">
        <v>8187</v>
      </c>
      <c r="E2354" s="1" t="s">
        <v>191</v>
      </c>
      <c r="F2354" s="1" t="s">
        <v>8175</v>
      </c>
      <c r="G2354" s="6">
        <f>COUNTIF(F:F,Table2[[#This Row],[Form '#]])</f>
        <v>1</v>
      </c>
      <c r="H2354" s="1" t="s">
        <v>8176</v>
      </c>
      <c r="I2354" s="1" t="s">
        <v>3852</v>
      </c>
      <c r="J2354" s="1" t="s">
        <v>75</v>
      </c>
      <c r="K2354" s="1" t="s">
        <v>4430</v>
      </c>
      <c r="L2354" s="1"/>
      <c r="M2354" s="6" t="str">
        <f>IF(Table2[[#This Row],[Corrected Form '#
 (If Duplicated)]]="",Table2[[#This Row],[Form '#]],Table2[[#This Row],[Corrected Form '#
 (If Duplicated)]])</f>
        <v>7812-3870</v>
      </c>
      <c r="N2354" s="1" t="s">
        <v>49</v>
      </c>
      <c r="O2354" s="6" t="str">
        <f>IF(Table2[[#This Row],[POG CONFIRMATION RECEIPT OF ORDER
(DATE &amp; TIME)]]="","No Confirmation","Received Confirmation")</f>
        <v>Received Confirmation</v>
      </c>
      <c r="P2354" s="6">
        <f ca="1">TODAY()-Table2[[#This Row],[DATE SENT TO POG]]</f>
        <v>15</v>
      </c>
      <c r="Q2354" s="6" t="s">
        <v>5802</v>
      </c>
      <c r="R235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4" s="6" t="str">
        <f>_xlfn.XLOOKUP(Table2[[#This Row],[Adjusted Form '#]],'[2]IN PROGRESS'!$D:$D,'[2]IN PROGRESS'!$M:$M,"Not Found")</f>
        <v>Not Found</v>
      </c>
      <c r="U2354" s="6" t="str">
        <f>_xlfn.XLOOKUP(Table2[[#This Row],[Adjusted Form '#]],[1]COMPLETED!$D:$D,[2]COMPLETED!$M:$M,"Not Found")</f>
        <v>Not Found</v>
      </c>
      <c r="V2354" s="13" t="e">
        <f>_xlfn.XLOOKUP(Table2[[#This Row],[Adjusted Form '#]],[2]COMPLETED!$D:$D,[2]COMPLETED!$O:$O,"Not Found")</f>
        <v>#N/A</v>
      </c>
      <c r="W2354" s="6" t="str">
        <f>_xlfn.XLOOKUP(Table2[[#This Row],[Adjusted Form '#]],[2]BILLED!$D:$D,[2]BILLED!$M:$M,"Not Found")</f>
        <v>Not Found</v>
      </c>
      <c r="X2354" s="13" t="str">
        <f>_xlfn.XLOOKUP(Table2[[#This Row],[Adjusted Form '#]],[2]BILLED!$D:$D,[1]BILLED!$O:$O,"Not Found")</f>
        <v>Not Found</v>
      </c>
      <c r="Y2354" s="13" t="e">
        <f>_xlfn.XLOOKUP(Table2[[#This Row],[Adjusted Form '#]],'[2]REJECTED ORDERS'!$D:$D,'[2]REJECTED ORDERS'!$E:$E)</f>
        <v>#N/A</v>
      </c>
      <c r="Z2354" s="1"/>
      <c r="AA2354" s="1"/>
    </row>
    <row r="2355" spans="1:27" ht="15" customHeight="1" x14ac:dyDescent="0.35">
      <c r="A2355" s="4" t="s">
        <v>3412</v>
      </c>
      <c r="B2355" s="1" t="s">
        <v>1484</v>
      </c>
      <c r="C2355" s="11">
        <v>45288</v>
      </c>
      <c r="D2355" s="11" t="s">
        <v>8187</v>
      </c>
      <c r="E2355" s="1" t="s">
        <v>191</v>
      </c>
      <c r="F2355" s="1" t="s">
        <v>8177</v>
      </c>
      <c r="G2355" s="6">
        <f>COUNTIF(F:F,Table2[[#This Row],[Form '#]])</f>
        <v>1</v>
      </c>
      <c r="H2355" s="1" t="s">
        <v>8178</v>
      </c>
      <c r="I2355" s="1" t="s">
        <v>758</v>
      </c>
      <c r="J2355" s="1" t="s">
        <v>78</v>
      </c>
      <c r="K2355" s="1" t="s">
        <v>4430</v>
      </c>
      <c r="L2355" s="1"/>
      <c r="M2355" s="6" t="str">
        <f>IF(Table2[[#This Row],[Corrected Form '#
 (If Duplicated)]]="",Table2[[#This Row],[Form '#]],Table2[[#This Row],[Corrected Form '#
 (If Duplicated)]])</f>
        <v>7812-01068</v>
      </c>
      <c r="N2355" s="1" t="s">
        <v>49</v>
      </c>
      <c r="O2355" s="6" t="str">
        <f>IF(Table2[[#This Row],[POG CONFIRMATION RECEIPT OF ORDER
(DATE &amp; TIME)]]="","No Confirmation","Received Confirmation")</f>
        <v>Received Confirmation</v>
      </c>
      <c r="P2355" s="6">
        <f ca="1">TODAY()-Table2[[#This Row],[DATE SENT TO POG]]</f>
        <v>15</v>
      </c>
      <c r="Q2355" s="6" t="s">
        <v>5802</v>
      </c>
      <c r="R235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5" s="6" t="str">
        <f>_xlfn.XLOOKUP(Table2[[#This Row],[Adjusted Form '#]],'[2]IN PROGRESS'!$D:$D,'[2]IN PROGRESS'!$M:$M,"Not Found")</f>
        <v>Not Found</v>
      </c>
      <c r="U2355" s="6" t="str">
        <f>_xlfn.XLOOKUP(Table2[[#This Row],[Adjusted Form '#]],[1]COMPLETED!$D:$D,[2]COMPLETED!$M:$M,"Not Found")</f>
        <v>Not Found</v>
      </c>
      <c r="V2355" s="13" t="e">
        <f>_xlfn.XLOOKUP(Table2[[#This Row],[Adjusted Form '#]],[2]COMPLETED!$D:$D,[2]COMPLETED!$O:$O,"Not Found")</f>
        <v>#N/A</v>
      </c>
      <c r="W2355" s="6" t="str">
        <f>_xlfn.XLOOKUP(Table2[[#This Row],[Adjusted Form '#]],[2]BILLED!$D:$D,[2]BILLED!$M:$M,"Not Found")</f>
        <v>Not Found</v>
      </c>
      <c r="X2355" s="13" t="str">
        <f>_xlfn.XLOOKUP(Table2[[#This Row],[Adjusted Form '#]],[2]BILLED!$D:$D,[1]BILLED!$O:$O,"Not Found")</f>
        <v>Not Found</v>
      </c>
      <c r="Y2355" s="13" t="e">
        <f>_xlfn.XLOOKUP(Table2[[#This Row],[Adjusted Form '#]],'[2]REJECTED ORDERS'!$D:$D,'[2]REJECTED ORDERS'!$E:$E)</f>
        <v>#N/A</v>
      </c>
      <c r="Z2355" s="1"/>
      <c r="AA2355" s="1"/>
    </row>
    <row r="2356" spans="1:27" ht="15" customHeight="1" x14ac:dyDescent="0.35">
      <c r="A2356" s="4" t="s">
        <v>3413</v>
      </c>
      <c r="B2356" s="1" t="s">
        <v>1484</v>
      </c>
      <c r="C2356" s="11">
        <v>45288</v>
      </c>
      <c r="D2356" s="11" t="s">
        <v>8187</v>
      </c>
      <c r="E2356" s="1" t="s">
        <v>191</v>
      </c>
      <c r="F2356" s="1" t="s">
        <v>8179</v>
      </c>
      <c r="G2356" s="6">
        <f>COUNTIF(F:F,Table2[[#This Row],[Form '#]])</f>
        <v>1</v>
      </c>
      <c r="H2356" s="1" t="s">
        <v>8180</v>
      </c>
      <c r="I2356" s="1" t="s">
        <v>3864</v>
      </c>
      <c r="J2356" s="1" t="s">
        <v>78</v>
      </c>
      <c r="K2356" s="1" t="s">
        <v>3879</v>
      </c>
      <c r="L2356" s="1"/>
      <c r="M2356" s="6" t="str">
        <f>IF(Table2[[#This Row],[Corrected Form '#
 (If Duplicated)]]="",Table2[[#This Row],[Form '#]],Table2[[#This Row],[Corrected Form '#
 (If Duplicated)]])</f>
        <v>7812-3873</v>
      </c>
      <c r="N2356" s="1" t="s">
        <v>49</v>
      </c>
      <c r="O2356" s="6" t="str">
        <f>IF(Table2[[#This Row],[POG CONFIRMATION RECEIPT OF ORDER
(DATE &amp; TIME)]]="","No Confirmation","Received Confirmation")</f>
        <v>Received Confirmation</v>
      </c>
      <c r="P2356" s="6">
        <f ca="1">TODAY()-Table2[[#This Row],[DATE SENT TO POG]]</f>
        <v>15</v>
      </c>
      <c r="Q2356" s="6" t="s">
        <v>6025</v>
      </c>
      <c r="R235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In Progress</v>
      </c>
      <c r="S235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6" s="6">
        <f>_xlfn.XLOOKUP(Table2[[#This Row],[Adjusted Form '#]],'[2]IN PROGRESS'!$D:$D,'[2]IN PROGRESS'!$M:$M,"Not Found")</f>
        <v>0</v>
      </c>
      <c r="U2356" s="6" t="str">
        <f>_xlfn.XLOOKUP(Table2[[#This Row],[Adjusted Form '#]],[1]COMPLETED!$D:$D,[2]COMPLETED!$M:$M,"Not Found")</f>
        <v>Not Found</v>
      </c>
      <c r="V2356" s="13" t="str">
        <f>_xlfn.XLOOKUP(Table2[[#This Row],[Adjusted Form '#]],[2]COMPLETED!$D:$D,[2]COMPLETED!$O:$O,"Not Found")</f>
        <v>Not Found</v>
      </c>
      <c r="W2356" s="6" t="str">
        <f>_xlfn.XLOOKUP(Table2[[#This Row],[Adjusted Form '#]],[2]BILLED!$D:$D,[2]BILLED!$M:$M,"Not Found")</f>
        <v>Not Found</v>
      </c>
      <c r="X2356" s="13" t="str">
        <f>_xlfn.XLOOKUP(Table2[[#This Row],[Adjusted Form '#]],[2]BILLED!$D:$D,[1]BILLED!$O:$O,"Not Found")</f>
        <v>Not Found</v>
      </c>
      <c r="Y2356" s="13" t="e">
        <f>_xlfn.XLOOKUP(Table2[[#This Row],[Adjusted Form '#]],'[2]REJECTED ORDERS'!$D:$D,'[2]REJECTED ORDERS'!$E:$E)</f>
        <v>#N/A</v>
      </c>
      <c r="Z2356" s="1"/>
      <c r="AA2356" s="1"/>
    </row>
    <row r="2357" spans="1:27" ht="15" customHeight="1" x14ac:dyDescent="0.35">
      <c r="A2357" s="4" t="s">
        <v>3414</v>
      </c>
      <c r="B2357" s="1" t="s">
        <v>1484</v>
      </c>
      <c r="C2357" s="11">
        <v>45288</v>
      </c>
      <c r="D2357" s="11" t="s">
        <v>8187</v>
      </c>
      <c r="E2357" s="1" t="s">
        <v>191</v>
      </c>
      <c r="F2357" s="1" t="s">
        <v>8181</v>
      </c>
      <c r="G2357" s="6">
        <f>COUNTIF(F:F,Table2[[#This Row],[Form '#]])</f>
        <v>1</v>
      </c>
      <c r="H2357" s="1" t="s">
        <v>8182</v>
      </c>
      <c r="I2357" s="1" t="s">
        <v>177</v>
      </c>
      <c r="J2357" s="1" t="s">
        <v>75</v>
      </c>
      <c r="K2357" s="1" t="s">
        <v>4011</v>
      </c>
      <c r="L2357" s="1"/>
      <c r="M2357" s="6" t="str">
        <f>IF(Table2[[#This Row],[Corrected Form '#
 (If Duplicated)]]="",Table2[[#This Row],[Form '#]],Table2[[#This Row],[Corrected Form '#
 (If Duplicated)]])</f>
        <v>7812-3878</v>
      </c>
      <c r="N2357" s="1" t="s">
        <v>49</v>
      </c>
      <c r="O2357" s="6" t="str">
        <f>IF(Table2[[#This Row],[POG CONFIRMATION RECEIPT OF ORDER
(DATE &amp; TIME)]]="","No Confirmation","Received Confirmation")</f>
        <v>Received Confirmation</v>
      </c>
      <c r="P2357" s="6">
        <f ca="1">TODAY()-Table2[[#This Row],[DATE SENT TO POG]]</f>
        <v>15</v>
      </c>
      <c r="Q2357" s="6" t="s">
        <v>5802</v>
      </c>
      <c r="R235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7" s="6" t="str">
        <f>_xlfn.XLOOKUP(Table2[[#This Row],[Adjusted Form '#]],'[2]IN PROGRESS'!$D:$D,'[2]IN PROGRESS'!$M:$M,"Not Found")</f>
        <v>Not Found</v>
      </c>
      <c r="U2357" s="6" t="str">
        <f>_xlfn.XLOOKUP(Table2[[#This Row],[Adjusted Form '#]],[1]COMPLETED!$D:$D,[2]COMPLETED!$M:$M,"Not Found")</f>
        <v>Not Found</v>
      </c>
      <c r="V2357" s="13" t="e">
        <f>_xlfn.XLOOKUP(Table2[[#This Row],[Adjusted Form '#]],[2]COMPLETED!$D:$D,[2]COMPLETED!$O:$O,"Not Found")</f>
        <v>#N/A</v>
      </c>
      <c r="W2357" s="6" t="str">
        <f>_xlfn.XLOOKUP(Table2[[#This Row],[Adjusted Form '#]],[2]BILLED!$D:$D,[2]BILLED!$M:$M,"Not Found")</f>
        <v>Not Found</v>
      </c>
      <c r="X2357" s="13" t="str">
        <f>_xlfn.XLOOKUP(Table2[[#This Row],[Adjusted Form '#]],[2]BILLED!$D:$D,[1]BILLED!$O:$O,"Not Found")</f>
        <v>Not Found</v>
      </c>
      <c r="Y2357" s="13" t="e">
        <f>_xlfn.XLOOKUP(Table2[[#This Row],[Adjusted Form '#]],'[2]REJECTED ORDERS'!$D:$D,'[2]REJECTED ORDERS'!$E:$E)</f>
        <v>#N/A</v>
      </c>
      <c r="Z2357" s="1"/>
      <c r="AA2357" s="1"/>
    </row>
    <row r="2358" spans="1:27" ht="15" customHeight="1" x14ac:dyDescent="0.35">
      <c r="A2358" s="4" t="s">
        <v>3416</v>
      </c>
      <c r="B2358" s="1" t="s">
        <v>1484</v>
      </c>
      <c r="C2358" s="11">
        <v>45288</v>
      </c>
      <c r="D2358" s="11" t="s">
        <v>8187</v>
      </c>
      <c r="E2358" s="1" t="s">
        <v>191</v>
      </c>
      <c r="F2358" s="1" t="s">
        <v>8183</v>
      </c>
      <c r="G2358" s="6">
        <f>COUNTIF(F:F,Table2[[#This Row],[Form '#]])</f>
        <v>1</v>
      </c>
      <c r="H2358" s="1" t="s">
        <v>3671</v>
      </c>
      <c r="I2358" s="1" t="s">
        <v>177</v>
      </c>
      <c r="J2358" s="1" t="s">
        <v>75</v>
      </c>
      <c r="K2358" s="1" t="s">
        <v>4011</v>
      </c>
      <c r="L2358" s="1"/>
      <c r="M2358" s="6" t="str">
        <f>IF(Table2[[#This Row],[Corrected Form '#
 (If Duplicated)]]="",Table2[[#This Row],[Form '#]],Table2[[#This Row],[Corrected Form '#
 (If Duplicated)]])</f>
        <v>7812-4035</v>
      </c>
      <c r="N2358" s="1" t="s">
        <v>49</v>
      </c>
      <c r="O2358" s="6" t="str">
        <f>IF(Table2[[#This Row],[POG CONFIRMATION RECEIPT OF ORDER
(DATE &amp; TIME)]]="","No Confirmation","Received Confirmation")</f>
        <v>Received Confirmation</v>
      </c>
      <c r="P2358" s="6">
        <f ca="1">TODAY()-Table2[[#This Row],[DATE SENT TO POG]]</f>
        <v>15</v>
      </c>
      <c r="Q2358" s="6" t="s">
        <v>5802</v>
      </c>
      <c r="R235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8" s="6" t="str">
        <f>_xlfn.XLOOKUP(Table2[[#This Row],[Adjusted Form '#]],'[2]IN PROGRESS'!$D:$D,'[2]IN PROGRESS'!$M:$M,"Not Found")</f>
        <v>Not Found</v>
      </c>
      <c r="U2358" s="6" t="str">
        <f>_xlfn.XLOOKUP(Table2[[#This Row],[Adjusted Form '#]],[1]COMPLETED!$D:$D,[2]COMPLETED!$M:$M,"Not Found")</f>
        <v>Not Found</v>
      </c>
      <c r="V2358" s="13" t="e">
        <f>_xlfn.XLOOKUP(Table2[[#This Row],[Adjusted Form '#]],[2]COMPLETED!$D:$D,[2]COMPLETED!$O:$O,"Not Found")</f>
        <v>#N/A</v>
      </c>
      <c r="W2358" s="6" t="str">
        <f>_xlfn.XLOOKUP(Table2[[#This Row],[Adjusted Form '#]],[2]BILLED!$D:$D,[2]BILLED!$M:$M,"Not Found")</f>
        <v>Not Found</v>
      </c>
      <c r="X2358" s="13" t="str">
        <f>_xlfn.XLOOKUP(Table2[[#This Row],[Adjusted Form '#]],[2]BILLED!$D:$D,[1]BILLED!$O:$O,"Not Found")</f>
        <v>Not Found</v>
      </c>
      <c r="Y2358" s="13" t="e">
        <f>_xlfn.XLOOKUP(Table2[[#This Row],[Adjusted Form '#]],'[2]REJECTED ORDERS'!$D:$D,'[2]REJECTED ORDERS'!$E:$E)</f>
        <v>#N/A</v>
      </c>
      <c r="Z2358" s="1"/>
      <c r="AA2358" s="1"/>
    </row>
    <row r="2359" spans="1:27" ht="15" customHeight="1" x14ac:dyDescent="0.35">
      <c r="A2359" s="4" t="s">
        <v>3417</v>
      </c>
      <c r="B2359" s="1" t="s">
        <v>1484</v>
      </c>
      <c r="C2359" s="11">
        <v>45288</v>
      </c>
      <c r="D2359" s="11" t="s">
        <v>8187</v>
      </c>
      <c r="E2359" s="1" t="s">
        <v>191</v>
      </c>
      <c r="F2359" s="1" t="s">
        <v>8184</v>
      </c>
      <c r="G2359" s="6">
        <f>COUNTIF(F:F,Table2[[#This Row],[Form '#]])</f>
        <v>1</v>
      </c>
      <c r="H2359" s="1" t="s">
        <v>8185</v>
      </c>
      <c r="I2359" s="1" t="s">
        <v>758</v>
      </c>
      <c r="J2359" s="1" t="s">
        <v>78</v>
      </c>
      <c r="K2359" s="1" t="s">
        <v>4430</v>
      </c>
      <c r="L2359" s="1"/>
      <c r="M2359" s="6" t="str">
        <f>IF(Table2[[#This Row],[Corrected Form '#
 (If Duplicated)]]="",Table2[[#This Row],[Form '#]],Table2[[#This Row],[Corrected Form '#
 (If Duplicated)]])</f>
        <v>7812-01276</v>
      </c>
      <c r="N2359" s="1" t="s">
        <v>49</v>
      </c>
      <c r="O2359" s="6" t="str">
        <f>IF(Table2[[#This Row],[POG CONFIRMATION RECEIPT OF ORDER
(DATE &amp; TIME)]]="","No Confirmation","Received Confirmation")</f>
        <v>Received Confirmation</v>
      </c>
      <c r="P2359" s="6">
        <f ca="1">TODAY()-Table2[[#This Row],[DATE SENT TO POG]]</f>
        <v>15</v>
      </c>
      <c r="Q2359" s="6" t="s">
        <v>5802</v>
      </c>
      <c r="R235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5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59" s="6" t="str">
        <f>_xlfn.XLOOKUP(Table2[[#This Row],[Adjusted Form '#]],'[2]IN PROGRESS'!$D:$D,'[2]IN PROGRESS'!$M:$M,"Not Found")</f>
        <v>Not Found</v>
      </c>
      <c r="U2359" s="6" t="str">
        <f>_xlfn.XLOOKUP(Table2[[#This Row],[Adjusted Form '#]],[1]COMPLETED!$D:$D,[2]COMPLETED!$M:$M,"Not Found")</f>
        <v>Not Found</v>
      </c>
      <c r="V2359" s="13" t="e">
        <f>_xlfn.XLOOKUP(Table2[[#This Row],[Adjusted Form '#]],[2]COMPLETED!$D:$D,[2]COMPLETED!$O:$O,"Not Found")</f>
        <v>#N/A</v>
      </c>
      <c r="W2359" s="6" t="str">
        <f>_xlfn.XLOOKUP(Table2[[#This Row],[Adjusted Form '#]],[2]BILLED!$D:$D,[2]BILLED!$M:$M,"Not Found")</f>
        <v>Not Found</v>
      </c>
      <c r="X2359" s="13" t="str">
        <f>_xlfn.XLOOKUP(Table2[[#This Row],[Adjusted Form '#]],[2]BILLED!$D:$D,[1]BILLED!$O:$O,"Not Found")</f>
        <v>Not Found</v>
      </c>
      <c r="Y2359" s="13" t="e">
        <f>_xlfn.XLOOKUP(Table2[[#This Row],[Adjusted Form '#]],'[2]REJECTED ORDERS'!$D:$D,'[2]REJECTED ORDERS'!$E:$E)</f>
        <v>#N/A</v>
      </c>
      <c r="Z2359" s="1"/>
      <c r="AA2359" s="1"/>
    </row>
    <row r="2360" spans="1:27" ht="15" customHeight="1" x14ac:dyDescent="0.35">
      <c r="A2360" s="4" t="s">
        <v>3418</v>
      </c>
      <c r="B2360" s="1" t="s">
        <v>1484</v>
      </c>
      <c r="C2360" s="11">
        <v>45288</v>
      </c>
      <c r="D2360" s="11" t="s">
        <v>8187</v>
      </c>
      <c r="E2360" s="1" t="s">
        <v>191</v>
      </c>
      <c r="F2360" s="1" t="s">
        <v>8186</v>
      </c>
      <c r="G2360" s="6">
        <f>COUNTIF(F:F,Table2[[#This Row],[Form '#]])</f>
        <v>1</v>
      </c>
      <c r="H2360" s="1" t="s">
        <v>7338</v>
      </c>
      <c r="I2360" s="1" t="s">
        <v>758</v>
      </c>
      <c r="J2360" s="1" t="s">
        <v>78</v>
      </c>
      <c r="K2360" s="1" t="s">
        <v>4430</v>
      </c>
      <c r="L2360" s="1"/>
      <c r="M2360" s="6" t="str">
        <f>IF(Table2[[#This Row],[Corrected Form '#
 (If Duplicated)]]="",Table2[[#This Row],[Form '#]],Table2[[#This Row],[Corrected Form '#
 (If Duplicated)]])</f>
        <v>7812-04625</v>
      </c>
      <c r="N2360" s="1" t="s">
        <v>49</v>
      </c>
      <c r="O2360" s="6" t="str">
        <f>IF(Table2[[#This Row],[POG CONFIRMATION RECEIPT OF ORDER
(DATE &amp; TIME)]]="","No Confirmation","Received Confirmation")</f>
        <v>Received Confirmation</v>
      </c>
      <c r="P2360" s="6">
        <f ca="1">TODAY()-Table2[[#This Row],[DATE SENT TO POG]]</f>
        <v>15</v>
      </c>
      <c r="Q2360" s="6" t="s">
        <v>5802</v>
      </c>
      <c r="R236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0" s="6" t="str">
        <f>_xlfn.XLOOKUP(Table2[[#This Row],[Adjusted Form '#]],'[2]IN PROGRESS'!$D:$D,'[2]IN PROGRESS'!$M:$M,"Not Found")</f>
        <v>Not Found</v>
      </c>
      <c r="U2360" s="6" t="str">
        <f>_xlfn.XLOOKUP(Table2[[#This Row],[Adjusted Form '#]],[1]COMPLETED!$D:$D,[2]COMPLETED!$M:$M,"Not Found")</f>
        <v>Not Found</v>
      </c>
      <c r="V2360" s="13" t="e">
        <f>_xlfn.XLOOKUP(Table2[[#This Row],[Adjusted Form '#]],[2]COMPLETED!$D:$D,[2]COMPLETED!$O:$O,"Not Found")</f>
        <v>#N/A</v>
      </c>
      <c r="W2360" s="6" t="str">
        <f>_xlfn.XLOOKUP(Table2[[#This Row],[Adjusted Form '#]],[2]BILLED!$D:$D,[2]BILLED!$M:$M,"Not Found")</f>
        <v>Not Found</v>
      </c>
      <c r="X2360" s="13" t="str">
        <f>_xlfn.XLOOKUP(Table2[[#This Row],[Adjusted Form '#]],[2]BILLED!$D:$D,[1]BILLED!$O:$O,"Not Found")</f>
        <v>Not Found</v>
      </c>
      <c r="Y2360" s="13" t="e">
        <f>_xlfn.XLOOKUP(Table2[[#This Row],[Adjusted Form '#]],'[2]REJECTED ORDERS'!$D:$D,'[2]REJECTED ORDERS'!$E:$E)</f>
        <v>#N/A</v>
      </c>
      <c r="Z2360" s="1"/>
      <c r="AA2360" s="1"/>
    </row>
    <row r="2361" spans="1:27" ht="15" customHeight="1" x14ac:dyDescent="0.35">
      <c r="A2361" s="4" t="s">
        <v>3421</v>
      </c>
      <c r="B2361" s="1" t="s">
        <v>2416</v>
      </c>
      <c r="C2361" s="11">
        <v>45288</v>
      </c>
      <c r="D2361" s="11" t="s">
        <v>8198</v>
      </c>
      <c r="E2361" s="1" t="s">
        <v>73</v>
      </c>
      <c r="F2361" s="1" t="s">
        <v>8188</v>
      </c>
      <c r="G2361" s="6">
        <f>COUNTIF(F:F,Table2[[#This Row],[Form '#]])</f>
        <v>1</v>
      </c>
      <c r="H2361" s="1" t="s">
        <v>8189</v>
      </c>
      <c r="I2361" s="1" t="s">
        <v>3852</v>
      </c>
      <c r="J2361" s="1" t="s">
        <v>80</v>
      </c>
      <c r="K2361" s="1" t="s">
        <v>4430</v>
      </c>
      <c r="L2361" s="1"/>
      <c r="M2361" s="6" t="str">
        <f>IF(Table2[[#This Row],[Corrected Form '#
 (If Duplicated)]]="",Table2[[#This Row],[Form '#]],Table2[[#This Row],[Corrected Form '#
 (If Duplicated)]])</f>
        <v>7823-03367</v>
      </c>
      <c r="N2361" s="1" t="s">
        <v>49</v>
      </c>
      <c r="O2361" s="6" t="str">
        <f>IF(Table2[[#This Row],[POG CONFIRMATION RECEIPT OF ORDER
(DATE &amp; TIME)]]="","No Confirmation","Received Confirmation")</f>
        <v>Received Confirmation</v>
      </c>
      <c r="P2361" s="6">
        <f ca="1">TODAY()-Table2[[#This Row],[DATE SENT TO POG]]</f>
        <v>15</v>
      </c>
      <c r="Q2361" s="6" t="s">
        <v>5802</v>
      </c>
      <c r="R236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1" s="6" t="str">
        <f>_xlfn.XLOOKUP(Table2[[#This Row],[Adjusted Form '#]],'[2]IN PROGRESS'!$D:$D,'[2]IN PROGRESS'!$M:$M,"Not Found")</f>
        <v>Not Found</v>
      </c>
      <c r="U2361" s="6" t="str">
        <f>_xlfn.XLOOKUP(Table2[[#This Row],[Adjusted Form '#]],[1]COMPLETED!$D:$D,[2]COMPLETED!$M:$M,"Not Found")</f>
        <v>Not Found</v>
      </c>
      <c r="V2361" s="13" t="str">
        <f>_xlfn.XLOOKUP(Table2[[#This Row],[Adjusted Form '#]],[2]COMPLETED!$D:$D,[2]COMPLETED!$O:$O,"Not Found")</f>
        <v>Not Found</v>
      </c>
      <c r="W2361" s="6" t="str">
        <f>_xlfn.XLOOKUP(Table2[[#This Row],[Adjusted Form '#]],[2]BILLED!$D:$D,[2]BILLED!$M:$M,"Not Found")</f>
        <v>Not Found</v>
      </c>
      <c r="X2361" s="13" t="str">
        <f>_xlfn.XLOOKUP(Table2[[#This Row],[Adjusted Form '#]],[2]BILLED!$D:$D,[1]BILLED!$O:$O,"Not Found")</f>
        <v>Not Found</v>
      </c>
      <c r="Y2361" s="13" t="e">
        <f>_xlfn.XLOOKUP(Table2[[#This Row],[Adjusted Form '#]],'[2]REJECTED ORDERS'!$D:$D,'[2]REJECTED ORDERS'!$E:$E)</f>
        <v>#N/A</v>
      </c>
      <c r="Z2361" s="1"/>
      <c r="AA2361" s="1"/>
    </row>
    <row r="2362" spans="1:27" ht="15" customHeight="1" x14ac:dyDescent="0.35">
      <c r="A2362" s="4" t="s">
        <v>3422</v>
      </c>
      <c r="B2362" s="1" t="s">
        <v>1957</v>
      </c>
      <c r="C2362" s="11">
        <v>45288</v>
      </c>
      <c r="D2362" s="11" t="s">
        <v>8198</v>
      </c>
      <c r="E2362" s="1" t="s">
        <v>21</v>
      </c>
      <c r="F2362" s="1" t="s">
        <v>8190</v>
      </c>
      <c r="G2362" s="6">
        <f>COUNTIF(F:F,Table2[[#This Row],[Form '#]])</f>
        <v>1</v>
      </c>
      <c r="H2362" s="1" t="s">
        <v>2935</v>
      </c>
      <c r="I2362" s="1" t="s">
        <v>28</v>
      </c>
      <c r="J2362" s="1" t="s">
        <v>80</v>
      </c>
      <c r="K2362" s="1" t="s">
        <v>3898</v>
      </c>
      <c r="L2362" s="1"/>
      <c r="M2362" s="6" t="str">
        <f>IF(Table2[[#This Row],[Corrected Form '#
 (If Duplicated)]]="",Table2[[#This Row],[Form '#]],Table2[[#This Row],[Corrected Form '#
 (If Duplicated)]])</f>
        <v>7818-28217</v>
      </c>
      <c r="N2362" s="1" t="s">
        <v>49</v>
      </c>
      <c r="O2362" s="6" t="str">
        <f>IF(Table2[[#This Row],[POG CONFIRMATION RECEIPT OF ORDER
(DATE &amp; TIME)]]="","No Confirmation","Received Confirmation")</f>
        <v>Received Confirmation</v>
      </c>
      <c r="P2362" s="6">
        <f ca="1">TODAY()-Table2[[#This Row],[DATE SENT TO POG]]</f>
        <v>15</v>
      </c>
      <c r="Q2362" s="6" t="s">
        <v>5802</v>
      </c>
      <c r="R236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2" s="6" t="str">
        <f>_xlfn.XLOOKUP(Table2[[#This Row],[Adjusted Form '#]],'[2]IN PROGRESS'!$D:$D,'[2]IN PROGRESS'!$M:$M,"Not Found")</f>
        <v>Not Found</v>
      </c>
      <c r="U2362" s="6" t="str">
        <f>_xlfn.XLOOKUP(Table2[[#This Row],[Adjusted Form '#]],[1]COMPLETED!$D:$D,[2]COMPLETED!$M:$M,"Not Found")</f>
        <v>Not Found</v>
      </c>
      <c r="V2362" s="13" t="e">
        <f>_xlfn.XLOOKUP(Table2[[#This Row],[Adjusted Form '#]],[2]COMPLETED!$D:$D,[2]COMPLETED!$O:$O,"Not Found")</f>
        <v>#N/A</v>
      </c>
      <c r="W2362" s="6" t="str">
        <f>_xlfn.XLOOKUP(Table2[[#This Row],[Adjusted Form '#]],[2]BILLED!$D:$D,[2]BILLED!$M:$M,"Not Found")</f>
        <v>Not Found</v>
      </c>
      <c r="X2362" s="13" t="str">
        <f>_xlfn.XLOOKUP(Table2[[#This Row],[Adjusted Form '#]],[2]BILLED!$D:$D,[1]BILLED!$O:$O,"Not Found")</f>
        <v>Not Found</v>
      </c>
      <c r="Y2362" s="13" t="e">
        <f>_xlfn.XLOOKUP(Table2[[#This Row],[Adjusted Form '#]],'[2]REJECTED ORDERS'!$D:$D,'[2]REJECTED ORDERS'!$E:$E)</f>
        <v>#N/A</v>
      </c>
      <c r="Z2362" s="1"/>
      <c r="AA2362" s="1"/>
    </row>
    <row r="2363" spans="1:27" ht="15" customHeight="1" x14ac:dyDescent="0.35">
      <c r="A2363" s="4" t="s">
        <v>3423</v>
      </c>
      <c r="B2363" s="1" t="s">
        <v>1957</v>
      </c>
      <c r="C2363" s="11">
        <v>45288</v>
      </c>
      <c r="D2363" s="11" t="s">
        <v>8198</v>
      </c>
      <c r="E2363" s="1" t="s">
        <v>21</v>
      </c>
      <c r="F2363" s="1" t="s">
        <v>8191</v>
      </c>
      <c r="G2363" s="6">
        <f>COUNTIF(F:F,Table2[[#This Row],[Form '#]])</f>
        <v>1</v>
      </c>
      <c r="H2363" s="1" t="s">
        <v>883</v>
      </c>
      <c r="I2363" s="1" t="s">
        <v>3864</v>
      </c>
      <c r="J2363" s="1" t="s">
        <v>78</v>
      </c>
      <c r="K2363" s="1" t="s">
        <v>3879</v>
      </c>
      <c r="L2363" s="1"/>
      <c r="M2363" s="6" t="str">
        <f>IF(Table2[[#This Row],[Corrected Form '#
 (If Duplicated)]]="",Table2[[#This Row],[Form '#]],Table2[[#This Row],[Corrected Form '#
 (If Duplicated)]])</f>
        <v>7818-30786</v>
      </c>
      <c r="N2363" s="1" t="s">
        <v>49</v>
      </c>
      <c r="O2363" s="6" t="str">
        <f>IF(Table2[[#This Row],[POG CONFIRMATION RECEIPT OF ORDER
(DATE &amp; TIME)]]="","No Confirmation","Received Confirmation")</f>
        <v>Received Confirmation</v>
      </c>
      <c r="P2363" s="6">
        <f ca="1">TODAY()-Table2[[#This Row],[DATE SENT TO POG]]</f>
        <v>15</v>
      </c>
      <c r="Q2363" s="6" t="s">
        <v>5802</v>
      </c>
      <c r="R236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3" s="6" t="str">
        <f>_xlfn.XLOOKUP(Table2[[#This Row],[Adjusted Form '#]],'[2]IN PROGRESS'!$D:$D,'[2]IN PROGRESS'!$M:$M,"Not Found")</f>
        <v>Not Found</v>
      </c>
      <c r="U2363" s="6" t="str">
        <f>_xlfn.XLOOKUP(Table2[[#This Row],[Adjusted Form '#]],[1]COMPLETED!$D:$D,[2]COMPLETED!$M:$M,"Not Found")</f>
        <v>Not Found</v>
      </c>
      <c r="V2363" s="13" t="e">
        <f>_xlfn.XLOOKUP(Table2[[#This Row],[Adjusted Form '#]],[2]COMPLETED!$D:$D,[2]COMPLETED!$O:$O,"Not Found")</f>
        <v>#N/A</v>
      </c>
      <c r="W2363" s="6" t="str">
        <f>_xlfn.XLOOKUP(Table2[[#This Row],[Adjusted Form '#]],[2]BILLED!$D:$D,[2]BILLED!$M:$M,"Not Found")</f>
        <v>Not Found</v>
      </c>
      <c r="X2363" s="13" t="str">
        <f>_xlfn.XLOOKUP(Table2[[#This Row],[Adjusted Form '#]],[2]BILLED!$D:$D,[1]BILLED!$O:$O,"Not Found")</f>
        <v>Not Found</v>
      </c>
      <c r="Y2363" s="13" t="e">
        <f>_xlfn.XLOOKUP(Table2[[#This Row],[Adjusted Form '#]],'[2]REJECTED ORDERS'!$D:$D,'[2]REJECTED ORDERS'!$E:$E)</f>
        <v>#N/A</v>
      </c>
      <c r="Z2363" s="1"/>
      <c r="AA2363" s="1"/>
    </row>
    <row r="2364" spans="1:27" ht="15" customHeight="1" x14ac:dyDescent="0.35">
      <c r="A2364" s="4" t="s">
        <v>3424</v>
      </c>
      <c r="B2364" s="1" t="s">
        <v>8192</v>
      </c>
      <c r="C2364" s="11">
        <v>45289</v>
      </c>
      <c r="D2364" s="11" t="s">
        <v>8197</v>
      </c>
      <c r="E2364" s="1" t="s">
        <v>73</v>
      </c>
      <c r="F2364" s="1" t="s">
        <v>8193</v>
      </c>
      <c r="G2364" s="6">
        <f>COUNTIF(F:F,Table2[[#This Row],[Form '#]])</f>
        <v>1</v>
      </c>
      <c r="H2364" s="1" t="s">
        <v>8194</v>
      </c>
      <c r="I2364" s="1" t="s">
        <v>3852</v>
      </c>
      <c r="J2364" s="1" t="s">
        <v>3891</v>
      </c>
      <c r="K2364" s="1" t="s">
        <v>4430</v>
      </c>
      <c r="L2364" s="1"/>
      <c r="M2364" s="6" t="str">
        <f>IF(Table2[[#This Row],[Corrected Form '#
 (If Duplicated)]]="",Table2[[#This Row],[Form '#]],Table2[[#This Row],[Corrected Form '#
 (If Duplicated)]])</f>
        <v>7823-03046</v>
      </c>
      <c r="N2364" s="1" t="s">
        <v>49</v>
      </c>
      <c r="O2364" s="6" t="str">
        <f>IF(Table2[[#This Row],[POG CONFIRMATION RECEIPT OF ORDER
(DATE &amp; TIME)]]="","No Confirmation","Received Confirmation")</f>
        <v>Received Confirmation</v>
      </c>
      <c r="P2364" s="6">
        <f ca="1">TODAY()-Table2[[#This Row],[DATE SENT TO POG]]</f>
        <v>14</v>
      </c>
      <c r="Q2364" s="6" t="s">
        <v>5802</v>
      </c>
      <c r="R236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4" s="6" t="str">
        <f>_xlfn.XLOOKUP(Table2[[#This Row],[Adjusted Form '#]],'[2]IN PROGRESS'!$D:$D,'[2]IN PROGRESS'!$M:$M,"Not Found")</f>
        <v>Not Found</v>
      </c>
      <c r="U2364" s="6" t="str">
        <f>_xlfn.XLOOKUP(Table2[[#This Row],[Adjusted Form '#]],[1]COMPLETED!$D:$D,[2]COMPLETED!$M:$M,"Not Found")</f>
        <v>Not Found</v>
      </c>
      <c r="V2364" s="13" t="e">
        <f>_xlfn.XLOOKUP(Table2[[#This Row],[Adjusted Form '#]],[2]COMPLETED!$D:$D,[2]COMPLETED!$O:$O,"Not Found")</f>
        <v>#N/A</v>
      </c>
      <c r="W2364" s="6" t="str">
        <f>_xlfn.XLOOKUP(Table2[[#This Row],[Adjusted Form '#]],[2]BILLED!$D:$D,[2]BILLED!$M:$M,"Not Found")</f>
        <v>Not Found</v>
      </c>
      <c r="X2364" s="13" t="str">
        <f>_xlfn.XLOOKUP(Table2[[#This Row],[Adjusted Form '#]],[2]BILLED!$D:$D,[1]BILLED!$O:$O,"Not Found")</f>
        <v>Not Found</v>
      </c>
      <c r="Y2364" s="13" t="e">
        <f>_xlfn.XLOOKUP(Table2[[#This Row],[Adjusted Form '#]],'[2]REJECTED ORDERS'!$D:$D,'[2]REJECTED ORDERS'!$E:$E)</f>
        <v>#N/A</v>
      </c>
      <c r="Z2364" s="1"/>
      <c r="AA2364" s="1"/>
    </row>
    <row r="2365" spans="1:27" ht="15" customHeight="1" x14ac:dyDescent="0.35">
      <c r="A2365" s="4" t="s">
        <v>3425</v>
      </c>
      <c r="B2365" s="1" t="s">
        <v>3567</v>
      </c>
      <c r="C2365" s="11">
        <v>45289</v>
      </c>
      <c r="D2365" s="11" t="s">
        <v>8197</v>
      </c>
      <c r="E2365" s="1" t="s">
        <v>21</v>
      </c>
      <c r="F2365" s="1" t="s">
        <v>8195</v>
      </c>
      <c r="G2365" s="6">
        <f>COUNTIF(F:F,Table2[[#This Row],[Form '#]])</f>
        <v>1</v>
      </c>
      <c r="H2365" s="1" t="s">
        <v>8196</v>
      </c>
      <c r="I2365" s="1" t="s">
        <v>3864</v>
      </c>
      <c r="J2365" s="1" t="s">
        <v>78</v>
      </c>
      <c r="K2365" s="1" t="s">
        <v>3879</v>
      </c>
      <c r="L2365" s="1"/>
      <c r="M2365" s="6" t="str">
        <f>IF(Table2[[#This Row],[Corrected Form '#
 (If Duplicated)]]="",Table2[[#This Row],[Form '#]],Table2[[#This Row],[Corrected Form '#
 (If Duplicated)]])</f>
        <v>7818-26419</v>
      </c>
      <c r="N2365" s="1" t="s">
        <v>49</v>
      </c>
      <c r="O2365" s="6" t="str">
        <f>IF(Table2[[#This Row],[POG CONFIRMATION RECEIPT OF ORDER
(DATE &amp; TIME)]]="","No Confirmation","Received Confirmation")</f>
        <v>Received Confirmation</v>
      </c>
      <c r="P2365" s="6">
        <f ca="1">TODAY()-Table2[[#This Row],[DATE SENT TO POG]]</f>
        <v>14</v>
      </c>
      <c r="Q2365" s="6" t="s">
        <v>5802</v>
      </c>
      <c r="R236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5" s="6" t="str">
        <f>_xlfn.XLOOKUP(Table2[[#This Row],[Adjusted Form '#]],'[2]IN PROGRESS'!$D:$D,'[2]IN PROGRESS'!$M:$M,"Not Found")</f>
        <v>Not Found</v>
      </c>
      <c r="U2365" s="6" t="str">
        <f>_xlfn.XLOOKUP(Table2[[#This Row],[Adjusted Form '#]],[1]COMPLETED!$D:$D,[2]COMPLETED!$M:$M,"Not Found")</f>
        <v>Not Found</v>
      </c>
      <c r="V2365" s="13" t="e">
        <f>_xlfn.XLOOKUP(Table2[[#This Row],[Adjusted Form '#]],[2]COMPLETED!$D:$D,[2]COMPLETED!$O:$O,"Not Found")</f>
        <v>#N/A</v>
      </c>
      <c r="W2365" s="6" t="str">
        <f>_xlfn.XLOOKUP(Table2[[#This Row],[Adjusted Form '#]],[2]BILLED!$D:$D,[2]BILLED!$M:$M,"Not Found")</f>
        <v>Not Found</v>
      </c>
      <c r="X2365" s="13" t="str">
        <f>_xlfn.XLOOKUP(Table2[[#This Row],[Adjusted Form '#]],[2]BILLED!$D:$D,[1]BILLED!$O:$O,"Not Found")</f>
        <v>Not Found</v>
      </c>
      <c r="Y2365" s="13" t="e">
        <f>_xlfn.XLOOKUP(Table2[[#This Row],[Adjusted Form '#]],'[2]REJECTED ORDERS'!$D:$D,'[2]REJECTED ORDERS'!$E:$E)</f>
        <v>#N/A</v>
      </c>
      <c r="Z2365" s="1"/>
      <c r="AA2365" s="1"/>
    </row>
    <row r="2366" spans="1:27" ht="15" customHeight="1" x14ac:dyDescent="0.35">
      <c r="A2366" s="4" t="s">
        <v>3426</v>
      </c>
      <c r="B2366" s="1" t="s">
        <v>267</v>
      </c>
      <c r="C2366" s="11">
        <v>45289</v>
      </c>
      <c r="D2366" s="11" t="s">
        <v>8213</v>
      </c>
      <c r="E2366" s="1" t="s">
        <v>21</v>
      </c>
      <c r="F2366" s="1" t="s">
        <v>8199</v>
      </c>
      <c r="G2366" s="6">
        <f>COUNTIF(F:F,Table2[[#This Row],[Form '#]])</f>
        <v>1</v>
      </c>
      <c r="H2366" s="1" t="s">
        <v>2370</v>
      </c>
      <c r="I2366" s="1" t="s">
        <v>3852</v>
      </c>
      <c r="J2366" s="1" t="s">
        <v>80</v>
      </c>
      <c r="K2366" s="1" t="s">
        <v>3853</v>
      </c>
      <c r="L2366" s="1"/>
      <c r="M2366" s="6" t="str">
        <f>IF(Table2[[#This Row],[Corrected Form '#
 (If Duplicated)]]="",Table2[[#This Row],[Form '#]],Table2[[#This Row],[Corrected Form '#
 (If Duplicated)]])</f>
        <v>7818-14941</v>
      </c>
      <c r="N2366" s="1" t="s">
        <v>49</v>
      </c>
      <c r="O2366" s="6" t="str">
        <f>IF(Table2[[#This Row],[POG CONFIRMATION RECEIPT OF ORDER
(DATE &amp; TIME)]]="","No Confirmation","Received Confirmation")</f>
        <v>Received Confirmation</v>
      </c>
      <c r="P2366" s="6">
        <f ca="1">TODAY()-Table2[[#This Row],[DATE SENT TO POG]]</f>
        <v>14</v>
      </c>
      <c r="Q2366" s="6" t="s">
        <v>5802</v>
      </c>
      <c r="R236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6" s="6" t="str">
        <f>_xlfn.XLOOKUP(Table2[[#This Row],[Adjusted Form '#]],'[2]IN PROGRESS'!$D:$D,'[2]IN PROGRESS'!$M:$M,"Not Found")</f>
        <v>Not Found</v>
      </c>
      <c r="U2366" s="6" t="str">
        <f>_xlfn.XLOOKUP(Table2[[#This Row],[Adjusted Form '#]],[1]COMPLETED!$D:$D,[2]COMPLETED!$M:$M,"Not Found")</f>
        <v>Not Found</v>
      </c>
      <c r="V2366" s="13" t="e">
        <f>_xlfn.XLOOKUP(Table2[[#This Row],[Adjusted Form '#]],[2]COMPLETED!$D:$D,[2]COMPLETED!$O:$O,"Not Found")</f>
        <v>#N/A</v>
      </c>
      <c r="W2366" s="6" t="str">
        <f>_xlfn.XLOOKUP(Table2[[#This Row],[Adjusted Form '#]],[2]BILLED!$D:$D,[2]BILLED!$M:$M,"Not Found")</f>
        <v>Not Found</v>
      </c>
      <c r="X2366" s="13" t="str">
        <f>_xlfn.XLOOKUP(Table2[[#This Row],[Adjusted Form '#]],[2]BILLED!$D:$D,[1]BILLED!$O:$O,"Not Found")</f>
        <v>Not Found</v>
      </c>
      <c r="Y2366" s="13" t="e">
        <f>_xlfn.XLOOKUP(Table2[[#This Row],[Adjusted Form '#]],'[2]REJECTED ORDERS'!$D:$D,'[2]REJECTED ORDERS'!$E:$E)</f>
        <v>#N/A</v>
      </c>
      <c r="Z2366" s="1"/>
      <c r="AA2366" s="1"/>
    </row>
    <row r="2367" spans="1:27" ht="15" customHeight="1" x14ac:dyDescent="0.35">
      <c r="A2367" s="4" t="s">
        <v>3429</v>
      </c>
      <c r="B2367" s="1" t="s">
        <v>267</v>
      </c>
      <c r="C2367" s="11">
        <v>45289</v>
      </c>
      <c r="D2367" s="11" t="s">
        <v>8213</v>
      </c>
      <c r="E2367" s="1" t="s">
        <v>21</v>
      </c>
      <c r="F2367" s="1" t="s">
        <v>8200</v>
      </c>
      <c r="G2367" s="6">
        <f>COUNTIF(F:F,Table2[[#This Row],[Form '#]])</f>
        <v>1</v>
      </c>
      <c r="H2367" s="1" t="s">
        <v>3599</v>
      </c>
      <c r="I2367" s="1" t="s">
        <v>3864</v>
      </c>
      <c r="J2367" s="1" t="s">
        <v>78</v>
      </c>
      <c r="K2367" s="1" t="s">
        <v>3879</v>
      </c>
      <c r="L2367" s="1"/>
      <c r="M2367" s="6" t="str">
        <f>IF(Table2[[#This Row],[Corrected Form '#
 (If Duplicated)]]="",Table2[[#This Row],[Form '#]],Table2[[#This Row],[Corrected Form '#
 (If Duplicated)]])</f>
        <v>7818-28536</v>
      </c>
      <c r="N2367" s="1" t="s">
        <v>49</v>
      </c>
      <c r="O2367" s="6" t="str">
        <f>IF(Table2[[#This Row],[POG CONFIRMATION RECEIPT OF ORDER
(DATE &amp; TIME)]]="","No Confirmation","Received Confirmation")</f>
        <v>Received Confirmation</v>
      </c>
      <c r="P2367" s="6">
        <f ca="1">TODAY()-Table2[[#This Row],[DATE SENT TO POG]]</f>
        <v>14</v>
      </c>
      <c r="Q2367" s="6" t="s">
        <v>5802</v>
      </c>
      <c r="R236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7" s="6" t="str">
        <f>_xlfn.XLOOKUP(Table2[[#This Row],[Adjusted Form '#]],'[2]IN PROGRESS'!$D:$D,'[2]IN PROGRESS'!$M:$M,"Not Found")</f>
        <v>Not Found</v>
      </c>
      <c r="U2367" s="6" t="str">
        <f>_xlfn.XLOOKUP(Table2[[#This Row],[Adjusted Form '#]],[1]COMPLETED!$D:$D,[2]COMPLETED!$M:$M,"Not Found")</f>
        <v>Not Found</v>
      </c>
      <c r="V2367" s="13" t="e">
        <f>_xlfn.XLOOKUP(Table2[[#This Row],[Adjusted Form '#]],[2]COMPLETED!$D:$D,[2]COMPLETED!$O:$O,"Not Found")</f>
        <v>#N/A</v>
      </c>
      <c r="W2367" s="6" t="str">
        <f>_xlfn.XLOOKUP(Table2[[#This Row],[Adjusted Form '#]],[2]BILLED!$D:$D,[2]BILLED!$M:$M,"Not Found")</f>
        <v>Not Found</v>
      </c>
      <c r="X2367" s="13" t="str">
        <f>_xlfn.XLOOKUP(Table2[[#This Row],[Adjusted Form '#]],[2]BILLED!$D:$D,[1]BILLED!$O:$O,"Not Found")</f>
        <v>Not Found</v>
      </c>
      <c r="Y2367" s="13" t="e">
        <f>_xlfn.XLOOKUP(Table2[[#This Row],[Adjusted Form '#]],'[2]REJECTED ORDERS'!$D:$D,'[2]REJECTED ORDERS'!$E:$E)</f>
        <v>#N/A</v>
      </c>
      <c r="Z2367" s="1"/>
      <c r="AA2367" s="1"/>
    </row>
    <row r="2368" spans="1:27" ht="15" customHeight="1" x14ac:dyDescent="0.35">
      <c r="A2368" s="4" t="s">
        <v>3430</v>
      </c>
      <c r="B2368" s="1" t="s">
        <v>267</v>
      </c>
      <c r="C2368" s="11">
        <v>45289</v>
      </c>
      <c r="D2368" s="11" t="s">
        <v>8213</v>
      </c>
      <c r="E2368" s="1" t="s">
        <v>21</v>
      </c>
      <c r="F2368" s="1" t="s">
        <v>8201</v>
      </c>
      <c r="G2368" s="6">
        <f>COUNTIF(F:F,Table2[[#This Row],[Form '#]])</f>
        <v>1</v>
      </c>
      <c r="H2368" s="1" t="s">
        <v>8202</v>
      </c>
      <c r="I2368" s="1" t="s">
        <v>3852</v>
      </c>
      <c r="J2368" s="1" t="s">
        <v>80</v>
      </c>
      <c r="K2368" s="1" t="s">
        <v>3853</v>
      </c>
      <c r="L2368" s="1"/>
      <c r="M2368" s="6" t="str">
        <f>IF(Table2[[#This Row],[Corrected Form '#
 (If Duplicated)]]="",Table2[[#This Row],[Form '#]],Table2[[#This Row],[Corrected Form '#
 (If Duplicated)]])</f>
        <v>7818-20060</v>
      </c>
      <c r="N2368" s="1" t="s">
        <v>49</v>
      </c>
      <c r="O2368" s="6" t="str">
        <f>IF(Table2[[#This Row],[POG CONFIRMATION RECEIPT OF ORDER
(DATE &amp; TIME)]]="","No Confirmation","Received Confirmation")</f>
        <v>Received Confirmation</v>
      </c>
      <c r="P2368" s="6">
        <f ca="1">TODAY()-Table2[[#This Row],[DATE SENT TO POG]]</f>
        <v>14</v>
      </c>
      <c r="Q2368" s="6" t="s">
        <v>5802</v>
      </c>
      <c r="R236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8" s="6" t="str">
        <f>_xlfn.XLOOKUP(Table2[[#This Row],[Adjusted Form '#]],'[2]IN PROGRESS'!$D:$D,'[2]IN PROGRESS'!$M:$M,"Not Found")</f>
        <v>Not Found</v>
      </c>
      <c r="U2368" s="6" t="str">
        <f>_xlfn.XLOOKUP(Table2[[#This Row],[Adjusted Form '#]],[1]COMPLETED!$D:$D,[2]COMPLETED!$M:$M,"Not Found")</f>
        <v>Not Found</v>
      </c>
      <c r="V2368" s="13" t="e">
        <f>_xlfn.XLOOKUP(Table2[[#This Row],[Adjusted Form '#]],[2]COMPLETED!$D:$D,[2]COMPLETED!$O:$O,"Not Found")</f>
        <v>#N/A</v>
      </c>
      <c r="W2368" s="6" t="str">
        <f>_xlfn.XLOOKUP(Table2[[#This Row],[Adjusted Form '#]],[2]BILLED!$D:$D,[2]BILLED!$M:$M,"Not Found")</f>
        <v>Not Found</v>
      </c>
      <c r="X2368" s="13" t="str">
        <f>_xlfn.XLOOKUP(Table2[[#This Row],[Adjusted Form '#]],[2]BILLED!$D:$D,[1]BILLED!$O:$O,"Not Found")</f>
        <v>Not Found</v>
      </c>
      <c r="Y2368" s="13" t="e">
        <f>_xlfn.XLOOKUP(Table2[[#This Row],[Adjusted Form '#]],'[2]REJECTED ORDERS'!$D:$D,'[2]REJECTED ORDERS'!$E:$E)</f>
        <v>#N/A</v>
      </c>
      <c r="Z2368" s="1"/>
      <c r="AA2368" s="1"/>
    </row>
    <row r="2369" spans="1:27" ht="15" customHeight="1" x14ac:dyDescent="0.35">
      <c r="A2369" s="4" t="s">
        <v>3431</v>
      </c>
      <c r="B2369" s="1" t="s">
        <v>267</v>
      </c>
      <c r="C2369" s="11">
        <v>45289</v>
      </c>
      <c r="D2369" s="11" t="s">
        <v>8213</v>
      </c>
      <c r="E2369" s="1" t="s">
        <v>21</v>
      </c>
      <c r="F2369" s="1" t="s">
        <v>8203</v>
      </c>
      <c r="G2369" s="6">
        <f>COUNTIF(F:F,Table2[[#This Row],[Form '#]])</f>
        <v>1</v>
      </c>
      <c r="H2369" s="1" t="s">
        <v>2148</v>
      </c>
      <c r="I2369" s="1" t="s">
        <v>127</v>
      </c>
      <c r="J2369" s="1" t="s">
        <v>76</v>
      </c>
      <c r="K2369" s="1" t="s">
        <v>3883</v>
      </c>
      <c r="L2369" s="1"/>
      <c r="M2369" s="6" t="str">
        <f>IF(Table2[[#This Row],[Corrected Form '#
 (If Duplicated)]]="",Table2[[#This Row],[Form '#]],Table2[[#This Row],[Corrected Form '#
 (If Duplicated)]])</f>
        <v>7818-20436</v>
      </c>
      <c r="N2369" s="1" t="s">
        <v>49</v>
      </c>
      <c r="O2369" s="6" t="str">
        <f>IF(Table2[[#This Row],[POG CONFIRMATION RECEIPT OF ORDER
(DATE &amp; TIME)]]="","No Confirmation","Received Confirmation")</f>
        <v>Received Confirmation</v>
      </c>
      <c r="P2369" s="6">
        <f ca="1">TODAY()-Table2[[#This Row],[DATE SENT TO POG]]</f>
        <v>14</v>
      </c>
      <c r="Q2369" s="6" t="s">
        <v>5802</v>
      </c>
      <c r="R2369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69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69" s="6" t="str">
        <f>_xlfn.XLOOKUP(Table2[[#This Row],[Adjusted Form '#]],'[2]IN PROGRESS'!$D:$D,'[2]IN PROGRESS'!$M:$M,"Not Found")</f>
        <v>Not Found</v>
      </c>
      <c r="U2369" s="6" t="str">
        <f>_xlfn.XLOOKUP(Table2[[#This Row],[Adjusted Form '#]],[1]COMPLETED!$D:$D,[2]COMPLETED!$M:$M,"Not Found")</f>
        <v>Not Found</v>
      </c>
      <c r="V2369" s="13" t="e">
        <f>_xlfn.XLOOKUP(Table2[[#This Row],[Adjusted Form '#]],[2]COMPLETED!$D:$D,[2]COMPLETED!$O:$O,"Not Found")</f>
        <v>#N/A</v>
      </c>
      <c r="W2369" s="6" t="str">
        <f>_xlfn.XLOOKUP(Table2[[#This Row],[Adjusted Form '#]],[2]BILLED!$D:$D,[2]BILLED!$M:$M,"Not Found")</f>
        <v>Not Found</v>
      </c>
      <c r="X2369" s="13" t="str">
        <f>_xlfn.XLOOKUP(Table2[[#This Row],[Adjusted Form '#]],[2]BILLED!$D:$D,[1]BILLED!$O:$O,"Not Found")</f>
        <v>Not Found</v>
      </c>
      <c r="Y2369" s="13" t="e">
        <f>_xlfn.XLOOKUP(Table2[[#This Row],[Adjusted Form '#]],'[2]REJECTED ORDERS'!$D:$D,'[2]REJECTED ORDERS'!$E:$E)</f>
        <v>#N/A</v>
      </c>
      <c r="Z2369" s="1"/>
      <c r="AA2369" s="1"/>
    </row>
    <row r="2370" spans="1:27" ht="15" customHeight="1" x14ac:dyDescent="0.35">
      <c r="A2370" s="4" t="s">
        <v>3432</v>
      </c>
      <c r="B2370" s="1" t="s">
        <v>267</v>
      </c>
      <c r="C2370" s="11">
        <v>45289</v>
      </c>
      <c r="D2370" s="11" t="s">
        <v>8213</v>
      </c>
      <c r="E2370" s="1" t="s">
        <v>21</v>
      </c>
      <c r="F2370" s="1" t="s">
        <v>8204</v>
      </c>
      <c r="G2370" s="6">
        <f>COUNTIF(F:F,Table2[[#This Row],[Form '#]])</f>
        <v>1</v>
      </c>
      <c r="H2370" s="1" t="s">
        <v>8205</v>
      </c>
      <c r="I2370" s="1" t="s">
        <v>127</v>
      </c>
      <c r="J2370" s="1" t="s">
        <v>74</v>
      </c>
      <c r="K2370" s="1" t="s">
        <v>4011</v>
      </c>
      <c r="L2370" s="1"/>
      <c r="M2370" s="6" t="str">
        <f>IF(Table2[[#This Row],[Corrected Form '#
 (If Duplicated)]]="",Table2[[#This Row],[Form '#]],Table2[[#This Row],[Corrected Form '#
 (If Duplicated)]])</f>
        <v>7818-22367</v>
      </c>
      <c r="N2370" s="1" t="s">
        <v>49</v>
      </c>
      <c r="O2370" s="6" t="str">
        <f>IF(Table2[[#This Row],[POG CONFIRMATION RECEIPT OF ORDER
(DATE &amp; TIME)]]="","No Confirmation","Received Confirmation")</f>
        <v>Received Confirmation</v>
      </c>
      <c r="P2370" s="6">
        <f ca="1">TODAY()-Table2[[#This Row],[DATE SENT TO POG]]</f>
        <v>14</v>
      </c>
      <c r="Q2370" s="6" t="s">
        <v>5802</v>
      </c>
      <c r="R2370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0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0" s="6" t="str">
        <f>_xlfn.XLOOKUP(Table2[[#This Row],[Adjusted Form '#]],'[2]IN PROGRESS'!$D:$D,'[2]IN PROGRESS'!$M:$M,"Not Found")</f>
        <v>Not Found</v>
      </c>
      <c r="U2370" s="6" t="str">
        <f>_xlfn.XLOOKUP(Table2[[#This Row],[Adjusted Form '#]],[1]COMPLETED!$D:$D,[2]COMPLETED!$M:$M,"Not Found")</f>
        <v>Not Found</v>
      </c>
      <c r="V2370" s="13" t="e">
        <f>_xlfn.XLOOKUP(Table2[[#This Row],[Adjusted Form '#]],[2]COMPLETED!$D:$D,[2]COMPLETED!$O:$O,"Not Found")</f>
        <v>#N/A</v>
      </c>
      <c r="W2370" s="6" t="str">
        <f>_xlfn.XLOOKUP(Table2[[#This Row],[Adjusted Form '#]],[2]BILLED!$D:$D,[2]BILLED!$M:$M,"Not Found")</f>
        <v>Not Found</v>
      </c>
      <c r="X2370" s="13" t="str">
        <f>_xlfn.XLOOKUP(Table2[[#This Row],[Adjusted Form '#]],[2]BILLED!$D:$D,[1]BILLED!$O:$O,"Not Found")</f>
        <v>Not Found</v>
      </c>
      <c r="Y2370" s="13" t="e">
        <f>_xlfn.XLOOKUP(Table2[[#This Row],[Adjusted Form '#]],'[2]REJECTED ORDERS'!$D:$D,'[2]REJECTED ORDERS'!$E:$E)</f>
        <v>#N/A</v>
      </c>
      <c r="Z2370" s="1"/>
      <c r="AA2370" s="1"/>
    </row>
    <row r="2371" spans="1:27" ht="15" customHeight="1" x14ac:dyDescent="0.35">
      <c r="A2371" s="4" t="s">
        <v>3433</v>
      </c>
      <c r="B2371" s="1" t="s">
        <v>267</v>
      </c>
      <c r="C2371" s="11">
        <v>45289</v>
      </c>
      <c r="D2371" s="11" t="s">
        <v>8213</v>
      </c>
      <c r="E2371" s="1" t="s">
        <v>21</v>
      </c>
      <c r="F2371" s="1" t="s">
        <v>8206</v>
      </c>
      <c r="G2371" s="6">
        <f>COUNTIF(F:F,Table2[[#This Row],[Form '#]])</f>
        <v>1</v>
      </c>
      <c r="H2371" s="1" t="s">
        <v>1209</v>
      </c>
      <c r="I2371" s="1" t="s">
        <v>127</v>
      </c>
      <c r="J2371" s="1" t="s">
        <v>71</v>
      </c>
      <c r="K2371" s="1" t="s">
        <v>3883</v>
      </c>
      <c r="L2371" s="1"/>
      <c r="M2371" s="6" t="str">
        <f>IF(Table2[[#This Row],[Corrected Form '#
 (If Duplicated)]]="",Table2[[#This Row],[Form '#]],Table2[[#This Row],[Corrected Form '#
 (If Duplicated)]])</f>
        <v>7818-32577</v>
      </c>
      <c r="N2371" s="1" t="s">
        <v>49</v>
      </c>
      <c r="O2371" s="6" t="str">
        <f>IF(Table2[[#This Row],[POG CONFIRMATION RECEIPT OF ORDER
(DATE &amp; TIME)]]="","No Confirmation","Received Confirmation")</f>
        <v>Received Confirmation</v>
      </c>
      <c r="P2371" s="6">
        <f ca="1">TODAY()-Table2[[#This Row],[DATE SENT TO POG]]</f>
        <v>14</v>
      </c>
      <c r="Q2371" s="6" t="s">
        <v>5802</v>
      </c>
      <c r="R2371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1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1" s="6" t="str">
        <f>_xlfn.XLOOKUP(Table2[[#This Row],[Adjusted Form '#]],'[2]IN PROGRESS'!$D:$D,'[2]IN PROGRESS'!$M:$M,"Not Found")</f>
        <v>Not Found</v>
      </c>
      <c r="U2371" s="6" t="str">
        <f>_xlfn.XLOOKUP(Table2[[#This Row],[Adjusted Form '#]],[1]COMPLETED!$D:$D,[2]COMPLETED!$M:$M,"Not Found")</f>
        <v>Not Found</v>
      </c>
      <c r="V2371" s="13" t="e">
        <f>_xlfn.XLOOKUP(Table2[[#This Row],[Adjusted Form '#]],[2]COMPLETED!$D:$D,[2]COMPLETED!$O:$O,"Not Found")</f>
        <v>#N/A</v>
      </c>
      <c r="W2371" s="6" t="str">
        <f>_xlfn.XLOOKUP(Table2[[#This Row],[Adjusted Form '#]],[2]BILLED!$D:$D,[2]BILLED!$M:$M,"Not Found")</f>
        <v>Not Found</v>
      </c>
      <c r="X2371" s="13" t="str">
        <f>_xlfn.XLOOKUP(Table2[[#This Row],[Adjusted Form '#]],[2]BILLED!$D:$D,[1]BILLED!$O:$O,"Not Found")</f>
        <v>Not Found</v>
      </c>
      <c r="Y2371" s="13" t="e">
        <f>_xlfn.XLOOKUP(Table2[[#This Row],[Adjusted Form '#]],'[2]REJECTED ORDERS'!$D:$D,'[2]REJECTED ORDERS'!$E:$E)</f>
        <v>#N/A</v>
      </c>
      <c r="Z2371" s="1"/>
      <c r="AA2371" s="1"/>
    </row>
    <row r="2372" spans="1:27" ht="15" customHeight="1" x14ac:dyDescent="0.35">
      <c r="A2372" s="4" t="s">
        <v>3434</v>
      </c>
      <c r="B2372" s="1" t="s">
        <v>267</v>
      </c>
      <c r="C2372" s="11">
        <v>45289</v>
      </c>
      <c r="D2372" s="11" t="s">
        <v>8213</v>
      </c>
      <c r="E2372" s="1" t="s">
        <v>21</v>
      </c>
      <c r="F2372" s="1" t="s">
        <v>8207</v>
      </c>
      <c r="G2372" s="6">
        <f>COUNTIF(F:F,Table2[[#This Row],[Form '#]])</f>
        <v>1</v>
      </c>
      <c r="H2372" s="1" t="s">
        <v>2167</v>
      </c>
      <c r="I2372" s="1" t="s">
        <v>127</v>
      </c>
      <c r="J2372" s="1" t="s">
        <v>74</v>
      </c>
      <c r="K2372" s="1" t="s">
        <v>4011</v>
      </c>
      <c r="L2372" s="1"/>
      <c r="M2372" s="6" t="str">
        <f>IF(Table2[[#This Row],[Corrected Form '#
 (If Duplicated)]]="",Table2[[#This Row],[Form '#]],Table2[[#This Row],[Corrected Form '#
 (If Duplicated)]])</f>
        <v>7818-16894</v>
      </c>
      <c r="N2372" s="1" t="s">
        <v>49</v>
      </c>
      <c r="O2372" s="6" t="str">
        <f>IF(Table2[[#This Row],[POG CONFIRMATION RECEIPT OF ORDER
(DATE &amp; TIME)]]="","No Confirmation","Received Confirmation")</f>
        <v>Received Confirmation</v>
      </c>
      <c r="P2372" s="6">
        <f ca="1">TODAY()-Table2[[#This Row],[DATE SENT TO POG]]</f>
        <v>14</v>
      </c>
      <c r="Q2372" s="6" t="s">
        <v>5802</v>
      </c>
      <c r="R2372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2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2" s="6" t="str">
        <f>_xlfn.XLOOKUP(Table2[[#This Row],[Adjusted Form '#]],'[2]IN PROGRESS'!$D:$D,'[2]IN PROGRESS'!$M:$M,"Not Found")</f>
        <v>Not Found</v>
      </c>
      <c r="U2372" s="6" t="str">
        <f>_xlfn.XLOOKUP(Table2[[#This Row],[Adjusted Form '#]],[1]COMPLETED!$D:$D,[2]COMPLETED!$M:$M,"Not Found")</f>
        <v>Not Found</v>
      </c>
      <c r="V2372" s="13" t="e">
        <f>_xlfn.XLOOKUP(Table2[[#This Row],[Adjusted Form '#]],[2]COMPLETED!$D:$D,[2]COMPLETED!$O:$O,"Not Found")</f>
        <v>#N/A</v>
      </c>
      <c r="W2372" s="6" t="str">
        <f>_xlfn.XLOOKUP(Table2[[#This Row],[Adjusted Form '#]],[2]BILLED!$D:$D,[2]BILLED!$M:$M,"Not Found")</f>
        <v>Not Found</v>
      </c>
      <c r="X2372" s="13" t="str">
        <f>_xlfn.XLOOKUP(Table2[[#This Row],[Adjusted Form '#]],[2]BILLED!$D:$D,[1]BILLED!$O:$O,"Not Found")</f>
        <v>Not Found</v>
      </c>
      <c r="Y2372" s="13" t="e">
        <f>_xlfn.XLOOKUP(Table2[[#This Row],[Adjusted Form '#]],'[2]REJECTED ORDERS'!$D:$D,'[2]REJECTED ORDERS'!$E:$E)</f>
        <v>#N/A</v>
      </c>
      <c r="Z2372" s="1"/>
      <c r="AA2372" s="1"/>
    </row>
    <row r="2373" spans="1:27" ht="15" customHeight="1" x14ac:dyDescent="0.35">
      <c r="A2373" s="4" t="s">
        <v>3435</v>
      </c>
      <c r="B2373" s="1" t="s">
        <v>267</v>
      </c>
      <c r="C2373" s="11">
        <v>45289</v>
      </c>
      <c r="D2373" s="11" t="s">
        <v>8213</v>
      </c>
      <c r="E2373" s="1" t="s">
        <v>21</v>
      </c>
      <c r="F2373" s="1" t="s">
        <v>8208</v>
      </c>
      <c r="G2373" s="6">
        <f>COUNTIF(F:F,Table2[[#This Row],[Form '#]])</f>
        <v>1</v>
      </c>
      <c r="H2373" s="1" t="s">
        <v>2165</v>
      </c>
      <c r="I2373" s="1" t="s">
        <v>127</v>
      </c>
      <c r="J2373" s="1" t="s">
        <v>74</v>
      </c>
      <c r="K2373" s="1" t="s">
        <v>3891</v>
      </c>
      <c r="L2373" s="1"/>
      <c r="M2373" s="6" t="str">
        <f>IF(Table2[[#This Row],[Corrected Form '#
 (If Duplicated)]]="",Table2[[#This Row],[Form '#]],Table2[[#This Row],[Corrected Form '#
 (If Duplicated)]])</f>
        <v>7818-16893</v>
      </c>
      <c r="N2373" s="1" t="s">
        <v>49</v>
      </c>
      <c r="O2373" s="6" t="str">
        <f>IF(Table2[[#This Row],[POG CONFIRMATION RECEIPT OF ORDER
(DATE &amp; TIME)]]="","No Confirmation","Received Confirmation")</f>
        <v>Received Confirmation</v>
      </c>
      <c r="P2373" s="6">
        <f ca="1">TODAY()-Table2[[#This Row],[DATE SENT TO POG]]</f>
        <v>14</v>
      </c>
      <c r="Q2373" s="6" t="s">
        <v>5802</v>
      </c>
      <c r="R2373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3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3" s="6" t="str">
        <f>_xlfn.XLOOKUP(Table2[[#This Row],[Adjusted Form '#]],'[2]IN PROGRESS'!$D:$D,'[2]IN PROGRESS'!$M:$M,"Not Found")</f>
        <v>Not Found</v>
      </c>
      <c r="U2373" s="6" t="str">
        <f>_xlfn.XLOOKUP(Table2[[#This Row],[Adjusted Form '#]],[1]COMPLETED!$D:$D,[2]COMPLETED!$M:$M,"Not Found")</f>
        <v>Not Found</v>
      </c>
      <c r="V2373" s="13" t="e">
        <f>_xlfn.XLOOKUP(Table2[[#This Row],[Adjusted Form '#]],[2]COMPLETED!$D:$D,[2]COMPLETED!$O:$O,"Not Found")</f>
        <v>#N/A</v>
      </c>
      <c r="W2373" s="6" t="str">
        <f>_xlfn.XLOOKUP(Table2[[#This Row],[Adjusted Form '#]],[2]BILLED!$D:$D,[2]BILLED!$M:$M,"Not Found")</f>
        <v>Not Found</v>
      </c>
      <c r="X2373" s="13" t="str">
        <f>_xlfn.XLOOKUP(Table2[[#This Row],[Adjusted Form '#]],[2]BILLED!$D:$D,[1]BILLED!$O:$O,"Not Found")</f>
        <v>Not Found</v>
      </c>
      <c r="Y2373" s="13" t="e">
        <f>_xlfn.XLOOKUP(Table2[[#This Row],[Adjusted Form '#]],'[2]REJECTED ORDERS'!$D:$D,'[2]REJECTED ORDERS'!$E:$E)</f>
        <v>#N/A</v>
      </c>
      <c r="Z2373" s="1"/>
      <c r="AA2373" s="1"/>
    </row>
    <row r="2374" spans="1:27" ht="15" customHeight="1" x14ac:dyDescent="0.35">
      <c r="A2374" s="4" t="s">
        <v>3436</v>
      </c>
      <c r="B2374" s="1" t="s">
        <v>267</v>
      </c>
      <c r="C2374" s="11">
        <v>45289</v>
      </c>
      <c r="D2374" s="11" t="s">
        <v>8213</v>
      </c>
      <c r="E2374" s="1" t="s">
        <v>21</v>
      </c>
      <c r="F2374" s="1" t="s">
        <v>8209</v>
      </c>
      <c r="G2374" s="6">
        <f>COUNTIF(F:F,Table2[[#This Row],[Form '#]])</f>
        <v>1</v>
      </c>
      <c r="H2374" s="1" t="s">
        <v>3650</v>
      </c>
      <c r="I2374" s="1" t="s">
        <v>3864</v>
      </c>
      <c r="J2374" s="1" t="s">
        <v>78</v>
      </c>
      <c r="K2374" s="1" t="s">
        <v>3879</v>
      </c>
      <c r="L2374" s="1"/>
      <c r="M2374" s="6" t="str">
        <f>IF(Table2[[#This Row],[Corrected Form '#
 (If Duplicated)]]="",Table2[[#This Row],[Form '#]],Table2[[#This Row],[Corrected Form '#
 (If Duplicated)]])</f>
        <v>7818-16891</v>
      </c>
      <c r="N2374" s="1" t="s">
        <v>49</v>
      </c>
      <c r="O2374" s="6" t="str">
        <f>IF(Table2[[#This Row],[POG CONFIRMATION RECEIPT OF ORDER
(DATE &amp; TIME)]]="","No Confirmation","Received Confirmation")</f>
        <v>Received Confirmation</v>
      </c>
      <c r="P2374" s="6">
        <f ca="1">TODAY()-Table2[[#This Row],[DATE SENT TO POG]]</f>
        <v>14</v>
      </c>
      <c r="Q2374" s="6" t="s">
        <v>5802</v>
      </c>
      <c r="R2374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4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4" s="6" t="str">
        <f>_xlfn.XLOOKUP(Table2[[#This Row],[Adjusted Form '#]],'[2]IN PROGRESS'!$D:$D,'[2]IN PROGRESS'!$M:$M,"Not Found")</f>
        <v>Not Found</v>
      </c>
      <c r="U2374" s="6" t="str">
        <f>_xlfn.XLOOKUP(Table2[[#This Row],[Adjusted Form '#]],[1]COMPLETED!$D:$D,[2]COMPLETED!$M:$M,"Not Found")</f>
        <v>Not Found</v>
      </c>
      <c r="V2374" s="13" t="e">
        <f>_xlfn.XLOOKUP(Table2[[#This Row],[Adjusted Form '#]],[2]COMPLETED!$D:$D,[2]COMPLETED!$O:$O,"Not Found")</f>
        <v>#N/A</v>
      </c>
      <c r="W2374" s="6" t="str">
        <f>_xlfn.XLOOKUP(Table2[[#This Row],[Adjusted Form '#]],[2]BILLED!$D:$D,[2]BILLED!$M:$M,"Not Found")</f>
        <v>Not Found</v>
      </c>
      <c r="X2374" s="13" t="str">
        <f>_xlfn.XLOOKUP(Table2[[#This Row],[Adjusted Form '#]],[2]BILLED!$D:$D,[1]BILLED!$O:$O,"Not Found")</f>
        <v>Not Found</v>
      </c>
      <c r="Y2374" s="13" t="e">
        <f>_xlfn.XLOOKUP(Table2[[#This Row],[Adjusted Form '#]],'[2]REJECTED ORDERS'!$D:$D,'[2]REJECTED ORDERS'!$E:$E)</f>
        <v>#N/A</v>
      </c>
      <c r="Z2374" s="1"/>
      <c r="AA2374" s="1"/>
    </row>
    <row r="2375" spans="1:27" ht="15" customHeight="1" x14ac:dyDescent="0.35">
      <c r="A2375" s="4" t="s">
        <v>3438</v>
      </c>
      <c r="B2375" s="1" t="s">
        <v>267</v>
      </c>
      <c r="C2375" s="11">
        <v>45289</v>
      </c>
      <c r="D2375" s="11" t="s">
        <v>8213</v>
      </c>
      <c r="E2375" s="1" t="s">
        <v>21</v>
      </c>
      <c r="F2375" s="1" t="s">
        <v>8210</v>
      </c>
      <c r="G2375" s="6">
        <f>COUNTIF(F:F,Table2[[#This Row],[Form '#]])</f>
        <v>1</v>
      </c>
      <c r="H2375" s="1" t="s">
        <v>619</v>
      </c>
      <c r="I2375" s="1" t="s">
        <v>177</v>
      </c>
      <c r="J2375" s="1" t="s">
        <v>75</v>
      </c>
      <c r="K2375" s="1" t="s">
        <v>4011</v>
      </c>
      <c r="L2375" s="1"/>
      <c r="M2375" s="6" t="str">
        <f>IF(Table2[[#This Row],[Corrected Form '#
 (If Duplicated)]]="",Table2[[#This Row],[Form '#]],Table2[[#This Row],[Corrected Form '#
 (If Duplicated)]])</f>
        <v>7818-33804</v>
      </c>
      <c r="N2375" s="1" t="s">
        <v>49</v>
      </c>
      <c r="O2375" s="6" t="str">
        <f>IF(Table2[[#This Row],[POG CONFIRMATION RECEIPT OF ORDER
(DATE &amp; TIME)]]="","No Confirmation","Received Confirmation")</f>
        <v>Received Confirmation</v>
      </c>
      <c r="P2375" s="6">
        <f ca="1">TODAY()-Table2[[#This Row],[DATE SENT TO POG]]</f>
        <v>14</v>
      </c>
      <c r="Q2375" s="6" t="s">
        <v>5802</v>
      </c>
      <c r="R2375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5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5" s="6" t="str">
        <f>_xlfn.XLOOKUP(Table2[[#This Row],[Adjusted Form '#]],'[2]IN PROGRESS'!$D:$D,'[2]IN PROGRESS'!$M:$M,"Not Found")</f>
        <v>Not Found</v>
      </c>
      <c r="U2375" s="6" t="str">
        <f>_xlfn.XLOOKUP(Table2[[#This Row],[Adjusted Form '#]],[1]COMPLETED!$D:$D,[2]COMPLETED!$M:$M,"Not Found")</f>
        <v>Not Found</v>
      </c>
      <c r="V2375" s="13" t="e">
        <f>_xlfn.XLOOKUP(Table2[[#This Row],[Adjusted Form '#]],[2]COMPLETED!$D:$D,[2]COMPLETED!$O:$O,"Not Found")</f>
        <v>#N/A</v>
      </c>
      <c r="W2375" s="6" t="str">
        <f>_xlfn.XLOOKUP(Table2[[#This Row],[Adjusted Form '#]],[2]BILLED!$D:$D,[2]BILLED!$M:$M,"Not Found")</f>
        <v>Not Found</v>
      </c>
      <c r="X2375" s="13" t="str">
        <f>_xlfn.XLOOKUP(Table2[[#This Row],[Adjusted Form '#]],[2]BILLED!$D:$D,[1]BILLED!$O:$O,"Not Found")</f>
        <v>Not Found</v>
      </c>
      <c r="Y2375" s="13" t="e">
        <f>_xlfn.XLOOKUP(Table2[[#This Row],[Adjusted Form '#]],'[2]REJECTED ORDERS'!$D:$D,'[2]REJECTED ORDERS'!$E:$E)</f>
        <v>#N/A</v>
      </c>
      <c r="Z2375" s="1"/>
      <c r="AA2375" s="1"/>
    </row>
    <row r="2376" spans="1:27" ht="15" customHeight="1" x14ac:dyDescent="0.35">
      <c r="A2376" s="4" t="s">
        <v>3440</v>
      </c>
      <c r="B2376" s="1" t="s">
        <v>267</v>
      </c>
      <c r="C2376" s="11">
        <v>45289</v>
      </c>
      <c r="D2376" s="11" t="s">
        <v>8213</v>
      </c>
      <c r="E2376" s="1" t="s">
        <v>21</v>
      </c>
      <c r="F2376" s="1" t="s">
        <v>8211</v>
      </c>
      <c r="G2376" s="6">
        <f>COUNTIF(F:F,Table2[[#This Row],[Form '#]])</f>
        <v>1</v>
      </c>
      <c r="H2376" s="1" t="s">
        <v>1469</v>
      </c>
      <c r="I2376" s="1" t="s">
        <v>28</v>
      </c>
      <c r="J2376" s="1" t="s">
        <v>69</v>
      </c>
      <c r="K2376" s="1" t="s">
        <v>3898</v>
      </c>
      <c r="L2376" s="1"/>
      <c r="M2376" s="6" t="str">
        <f>IF(Table2[[#This Row],[Corrected Form '#
 (If Duplicated)]]="",Table2[[#This Row],[Form '#]],Table2[[#This Row],[Corrected Form '#
 (If Duplicated)]])</f>
        <v>7818-29992</v>
      </c>
      <c r="N2376" s="1" t="s">
        <v>49</v>
      </c>
      <c r="O2376" s="6" t="str">
        <f>IF(Table2[[#This Row],[POG CONFIRMATION RECEIPT OF ORDER
(DATE &amp; TIME)]]="","No Confirmation","Received Confirmation")</f>
        <v>Received Confirmation</v>
      </c>
      <c r="P2376" s="6">
        <f ca="1">TODAY()-Table2[[#This Row],[DATE SENT TO POG]]</f>
        <v>14</v>
      </c>
      <c r="Q2376" s="6" t="s">
        <v>5802</v>
      </c>
      <c r="R2376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6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6" s="6" t="str">
        <f>_xlfn.XLOOKUP(Table2[[#This Row],[Adjusted Form '#]],'[2]IN PROGRESS'!$D:$D,'[2]IN PROGRESS'!$M:$M,"Not Found")</f>
        <v>Not Found</v>
      </c>
      <c r="U2376" s="6" t="str">
        <f>_xlfn.XLOOKUP(Table2[[#This Row],[Adjusted Form '#]],[1]COMPLETED!$D:$D,[2]COMPLETED!$M:$M,"Not Found")</f>
        <v>Not Found</v>
      </c>
      <c r="V2376" s="13" t="e">
        <f>_xlfn.XLOOKUP(Table2[[#This Row],[Adjusted Form '#]],[2]COMPLETED!$D:$D,[2]COMPLETED!$O:$O,"Not Found")</f>
        <v>#N/A</v>
      </c>
      <c r="W2376" s="6" t="str">
        <f>_xlfn.XLOOKUP(Table2[[#This Row],[Adjusted Form '#]],[2]BILLED!$D:$D,[2]BILLED!$M:$M,"Not Found")</f>
        <v>Not Found</v>
      </c>
      <c r="X2376" s="13" t="str">
        <f>_xlfn.XLOOKUP(Table2[[#This Row],[Adjusted Form '#]],[2]BILLED!$D:$D,[1]BILLED!$O:$O,"Not Found")</f>
        <v>Not Found</v>
      </c>
      <c r="Y2376" s="13" t="e">
        <f>_xlfn.XLOOKUP(Table2[[#This Row],[Adjusted Form '#]],'[2]REJECTED ORDERS'!$D:$D,'[2]REJECTED ORDERS'!$E:$E)</f>
        <v>#N/A</v>
      </c>
      <c r="Z2376" s="1"/>
      <c r="AA2376" s="1"/>
    </row>
    <row r="2377" spans="1:27" ht="15" customHeight="1" x14ac:dyDescent="0.35">
      <c r="A2377" s="4" t="s">
        <v>3441</v>
      </c>
      <c r="B2377" s="1" t="s">
        <v>267</v>
      </c>
      <c r="C2377" s="11">
        <v>45289</v>
      </c>
      <c r="D2377" s="11" t="s">
        <v>8213</v>
      </c>
      <c r="E2377" s="1" t="s">
        <v>21</v>
      </c>
      <c r="F2377" s="1" t="s">
        <v>8212</v>
      </c>
      <c r="G2377" s="6">
        <f>COUNTIF(F:F,Table2[[#This Row],[Form '#]])</f>
        <v>1</v>
      </c>
      <c r="H2377" s="1" t="s">
        <v>3776</v>
      </c>
      <c r="I2377" s="1" t="s">
        <v>177</v>
      </c>
      <c r="J2377" s="1" t="s">
        <v>75</v>
      </c>
      <c r="K2377" s="1" t="s">
        <v>3853</v>
      </c>
      <c r="L2377" s="1"/>
      <c r="M2377" s="6" t="str">
        <f>IF(Table2[[#This Row],[Corrected Form '#
 (If Duplicated)]]="",Table2[[#This Row],[Form '#]],Table2[[#This Row],[Corrected Form '#
 (If Duplicated)]])</f>
        <v>7818-15720</v>
      </c>
      <c r="N2377" s="1" t="s">
        <v>49</v>
      </c>
      <c r="O2377" s="6" t="str">
        <f>IF(Table2[[#This Row],[POG CONFIRMATION RECEIPT OF ORDER
(DATE &amp; TIME)]]="","No Confirmation","Received Confirmation")</f>
        <v>Received Confirmation</v>
      </c>
      <c r="P2377" s="6">
        <f ca="1">TODAY()-Table2[[#This Row],[DATE SENT TO POG]]</f>
        <v>14</v>
      </c>
      <c r="Q2377" s="6" t="s">
        <v>5802</v>
      </c>
      <c r="R2377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7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7" s="6" t="str">
        <f>_xlfn.XLOOKUP(Table2[[#This Row],[Adjusted Form '#]],'[2]IN PROGRESS'!$D:$D,'[2]IN PROGRESS'!$M:$M,"Not Found")</f>
        <v>Not Found</v>
      </c>
      <c r="U2377" s="6" t="str">
        <f>_xlfn.XLOOKUP(Table2[[#This Row],[Adjusted Form '#]],[1]COMPLETED!$D:$D,[2]COMPLETED!$M:$M,"Not Found")</f>
        <v>Not Found</v>
      </c>
      <c r="V2377" s="13" t="e">
        <f>_xlfn.XLOOKUP(Table2[[#This Row],[Adjusted Form '#]],[2]COMPLETED!$D:$D,[2]COMPLETED!$O:$O,"Not Found")</f>
        <v>#N/A</v>
      </c>
      <c r="W2377" s="6" t="str">
        <f>_xlfn.XLOOKUP(Table2[[#This Row],[Adjusted Form '#]],[2]BILLED!$D:$D,[2]BILLED!$M:$M,"Not Found")</f>
        <v>Not Found</v>
      </c>
      <c r="X2377" s="13" t="str">
        <f>_xlfn.XLOOKUP(Table2[[#This Row],[Adjusted Form '#]],[2]BILLED!$D:$D,[1]BILLED!$O:$O,"Not Found")</f>
        <v>Not Found</v>
      </c>
      <c r="Y2377" s="13" t="e">
        <f>_xlfn.XLOOKUP(Table2[[#This Row],[Adjusted Form '#]],'[2]REJECTED ORDERS'!$D:$D,'[2]REJECTED ORDERS'!$E:$E)</f>
        <v>#N/A</v>
      </c>
      <c r="Z2377" s="1"/>
      <c r="AA2377" s="1"/>
    </row>
    <row r="2378" spans="1:27" ht="15" customHeight="1" x14ac:dyDescent="0.35">
      <c r="A2378" s="4" t="s">
        <v>3442</v>
      </c>
      <c r="B2378" s="1" t="s">
        <v>234</v>
      </c>
      <c r="C2378" s="11">
        <v>45289</v>
      </c>
      <c r="D2378" s="11" t="s">
        <v>8214</v>
      </c>
      <c r="E2378" s="1" t="s">
        <v>73</v>
      </c>
      <c r="F2378" s="1" t="s">
        <v>8136</v>
      </c>
      <c r="G2378" s="6">
        <f>COUNTIF(F:F,Table2[[#This Row],[Form '#]])</f>
        <v>1</v>
      </c>
      <c r="H2378" s="1" t="s">
        <v>8137</v>
      </c>
      <c r="I2378" s="1" t="s">
        <v>3852</v>
      </c>
      <c r="J2378" s="1" t="s">
        <v>3891</v>
      </c>
      <c r="K2378" s="1" t="s">
        <v>4430</v>
      </c>
      <c r="L2378" s="1"/>
      <c r="M2378" s="6" t="str">
        <f>IF(Table2[[#This Row],[Corrected Form '#
 (If Duplicated)]]="",Table2[[#This Row],[Form '#]],Table2[[#This Row],[Corrected Form '#
 (If Duplicated)]])</f>
        <v>7823-03481</v>
      </c>
      <c r="N2378" s="1" t="s">
        <v>49</v>
      </c>
      <c r="O2378" s="6" t="str">
        <f>IF(Table2[[#This Row],[POG CONFIRMATION RECEIPT OF ORDER
(DATE &amp; TIME)]]="","No Confirmation","Received Confirmation")</f>
        <v>Received Confirmation</v>
      </c>
      <c r="P2378" s="6">
        <f ca="1">TODAY()-Table2[[#This Row],[DATE SENT TO POG]]</f>
        <v>14</v>
      </c>
      <c r="Q2378" s="6" t="s">
        <v>5802</v>
      </c>
      <c r="R2378" s="6" t="str">
        <f>IF(Table2[[#This Row],[Check vs WIP
In Progress (Trk '#)]]&lt;&gt;"Not Found","In Progress",IF(Table2[[#This Row],[Check vs WIP
Completed (Trk '#)]]&lt;&gt;"Not Found","Shipped",IF(Table2[[#This Row],[Check vs WIP
Billed (Trk '#)]]&lt;&gt;"Not Found","Shipped","Not in WIP")))</f>
        <v>Not in WIP</v>
      </c>
      <c r="S2378" s="17" t="str">
        <f>IF(Table2[[#This Row],[Status
(From WIP)]]="Shipped",IF(Table2[[#This Row],[Check vs WIP
Completed (Trk '#)]]&lt;&gt;"Not Found",Table2[[#This Row],[Check vs WIP
Completed (Delivery Date)]],IF(Table2[[#This Row],[Check vs WIP
Billed (Trk '#)]]&lt;&gt;"Not Found",Table2[[#This Row],[Check vs WIP
Billed (Delivery Date)]],)),"Not Shipped")</f>
        <v>Not Shipped</v>
      </c>
      <c r="T2378" s="6" t="str">
        <f>_xlfn.XLOOKUP(Table2[[#This Row],[Adjusted Form '#]],'[2]IN PROGRESS'!$D:$D,'[2]IN PROGRESS'!$M:$M,"Not Found")</f>
        <v>Not Found</v>
      </c>
      <c r="U2378" s="6" t="str">
        <f>_xlfn.XLOOKUP(Table2[[#This Row],[Adjusted Form '#]],[1]COMPLETED!$D:$D,[2]COMPLETED!$M:$M,"Not Found")</f>
        <v>Not Found</v>
      </c>
      <c r="V2378" s="13" t="e">
        <f>_xlfn.XLOOKUP(Table2[[#This Row],[Adjusted Form '#]],[2]COMPLETED!$D:$D,[2]COMPLETED!$O:$O,"Not Found")</f>
        <v>#N/A</v>
      </c>
      <c r="W2378" s="6" t="str">
        <f>_xlfn.XLOOKUP(Table2[[#This Row],[Adjusted Form '#]],[2]BILLED!$D:$D,[2]BILLED!$M:$M,"Not Found")</f>
        <v>Not Found</v>
      </c>
      <c r="X2378" s="13" t="str">
        <f>_xlfn.XLOOKUP(Table2[[#This Row],[Adjusted Form '#]],[2]BILLED!$D:$D,[1]BILLED!$O:$O,"Not Found")</f>
        <v>Not Found</v>
      </c>
      <c r="Y2378" s="13" t="e">
        <f>_xlfn.XLOOKUP(Table2[[#This Row],[Adjusted Form '#]],'[2]REJECTED ORDERS'!$D:$D,'[2]REJECTED ORDERS'!$E:$E)</f>
        <v>#N/A</v>
      </c>
      <c r="Z2378" s="1"/>
      <c r="AA2378" s="1"/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EBC1F4A841747BBE493398B580029" ma:contentTypeVersion="0" ma:contentTypeDescription="Create a new document." ma:contentTypeScope="" ma:versionID="bf112ca145c5f504ae2c88f986530a6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bdcf26f133259999730471111e8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B3184F-CB66-4AE6-AD95-FA4EA85F9FBC}"/>
</file>

<file path=customXml/itemProps2.xml><?xml version="1.0" encoding="utf-8"?>
<ds:datastoreItem xmlns:ds="http://schemas.openxmlformats.org/officeDocument/2006/customXml" ds:itemID="{2783D669-A2A1-4C9A-92B7-78BEBD9FF1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3F2DEB-02E6-449C-9991-4F034222757A}">
  <ds:schemaRefs>
    <ds:schemaRef ds:uri="http://schemas.openxmlformats.org/package/2006/metadata/core-properties"/>
    <ds:schemaRef ds:uri="3a4796f3-0760-4c07-b976-cc6694253c39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4a5f887d-cd20-4d28-80e7-0c5c12428b0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OrderTrackingfromEyeMailbx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Bob</dc:creator>
  <cp:lastModifiedBy>Foster, Charmay</cp:lastModifiedBy>
  <dcterms:created xsi:type="dcterms:W3CDTF">2023-05-26T20:42:45Z</dcterms:created>
  <dcterms:modified xsi:type="dcterms:W3CDTF">2024-01-12T22:27:38Z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0x010100F0EEBC1F4A841747BBE493398B580029</vt:lpwstr>
  </property>
</Properties>
</file>